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0FCD1B7A-314A-464E-BC28-EE832D133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25" i="3"/>
  <c r="C25" i="3"/>
  <c r="B25" i="3"/>
  <c r="AB102" i="3"/>
  <c r="AA102" i="3"/>
  <c r="AB100" i="3"/>
  <c r="AA100" i="3"/>
  <c r="AB97" i="3"/>
  <c r="AA97" i="3"/>
  <c r="AB92" i="3"/>
  <c r="AA92" i="3"/>
  <c r="AB85" i="3"/>
  <c r="AA85" i="3"/>
  <c r="AB83" i="3"/>
  <c r="AA83" i="3"/>
  <c r="AB70" i="3"/>
  <c r="AA70" i="3"/>
  <c r="AB68" i="3"/>
  <c r="AA68" i="3"/>
  <c r="AB66" i="3"/>
  <c r="AA66" i="3"/>
  <c r="AB56" i="3"/>
  <c r="AA56" i="3"/>
  <c r="AB54" i="3"/>
  <c r="AA54" i="3"/>
  <c r="AB48" i="3"/>
  <c r="AA48" i="3"/>
  <c r="AB43" i="3"/>
  <c r="AA43" i="3"/>
  <c r="AB39" i="3"/>
  <c r="AA39" i="3"/>
  <c r="AB35" i="3"/>
  <c r="AA35" i="3"/>
  <c r="AB31" i="3"/>
  <c r="AA31" i="3"/>
  <c r="AB28" i="3"/>
  <c r="AA28" i="3"/>
  <c r="AB22" i="3"/>
  <c r="AA22" i="3"/>
  <c r="AA103" i="3" s="1"/>
  <c r="AB18" i="3"/>
  <c r="AA18" i="3"/>
  <c r="AB7" i="3"/>
  <c r="AA7" i="3"/>
  <c r="AB5" i="3"/>
  <c r="AA5" i="3"/>
  <c r="AB3" i="3"/>
  <c r="AB103" i="3" s="1"/>
  <c r="AA3" i="3"/>
  <c r="A61" i="1"/>
  <c r="U118" i="1"/>
  <c r="A241" i="1" l="1"/>
  <c r="BC1104" i="3"/>
  <c r="BA1104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A1386" i="3"/>
  <c r="BZ1386" i="3"/>
  <c r="CA1381" i="3"/>
  <c r="BZ1381" i="3"/>
  <c r="CA1379" i="3"/>
  <c r="BZ1379" i="3"/>
  <c r="CA1365" i="3"/>
  <c r="BZ1365" i="3"/>
  <c r="CA1347" i="3"/>
  <c r="BZ1347" i="3"/>
  <c r="CA1336" i="3"/>
  <c r="BZ1336" i="3"/>
  <c r="CA1302" i="3"/>
  <c r="BZ1302" i="3"/>
  <c r="CA1289" i="3"/>
  <c r="BZ1289" i="3"/>
  <c r="CA1251" i="3"/>
  <c r="BZ1251" i="3"/>
  <c r="CA1242" i="3"/>
  <c r="BZ1242" i="3"/>
  <c r="CA1228" i="3"/>
  <c r="BZ1228" i="3"/>
  <c r="CA1195" i="3"/>
  <c r="BZ1195" i="3"/>
  <c r="CA1142" i="3"/>
  <c r="BZ1142" i="3"/>
  <c r="CA1130" i="3"/>
  <c r="BZ1130" i="3"/>
  <c r="CA1107" i="3"/>
  <c r="BZ1107" i="3"/>
  <c r="CA1092" i="3"/>
  <c r="BZ1092" i="3"/>
  <c r="CA1068" i="3"/>
  <c r="BZ1068" i="3"/>
  <c r="CA1050" i="3"/>
  <c r="BZ1050" i="3"/>
  <c r="CA1030" i="3"/>
  <c r="BZ1030" i="3"/>
  <c r="CA1016" i="3"/>
  <c r="BZ1016" i="3"/>
  <c r="CA1007" i="3"/>
  <c r="BZ1007" i="3"/>
  <c r="CA933" i="3"/>
  <c r="BZ933" i="3"/>
  <c r="B61" i="1"/>
  <c r="A151" i="1"/>
  <c r="AB43" i="1"/>
  <c r="BZ1387" i="3" l="1"/>
  <c r="CA1387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<sst xmlns="http://schemas.openxmlformats.org/spreadsheetml/2006/main" count="2296" uniqueCount="477">
  <si>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</si>
  <si>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</si>
  <si>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</si>
  <si>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</si>
  <si>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</si>
  <si>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</si>
  <si>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</si>
  <si>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</si>
  <si>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</si>
  <si>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</si>
  <si>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</si>
  <si>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</si>
  <si>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</si>
  <si>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</si>
  <si>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</si>
  <si>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</si>
  <si>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</si>
  <si>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</si>
  <si>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</si>
  <si>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</si>
  <si>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</si>
  <si>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</si>
  <si>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</si>
  <si>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</si>
  <si>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</si>
  <si>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</si>
  <si>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</si>
  <si>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</si>
  <si>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</si>
  <si>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</si>
  <si>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</si>
  <si>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</si>
  <si>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</si>
  <si>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</si>
  <si>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</si>
  <si>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</si>
  <si>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</si>
  <si>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</si>
  <si>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</si>
  <si>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</si>
  <si>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</si>
  <si>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</si>
  <si>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</si>
  <si>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</si>
  <si>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</si>
  <si>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</si>
  <si>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</si>
  <si>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</si>
  <si>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</si>
  <si>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</si>
  <si>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</si>
  <si>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</si>
  <si>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</si>
  <si>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</si>
  <si>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</si>
  <si>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</si>
  <si>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</si>
  <si>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</si>
  <si>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</si>
  <si>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</si>
  <si>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</si>
  <si>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</si>
  <si>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</si>
  <si>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</si>
  <si>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</si>
  <si>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</si>
  <si>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</si>
  <si>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</si>
  <si>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</si>
  <si>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</si>
  <si>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</si>
  <si>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</si>
  <si>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</si>
  <si>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</si>
  <si>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</si>
  <si>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</si>
  <si>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</si>
  <si>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</si>
  <si>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</si>
  <si>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</si>
  <si>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</si>
  <si>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</si>
  <si>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</si>
  <si>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</si>
  <si>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</si>
  <si>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</si>
  <si>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</si>
  <si>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</si>
  <si>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</si>
  <si>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</si>
  <si>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</si>
  <si>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</si>
  <si>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</si>
  <si>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</si>
  <si>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</si>
  <si>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</si>
  <si>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</si>
  <si>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</si>
  <si>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</si>
  <si>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</si>
  <si>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</si>
  <si>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</si>
  <si>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</si>
  <si>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</si>
  <si>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</si>
  <si>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</si>
  <si>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</si>
  <si>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</si>
  <si>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</si>
  <si>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</si>
  <si>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</si>
  <si>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</si>
  <si>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</si>
  <si>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</si>
  <si>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</si>
  <si>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</si>
  <si>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</si>
  <si>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</si>
  <si>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</si>
  <si>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</si>
  <si>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</si>
  <si>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</si>
  <si>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</si>
  <si>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</si>
  <si>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</si>
  <si>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</si>
  <si>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</si>
  <si>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</si>
  <si>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</si>
  <si>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</si>
  <si>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</si>
  <si>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</si>
  <si>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</si>
  <si>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</si>
  <si>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</si>
  <si>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</si>
  <si>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</si>
  <si>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</si>
  <si>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</si>
  <si>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</si>
  <si>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</si>
  <si>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</si>
  <si>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</si>
  <si>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</si>
  <si>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</si>
  <si>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</si>
  <si>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</si>
  <si>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</si>
  <si>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</si>
  <si>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</si>
  <si>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</si>
  <si>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</si>
  <si>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</si>
  <si>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</si>
  <si>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</si>
  <si>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</si>
  <si>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</si>
  <si>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</si>
  <si>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</si>
  <si>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</si>
  <si>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</si>
  <si>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</si>
  <si>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</si>
  <si>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</si>
  <si>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</si>
  <si>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</si>
  <si>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</si>
  <si>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</si>
  <si>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</si>
  <si>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</si>
  <si>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</si>
  <si>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</si>
  <si>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</si>
  <si>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</si>
  <si>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</si>
  <si>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</si>
  <si>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</si>
  <si>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</si>
  <si>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</si>
  <si>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</si>
  <si>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</si>
  <si>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A335</t>
    <phoneticPr fontId="1"/>
  </si>
  <si>
    <t>A545</t>
    <phoneticPr fontId="1"/>
  </si>
  <si>
    <t>A328</t>
    <phoneticPr fontId="1"/>
  </si>
  <si>
    <t>M037</t>
    <phoneticPr fontId="1"/>
  </si>
  <si>
    <t>A680</t>
    <phoneticPr fontId="1"/>
  </si>
  <si>
    <t>M078</t>
    <phoneticPr fontId="1"/>
  </si>
  <si>
    <t>M079</t>
    <phoneticPr fontId="1"/>
  </si>
  <si>
    <t>A505</t>
    <phoneticPr fontId="1"/>
  </si>
  <si>
    <t>2026/4/8 個数</t>
  </si>
  <si>
    <t>2026/4/11 個数</t>
  </si>
  <si>
    <t>A645</t>
    <phoneticPr fontId="1"/>
  </si>
  <si>
    <t>M070</t>
    <phoneticPr fontId="1"/>
  </si>
  <si>
    <t>2026/4/6 個数</t>
  </si>
  <si>
    <t>2026/4/13 個数</t>
  </si>
  <si>
    <t>08030089</t>
    <phoneticPr fontId="1"/>
  </si>
  <si>
    <t>08030114</t>
    <phoneticPr fontId="1"/>
  </si>
  <si>
    <t>08030117</t>
    <phoneticPr fontId="1"/>
  </si>
  <si>
    <t>08030154</t>
    <phoneticPr fontId="1"/>
  </si>
  <si>
    <t>08030150</t>
    <phoneticPr fontId="1"/>
  </si>
  <si>
    <t>08030151</t>
    <phoneticPr fontId="1"/>
  </si>
  <si>
    <t>08030152</t>
    <phoneticPr fontId="1"/>
  </si>
  <si>
    <t>08030153</t>
    <phoneticPr fontId="1"/>
  </si>
  <si>
    <t>08030167</t>
    <phoneticPr fontId="1"/>
  </si>
  <si>
    <t>08030182</t>
    <phoneticPr fontId="1"/>
  </si>
  <si>
    <t>08030183</t>
    <phoneticPr fontId="1"/>
  </si>
  <si>
    <t>08030185</t>
    <phoneticPr fontId="1"/>
  </si>
  <si>
    <t>08030186</t>
    <phoneticPr fontId="1"/>
  </si>
  <si>
    <t>08030165</t>
  </si>
  <si>
    <t>08030166</t>
  </si>
  <si>
    <t>08030155</t>
    <phoneticPr fontId="1"/>
  </si>
  <si>
    <t>08030156</t>
  </si>
  <si>
    <t>08030157</t>
  </si>
  <si>
    <t>08030158</t>
  </si>
  <si>
    <t>08030159</t>
  </si>
  <si>
    <t>08030160</t>
  </si>
  <si>
    <t>08030161</t>
  </si>
  <si>
    <t>08030162</t>
  </si>
  <si>
    <t>08030163</t>
  </si>
  <si>
    <t>08030164</t>
  </si>
  <si>
    <t>08030087</t>
    <phoneticPr fontId="1"/>
  </si>
  <si>
    <t>08030103</t>
    <phoneticPr fontId="1"/>
  </si>
  <si>
    <t>08030194</t>
    <phoneticPr fontId="1"/>
  </si>
  <si>
    <t>08030118</t>
    <phoneticPr fontId="1"/>
  </si>
  <si>
    <t>08030119</t>
    <phoneticPr fontId="1"/>
  </si>
  <si>
    <t>08030120</t>
    <phoneticPr fontId="1"/>
  </si>
  <si>
    <t>08030121</t>
    <phoneticPr fontId="1"/>
  </si>
  <si>
    <t>08030122</t>
    <phoneticPr fontId="1"/>
  </si>
  <si>
    <t>08030123</t>
  </si>
  <si>
    <t>08030124</t>
  </si>
  <si>
    <t>08030125</t>
  </si>
  <si>
    <t>08030126</t>
  </si>
  <si>
    <t>08030127</t>
  </si>
  <si>
    <t>08030128</t>
  </si>
  <si>
    <t>08030129</t>
  </si>
  <si>
    <t>08030193</t>
    <phoneticPr fontId="1"/>
  </si>
  <si>
    <t>A623</t>
    <phoneticPr fontId="1"/>
  </si>
  <si>
    <t>08030195</t>
    <phoneticPr fontId="1"/>
  </si>
  <si>
    <t>08030196</t>
    <phoneticPr fontId="1"/>
  </si>
  <si>
    <t>08030130</t>
    <phoneticPr fontId="1"/>
  </si>
  <si>
    <t>08030131</t>
  </si>
  <si>
    <t>08030132</t>
  </si>
  <si>
    <t>08030133</t>
  </si>
  <si>
    <t>08030134</t>
  </si>
  <si>
    <t>08030135</t>
  </si>
  <si>
    <t>08030136</t>
  </si>
  <si>
    <t>08030137</t>
  </si>
  <si>
    <t>08030138</t>
  </si>
  <si>
    <t>08030139</t>
  </si>
  <si>
    <t>08030140</t>
  </si>
  <si>
    <t>08030141</t>
  </si>
  <si>
    <t>08030201</t>
    <phoneticPr fontId="1"/>
  </si>
  <si>
    <t>08030200</t>
    <phoneticPr fontId="1"/>
  </si>
  <si>
    <t>08010573</t>
    <phoneticPr fontId="1"/>
  </si>
  <si>
    <t>08020272</t>
    <phoneticPr fontId="1"/>
  </si>
  <si>
    <t>08020432</t>
    <phoneticPr fontId="1"/>
  </si>
  <si>
    <t>08020434</t>
    <phoneticPr fontId="1"/>
  </si>
  <si>
    <t>08020439</t>
    <phoneticPr fontId="1"/>
  </si>
  <si>
    <t>08020440</t>
    <phoneticPr fontId="1"/>
  </si>
  <si>
    <t>08020563</t>
    <phoneticPr fontId="1"/>
  </si>
  <si>
    <t>08020564</t>
    <phoneticPr fontId="1"/>
  </si>
  <si>
    <t>08020567</t>
    <phoneticPr fontId="1"/>
  </si>
  <si>
    <t>08020568</t>
    <phoneticPr fontId="1"/>
  </si>
  <si>
    <t>08020571</t>
    <phoneticPr fontId="1"/>
  </si>
  <si>
    <t>08020628</t>
    <phoneticPr fontId="1"/>
  </si>
  <si>
    <t>08020629</t>
    <phoneticPr fontId="1"/>
  </si>
  <si>
    <t>08020630</t>
    <phoneticPr fontId="1"/>
  </si>
  <si>
    <t>08030002</t>
    <phoneticPr fontId="1"/>
  </si>
  <si>
    <t>08030003</t>
    <phoneticPr fontId="1"/>
  </si>
  <si>
    <t>08030004</t>
    <phoneticPr fontId="1"/>
  </si>
  <si>
    <t>08030020</t>
    <phoneticPr fontId="1"/>
  </si>
  <si>
    <t>08030021</t>
    <phoneticPr fontId="1"/>
  </si>
  <si>
    <t>08030029</t>
    <phoneticPr fontId="1"/>
  </si>
  <si>
    <t>08030184</t>
    <phoneticPr fontId="1"/>
  </si>
  <si>
    <t>08030226</t>
    <phoneticPr fontId="1"/>
  </si>
  <si>
    <t>08030227</t>
    <phoneticPr fontId="1"/>
  </si>
  <si>
    <t>08030228</t>
    <phoneticPr fontId="1"/>
  </si>
  <si>
    <t>08030229</t>
    <phoneticPr fontId="1"/>
  </si>
  <si>
    <t>08030230</t>
    <phoneticPr fontId="1"/>
  </si>
  <si>
    <t>08030231</t>
    <phoneticPr fontId="1"/>
  </si>
  <si>
    <t>08030232</t>
    <phoneticPr fontId="1"/>
  </si>
  <si>
    <t>08030233</t>
    <phoneticPr fontId="1"/>
  </si>
  <si>
    <t>08030234</t>
    <phoneticPr fontId="1"/>
  </si>
  <si>
    <t>08030235</t>
    <phoneticPr fontId="1"/>
  </si>
  <si>
    <t>08020478</t>
    <phoneticPr fontId="1"/>
  </si>
  <si>
    <t>08020632</t>
    <phoneticPr fontId="1"/>
  </si>
  <si>
    <t>08030081</t>
    <phoneticPr fontId="1"/>
  </si>
  <si>
    <t>08030198</t>
    <phoneticPr fontId="1"/>
  </si>
  <si>
    <t>08030199</t>
    <phoneticPr fontId="1"/>
  </si>
  <si>
    <t>08030224</t>
    <phoneticPr fontId="1"/>
  </si>
  <si>
    <t>08030225</t>
    <phoneticPr fontId="1"/>
  </si>
  <si>
    <t>08030236</t>
    <phoneticPr fontId="1"/>
  </si>
  <si>
    <t>08030237</t>
  </si>
  <si>
    <t>08030238</t>
  </si>
  <si>
    <t>08030239</t>
  </si>
  <si>
    <t>08030240</t>
  </si>
  <si>
    <t>08030241</t>
  </si>
  <si>
    <t>08030242</t>
  </si>
  <si>
    <t>08030243</t>
  </si>
  <si>
    <t>08030244</t>
  </si>
  <si>
    <t>08030245</t>
  </si>
  <si>
    <t>08030246</t>
  </si>
  <si>
    <t>08030247</t>
  </si>
  <si>
    <t>08030248</t>
  </si>
  <si>
    <t>08030249</t>
  </si>
  <si>
    <t>08030250</t>
  </si>
  <si>
    <t>08030251</t>
  </si>
  <si>
    <t>08020317</t>
    <phoneticPr fontId="1"/>
  </si>
  <si>
    <t>08030063</t>
    <phoneticPr fontId="1"/>
  </si>
  <si>
    <t>08030065</t>
    <phoneticPr fontId="1"/>
  </si>
  <si>
    <t>08030066</t>
    <phoneticPr fontId="1"/>
  </si>
  <si>
    <t>08030067</t>
    <phoneticPr fontId="1"/>
  </si>
  <si>
    <t>08030068</t>
    <phoneticPr fontId="1"/>
  </si>
  <si>
    <t>08030069</t>
    <phoneticPr fontId="1"/>
  </si>
  <si>
    <t>08030085</t>
    <phoneticPr fontId="1"/>
  </si>
  <si>
    <t>08030088</t>
    <phoneticPr fontId="1"/>
  </si>
  <si>
    <t>08030090</t>
    <phoneticPr fontId="1"/>
  </si>
  <si>
    <t>08030092</t>
    <phoneticPr fontId="1"/>
  </si>
  <si>
    <t>08030099</t>
    <phoneticPr fontId="1"/>
  </si>
  <si>
    <t>08030102</t>
    <phoneticPr fontId="1"/>
  </si>
  <si>
    <t>08030215</t>
    <phoneticPr fontId="1"/>
  </si>
  <si>
    <t>08030258</t>
    <phoneticPr fontId="1"/>
  </si>
  <si>
    <t>08030259</t>
    <phoneticPr fontId="1"/>
  </si>
  <si>
    <t>08030260</t>
    <phoneticPr fontId="1"/>
  </si>
  <si>
    <t>08030261</t>
    <phoneticPr fontId="1"/>
  </si>
  <si>
    <t>08030252</t>
    <phoneticPr fontId="1"/>
  </si>
  <si>
    <t>08030253</t>
  </si>
  <si>
    <t>08030254</t>
  </si>
  <si>
    <t>08030255</t>
  </si>
  <si>
    <t>08030265</t>
    <phoneticPr fontId="1"/>
  </si>
  <si>
    <t>08030266</t>
  </si>
  <si>
    <t>08030267</t>
  </si>
  <si>
    <t>08030268</t>
  </si>
  <si>
    <t>08030269</t>
  </si>
  <si>
    <t>08030270</t>
  </si>
  <si>
    <t>08030271</t>
  </si>
  <si>
    <t>08030272</t>
  </si>
  <si>
    <t>08030273</t>
  </si>
  <si>
    <t>08030274</t>
  </si>
  <si>
    <t>08030022</t>
    <phoneticPr fontId="1"/>
  </si>
  <si>
    <t>08030024</t>
    <phoneticPr fontId="1"/>
  </si>
  <si>
    <t>08030025</t>
    <phoneticPr fontId="1"/>
  </si>
  <si>
    <t>08030027</t>
    <phoneticPr fontId="1"/>
  </si>
  <si>
    <t>08030028</t>
    <phoneticPr fontId="1"/>
  </si>
  <si>
    <t>08030030</t>
    <phoneticPr fontId="1"/>
  </si>
  <si>
    <t>08030113</t>
    <phoneticPr fontId="1"/>
  </si>
  <si>
    <t>08030112</t>
    <phoneticPr fontId="1"/>
  </si>
  <si>
    <t>08030115</t>
    <phoneticPr fontId="1"/>
  </si>
  <si>
    <t>08030116</t>
    <phoneticPr fontId="1"/>
  </si>
  <si>
    <t>08030179</t>
    <phoneticPr fontId="1"/>
  </si>
  <si>
    <t>08030180</t>
    <phoneticPr fontId="1"/>
  </si>
  <si>
    <t>08030181</t>
    <phoneticPr fontId="1"/>
  </si>
  <si>
    <t>08030190</t>
    <phoneticPr fontId="1"/>
  </si>
  <si>
    <t>08030191</t>
    <phoneticPr fontId="1"/>
  </si>
  <si>
    <t>08030262</t>
    <phoneticPr fontId="1"/>
  </si>
  <si>
    <t>08030263</t>
    <phoneticPr fontId="1"/>
  </si>
  <si>
    <t>08030264</t>
    <phoneticPr fontId="1"/>
  </si>
  <si>
    <t>08030280</t>
    <phoneticPr fontId="1"/>
  </si>
  <si>
    <t>08030148</t>
    <phoneticPr fontId="1"/>
  </si>
  <si>
    <t>08030187</t>
    <phoneticPr fontId="1"/>
  </si>
  <si>
    <t>08030188</t>
    <phoneticPr fontId="1"/>
  </si>
  <si>
    <t>08030284</t>
    <phoneticPr fontId="1"/>
  </si>
  <si>
    <t>08030285</t>
    <phoneticPr fontId="1"/>
  </si>
  <si>
    <t>08030286</t>
    <phoneticPr fontId="1"/>
  </si>
  <si>
    <t>08030287</t>
    <phoneticPr fontId="1"/>
  </si>
  <si>
    <t>08030288</t>
    <phoneticPr fontId="1"/>
  </si>
  <si>
    <t>08030289</t>
    <phoneticPr fontId="1"/>
  </si>
  <si>
    <t>08030290</t>
    <phoneticPr fontId="1"/>
  </si>
  <si>
    <t>08030291</t>
    <phoneticPr fontId="1"/>
  </si>
  <si>
    <t>08030292</t>
    <phoneticPr fontId="1"/>
  </si>
  <si>
    <t>08030293</t>
    <phoneticPr fontId="1"/>
  </si>
  <si>
    <t>2026/4/14 個数</t>
  </si>
  <si>
    <t>2026/4/15 個数</t>
  </si>
  <si>
    <t>2026/4/16 個数</t>
  </si>
  <si>
    <t>2026/4/18 個数</t>
  </si>
  <si>
    <t>2026/4/19 個数</t>
  </si>
  <si>
    <t>2026/4/22 個数</t>
  </si>
  <si>
    <t>2026/4/23 個数</t>
  </si>
  <si>
    <t>2026/4/26 個数</t>
  </si>
  <si>
    <t>2026/4/28 個数</t>
  </si>
  <si>
    <t>08030095</t>
    <phoneticPr fontId="1"/>
  </si>
  <si>
    <t>08030101</t>
    <phoneticPr fontId="1"/>
  </si>
  <si>
    <t>08030142</t>
    <phoneticPr fontId="1"/>
  </si>
  <si>
    <t>08030144</t>
    <phoneticPr fontId="1"/>
  </si>
  <si>
    <t>08030145</t>
    <phoneticPr fontId="1"/>
  </si>
  <si>
    <t>08030146</t>
    <phoneticPr fontId="1"/>
  </si>
  <si>
    <t>08030147</t>
    <phoneticPr fontId="1"/>
  </si>
  <si>
    <t>08030170</t>
    <phoneticPr fontId="1"/>
  </si>
  <si>
    <t>08030171</t>
    <phoneticPr fontId="1"/>
  </si>
  <si>
    <t>08030174</t>
    <phoneticPr fontId="1"/>
  </si>
  <si>
    <t>08030175</t>
    <phoneticPr fontId="1"/>
  </si>
  <si>
    <t>08030176</t>
    <phoneticPr fontId="1"/>
  </si>
  <si>
    <t>08030177</t>
    <phoneticPr fontId="1"/>
  </si>
  <si>
    <t>08030208</t>
    <phoneticPr fontId="1"/>
  </si>
  <si>
    <t>08030211</t>
    <phoneticPr fontId="1"/>
  </si>
  <si>
    <t>08030209</t>
    <phoneticPr fontId="1"/>
  </si>
  <si>
    <t>08030210</t>
    <phoneticPr fontId="1"/>
  </si>
  <si>
    <t>08030212</t>
    <phoneticPr fontId="1"/>
  </si>
  <si>
    <t>08030213</t>
    <phoneticPr fontId="1"/>
  </si>
  <si>
    <t>08030281</t>
    <phoneticPr fontId="1"/>
  </si>
  <si>
    <t>A755</t>
    <phoneticPr fontId="1"/>
  </si>
  <si>
    <t>08030298</t>
    <phoneticPr fontId="1"/>
  </si>
  <si>
    <t>08030299</t>
    <phoneticPr fontId="1"/>
  </si>
  <si>
    <t>08030300</t>
    <phoneticPr fontId="1"/>
  </si>
  <si>
    <t>08030301</t>
    <phoneticPr fontId="1"/>
  </si>
  <si>
    <t>A997</t>
    <phoneticPr fontId="1"/>
  </si>
  <si>
    <t>08030307</t>
    <phoneticPr fontId="1"/>
  </si>
  <si>
    <t>08030317</t>
    <phoneticPr fontId="1"/>
  </si>
  <si>
    <t>A318</t>
    <phoneticPr fontId="1"/>
  </si>
  <si>
    <t>08030319</t>
    <phoneticPr fontId="1"/>
  </si>
  <si>
    <t>08030320</t>
    <phoneticPr fontId="1"/>
  </si>
  <si>
    <t>08030321</t>
    <phoneticPr fontId="1"/>
  </si>
  <si>
    <t>08030334</t>
    <phoneticPr fontId="1"/>
  </si>
  <si>
    <t>08020258</t>
    <phoneticPr fontId="1"/>
  </si>
  <si>
    <t>08020458</t>
    <phoneticPr fontId="1"/>
  </si>
  <si>
    <t>08030078</t>
    <phoneticPr fontId="1"/>
  </si>
  <si>
    <t>08030143</t>
    <phoneticPr fontId="1"/>
  </si>
  <si>
    <t>08030323</t>
    <phoneticPr fontId="1"/>
  </si>
  <si>
    <t>08030324</t>
    <phoneticPr fontId="1"/>
  </si>
  <si>
    <t>08030325</t>
    <phoneticPr fontId="1"/>
  </si>
  <si>
    <t>08030326</t>
    <phoneticPr fontId="1"/>
  </si>
  <si>
    <t>08030327</t>
    <phoneticPr fontId="1"/>
  </si>
  <si>
    <t>08030328</t>
    <phoneticPr fontId="1"/>
  </si>
  <si>
    <t>08030329</t>
    <phoneticPr fontId="1"/>
  </si>
  <si>
    <t>08030330</t>
    <phoneticPr fontId="1"/>
  </si>
  <si>
    <t>08030331</t>
    <phoneticPr fontId="1"/>
  </si>
  <si>
    <t>08030332</t>
    <phoneticPr fontId="1"/>
  </si>
  <si>
    <t>08030333</t>
    <phoneticPr fontId="1"/>
  </si>
  <si>
    <t>08030373</t>
    <phoneticPr fontId="1"/>
  </si>
  <si>
    <t>08030377</t>
    <phoneticPr fontId="1"/>
  </si>
  <si>
    <t>08030378</t>
    <phoneticPr fontId="1"/>
  </si>
  <si>
    <t>AYG136</t>
    <phoneticPr fontId="1"/>
  </si>
  <si>
    <t>08030322</t>
    <phoneticPr fontId="1"/>
  </si>
  <si>
    <t>08030379</t>
    <phoneticPr fontId="1"/>
  </si>
  <si>
    <t>08030380</t>
    <phoneticPr fontId="1"/>
  </si>
  <si>
    <t>A700</t>
    <phoneticPr fontId="1"/>
  </si>
  <si>
    <t>08030382</t>
    <phoneticPr fontId="1"/>
  </si>
  <si>
    <t>08030383</t>
    <phoneticPr fontId="1"/>
  </si>
  <si>
    <t>08030384</t>
    <phoneticPr fontId="1"/>
  </si>
  <si>
    <t>08030387</t>
    <phoneticPr fontId="1"/>
  </si>
  <si>
    <t>08030388</t>
    <phoneticPr fontId="1"/>
  </si>
  <si>
    <t>08030389</t>
    <phoneticPr fontId="1"/>
  </si>
  <si>
    <t>A120</t>
    <phoneticPr fontId="1"/>
  </si>
  <si>
    <t>08030399</t>
    <phoneticPr fontId="1"/>
  </si>
  <si>
    <t>08030400</t>
    <phoneticPr fontId="1"/>
  </si>
  <si>
    <t>08030409</t>
    <phoneticPr fontId="1"/>
  </si>
  <si>
    <t>08020469</t>
    <phoneticPr fontId="1"/>
  </si>
  <si>
    <t>M025</t>
    <phoneticPr fontId="1"/>
  </si>
  <si>
    <t>08020534</t>
    <phoneticPr fontId="1"/>
  </si>
  <si>
    <t>08020535</t>
    <phoneticPr fontId="1"/>
  </si>
  <si>
    <t>08020536</t>
    <phoneticPr fontId="1"/>
  </si>
  <si>
    <t>08030056</t>
    <phoneticPr fontId="1"/>
  </si>
  <si>
    <t>08030207</t>
    <phoneticPr fontId="1"/>
  </si>
  <si>
    <t>08030294</t>
    <phoneticPr fontId="1"/>
  </si>
  <si>
    <t>08030302</t>
    <phoneticPr fontId="1"/>
  </si>
  <si>
    <t>08030303</t>
    <phoneticPr fontId="1"/>
  </si>
  <si>
    <t>08030335</t>
    <phoneticPr fontId="1"/>
  </si>
  <si>
    <t>08030359</t>
    <phoneticPr fontId="1"/>
  </si>
  <si>
    <t>08030360</t>
    <phoneticPr fontId="1"/>
  </si>
  <si>
    <t>08030361</t>
    <phoneticPr fontId="1"/>
  </si>
  <si>
    <t>08030414</t>
    <phoneticPr fontId="1"/>
  </si>
  <si>
    <t>08030415</t>
    <phoneticPr fontId="1"/>
  </si>
  <si>
    <t>A732</t>
    <phoneticPr fontId="1"/>
  </si>
  <si>
    <t>08030421</t>
    <phoneticPr fontId="1"/>
  </si>
  <si>
    <t>08030422</t>
    <phoneticPr fontId="1"/>
  </si>
  <si>
    <t>08030428</t>
    <phoneticPr fontId="1"/>
  </si>
  <si>
    <t>08030429</t>
    <phoneticPr fontId="1"/>
  </si>
  <si>
    <t>2026/4/20 個数</t>
  </si>
  <si>
    <t>2026/4/25 個数</t>
  </si>
  <si>
    <t>2026/4/27 個数</t>
  </si>
  <si>
    <t>2026/4/30 個数</t>
  </si>
  <si>
    <t>2026/5/3 個数</t>
  </si>
  <si>
    <t>2026/5/8 個数</t>
  </si>
  <si>
    <t>2026/5/10 個数</t>
  </si>
  <si>
    <t>2026/5/13 個数</t>
  </si>
  <si>
    <t>2026/5/16 個数</t>
  </si>
  <si>
    <t>08030509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</si>
</sst>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H9" sqref="H9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431</v>
      </c>
      <c r="B1" s="24">
        <v>46105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21.6</v>
      </c>
      <c r="C3" s="85" t="s">
        <v>380</v>
      </c>
      <c r="D3" s="109" t="s">
        <v>186</v>
      </c>
      <c r="E3" s="15" t="s">
        <v>37</v>
      </c>
      <c r="F3" s="14"/>
      <c r="G3" s="12" t="s">
        <v>178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46139</v>
      </c>
      <c r="U3" s="13" t="s">
        <v>142</v>
      </c>
      <c r="V3">
        <v>1</v>
      </c>
      <c r="X3" s="51" t="s">
        <v>106</v>
      </c>
      <c r="Y3" s="52">
        <f>COUNTIF(U3:U27,"K")</f>
        <v>10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381</v>
      </c>
      <c r="D4" s="109" t="s">
        <v>186</v>
      </c>
      <c r="E4" s="15" t="s">
        <v>38</v>
      </c>
      <c r="F4" s="16"/>
      <c r="G4" s="12" t="s">
        <v>178</v>
      </c>
      <c r="H4" s="15"/>
      <c r="I4" s="13"/>
      <c r="J4" s="13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46118</v>
      </c>
      <c r="U4" s="13" t="s">
        <v>146</v>
      </c>
      <c r="V4">
        <v>2</v>
      </c>
      <c r="X4" s="51" t="s">
        <v>107</v>
      </c>
      <c r="Y4" s="52">
        <f>COUNTIF(U3:U27,"R")</f>
        <v>5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382</v>
      </c>
      <c r="D5" s="109" t="s">
        <v>182</v>
      </c>
      <c r="E5" s="15" t="s">
        <v>37</v>
      </c>
      <c r="F5" s="16"/>
      <c r="G5" s="12" t="s">
        <v>178</v>
      </c>
      <c r="H5" s="13"/>
      <c r="I5" s="13"/>
      <c r="J5" s="13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46125</v>
      </c>
      <c r="U5" s="13" t="s">
        <v>146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383</v>
      </c>
      <c r="D6" s="109" t="s">
        <v>182</v>
      </c>
      <c r="E6" s="15" t="s">
        <v>37</v>
      </c>
      <c r="F6" s="16"/>
      <c r="G6" s="12" t="s">
        <v>178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46125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384</v>
      </c>
      <c r="D7" s="109" t="s">
        <v>182</v>
      </c>
      <c r="E7" s="15" t="s">
        <v>37</v>
      </c>
      <c r="F7" s="16"/>
      <c r="G7" s="12" t="s">
        <v>178</v>
      </c>
      <c r="H7" s="15"/>
      <c r="I7" s="13"/>
      <c r="J7" s="13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46125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385</v>
      </c>
      <c r="D8" s="109" t="s">
        <v>182</v>
      </c>
      <c r="E8" s="15" t="s">
        <v>37</v>
      </c>
      <c r="F8" s="16"/>
      <c r="G8" s="12" t="s">
        <v>178</v>
      </c>
      <c r="H8" s="13"/>
      <c r="I8" s="13"/>
      <c r="J8" s="13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46125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386</v>
      </c>
      <c r="D9" s="109" t="s">
        <v>182</v>
      </c>
      <c r="E9" s="15" t="s">
        <v>36</v>
      </c>
      <c r="F9" s="16"/>
      <c r="G9" s="12" t="s">
        <v>178</v>
      </c>
      <c r="H9" s="15"/>
      <c r="I9" s="13"/>
      <c r="J9" s="13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46125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387</v>
      </c>
      <c r="D10" s="109" t="s">
        <v>191</v>
      </c>
      <c r="E10" s="15" t="s">
        <v>39</v>
      </c>
      <c r="F10" s="16"/>
      <c r="G10" s="12" t="s">
        <v>178</v>
      </c>
      <c r="H10" s="15"/>
      <c r="I10" s="13"/>
      <c r="J10" s="13"/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46150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388</v>
      </c>
      <c r="D11" s="109" t="s">
        <v>191</v>
      </c>
      <c r="E11" s="15" t="s">
        <v>39</v>
      </c>
      <c r="F11" s="16"/>
      <c r="G11" s="12" t="s">
        <v>178</v>
      </c>
      <c r="H11" s="15"/>
      <c r="I11" s="13"/>
      <c r="J11" s="13"/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46150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389</v>
      </c>
      <c r="D12" s="109" t="s">
        <v>192</v>
      </c>
      <c r="E12" s="15" t="s">
        <v>75</v>
      </c>
      <c r="F12" s="16"/>
      <c r="G12" s="12" t="s">
        <v>178</v>
      </c>
      <c r="H12" s="15"/>
      <c r="I12" s="15"/>
      <c r="J12" s="13"/>
      <c r="K12" s="15"/>
      <c r="L12" s="17"/>
      <c r="M12" s="17"/>
      <c r="N12" s="17"/>
      <c r="O12" s="17"/>
      <c r="P12" s="17"/>
      <c r="Q12" s="17"/>
      <c r="R12" s="17"/>
      <c r="S12" s="15"/>
      <c r="T12" s="25">
        <v>46127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390</v>
      </c>
      <c r="D13" s="109" t="s">
        <v>192</v>
      </c>
      <c r="E13" s="15" t="s">
        <v>58</v>
      </c>
      <c r="F13" s="16"/>
      <c r="G13" s="12" t="s">
        <v>178</v>
      </c>
      <c r="H13" s="15"/>
      <c r="I13" s="15"/>
      <c r="J13" s="13"/>
      <c r="K13" s="15"/>
      <c r="L13" s="17"/>
      <c r="M13" s="17"/>
      <c r="N13" s="17"/>
      <c r="O13" s="17"/>
      <c r="P13" s="17"/>
      <c r="Q13" s="17"/>
      <c r="R13" s="17"/>
      <c r="S13" s="15"/>
      <c r="T13" s="25">
        <v>46127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391</v>
      </c>
      <c r="D14" s="109" t="s">
        <v>192</v>
      </c>
      <c r="E14" s="15" t="s">
        <v>58</v>
      </c>
      <c r="F14" s="16"/>
      <c r="G14" s="12" t="s">
        <v>178</v>
      </c>
      <c r="H14" s="15"/>
      <c r="I14" s="15"/>
      <c r="J14" s="13"/>
      <c r="K14" s="15"/>
      <c r="L14" s="17"/>
      <c r="M14" s="17"/>
      <c r="N14" s="17"/>
      <c r="O14" s="17"/>
      <c r="P14" s="17"/>
      <c r="Q14" s="17"/>
      <c r="R14" s="17"/>
      <c r="S14" s="15"/>
      <c r="T14" s="25">
        <v>46127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392</v>
      </c>
      <c r="D15" s="109" t="s">
        <v>192</v>
      </c>
      <c r="E15" s="15" t="s">
        <v>75</v>
      </c>
      <c r="F15" s="16"/>
      <c r="G15" s="12" t="s">
        <v>178</v>
      </c>
      <c r="H15" s="15"/>
      <c r="I15" s="15"/>
      <c r="J15" s="13"/>
      <c r="K15" s="15"/>
      <c r="L15" s="17"/>
      <c r="M15" s="17"/>
      <c r="N15" s="17"/>
      <c r="O15" s="17"/>
      <c r="P15" s="17"/>
      <c r="Q15" s="17"/>
      <c r="R15" s="17"/>
      <c r="S15" s="15"/>
      <c r="T15" s="25">
        <v>46127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 t="s">
        <v>393</v>
      </c>
      <c r="D16" s="109" t="s">
        <v>179</v>
      </c>
      <c r="E16" s="15" t="s">
        <v>75</v>
      </c>
      <c r="F16" s="16"/>
      <c r="G16" s="12" t="s">
        <v>178</v>
      </c>
      <c r="H16" s="15"/>
      <c r="I16" s="15"/>
      <c r="J16" s="13"/>
      <c r="K16" s="15"/>
      <c r="L16" s="17"/>
      <c r="M16" s="17"/>
      <c r="N16" s="17"/>
      <c r="O16" s="17"/>
      <c r="P16" s="17"/>
      <c r="Q16" s="17"/>
      <c r="R16" s="17"/>
      <c r="S16" s="15"/>
      <c r="T16" s="25">
        <v>46123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 t="s">
        <v>394</v>
      </c>
      <c r="D17" s="109" t="s">
        <v>188</v>
      </c>
      <c r="E17" s="15" t="s">
        <v>36</v>
      </c>
      <c r="F17" s="16"/>
      <c r="G17" s="12" t="s">
        <v>178</v>
      </c>
      <c r="H17" s="15"/>
      <c r="I17" s="15"/>
      <c r="J17" s="13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46130</v>
      </c>
      <c r="U17" s="13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130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80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8</v>
      </c>
      <c r="K28" s="29">
        <f t="shared" si="0"/>
        <v>10</v>
      </c>
      <c r="L28" s="29">
        <f t="shared" si="0"/>
        <v>0</v>
      </c>
      <c r="M28" s="29">
        <f t="shared" si="0"/>
        <v>0</v>
      </c>
      <c r="N28" s="29">
        <f t="shared" si="0"/>
        <v>0</v>
      </c>
      <c r="O28" s="29">
        <f t="shared" si="0"/>
        <v>0</v>
      </c>
      <c r="P28" s="29">
        <f t="shared" si="0"/>
        <v>0</v>
      </c>
      <c r="Q28" s="29">
        <f t="shared" si="0"/>
        <v>0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18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AYG136</v>
      </c>
      <c r="B31" s="24">
        <f>B1</f>
        <v>46105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20.8</v>
      </c>
      <c r="C33" s="85" t="s">
        <v>395</v>
      </c>
      <c r="D33" s="109" t="s">
        <v>188</v>
      </c>
      <c r="E33" s="15" t="s">
        <v>38</v>
      </c>
      <c r="F33" s="14"/>
      <c r="G33" s="12" t="s">
        <v>178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46138</v>
      </c>
      <c r="U33" s="13" t="s">
        <v>146</v>
      </c>
      <c r="V33">
        <v>1</v>
      </c>
      <c r="X33" s="51" t="s">
        <v>106</v>
      </c>
      <c r="Y33" s="52">
        <f>COUNTIF(U33:U57,"K")</f>
        <v>9</v>
      </c>
      <c r="AA33" s="31" t="s">
        <v>46</v>
      </c>
      <c r="AB33" s="32">
        <f>J28+J178+J148+J118+J208+J238+J268+J298+J328+J358</f>
        <v>22</v>
      </c>
    </row>
    <row r="34" spans="1:29" x14ac:dyDescent="0.4">
      <c r="A34" s="153"/>
      <c r="B34" s="143"/>
      <c r="C34" s="85" t="s">
        <v>396</v>
      </c>
      <c r="D34" s="109" t="s">
        <v>188</v>
      </c>
      <c r="E34" s="15" t="s">
        <v>40</v>
      </c>
      <c r="F34" s="16"/>
      <c r="G34" s="12" t="s">
        <v>178</v>
      </c>
      <c r="H34" s="15"/>
      <c r="I34" s="13"/>
      <c r="J34" s="15"/>
      <c r="K34" s="15"/>
      <c r="L34" s="17"/>
      <c r="M34" s="17"/>
      <c r="N34" s="13"/>
      <c r="O34" s="17">
        <v>1</v>
      </c>
      <c r="P34" s="17">
        <v>1</v>
      </c>
      <c r="Q34" s="17"/>
      <c r="R34" s="17">
        <v>1</v>
      </c>
      <c r="S34" s="15"/>
      <c r="T34" s="25">
        <v>46138</v>
      </c>
      <c r="U34" s="13" t="s">
        <v>148</v>
      </c>
      <c r="V34">
        <v>2</v>
      </c>
      <c r="X34" s="51" t="s">
        <v>107</v>
      </c>
      <c r="Y34" s="52">
        <f>COUNTIF(U33:U57,"R")</f>
        <v>3</v>
      </c>
      <c r="AA34" s="31" t="s">
        <v>48</v>
      </c>
      <c r="AB34" s="32">
        <f>K28+K178+K148+K118+K208+K238+K268+K298+K328+K358</f>
        <v>23</v>
      </c>
    </row>
    <row r="35" spans="1:29" ht="19.5" thickBot="1" x14ac:dyDescent="0.45">
      <c r="A35" s="153"/>
      <c r="B35" s="143"/>
      <c r="C35" s="85" t="s">
        <v>397</v>
      </c>
      <c r="D35" s="109" t="s">
        <v>188</v>
      </c>
      <c r="E35" s="15" t="s">
        <v>39</v>
      </c>
      <c r="F35" s="16"/>
      <c r="G35" s="12" t="s">
        <v>178</v>
      </c>
      <c r="H35" s="13"/>
      <c r="I35" s="13"/>
      <c r="J35" s="13">
        <v>1</v>
      </c>
      <c r="K35" s="15">
        <v>1</v>
      </c>
      <c r="L35" s="13"/>
      <c r="M35" s="17"/>
      <c r="N35" s="13"/>
      <c r="O35" s="17"/>
      <c r="P35" s="17"/>
      <c r="Q35" s="17"/>
      <c r="R35" s="17"/>
      <c r="S35" s="15"/>
      <c r="T35" s="25">
        <v>46138</v>
      </c>
      <c r="U35" s="13" t="s">
        <v>146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0</v>
      </c>
    </row>
    <row r="36" spans="1:29" x14ac:dyDescent="0.4">
      <c r="A36" s="153"/>
      <c r="B36" s="143"/>
      <c r="C36" s="85" t="s">
        <v>398</v>
      </c>
      <c r="D36" s="109" t="s">
        <v>188</v>
      </c>
      <c r="E36" s="15" t="s">
        <v>133</v>
      </c>
      <c r="F36" s="16"/>
      <c r="G36" s="12" t="s">
        <v>178</v>
      </c>
      <c r="H36" s="15"/>
      <c r="I36" s="13"/>
      <c r="J36" s="13"/>
      <c r="K36" s="15"/>
      <c r="L36" s="13"/>
      <c r="M36" s="17"/>
      <c r="N36" s="13"/>
      <c r="O36" s="17">
        <v>1</v>
      </c>
      <c r="P36" s="17">
        <v>1</v>
      </c>
      <c r="Q36" s="17"/>
      <c r="R36" s="17"/>
      <c r="S36" s="15"/>
      <c r="T36" s="25">
        <v>46138</v>
      </c>
      <c r="U36" s="13" t="s">
        <v>148</v>
      </c>
      <c r="V36">
        <v>4</v>
      </c>
      <c r="AA36" s="31" t="s">
        <v>50</v>
      </c>
      <c r="AB36" s="32">
        <f>M28+M178+M148+M118+M208+M238+M268+M298+M328+M358</f>
        <v>5</v>
      </c>
    </row>
    <row r="37" spans="1:29" x14ac:dyDescent="0.4">
      <c r="A37" s="153"/>
      <c r="B37" s="143"/>
      <c r="C37" s="85" t="s">
        <v>399</v>
      </c>
      <c r="D37" s="109" t="s">
        <v>400</v>
      </c>
      <c r="E37" s="15" t="s">
        <v>39</v>
      </c>
      <c r="F37" s="16"/>
      <c r="G37" s="12" t="s">
        <v>178</v>
      </c>
      <c r="H37" s="15"/>
      <c r="I37" s="13"/>
      <c r="J37" s="13">
        <v>1</v>
      </c>
      <c r="K37" s="15">
        <v>1</v>
      </c>
      <c r="L37" s="13"/>
      <c r="M37" s="17"/>
      <c r="N37" s="13"/>
      <c r="O37" s="17"/>
      <c r="P37" s="17"/>
      <c r="Q37" s="17"/>
      <c r="R37" s="17"/>
      <c r="S37" s="15"/>
      <c r="T37" s="25">
        <v>46140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5</v>
      </c>
    </row>
    <row r="38" spans="1:29" x14ac:dyDescent="0.4">
      <c r="A38" s="153"/>
      <c r="B38" s="143"/>
      <c r="C38" s="85" t="s">
        <v>401</v>
      </c>
      <c r="D38" s="109" t="s">
        <v>179</v>
      </c>
      <c r="E38" s="15" t="s">
        <v>75</v>
      </c>
      <c r="F38" s="16"/>
      <c r="G38" s="12" t="s">
        <v>178</v>
      </c>
      <c r="H38" s="13"/>
      <c r="I38" s="13"/>
      <c r="J38" s="13"/>
      <c r="K38" s="15"/>
      <c r="L38" s="13"/>
      <c r="M38" s="17"/>
      <c r="N38" s="13"/>
      <c r="O38" s="17"/>
      <c r="P38" s="17"/>
      <c r="Q38" s="17"/>
      <c r="R38" s="17"/>
      <c r="S38" s="15"/>
      <c r="T38" s="25">
        <v>46125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4</v>
      </c>
    </row>
    <row r="39" spans="1:29" x14ac:dyDescent="0.4">
      <c r="A39" s="153"/>
      <c r="B39" s="143"/>
      <c r="C39" s="85" t="s">
        <v>402</v>
      </c>
      <c r="D39" s="109" t="s">
        <v>179</v>
      </c>
      <c r="E39" s="15" t="s">
        <v>75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/>
      <c r="T39" s="25">
        <v>46125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3</v>
      </c>
    </row>
    <row r="40" spans="1:29" x14ac:dyDescent="0.4">
      <c r="A40" s="153"/>
      <c r="B40" s="143"/>
      <c r="C40" s="85" t="s">
        <v>403</v>
      </c>
      <c r="D40" s="109" t="s">
        <v>180</v>
      </c>
      <c r="E40" s="15" t="s">
        <v>39</v>
      </c>
      <c r="F40" s="16"/>
      <c r="G40" s="12" t="s">
        <v>178</v>
      </c>
      <c r="H40" s="15"/>
      <c r="I40" s="13"/>
      <c r="J40" s="15">
        <v>1</v>
      </c>
      <c r="K40" s="15">
        <v>1</v>
      </c>
      <c r="L40" s="17"/>
      <c r="M40" s="17"/>
      <c r="N40" s="13"/>
      <c r="O40" s="17"/>
      <c r="P40" s="17"/>
      <c r="Q40" s="17"/>
      <c r="R40" s="17"/>
      <c r="S40" s="15"/>
      <c r="T40" s="25">
        <v>46142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5</v>
      </c>
    </row>
    <row r="41" spans="1:29" x14ac:dyDescent="0.4">
      <c r="A41" s="153"/>
      <c r="B41" s="143"/>
      <c r="C41" s="85" t="s">
        <v>404</v>
      </c>
      <c r="D41" s="109" t="s">
        <v>180</v>
      </c>
      <c r="E41" s="15" t="s">
        <v>133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3"/>
      <c r="O41" s="17"/>
      <c r="P41" s="17">
        <v>1</v>
      </c>
      <c r="Q41" s="17"/>
      <c r="R41" s="17">
        <v>1</v>
      </c>
      <c r="S41" s="15"/>
      <c r="T41" s="25">
        <v>46142</v>
      </c>
      <c r="U41" s="13" t="s">
        <v>148</v>
      </c>
      <c r="V41">
        <v>9</v>
      </c>
      <c r="AA41" s="31" t="s">
        <v>55</v>
      </c>
      <c r="AB41" s="32">
        <f>R28+R178+R148+R118+R208+R238+R268+R298+R328+R358</f>
        <v>0</v>
      </c>
      <c r="AC41" t="s">
        <v>123</v>
      </c>
    </row>
    <row r="42" spans="1:29" ht="19.5" thickBot="1" x14ac:dyDescent="0.45">
      <c r="A42" s="153"/>
      <c r="B42" s="143"/>
      <c r="C42" s="85" t="s">
        <v>406</v>
      </c>
      <c r="D42" s="109" t="s">
        <v>405</v>
      </c>
      <c r="E42" s="15" t="s">
        <v>36</v>
      </c>
      <c r="F42" s="16"/>
      <c r="G42" s="12" t="s">
        <v>178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>
        <v>1</v>
      </c>
      <c r="R42" s="17"/>
      <c r="S42" s="15"/>
      <c r="T42" s="25">
        <v>46132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1</v>
      </c>
      <c r="AC42" s="73">
        <f>SUM(AB33:AB42)</f>
        <v>68</v>
      </c>
    </row>
    <row r="43" spans="1:29" ht="19.5" thickBot="1" x14ac:dyDescent="0.45">
      <c r="A43" s="153"/>
      <c r="B43" s="143"/>
      <c r="C43" s="85" t="s">
        <v>407</v>
      </c>
      <c r="D43" s="109" t="s">
        <v>408</v>
      </c>
      <c r="E43" s="15" t="s">
        <v>36</v>
      </c>
      <c r="F43" s="16"/>
      <c r="G43" s="12" t="s">
        <v>178</v>
      </c>
      <c r="H43" s="15"/>
      <c r="I43" s="15"/>
      <c r="J43" s="15"/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46135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409</v>
      </c>
      <c r="D44" s="109" t="s">
        <v>185</v>
      </c>
      <c r="E44" s="15" t="s">
        <v>39</v>
      </c>
      <c r="F44" s="16"/>
      <c r="G44" s="12" t="s">
        <v>178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46138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53"/>
      <c r="B45" s="143"/>
      <c r="C45" s="85" t="s">
        <v>410</v>
      </c>
      <c r="D45" s="109" t="s">
        <v>185</v>
      </c>
      <c r="E45" s="15" t="s">
        <v>39</v>
      </c>
      <c r="F45" s="16"/>
      <c r="G45" s="12" t="s">
        <v>178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46138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3"/>
      <c r="B46" s="143"/>
      <c r="C46" s="85" t="s">
        <v>411</v>
      </c>
      <c r="D46" s="109" t="s">
        <v>185</v>
      </c>
      <c r="E46" s="15" t="s">
        <v>39</v>
      </c>
      <c r="F46" s="16"/>
      <c r="G46" s="12" t="s">
        <v>178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46138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 t="s">
        <v>412</v>
      </c>
      <c r="D47" s="109" t="s">
        <v>183</v>
      </c>
      <c r="E47" s="15" t="s">
        <v>38</v>
      </c>
      <c r="F47" s="16"/>
      <c r="G47" s="12" t="s">
        <v>178</v>
      </c>
      <c r="H47" s="15"/>
      <c r="I47" s="15"/>
      <c r="J47" s="15">
        <v>1</v>
      </c>
      <c r="K47" s="15">
        <v>1</v>
      </c>
      <c r="L47" s="17"/>
      <c r="M47" s="17"/>
      <c r="N47" s="17"/>
      <c r="O47" s="17"/>
      <c r="P47" s="17"/>
      <c r="Q47" s="17"/>
      <c r="R47" s="17"/>
      <c r="S47" s="15"/>
      <c r="T47" s="25">
        <v>46138</v>
      </c>
      <c r="U47" s="15" t="s">
        <v>146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53"/>
      <c r="B49" s="143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80</v>
      </c>
    </row>
    <row r="50" spans="1:28" ht="19.5" thickBot="1" x14ac:dyDescent="0.45">
      <c r="A50" s="153"/>
      <c r="B50" s="143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53"/>
      <c r="B51" s="143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8</v>
      </c>
      <c r="K58" s="29">
        <f t="shared" si="1"/>
        <v>9</v>
      </c>
      <c r="L58" s="29">
        <f t="shared" si="1"/>
        <v>0</v>
      </c>
      <c r="M58" s="29">
        <f t="shared" si="1"/>
        <v>1</v>
      </c>
      <c r="N58" s="29">
        <f t="shared" si="1"/>
        <v>1</v>
      </c>
      <c r="O58" s="29">
        <f t="shared" si="1"/>
        <v>2</v>
      </c>
      <c r="P58" s="29">
        <f t="shared" si="1"/>
        <v>3</v>
      </c>
      <c r="Q58" s="29">
        <f t="shared" si="1"/>
        <v>1</v>
      </c>
      <c r="R58" s="29">
        <f t="shared" si="1"/>
        <v>2</v>
      </c>
      <c r="S58" s="29">
        <f t="shared" si="1"/>
        <v>0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27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AYG136</v>
      </c>
      <c r="B61" s="24">
        <f>B1</f>
        <v>46105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23.4</v>
      </c>
      <c r="C63" s="85" t="s">
        <v>413</v>
      </c>
      <c r="D63" s="109" t="s">
        <v>187</v>
      </c>
      <c r="E63" s="15" t="s">
        <v>38</v>
      </c>
      <c r="F63" s="16"/>
      <c r="G63" s="12" t="s">
        <v>178</v>
      </c>
      <c r="H63" s="15"/>
      <c r="I63" s="13"/>
      <c r="J63" s="15">
        <v>1</v>
      </c>
      <c r="K63" s="15">
        <v>1</v>
      </c>
      <c r="L63" s="17"/>
      <c r="M63" s="17"/>
      <c r="N63" s="13">
        <v>1</v>
      </c>
      <c r="O63" s="17"/>
      <c r="P63" s="17"/>
      <c r="Q63" s="17"/>
      <c r="R63" s="17"/>
      <c r="S63" s="15"/>
      <c r="T63" s="25">
        <v>46126</v>
      </c>
      <c r="U63" s="13" t="s">
        <v>147</v>
      </c>
      <c r="V63">
        <v>1</v>
      </c>
      <c r="X63" s="51" t="s">
        <v>106</v>
      </c>
      <c r="Y63" s="52">
        <f>COUNTIF(U63:U87,"K")</f>
        <v>10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414</v>
      </c>
      <c r="D64" s="109" t="s">
        <v>179</v>
      </c>
      <c r="E64" s="15" t="s">
        <v>38</v>
      </c>
      <c r="F64" s="16"/>
      <c r="G64" s="12" t="s">
        <v>178</v>
      </c>
      <c r="H64" s="15"/>
      <c r="I64" s="13"/>
      <c r="J64" s="15"/>
      <c r="K64" s="15"/>
      <c r="L64" s="17"/>
      <c r="M64" s="17">
        <v>1</v>
      </c>
      <c r="N64" s="13"/>
      <c r="O64" s="17"/>
      <c r="P64" s="17"/>
      <c r="Q64" s="17"/>
      <c r="R64" s="17"/>
      <c r="S64" s="15"/>
      <c r="T64" s="25">
        <v>46125</v>
      </c>
      <c r="U64" s="13" t="s">
        <v>147</v>
      </c>
      <c r="V64">
        <v>2</v>
      </c>
      <c r="X64" s="51" t="s">
        <v>107</v>
      </c>
      <c r="Y64" s="52">
        <f>COUNTIF(U63:U87,"R")</f>
        <v>2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415</v>
      </c>
      <c r="D65" s="109" t="s">
        <v>187</v>
      </c>
      <c r="E65" s="15" t="s">
        <v>38</v>
      </c>
      <c r="F65" s="16"/>
      <c r="G65" s="12" t="s">
        <v>178</v>
      </c>
      <c r="H65" s="15"/>
      <c r="I65" s="13"/>
      <c r="J65" s="15">
        <v>1</v>
      </c>
      <c r="K65" s="15">
        <v>1</v>
      </c>
      <c r="L65" s="17"/>
      <c r="M65" s="17"/>
      <c r="N65" s="13"/>
      <c r="O65" s="17"/>
      <c r="P65" s="17"/>
      <c r="Q65" s="17"/>
      <c r="R65" s="17"/>
      <c r="S65" s="15"/>
      <c r="T65" s="25">
        <v>46126</v>
      </c>
      <c r="U65" s="13" t="s">
        <v>142</v>
      </c>
      <c r="V65">
        <v>3</v>
      </c>
      <c r="X65" s="53" t="s">
        <v>108</v>
      </c>
      <c r="Y65" s="54">
        <f>COUNTIF(U63:U87,"J")</f>
        <v>6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416</v>
      </c>
      <c r="D66" s="109" t="s">
        <v>182</v>
      </c>
      <c r="E66" s="15" t="s">
        <v>58</v>
      </c>
      <c r="F66" s="16"/>
      <c r="G66" s="12" t="s">
        <v>178</v>
      </c>
      <c r="H66" s="15"/>
      <c r="I66" s="15"/>
      <c r="J66" s="15"/>
      <c r="K66" s="15"/>
      <c r="L66" s="17"/>
      <c r="M66" s="17"/>
      <c r="N66" s="17"/>
      <c r="O66" s="17"/>
      <c r="P66" s="17"/>
      <c r="Q66" s="17"/>
      <c r="R66" s="17"/>
      <c r="S66" s="15">
        <v>1</v>
      </c>
      <c r="T66" s="25">
        <v>46125</v>
      </c>
      <c r="U66" s="13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417</v>
      </c>
      <c r="D67" s="109" t="s">
        <v>180</v>
      </c>
      <c r="E67" s="15" t="s">
        <v>58</v>
      </c>
      <c r="F67" s="16"/>
      <c r="G67" s="12" t="s">
        <v>178</v>
      </c>
      <c r="H67" s="15"/>
      <c r="I67" s="15"/>
      <c r="J67" s="15"/>
      <c r="K67" s="15"/>
      <c r="L67" s="17"/>
      <c r="M67" s="17"/>
      <c r="N67" s="17"/>
      <c r="O67" s="17"/>
      <c r="P67" s="17"/>
      <c r="Q67" s="17"/>
      <c r="R67" s="17"/>
      <c r="S67" s="15">
        <v>1</v>
      </c>
      <c r="T67" s="25">
        <v>46131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418</v>
      </c>
      <c r="D68" s="109" t="s">
        <v>236</v>
      </c>
      <c r="E68" s="15" t="s">
        <v>39</v>
      </c>
      <c r="F68" s="16"/>
      <c r="G68" s="12" t="s">
        <v>178</v>
      </c>
      <c r="H68" s="15"/>
      <c r="I68" s="15"/>
      <c r="J68" s="15">
        <v>1</v>
      </c>
      <c r="K68" s="15">
        <v>1</v>
      </c>
      <c r="L68" s="17"/>
      <c r="M68" s="17"/>
      <c r="N68" s="17"/>
      <c r="O68" s="17"/>
      <c r="P68" s="17"/>
      <c r="Q68" s="17"/>
      <c r="R68" s="17"/>
      <c r="S68" s="15"/>
      <c r="T68" s="25">
        <v>46142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419</v>
      </c>
      <c r="D69" s="109" t="s">
        <v>236</v>
      </c>
      <c r="E69" s="15" t="s">
        <v>39</v>
      </c>
      <c r="F69" s="16"/>
      <c r="G69" s="12" t="s">
        <v>178</v>
      </c>
      <c r="H69" s="15"/>
      <c r="I69" s="15"/>
      <c r="J69" s="15"/>
      <c r="K69" s="15"/>
      <c r="L69" s="17"/>
      <c r="M69" s="17"/>
      <c r="N69" s="17"/>
      <c r="O69" s="17">
        <v>1</v>
      </c>
      <c r="P69" s="17">
        <v>1</v>
      </c>
      <c r="Q69" s="17">
        <v>1</v>
      </c>
      <c r="R69" s="17">
        <v>1</v>
      </c>
      <c r="S69" s="15"/>
      <c r="T69" s="25">
        <v>46142</v>
      </c>
      <c r="U69" s="13" t="s">
        <v>148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420</v>
      </c>
      <c r="D70" s="109" t="s">
        <v>236</v>
      </c>
      <c r="E70" s="15" t="s">
        <v>39</v>
      </c>
      <c r="F70" s="16"/>
      <c r="G70" s="12" t="s">
        <v>178</v>
      </c>
      <c r="H70" s="15"/>
      <c r="I70" s="15"/>
      <c r="J70" s="15">
        <v>1</v>
      </c>
      <c r="K70" s="15">
        <v>1</v>
      </c>
      <c r="L70" s="17"/>
      <c r="M70" s="17"/>
      <c r="N70" s="17"/>
      <c r="O70" s="17"/>
      <c r="P70" s="17"/>
      <c r="Q70" s="17"/>
      <c r="R70" s="17"/>
      <c r="S70" s="15"/>
      <c r="T70" s="25">
        <v>46142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421</v>
      </c>
      <c r="D71" s="109" t="s">
        <v>236</v>
      </c>
      <c r="E71" s="15" t="s">
        <v>133</v>
      </c>
      <c r="F71" s="16"/>
      <c r="G71" s="12" t="s">
        <v>178</v>
      </c>
      <c r="H71" s="15"/>
      <c r="I71" s="15"/>
      <c r="J71" s="15"/>
      <c r="K71" s="15"/>
      <c r="L71" s="17"/>
      <c r="M71" s="17"/>
      <c r="N71" s="17"/>
      <c r="O71" s="17">
        <v>1</v>
      </c>
      <c r="P71" s="17">
        <v>1</v>
      </c>
      <c r="Q71" s="17">
        <v>1</v>
      </c>
      <c r="R71" s="17">
        <v>1</v>
      </c>
      <c r="S71" s="15"/>
      <c r="T71" s="25">
        <v>46142</v>
      </c>
      <c r="U71" s="15" t="s">
        <v>148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422</v>
      </c>
      <c r="D72" s="109" t="s">
        <v>236</v>
      </c>
      <c r="E72" s="18" t="s">
        <v>39</v>
      </c>
      <c r="F72" s="16"/>
      <c r="G72" s="12" t="s">
        <v>178</v>
      </c>
      <c r="H72" s="15"/>
      <c r="I72" s="15"/>
      <c r="J72" s="18">
        <v>1</v>
      </c>
      <c r="K72" s="15">
        <v>1</v>
      </c>
      <c r="L72" s="19"/>
      <c r="M72" s="19"/>
      <c r="N72" s="19"/>
      <c r="O72" s="19"/>
      <c r="P72" s="19"/>
      <c r="Q72" s="19"/>
      <c r="R72" s="19"/>
      <c r="S72" s="15"/>
      <c r="T72" s="25">
        <v>46142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 t="s">
        <v>423</v>
      </c>
      <c r="D73" s="109" t="s">
        <v>236</v>
      </c>
      <c r="E73" s="18" t="s">
        <v>133</v>
      </c>
      <c r="F73" s="16"/>
      <c r="G73" s="12" t="s">
        <v>178</v>
      </c>
      <c r="H73" s="15"/>
      <c r="I73" s="15"/>
      <c r="J73" s="18"/>
      <c r="K73" s="15"/>
      <c r="L73" s="19"/>
      <c r="M73" s="19"/>
      <c r="N73" s="19"/>
      <c r="O73" s="19">
        <v>1</v>
      </c>
      <c r="P73" s="19">
        <v>1</v>
      </c>
      <c r="Q73" s="19">
        <v>1</v>
      </c>
      <c r="R73" s="19">
        <v>1</v>
      </c>
      <c r="S73" s="15"/>
      <c r="T73" s="25">
        <v>46142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 t="s">
        <v>424</v>
      </c>
      <c r="D74" s="109" t="s">
        <v>236</v>
      </c>
      <c r="E74" s="18" t="s">
        <v>39</v>
      </c>
      <c r="F74" s="16"/>
      <c r="G74" s="12" t="s">
        <v>178</v>
      </c>
      <c r="H74" s="15"/>
      <c r="I74" s="15"/>
      <c r="J74" s="18">
        <v>1</v>
      </c>
      <c r="K74" s="15">
        <v>1</v>
      </c>
      <c r="L74" s="19"/>
      <c r="M74" s="19"/>
      <c r="N74" s="19"/>
      <c r="O74" s="19"/>
      <c r="P74" s="19"/>
      <c r="Q74" s="19"/>
      <c r="R74" s="19"/>
      <c r="S74" s="15"/>
      <c r="T74" s="25">
        <v>46142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 t="s">
        <v>425</v>
      </c>
      <c r="D75" s="109" t="s">
        <v>236</v>
      </c>
      <c r="E75" s="18" t="s">
        <v>133</v>
      </c>
      <c r="F75" s="16"/>
      <c r="G75" s="12" t="s">
        <v>178</v>
      </c>
      <c r="H75" s="15"/>
      <c r="I75" s="15"/>
      <c r="J75" s="18"/>
      <c r="K75" s="15"/>
      <c r="L75" s="19"/>
      <c r="M75" s="19"/>
      <c r="N75" s="19"/>
      <c r="O75" s="19">
        <v>1</v>
      </c>
      <c r="P75" s="19">
        <v>1</v>
      </c>
      <c r="Q75" s="19">
        <v>1</v>
      </c>
      <c r="R75" s="19">
        <v>1</v>
      </c>
      <c r="S75" s="15"/>
      <c r="T75" s="26">
        <v>46142</v>
      </c>
      <c r="U75" s="15" t="s">
        <v>148</v>
      </c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6" t="s">
        <v>426</v>
      </c>
      <c r="D76" s="109" t="s">
        <v>236</v>
      </c>
      <c r="E76" s="18" t="s">
        <v>39</v>
      </c>
      <c r="F76" s="16"/>
      <c r="G76" s="12" t="s">
        <v>178</v>
      </c>
      <c r="H76" s="15"/>
      <c r="I76" s="15"/>
      <c r="J76" s="18">
        <v>1</v>
      </c>
      <c r="K76" s="15">
        <v>1</v>
      </c>
      <c r="L76" s="19"/>
      <c r="M76" s="19"/>
      <c r="N76" s="19"/>
      <c r="O76" s="19"/>
      <c r="P76" s="19"/>
      <c r="Q76" s="19"/>
      <c r="R76" s="19"/>
      <c r="S76" s="15"/>
      <c r="T76" s="26">
        <v>46142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6" t="s">
        <v>427</v>
      </c>
      <c r="D77" s="110" t="s">
        <v>236</v>
      </c>
      <c r="E77" s="18" t="s">
        <v>133</v>
      </c>
      <c r="F77" s="16"/>
      <c r="G77" s="18" t="s">
        <v>178</v>
      </c>
      <c r="H77" s="15"/>
      <c r="I77" s="15"/>
      <c r="J77" s="18"/>
      <c r="K77" s="15"/>
      <c r="L77" s="19"/>
      <c r="M77" s="19"/>
      <c r="N77" s="19"/>
      <c r="O77" s="19">
        <v>1</v>
      </c>
      <c r="P77" s="19">
        <v>1</v>
      </c>
      <c r="Q77" s="19">
        <v>1</v>
      </c>
      <c r="R77" s="19">
        <v>1</v>
      </c>
      <c r="S77" s="15"/>
      <c r="T77" s="26">
        <v>46142</v>
      </c>
      <c r="U77" s="15" t="s">
        <v>148</v>
      </c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6" t="s">
        <v>428</v>
      </c>
      <c r="D78" s="106" t="s">
        <v>184</v>
      </c>
      <c r="E78" s="15" t="s">
        <v>40</v>
      </c>
      <c r="F78" s="16"/>
      <c r="G78" s="15" t="s">
        <v>178</v>
      </c>
      <c r="H78" s="15"/>
      <c r="I78" s="15"/>
      <c r="J78" s="15"/>
      <c r="K78" s="15"/>
      <c r="L78" s="17"/>
      <c r="M78" s="17"/>
      <c r="N78" s="17"/>
      <c r="O78" s="17">
        <v>1</v>
      </c>
      <c r="P78" s="17">
        <v>1</v>
      </c>
      <c r="Q78" s="17"/>
      <c r="R78" s="17"/>
      <c r="S78" s="15"/>
      <c r="T78" s="26">
        <v>46130</v>
      </c>
      <c r="U78" s="15" t="s">
        <v>148</v>
      </c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 t="s">
        <v>429</v>
      </c>
      <c r="D79" s="109" t="s">
        <v>181</v>
      </c>
      <c r="E79" s="18" t="s">
        <v>36</v>
      </c>
      <c r="F79" s="16"/>
      <c r="G79" s="18" t="s">
        <v>178</v>
      </c>
      <c r="H79" s="15"/>
      <c r="I79" s="15"/>
      <c r="J79" s="18">
        <v>1</v>
      </c>
      <c r="K79" s="15">
        <v>1</v>
      </c>
      <c r="L79" s="19"/>
      <c r="M79" s="19"/>
      <c r="N79" s="19"/>
      <c r="O79" s="19"/>
      <c r="P79" s="19"/>
      <c r="Q79" s="19"/>
      <c r="R79" s="19"/>
      <c r="S79" s="15"/>
      <c r="T79" s="25">
        <v>46131</v>
      </c>
      <c r="U79" s="15" t="s">
        <v>146</v>
      </c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 t="s">
        <v>430</v>
      </c>
      <c r="D80" s="110" t="s">
        <v>181</v>
      </c>
      <c r="E80" s="18" t="s">
        <v>37</v>
      </c>
      <c r="F80" s="16"/>
      <c r="G80" s="18" t="s">
        <v>178</v>
      </c>
      <c r="H80" s="15"/>
      <c r="I80" s="15"/>
      <c r="J80" s="18">
        <v>1</v>
      </c>
      <c r="K80" s="15">
        <v>1</v>
      </c>
      <c r="L80" s="19"/>
      <c r="M80" s="19"/>
      <c r="N80" s="19"/>
      <c r="O80" s="19"/>
      <c r="P80" s="19"/>
      <c r="Q80" s="19"/>
      <c r="R80" s="19"/>
      <c r="S80" s="15"/>
      <c r="T80" s="25">
        <v>46131</v>
      </c>
      <c r="U80" s="15" t="s">
        <v>146</v>
      </c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18</v>
      </c>
      <c r="D88" s="112"/>
      <c r="E88" s="29"/>
      <c r="F88" s="29" t="s">
        <v>34</v>
      </c>
      <c r="G88" s="29">
        <f>COUNTIF(G63:G87,"S")</f>
        <v>18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9</v>
      </c>
      <c r="L88" s="29">
        <f t="shared" si="2"/>
        <v>0</v>
      </c>
      <c r="M88" s="29">
        <f t="shared" si="2"/>
        <v>1</v>
      </c>
      <c r="N88" s="29">
        <f t="shared" si="2"/>
        <v>1</v>
      </c>
      <c r="O88" s="29">
        <f t="shared" si="2"/>
        <v>6</v>
      </c>
      <c r="P88" s="29">
        <f t="shared" si="2"/>
        <v>6</v>
      </c>
      <c r="Q88" s="29">
        <f t="shared" si="2"/>
        <v>5</v>
      </c>
      <c r="R88" s="29">
        <f t="shared" si="2"/>
        <v>5</v>
      </c>
      <c r="S88" s="29">
        <f t="shared" si="2"/>
        <v>2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35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AYG136</v>
      </c>
      <c r="B91" s="24">
        <f>B1</f>
        <v>46105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23.4</v>
      </c>
      <c r="C93" s="85" t="s">
        <v>432</v>
      </c>
      <c r="D93" s="109" t="s">
        <v>184</v>
      </c>
      <c r="E93" s="15" t="s">
        <v>37</v>
      </c>
      <c r="F93" s="14"/>
      <c r="G93" s="12" t="s">
        <v>178</v>
      </c>
      <c r="H93" s="13"/>
      <c r="I93" s="13"/>
      <c r="J93" s="13"/>
      <c r="K93" s="13"/>
      <c r="L93" s="13"/>
      <c r="M93" s="13">
        <v>1</v>
      </c>
      <c r="N93" s="13">
        <v>1</v>
      </c>
      <c r="O93" s="13"/>
      <c r="P93" s="13"/>
      <c r="Q93" s="13">
        <v>1</v>
      </c>
      <c r="R93" s="13"/>
      <c r="S93" s="13"/>
      <c r="T93" s="25">
        <v>46125</v>
      </c>
      <c r="U93" s="13" t="s">
        <v>147</v>
      </c>
      <c r="V93">
        <v>1</v>
      </c>
      <c r="X93" s="51" t="s">
        <v>106</v>
      </c>
      <c r="Y93" s="52">
        <f>COUNTIF(U93:U117,"K")</f>
        <v>7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433</v>
      </c>
      <c r="D94" s="109" t="s">
        <v>185</v>
      </c>
      <c r="E94" s="15" t="s">
        <v>39</v>
      </c>
      <c r="F94" s="16"/>
      <c r="G94" s="12" t="s">
        <v>178</v>
      </c>
      <c r="H94" s="15"/>
      <c r="I94" s="15"/>
      <c r="J94" s="13">
        <v>1</v>
      </c>
      <c r="K94" s="15">
        <v>1</v>
      </c>
      <c r="L94" s="13"/>
      <c r="M94" s="17"/>
      <c r="N94" s="17"/>
      <c r="O94" s="17"/>
      <c r="P94" s="17"/>
      <c r="Q94" s="17"/>
      <c r="R94" s="17"/>
      <c r="S94" s="15"/>
      <c r="T94" s="25">
        <v>46138</v>
      </c>
      <c r="U94" s="13" t="s">
        <v>146</v>
      </c>
      <c r="V94">
        <v>2</v>
      </c>
      <c r="X94" s="51" t="s">
        <v>107</v>
      </c>
      <c r="Y94" s="52">
        <f>COUNTIF(U93:U117,"R")</f>
        <v>3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434</v>
      </c>
      <c r="D95" s="109">
        <v>1183</v>
      </c>
      <c r="E95" s="15" t="s">
        <v>40</v>
      </c>
      <c r="F95" s="16"/>
      <c r="G95" s="12" t="s">
        <v>178</v>
      </c>
      <c r="H95" s="15"/>
      <c r="I95" s="15"/>
      <c r="J95" s="13"/>
      <c r="K95" s="15"/>
      <c r="L95" s="13"/>
      <c r="M95" s="17"/>
      <c r="N95" s="17"/>
      <c r="O95" s="17">
        <v>1</v>
      </c>
      <c r="P95" s="17">
        <v>1</v>
      </c>
      <c r="Q95" s="17"/>
      <c r="R95" s="17"/>
      <c r="S95" s="15"/>
      <c r="T95" s="25">
        <v>46152</v>
      </c>
      <c r="U95" s="13" t="s">
        <v>148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436</v>
      </c>
      <c r="D96" s="109" t="s">
        <v>435</v>
      </c>
      <c r="E96" s="15" t="s">
        <v>42</v>
      </c>
      <c r="F96" s="16"/>
      <c r="G96" s="12" t="s">
        <v>178</v>
      </c>
      <c r="H96" s="15"/>
      <c r="I96" s="15"/>
      <c r="J96" s="13"/>
      <c r="K96" s="15"/>
      <c r="L96" s="13"/>
      <c r="M96" s="17"/>
      <c r="N96" s="17"/>
      <c r="O96" s="17"/>
      <c r="P96" s="17"/>
      <c r="Q96" s="17"/>
      <c r="R96" s="17"/>
      <c r="S96" s="15">
        <v>1</v>
      </c>
      <c r="T96" s="25">
        <v>46152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437</v>
      </c>
      <c r="D97" s="109" t="s">
        <v>435</v>
      </c>
      <c r="E97" s="15" t="s">
        <v>41</v>
      </c>
      <c r="F97" s="16"/>
      <c r="G97" s="12" t="s">
        <v>178</v>
      </c>
      <c r="H97" s="15"/>
      <c r="I97" s="15"/>
      <c r="J97" s="13">
        <v>1</v>
      </c>
      <c r="K97" s="15"/>
      <c r="L97" s="13"/>
      <c r="M97" s="17"/>
      <c r="N97" s="17"/>
      <c r="O97" s="17"/>
      <c r="P97" s="17"/>
      <c r="Q97" s="17"/>
      <c r="R97" s="17"/>
      <c r="S97" s="15"/>
      <c r="T97" s="25">
        <v>46152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438</v>
      </c>
      <c r="D98" s="109" t="s">
        <v>187</v>
      </c>
      <c r="E98" s="15" t="s">
        <v>75</v>
      </c>
      <c r="F98" s="16"/>
      <c r="G98" s="12" t="s">
        <v>178</v>
      </c>
      <c r="H98" s="13"/>
      <c r="I98" s="15"/>
      <c r="J98" s="13"/>
      <c r="K98" s="15"/>
      <c r="L98" s="13"/>
      <c r="M98" s="17"/>
      <c r="N98" s="17"/>
      <c r="O98" s="17"/>
      <c r="P98" s="17"/>
      <c r="Q98" s="17"/>
      <c r="R98" s="17"/>
      <c r="S98" s="15"/>
      <c r="T98" s="25">
        <v>46128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439</v>
      </c>
      <c r="D99" s="109" t="s">
        <v>408</v>
      </c>
      <c r="E99" s="15" t="s">
        <v>38</v>
      </c>
      <c r="F99" s="16"/>
      <c r="G99" s="12" t="s">
        <v>178</v>
      </c>
      <c r="H99" s="15"/>
      <c r="I99" s="15"/>
      <c r="J99" s="13">
        <v>1</v>
      </c>
      <c r="K99" s="15"/>
      <c r="L99" s="13"/>
      <c r="M99" s="17"/>
      <c r="N99" s="17"/>
      <c r="O99" s="17"/>
      <c r="P99" s="17"/>
      <c r="Q99" s="17"/>
      <c r="R99" s="17"/>
      <c r="S99" s="15"/>
      <c r="T99" s="25">
        <v>46150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440</v>
      </c>
      <c r="D100" s="109" t="s">
        <v>408</v>
      </c>
      <c r="E100" s="15" t="s">
        <v>74</v>
      </c>
      <c r="F100" s="16"/>
      <c r="G100" s="12" t="s">
        <v>178</v>
      </c>
      <c r="H100" s="15"/>
      <c r="I100" s="15"/>
      <c r="J100" s="13">
        <v>1</v>
      </c>
      <c r="K100" s="15"/>
      <c r="L100" s="13"/>
      <c r="M100" s="17"/>
      <c r="N100" s="17"/>
      <c r="O100" s="17"/>
      <c r="P100" s="17"/>
      <c r="Q100" s="17"/>
      <c r="R100" s="17"/>
      <c r="S100" s="15"/>
      <c r="T100" s="25">
        <v>46145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441</v>
      </c>
      <c r="D101" s="109" t="s">
        <v>186</v>
      </c>
      <c r="E101" s="15" t="s">
        <v>36</v>
      </c>
      <c r="F101" s="16"/>
      <c r="G101" s="12" t="s">
        <v>178</v>
      </c>
      <c r="H101" s="15"/>
      <c r="I101" s="15"/>
      <c r="J101" s="13"/>
      <c r="K101" s="15"/>
      <c r="L101" s="13"/>
      <c r="M101" s="17">
        <v>1</v>
      </c>
      <c r="N101" s="17">
        <v>1</v>
      </c>
      <c r="O101" s="17"/>
      <c r="P101" s="17"/>
      <c r="Q101" s="17">
        <v>1</v>
      </c>
      <c r="R101" s="17"/>
      <c r="S101" s="15"/>
      <c r="T101" s="25">
        <v>46158</v>
      </c>
      <c r="U101" s="13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443</v>
      </c>
      <c r="D102" s="109" t="s">
        <v>442</v>
      </c>
      <c r="E102" s="15" t="s">
        <v>38</v>
      </c>
      <c r="F102" s="16"/>
      <c r="G102" s="12" t="s">
        <v>178</v>
      </c>
      <c r="H102" s="15"/>
      <c r="I102" s="15"/>
      <c r="J102" s="13">
        <v>1</v>
      </c>
      <c r="K102" s="15"/>
      <c r="L102" s="13"/>
      <c r="M102" s="17"/>
      <c r="N102" s="17"/>
      <c r="O102" s="17"/>
      <c r="P102" s="17"/>
      <c r="Q102" s="17"/>
      <c r="R102" s="17"/>
      <c r="S102" s="15"/>
      <c r="T102" s="25">
        <v>46155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444</v>
      </c>
      <c r="D103" s="109" t="s">
        <v>442</v>
      </c>
      <c r="E103" s="15" t="s">
        <v>38</v>
      </c>
      <c r="F103" s="16"/>
      <c r="G103" s="12" t="s">
        <v>178</v>
      </c>
      <c r="H103" s="15"/>
      <c r="I103" s="15"/>
      <c r="J103" s="13">
        <v>1</v>
      </c>
      <c r="K103" s="15"/>
      <c r="L103" s="13"/>
      <c r="M103" s="17"/>
      <c r="N103" s="17"/>
      <c r="O103" s="17"/>
      <c r="P103" s="17"/>
      <c r="Q103" s="17"/>
      <c r="R103" s="17"/>
      <c r="S103" s="15"/>
      <c r="T103" s="25">
        <v>46155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445</v>
      </c>
      <c r="D104" s="109" t="s">
        <v>405</v>
      </c>
      <c r="E104" s="15" t="s">
        <v>40</v>
      </c>
      <c r="F104" s="16"/>
      <c r="G104" s="12" t="s">
        <v>178</v>
      </c>
      <c r="H104" s="15"/>
      <c r="I104" s="15"/>
      <c r="J104" s="13"/>
      <c r="K104" s="15"/>
      <c r="L104" s="13"/>
      <c r="M104" s="17"/>
      <c r="N104" s="17"/>
      <c r="O104" s="17">
        <v>1</v>
      </c>
      <c r="P104" s="17">
        <v>1</v>
      </c>
      <c r="Q104" s="17"/>
      <c r="R104" s="17"/>
      <c r="S104" s="15"/>
      <c r="T104" s="25">
        <v>46152</v>
      </c>
      <c r="U104" s="13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/>
      <c r="D105" s="109"/>
      <c r="E105" s="15"/>
      <c r="F105" s="16"/>
      <c r="G105" s="12"/>
      <c r="H105" s="15"/>
      <c r="I105" s="15"/>
      <c r="J105" s="13"/>
      <c r="K105" s="15"/>
      <c r="L105" s="13"/>
      <c r="M105" s="17"/>
      <c r="N105" s="17"/>
      <c r="O105" s="17"/>
      <c r="P105" s="17"/>
      <c r="Q105" s="17"/>
      <c r="R105" s="17"/>
      <c r="S105" s="15"/>
      <c r="T105" s="25"/>
      <c r="U105" s="13"/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/>
      <c r="D106" s="109"/>
      <c r="E106" s="15"/>
      <c r="F106" s="16"/>
      <c r="G106" s="12"/>
      <c r="H106" s="15"/>
      <c r="I106" s="15"/>
      <c r="J106" s="13"/>
      <c r="K106" s="15"/>
      <c r="L106" s="13"/>
      <c r="M106" s="17"/>
      <c r="N106" s="17"/>
      <c r="O106" s="17"/>
      <c r="P106" s="17"/>
      <c r="Q106" s="17"/>
      <c r="R106" s="17"/>
      <c r="S106" s="15"/>
      <c r="T106" s="25"/>
      <c r="U106" s="13"/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/>
      <c r="D107" s="109"/>
      <c r="E107" s="15"/>
      <c r="F107" s="16"/>
      <c r="G107" s="12"/>
      <c r="H107" s="15"/>
      <c r="I107" s="15"/>
      <c r="J107" s="13"/>
      <c r="K107" s="15"/>
      <c r="L107" s="13"/>
      <c r="M107" s="17"/>
      <c r="N107" s="17"/>
      <c r="O107" s="17"/>
      <c r="P107" s="17"/>
      <c r="Q107" s="17"/>
      <c r="R107" s="17"/>
      <c r="S107" s="15"/>
      <c r="T107" s="25"/>
      <c r="U107" s="13"/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12</v>
      </c>
      <c r="D118" s="112"/>
      <c r="E118" s="29"/>
      <c r="F118" s="29" t="s">
        <v>34</v>
      </c>
      <c r="G118" s="29">
        <f>COUNTIF(G93:G117,"S")</f>
        <v>12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6</v>
      </c>
      <c r="K118" s="29">
        <f t="shared" ref="K118" si="4">SUM(K93:K117)</f>
        <v>1</v>
      </c>
      <c r="L118" s="29">
        <f t="shared" ref="L118" si="5">SUM(L93:L117)</f>
        <v>0</v>
      </c>
      <c r="M118" s="29">
        <f t="shared" ref="M118" si="6">SUM(M93:M117)</f>
        <v>2</v>
      </c>
      <c r="N118" s="29">
        <f t="shared" ref="N118" si="7">SUM(N93:N117)</f>
        <v>2</v>
      </c>
      <c r="O118" s="29">
        <f t="shared" ref="O118" si="8">SUM(O93:O117)</f>
        <v>2</v>
      </c>
      <c r="P118" s="29">
        <f t="shared" ref="P118" si="9">SUM(P93:P117)</f>
        <v>2</v>
      </c>
      <c r="Q118" s="29">
        <f t="shared" ref="Q118" si="10">SUM(Q93:Q117)</f>
        <v>2</v>
      </c>
      <c r="R118" s="29">
        <f t="shared" ref="R118" si="11">SUM(R93:R117)</f>
        <v>0</v>
      </c>
      <c r="S118" s="29">
        <f t="shared" ref="S118" si="12">SUM(S93:S117)</f>
        <v>1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AYG136</v>
      </c>
      <c r="B121" s="24">
        <f>B1</f>
        <v>46105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23.6</v>
      </c>
      <c r="C123" s="85" t="s">
        <v>446</v>
      </c>
      <c r="D123" s="109" t="s">
        <v>182</v>
      </c>
      <c r="E123" s="15" t="s">
        <v>36</v>
      </c>
      <c r="F123" s="14"/>
      <c r="G123" s="12" t="s">
        <v>178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46135</v>
      </c>
      <c r="U123" s="13" t="s">
        <v>147</v>
      </c>
      <c r="V123">
        <v>1</v>
      </c>
      <c r="X123" s="51" t="s">
        <v>106</v>
      </c>
      <c r="Y123" s="52">
        <f>COUNTIF(U123:U147,"K")</f>
        <v>11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448</v>
      </c>
      <c r="D124" s="109" t="s">
        <v>447</v>
      </c>
      <c r="E124" s="15" t="s">
        <v>39</v>
      </c>
      <c r="F124" s="16"/>
      <c r="G124" s="12" t="s">
        <v>178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/>
      <c r="P124" s="17"/>
      <c r="Q124" s="17"/>
      <c r="R124" s="17"/>
      <c r="S124" s="15"/>
      <c r="T124" s="25">
        <v>46135</v>
      </c>
      <c r="U124" s="13" t="s">
        <v>142</v>
      </c>
      <c r="V124">
        <v>2</v>
      </c>
      <c r="X124" s="51" t="s">
        <v>107</v>
      </c>
      <c r="Y124" s="52">
        <f>COUNTIF(U123:U147,"R")</f>
        <v>7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449</v>
      </c>
      <c r="D125" s="109" t="s">
        <v>447</v>
      </c>
      <c r="E125" s="15" t="s">
        <v>133</v>
      </c>
      <c r="F125" s="16"/>
      <c r="G125" s="12" t="s">
        <v>178</v>
      </c>
      <c r="H125" s="15"/>
      <c r="I125" s="15"/>
      <c r="J125" s="13"/>
      <c r="K125" s="13"/>
      <c r="L125" s="13"/>
      <c r="M125" s="17"/>
      <c r="N125" s="17"/>
      <c r="O125" s="17">
        <v>1</v>
      </c>
      <c r="P125" s="17"/>
      <c r="Q125" s="17"/>
      <c r="R125" s="17"/>
      <c r="S125" s="15"/>
      <c r="T125" s="25">
        <v>46135</v>
      </c>
      <c r="U125" s="13" t="s">
        <v>148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450</v>
      </c>
      <c r="D126" s="109" t="s">
        <v>447</v>
      </c>
      <c r="E126" s="15" t="s">
        <v>41</v>
      </c>
      <c r="F126" s="16"/>
      <c r="G126" s="12" t="s">
        <v>178</v>
      </c>
      <c r="H126" s="15"/>
      <c r="I126" s="15"/>
      <c r="J126" s="15"/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46135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451</v>
      </c>
      <c r="D127" s="109" t="s">
        <v>179</v>
      </c>
      <c r="E127" s="15" t="s">
        <v>37</v>
      </c>
      <c r="F127" s="16"/>
      <c r="G127" s="12" t="s">
        <v>178</v>
      </c>
      <c r="H127" s="15"/>
      <c r="I127" s="15"/>
      <c r="J127" s="13">
        <v>1</v>
      </c>
      <c r="K127" s="13">
        <v>1</v>
      </c>
      <c r="L127" s="13"/>
      <c r="M127" s="17"/>
      <c r="N127" s="17"/>
      <c r="O127" s="17"/>
      <c r="P127" s="17"/>
      <c r="Q127" s="17"/>
      <c r="R127" s="17"/>
      <c r="S127" s="15"/>
      <c r="T127" s="25">
        <v>46120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452</v>
      </c>
      <c r="D128" s="109" t="s">
        <v>179</v>
      </c>
      <c r="E128" s="15" t="s">
        <v>38</v>
      </c>
      <c r="F128" s="16"/>
      <c r="G128" s="12" t="s">
        <v>178</v>
      </c>
      <c r="H128" s="13"/>
      <c r="I128" s="15"/>
      <c r="J128" s="15">
        <v>1</v>
      </c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46127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453</v>
      </c>
      <c r="D129" s="109" t="s">
        <v>192</v>
      </c>
      <c r="E129" s="15" t="s">
        <v>36</v>
      </c>
      <c r="F129" s="16"/>
      <c r="G129" s="12" t="s">
        <v>178</v>
      </c>
      <c r="H129" s="15"/>
      <c r="I129" s="15"/>
      <c r="J129" s="13">
        <v>1</v>
      </c>
      <c r="K129" s="13">
        <v>1</v>
      </c>
      <c r="L129" s="13"/>
      <c r="M129" s="17"/>
      <c r="N129" s="17"/>
      <c r="O129" s="17"/>
      <c r="P129" s="17"/>
      <c r="Q129" s="17"/>
      <c r="R129" s="17"/>
      <c r="S129" s="15"/>
      <c r="T129" s="25">
        <v>46134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454</v>
      </c>
      <c r="D130" s="109" t="s">
        <v>191</v>
      </c>
      <c r="E130" s="15" t="s">
        <v>39</v>
      </c>
      <c r="F130" s="16"/>
      <c r="G130" s="12" t="s">
        <v>178</v>
      </c>
      <c r="H130" s="15"/>
      <c r="I130" s="15"/>
      <c r="J130" s="15"/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46150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455</v>
      </c>
      <c r="D131" s="109" t="s">
        <v>191</v>
      </c>
      <c r="E131" s="15" t="s">
        <v>39</v>
      </c>
      <c r="F131" s="16"/>
      <c r="G131" s="12" t="s">
        <v>178</v>
      </c>
      <c r="H131" s="15"/>
      <c r="I131" s="15"/>
      <c r="J131" s="13"/>
      <c r="K131" s="13">
        <v>1</v>
      </c>
      <c r="L131" s="13"/>
      <c r="M131" s="17"/>
      <c r="N131" s="17"/>
      <c r="O131" s="17"/>
      <c r="P131" s="17"/>
      <c r="Q131" s="17"/>
      <c r="R131" s="17"/>
      <c r="S131" s="15"/>
      <c r="T131" s="25">
        <v>46150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 t="s">
        <v>456</v>
      </c>
      <c r="D132" s="109" t="s">
        <v>191</v>
      </c>
      <c r="E132" s="15" t="s">
        <v>39</v>
      </c>
      <c r="F132" s="16"/>
      <c r="G132" s="12" t="s">
        <v>178</v>
      </c>
      <c r="H132" s="15"/>
      <c r="I132" s="15"/>
      <c r="J132" s="15"/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46150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 t="s">
        <v>457</v>
      </c>
      <c r="D133" s="109" t="s">
        <v>179</v>
      </c>
      <c r="E133" s="15" t="s">
        <v>75</v>
      </c>
      <c r="F133" s="16"/>
      <c r="G133" s="12" t="s">
        <v>178</v>
      </c>
      <c r="H133" s="15"/>
      <c r="I133" s="15"/>
      <c r="J133" s="13"/>
      <c r="K133" s="13"/>
      <c r="L133" s="13"/>
      <c r="M133" s="17"/>
      <c r="N133" s="17"/>
      <c r="O133" s="17"/>
      <c r="P133" s="17"/>
      <c r="Q133" s="17"/>
      <c r="R133" s="17"/>
      <c r="S133" s="15"/>
      <c r="T133" s="25">
        <v>46126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 t="s">
        <v>458</v>
      </c>
      <c r="D134" s="109" t="s">
        <v>179</v>
      </c>
      <c r="E134" s="15" t="s">
        <v>38</v>
      </c>
      <c r="F134" s="16"/>
      <c r="G134" s="12" t="s">
        <v>178</v>
      </c>
      <c r="H134" s="15"/>
      <c r="I134" s="15"/>
      <c r="J134" s="15"/>
      <c r="K134" s="15"/>
      <c r="L134" s="17"/>
      <c r="M134" s="17">
        <v>1</v>
      </c>
      <c r="N134" s="17">
        <v>1</v>
      </c>
      <c r="O134" s="17"/>
      <c r="P134" s="17"/>
      <c r="Q134" s="17">
        <v>1</v>
      </c>
      <c r="R134" s="17"/>
      <c r="S134" s="15"/>
      <c r="T134" s="25">
        <v>46130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 t="s">
        <v>459</v>
      </c>
      <c r="D135" s="109" t="s">
        <v>192</v>
      </c>
      <c r="E135" s="15" t="s">
        <v>75</v>
      </c>
      <c r="F135" s="16"/>
      <c r="G135" s="12" t="s">
        <v>178</v>
      </c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>
        <v>46137</v>
      </c>
      <c r="U135" s="132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 t="s">
        <v>460</v>
      </c>
      <c r="D136" s="109" t="s">
        <v>179</v>
      </c>
      <c r="E136" s="15" t="s">
        <v>36</v>
      </c>
      <c r="F136" s="16"/>
      <c r="G136" s="12" t="s">
        <v>178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46132</v>
      </c>
      <c r="U136" s="15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 t="s">
        <v>461</v>
      </c>
      <c r="D137" s="109" t="s">
        <v>188</v>
      </c>
      <c r="E137" s="15" t="s">
        <v>36</v>
      </c>
      <c r="F137" s="16"/>
      <c r="G137" s="15" t="s">
        <v>178</v>
      </c>
      <c r="H137" s="15"/>
      <c r="I137" s="15"/>
      <c r="J137" s="15"/>
      <c r="K137" s="15">
        <v>1</v>
      </c>
      <c r="L137" s="17"/>
      <c r="M137" s="17"/>
      <c r="N137" s="17"/>
      <c r="O137" s="17"/>
      <c r="P137" s="17"/>
      <c r="Q137" s="17"/>
      <c r="R137" s="17"/>
      <c r="S137" s="15"/>
      <c r="T137" s="25">
        <v>46132</v>
      </c>
      <c r="U137" s="15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 t="s">
        <v>463</v>
      </c>
      <c r="D138" s="106" t="s">
        <v>462</v>
      </c>
      <c r="E138" s="15" t="s">
        <v>37</v>
      </c>
      <c r="F138" s="16"/>
      <c r="G138" s="12" t="s">
        <v>178</v>
      </c>
      <c r="H138" s="15"/>
      <c r="I138" s="15"/>
      <c r="J138" s="18">
        <v>1</v>
      </c>
      <c r="K138" s="15">
        <v>1</v>
      </c>
      <c r="L138" s="19"/>
      <c r="M138" s="19"/>
      <c r="N138" s="13"/>
      <c r="O138" s="19"/>
      <c r="P138" s="19"/>
      <c r="Q138" s="19"/>
      <c r="R138" s="19"/>
      <c r="S138" s="15"/>
      <c r="T138" s="25">
        <v>46134</v>
      </c>
      <c r="U138" s="13" t="s">
        <v>146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 t="s">
        <v>464</v>
      </c>
      <c r="D139" s="106" t="s">
        <v>462</v>
      </c>
      <c r="E139" s="15" t="s">
        <v>44</v>
      </c>
      <c r="F139" s="16"/>
      <c r="G139" s="12" t="s">
        <v>178</v>
      </c>
      <c r="H139" s="15"/>
      <c r="I139" s="15"/>
      <c r="J139" s="18">
        <v>1</v>
      </c>
      <c r="K139" s="15">
        <v>1</v>
      </c>
      <c r="L139" s="19"/>
      <c r="M139" s="19"/>
      <c r="N139" s="13"/>
      <c r="O139" s="19"/>
      <c r="P139" s="19"/>
      <c r="Q139" s="19"/>
      <c r="R139" s="19"/>
      <c r="S139" s="15"/>
      <c r="T139" s="26">
        <v>46134</v>
      </c>
      <c r="U139" s="13" t="s">
        <v>146</v>
      </c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 t="s">
        <v>465</v>
      </c>
      <c r="D140" s="106" t="s">
        <v>462</v>
      </c>
      <c r="E140" s="15" t="s">
        <v>38</v>
      </c>
      <c r="F140" s="16"/>
      <c r="G140" s="12" t="s">
        <v>178</v>
      </c>
      <c r="H140" s="15"/>
      <c r="I140" s="15"/>
      <c r="J140" s="18">
        <v>1</v>
      </c>
      <c r="K140" s="15">
        <v>1</v>
      </c>
      <c r="L140" s="19"/>
      <c r="M140" s="19"/>
      <c r="N140" s="13"/>
      <c r="O140" s="19"/>
      <c r="P140" s="19"/>
      <c r="Q140" s="19"/>
      <c r="R140" s="19"/>
      <c r="S140" s="15"/>
      <c r="T140" s="26">
        <v>46134</v>
      </c>
      <c r="U140" s="13" t="s">
        <v>146</v>
      </c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 t="s">
        <v>466</v>
      </c>
      <c r="D141" s="106" t="s">
        <v>186</v>
      </c>
      <c r="E141" s="106" t="s">
        <v>37</v>
      </c>
      <c r="F141" s="16"/>
      <c r="G141" s="12" t="s">
        <v>178</v>
      </c>
      <c r="H141" s="15"/>
      <c r="I141" s="15"/>
      <c r="J141" s="18">
        <v>1</v>
      </c>
      <c r="K141" s="15">
        <v>1</v>
      </c>
      <c r="L141" s="19"/>
      <c r="M141" s="19"/>
      <c r="N141" s="19"/>
      <c r="O141" s="19"/>
      <c r="P141" s="19"/>
      <c r="Q141" s="19"/>
      <c r="R141" s="19"/>
      <c r="S141" s="15"/>
      <c r="T141" s="25">
        <v>46128</v>
      </c>
      <c r="U141" s="13" t="s">
        <v>146</v>
      </c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 t="s">
        <v>476</v>
      </c>
      <c r="D142" s="106" t="s">
        <v>184</v>
      </c>
      <c r="E142" s="106" t="s">
        <v>40</v>
      </c>
      <c r="F142" s="16"/>
      <c r="G142" s="12" t="s">
        <v>178</v>
      </c>
      <c r="H142" s="15"/>
      <c r="I142" s="15"/>
      <c r="J142" s="18"/>
      <c r="K142" s="15"/>
      <c r="L142" s="19"/>
      <c r="M142" s="19"/>
      <c r="N142" s="19"/>
      <c r="O142" s="19">
        <v>1</v>
      </c>
      <c r="P142" s="19">
        <v>1</v>
      </c>
      <c r="Q142" s="19"/>
      <c r="R142" s="19"/>
      <c r="S142" s="15"/>
      <c r="T142" s="25">
        <v>46130</v>
      </c>
      <c r="U142" s="13" t="s">
        <v>148</v>
      </c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20</v>
      </c>
      <c r="D148" s="112"/>
      <c r="E148" s="29"/>
      <c r="F148" s="29" t="s">
        <v>34</v>
      </c>
      <c r="G148" s="29">
        <f>COUNTIF(G123:G147,"S")</f>
        <v>20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12</v>
      </c>
      <c r="L148" s="29">
        <f t="shared" ref="L148" si="15">SUM(L123:L147)</f>
        <v>0</v>
      </c>
      <c r="M148" s="29">
        <f t="shared" ref="M148" si="16">SUM(M123:M147)</f>
        <v>3</v>
      </c>
      <c r="N148" s="29">
        <f t="shared" ref="N148" si="17">SUM(N123:N147)</f>
        <v>3</v>
      </c>
      <c r="O148" s="29">
        <f t="shared" ref="O148" si="18">SUM(O123:O147)</f>
        <v>2</v>
      </c>
      <c r="P148" s="29">
        <f t="shared" ref="P148" si="19">SUM(P123:P147)</f>
        <v>1</v>
      </c>
      <c r="Q148" s="29">
        <f t="shared" ref="Q148" si="20">SUM(Q123:Q147)</f>
        <v>3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32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AYG136</v>
      </c>
      <c r="B151" s="24">
        <f>B1</f>
        <v>46105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/>
      <c r="C153" s="85"/>
      <c r="D153" s="109"/>
      <c r="E153" s="13"/>
      <c r="F153" s="14"/>
      <c r="G153" s="12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26"/>
      <c r="U153" s="13"/>
      <c r="V153">
        <v>1</v>
      </c>
      <c r="X153" s="51" t="s">
        <v>106</v>
      </c>
      <c r="Y153" s="52">
        <f>COUNTIF(U153:U177,"K")</f>
        <v>0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/>
      <c r="D154" s="109"/>
      <c r="E154" s="13"/>
      <c r="F154" s="16"/>
      <c r="G154" s="12"/>
      <c r="H154" s="15"/>
      <c r="I154" s="15"/>
      <c r="J154" s="15"/>
      <c r="K154" s="15"/>
      <c r="L154" s="17"/>
      <c r="M154" s="17"/>
      <c r="N154" s="17"/>
      <c r="O154" s="17"/>
      <c r="P154" s="17"/>
      <c r="Q154" s="17"/>
      <c r="R154" s="17"/>
      <c r="S154" s="15"/>
      <c r="T154" s="26"/>
      <c r="U154" s="13"/>
      <c r="V154">
        <v>2</v>
      </c>
      <c r="X154" s="51" t="s">
        <v>107</v>
      </c>
      <c r="Y154" s="52">
        <f>COUNTIF(U153:U177,"R")</f>
        <v>0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/>
      <c r="D155" s="109"/>
      <c r="E155" s="13"/>
      <c r="F155" s="16"/>
      <c r="G155" s="12"/>
      <c r="H155" s="13"/>
      <c r="I155" s="15"/>
      <c r="J155" s="13"/>
      <c r="K155" s="13"/>
      <c r="L155" s="13"/>
      <c r="M155" s="17"/>
      <c r="N155" s="17"/>
      <c r="O155" s="17"/>
      <c r="P155" s="17"/>
      <c r="Q155" s="17"/>
      <c r="R155" s="17"/>
      <c r="S155" s="15"/>
      <c r="T155" s="26"/>
      <c r="U155" s="13"/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/>
      <c r="D156" s="109"/>
      <c r="E156" s="13"/>
      <c r="F156" s="16"/>
      <c r="G156" s="12"/>
      <c r="H156" s="15"/>
      <c r="I156" s="15"/>
      <c r="J156" s="15"/>
      <c r="K156" s="15"/>
      <c r="L156" s="17"/>
      <c r="M156" s="17"/>
      <c r="N156" s="17"/>
      <c r="O156" s="17"/>
      <c r="P156" s="17"/>
      <c r="Q156" s="17"/>
      <c r="R156" s="17"/>
      <c r="S156" s="15"/>
      <c r="T156" s="26"/>
      <c r="U156" s="13"/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/>
      <c r="D157" s="109"/>
      <c r="E157" s="13"/>
      <c r="F157" s="16"/>
      <c r="G157" s="12"/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/>
      <c r="T157" s="26"/>
      <c r="U157" s="13"/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/>
      <c r="D158" s="109"/>
      <c r="E158" s="13"/>
      <c r="F158" s="16"/>
      <c r="G158" s="12"/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/>
      <c r="T158" s="26"/>
      <c r="U158" s="13"/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/>
      <c r="D159" s="109"/>
      <c r="E159" s="13"/>
      <c r="F159" s="16"/>
      <c r="G159" s="12"/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/>
      <c r="T159" s="26"/>
      <c r="U159" s="13"/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/>
      <c r="D160" s="109"/>
      <c r="E160" s="13"/>
      <c r="F160" s="16"/>
      <c r="G160" s="12"/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6"/>
      <c r="U160" s="13"/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/>
      <c r="D161" s="109"/>
      <c r="E161" s="13"/>
      <c r="F161" s="16"/>
      <c r="G161" s="12"/>
      <c r="H161" s="15"/>
      <c r="I161" s="15"/>
      <c r="J161" s="13"/>
      <c r="K161" s="15"/>
      <c r="L161" s="13"/>
      <c r="M161" s="17"/>
      <c r="N161" s="17"/>
      <c r="O161" s="17"/>
      <c r="P161" s="17"/>
      <c r="Q161" s="17"/>
      <c r="R161" s="17"/>
      <c r="S161" s="15"/>
      <c r="T161" s="26"/>
      <c r="U161" s="13"/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/>
      <c r="D162" s="109"/>
      <c r="E162" s="13"/>
      <c r="F162" s="138"/>
      <c r="G162" s="12"/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/>
      <c r="U162" s="13"/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/>
      <c r="D163" s="109"/>
      <c r="E163" s="13"/>
      <c r="F163" s="16"/>
      <c r="G163" s="12"/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6"/>
      <c r="U163" s="13"/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/>
      <c r="D164" s="109"/>
      <c r="E164" s="13"/>
      <c r="F164" s="16"/>
      <c r="G164" s="12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6"/>
      <c r="U164" s="13"/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/>
      <c r="D165" s="109"/>
      <c r="E165" s="13"/>
      <c r="F165" s="16"/>
      <c r="G165" s="12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6"/>
      <c r="U165" s="13"/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/>
      <c r="D166" s="109"/>
      <c r="E166" s="13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6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0</v>
      </c>
      <c r="D178" s="112"/>
      <c r="E178" s="29"/>
      <c r="F178" s="29" t="s">
        <v>34</v>
      </c>
      <c r="G178" s="29">
        <f>COUNTIF(G153:G177,"S")</f>
        <v>0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0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0</v>
      </c>
      <c r="N178" s="29">
        <f t="shared" ref="N178" si="27">SUM(N153:N177)</f>
        <v>0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0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/>
      <c r="C183" s="85"/>
      <c r="D183" s="110"/>
      <c r="E183" s="18"/>
      <c r="F183" s="16"/>
      <c r="G183" s="18"/>
      <c r="H183" s="15"/>
      <c r="I183" s="15"/>
      <c r="J183" s="18"/>
      <c r="K183" s="15"/>
      <c r="L183" s="18"/>
      <c r="M183" s="19"/>
      <c r="N183" s="19"/>
      <c r="O183" s="19"/>
      <c r="P183" s="19"/>
      <c r="Q183" s="19"/>
      <c r="R183" s="19"/>
      <c r="S183" s="15"/>
      <c r="T183" s="25"/>
      <c r="U183" s="15"/>
      <c r="V183">
        <v>1</v>
      </c>
      <c r="X183" s="51" t="s">
        <v>106</v>
      </c>
      <c r="Y183" s="52">
        <f>COUNTIF(U183:U207,"K")</f>
        <v>0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/>
      <c r="D184" s="110"/>
      <c r="E184" s="18"/>
      <c r="F184" s="16"/>
      <c r="G184" s="18"/>
      <c r="H184" s="15"/>
      <c r="I184" s="15"/>
      <c r="J184" s="18"/>
      <c r="K184" s="15"/>
      <c r="L184" s="18"/>
      <c r="M184" s="19"/>
      <c r="N184" s="19"/>
      <c r="O184" s="19"/>
      <c r="P184" s="19"/>
      <c r="Q184" s="19"/>
      <c r="R184" s="19"/>
      <c r="S184" s="132"/>
      <c r="T184" s="25"/>
      <c r="U184" s="15"/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/>
      <c r="D185" s="110"/>
      <c r="E185" s="18"/>
      <c r="F185" s="16"/>
      <c r="G185" s="18"/>
      <c r="H185" s="15"/>
      <c r="I185" s="15"/>
      <c r="J185" s="18"/>
      <c r="K185" s="15"/>
      <c r="L185" s="18"/>
      <c r="M185" s="17"/>
      <c r="N185" s="17"/>
      <c r="O185" s="17"/>
      <c r="P185" s="17"/>
      <c r="Q185" s="17"/>
      <c r="R185" s="17"/>
      <c r="S185" s="15"/>
      <c r="T185" s="25"/>
      <c r="U185" s="15"/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/>
      <c r="D186" s="110"/>
      <c r="E186" s="18"/>
      <c r="F186" s="16"/>
      <c r="G186" s="18"/>
      <c r="H186" s="15"/>
      <c r="I186" s="15"/>
      <c r="J186" s="18"/>
      <c r="K186" s="15"/>
      <c r="L186" s="18"/>
      <c r="M186" s="17"/>
      <c r="N186" s="17"/>
      <c r="O186" s="17"/>
      <c r="P186" s="17"/>
      <c r="Q186" s="17"/>
      <c r="R186" s="17"/>
      <c r="S186" s="15"/>
      <c r="T186" s="25"/>
      <c r="U186" s="15"/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/>
      <c r="D187" s="110"/>
      <c r="E187" s="18"/>
      <c r="F187" s="16"/>
      <c r="G187" s="18"/>
      <c r="H187" s="15"/>
      <c r="I187" s="15"/>
      <c r="J187" s="18"/>
      <c r="K187" s="15"/>
      <c r="L187" s="18"/>
      <c r="M187" s="17"/>
      <c r="N187" s="17"/>
      <c r="O187" s="17"/>
      <c r="P187" s="17"/>
      <c r="Q187" s="17"/>
      <c r="R187" s="17"/>
      <c r="S187" s="15"/>
      <c r="T187" s="25"/>
      <c r="U187" s="15"/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/>
      <c r="D188" s="110"/>
      <c r="E188" s="18"/>
      <c r="F188" s="16"/>
      <c r="G188" s="18"/>
      <c r="H188" s="13"/>
      <c r="I188" s="15"/>
      <c r="J188" s="18"/>
      <c r="K188" s="15"/>
      <c r="L188" s="18"/>
      <c r="M188" s="17"/>
      <c r="N188" s="17"/>
      <c r="O188" s="17"/>
      <c r="P188" s="17"/>
      <c r="Q188" s="17"/>
      <c r="R188" s="17"/>
      <c r="S188" s="15"/>
      <c r="T188" s="25"/>
      <c r="U188" s="15"/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/>
      <c r="D189" s="110"/>
      <c r="E189" s="18"/>
      <c r="F189" s="16"/>
      <c r="G189" s="18"/>
      <c r="H189" s="15"/>
      <c r="I189" s="15"/>
      <c r="J189" s="18"/>
      <c r="K189" s="15"/>
      <c r="L189" s="18"/>
      <c r="M189" s="17"/>
      <c r="N189" s="17"/>
      <c r="O189" s="17"/>
      <c r="P189" s="17"/>
      <c r="Q189" s="17"/>
      <c r="R189" s="17"/>
      <c r="S189" s="15"/>
      <c r="T189" s="25"/>
      <c r="U189" s="15"/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/>
      <c r="D190" s="110"/>
      <c r="E190" s="18"/>
      <c r="F190" s="16"/>
      <c r="G190" s="18"/>
      <c r="H190" s="15"/>
      <c r="I190" s="15"/>
      <c r="J190" s="18"/>
      <c r="K190" s="15"/>
      <c r="L190" s="18"/>
      <c r="M190" s="17"/>
      <c r="N190" s="17"/>
      <c r="O190" s="17"/>
      <c r="P190" s="17"/>
      <c r="Q190" s="17"/>
      <c r="R190" s="17"/>
      <c r="S190" s="15"/>
      <c r="T190" s="25"/>
      <c r="U190" s="15"/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/>
      <c r="D191" s="110"/>
      <c r="E191" s="18"/>
      <c r="F191" s="16"/>
      <c r="G191" s="18"/>
      <c r="H191" s="15"/>
      <c r="I191" s="15"/>
      <c r="J191" s="18"/>
      <c r="K191" s="15"/>
      <c r="L191" s="18"/>
      <c r="M191" s="17"/>
      <c r="N191" s="17"/>
      <c r="O191" s="17"/>
      <c r="P191" s="17"/>
      <c r="Q191" s="17"/>
      <c r="R191" s="17"/>
      <c r="S191" s="15"/>
      <c r="T191" s="25"/>
      <c r="U191" s="15"/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/>
      <c r="D192" s="110"/>
      <c r="E192" s="18"/>
      <c r="F192" s="16"/>
      <c r="G192" s="18"/>
      <c r="H192" s="15"/>
      <c r="I192" s="15"/>
      <c r="J192" s="18"/>
      <c r="K192" s="15"/>
      <c r="L192" s="18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/>
      <c r="D193" s="110"/>
      <c r="E193" s="18"/>
      <c r="F193" s="16"/>
      <c r="G193" s="18"/>
      <c r="H193" s="15"/>
      <c r="I193" s="15"/>
      <c r="J193" s="18"/>
      <c r="K193" s="15"/>
      <c r="L193" s="18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/>
      <c r="D194" s="110"/>
      <c r="E194" s="18"/>
      <c r="F194" s="16"/>
      <c r="G194" s="18"/>
      <c r="H194" s="15"/>
      <c r="I194" s="15"/>
      <c r="J194" s="18"/>
      <c r="K194" s="15"/>
      <c r="L194" s="18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/>
      <c r="D195" s="110"/>
      <c r="E195" s="18"/>
      <c r="F195" s="16"/>
      <c r="G195" s="18"/>
      <c r="H195" s="15"/>
      <c r="I195" s="15"/>
      <c r="J195" s="18"/>
      <c r="K195" s="15"/>
      <c r="L195" s="18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/>
      <c r="D196" s="110"/>
      <c r="E196" s="18"/>
      <c r="F196" s="16"/>
      <c r="G196" s="18"/>
      <c r="H196" s="15"/>
      <c r="I196" s="15"/>
      <c r="J196" s="18"/>
      <c r="K196" s="15"/>
      <c r="L196" s="18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/>
      <c r="D197" s="110"/>
      <c r="E197" s="18"/>
      <c r="F197" s="16"/>
      <c r="G197" s="18"/>
      <c r="H197" s="15"/>
      <c r="I197" s="15"/>
      <c r="J197" s="18"/>
      <c r="K197" s="15"/>
      <c r="L197" s="18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/>
      <c r="D198" s="110"/>
      <c r="E198" s="18"/>
      <c r="F198" s="16"/>
      <c r="G198" s="18"/>
      <c r="H198" s="15"/>
      <c r="I198" s="15"/>
      <c r="J198" s="18"/>
      <c r="K198" s="15"/>
      <c r="L198" s="18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0</v>
      </c>
      <c r="D208" s="112"/>
      <c r="E208" s="29"/>
      <c r="F208" s="29" t="s">
        <v>34</v>
      </c>
      <c r="G208" s="29">
        <f>COUNTIF(G183:G207,"S")</f>
        <v>0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0</v>
      </c>
      <c r="K208" s="29">
        <f t="shared" ref="K208" si="34">SUM(K183:K207)</f>
        <v>0</v>
      </c>
      <c r="L208" s="29">
        <f t="shared" ref="L208" si="35">SUM(L183:L207)</f>
        <v>0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0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0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AYG136</v>
      </c>
      <c r="B211" s="24">
        <f>B1</f>
        <v>46105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/>
      <c r="C213" s="85"/>
      <c r="D213" s="106"/>
      <c r="E213" s="15"/>
      <c r="F213" s="16"/>
      <c r="G213" s="15"/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/>
      <c r="T213" s="25"/>
      <c r="U213" s="15"/>
      <c r="V213">
        <v>1</v>
      </c>
      <c r="X213" s="51" t="s">
        <v>106</v>
      </c>
      <c r="Y213" s="52">
        <f>COUNTIF(U213:U237,"K")</f>
        <v>0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/>
      <c r="D214" s="106"/>
      <c r="E214" s="15"/>
      <c r="F214" s="16"/>
      <c r="G214" s="15"/>
      <c r="H214" s="15"/>
      <c r="I214" s="15"/>
      <c r="J214" s="15"/>
      <c r="K214" s="15"/>
      <c r="L214" s="15"/>
      <c r="M214" s="19"/>
      <c r="N214" s="19"/>
      <c r="O214" s="19"/>
      <c r="P214" s="19"/>
      <c r="Q214" s="19"/>
      <c r="R214" s="19"/>
      <c r="S214" s="15"/>
      <c r="T214" s="25"/>
      <c r="U214" s="15"/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/>
      <c r="D215" s="106"/>
      <c r="E215" s="15"/>
      <c r="F215" s="16"/>
      <c r="G215" s="15"/>
      <c r="H215" s="15"/>
      <c r="I215" s="15"/>
      <c r="J215" s="15"/>
      <c r="K215" s="15"/>
      <c r="L215" s="15"/>
      <c r="M215" s="19"/>
      <c r="N215" s="19"/>
      <c r="O215" s="19"/>
      <c r="P215" s="19"/>
      <c r="Q215" s="19"/>
      <c r="R215" s="19"/>
      <c r="S215" s="15"/>
      <c r="T215" s="25"/>
      <c r="U215" s="15"/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/>
      <c r="D216" s="106"/>
      <c r="E216" s="15"/>
      <c r="F216" s="16"/>
      <c r="G216" s="15"/>
      <c r="H216" s="15"/>
      <c r="I216" s="15"/>
      <c r="J216" s="15"/>
      <c r="K216" s="15"/>
      <c r="L216" s="15"/>
      <c r="M216" s="19"/>
      <c r="N216" s="19"/>
      <c r="O216" s="19"/>
      <c r="P216" s="19"/>
      <c r="Q216" s="19"/>
      <c r="R216" s="19"/>
      <c r="S216" s="15"/>
      <c r="T216" s="25"/>
      <c r="U216" s="15"/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/>
      <c r="D217" s="106"/>
      <c r="E217" s="15"/>
      <c r="F217" s="16"/>
      <c r="G217" s="15"/>
      <c r="H217" s="15"/>
      <c r="I217" s="15"/>
      <c r="J217" s="15"/>
      <c r="K217" s="15"/>
      <c r="L217" s="15"/>
      <c r="M217" s="19"/>
      <c r="N217" s="19"/>
      <c r="O217" s="19"/>
      <c r="P217" s="19"/>
      <c r="Q217" s="19"/>
      <c r="R217" s="19"/>
      <c r="S217" s="15"/>
      <c r="T217" s="25"/>
      <c r="U217" s="15"/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/>
      <c r="D218" s="106"/>
      <c r="E218" s="15"/>
      <c r="F218" s="16"/>
      <c r="G218" s="15"/>
      <c r="H218" s="15"/>
      <c r="I218" s="15"/>
      <c r="J218" s="15"/>
      <c r="K218" s="15"/>
      <c r="L218" s="15"/>
      <c r="M218" s="19"/>
      <c r="N218" s="19"/>
      <c r="O218" s="19"/>
      <c r="P218" s="19"/>
      <c r="Q218" s="19"/>
      <c r="R218" s="19"/>
      <c r="S218" s="15"/>
      <c r="T218" s="25"/>
      <c r="U218" s="15"/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/>
      <c r="D219" s="106"/>
      <c r="E219" s="15"/>
      <c r="F219" s="16"/>
      <c r="G219" s="15"/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/>
      <c r="U219" s="15"/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/>
      <c r="D220" s="106"/>
      <c r="E220" s="15"/>
      <c r="F220" s="16"/>
      <c r="G220" s="15"/>
      <c r="H220" s="15"/>
      <c r="I220" s="15"/>
      <c r="J220" s="15"/>
      <c r="K220" s="15"/>
      <c r="L220" s="15"/>
      <c r="M220" s="17"/>
      <c r="N220" s="17"/>
      <c r="O220" s="17"/>
      <c r="P220" s="17"/>
      <c r="Q220" s="17"/>
      <c r="R220" s="17"/>
      <c r="S220" s="15"/>
      <c r="T220" s="25"/>
      <c r="U220" s="15"/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/>
      <c r="D221" s="106"/>
      <c r="E221" s="15"/>
      <c r="F221" s="16"/>
      <c r="G221" s="15"/>
      <c r="H221" s="15"/>
      <c r="I221" s="15"/>
      <c r="J221" s="15"/>
      <c r="K221" s="15"/>
      <c r="L221" s="15"/>
      <c r="M221" s="17"/>
      <c r="N221" s="17"/>
      <c r="O221" s="17"/>
      <c r="P221" s="17"/>
      <c r="Q221" s="17"/>
      <c r="R221" s="17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/>
      <c r="D222" s="106"/>
      <c r="E222" s="15"/>
      <c r="F222" s="138"/>
      <c r="G222" s="15"/>
      <c r="H222" s="15"/>
      <c r="I222" s="15"/>
      <c r="J222" s="15"/>
      <c r="K222" s="15"/>
      <c r="L222" s="15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/>
      <c r="D223" s="106"/>
      <c r="E223" s="15"/>
      <c r="F223" s="16"/>
      <c r="G223" s="15"/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/>
      <c r="T223" s="25"/>
      <c r="U223" s="15"/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/>
      <c r="D224" s="106"/>
      <c r="E224" s="15"/>
      <c r="F224" s="16"/>
      <c r="G224" s="15"/>
      <c r="H224" s="15"/>
      <c r="I224" s="15"/>
      <c r="J224" s="15"/>
      <c r="K224" s="15"/>
      <c r="L224" s="15"/>
      <c r="M224" s="17"/>
      <c r="N224" s="17"/>
      <c r="O224" s="17"/>
      <c r="P224" s="17"/>
      <c r="Q224" s="17"/>
      <c r="R224" s="17"/>
      <c r="S224" s="15"/>
      <c r="T224" s="25"/>
      <c r="U224" s="15"/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/>
      <c r="D225" s="106"/>
      <c r="E225" s="15"/>
      <c r="F225" s="16"/>
      <c r="G225" s="15"/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/>
      <c r="D226" s="106"/>
      <c r="E226" s="15"/>
      <c r="F226" s="16"/>
      <c r="G226" s="15"/>
      <c r="H226" s="15"/>
      <c r="I226" s="15"/>
      <c r="J226" s="15"/>
      <c r="K226" s="15"/>
      <c r="L226" s="15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/>
      <c r="D227" s="106"/>
      <c r="E227" s="15"/>
      <c r="F227" s="16"/>
      <c r="G227" s="15"/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/>
      <c r="D228" s="106"/>
      <c r="E228" s="106"/>
      <c r="F228" s="16"/>
      <c r="G228" s="15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0</v>
      </c>
      <c r="D238" s="112"/>
      <c r="E238" s="29"/>
      <c r="F238" s="29" t="s">
        <v>34</v>
      </c>
      <c r="G238" s="29">
        <f>COUNTIF(G213:G237,"S")</f>
        <v>0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0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AYG136</v>
      </c>
      <c r="B241" s="24">
        <f>B1</f>
        <v>46105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/>
      <c r="C243" s="85"/>
      <c r="D243" s="106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/>
      <c r="D244" s="106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/>
      <c r="D245" s="106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/>
      <c r="D246" s="106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/>
      <c r="D247" s="106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/>
      <c r="D248" s="106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3"/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/>
      <c r="D249" s="106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/>
      <c r="D250" s="106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/>
      <c r="D251" s="106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/>
      <c r="D252" s="106"/>
      <c r="E252" s="106"/>
      <c r="F252" s="138"/>
      <c r="G252" s="137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/>
      <c r="D253" s="106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/>
      <c r="D254" s="106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/>
      <c r="D255" s="106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0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AYG136</v>
      </c>
      <c r="B271" s="24">
        <f>B1</f>
        <v>46105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/>
      <c r="D279" s="109"/>
      <c r="E279" s="13"/>
      <c r="F279" s="16"/>
      <c r="G279" s="12"/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/>
      <c r="D280" s="109"/>
      <c r="E280" s="13"/>
      <c r="F280" s="16"/>
      <c r="G280" s="12"/>
      <c r="H280" s="15"/>
      <c r="I280" s="15"/>
      <c r="J280" s="15"/>
      <c r="K280" s="15"/>
      <c r="L280" s="15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/>
      <c r="D281" s="109"/>
      <c r="E281" s="13"/>
      <c r="F281" s="16"/>
      <c r="G281" s="12"/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/>
      <c r="D282" s="109"/>
      <c r="E282" s="13"/>
      <c r="F282" s="16"/>
      <c r="G282" s="12"/>
      <c r="H282" s="15"/>
      <c r="I282" s="15"/>
      <c r="J282" s="15"/>
      <c r="K282" s="15"/>
      <c r="L282" s="15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/>
      <c r="D283" s="109"/>
      <c r="E283" s="13"/>
      <c r="F283" s="16"/>
      <c r="G283" s="12"/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AYG136</v>
      </c>
      <c r="B301" s="24">
        <f>B1</f>
        <v>46105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AYG136</v>
      </c>
      <c r="B331" s="24">
        <f>B151</f>
        <v>46105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H2069"/>
  <sheetViews>
    <sheetView zoomScaleNormal="100" workbookViewId="0">
      <selection sqref="A1:E27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59" width="16.625" customWidth="1"/>
    <col min="60" max="60" width="11" customWidth="1"/>
    <col min="61" max="61" width="10.5" style="121" customWidth="1"/>
    <col min="62" max="62" width="10.25" style="121" customWidth="1"/>
    <col min="63" max="63" width="10.875" style="121" customWidth="1"/>
    <col min="64" max="77" width="16.625" customWidth="1"/>
    <col min="78" max="78" width="20.5" customWidth="1"/>
    <col min="83" max="83" width="12.375" customWidth="1"/>
    <col min="84" max="84" width="11.25" customWidth="1"/>
    <col min="85" max="85" width="10.5" customWidth="1"/>
    <col min="86" max="86" width="10.25" customWidth="1"/>
  </cols>
  <sheetData>
    <row r="1" spans="1:82" x14ac:dyDescent="0.4">
      <c r="A1" s="120" t="s">
        <v>431</v>
      </c>
      <c r="B1" s="121"/>
      <c r="C1" s="121"/>
      <c r="D1" s="121"/>
      <c r="AA1" t="s">
        <v>143</v>
      </c>
      <c r="AB1" t="s">
        <v>144</v>
      </c>
      <c r="BB1" t="s">
        <v>143</v>
      </c>
      <c r="BC1" t="s">
        <v>144</v>
      </c>
      <c r="BH1" s="120"/>
      <c r="BZ1" t="s">
        <v>143</v>
      </c>
      <c r="CA1" t="s">
        <v>144</v>
      </c>
    </row>
    <row r="2" spans="1:82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AA2" s="25">
        <v>46118</v>
      </c>
      <c r="AB2" s="13" t="s">
        <v>146</v>
      </c>
      <c r="AQ2" s="127"/>
      <c r="AR2" s="29"/>
      <c r="BB2" s="25">
        <v>45669</v>
      </c>
      <c r="BC2" s="13" t="s">
        <v>147</v>
      </c>
      <c r="BH2" s="116"/>
      <c r="BI2" s="123"/>
      <c r="BJ2" s="123"/>
      <c r="BK2" s="123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25">
        <v>45258</v>
      </c>
      <c r="CA2" s="13" t="s">
        <v>162</v>
      </c>
      <c r="CD2" s="114"/>
    </row>
    <row r="3" spans="1:82" ht="20.100000000000001" customHeight="1" x14ac:dyDescent="0.4">
      <c r="A3" s="117">
        <v>46118</v>
      </c>
      <c r="B3" s="123">
        <v>1</v>
      </c>
      <c r="C3" s="123"/>
      <c r="D3" s="123"/>
      <c r="Z3" s="115" t="s">
        <v>193</v>
      </c>
      <c r="AA3" s="13">
        <f>SUBTOTAL(3,AA2:AA2)</f>
        <v>1</v>
      </c>
      <c r="AB3" s="13">
        <f>SUBTOTAL(3,AB2:AB2)</f>
        <v>1</v>
      </c>
      <c r="AQ3" s="127"/>
      <c r="AR3" s="29"/>
      <c r="BB3" s="25"/>
      <c r="BC3" s="13"/>
      <c r="BH3" s="116"/>
      <c r="BI3" s="123"/>
      <c r="BJ3" s="123"/>
      <c r="BK3" s="123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25"/>
      <c r="CA3" s="13"/>
      <c r="CD3" s="114"/>
    </row>
    <row r="4" spans="1:82" ht="20.100000000000001" customHeight="1" x14ac:dyDescent="0.4">
      <c r="A4" s="117">
        <v>46120</v>
      </c>
      <c r="B4" s="123">
        <v>1</v>
      </c>
      <c r="C4" s="123"/>
      <c r="D4" s="123"/>
      <c r="X4" s="115"/>
      <c r="Y4" s="115"/>
      <c r="Z4" s="115"/>
      <c r="AA4" s="25">
        <v>46120</v>
      </c>
      <c r="AB4" s="13" t="s">
        <v>146</v>
      </c>
      <c r="AQ4" s="127"/>
      <c r="AR4" s="29"/>
      <c r="BB4" s="25"/>
      <c r="BC4" s="13"/>
      <c r="BH4" s="116"/>
      <c r="BI4" s="123"/>
      <c r="BJ4" s="123"/>
      <c r="BK4" s="123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25"/>
      <c r="CA4" s="13"/>
      <c r="CD4" s="114"/>
    </row>
    <row r="5" spans="1:82" ht="20.100000000000001" customHeight="1" x14ac:dyDescent="0.4">
      <c r="A5" s="117">
        <v>46123</v>
      </c>
      <c r="B5" s="123"/>
      <c r="C5" s="123">
        <v>1</v>
      </c>
      <c r="D5" s="123"/>
      <c r="X5" s="115"/>
      <c r="Y5" s="115"/>
      <c r="Z5" s="115" t="s">
        <v>189</v>
      </c>
      <c r="AA5" s="13">
        <f>SUBTOTAL(3,AA4:AA4)</f>
        <v>1</v>
      </c>
      <c r="AB5" s="13">
        <f>SUBTOTAL(3,AB4:AB4)</f>
        <v>1</v>
      </c>
      <c r="AQ5" s="127"/>
      <c r="AR5" s="29"/>
      <c r="BB5" s="25"/>
      <c r="BC5" s="13"/>
      <c r="BH5" s="116"/>
      <c r="BI5" s="123"/>
      <c r="BJ5" s="123"/>
      <c r="BK5" s="123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25"/>
      <c r="CA5" s="13"/>
      <c r="CD5" s="114"/>
    </row>
    <row r="6" spans="1:82" ht="20.100000000000001" customHeight="1" x14ac:dyDescent="0.4">
      <c r="A6" s="117">
        <v>46125</v>
      </c>
      <c r="B6" s="123">
        <v>6</v>
      </c>
      <c r="C6" s="123">
        <v>4</v>
      </c>
      <c r="D6" s="123"/>
      <c r="X6" s="115"/>
      <c r="Y6" s="115"/>
      <c r="Z6" s="115"/>
      <c r="AA6" s="25">
        <v>46123</v>
      </c>
      <c r="AB6" s="13" t="s">
        <v>147</v>
      </c>
      <c r="AQ6" s="127"/>
      <c r="AR6" s="29"/>
      <c r="BB6" s="25"/>
      <c r="BC6" s="13"/>
      <c r="BH6" s="116"/>
      <c r="BI6" s="123"/>
      <c r="BJ6" s="123"/>
      <c r="BK6" s="123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25"/>
      <c r="CA6" s="13"/>
      <c r="CD6" s="114"/>
    </row>
    <row r="7" spans="1:82" ht="20.100000000000001" customHeight="1" x14ac:dyDescent="0.4">
      <c r="A7" s="117">
        <v>46126</v>
      </c>
      <c r="B7" s="123">
        <v>1</v>
      </c>
      <c r="C7" s="123">
        <v>2</v>
      </c>
      <c r="D7" s="123"/>
      <c r="X7" s="115"/>
      <c r="Y7" s="115"/>
      <c r="Z7" s="115" t="s">
        <v>190</v>
      </c>
      <c r="AA7" s="13">
        <f>SUBTOTAL(3,AA6:AA6)</f>
        <v>1</v>
      </c>
      <c r="AB7" s="13">
        <f>SUBTOTAL(3,AB6:AB6)</f>
        <v>1</v>
      </c>
      <c r="AQ7" s="127"/>
      <c r="AR7" s="29"/>
      <c r="BB7" s="25"/>
      <c r="BC7" s="13"/>
      <c r="BH7" s="116"/>
      <c r="BI7" s="123"/>
      <c r="BJ7" s="123"/>
      <c r="BK7" s="123"/>
      <c r="BP7" s="115"/>
      <c r="BQ7" s="115"/>
      <c r="BR7" s="115"/>
      <c r="BS7" s="115"/>
      <c r="BT7" s="115"/>
      <c r="BU7" s="115"/>
      <c r="BV7" s="115"/>
      <c r="BW7" s="115"/>
      <c r="BX7" s="115"/>
      <c r="BY7" s="115"/>
      <c r="BZ7" s="25"/>
      <c r="CA7" s="13"/>
      <c r="CD7" s="114"/>
    </row>
    <row r="8" spans="1:82" ht="20.100000000000001" customHeight="1" x14ac:dyDescent="0.4">
      <c r="A8" s="117">
        <v>46127</v>
      </c>
      <c r="B8" s="123">
        <v>1</v>
      </c>
      <c r="C8" s="123">
        <v>4</v>
      </c>
      <c r="D8" s="123"/>
      <c r="W8" s="115"/>
      <c r="X8" s="115"/>
      <c r="Y8" s="115"/>
      <c r="Z8" s="115"/>
      <c r="AA8" s="25">
        <v>46125</v>
      </c>
      <c r="AB8" s="13" t="s">
        <v>146</v>
      </c>
      <c r="AQ8" s="127"/>
      <c r="AR8" s="29"/>
      <c r="BB8" s="25"/>
      <c r="BC8" s="13"/>
      <c r="BH8" s="116"/>
      <c r="BI8" s="123"/>
      <c r="BJ8" s="123"/>
      <c r="BK8" s="123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25"/>
      <c r="CA8" s="13"/>
      <c r="CD8" s="114"/>
    </row>
    <row r="9" spans="1:82" ht="20.100000000000001" customHeight="1" x14ac:dyDescent="0.4">
      <c r="A9" s="117">
        <v>46128</v>
      </c>
      <c r="B9" s="123">
        <v>1</v>
      </c>
      <c r="C9" s="123">
        <v>1</v>
      </c>
      <c r="D9" s="123"/>
      <c r="W9" s="115"/>
      <c r="X9" s="115"/>
      <c r="Y9" s="115"/>
      <c r="Z9" s="115"/>
      <c r="AA9" s="25">
        <v>46125</v>
      </c>
      <c r="AB9" s="13" t="s">
        <v>146</v>
      </c>
      <c r="AQ9" s="127"/>
      <c r="AR9" s="29"/>
      <c r="BB9" s="25"/>
      <c r="BC9" s="13"/>
      <c r="BH9" s="116"/>
      <c r="BI9" s="123"/>
      <c r="BJ9" s="123"/>
      <c r="BK9" s="123"/>
      <c r="BP9" s="115"/>
      <c r="BQ9" s="115"/>
      <c r="BR9" s="115"/>
      <c r="BS9" s="115"/>
      <c r="BT9" s="115"/>
      <c r="BU9" s="115"/>
      <c r="BV9" s="115"/>
      <c r="BW9" s="115"/>
      <c r="BX9" s="115"/>
      <c r="BY9" s="115"/>
      <c r="BZ9" s="25"/>
      <c r="CA9" s="13"/>
      <c r="CD9" s="114"/>
    </row>
    <row r="10" spans="1:82" ht="20.100000000000001" customHeight="1" x14ac:dyDescent="0.4">
      <c r="A10" s="117">
        <v>46130</v>
      </c>
      <c r="B10" s="123">
        <v>1</v>
      </c>
      <c r="C10" s="123">
        <v>1</v>
      </c>
      <c r="D10" s="123">
        <v>2</v>
      </c>
      <c r="W10" s="115"/>
      <c r="X10" s="115"/>
      <c r="Y10" s="115"/>
      <c r="Z10" s="115"/>
      <c r="AA10" s="25">
        <v>46125</v>
      </c>
      <c r="AB10" s="13" t="s">
        <v>146</v>
      </c>
      <c r="AQ10" s="127"/>
      <c r="AR10" s="29"/>
      <c r="BB10" s="25"/>
      <c r="BC10" s="13"/>
      <c r="BH10" s="116"/>
      <c r="BI10" s="123"/>
      <c r="BJ10" s="123"/>
      <c r="BK10" s="123"/>
      <c r="BP10" s="115"/>
      <c r="BQ10" s="115"/>
      <c r="BR10" s="115"/>
      <c r="BS10" s="115"/>
      <c r="BT10" s="115"/>
      <c r="BU10" s="115"/>
      <c r="BV10" s="115"/>
      <c r="BW10" s="115"/>
      <c r="BX10" s="115"/>
      <c r="BY10" s="115"/>
      <c r="BZ10" s="25"/>
      <c r="CA10" s="13"/>
      <c r="CD10" s="114"/>
    </row>
    <row r="11" spans="1:82" ht="20.100000000000001" customHeight="1" x14ac:dyDescent="0.4">
      <c r="A11" s="117">
        <v>46131</v>
      </c>
      <c r="B11" s="123">
        <v>3</v>
      </c>
      <c r="C11" s="123"/>
      <c r="D11" s="123"/>
      <c r="W11" s="115"/>
      <c r="X11" s="115"/>
      <c r="Y11" s="115"/>
      <c r="Z11" s="115"/>
      <c r="AA11" s="25">
        <v>46125</v>
      </c>
      <c r="AB11" s="13" t="s">
        <v>146</v>
      </c>
      <c r="AQ11" s="127"/>
      <c r="AR11" s="29"/>
      <c r="BB11" s="25"/>
      <c r="BC11" s="13"/>
      <c r="BH11" s="116"/>
      <c r="BI11" s="123"/>
      <c r="BJ11" s="123"/>
      <c r="BK11" s="123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25"/>
      <c r="CA11" s="13"/>
      <c r="CD11" s="114"/>
    </row>
    <row r="12" spans="1:82" ht="20.100000000000001" customHeight="1" x14ac:dyDescent="0.4">
      <c r="A12" s="117">
        <v>46132</v>
      </c>
      <c r="B12" s="123">
        <v>1</v>
      </c>
      <c r="C12" s="123">
        <v>2</v>
      </c>
      <c r="D12" s="123"/>
      <c r="V12" s="115"/>
      <c r="W12" s="115"/>
      <c r="X12" s="115"/>
      <c r="Y12" s="115"/>
      <c r="Z12" s="115"/>
      <c r="AA12" s="25">
        <v>46125</v>
      </c>
      <c r="AB12" s="13" t="s">
        <v>146</v>
      </c>
      <c r="AQ12" s="127"/>
      <c r="AR12" s="29"/>
      <c r="BB12" s="25"/>
      <c r="BC12" s="13"/>
      <c r="BH12" s="116"/>
      <c r="BI12" s="123"/>
      <c r="BJ12" s="123"/>
      <c r="BK12" s="123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25"/>
      <c r="CA12" s="13"/>
      <c r="CD12" s="114"/>
    </row>
    <row r="13" spans="1:82" ht="20.100000000000001" customHeight="1" x14ac:dyDescent="0.4">
      <c r="A13" s="117">
        <v>46134</v>
      </c>
      <c r="B13" s="123">
        <v>3</v>
      </c>
      <c r="C13" s="123">
        <v>1</v>
      </c>
      <c r="D13" s="123"/>
      <c r="U13" s="115"/>
      <c r="V13" s="115"/>
      <c r="W13" s="115"/>
      <c r="X13" s="115"/>
      <c r="Y13" s="115"/>
      <c r="Z13" s="115"/>
      <c r="AA13" s="25">
        <v>46125</v>
      </c>
      <c r="AB13" s="13" t="s">
        <v>147</v>
      </c>
      <c r="AQ13" s="127"/>
      <c r="AR13" s="29"/>
      <c r="BB13" s="25"/>
      <c r="BC13" s="13"/>
      <c r="BH13" s="116"/>
      <c r="BI13" s="123"/>
      <c r="BJ13" s="123"/>
      <c r="BK13" s="123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  <c r="BZ13" s="25"/>
      <c r="CA13" s="13"/>
      <c r="CD13" s="114"/>
    </row>
    <row r="14" spans="1:82" ht="20.100000000000001" customHeight="1" x14ac:dyDescent="0.4">
      <c r="A14" s="117">
        <v>46135</v>
      </c>
      <c r="B14" s="123">
        <v>2</v>
      </c>
      <c r="C14" s="123">
        <v>2</v>
      </c>
      <c r="D14" s="123">
        <v>1</v>
      </c>
      <c r="U14" s="115"/>
      <c r="V14" s="115"/>
      <c r="W14" s="115"/>
      <c r="X14" s="115"/>
      <c r="Y14" s="115"/>
      <c r="Z14" s="115"/>
      <c r="AA14" s="25">
        <v>46125</v>
      </c>
      <c r="AB14" s="13" t="s">
        <v>147</v>
      </c>
      <c r="AQ14" s="127"/>
      <c r="AR14" s="29"/>
      <c r="BB14" s="25"/>
      <c r="BC14" s="13"/>
      <c r="BH14" s="116"/>
      <c r="BI14" s="123"/>
      <c r="BJ14" s="123"/>
      <c r="BK14" s="123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  <c r="BZ14" s="25"/>
      <c r="CA14" s="13"/>
      <c r="CD14" s="114"/>
    </row>
    <row r="15" spans="1:82" ht="20.100000000000001" customHeight="1" x14ac:dyDescent="0.4">
      <c r="A15" s="117">
        <v>46137</v>
      </c>
      <c r="B15" s="123"/>
      <c r="C15" s="123">
        <v>1</v>
      </c>
      <c r="D15" s="123"/>
      <c r="T15" s="115"/>
      <c r="U15" s="115"/>
      <c r="V15" s="115"/>
      <c r="W15" s="115"/>
      <c r="X15" s="115"/>
      <c r="Y15" s="115"/>
      <c r="Z15" s="115"/>
      <c r="AA15" s="25">
        <v>46125</v>
      </c>
      <c r="AB15" s="13" t="s">
        <v>147</v>
      </c>
      <c r="AQ15" s="127"/>
      <c r="AR15" s="29"/>
      <c r="BB15" s="25"/>
      <c r="BC15" s="13"/>
      <c r="BH15" s="116"/>
      <c r="BI15" s="123"/>
      <c r="BJ15" s="123"/>
      <c r="BK15" s="123"/>
      <c r="BP15" s="115"/>
      <c r="BQ15" s="115"/>
      <c r="BR15" s="115"/>
      <c r="BS15" s="115"/>
      <c r="BT15" s="115"/>
      <c r="BU15" s="115"/>
      <c r="BV15" s="115"/>
      <c r="BW15" s="115"/>
      <c r="BX15" s="115"/>
      <c r="BY15" s="115"/>
      <c r="BZ15" s="25"/>
      <c r="CA15" s="13"/>
      <c r="CD15" s="114"/>
    </row>
    <row r="16" spans="1:82" ht="20.100000000000001" customHeight="1" x14ac:dyDescent="0.4">
      <c r="A16" s="117">
        <v>46138</v>
      </c>
      <c r="B16" s="123">
        <v>7</v>
      </c>
      <c r="C16" s="123"/>
      <c r="D16" s="123">
        <v>2</v>
      </c>
      <c r="T16" s="115"/>
      <c r="U16" s="115"/>
      <c r="V16" s="115"/>
      <c r="W16" s="115"/>
      <c r="X16" s="115"/>
      <c r="Y16" s="115"/>
      <c r="Z16" s="115"/>
      <c r="AA16" s="25">
        <v>46125</v>
      </c>
      <c r="AB16" s="133" t="s">
        <v>146</v>
      </c>
      <c r="AQ16" s="127"/>
      <c r="AR16" s="29"/>
      <c r="BB16" s="25"/>
      <c r="BC16" s="13"/>
      <c r="BH16" s="116"/>
      <c r="BI16" s="123"/>
      <c r="BJ16" s="123"/>
      <c r="BK16" s="123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25"/>
      <c r="CA16" s="13"/>
      <c r="CD16" s="114"/>
    </row>
    <row r="17" spans="1:82" ht="20.100000000000001" customHeight="1" x14ac:dyDescent="0.4">
      <c r="A17" s="117">
        <v>46139</v>
      </c>
      <c r="B17" s="123">
        <v>1</v>
      </c>
      <c r="C17" s="123"/>
      <c r="D17" s="123"/>
      <c r="T17" s="115"/>
      <c r="U17" s="115"/>
      <c r="V17" s="115"/>
      <c r="W17" s="115"/>
      <c r="X17" s="115"/>
      <c r="Y17" s="115"/>
      <c r="Z17" s="115"/>
      <c r="AA17" s="25">
        <v>46125</v>
      </c>
      <c r="AB17" s="13" t="s">
        <v>147</v>
      </c>
      <c r="AQ17" s="127"/>
      <c r="AR17" s="29"/>
      <c r="BB17" s="25"/>
      <c r="BC17" s="13"/>
      <c r="BH17" s="116"/>
      <c r="BI17" s="123"/>
      <c r="BJ17" s="123"/>
      <c r="BK17" s="123"/>
      <c r="BP17" s="115"/>
      <c r="BQ17" s="115"/>
      <c r="BR17" s="115"/>
      <c r="BS17" s="115"/>
      <c r="BT17" s="115"/>
      <c r="BU17" s="115"/>
      <c r="BV17" s="115"/>
      <c r="BW17" s="115"/>
      <c r="BX17" s="115"/>
      <c r="BY17" s="115"/>
      <c r="BZ17" s="25"/>
      <c r="CA17" s="13"/>
      <c r="CD17" s="114"/>
    </row>
    <row r="18" spans="1:82" ht="20.100000000000001" customHeight="1" x14ac:dyDescent="0.4">
      <c r="A18" s="117">
        <v>46140</v>
      </c>
      <c r="B18" s="123">
        <v>1</v>
      </c>
      <c r="C18" s="123"/>
      <c r="D18" s="123"/>
      <c r="T18" s="115"/>
      <c r="U18" s="115"/>
      <c r="V18" s="115"/>
      <c r="W18" s="115"/>
      <c r="X18" s="115"/>
      <c r="Y18" s="115"/>
      <c r="Z18" s="115" t="s">
        <v>194</v>
      </c>
      <c r="AA18" s="13">
        <f>SUBTOTAL(3,AA8:AA17)</f>
        <v>10</v>
      </c>
      <c r="AB18" s="13">
        <f>SUBTOTAL(3,AB8:AB17)</f>
        <v>10</v>
      </c>
      <c r="AQ18" s="127"/>
      <c r="AR18" s="29"/>
      <c r="BB18" s="25"/>
      <c r="BC18" s="13"/>
      <c r="BH18" s="116"/>
      <c r="BI18" s="123"/>
      <c r="BJ18" s="123"/>
      <c r="BK18" s="123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25"/>
      <c r="CA18" s="13"/>
      <c r="CD18" s="114"/>
    </row>
    <row r="19" spans="1:82" ht="20.100000000000001" customHeight="1" x14ac:dyDescent="0.4">
      <c r="A19" s="117">
        <v>46142</v>
      </c>
      <c r="B19" s="123">
        <v>6</v>
      </c>
      <c r="C19" s="123"/>
      <c r="D19" s="123">
        <v>6</v>
      </c>
      <c r="T19" s="115"/>
      <c r="U19" s="115"/>
      <c r="V19" s="115"/>
      <c r="W19" s="115"/>
      <c r="X19" s="115"/>
      <c r="Y19" s="115"/>
      <c r="Z19" s="115"/>
      <c r="AA19" s="25">
        <v>46126</v>
      </c>
      <c r="AB19" s="13" t="s">
        <v>147</v>
      </c>
      <c r="AQ19" s="127"/>
      <c r="AR19" s="29"/>
      <c r="BB19" s="25"/>
      <c r="BC19" s="13"/>
      <c r="BH19" s="116"/>
      <c r="BI19" s="123"/>
      <c r="BJ19" s="123"/>
      <c r="BK19" s="123"/>
      <c r="BP19" s="115"/>
      <c r="BQ19" s="115"/>
      <c r="BR19" s="115"/>
      <c r="BS19" s="115"/>
      <c r="BT19" s="115"/>
      <c r="BU19" s="115"/>
      <c r="BV19" s="115"/>
      <c r="BW19" s="115"/>
      <c r="BX19" s="115"/>
      <c r="BY19" s="115"/>
      <c r="BZ19" s="25"/>
      <c r="CA19" s="13"/>
      <c r="CD19" s="114"/>
    </row>
    <row r="20" spans="1:82" ht="20.100000000000001" customHeight="1" x14ac:dyDescent="0.4">
      <c r="A20" s="117">
        <v>46145</v>
      </c>
      <c r="B20" s="123">
        <v>1</v>
      </c>
      <c r="C20" s="123"/>
      <c r="D20" s="123"/>
      <c r="T20" s="115"/>
      <c r="U20" s="115"/>
      <c r="V20" s="115"/>
      <c r="W20" s="115"/>
      <c r="X20" s="115"/>
      <c r="Y20" s="115"/>
      <c r="Z20" s="115"/>
      <c r="AA20" s="25">
        <v>46126</v>
      </c>
      <c r="AB20" s="13" t="s">
        <v>142</v>
      </c>
      <c r="AQ20" s="127"/>
      <c r="AR20" s="29"/>
      <c r="BB20" s="25"/>
      <c r="BC20" s="13"/>
      <c r="BH20" s="116"/>
      <c r="BI20" s="123"/>
      <c r="BJ20" s="123"/>
      <c r="BK20" s="123"/>
      <c r="BP20" s="115"/>
      <c r="BQ20" s="115"/>
      <c r="BR20" s="115"/>
      <c r="BS20" s="115"/>
      <c r="BT20" s="115"/>
      <c r="BU20" s="115"/>
      <c r="BV20" s="115"/>
      <c r="BW20" s="115"/>
      <c r="BX20" s="115"/>
      <c r="BY20" s="115"/>
      <c r="BZ20" s="25"/>
      <c r="CA20" s="13"/>
      <c r="CD20" s="114"/>
    </row>
    <row r="21" spans="1:82" ht="20.100000000000001" customHeight="1" x14ac:dyDescent="0.4">
      <c r="A21" s="117">
        <v>46150</v>
      </c>
      <c r="B21" s="123">
        <v>6</v>
      </c>
      <c r="C21" s="123"/>
      <c r="D21" s="123"/>
      <c r="T21" s="115"/>
      <c r="U21" s="115"/>
      <c r="V21" s="115"/>
      <c r="W21" s="115"/>
      <c r="X21" s="115"/>
      <c r="Y21" s="115"/>
      <c r="Z21" s="115"/>
      <c r="AA21" s="25">
        <v>46126</v>
      </c>
      <c r="AB21" s="13" t="s">
        <v>147</v>
      </c>
      <c r="AQ21" s="127"/>
      <c r="AR21" s="29"/>
      <c r="BB21" s="25"/>
      <c r="BC21" s="13"/>
      <c r="BH21" s="116"/>
      <c r="BI21" s="123"/>
      <c r="BJ21" s="123"/>
      <c r="BK21" s="123"/>
      <c r="BP21" s="115"/>
      <c r="BQ21" s="115"/>
      <c r="BR21" s="115"/>
      <c r="BS21" s="115"/>
      <c r="BT21" s="115"/>
      <c r="BU21" s="115"/>
      <c r="BV21" s="115"/>
      <c r="BW21" s="115"/>
      <c r="BX21" s="115"/>
      <c r="BY21" s="115"/>
      <c r="BZ21" s="25"/>
      <c r="CA21" s="13"/>
      <c r="CD21" s="114"/>
    </row>
    <row r="22" spans="1:82" ht="20.100000000000001" customHeight="1" x14ac:dyDescent="0.4">
      <c r="A22" s="117">
        <v>46152</v>
      </c>
      <c r="B22" s="123">
        <v>2</v>
      </c>
      <c r="C22" s="123"/>
      <c r="D22" s="123">
        <v>1</v>
      </c>
      <c r="T22" s="115"/>
      <c r="U22" s="115"/>
      <c r="V22" s="115"/>
      <c r="W22" s="115"/>
      <c r="X22" s="115"/>
      <c r="Y22" s="115"/>
      <c r="Z22" s="115" t="s">
        <v>371</v>
      </c>
      <c r="AA22" s="13">
        <f>SUBTOTAL(3,AA19:AA21)</f>
        <v>3</v>
      </c>
      <c r="AB22" s="13">
        <f>SUBTOTAL(3,AB19:AB21)</f>
        <v>3</v>
      </c>
      <c r="AQ22" s="127"/>
      <c r="AR22" s="29"/>
      <c r="BB22" s="25"/>
      <c r="BC22" s="13"/>
      <c r="BH22" s="116"/>
      <c r="BI22" s="123"/>
      <c r="BJ22" s="123"/>
      <c r="BK22" s="123"/>
      <c r="BP22" s="115"/>
      <c r="BQ22" s="115"/>
      <c r="BR22" s="115"/>
      <c r="BS22" s="115"/>
      <c r="BT22" s="115"/>
      <c r="BU22" s="115"/>
      <c r="BV22" s="115"/>
      <c r="BW22" s="115"/>
      <c r="BX22" s="115"/>
      <c r="BY22" s="115"/>
      <c r="BZ22" s="25"/>
      <c r="CA22" s="13"/>
      <c r="CD22" s="114"/>
    </row>
    <row r="23" spans="1:82" ht="20.100000000000001" customHeight="1" x14ac:dyDescent="0.4">
      <c r="A23" s="117">
        <v>46155</v>
      </c>
      <c r="B23" s="139">
        <v>2</v>
      </c>
      <c r="C23" s="123"/>
      <c r="D23" s="123"/>
      <c r="S23" s="115"/>
      <c r="T23" s="115"/>
      <c r="U23" s="115"/>
      <c r="V23" s="115"/>
      <c r="W23" s="115"/>
      <c r="X23" s="115"/>
      <c r="Y23" s="115"/>
      <c r="Z23" s="115"/>
      <c r="AA23" s="25">
        <v>46127</v>
      </c>
      <c r="AB23" s="13" t="s">
        <v>147</v>
      </c>
      <c r="AQ23" s="127"/>
      <c r="AR23" s="29"/>
      <c r="BB23" s="25"/>
      <c r="BC23" s="13"/>
      <c r="BH23" s="116"/>
      <c r="BI23" s="123"/>
      <c r="BJ23" s="123"/>
      <c r="BK23" s="123"/>
      <c r="BP23" s="115"/>
      <c r="BQ23" s="115"/>
      <c r="BR23" s="115"/>
      <c r="BS23" s="115"/>
      <c r="BT23" s="115"/>
      <c r="BU23" s="115"/>
      <c r="BV23" s="115"/>
      <c r="BW23" s="115"/>
      <c r="BX23" s="115"/>
      <c r="BY23" s="115"/>
      <c r="BZ23" s="25"/>
      <c r="CA23" s="13"/>
      <c r="CD23" s="114"/>
    </row>
    <row r="24" spans="1:82" ht="20.100000000000001" customHeight="1" x14ac:dyDescent="0.4">
      <c r="A24" s="117">
        <v>46158</v>
      </c>
      <c r="B24" s="123"/>
      <c r="C24" s="123">
        <v>1</v>
      </c>
      <c r="D24" s="123"/>
      <c r="S24" s="115"/>
      <c r="T24" s="115"/>
      <c r="U24" s="115"/>
      <c r="V24" s="115"/>
      <c r="W24" s="115"/>
      <c r="X24" s="115"/>
      <c r="Y24" s="115"/>
      <c r="Z24" s="115"/>
      <c r="AA24" s="25">
        <v>46127</v>
      </c>
      <c r="AB24" s="13" t="s">
        <v>147</v>
      </c>
      <c r="AQ24" s="127"/>
      <c r="AR24" s="29"/>
      <c r="BB24" s="25"/>
      <c r="BC24" s="13"/>
      <c r="BH24" s="116"/>
      <c r="BI24" s="123"/>
      <c r="BJ24" s="123"/>
      <c r="BK24" s="123"/>
      <c r="BP24" s="115"/>
      <c r="BQ24" s="115"/>
      <c r="BR24" s="115"/>
      <c r="BS24" s="115"/>
      <c r="BT24" s="115"/>
      <c r="BU24" s="115"/>
      <c r="BV24" s="115"/>
      <c r="BW24" s="115"/>
      <c r="BX24" s="115"/>
      <c r="BY24" s="115"/>
      <c r="BZ24" s="25"/>
      <c r="CA24" s="13"/>
      <c r="CD24" s="114"/>
    </row>
    <row r="25" spans="1:82" ht="20.100000000000001" customHeight="1" x14ac:dyDescent="0.4">
      <c r="A25" s="117"/>
      <c r="B25" s="123">
        <f>SUM(B3:B24)</f>
        <v>47</v>
      </c>
      <c r="C25" s="123">
        <f>SUM(C3:C24)</f>
        <v>20</v>
      </c>
      <c r="D25" s="123">
        <f>SUM(D3:D24)</f>
        <v>12</v>
      </c>
      <c r="S25" s="115"/>
      <c r="T25" s="115"/>
      <c r="U25" s="115"/>
      <c r="V25" s="115"/>
      <c r="W25" s="115"/>
      <c r="X25" s="115"/>
      <c r="Y25" s="115"/>
      <c r="Z25" s="115"/>
      <c r="AA25" s="25">
        <v>46127</v>
      </c>
      <c r="AB25" s="13" t="s">
        <v>147</v>
      </c>
      <c r="AQ25" s="127"/>
      <c r="AR25" s="29"/>
      <c r="BB25" s="25"/>
      <c r="BC25" s="13"/>
      <c r="BH25" s="116"/>
      <c r="BI25" s="123"/>
      <c r="BJ25" s="123"/>
      <c r="BK25" s="123"/>
      <c r="BP25" s="115"/>
      <c r="BQ25" s="115"/>
      <c r="BR25" s="115"/>
      <c r="BS25" s="115"/>
      <c r="BT25" s="115"/>
      <c r="BU25" s="115"/>
      <c r="BV25" s="115"/>
      <c r="BW25" s="115"/>
      <c r="BX25" s="115"/>
      <c r="BY25" s="115"/>
      <c r="BZ25" s="25"/>
      <c r="CA25" s="13"/>
      <c r="CD25" s="114"/>
    </row>
    <row r="26" spans="1:82" ht="20.100000000000001" customHeight="1" x14ac:dyDescent="0.4">
      <c r="A26" s="117"/>
      <c r="B26" s="123"/>
      <c r="C26" s="123"/>
      <c r="D26" s="123">
        <f>SUM(B25:D25)</f>
        <v>79</v>
      </c>
      <c r="S26" s="115"/>
      <c r="T26" s="115"/>
      <c r="U26" s="115"/>
      <c r="V26" s="115"/>
      <c r="W26" s="115"/>
      <c r="X26" s="115"/>
      <c r="Y26" s="115"/>
      <c r="Z26" s="115"/>
      <c r="AA26" s="25">
        <v>46127</v>
      </c>
      <c r="AB26" s="13" t="s">
        <v>147</v>
      </c>
      <c r="AQ26" s="127"/>
      <c r="AR26" s="29"/>
      <c r="BB26" s="25"/>
      <c r="BC26" s="13"/>
      <c r="BH26" s="116"/>
      <c r="BI26" s="123"/>
      <c r="BJ26" s="123"/>
      <c r="BK26" s="123"/>
      <c r="BP26" s="115"/>
      <c r="BQ26" s="115"/>
      <c r="BR26" s="115"/>
      <c r="BS26" s="115"/>
      <c r="BT26" s="115"/>
      <c r="BU26" s="115"/>
      <c r="BV26" s="115"/>
      <c r="BW26" s="115"/>
      <c r="BX26" s="115"/>
      <c r="BY26" s="115"/>
      <c r="BZ26" s="25"/>
      <c r="CA26" s="13"/>
      <c r="CD26" s="114"/>
    </row>
    <row r="27" spans="1:82" ht="20.100000000000001" customHeight="1" x14ac:dyDescent="0.4">
      <c r="A27" s="117"/>
      <c r="B27" s="123"/>
      <c r="C27" s="123"/>
      <c r="D27" s="123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25">
        <v>46127</v>
      </c>
      <c r="AB27" s="13" t="s">
        <v>146</v>
      </c>
      <c r="AQ27" s="127"/>
      <c r="AR27" s="29"/>
      <c r="BB27" s="25"/>
      <c r="BC27" s="13"/>
      <c r="BH27" s="116"/>
      <c r="BI27" s="123"/>
      <c r="BJ27" s="123"/>
      <c r="BK27" s="123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25"/>
      <c r="CA27" s="13"/>
      <c r="CD27" s="114"/>
    </row>
    <row r="28" spans="1:82" ht="20.100000000000001" customHeight="1" x14ac:dyDescent="0.4">
      <c r="A28" s="117"/>
      <c r="B28" s="123"/>
      <c r="C28" s="123"/>
      <c r="D28" s="123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 t="s">
        <v>372</v>
      </c>
      <c r="AA28" s="13">
        <f>SUBTOTAL(3,AA23:AA27)</f>
        <v>5</v>
      </c>
      <c r="AB28" s="13">
        <f>SUBTOTAL(3,AB23:AB27)</f>
        <v>5</v>
      </c>
      <c r="AQ28" s="127"/>
      <c r="AR28" s="29"/>
      <c r="BB28" s="25"/>
      <c r="BC28" s="13"/>
      <c r="BH28" s="116"/>
      <c r="BI28" s="123"/>
      <c r="BJ28" s="123"/>
      <c r="BK28" s="123"/>
      <c r="BP28" s="115"/>
      <c r="BQ28" s="115"/>
      <c r="BR28" s="115"/>
      <c r="BS28" s="115"/>
      <c r="BT28" s="115"/>
      <c r="BU28" s="115"/>
      <c r="BV28" s="115"/>
      <c r="BW28" s="115"/>
      <c r="BX28" s="115"/>
      <c r="BY28" s="115"/>
      <c r="BZ28" s="25"/>
      <c r="CA28" s="13"/>
      <c r="CD28" s="114"/>
    </row>
    <row r="29" spans="1:82" ht="20.100000000000001" customHeight="1" x14ac:dyDescent="0.4">
      <c r="A29" s="117"/>
      <c r="B29" s="123"/>
      <c r="C29" s="123"/>
      <c r="D29" s="123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25">
        <v>46128</v>
      </c>
      <c r="AB29" s="13" t="s">
        <v>147</v>
      </c>
      <c r="AQ29" s="127"/>
      <c r="AR29" s="29"/>
      <c r="BB29" s="25"/>
      <c r="BC29" s="13"/>
      <c r="BH29" s="116"/>
      <c r="BI29" s="123"/>
      <c r="BJ29" s="123"/>
      <c r="BK29" s="123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25"/>
      <c r="CA29" s="13"/>
      <c r="CD29" s="114"/>
    </row>
    <row r="30" spans="1:82" ht="20.100000000000001" customHeight="1" x14ac:dyDescent="0.4">
      <c r="A30" s="117"/>
      <c r="B30" s="123"/>
      <c r="C30" s="123"/>
      <c r="D30" s="123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25">
        <v>46128</v>
      </c>
      <c r="AB30" s="13" t="s">
        <v>146</v>
      </c>
      <c r="AQ30" s="127"/>
      <c r="AR30" s="29"/>
      <c r="BB30" s="25"/>
      <c r="BC30" s="13"/>
      <c r="BH30" s="116"/>
      <c r="BI30" s="123"/>
      <c r="BJ30" s="123"/>
      <c r="BK30" s="123"/>
      <c r="BP30" s="115"/>
      <c r="BQ30" s="115"/>
      <c r="BR30" s="115"/>
      <c r="BS30" s="115"/>
      <c r="BT30" s="115"/>
      <c r="BU30" s="115"/>
      <c r="BV30" s="115"/>
      <c r="BW30" s="115"/>
      <c r="BX30" s="115"/>
      <c r="BY30" s="115"/>
      <c r="BZ30" s="25"/>
      <c r="CA30" s="13"/>
      <c r="CD30" s="114"/>
    </row>
    <row r="31" spans="1:82" ht="20.100000000000001" customHeight="1" x14ac:dyDescent="0.4">
      <c r="A31" s="117"/>
      <c r="B31" s="123"/>
      <c r="C31" s="123"/>
      <c r="D31" s="123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 t="s">
        <v>373</v>
      </c>
      <c r="AA31" s="13">
        <f>SUBTOTAL(3,AA29:AA30)</f>
        <v>2</v>
      </c>
      <c r="AB31" s="13">
        <f>SUBTOTAL(3,AB29:AB30)</f>
        <v>2</v>
      </c>
      <c r="AQ31" s="127"/>
      <c r="AR31" s="29"/>
      <c r="BB31" s="25"/>
      <c r="BC31" s="13"/>
      <c r="BH31" s="116"/>
      <c r="BI31" s="123"/>
      <c r="BJ31" s="123"/>
      <c r="BK31" s="123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25"/>
      <c r="CA31" s="13"/>
      <c r="CD31" s="114"/>
    </row>
    <row r="32" spans="1:82" ht="20.100000000000001" customHeight="1" x14ac:dyDescent="0.4">
      <c r="A32" s="117"/>
      <c r="B32" s="123"/>
      <c r="C32" s="123"/>
      <c r="D32" s="123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25">
        <v>46130</v>
      </c>
      <c r="AB32" s="13" t="s">
        <v>146</v>
      </c>
      <c r="AQ32" s="127"/>
      <c r="AR32" s="29"/>
      <c r="BB32" s="25"/>
      <c r="BC32" s="13"/>
      <c r="BH32" s="116"/>
      <c r="BI32" s="123"/>
      <c r="BJ32" s="123"/>
      <c r="BK32" s="123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25"/>
      <c r="CA32" s="13"/>
      <c r="CD32" s="114"/>
    </row>
    <row r="33" spans="1:82" ht="20.100000000000001" customHeight="1" x14ac:dyDescent="0.4">
      <c r="A33" s="117"/>
      <c r="B33" s="123"/>
      <c r="C33" s="123"/>
      <c r="D33" s="123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25">
        <v>46130</v>
      </c>
      <c r="AB33" s="13" t="s">
        <v>148</v>
      </c>
      <c r="AQ33" s="127"/>
      <c r="AR33" s="29"/>
      <c r="BB33" s="25"/>
      <c r="BC33" s="13"/>
      <c r="BH33" s="116"/>
      <c r="BI33" s="123"/>
      <c r="BJ33" s="123"/>
      <c r="BK33" s="123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25"/>
      <c r="CA33" s="13"/>
      <c r="CD33" s="114"/>
    </row>
    <row r="34" spans="1:82" ht="20.100000000000001" customHeight="1" x14ac:dyDescent="0.4">
      <c r="A34" s="117"/>
      <c r="B34" s="123"/>
      <c r="C34" s="123"/>
      <c r="D34" s="123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25">
        <v>46130</v>
      </c>
      <c r="AB34" s="13" t="s">
        <v>147</v>
      </c>
      <c r="AQ34" s="127"/>
      <c r="AR34" s="29"/>
      <c r="BB34" s="25"/>
      <c r="BC34" s="13"/>
      <c r="BH34" s="116"/>
      <c r="BI34" s="123"/>
      <c r="BJ34" s="123"/>
      <c r="BK34" s="123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25"/>
      <c r="CA34" s="13"/>
      <c r="CD34" s="114"/>
    </row>
    <row r="35" spans="1:82" ht="20.100000000000001" customHeight="1" x14ac:dyDescent="0.4">
      <c r="A35" s="117"/>
      <c r="B35" s="123"/>
      <c r="C35" s="123"/>
      <c r="D35" s="123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 t="s">
        <v>374</v>
      </c>
      <c r="AA35" s="13">
        <f>SUBTOTAL(3,AA32:AA34)</f>
        <v>3</v>
      </c>
      <c r="AB35" s="13">
        <f>SUBTOTAL(3,AB32:AB34)</f>
        <v>3</v>
      </c>
      <c r="AQ35" s="127"/>
      <c r="AR35" s="29"/>
      <c r="BB35" s="25"/>
      <c r="BC35" s="13"/>
      <c r="BH35" s="116"/>
      <c r="BI35" s="123"/>
      <c r="BJ35" s="123"/>
      <c r="BK35" s="123"/>
      <c r="BP35" s="115"/>
      <c r="BQ35" s="115"/>
      <c r="BR35" s="115"/>
      <c r="BS35" s="115"/>
      <c r="BT35" s="115"/>
      <c r="BU35" s="115"/>
      <c r="BV35" s="115"/>
      <c r="BW35" s="115"/>
      <c r="BX35" s="115"/>
      <c r="BY35" s="115"/>
      <c r="BZ35" s="25"/>
      <c r="CA35" s="13"/>
      <c r="CD35" s="114"/>
    </row>
    <row r="36" spans="1:82" ht="20.100000000000001" customHeight="1" x14ac:dyDescent="0.4">
      <c r="A36" s="117"/>
      <c r="B36" s="123"/>
      <c r="C36" s="123"/>
      <c r="D36" s="123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25">
        <v>46131</v>
      </c>
      <c r="AB36" s="13" t="s">
        <v>146</v>
      </c>
      <c r="AQ36" s="127"/>
      <c r="AR36" s="29"/>
      <c r="BB36" s="25"/>
      <c r="BC36" s="13"/>
      <c r="BH36" s="116"/>
      <c r="BI36" s="123"/>
      <c r="BJ36" s="123"/>
      <c r="BK36" s="123"/>
      <c r="BP36" s="115"/>
      <c r="BQ36" s="115"/>
      <c r="BR36" s="115"/>
      <c r="BS36" s="115"/>
      <c r="BT36" s="115"/>
      <c r="BU36" s="115"/>
      <c r="BV36" s="115"/>
      <c r="BW36" s="115"/>
      <c r="BX36" s="115"/>
      <c r="BY36" s="115"/>
      <c r="BZ36" s="25"/>
      <c r="CA36" s="13"/>
      <c r="CD36" s="114"/>
    </row>
    <row r="37" spans="1:82" ht="20.100000000000001" customHeight="1" x14ac:dyDescent="0.4">
      <c r="A37" s="117"/>
      <c r="B37" s="123"/>
      <c r="C37" s="123"/>
      <c r="D37" s="123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25">
        <v>46131</v>
      </c>
      <c r="AB37" s="13" t="s">
        <v>146</v>
      </c>
      <c r="AQ37" s="127"/>
      <c r="AR37" s="29"/>
      <c r="BB37" s="25"/>
      <c r="BC37" s="13"/>
      <c r="BH37" s="116"/>
      <c r="BI37" s="123"/>
      <c r="BJ37" s="123"/>
      <c r="BK37" s="123"/>
      <c r="BP37" s="115"/>
      <c r="BQ37" s="115"/>
      <c r="BR37" s="115"/>
      <c r="BS37" s="115"/>
      <c r="BT37" s="115"/>
      <c r="BU37" s="115"/>
      <c r="BV37" s="115"/>
      <c r="BW37" s="115"/>
      <c r="BX37" s="115"/>
      <c r="BY37" s="115"/>
      <c r="BZ37" s="25"/>
      <c r="CA37" s="13"/>
      <c r="CD37" s="114"/>
    </row>
    <row r="38" spans="1:82" ht="20.100000000000001" customHeight="1" x14ac:dyDescent="0.4">
      <c r="A38" s="117"/>
      <c r="B38" s="123"/>
      <c r="C38" s="123"/>
      <c r="D38" s="123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25">
        <v>46131</v>
      </c>
      <c r="AB38" s="13" t="s">
        <v>146</v>
      </c>
      <c r="AQ38" s="127"/>
      <c r="AR38" s="29"/>
      <c r="BB38" s="25"/>
      <c r="BC38" s="13"/>
      <c r="BH38" s="116"/>
      <c r="BI38" s="123"/>
      <c r="BJ38" s="123"/>
      <c r="BK38" s="123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25"/>
      <c r="CA38" s="13"/>
      <c r="CD38" s="114"/>
    </row>
    <row r="39" spans="1:82" ht="20.100000000000001" customHeight="1" x14ac:dyDescent="0.4">
      <c r="A39" s="117"/>
      <c r="B39" s="123"/>
      <c r="C39" s="123"/>
      <c r="D39" s="123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 t="s">
        <v>375</v>
      </c>
      <c r="AA39" s="13">
        <f>SUBTOTAL(3,AA36:AA38)</f>
        <v>3</v>
      </c>
      <c r="AB39" s="13">
        <f>SUBTOTAL(3,AB36:AB38)</f>
        <v>3</v>
      </c>
      <c r="AQ39" s="127"/>
      <c r="AR39" s="29"/>
      <c r="BB39" s="25"/>
      <c r="BC39" s="13"/>
      <c r="BH39" s="116"/>
      <c r="BI39" s="123"/>
      <c r="BJ39" s="123"/>
      <c r="BK39" s="123"/>
      <c r="BP39" s="115"/>
      <c r="BQ39" s="115"/>
      <c r="BR39" s="115"/>
      <c r="BS39" s="115"/>
      <c r="BT39" s="115"/>
      <c r="BU39" s="115"/>
      <c r="BV39" s="115"/>
      <c r="BW39" s="115"/>
      <c r="BX39" s="115"/>
      <c r="BY39" s="115"/>
      <c r="BZ39" s="25"/>
      <c r="CA39" s="13"/>
      <c r="CD39" s="114"/>
    </row>
    <row r="40" spans="1:82" ht="20.100000000000001" customHeight="1" x14ac:dyDescent="0.4">
      <c r="A40" s="117"/>
      <c r="B40" s="123"/>
      <c r="C40" s="123"/>
      <c r="D40" s="123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25">
        <v>46132</v>
      </c>
      <c r="AB40" s="15" t="s">
        <v>147</v>
      </c>
      <c r="AQ40" s="127"/>
      <c r="AR40" s="29"/>
      <c r="BB40" s="25"/>
      <c r="BC40" s="13"/>
      <c r="BH40" s="116"/>
      <c r="BI40" s="123"/>
      <c r="BJ40" s="123"/>
      <c r="BK40" s="123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25"/>
      <c r="CA40" s="13"/>
      <c r="CD40" s="114"/>
    </row>
    <row r="41" spans="1:82" ht="20.100000000000001" customHeight="1" x14ac:dyDescent="0.4">
      <c r="A41" s="117"/>
      <c r="B41" s="123"/>
      <c r="C41" s="123"/>
      <c r="D41" s="123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25">
        <v>46132</v>
      </c>
      <c r="AB41" s="13" t="s">
        <v>147</v>
      </c>
      <c r="AQ41" s="127"/>
      <c r="AR41" s="29"/>
      <c r="BB41" s="25"/>
      <c r="BC41" s="13"/>
      <c r="BH41" s="116"/>
      <c r="BI41" s="123"/>
      <c r="BJ41" s="123"/>
      <c r="BK41" s="123"/>
      <c r="BP41" s="115"/>
      <c r="BQ41" s="115"/>
      <c r="BR41" s="115"/>
      <c r="BS41" s="115"/>
      <c r="BT41" s="115"/>
      <c r="BU41" s="115"/>
      <c r="BV41" s="115"/>
      <c r="BW41" s="115"/>
      <c r="BX41" s="115"/>
      <c r="BY41" s="115"/>
      <c r="BZ41" s="25"/>
      <c r="CA41" s="13"/>
      <c r="CD41" s="114"/>
    </row>
    <row r="42" spans="1:82" ht="20.100000000000001" customHeight="1" x14ac:dyDescent="0.4">
      <c r="A42" s="117"/>
      <c r="B42" s="123"/>
      <c r="C42" s="123"/>
      <c r="D42" s="123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25">
        <v>46132</v>
      </c>
      <c r="AB42" s="13" t="s">
        <v>146</v>
      </c>
      <c r="AQ42" s="127"/>
      <c r="AR42" s="29"/>
      <c r="BB42" s="25"/>
      <c r="BC42" s="13"/>
      <c r="BH42" s="116"/>
      <c r="BI42" s="123"/>
      <c r="BJ42" s="123"/>
      <c r="BK42" s="123"/>
      <c r="BP42" s="115"/>
      <c r="BQ42" s="115"/>
      <c r="BR42" s="115"/>
      <c r="BS42" s="115"/>
      <c r="BT42" s="115"/>
      <c r="BU42" s="115"/>
      <c r="BV42" s="115"/>
      <c r="BW42" s="115"/>
      <c r="BX42" s="115"/>
      <c r="BY42" s="115"/>
      <c r="BZ42" s="25"/>
      <c r="CA42" s="13"/>
      <c r="CD42" s="114"/>
    </row>
    <row r="43" spans="1:82" ht="20.100000000000001" customHeight="1" x14ac:dyDescent="0.4">
      <c r="A43" s="117"/>
      <c r="B43" s="123"/>
      <c r="C43" s="123"/>
      <c r="D43" s="123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 t="s">
        <v>467</v>
      </c>
      <c r="AA43" s="13">
        <f>SUBTOTAL(3,AA40:AA42)</f>
        <v>3</v>
      </c>
      <c r="AB43" s="13">
        <f>SUBTOTAL(3,AB40:AB42)</f>
        <v>3</v>
      </c>
      <c r="AQ43" s="127"/>
      <c r="AR43" s="29"/>
      <c r="BB43" s="25"/>
      <c r="BC43" s="13"/>
      <c r="BH43" s="116"/>
      <c r="BI43" s="123"/>
      <c r="BJ43" s="123"/>
      <c r="BK43" s="123"/>
      <c r="BP43" s="115"/>
      <c r="BQ43" s="115"/>
      <c r="BR43" s="115"/>
      <c r="BS43" s="115"/>
      <c r="BT43" s="115"/>
      <c r="BU43" s="115"/>
      <c r="BV43" s="115"/>
      <c r="BW43" s="115"/>
      <c r="BX43" s="115"/>
      <c r="BY43" s="115"/>
      <c r="BZ43" s="25"/>
      <c r="CA43" s="13"/>
      <c r="CD43" s="114"/>
    </row>
    <row r="44" spans="1:82" ht="20.100000000000001" customHeight="1" x14ac:dyDescent="0.4">
      <c r="A44" s="117"/>
      <c r="B44" s="123"/>
      <c r="C44" s="123"/>
      <c r="D44" s="123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25">
        <v>46134</v>
      </c>
      <c r="AB44" s="13" t="s">
        <v>147</v>
      </c>
      <c r="AQ44" s="127"/>
      <c r="AR44" s="29"/>
      <c r="BB44" s="25"/>
      <c r="BC44" s="13"/>
      <c r="BH44" s="116"/>
      <c r="BI44" s="123"/>
      <c r="BJ44" s="123"/>
      <c r="BK44" s="123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25"/>
      <c r="CA44" s="13"/>
      <c r="CD44" s="114"/>
    </row>
    <row r="45" spans="1:82" ht="20.100000000000001" customHeight="1" x14ac:dyDescent="0.4">
      <c r="A45" s="117"/>
      <c r="B45" s="123"/>
      <c r="C45" s="123"/>
      <c r="D45" s="123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25">
        <v>46134</v>
      </c>
      <c r="AB45" s="13" t="s">
        <v>146</v>
      </c>
      <c r="AQ45" s="127"/>
      <c r="AR45" s="29"/>
      <c r="BB45" s="25"/>
      <c r="BC45" s="13"/>
      <c r="BH45" s="116"/>
      <c r="BI45" s="123"/>
      <c r="BJ45" s="123"/>
      <c r="BK45" s="123"/>
      <c r="BP45" s="115"/>
      <c r="BQ45" s="115"/>
      <c r="BR45" s="115"/>
      <c r="BS45" s="115"/>
      <c r="BT45" s="115"/>
      <c r="BU45" s="115"/>
      <c r="BV45" s="115"/>
      <c r="BW45" s="115"/>
      <c r="BX45" s="115"/>
      <c r="BY45" s="115"/>
      <c r="BZ45" s="25"/>
      <c r="CA45" s="13"/>
      <c r="CD45" s="114"/>
    </row>
    <row r="46" spans="1:82" ht="20.100000000000001" customHeight="1" x14ac:dyDescent="0.4">
      <c r="A46" s="117"/>
      <c r="B46" s="123"/>
      <c r="C46" s="123"/>
      <c r="D46" s="123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25">
        <v>46134</v>
      </c>
      <c r="AB46" s="13" t="s">
        <v>146</v>
      </c>
      <c r="AQ46" s="127"/>
      <c r="AR46" s="29"/>
      <c r="BB46" s="25"/>
      <c r="BC46" s="13"/>
      <c r="BH46" s="116"/>
      <c r="BI46" s="123"/>
      <c r="BJ46" s="123"/>
      <c r="BK46" s="123"/>
      <c r="BP46" s="115"/>
      <c r="BQ46" s="115"/>
      <c r="BR46" s="115"/>
      <c r="BS46" s="115"/>
      <c r="BT46" s="115"/>
      <c r="BU46" s="115"/>
      <c r="BV46" s="115"/>
      <c r="BW46" s="115"/>
      <c r="BX46" s="115"/>
      <c r="BY46" s="115"/>
      <c r="BZ46" s="25"/>
      <c r="CA46" s="13"/>
      <c r="CD46" s="114"/>
    </row>
    <row r="47" spans="1:82" ht="20.100000000000001" customHeight="1" x14ac:dyDescent="0.4">
      <c r="A47" s="117"/>
      <c r="B47" s="123"/>
      <c r="C47" s="123"/>
      <c r="D47" s="123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25">
        <v>46134</v>
      </c>
      <c r="AB47" s="13" t="s">
        <v>146</v>
      </c>
      <c r="AQ47" s="127"/>
      <c r="AR47" s="29"/>
      <c r="BB47" s="25"/>
      <c r="BC47" s="13"/>
      <c r="BH47" s="116"/>
      <c r="BI47" s="123"/>
      <c r="BJ47" s="123"/>
      <c r="BK47" s="123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25"/>
      <c r="CA47" s="13"/>
      <c r="CD47" s="114"/>
    </row>
    <row r="48" spans="1:82" ht="20.100000000000001" customHeight="1" x14ac:dyDescent="0.4">
      <c r="A48" s="117"/>
      <c r="B48" s="123"/>
      <c r="C48" s="123"/>
      <c r="D48" s="123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 t="s">
        <v>376</v>
      </c>
      <c r="AA48" s="13">
        <f>SUBTOTAL(3,AA44:AA47)</f>
        <v>4</v>
      </c>
      <c r="AB48" s="13">
        <f>SUBTOTAL(3,AB44:AB47)</f>
        <v>4</v>
      </c>
      <c r="AQ48" s="127"/>
      <c r="AR48" s="29"/>
      <c r="BB48" s="25"/>
      <c r="BC48" s="13"/>
      <c r="BH48" s="116"/>
      <c r="BI48" s="123"/>
      <c r="BJ48" s="123"/>
      <c r="BK48" s="123"/>
      <c r="BP48" s="115"/>
      <c r="BQ48" s="115"/>
      <c r="BR48" s="115"/>
      <c r="BS48" s="115"/>
      <c r="BT48" s="115"/>
      <c r="BU48" s="115"/>
      <c r="BV48" s="115"/>
      <c r="BW48" s="115"/>
      <c r="BX48" s="115"/>
      <c r="BY48" s="115"/>
      <c r="BZ48" s="25"/>
      <c r="CA48" s="13"/>
      <c r="CD48" s="114"/>
    </row>
    <row r="49" spans="1:82" ht="20.100000000000001" customHeight="1" x14ac:dyDescent="0.4">
      <c r="A49" s="117"/>
      <c r="B49" s="123"/>
      <c r="C49" s="123"/>
      <c r="D49" s="123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25">
        <v>46135</v>
      </c>
      <c r="AB49" s="13" t="s">
        <v>146</v>
      </c>
      <c r="AQ49" s="127"/>
      <c r="AR49" s="29"/>
      <c r="BB49" s="25"/>
      <c r="BC49" s="13"/>
      <c r="BH49" s="116"/>
      <c r="BI49" s="123"/>
      <c r="BJ49" s="123"/>
      <c r="BK49" s="123"/>
      <c r="BP49" s="115"/>
      <c r="BQ49" s="115"/>
      <c r="BR49" s="115"/>
      <c r="BS49" s="115"/>
      <c r="BT49" s="115"/>
      <c r="BU49" s="115"/>
      <c r="BV49" s="115"/>
      <c r="BW49" s="115"/>
      <c r="BX49" s="115"/>
      <c r="BY49" s="115"/>
      <c r="BZ49" s="25"/>
      <c r="CA49" s="13"/>
      <c r="CD49" s="114"/>
    </row>
    <row r="50" spans="1:82" ht="20.100000000000001" customHeight="1" x14ac:dyDescent="0.4">
      <c r="A50" s="117"/>
      <c r="B50" s="123"/>
      <c r="C50" s="123"/>
      <c r="D50" s="123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25">
        <v>46135</v>
      </c>
      <c r="AB50" s="13" t="s">
        <v>147</v>
      </c>
      <c r="AQ50" s="127"/>
      <c r="AR50" s="29"/>
      <c r="BB50" s="25"/>
      <c r="BC50" s="13"/>
      <c r="BH50" s="116"/>
      <c r="BI50" s="123"/>
      <c r="BJ50" s="123"/>
      <c r="BK50" s="123"/>
      <c r="BP50" s="115"/>
      <c r="BQ50" s="115"/>
      <c r="BR50" s="115"/>
      <c r="BS50" s="115"/>
      <c r="BT50" s="115"/>
      <c r="BU50" s="115"/>
      <c r="BV50" s="115"/>
      <c r="BW50" s="115"/>
      <c r="BX50" s="115"/>
      <c r="BY50" s="115"/>
      <c r="BZ50" s="25"/>
      <c r="CA50" s="13"/>
      <c r="CD50" s="114"/>
    </row>
    <row r="51" spans="1:82" ht="20.100000000000001" customHeight="1" x14ac:dyDescent="0.4">
      <c r="A51" s="117"/>
      <c r="B51" s="123"/>
      <c r="C51" s="123"/>
      <c r="D51" s="123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25">
        <v>46135</v>
      </c>
      <c r="AB51" s="15" t="s">
        <v>142</v>
      </c>
      <c r="AQ51" s="127"/>
      <c r="AR51" s="29"/>
      <c r="BB51" s="25"/>
      <c r="BC51" s="13"/>
      <c r="BH51" s="116"/>
      <c r="BI51" s="123"/>
      <c r="BJ51" s="123"/>
      <c r="BK51" s="123"/>
      <c r="BP51" s="115"/>
      <c r="BQ51" s="115"/>
      <c r="BR51" s="115"/>
      <c r="BS51" s="115"/>
      <c r="BT51" s="115"/>
      <c r="BU51" s="115"/>
      <c r="BV51" s="115"/>
      <c r="BW51" s="115"/>
      <c r="BX51" s="115"/>
      <c r="BY51" s="115"/>
      <c r="BZ51" s="25"/>
      <c r="CA51" s="13"/>
      <c r="CD51" s="114"/>
    </row>
    <row r="52" spans="1:82" ht="20.100000000000001" customHeight="1" x14ac:dyDescent="0.4">
      <c r="A52" s="117"/>
      <c r="B52" s="123"/>
      <c r="C52" s="123"/>
      <c r="D52" s="123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25">
        <v>46135</v>
      </c>
      <c r="AB52" s="15" t="s">
        <v>148</v>
      </c>
      <c r="AQ52" s="127"/>
      <c r="AR52" s="29"/>
      <c r="BB52" s="25"/>
      <c r="BC52" s="13"/>
      <c r="BH52" s="116"/>
      <c r="BI52" s="123"/>
      <c r="BJ52" s="123"/>
      <c r="BK52" s="123"/>
      <c r="BP52" s="115"/>
      <c r="BQ52" s="115"/>
      <c r="BR52" s="115"/>
      <c r="BS52" s="115"/>
      <c r="BT52" s="115"/>
      <c r="BU52" s="115"/>
      <c r="BV52" s="115"/>
      <c r="BW52" s="115"/>
      <c r="BX52" s="115"/>
      <c r="BY52" s="115"/>
      <c r="BZ52" s="25"/>
      <c r="CA52" s="13"/>
      <c r="CD52" s="114"/>
    </row>
    <row r="53" spans="1:82" ht="20.100000000000001" customHeight="1" x14ac:dyDescent="0.4">
      <c r="A53" s="117"/>
      <c r="B53" s="123"/>
      <c r="C53" s="123"/>
      <c r="D53" s="123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25">
        <v>46135</v>
      </c>
      <c r="AB53" s="15" t="s">
        <v>147</v>
      </c>
      <c r="AQ53" s="127"/>
      <c r="AR53" s="29"/>
      <c r="BB53" s="25"/>
      <c r="BC53" s="13"/>
      <c r="BH53" s="116"/>
      <c r="BI53" s="123"/>
      <c r="BJ53" s="123"/>
      <c r="BK53" s="123"/>
      <c r="BP53" s="115"/>
      <c r="BQ53" s="115"/>
      <c r="BR53" s="115"/>
      <c r="BS53" s="115"/>
      <c r="BT53" s="115"/>
      <c r="BU53" s="115"/>
      <c r="BV53" s="115"/>
      <c r="BW53" s="115"/>
      <c r="BX53" s="115"/>
      <c r="BY53" s="115"/>
      <c r="BZ53" s="25"/>
      <c r="CA53" s="13"/>
      <c r="CD53" s="114"/>
    </row>
    <row r="54" spans="1:82" ht="20.100000000000001" customHeight="1" x14ac:dyDescent="0.4">
      <c r="A54" s="117"/>
      <c r="B54" s="123"/>
      <c r="C54" s="123"/>
      <c r="D54" s="123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 t="s">
        <v>377</v>
      </c>
      <c r="AA54" s="13">
        <f>SUBTOTAL(3,AA49:AA53)</f>
        <v>5</v>
      </c>
      <c r="AB54" s="15">
        <f>SUBTOTAL(3,AB49:AB53)</f>
        <v>5</v>
      </c>
      <c r="AQ54" s="127"/>
      <c r="AR54" s="29"/>
      <c r="BB54" s="25"/>
      <c r="BC54" s="13"/>
      <c r="BH54" s="116"/>
      <c r="BI54" s="123"/>
      <c r="BJ54" s="123"/>
      <c r="BK54" s="123"/>
      <c r="BP54" s="115"/>
      <c r="BQ54" s="115"/>
      <c r="BR54" s="115"/>
      <c r="BS54" s="115"/>
      <c r="BT54" s="115"/>
      <c r="BU54" s="115"/>
      <c r="BV54" s="115"/>
      <c r="BW54" s="115"/>
      <c r="BX54" s="115"/>
      <c r="BY54" s="115"/>
      <c r="BZ54" s="25"/>
      <c r="CA54" s="13"/>
      <c r="CD54" s="114"/>
    </row>
    <row r="55" spans="1:82" ht="20.100000000000001" customHeight="1" x14ac:dyDescent="0.4">
      <c r="A55" s="117"/>
      <c r="B55" s="123"/>
      <c r="C55" s="123"/>
      <c r="D55" s="123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25">
        <v>46137</v>
      </c>
      <c r="AB55" s="132" t="s">
        <v>147</v>
      </c>
      <c r="AQ55" s="127"/>
      <c r="AR55" s="29"/>
      <c r="BB55" s="25"/>
      <c r="BC55" s="13"/>
      <c r="BH55" s="116"/>
      <c r="BI55" s="123"/>
      <c r="BJ55" s="123"/>
      <c r="BK55" s="123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25"/>
      <c r="CA55" s="13"/>
      <c r="CD55" s="114"/>
    </row>
    <row r="56" spans="1:82" ht="20.100000000000001" customHeight="1" x14ac:dyDescent="0.4">
      <c r="A56" s="117"/>
      <c r="B56" s="123"/>
      <c r="C56" s="123"/>
      <c r="D56" s="123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 t="s">
        <v>468</v>
      </c>
      <c r="AA56" s="20">
        <f>SUBTOTAL(3,AA55:AA55)</f>
        <v>1</v>
      </c>
      <c r="AB56" s="15">
        <f>SUBTOTAL(3,AB55:AB55)</f>
        <v>1</v>
      </c>
      <c r="AQ56" s="127"/>
      <c r="AR56" s="29"/>
      <c r="BB56" s="25"/>
      <c r="BC56" s="13"/>
      <c r="BH56" s="116"/>
      <c r="BI56" s="123"/>
      <c r="BJ56" s="123"/>
      <c r="BK56" s="123"/>
      <c r="BP56" s="115"/>
      <c r="BQ56" s="115"/>
      <c r="BR56" s="115"/>
      <c r="BS56" s="115"/>
      <c r="BT56" s="115"/>
      <c r="BU56" s="115"/>
      <c r="BV56" s="115"/>
      <c r="BW56" s="115"/>
      <c r="BX56" s="115"/>
      <c r="BY56" s="115"/>
      <c r="BZ56" s="25"/>
      <c r="CA56" s="13"/>
      <c r="CD56" s="114"/>
    </row>
    <row r="57" spans="1:82" ht="20.100000000000001" customHeight="1" x14ac:dyDescent="0.4">
      <c r="A57" s="117"/>
      <c r="B57" s="123"/>
      <c r="C57" s="123"/>
      <c r="D57" s="123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26">
        <v>46138</v>
      </c>
      <c r="AB57" s="15" t="s">
        <v>146</v>
      </c>
      <c r="AQ57" s="127"/>
      <c r="AR57" s="29"/>
      <c r="BB57" s="25"/>
      <c r="BC57" s="13"/>
      <c r="BH57" s="116"/>
      <c r="BI57" s="123"/>
      <c r="BJ57" s="123"/>
      <c r="BK57" s="123"/>
      <c r="BP57" s="115"/>
      <c r="BQ57" s="115"/>
      <c r="BR57" s="115"/>
      <c r="BS57" s="115"/>
      <c r="BT57" s="115"/>
      <c r="BU57" s="115"/>
      <c r="BV57" s="115"/>
      <c r="BW57" s="115"/>
      <c r="BX57" s="115"/>
      <c r="BY57" s="115"/>
      <c r="BZ57" s="25"/>
      <c r="CA57" s="13"/>
      <c r="CD57" s="114"/>
    </row>
    <row r="58" spans="1:82" ht="20.100000000000001" customHeight="1" x14ac:dyDescent="0.4">
      <c r="A58" s="117"/>
      <c r="B58" s="123"/>
      <c r="C58" s="123"/>
      <c r="D58" s="123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26">
        <v>46138</v>
      </c>
      <c r="AB58" s="15" t="s">
        <v>148</v>
      </c>
      <c r="AQ58" s="127"/>
      <c r="AR58" s="29"/>
      <c r="BB58" s="25"/>
      <c r="BC58" s="13"/>
      <c r="BH58" s="116"/>
      <c r="BI58" s="123"/>
      <c r="BJ58" s="123"/>
      <c r="BK58" s="123"/>
      <c r="BP58" s="115"/>
      <c r="BQ58" s="115"/>
      <c r="BR58" s="115"/>
      <c r="BS58" s="115"/>
      <c r="BT58" s="115"/>
      <c r="BU58" s="115"/>
      <c r="BV58" s="115"/>
      <c r="BW58" s="115"/>
      <c r="BX58" s="115"/>
      <c r="BY58" s="115"/>
      <c r="BZ58" s="25"/>
      <c r="CA58" s="13"/>
      <c r="CD58" s="114"/>
    </row>
    <row r="59" spans="1:82" ht="20.100000000000001" customHeight="1" x14ac:dyDescent="0.4">
      <c r="A59" s="117"/>
      <c r="B59" s="123"/>
      <c r="C59" s="123"/>
      <c r="D59" s="123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26">
        <v>46138</v>
      </c>
      <c r="AB59" s="15" t="s">
        <v>146</v>
      </c>
      <c r="AQ59" s="127"/>
      <c r="AR59" s="29"/>
      <c r="BB59" s="25"/>
      <c r="BC59" s="13"/>
      <c r="BH59" s="116"/>
      <c r="BI59" s="123"/>
      <c r="BJ59" s="123"/>
      <c r="BK59" s="123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25"/>
      <c r="CA59" s="13"/>
      <c r="CD59" s="114"/>
    </row>
    <row r="60" spans="1:82" ht="20.100000000000001" customHeight="1" x14ac:dyDescent="0.4">
      <c r="A60" s="117"/>
      <c r="B60" s="123"/>
      <c r="C60" s="123"/>
      <c r="D60" s="123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26">
        <v>46138</v>
      </c>
      <c r="AB60" s="15" t="s">
        <v>148</v>
      </c>
      <c r="AQ60" s="127"/>
      <c r="AR60" s="29"/>
      <c r="BB60" s="25"/>
      <c r="BC60" s="13"/>
      <c r="BH60" s="116"/>
      <c r="BI60" s="123"/>
      <c r="BJ60" s="123"/>
      <c r="BK60" s="123"/>
      <c r="BP60" s="115"/>
      <c r="BQ60" s="115"/>
      <c r="BR60" s="115"/>
      <c r="BS60" s="115"/>
      <c r="BT60" s="115"/>
      <c r="BU60" s="115"/>
      <c r="BV60" s="115"/>
      <c r="BW60" s="115"/>
      <c r="BX60" s="115"/>
      <c r="BY60" s="115"/>
      <c r="BZ60" s="25"/>
      <c r="CA60" s="13"/>
      <c r="CD60" s="114"/>
    </row>
    <row r="61" spans="1:82" ht="20.100000000000001" customHeight="1" x14ac:dyDescent="0.4">
      <c r="A61" s="117"/>
      <c r="B61" s="123"/>
      <c r="C61" s="123"/>
      <c r="D61" s="123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25">
        <v>46138</v>
      </c>
      <c r="AB61" s="15" t="s">
        <v>146</v>
      </c>
      <c r="AQ61" s="127"/>
      <c r="AR61" s="29"/>
      <c r="BB61" s="25"/>
      <c r="BC61" s="13"/>
      <c r="BH61" s="116"/>
      <c r="BI61" s="123"/>
      <c r="BJ61" s="123"/>
      <c r="BK61" s="123"/>
      <c r="BP61" s="115"/>
      <c r="BQ61" s="115"/>
      <c r="BR61" s="115"/>
      <c r="BS61" s="115"/>
      <c r="BT61" s="115"/>
      <c r="BU61" s="115"/>
      <c r="BV61" s="115"/>
      <c r="BW61" s="115"/>
      <c r="BX61" s="115"/>
      <c r="BY61" s="115"/>
      <c r="BZ61" s="25"/>
      <c r="CA61" s="13"/>
      <c r="CD61" s="114"/>
    </row>
    <row r="62" spans="1:82" ht="20.100000000000001" customHeight="1" x14ac:dyDescent="0.4">
      <c r="A62" s="117"/>
      <c r="B62" s="123"/>
      <c r="C62" s="123"/>
      <c r="D62" s="123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25">
        <v>46138</v>
      </c>
      <c r="AB62" s="15" t="s">
        <v>146</v>
      </c>
      <c r="AQ62" s="127"/>
      <c r="AR62" s="29"/>
      <c r="BB62" s="25"/>
      <c r="BC62" s="13"/>
      <c r="BH62" s="116"/>
      <c r="BI62" s="123"/>
      <c r="BJ62" s="123"/>
      <c r="BK62" s="123"/>
      <c r="BP62" s="115"/>
      <c r="BQ62" s="115"/>
      <c r="BR62" s="115"/>
      <c r="BS62" s="115"/>
      <c r="BT62" s="115"/>
      <c r="BU62" s="115"/>
      <c r="BV62" s="115"/>
      <c r="BW62" s="115"/>
      <c r="BX62" s="115"/>
      <c r="BY62" s="115"/>
      <c r="BZ62" s="25"/>
      <c r="CA62" s="13"/>
      <c r="CD62" s="114"/>
    </row>
    <row r="63" spans="1:82" ht="20.100000000000001" customHeight="1" x14ac:dyDescent="0.4">
      <c r="A63" s="117"/>
      <c r="B63" s="123"/>
      <c r="C63" s="123"/>
      <c r="D63" s="123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25">
        <v>46138</v>
      </c>
      <c r="AB63" s="13" t="s">
        <v>146</v>
      </c>
      <c r="AQ63" s="127"/>
      <c r="AR63" s="29"/>
      <c r="BB63" s="25"/>
      <c r="BC63" s="13"/>
      <c r="BH63" s="116"/>
      <c r="BI63" s="123"/>
      <c r="BJ63" s="123"/>
      <c r="BK63" s="123"/>
      <c r="BP63" s="115"/>
      <c r="BQ63" s="115"/>
      <c r="BR63" s="115"/>
      <c r="BS63" s="115"/>
      <c r="BT63" s="115"/>
      <c r="BU63" s="115"/>
      <c r="BV63" s="115"/>
      <c r="BW63" s="115"/>
      <c r="BX63" s="115"/>
      <c r="BY63" s="115"/>
      <c r="BZ63" s="25"/>
      <c r="CA63" s="13"/>
      <c r="CD63" s="114"/>
    </row>
    <row r="64" spans="1:82" ht="20.100000000000001" customHeight="1" x14ac:dyDescent="0.4">
      <c r="A64" s="117"/>
      <c r="B64" s="123"/>
      <c r="C64" s="123"/>
      <c r="D64" s="123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25">
        <v>46138</v>
      </c>
      <c r="AB64" s="13" t="s">
        <v>146</v>
      </c>
      <c r="AQ64" s="127"/>
      <c r="AR64" s="29"/>
      <c r="BB64" s="25"/>
      <c r="BC64" s="13"/>
      <c r="BH64" s="116"/>
      <c r="BI64" s="123"/>
      <c r="BJ64" s="123"/>
      <c r="BK64" s="123"/>
      <c r="BP64" s="115"/>
      <c r="BQ64" s="115"/>
      <c r="BR64" s="115"/>
      <c r="BS64" s="115"/>
      <c r="BT64" s="115"/>
      <c r="BU64" s="115"/>
      <c r="BV64" s="115"/>
      <c r="BW64" s="115"/>
      <c r="BX64" s="115"/>
      <c r="BY64" s="115"/>
      <c r="BZ64" s="25"/>
      <c r="CA64" s="13"/>
      <c r="CD64" s="114"/>
    </row>
    <row r="65" spans="1:82" ht="20.100000000000001" customHeight="1" x14ac:dyDescent="0.4">
      <c r="A65" s="117"/>
      <c r="B65" s="123"/>
      <c r="C65" s="123"/>
      <c r="D65" s="123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25">
        <v>46138</v>
      </c>
      <c r="AB65" s="13" t="s">
        <v>146</v>
      </c>
      <c r="AQ65" s="127"/>
      <c r="AR65" s="29"/>
      <c r="BB65" s="25"/>
      <c r="BC65" s="13"/>
      <c r="BH65" s="116"/>
      <c r="BI65" s="123"/>
      <c r="BJ65" s="123"/>
      <c r="BK65" s="123"/>
      <c r="BP65" s="115"/>
      <c r="BQ65" s="115"/>
      <c r="BR65" s="115"/>
      <c r="BS65" s="115"/>
      <c r="BT65" s="115"/>
      <c r="BU65" s="115"/>
      <c r="BV65" s="115"/>
      <c r="BW65" s="115"/>
      <c r="BX65" s="115"/>
      <c r="BY65" s="115"/>
      <c r="BZ65" s="25"/>
      <c r="CA65" s="13"/>
      <c r="CD65" s="114"/>
    </row>
    <row r="66" spans="1:82" ht="20.100000000000001" customHeight="1" x14ac:dyDescent="0.4">
      <c r="A66" s="117"/>
      <c r="B66" s="123"/>
      <c r="C66" s="123"/>
      <c r="D66" s="123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 t="s">
        <v>378</v>
      </c>
      <c r="AA66" s="13">
        <f>SUBTOTAL(3,AA57:AA65)</f>
        <v>9</v>
      </c>
      <c r="AB66" s="13">
        <f>SUBTOTAL(3,AB57:AB65)</f>
        <v>9</v>
      </c>
      <c r="AQ66" s="127"/>
      <c r="AR66" s="29"/>
      <c r="BB66" s="25"/>
      <c r="BC66" s="13"/>
      <c r="BH66" s="116"/>
      <c r="BI66" s="123"/>
      <c r="BJ66" s="123"/>
      <c r="BK66" s="123"/>
      <c r="BP66" s="115"/>
      <c r="BQ66" s="115"/>
      <c r="BR66" s="115"/>
      <c r="BS66" s="115"/>
      <c r="BT66" s="115"/>
      <c r="BU66" s="115"/>
      <c r="BV66" s="115"/>
      <c r="BW66" s="115"/>
      <c r="BX66" s="115"/>
      <c r="BY66" s="115"/>
      <c r="BZ66" s="25"/>
      <c r="CA66" s="13"/>
      <c r="CD66" s="114"/>
    </row>
    <row r="67" spans="1:82" ht="20.100000000000001" customHeight="1" x14ac:dyDescent="0.4">
      <c r="A67" s="117"/>
      <c r="B67" s="123"/>
      <c r="C67" s="123"/>
      <c r="D67" s="123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25">
        <v>46139</v>
      </c>
      <c r="AB67" s="13" t="s">
        <v>142</v>
      </c>
      <c r="AQ67" s="127"/>
      <c r="AR67" s="29"/>
      <c r="BB67" s="25"/>
      <c r="BC67" s="13"/>
      <c r="BH67" s="116"/>
      <c r="BI67" s="123"/>
      <c r="BJ67" s="123"/>
      <c r="BK67" s="123"/>
      <c r="BP67" s="115"/>
      <c r="BQ67" s="115"/>
      <c r="BR67" s="115"/>
      <c r="BS67" s="115"/>
      <c r="BT67" s="115"/>
      <c r="BU67" s="115"/>
      <c r="BV67" s="115"/>
      <c r="BW67" s="115"/>
      <c r="BX67" s="115"/>
      <c r="BY67" s="115"/>
      <c r="BZ67" s="25"/>
      <c r="CA67" s="13"/>
      <c r="CD67" s="114"/>
    </row>
    <row r="68" spans="1:82" ht="20.100000000000001" customHeight="1" x14ac:dyDescent="0.4">
      <c r="A68" s="117"/>
      <c r="B68" s="123"/>
      <c r="C68" s="123"/>
      <c r="D68" s="123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 t="s">
        <v>469</v>
      </c>
      <c r="AA68" s="13">
        <f>SUBTOTAL(3,AA67:AA67)</f>
        <v>1</v>
      </c>
      <c r="AB68" s="13">
        <f>SUBTOTAL(3,AB67:AB67)</f>
        <v>1</v>
      </c>
      <c r="AQ68" s="127"/>
      <c r="AR68" s="29"/>
      <c r="BB68" s="25"/>
      <c r="BC68" s="13"/>
      <c r="BH68" s="116"/>
      <c r="BI68" s="123"/>
      <c r="BJ68" s="123"/>
      <c r="BK68" s="123"/>
      <c r="BP68" s="115"/>
      <c r="BQ68" s="115"/>
      <c r="BR68" s="115"/>
      <c r="BS68" s="115"/>
      <c r="BT68" s="115"/>
      <c r="BU68" s="115"/>
      <c r="BV68" s="115"/>
      <c r="BW68" s="115"/>
      <c r="BX68" s="115"/>
      <c r="BY68" s="115"/>
      <c r="BZ68" s="25"/>
      <c r="CA68" s="13"/>
      <c r="CD68" s="114"/>
    </row>
    <row r="69" spans="1:82" ht="20.100000000000001" customHeight="1" x14ac:dyDescent="0.4">
      <c r="A69" s="117"/>
      <c r="B69" s="123"/>
      <c r="C69" s="123"/>
      <c r="D69" s="123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25">
        <v>46140</v>
      </c>
      <c r="AB69" s="13" t="s">
        <v>146</v>
      </c>
      <c r="AQ69" s="127"/>
      <c r="AR69" s="29"/>
      <c r="BB69" s="25"/>
      <c r="BC69" s="13"/>
      <c r="BH69" s="116"/>
      <c r="BI69" s="123"/>
      <c r="BJ69" s="123"/>
      <c r="BK69" s="123"/>
      <c r="BP69" s="115"/>
      <c r="BQ69" s="115"/>
      <c r="BR69" s="115"/>
      <c r="BS69" s="115"/>
      <c r="BT69" s="115"/>
      <c r="BU69" s="115"/>
      <c r="BV69" s="115"/>
      <c r="BW69" s="115"/>
      <c r="BX69" s="115"/>
      <c r="BY69" s="115"/>
      <c r="BZ69" s="25"/>
      <c r="CA69" s="13"/>
      <c r="CD69" s="114"/>
    </row>
    <row r="70" spans="1:82" ht="20.100000000000001" customHeight="1" x14ac:dyDescent="0.4">
      <c r="A70" s="117"/>
      <c r="B70" s="123"/>
      <c r="C70" s="123"/>
      <c r="D70" s="123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 t="s">
        <v>379</v>
      </c>
      <c r="AA70" s="13">
        <f>SUBTOTAL(3,AA69:AA69)</f>
        <v>1</v>
      </c>
      <c r="AB70" s="13">
        <f>SUBTOTAL(3,AB69:AB69)</f>
        <v>1</v>
      </c>
      <c r="AQ70" s="127"/>
      <c r="AR70" s="29"/>
      <c r="BB70" s="25"/>
      <c r="BC70" s="13"/>
      <c r="BH70" s="116"/>
      <c r="BI70" s="123"/>
      <c r="BJ70" s="123"/>
      <c r="BK70" s="123"/>
      <c r="BP70" s="115"/>
      <c r="BQ70" s="115"/>
      <c r="BR70" s="115"/>
      <c r="BS70" s="115"/>
      <c r="BT70" s="115"/>
      <c r="BU70" s="115"/>
      <c r="BV70" s="115"/>
      <c r="BW70" s="115"/>
      <c r="BX70" s="115"/>
      <c r="BY70" s="115"/>
      <c r="BZ70" s="25"/>
      <c r="CA70" s="13"/>
      <c r="CD70" s="114"/>
    </row>
    <row r="71" spans="1:82" ht="20.100000000000001" customHeight="1" x14ac:dyDescent="0.4">
      <c r="A71" s="117"/>
      <c r="B71" s="123"/>
      <c r="C71" s="123"/>
      <c r="D71" s="123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25">
        <v>46142</v>
      </c>
      <c r="AB71" s="13" t="s">
        <v>146</v>
      </c>
      <c r="AQ71" s="127"/>
      <c r="AR71" s="29"/>
      <c r="BB71" s="25"/>
      <c r="BC71" s="13"/>
      <c r="BH71" s="116"/>
      <c r="BI71" s="123"/>
      <c r="BJ71" s="123"/>
      <c r="BK71" s="123"/>
      <c r="BP71" s="115"/>
      <c r="BQ71" s="115"/>
      <c r="BR71" s="115"/>
      <c r="BS71" s="115"/>
      <c r="BT71" s="115"/>
      <c r="BU71" s="115"/>
      <c r="BV71" s="115"/>
      <c r="BW71" s="115"/>
      <c r="BX71" s="115"/>
      <c r="BY71" s="115"/>
      <c r="BZ71" s="25"/>
      <c r="CA71" s="13"/>
      <c r="CD71" s="114"/>
    </row>
    <row r="72" spans="1:82" ht="20.100000000000001" customHeight="1" x14ac:dyDescent="0.4">
      <c r="A72" s="117"/>
      <c r="B72" s="123"/>
      <c r="C72" s="123"/>
      <c r="D72" s="123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25">
        <v>46142</v>
      </c>
      <c r="AB72" s="13" t="s">
        <v>148</v>
      </c>
      <c r="AQ72" s="127"/>
      <c r="AR72" s="29"/>
      <c r="BB72" s="25"/>
      <c r="BC72" s="13"/>
      <c r="BH72" s="116"/>
      <c r="BI72" s="123"/>
      <c r="BJ72" s="123"/>
      <c r="BK72" s="123"/>
      <c r="BP72" s="115"/>
      <c r="BQ72" s="115"/>
      <c r="BR72" s="115"/>
      <c r="BS72" s="115"/>
      <c r="BT72" s="115"/>
      <c r="BU72" s="115"/>
      <c r="BV72" s="115"/>
      <c r="BW72" s="115"/>
      <c r="BX72" s="115"/>
      <c r="BY72" s="115"/>
      <c r="BZ72" s="25"/>
      <c r="CA72" s="13"/>
      <c r="CD72" s="114"/>
    </row>
    <row r="73" spans="1:82" ht="20.100000000000001" customHeight="1" x14ac:dyDescent="0.4">
      <c r="A73" s="117"/>
      <c r="B73" s="123"/>
      <c r="C73" s="123"/>
      <c r="D73" s="123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25">
        <v>46142</v>
      </c>
      <c r="AB73" s="13" t="s">
        <v>146</v>
      </c>
      <c r="AQ73" s="127"/>
      <c r="AR73" s="29"/>
      <c r="BB73" s="25"/>
      <c r="BC73" s="13"/>
      <c r="BH73" s="116"/>
      <c r="BI73" s="123"/>
      <c r="BJ73" s="123"/>
      <c r="BK73" s="123"/>
      <c r="BP73" s="115"/>
      <c r="BQ73" s="115"/>
      <c r="BR73" s="115"/>
      <c r="BS73" s="115"/>
      <c r="BT73" s="115"/>
      <c r="BU73" s="115"/>
      <c r="BV73" s="115"/>
      <c r="BW73" s="115"/>
      <c r="BX73" s="115"/>
      <c r="BY73" s="115"/>
      <c r="BZ73" s="25"/>
      <c r="CA73" s="13"/>
      <c r="CD73" s="114"/>
    </row>
    <row r="74" spans="1:82" ht="20.100000000000001" customHeight="1" x14ac:dyDescent="0.4">
      <c r="A74" s="117"/>
      <c r="B74" s="123"/>
      <c r="C74" s="123"/>
      <c r="D74" s="123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25">
        <v>46142</v>
      </c>
      <c r="AB74" s="13" t="s">
        <v>148</v>
      </c>
      <c r="AQ74" s="127"/>
      <c r="AR74" s="29"/>
      <c r="BB74" s="25"/>
      <c r="BC74" s="13"/>
      <c r="BH74" s="116"/>
      <c r="BI74" s="123"/>
      <c r="BJ74" s="123"/>
      <c r="BK74" s="123"/>
      <c r="BP74" s="115"/>
      <c r="BQ74" s="115"/>
      <c r="BR74" s="115"/>
      <c r="BS74" s="115"/>
      <c r="BT74" s="115"/>
      <c r="BU74" s="115"/>
      <c r="BV74" s="115"/>
      <c r="BW74" s="115"/>
      <c r="BX74" s="115"/>
      <c r="BY74" s="115"/>
      <c r="BZ74" s="25"/>
      <c r="CA74" s="13"/>
      <c r="CD74" s="114"/>
    </row>
    <row r="75" spans="1:82" ht="20.100000000000001" customHeight="1" x14ac:dyDescent="0.4">
      <c r="A75" s="117"/>
      <c r="B75" s="123"/>
      <c r="C75" s="123"/>
      <c r="D75" s="123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25">
        <v>46142</v>
      </c>
      <c r="AB75" s="13" t="s">
        <v>146</v>
      </c>
      <c r="AQ75" s="127"/>
      <c r="AR75" s="29"/>
      <c r="BB75" s="25"/>
      <c r="BC75" s="13"/>
      <c r="BH75" s="116"/>
      <c r="BI75" s="123"/>
      <c r="BJ75" s="123"/>
      <c r="BK75" s="123"/>
      <c r="BP75" s="115"/>
      <c r="BQ75" s="115"/>
      <c r="BR75" s="115"/>
      <c r="BS75" s="115"/>
      <c r="BT75" s="115"/>
      <c r="BU75" s="115"/>
      <c r="BV75" s="115"/>
      <c r="BW75" s="115"/>
      <c r="BX75" s="115"/>
      <c r="BY75" s="115"/>
      <c r="BZ75" s="25"/>
      <c r="CA75" s="13"/>
      <c r="CD75" s="114"/>
    </row>
    <row r="76" spans="1:82" ht="20.100000000000001" customHeight="1" x14ac:dyDescent="0.4">
      <c r="A76" s="117"/>
      <c r="B76" s="123"/>
      <c r="C76" s="123"/>
      <c r="D76" s="123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25">
        <v>46142</v>
      </c>
      <c r="AB76" s="13" t="s">
        <v>148</v>
      </c>
      <c r="AQ76" s="127"/>
      <c r="AR76" s="29"/>
      <c r="BB76" s="25"/>
      <c r="BC76" s="13"/>
      <c r="BH76" s="116"/>
      <c r="BI76" s="123"/>
      <c r="BJ76" s="123"/>
      <c r="BK76" s="123"/>
      <c r="BP76" s="115"/>
      <c r="BQ76" s="115"/>
      <c r="BR76" s="115"/>
      <c r="BS76" s="115"/>
      <c r="BT76" s="115"/>
      <c r="BU76" s="115"/>
      <c r="BV76" s="115"/>
      <c r="BW76" s="115"/>
      <c r="BX76" s="115"/>
      <c r="BY76" s="115"/>
      <c r="BZ76" s="25"/>
      <c r="CA76" s="13"/>
      <c r="CD76" s="114"/>
    </row>
    <row r="77" spans="1:82" ht="20.100000000000001" customHeight="1" x14ac:dyDescent="0.4">
      <c r="A77" s="117"/>
      <c r="B77" s="123"/>
      <c r="C77" s="123"/>
      <c r="D77" s="123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25">
        <v>46142</v>
      </c>
      <c r="AB77" s="13" t="s">
        <v>146</v>
      </c>
      <c r="AQ77" s="127"/>
      <c r="AR77" s="29"/>
      <c r="BB77" s="25"/>
      <c r="BC77" s="13"/>
      <c r="BH77" s="116"/>
      <c r="BI77" s="123"/>
      <c r="BJ77" s="123"/>
      <c r="BK77" s="123"/>
      <c r="BP77" s="115"/>
      <c r="BQ77" s="115"/>
      <c r="BR77" s="115"/>
      <c r="BS77" s="115"/>
      <c r="BT77" s="115"/>
      <c r="BU77" s="115"/>
      <c r="BV77" s="115"/>
      <c r="BW77" s="115"/>
      <c r="BX77" s="115"/>
      <c r="BY77" s="115"/>
      <c r="BZ77" s="25"/>
      <c r="CA77" s="13"/>
      <c r="CD77" s="114"/>
    </row>
    <row r="78" spans="1:82" ht="20.100000000000001" customHeight="1" x14ac:dyDescent="0.4">
      <c r="A78" s="117"/>
      <c r="B78" s="123"/>
      <c r="C78" s="123"/>
      <c r="D78" s="123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25">
        <v>46142</v>
      </c>
      <c r="AB78" s="13" t="s">
        <v>148</v>
      </c>
      <c r="AQ78" s="127"/>
      <c r="AR78" s="29"/>
      <c r="BB78" s="25"/>
      <c r="BC78" s="13"/>
      <c r="BH78" s="116"/>
      <c r="BI78" s="123"/>
      <c r="BJ78" s="123"/>
      <c r="BK78" s="123"/>
      <c r="BP78" s="115"/>
      <c r="BQ78" s="115"/>
      <c r="BR78" s="115"/>
      <c r="BS78" s="115"/>
      <c r="BT78" s="115"/>
      <c r="BU78" s="115"/>
      <c r="BV78" s="115"/>
      <c r="BW78" s="115"/>
      <c r="BX78" s="115"/>
      <c r="BY78" s="115"/>
      <c r="BZ78" s="25"/>
      <c r="CA78" s="13"/>
      <c r="CD78" s="114"/>
    </row>
    <row r="79" spans="1:82" ht="20.100000000000001" customHeight="1" x14ac:dyDescent="0.4">
      <c r="A79" s="117"/>
      <c r="B79" s="123"/>
      <c r="C79" s="123"/>
      <c r="D79" s="123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25">
        <v>46142</v>
      </c>
      <c r="AB79" s="13" t="s">
        <v>146</v>
      </c>
      <c r="AQ79" s="127"/>
      <c r="AR79" s="29"/>
      <c r="BB79" s="25"/>
      <c r="BC79" s="13"/>
      <c r="BH79" s="116"/>
      <c r="BI79" s="123"/>
      <c r="BJ79" s="123"/>
      <c r="BK79" s="123"/>
      <c r="BP79" s="115"/>
      <c r="BQ79" s="115"/>
      <c r="BR79" s="115"/>
      <c r="BS79" s="115"/>
      <c r="BT79" s="115"/>
      <c r="BU79" s="115"/>
      <c r="BV79" s="115"/>
      <c r="BW79" s="115"/>
      <c r="BX79" s="115"/>
      <c r="BY79" s="115"/>
      <c r="BZ79" s="25"/>
      <c r="CA79" s="13"/>
      <c r="CD79" s="114"/>
    </row>
    <row r="80" spans="1:82" ht="20.100000000000001" customHeight="1" x14ac:dyDescent="0.4">
      <c r="A80" s="117"/>
      <c r="B80" s="123"/>
      <c r="C80" s="123"/>
      <c r="D80" s="123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25">
        <v>46142</v>
      </c>
      <c r="AB80" s="13" t="s">
        <v>148</v>
      </c>
      <c r="AQ80" s="127"/>
      <c r="AR80" s="29"/>
      <c r="BB80" s="25"/>
      <c r="BC80" s="13"/>
      <c r="BH80" s="116"/>
      <c r="BI80" s="123"/>
      <c r="BJ80" s="123"/>
      <c r="BK80" s="123"/>
      <c r="BP80" s="115"/>
      <c r="BQ80" s="115"/>
      <c r="BR80" s="115"/>
      <c r="BS80" s="115"/>
      <c r="BT80" s="115"/>
      <c r="BU80" s="115"/>
      <c r="BV80" s="115"/>
      <c r="BW80" s="115"/>
      <c r="BX80" s="115"/>
      <c r="BY80" s="115"/>
      <c r="BZ80" s="25"/>
      <c r="CA80" s="13"/>
      <c r="CD80" s="114"/>
    </row>
    <row r="81" spans="1:82" ht="20.100000000000001" customHeight="1" x14ac:dyDescent="0.4">
      <c r="A81" s="117"/>
      <c r="B81" s="123"/>
      <c r="C81" s="123"/>
      <c r="D81" s="123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25">
        <v>46142</v>
      </c>
      <c r="AB81" s="13" t="s">
        <v>146</v>
      </c>
      <c r="AQ81" s="127"/>
      <c r="AR81" s="29"/>
      <c r="BB81" s="25"/>
      <c r="BC81" s="13"/>
      <c r="BH81" s="116"/>
      <c r="BI81" s="123"/>
      <c r="BJ81" s="123"/>
      <c r="BK81" s="123"/>
      <c r="BP81" s="115"/>
      <c r="BQ81" s="115"/>
      <c r="BR81" s="115"/>
      <c r="BS81" s="115"/>
      <c r="BT81" s="115"/>
      <c r="BU81" s="115"/>
      <c r="BV81" s="115"/>
      <c r="BW81" s="115"/>
      <c r="BX81" s="115"/>
      <c r="BY81" s="115"/>
      <c r="BZ81" s="25"/>
      <c r="CA81" s="13"/>
      <c r="CD81" s="114"/>
    </row>
    <row r="82" spans="1:82" ht="20.100000000000001" customHeight="1" x14ac:dyDescent="0.4">
      <c r="A82" s="117"/>
      <c r="B82" s="123"/>
      <c r="C82" s="123"/>
      <c r="D82" s="123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25">
        <v>46142</v>
      </c>
      <c r="AB82" s="13" t="s">
        <v>148</v>
      </c>
      <c r="AQ82" s="127"/>
      <c r="AR82" s="29"/>
      <c r="BB82" s="25"/>
      <c r="BC82" s="13"/>
      <c r="BH82" s="116"/>
      <c r="BI82" s="123"/>
      <c r="BJ82" s="123"/>
      <c r="BK82" s="123"/>
      <c r="BP82" s="115"/>
      <c r="BQ82" s="115"/>
      <c r="BR82" s="115"/>
      <c r="BS82" s="115"/>
      <c r="BT82" s="115"/>
      <c r="BU82" s="115"/>
      <c r="BV82" s="115"/>
      <c r="BW82" s="115"/>
      <c r="BX82" s="115"/>
      <c r="BY82" s="115"/>
      <c r="BZ82" s="25"/>
      <c r="CA82" s="13"/>
      <c r="CD82" s="114"/>
    </row>
    <row r="83" spans="1:82" ht="20.100000000000001" customHeight="1" x14ac:dyDescent="0.4">
      <c r="A83" s="117"/>
      <c r="B83" s="123"/>
      <c r="C83" s="123"/>
      <c r="D83" s="123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 t="s">
        <v>470</v>
      </c>
      <c r="AA83" s="13">
        <f>SUBTOTAL(3,AA71:AA82)</f>
        <v>12</v>
      </c>
      <c r="AB83" s="13">
        <f>SUBTOTAL(3,AB71:AB82)</f>
        <v>12</v>
      </c>
      <c r="AQ83" s="127"/>
      <c r="AR83" s="29"/>
      <c r="BB83" s="25"/>
      <c r="BC83" s="13"/>
      <c r="BH83" s="116"/>
      <c r="BI83" s="123"/>
      <c r="BJ83" s="123"/>
      <c r="BK83" s="123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25"/>
      <c r="CA83" s="13"/>
      <c r="CD83" s="114"/>
    </row>
    <row r="84" spans="1:82" ht="20.100000000000001" customHeight="1" x14ac:dyDescent="0.4">
      <c r="A84" s="117"/>
      <c r="B84" s="123"/>
      <c r="C84" s="123"/>
      <c r="D84" s="123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25">
        <v>46145</v>
      </c>
      <c r="AB84" s="13" t="s">
        <v>146</v>
      </c>
      <c r="AQ84" s="127"/>
      <c r="AR84" s="29"/>
      <c r="BB84" s="25"/>
      <c r="BC84" s="13"/>
      <c r="BH84" s="116"/>
      <c r="BI84" s="123"/>
      <c r="BJ84" s="123"/>
      <c r="BK84" s="123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25"/>
      <c r="CA84" s="13"/>
      <c r="CD84" s="114"/>
    </row>
    <row r="85" spans="1:82" ht="20.100000000000001" customHeight="1" x14ac:dyDescent="0.4">
      <c r="A85" s="117"/>
      <c r="B85" s="123"/>
      <c r="C85" s="123"/>
      <c r="D85" s="123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 t="s">
        <v>471</v>
      </c>
      <c r="AA85" s="13">
        <f>SUBTOTAL(3,AA84:AA84)</f>
        <v>1</v>
      </c>
      <c r="AB85" s="13">
        <f>SUBTOTAL(3,AB84:AB84)</f>
        <v>1</v>
      </c>
      <c r="AQ85" s="127"/>
      <c r="AR85" s="29"/>
      <c r="BB85" s="25"/>
      <c r="BC85" s="13"/>
      <c r="BH85" s="116"/>
      <c r="BI85" s="123"/>
      <c r="BJ85" s="123"/>
      <c r="BK85" s="123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25"/>
      <c r="CA85" s="13"/>
      <c r="CD85" s="114"/>
    </row>
    <row r="86" spans="1:82" ht="20.100000000000001" customHeight="1" x14ac:dyDescent="0.4">
      <c r="A86" s="117"/>
      <c r="B86" s="123"/>
      <c r="C86" s="123"/>
      <c r="D86" s="123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25">
        <v>46150</v>
      </c>
      <c r="AB86" s="13" t="s">
        <v>146</v>
      </c>
      <c r="AQ86" s="127"/>
      <c r="AR86" s="29"/>
      <c r="BB86" s="25"/>
      <c r="BC86" s="13"/>
      <c r="BH86" s="116"/>
      <c r="BI86" s="123"/>
      <c r="BJ86" s="123"/>
      <c r="BK86" s="123"/>
      <c r="BP86" s="115"/>
      <c r="BQ86" s="115"/>
      <c r="BR86" s="115"/>
      <c r="BS86" s="115"/>
      <c r="BT86" s="115"/>
      <c r="BU86" s="115"/>
      <c r="BV86" s="115"/>
      <c r="BW86" s="115"/>
      <c r="BX86" s="115"/>
      <c r="BY86" s="115"/>
      <c r="BZ86" s="25"/>
      <c r="CA86" s="13"/>
      <c r="CD86" s="114"/>
    </row>
    <row r="87" spans="1:82" ht="20.100000000000001" customHeight="1" x14ac:dyDescent="0.4">
      <c r="A87" s="117"/>
      <c r="B87" s="123"/>
      <c r="C87" s="123"/>
      <c r="D87" s="123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25">
        <v>46150</v>
      </c>
      <c r="AB87" s="13" t="s">
        <v>146</v>
      </c>
      <c r="AQ87" s="127"/>
      <c r="AR87" s="29"/>
      <c r="BB87" s="25"/>
      <c r="BC87" s="13"/>
      <c r="BH87" s="116"/>
      <c r="BI87" s="123"/>
      <c r="BJ87" s="123"/>
      <c r="BK87" s="123"/>
      <c r="BP87" s="115"/>
      <c r="BQ87" s="115"/>
      <c r="BR87" s="115"/>
      <c r="BS87" s="115"/>
      <c r="BT87" s="115"/>
      <c r="BU87" s="115"/>
      <c r="BV87" s="115"/>
      <c r="BW87" s="115"/>
      <c r="BX87" s="115"/>
      <c r="BY87" s="115"/>
      <c r="BZ87" s="25"/>
      <c r="CA87" s="13"/>
      <c r="CD87" s="114"/>
    </row>
    <row r="88" spans="1:82" ht="20.100000000000001" customHeight="1" x14ac:dyDescent="0.4">
      <c r="A88" s="117"/>
      <c r="B88" s="123"/>
      <c r="C88" s="123"/>
      <c r="D88" s="123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25">
        <v>46150</v>
      </c>
      <c r="AB88" s="13" t="s">
        <v>146</v>
      </c>
      <c r="AQ88" s="127"/>
      <c r="AR88" s="29"/>
      <c r="BB88" s="25"/>
      <c r="BC88" s="13"/>
      <c r="BH88" s="116"/>
      <c r="BI88" s="123"/>
      <c r="BJ88" s="123"/>
      <c r="BK88" s="123"/>
      <c r="BP88" s="115"/>
      <c r="BQ88" s="115"/>
      <c r="BR88" s="115"/>
      <c r="BS88" s="115"/>
      <c r="BT88" s="115"/>
      <c r="BU88" s="115"/>
      <c r="BV88" s="115"/>
      <c r="BW88" s="115"/>
      <c r="BX88" s="115"/>
      <c r="BY88" s="115"/>
      <c r="BZ88" s="25"/>
      <c r="CA88" s="13"/>
      <c r="CD88" s="114"/>
    </row>
    <row r="89" spans="1:82" ht="20.100000000000001" customHeight="1" x14ac:dyDescent="0.4">
      <c r="A89" s="117"/>
      <c r="B89" s="123"/>
      <c r="C89" s="123"/>
      <c r="D89" s="123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25">
        <v>46150</v>
      </c>
      <c r="AB89" s="13" t="s">
        <v>146</v>
      </c>
      <c r="AQ89" s="127"/>
      <c r="AR89" s="29"/>
      <c r="BB89" s="25"/>
      <c r="BC89" s="13"/>
      <c r="BH89" s="116"/>
      <c r="BI89" s="123"/>
      <c r="BJ89" s="123"/>
      <c r="BK89" s="123"/>
      <c r="BP89" s="115"/>
      <c r="BQ89" s="115"/>
      <c r="BR89" s="115"/>
      <c r="BS89" s="115"/>
      <c r="BT89" s="115"/>
      <c r="BU89" s="115"/>
      <c r="BV89" s="115"/>
      <c r="BW89" s="115"/>
      <c r="BX89" s="115"/>
      <c r="BY89" s="115"/>
      <c r="BZ89" s="25"/>
      <c r="CA89" s="13"/>
      <c r="CD89" s="114"/>
    </row>
    <row r="90" spans="1:82" ht="20.100000000000001" customHeight="1" x14ac:dyDescent="0.4">
      <c r="A90" s="117"/>
      <c r="B90" s="123"/>
      <c r="C90" s="123"/>
      <c r="D90" s="123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25">
        <v>46150</v>
      </c>
      <c r="AB90" s="13" t="s">
        <v>146</v>
      </c>
      <c r="AQ90" s="127"/>
      <c r="AR90" s="29"/>
      <c r="BB90" s="25"/>
      <c r="BC90" s="13"/>
      <c r="BH90" s="116"/>
      <c r="BI90" s="123"/>
      <c r="BJ90" s="123"/>
      <c r="BK90" s="123"/>
      <c r="BP90" s="115"/>
      <c r="BQ90" s="115"/>
      <c r="BR90" s="115"/>
      <c r="BS90" s="115"/>
      <c r="BT90" s="115"/>
      <c r="BU90" s="115"/>
      <c r="BV90" s="115"/>
      <c r="BW90" s="115"/>
      <c r="BX90" s="115"/>
      <c r="BY90" s="115"/>
      <c r="BZ90" s="25"/>
      <c r="CA90" s="13"/>
      <c r="CD90" s="114"/>
    </row>
    <row r="91" spans="1:82" ht="20.100000000000001" customHeight="1" x14ac:dyDescent="0.4">
      <c r="A91" s="117"/>
      <c r="B91" s="123"/>
      <c r="C91" s="123"/>
      <c r="D91" s="123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25">
        <v>46150</v>
      </c>
      <c r="AB91" s="13" t="s">
        <v>146</v>
      </c>
      <c r="AQ91" s="127"/>
      <c r="AR91" s="29"/>
      <c r="BB91" s="25"/>
      <c r="BC91" s="13"/>
      <c r="BH91" s="116"/>
      <c r="BI91" s="123"/>
      <c r="BJ91" s="123"/>
      <c r="BK91" s="123"/>
      <c r="BP91" s="115"/>
      <c r="BQ91" s="115"/>
      <c r="BR91" s="115"/>
      <c r="BS91" s="115"/>
      <c r="BT91" s="115"/>
      <c r="BU91" s="115"/>
      <c r="BV91" s="115"/>
      <c r="BW91" s="115"/>
      <c r="BX91" s="115"/>
      <c r="BY91" s="115"/>
      <c r="BZ91" s="25"/>
      <c r="CA91" s="13"/>
      <c r="CD91" s="114"/>
    </row>
    <row r="92" spans="1:82" ht="20.100000000000001" customHeight="1" x14ac:dyDescent="0.4">
      <c r="A92" s="117"/>
      <c r="B92" s="123"/>
      <c r="C92" s="123"/>
      <c r="D92" s="123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 t="s">
        <v>472</v>
      </c>
      <c r="AA92" s="13">
        <f>SUBTOTAL(3,AA86:AA91)</f>
        <v>6</v>
      </c>
      <c r="AB92" s="13">
        <f>SUBTOTAL(3,AB86:AB91)</f>
        <v>6</v>
      </c>
      <c r="AQ92" s="127"/>
      <c r="AR92" s="29"/>
      <c r="BB92" s="25"/>
      <c r="BC92" s="13"/>
      <c r="BH92" s="116"/>
      <c r="BI92" s="123"/>
      <c r="BJ92" s="123"/>
      <c r="BK92" s="123"/>
      <c r="BP92" s="115"/>
      <c r="BQ92" s="115"/>
      <c r="BR92" s="115"/>
      <c r="BS92" s="115"/>
      <c r="BT92" s="115"/>
      <c r="BU92" s="115"/>
      <c r="BV92" s="115"/>
      <c r="BW92" s="115"/>
      <c r="BX92" s="115"/>
      <c r="BY92" s="115"/>
      <c r="BZ92" s="25"/>
      <c r="CA92" s="13"/>
      <c r="CD92" s="114"/>
    </row>
    <row r="93" spans="1:82" ht="20.100000000000001" customHeight="1" x14ac:dyDescent="0.4">
      <c r="A93" s="117"/>
      <c r="B93" s="123"/>
      <c r="C93" s="123"/>
      <c r="D93" s="123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25">
        <v>46152</v>
      </c>
      <c r="AB93" s="15" t="s">
        <v>148</v>
      </c>
      <c r="AQ93" s="127"/>
      <c r="AR93" s="29"/>
      <c r="BB93" s="25"/>
      <c r="BC93" s="13"/>
      <c r="BH93" s="116"/>
      <c r="BI93" s="123"/>
      <c r="BJ93" s="123"/>
      <c r="BK93" s="123"/>
      <c r="BP93" s="115"/>
      <c r="BQ93" s="115"/>
      <c r="BR93" s="115"/>
      <c r="BS93" s="115"/>
      <c r="BT93" s="115"/>
      <c r="BU93" s="115"/>
      <c r="BV93" s="115"/>
      <c r="BW93" s="115"/>
      <c r="BX93" s="115"/>
      <c r="BY93" s="115"/>
      <c r="BZ93" s="25"/>
      <c r="CA93" s="13"/>
      <c r="CD93" s="114"/>
    </row>
    <row r="94" spans="1:82" ht="20.100000000000001" customHeight="1" x14ac:dyDescent="0.4">
      <c r="A94" s="117"/>
      <c r="B94" s="123"/>
      <c r="C94" s="123"/>
      <c r="D94" s="123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25">
        <v>46152</v>
      </c>
      <c r="AB94" s="15" t="s">
        <v>146</v>
      </c>
      <c r="AQ94" s="127"/>
      <c r="AR94" s="29"/>
      <c r="BB94" s="25"/>
      <c r="BC94" s="13"/>
      <c r="BH94" s="116"/>
      <c r="BI94" s="123"/>
      <c r="BJ94" s="123"/>
      <c r="BK94" s="123"/>
      <c r="BP94" s="115"/>
      <c r="BQ94" s="115"/>
      <c r="BR94" s="115"/>
      <c r="BS94" s="115"/>
      <c r="BT94" s="115"/>
      <c r="BU94" s="115"/>
      <c r="BV94" s="115"/>
      <c r="BW94" s="115"/>
      <c r="BX94" s="115"/>
      <c r="BY94" s="115"/>
      <c r="BZ94" s="25"/>
      <c r="CA94" s="13"/>
      <c r="CD94" s="114"/>
    </row>
    <row r="95" spans="1:82" ht="20.100000000000001" customHeight="1" x14ac:dyDescent="0.4">
      <c r="A95" s="117"/>
      <c r="B95" s="123"/>
      <c r="C95" s="123"/>
      <c r="D95" s="123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25">
        <v>46152</v>
      </c>
      <c r="AB95" s="15" t="s">
        <v>146</v>
      </c>
      <c r="AQ95" s="127"/>
      <c r="AR95" s="29"/>
      <c r="BB95" s="25"/>
      <c r="BC95" s="13"/>
      <c r="BH95" s="116"/>
      <c r="BI95" s="123"/>
      <c r="BJ95" s="123"/>
      <c r="BK95" s="123"/>
      <c r="BP95" s="115"/>
      <c r="BQ95" s="115"/>
      <c r="BR95" s="115"/>
      <c r="BS95" s="115"/>
      <c r="BT95" s="115"/>
      <c r="BU95" s="115"/>
      <c r="BV95" s="115"/>
      <c r="BW95" s="115"/>
      <c r="BX95" s="115"/>
      <c r="BY95" s="115"/>
      <c r="BZ95" s="25"/>
      <c r="CA95" s="13"/>
      <c r="CD95" s="114"/>
    </row>
    <row r="96" spans="1:82" ht="20.100000000000001" customHeight="1" x14ac:dyDescent="0.4">
      <c r="A96" s="117"/>
      <c r="B96" s="123"/>
      <c r="C96" s="123"/>
      <c r="D96" s="123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25">
        <v>46152</v>
      </c>
      <c r="AB96" s="13" t="s">
        <v>148</v>
      </c>
      <c r="AQ96" s="127"/>
      <c r="AR96" s="29"/>
      <c r="BB96" s="25"/>
      <c r="BC96" s="13"/>
      <c r="BH96" s="116"/>
      <c r="BI96" s="123"/>
      <c r="BJ96" s="123"/>
      <c r="BK96" s="123"/>
      <c r="BP96" s="115"/>
      <c r="BQ96" s="115"/>
      <c r="BR96" s="115"/>
      <c r="BS96" s="115"/>
      <c r="BT96" s="115"/>
      <c r="BU96" s="115"/>
      <c r="BV96" s="115"/>
      <c r="BW96" s="115"/>
      <c r="BX96" s="115"/>
      <c r="BY96" s="115"/>
      <c r="BZ96" s="25"/>
      <c r="CA96" s="13"/>
      <c r="CD96" s="114"/>
    </row>
    <row r="97" spans="1:82" ht="20.100000000000001" customHeight="1" x14ac:dyDescent="0.4">
      <c r="A97" s="117"/>
      <c r="B97" s="123"/>
      <c r="C97" s="123"/>
      <c r="D97" s="123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 t="s">
        <v>473</v>
      </c>
      <c r="AA97" s="20">
        <f>SUBTOTAL(3,AA93:AA96)</f>
        <v>4</v>
      </c>
      <c r="AB97" s="13">
        <f>SUBTOTAL(3,AB93:AB96)</f>
        <v>4</v>
      </c>
      <c r="AQ97" s="127"/>
      <c r="AR97" s="29"/>
      <c r="BB97" s="25"/>
      <c r="BC97" s="13"/>
      <c r="BH97" s="116"/>
      <c r="BI97" s="123"/>
      <c r="BJ97" s="123"/>
      <c r="BK97" s="123"/>
      <c r="BP97" s="115"/>
      <c r="BQ97" s="115"/>
      <c r="BR97" s="115"/>
      <c r="BS97" s="115"/>
      <c r="BT97" s="115"/>
      <c r="BU97" s="115"/>
      <c r="BV97" s="115"/>
      <c r="BW97" s="115"/>
      <c r="BX97" s="115"/>
      <c r="BY97" s="115"/>
      <c r="BZ97" s="25"/>
      <c r="CA97" s="13"/>
      <c r="CD97" s="114"/>
    </row>
    <row r="98" spans="1:82" ht="20.100000000000001" customHeight="1" x14ac:dyDescent="0.4">
      <c r="A98" s="117"/>
      <c r="B98" s="123"/>
      <c r="C98" s="123"/>
      <c r="D98" s="123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26">
        <v>46155</v>
      </c>
      <c r="AB98" s="13" t="s">
        <v>146</v>
      </c>
      <c r="AQ98" s="127"/>
      <c r="AR98" s="29"/>
      <c r="BB98" s="25"/>
      <c r="BC98" s="13"/>
      <c r="BH98" s="116"/>
      <c r="BI98" s="123"/>
      <c r="BJ98" s="123"/>
      <c r="BK98" s="123"/>
      <c r="BP98" s="115"/>
      <c r="BQ98" s="115"/>
      <c r="BR98" s="115"/>
      <c r="BS98" s="115"/>
      <c r="BT98" s="115"/>
      <c r="BU98" s="115"/>
      <c r="BV98" s="115"/>
      <c r="BW98" s="115"/>
      <c r="BX98" s="115"/>
      <c r="BY98" s="115"/>
      <c r="BZ98" s="25"/>
      <c r="CA98" s="13"/>
      <c r="CD98" s="114"/>
    </row>
    <row r="99" spans="1:82" ht="20.100000000000001" customHeight="1" x14ac:dyDescent="0.4">
      <c r="A99" s="117"/>
      <c r="B99" s="123"/>
      <c r="C99" s="123"/>
      <c r="D99" s="123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26">
        <v>46155</v>
      </c>
      <c r="AB99" s="13" t="s">
        <v>146</v>
      </c>
      <c r="AQ99" s="127"/>
      <c r="AR99" s="29"/>
      <c r="BB99" s="25"/>
      <c r="BC99" s="13"/>
      <c r="BH99" s="116"/>
      <c r="BI99" s="123"/>
      <c r="BJ99" s="123"/>
      <c r="BK99" s="123"/>
      <c r="BP99" s="115"/>
      <c r="BQ99" s="115"/>
      <c r="BR99" s="115"/>
      <c r="BS99" s="115"/>
      <c r="BT99" s="115"/>
      <c r="BU99" s="115"/>
      <c r="BV99" s="115"/>
      <c r="BW99" s="115"/>
      <c r="BX99" s="115"/>
      <c r="BY99" s="115"/>
      <c r="BZ99" s="25"/>
      <c r="CA99" s="13"/>
      <c r="CD99" s="114"/>
    </row>
    <row r="100" spans="1:82" ht="20.100000000000001" customHeight="1" x14ac:dyDescent="0.4">
      <c r="A100" s="117"/>
      <c r="B100" s="123"/>
      <c r="C100" s="123"/>
      <c r="D100" s="123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 t="s">
        <v>474</v>
      </c>
      <c r="AA100" s="20">
        <f>SUBTOTAL(3,AA98:AA99)</f>
        <v>2</v>
      </c>
      <c r="AB100" s="13">
        <f>SUBTOTAL(3,AB98:AB99)</f>
        <v>2</v>
      </c>
      <c r="AQ100" s="127"/>
      <c r="AR100" s="29"/>
      <c r="BB100" s="25"/>
      <c r="BC100" s="13"/>
      <c r="BH100" s="116"/>
      <c r="BI100" s="123"/>
      <c r="BJ100" s="123"/>
      <c r="BK100" s="123"/>
      <c r="BP100" s="115"/>
      <c r="BQ100" s="115"/>
      <c r="BR100" s="115"/>
      <c r="BS100" s="115"/>
      <c r="BT100" s="115"/>
      <c r="BU100" s="115"/>
      <c r="BV100" s="115"/>
      <c r="BW100" s="115"/>
      <c r="BX100" s="115"/>
      <c r="BY100" s="115"/>
      <c r="BZ100" s="25"/>
      <c r="CA100" s="13"/>
      <c r="CD100" s="114"/>
    </row>
    <row r="101" spans="1:82" ht="20.100000000000001" customHeight="1" x14ac:dyDescent="0.4">
      <c r="A101" s="117"/>
      <c r="B101" s="123"/>
      <c r="C101" s="123"/>
      <c r="D101" s="123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25">
        <v>46158</v>
      </c>
      <c r="AB101" s="13" t="s">
        <v>147</v>
      </c>
      <c r="AQ101" s="127"/>
      <c r="AR101" s="29"/>
      <c r="BB101" s="25"/>
      <c r="BC101" s="13"/>
      <c r="BH101" s="116"/>
      <c r="BI101" s="123"/>
      <c r="BJ101" s="123"/>
      <c r="BK101" s="123"/>
      <c r="BP101" s="115"/>
      <c r="BQ101" s="115"/>
      <c r="BR101" s="115"/>
      <c r="BS101" s="115"/>
      <c r="BT101" s="115"/>
      <c r="BU101" s="115"/>
      <c r="BV101" s="115"/>
      <c r="BW101" s="115"/>
      <c r="BX101" s="115"/>
      <c r="BY101" s="115"/>
      <c r="BZ101" s="25"/>
      <c r="CA101" s="13"/>
      <c r="CD101" s="114"/>
    </row>
    <row r="102" spans="1:82" ht="20.100000000000001" customHeight="1" x14ac:dyDescent="0.4">
      <c r="A102" s="117"/>
      <c r="B102" s="123"/>
      <c r="C102" s="123"/>
      <c r="D102" s="123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 t="s">
        <v>475</v>
      </c>
      <c r="AA102" s="13">
        <f>SUBTOTAL(3,AA101:AA101)</f>
        <v>1</v>
      </c>
      <c r="AB102" s="13">
        <f>SUBTOTAL(3,AB101:AB101)</f>
        <v>1</v>
      </c>
      <c r="AQ102" s="127"/>
      <c r="AR102" s="29"/>
      <c r="BB102" s="25"/>
      <c r="BC102" s="13"/>
      <c r="BH102" s="116"/>
      <c r="BI102" s="123"/>
      <c r="BJ102" s="123"/>
      <c r="BK102" s="123"/>
      <c r="BP102" s="115"/>
      <c r="BQ102" s="115"/>
      <c r="BR102" s="115"/>
      <c r="BS102" s="115"/>
      <c r="BT102" s="115"/>
      <c r="BU102" s="115"/>
      <c r="BV102" s="115"/>
      <c r="BW102" s="115"/>
      <c r="BX102" s="115"/>
      <c r="BY102" s="115"/>
      <c r="BZ102" s="25"/>
      <c r="CA102" s="13"/>
      <c r="CD102" s="114"/>
    </row>
    <row r="103" spans="1:82" ht="20.100000000000001" customHeight="1" x14ac:dyDescent="0.4">
      <c r="A103" s="117"/>
      <c r="B103" s="123"/>
      <c r="C103" s="123"/>
      <c r="D103" s="123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 t="s">
        <v>145</v>
      </c>
      <c r="AA103" s="13">
        <f>SUBTOTAL(3,AA2:AA101)</f>
        <v>79</v>
      </c>
      <c r="AB103" s="13">
        <f>SUBTOTAL(3,AB2:AB101)</f>
        <v>79</v>
      </c>
      <c r="AQ103" s="127"/>
      <c r="AR103" s="29"/>
      <c r="BB103" s="25"/>
      <c r="BC103" s="13"/>
      <c r="BH103" s="116"/>
      <c r="BI103" s="123"/>
      <c r="BJ103" s="123"/>
      <c r="BK103" s="123"/>
      <c r="BP103" s="115"/>
      <c r="BQ103" s="115"/>
      <c r="BR103" s="115"/>
      <c r="BS103" s="115"/>
      <c r="BT103" s="115"/>
      <c r="BU103" s="115"/>
      <c r="BV103" s="115"/>
      <c r="BW103" s="115"/>
      <c r="BX103" s="115"/>
      <c r="BY103" s="115"/>
      <c r="BZ103" s="25"/>
      <c r="CA103" s="13"/>
      <c r="CD103" s="114"/>
    </row>
    <row r="104" spans="1:82" ht="20.100000000000001" customHeight="1" x14ac:dyDescent="0.4">
      <c r="A104" s="117"/>
      <c r="B104" s="123"/>
      <c r="C104" s="123"/>
      <c r="D104" s="123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25"/>
      <c r="AB104" s="13"/>
      <c r="AQ104" s="127"/>
      <c r="AR104" s="29"/>
      <c r="BB104" s="25"/>
      <c r="BC104" s="13"/>
      <c r="BH104" s="116"/>
      <c r="BI104" s="123"/>
      <c r="BJ104" s="123"/>
      <c r="BK104" s="123"/>
      <c r="BP104" s="115"/>
      <c r="BQ104" s="115"/>
      <c r="BR104" s="115"/>
      <c r="BS104" s="115"/>
      <c r="BT104" s="115"/>
      <c r="BU104" s="115"/>
      <c r="BV104" s="115"/>
      <c r="BW104" s="115"/>
      <c r="BX104" s="115"/>
      <c r="BY104" s="115"/>
      <c r="BZ104" s="25"/>
      <c r="CA104" s="13"/>
      <c r="CD104" s="114"/>
    </row>
    <row r="105" spans="1:82" ht="20.100000000000001" customHeight="1" x14ac:dyDescent="0.4">
      <c r="A105" s="117"/>
      <c r="B105" s="123"/>
      <c r="C105" s="123"/>
      <c r="D105" s="123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25"/>
      <c r="AB105" s="13"/>
      <c r="AQ105" s="127"/>
      <c r="AR105" s="29"/>
      <c r="BB105" s="25"/>
      <c r="BC105" s="13"/>
      <c r="BH105" s="116"/>
      <c r="BI105" s="123"/>
      <c r="BJ105" s="123"/>
      <c r="BK105" s="123"/>
      <c r="BP105" s="115"/>
      <c r="BQ105" s="115"/>
      <c r="BR105" s="115"/>
      <c r="BS105" s="115"/>
      <c r="BT105" s="115"/>
      <c r="BU105" s="115"/>
      <c r="BV105" s="115"/>
      <c r="BW105" s="115"/>
      <c r="BX105" s="115"/>
      <c r="BY105" s="115"/>
      <c r="BZ105" s="25"/>
      <c r="CA105" s="13"/>
      <c r="CD105" s="114"/>
    </row>
    <row r="106" spans="1:82" ht="20.100000000000001" customHeight="1" x14ac:dyDescent="0.4">
      <c r="A106" s="117"/>
      <c r="B106" s="123"/>
      <c r="C106" s="123"/>
      <c r="D106" s="123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25"/>
      <c r="AB106" s="15"/>
      <c r="AQ106" s="127"/>
      <c r="AR106" s="29"/>
      <c r="BB106" s="25"/>
      <c r="BC106" s="13"/>
      <c r="BH106" s="116"/>
      <c r="BI106" s="123"/>
      <c r="BJ106" s="123"/>
      <c r="BK106" s="123"/>
      <c r="BP106" s="115"/>
      <c r="BQ106" s="115"/>
      <c r="BR106" s="115"/>
      <c r="BS106" s="115"/>
      <c r="BT106" s="115"/>
      <c r="BU106" s="115"/>
      <c r="BV106" s="115"/>
      <c r="BW106" s="115"/>
      <c r="BX106" s="115"/>
      <c r="BY106" s="115"/>
      <c r="BZ106" s="25"/>
      <c r="CA106" s="13"/>
      <c r="CD106" s="114"/>
    </row>
    <row r="107" spans="1:82" ht="20.100000000000001" customHeight="1" x14ac:dyDescent="0.4">
      <c r="A107" s="117"/>
      <c r="B107" s="123"/>
      <c r="C107" s="123"/>
      <c r="D107" s="123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25"/>
      <c r="AB107" s="15"/>
      <c r="AQ107" s="127"/>
      <c r="AR107" s="29"/>
      <c r="BB107" s="25"/>
      <c r="BC107" s="13"/>
      <c r="BH107" s="116"/>
      <c r="BI107" s="123"/>
      <c r="BJ107" s="123"/>
      <c r="BK107" s="123"/>
      <c r="BP107" s="115"/>
      <c r="BQ107" s="115"/>
      <c r="BR107" s="115"/>
      <c r="BS107" s="115"/>
      <c r="BT107" s="115"/>
      <c r="BU107" s="115"/>
      <c r="BV107" s="115"/>
      <c r="BW107" s="115"/>
      <c r="BX107" s="115"/>
      <c r="BY107" s="115"/>
      <c r="BZ107" s="25"/>
      <c r="CA107" s="13"/>
      <c r="CD107" s="114"/>
    </row>
    <row r="108" spans="1:82" ht="20.100000000000001" customHeight="1" x14ac:dyDescent="0.4">
      <c r="A108" s="117"/>
      <c r="B108" s="123"/>
      <c r="C108" s="123"/>
      <c r="D108" s="123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25"/>
      <c r="AB108" s="15"/>
      <c r="AQ108" s="127"/>
      <c r="AR108" s="29"/>
      <c r="BB108" s="25"/>
      <c r="BC108" s="13"/>
      <c r="BH108" s="116"/>
      <c r="BI108" s="123"/>
      <c r="BJ108" s="123"/>
      <c r="BK108" s="123"/>
      <c r="BP108" s="115"/>
      <c r="BQ108" s="115"/>
      <c r="BR108" s="115"/>
      <c r="BS108" s="115"/>
      <c r="BT108" s="115"/>
      <c r="BU108" s="115"/>
      <c r="BV108" s="115"/>
      <c r="BW108" s="115"/>
      <c r="BX108" s="115"/>
      <c r="BY108" s="115"/>
      <c r="BZ108" s="25"/>
      <c r="CA108" s="13"/>
      <c r="CD108" s="114"/>
    </row>
    <row r="109" spans="1:82" ht="20.100000000000001" customHeight="1" x14ac:dyDescent="0.4">
      <c r="A109" s="117"/>
      <c r="B109" s="123"/>
      <c r="C109" s="123"/>
      <c r="D109" s="123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25"/>
      <c r="AB109" s="13"/>
      <c r="AQ109" s="127"/>
      <c r="AR109" s="29"/>
      <c r="BB109" s="25"/>
      <c r="BC109" s="13"/>
      <c r="BH109" s="116"/>
      <c r="BI109" s="123"/>
      <c r="BJ109" s="123"/>
      <c r="BK109" s="123"/>
      <c r="BP109" s="115"/>
      <c r="BQ109" s="115"/>
      <c r="BR109" s="115"/>
      <c r="BS109" s="115"/>
      <c r="BT109" s="115"/>
      <c r="BU109" s="115"/>
      <c r="BV109" s="115"/>
      <c r="BW109" s="115"/>
      <c r="BX109" s="115"/>
      <c r="BY109" s="115"/>
      <c r="BZ109" s="25"/>
      <c r="CA109" s="13"/>
      <c r="CD109" s="114"/>
    </row>
    <row r="110" spans="1:82" ht="20.100000000000001" customHeight="1" x14ac:dyDescent="0.4">
      <c r="A110" s="117"/>
      <c r="B110" s="123"/>
      <c r="C110" s="123"/>
      <c r="D110" s="123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26"/>
      <c r="AB110" s="13"/>
      <c r="AQ110" s="127"/>
      <c r="AR110" s="29"/>
      <c r="BB110" s="25"/>
      <c r="BC110" s="13"/>
      <c r="BH110" s="116"/>
      <c r="BI110" s="123"/>
      <c r="BJ110" s="123"/>
      <c r="BK110" s="123"/>
      <c r="BP110" s="115"/>
      <c r="BQ110" s="115"/>
      <c r="BR110" s="115"/>
      <c r="BS110" s="115"/>
      <c r="BT110" s="115"/>
      <c r="BU110" s="115"/>
      <c r="BV110" s="115"/>
      <c r="BW110" s="115"/>
      <c r="BX110" s="115"/>
      <c r="BY110" s="115"/>
      <c r="BZ110" s="25"/>
      <c r="CA110" s="13"/>
      <c r="CD110" s="114"/>
    </row>
    <row r="111" spans="1:82" ht="20.100000000000001" customHeight="1" x14ac:dyDescent="0.4">
      <c r="A111" s="117"/>
      <c r="B111" s="123"/>
      <c r="C111" s="123"/>
      <c r="D111" s="123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26"/>
      <c r="AB111" s="13"/>
      <c r="AQ111" s="127"/>
      <c r="AR111" s="29"/>
      <c r="BB111" s="25"/>
      <c r="BC111" s="13"/>
      <c r="BH111" s="116"/>
      <c r="BI111" s="123"/>
      <c r="BJ111" s="123"/>
      <c r="BK111" s="123"/>
      <c r="BP111" s="115"/>
      <c r="BQ111" s="115"/>
      <c r="BR111" s="115"/>
      <c r="BS111" s="115"/>
      <c r="BT111" s="115"/>
      <c r="BU111" s="115"/>
      <c r="BV111" s="115"/>
      <c r="BW111" s="115"/>
      <c r="BX111" s="115"/>
      <c r="BY111" s="115"/>
      <c r="BZ111" s="25"/>
      <c r="CA111" s="13"/>
      <c r="CD111" s="114"/>
    </row>
    <row r="112" spans="1:82" ht="20.100000000000001" customHeight="1" x14ac:dyDescent="0.4">
      <c r="A112" s="117"/>
      <c r="B112" s="123"/>
      <c r="C112" s="123"/>
      <c r="D112" s="123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26"/>
      <c r="AB112" s="13"/>
      <c r="AQ112" s="127"/>
      <c r="AR112" s="29"/>
      <c r="BB112" s="25"/>
      <c r="BC112" s="13"/>
      <c r="BH112" s="116"/>
      <c r="BI112" s="123"/>
      <c r="BJ112" s="123"/>
      <c r="BK112" s="123"/>
      <c r="BP112" s="115"/>
      <c r="BQ112" s="115"/>
      <c r="BR112" s="115"/>
      <c r="BS112" s="115"/>
      <c r="BT112" s="115"/>
      <c r="BU112" s="115"/>
      <c r="BV112" s="115"/>
      <c r="BW112" s="115"/>
      <c r="BX112" s="115"/>
      <c r="BY112" s="115"/>
      <c r="BZ112" s="25"/>
      <c r="CA112" s="13"/>
      <c r="CD112" s="114"/>
    </row>
    <row r="113" spans="1:82" ht="20.100000000000001" customHeight="1" x14ac:dyDescent="0.4">
      <c r="A113" s="117"/>
      <c r="B113" s="123"/>
      <c r="C113" s="123"/>
      <c r="D113" s="123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26"/>
      <c r="AB113" s="13"/>
      <c r="AQ113" s="127"/>
      <c r="AR113" s="29"/>
      <c r="BB113" s="25"/>
      <c r="BC113" s="13"/>
      <c r="BH113" s="116"/>
      <c r="BI113" s="123"/>
      <c r="BJ113" s="123"/>
      <c r="BK113" s="123"/>
      <c r="BP113" s="115"/>
      <c r="BQ113" s="115"/>
      <c r="BR113" s="115"/>
      <c r="BS113" s="115"/>
      <c r="BT113" s="115"/>
      <c r="BU113" s="115"/>
      <c r="BV113" s="115"/>
      <c r="BW113" s="115"/>
      <c r="BX113" s="115"/>
      <c r="BY113" s="115"/>
      <c r="BZ113" s="25"/>
      <c r="CA113" s="13"/>
      <c r="CD113" s="114"/>
    </row>
    <row r="114" spans="1:82" ht="20.100000000000001" customHeight="1" x14ac:dyDescent="0.4">
      <c r="A114" s="117"/>
      <c r="B114" s="123"/>
      <c r="C114" s="123"/>
      <c r="D114" s="123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26"/>
      <c r="AB114" s="13"/>
      <c r="AQ114" s="127"/>
      <c r="AR114" s="29"/>
      <c r="BB114" s="25"/>
      <c r="BC114" s="13"/>
      <c r="BH114" s="116"/>
      <c r="BI114" s="123"/>
      <c r="BJ114" s="123"/>
      <c r="BK114" s="123"/>
      <c r="BP114" s="115"/>
      <c r="BQ114" s="115"/>
      <c r="BR114" s="115"/>
      <c r="BS114" s="115"/>
      <c r="BT114" s="115"/>
      <c r="BU114" s="115"/>
      <c r="BV114" s="115"/>
      <c r="BW114" s="115"/>
      <c r="BX114" s="115"/>
      <c r="BY114" s="115"/>
      <c r="BZ114" s="25"/>
      <c r="CA114" s="13"/>
      <c r="CD114" s="114"/>
    </row>
    <row r="115" spans="1:82" ht="20.100000000000001" customHeight="1" x14ac:dyDescent="0.4">
      <c r="A115" s="117"/>
      <c r="B115" s="123"/>
      <c r="C115" s="123"/>
      <c r="D115" s="123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26"/>
      <c r="AB115" s="13"/>
      <c r="AQ115" s="127"/>
      <c r="AR115" s="29"/>
      <c r="BB115" s="25"/>
      <c r="BC115" s="13"/>
      <c r="BH115" s="116"/>
      <c r="BI115" s="123"/>
      <c r="BJ115" s="123"/>
      <c r="BK115" s="123"/>
      <c r="BP115" s="115"/>
      <c r="BQ115" s="115"/>
      <c r="BR115" s="115"/>
      <c r="BS115" s="115"/>
      <c r="BT115" s="115"/>
      <c r="BU115" s="115"/>
      <c r="BV115" s="115"/>
      <c r="BW115" s="115"/>
      <c r="BX115" s="115"/>
      <c r="BY115" s="115"/>
      <c r="BZ115" s="25"/>
      <c r="CA115" s="13"/>
      <c r="CD115" s="114"/>
    </row>
    <row r="116" spans="1:82" ht="20.100000000000001" customHeight="1" x14ac:dyDescent="0.4">
      <c r="A116" s="117"/>
      <c r="B116" s="123"/>
      <c r="C116" s="123"/>
      <c r="D116" s="123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26"/>
      <c r="AB116" s="13"/>
      <c r="AQ116" s="127"/>
      <c r="AR116" s="29"/>
      <c r="BB116" s="25"/>
      <c r="BC116" s="13"/>
      <c r="BH116" s="116"/>
      <c r="BI116" s="123"/>
      <c r="BJ116" s="123"/>
      <c r="BK116" s="123"/>
      <c r="BP116" s="115"/>
      <c r="BQ116" s="115"/>
      <c r="BR116" s="115"/>
      <c r="BS116" s="115"/>
      <c r="BT116" s="115"/>
      <c r="BU116" s="115"/>
      <c r="BV116" s="115"/>
      <c r="BW116" s="115"/>
      <c r="BX116" s="115"/>
      <c r="BY116" s="115"/>
      <c r="BZ116" s="25"/>
      <c r="CA116" s="13"/>
      <c r="CD116" s="114"/>
    </row>
    <row r="117" spans="1:82" ht="20.100000000000001" customHeight="1" x14ac:dyDescent="0.4">
      <c r="A117" s="117"/>
      <c r="B117" s="123"/>
      <c r="C117" s="123"/>
      <c r="D117" s="123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26"/>
      <c r="AB117" s="13"/>
      <c r="AQ117" s="127"/>
      <c r="AR117" s="29"/>
      <c r="BB117" s="25"/>
      <c r="BC117" s="13"/>
      <c r="BH117" s="116"/>
      <c r="BI117" s="123"/>
      <c r="BJ117" s="123"/>
      <c r="BK117" s="123"/>
      <c r="BP117" s="115"/>
      <c r="BQ117" s="115"/>
      <c r="BR117" s="115"/>
      <c r="BS117" s="115"/>
      <c r="BT117" s="115"/>
      <c r="BU117" s="115"/>
      <c r="BV117" s="115"/>
      <c r="BW117" s="115"/>
      <c r="BX117" s="115"/>
      <c r="BY117" s="115"/>
      <c r="BZ117" s="25"/>
      <c r="CA117" s="13"/>
      <c r="CD117" s="114"/>
    </row>
    <row r="118" spans="1:82" ht="20.100000000000001" customHeight="1" x14ac:dyDescent="0.4">
      <c r="A118" s="117"/>
      <c r="B118" s="123"/>
      <c r="C118" s="123"/>
      <c r="D118" s="123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26"/>
      <c r="AB118" s="13"/>
      <c r="AQ118" s="127"/>
      <c r="AR118" s="29"/>
      <c r="BB118" s="25"/>
      <c r="BC118" s="13"/>
      <c r="BH118" s="116"/>
      <c r="BI118" s="123"/>
      <c r="BJ118" s="123"/>
      <c r="BK118" s="123"/>
      <c r="BP118" s="115"/>
      <c r="BQ118" s="115"/>
      <c r="BR118" s="115"/>
      <c r="BS118" s="115"/>
      <c r="BT118" s="115"/>
      <c r="BU118" s="115"/>
      <c r="BV118" s="115"/>
      <c r="BW118" s="115"/>
      <c r="BX118" s="115"/>
      <c r="BY118" s="115"/>
      <c r="BZ118" s="25"/>
      <c r="CA118" s="13"/>
      <c r="CD118" s="114"/>
    </row>
    <row r="119" spans="1:82" ht="20.100000000000001" customHeight="1" x14ac:dyDescent="0.4">
      <c r="A119" s="117"/>
      <c r="B119" s="123"/>
      <c r="C119" s="123"/>
      <c r="D119" s="123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26"/>
      <c r="AB119" s="13"/>
      <c r="AQ119" s="127"/>
      <c r="AR119" s="29"/>
      <c r="BB119" s="25"/>
      <c r="BC119" s="13"/>
      <c r="BH119" s="116"/>
      <c r="BI119" s="123"/>
      <c r="BJ119" s="123"/>
      <c r="BK119" s="123"/>
      <c r="BP119" s="115"/>
      <c r="BQ119" s="115"/>
      <c r="BR119" s="115"/>
      <c r="BS119" s="115"/>
      <c r="BT119" s="115"/>
      <c r="BU119" s="115"/>
      <c r="BV119" s="115"/>
      <c r="BW119" s="115"/>
      <c r="BX119" s="115"/>
      <c r="BY119" s="115"/>
      <c r="BZ119" s="25"/>
      <c r="CA119" s="13"/>
      <c r="CD119" s="114"/>
    </row>
    <row r="120" spans="1:82" ht="20.100000000000001" customHeight="1" x14ac:dyDescent="0.4">
      <c r="A120" s="117"/>
      <c r="B120" s="123"/>
      <c r="C120" s="123"/>
      <c r="D120" s="123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26"/>
      <c r="AB120" s="13"/>
      <c r="AQ120" s="127"/>
      <c r="AR120" s="29"/>
      <c r="BB120" s="25"/>
      <c r="BC120" s="13"/>
      <c r="BH120" s="116"/>
      <c r="BI120" s="123"/>
      <c r="BJ120" s="123"/>
      <c r="BK120" s="123"/>
      <c r="BP120" s="115"/>
      <c r="BQ120" s="115"/>
      <c r="BR120" s="115"/>
      <c r="BS120" s="115"/>
      <c r="BT120" s="115"/>
      <c r="BU120" s="115"/>
      <c r="BV120" s="115"/>
      <c r="BW120" s="115"/>
      <c r="BX120" s="115"/>
      <c r="BY120" s="115"/>
      <c r="BZ120" s="25"/>
      <c r="CA120" s="13"/>
      <c r="CD120" s="114"/>
    </row>
    <row r="121" spans="1:82" ht="20.100000000000001" customHeight="1" x14ac:dyDescent="0.4">
      <c r="A121" s="117"/>
      <c r="B121" s="123"/>
      <c r="C121" s="123"/>
      <c r="D121" s="123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26"/>
      <c r="AB121" s="13"/>
      <c r="AQ121" s="127"/>
      <c r="AR121" s="29"/>
      <c r="BB121" s="25"/>
      <c r="BC121" s="13"/>
      <c r="BH121" s="116"/>
      <c r="BI121" s="123"/>
      <c r="BJ121" s="123"/>
      <c r="BK121" s="123"/>
      <c r="BP121" s="115"/>
      <c r="BQ121" s="115"/>
      <c r="BR121" s="115"/>
      <c r="BS121" s="115"/>
      <c r="BT121" s="115"/>
      <c r="BU121" s="115"/>
      <c r="BV121" s="115"/>
      <c r="BW121" s="115"/>
      <c r="BX121" s="115"/>
      <c r="BY121" s="115"/>
      <c r="BZ121" s="25"/>
      <c r="CA121" s="13"/>
      <c r="CD121" s="114"/>
    </row>
    <row r="122" spans="1:82" ht="20.100000000000001" customHeight="1" x14ac:dyDescent="0.4">
      <c r="A122" s="117"/>
      <c r="B122" s="123"/>
      <c r="C122" s="123"/>
      <c r="D122" s="123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26"/>
      <c r="AB122" s="13"/>
      <c r="AQ122" s="127"/>
      <c r="AR122" s="29"/>
      <c r="BB122" s="25"/>
      <c r="BC122" s="13"/>
      <c r="BH122" s="116"/>
      <c r="BI122" s="123"/>
      <c r="BJ122" s="123"/>
      <c r="BK122" s="123"/>
      <c r="BP122" s="115"/>
      <c r="BQ122" s="115"/>
      <c r="BR122" s="115"/>
      <c r="BS122" s="115"/>
      <c r="BT122" s="115"/>
      <c r="BU122" s="115"/>
      <c r="BV122" s="115"/>
      <c r="BW122" s="115"/>
      <c r="BX122" s="115"/>
      <c r="BY122" s="115"/>
      <c r="BZ122" s="25"/>
      <c r="CA122" s="13"/>
      <c r="CD122" s="114"/>
    </row>
    <row r="123" spans="1:82" ht="20.100000000000001" customHeight="1" x14ac:dyDescent="0.4">
      <c r="A123" s="117"/>
      <c r="B123" s="123"/>
      <c r="C123" s="123"/>
      <c r="D123" s="123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26"/>
      <c r="AB123" s="13"/>
      <c r="AQ123" s="127"/>
      <c r="AR123" s="29"/>
      <c r="BB123" s="25"/>
      <c r="BC123" s="13"/>
      <c r="BH123" s="116"/>
      <c r="BI123" s="123"/>
      <c r="BJ123" s="123"/>
      <c r="BK123" s="123"/>
      <c r="BP123" s="115"/>
      <c r="BQ123" s="115"/>
      <c r="BR123" s="115"/>
      <c r="BS123" s="115"/>
      <c r="BT123" s="115"/>
      <c r="BU123" s="115"/>
      <c r="BV123" s="115"/>
      <c r="BW123" s="115"/>
      <c r="BX123" s="115"/>
      <c r="BY123" s="115"/>
      <c r="BZ123" s="25"/>
      <c r="CA123" s="13"/>
      <c r="CD123" s="114"/>
    </row>
    <row r="124" spans="1:82" ht="20.100000000000001" customHeight="1" x14ac:dyDescent="0.4">
      <c r="A124" s="117"/>
      <c r="B124" s="123"/>
      <c r="C124" s="123"/>
      <c r="D124" s="123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26"/>
      <c r="AB124" s="13"/>
      <c r="AQ124" s="127"/>
      <c r="AR124" s="29"/>
      <c r="BB124" s="25"/>
      <c r="BC124" s="13"/>
      <c r="BH124" s="116"/>
      <c r="BI124" s="123"/>
      <c r="BJ124" s="123"/>
      <c r="BK124" s="123"/>
      <c r="BP124" s="115"/>
      <c r="BQ124" s="115"/>
      <c r="BR124" s="115"/>
      <c r="BS124" s="115"/>
      <c r="BT124" s="115"/>
      <c r="BU124" s="115"/>
      <c r="BV124" s="115"/>
      <c r="BW124" s="115"/>
      <c r="BX124" s="115"/>
      <c r="BY124" s="115"/>
      <c r="BZ124" s="25"/>
      <c r="CA124" s="13"/>
      <c r="CD124" s="114"/>
    </row>
    <row r="125" spans="1:82" ht="20.100000000000001" customHeight="1" x14ac:dyDescent="0.4">
      <c r="A125" s="117"/>
      <c r="B125" s="123"/>
      <c r="C125" s="123"/>
      <c r="D125" s="123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25"/>
      <c r="AB125" s="15"/>
      <c r="AQ125" s="127"/>
      <c r="AR125" s="29"/>
      <c r="BB125" s="25"/>
      <c r="BC125" s="13"/>
      <c r="BH125" s="116"/>
      <c r="BI125" s="123"/>
      <c r="BJ125" s="123"/>
      <c r="BK125" s="123"/>
      <c r="BP125" s="115"/>
      <c r="BQ125" s="115"/>
      <c r="BR125" s="115"/>
      <c r="BS125" s="115"/>
      <c r="BT125" s="115"/>
      <c r="BU125" s="115"/>
      <c r="BV125" s="115"/>
      <c r="BW125" s="115"/>
      <c r="BX125" s="115"/>
      <c r="BY125" s="115"/>
      <c r="BZ125" s="25"/>
      <c r="CA125" s="13"/>
      <c r="CD125" s="114"/>
    </row>
    <row r="126" spans="1:82" ht="20.100000000000001" customHeight="1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25"/>
      <c r="AB126" s="15"/>
      <c r="AQ126" s="127"/>
      <c r="AR126" s="29"/>
      <c r="BB126" s="25"/>
      <c r="BC126" s="13"/>
      <c r="BH126" s="116"/>
      <c r="BI126" s="123"/>
      <c r="BJ126" s="123"/>
      <c r="BK126" s="123"/>
      <c r="BP126" s="115"/>
      <c r="BQ126" s="115"/>
      <c r="BR126" s="115"/>
      <c r="BS126" s="115"/>
      <c r="BT126" s="115"/>
      <c r="BU126" s="115"/>
      <c r="BV126" s="115"/>
      <c r="BW126" s="115"/>
      <c r="BX126" s="115"/>
      <c r="BY126" s="115"/>
      <c r="BZ126" s="25"/>
      <c r="CA126" s="13"/>
      <c r="CD126" s="114"/>
    </row>
    <row r="127" spans="1:82" ht="20.100000000000001" customHeight="1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25"/>
      <c r="AB127" s="15"/>
      <c r="AQ127" s="127"/>
      <c r="AR127" s="29"/>
      <c r="BB127" s="25"/>
      <c r="BC127" s="13"/>
      <c r="BH127" s="116"/>
      <c r="BI127" s="123"/>
      <c r="BJ127" s="123"/>
      <c r="BK127" s="123"/>
      <c r="BP127" s="115"/>
      <c r="BQ127" s="115"/>
      <c r="BR127" s="115"/>
      <c r="BS127" s="115"/>
      <c r="BT127" s="115"/>
      <c r="BU127" s="115"/>
      <c r="BV127" s="115"/>
      <c r="BW127" s="115"/>
      <c r="BX127" s="115"/>
      <c r="BY127" s="115"/>
      <c r="BZ127" s="25"/>
      <c r="CA127" s="13"/>
      <c r="CD127" s="114"/>
    </row>
    <row r="128" spans="1:82" ht="20.100000000000001" customHeight="1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25"/>
      <c r="AB128" s="15"/>
      <c r="AQ128" s="127"/>
      <c r="AR128" s="29"/>
      <c r="BB128" s="25"/>
      <c r="BC128" s="13"/>
      <c r="BH128" s="116"/>
      <c r="BI128" s="123"/>
      <c r="BJ128" s="123"/>
      <c r="BK128" s="123"/>
      <c r="BP128" s="115"/>
      <c r="BQ128" s="115"/>
      <c r="BR128" s="115"/>
      <c r="BS128" s="115"/>
      <c r="BT128" s="115"/>
      <c r="BU128" s="115"/>
      <c r="BV128" s="115"/>
      <c r="BW128" s="115"/>
      <c r="BX128" s="115"/>
      <c r="BY128" s="115"/>
      <c r="BZ128" s="25"/>
      <c r="CA128" s="13"/>
      <c r="CD128" s="114"/>
    </row>
    <row r="129" spans="1:82" ht="20.100000000000001" customHeight="1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25"/>
      <c r="AB129" s="15"/>
      <c r="AQ129" s="127"/>
      <c r="AR129" s="29"/>
      <c r="BB129" s="25"/>
      <c r="BC129" s="13"/>
      <c r="BH129" s="116"/>
      <c r="BI129" s="123"/>
      <c r="BJ129" s="123"/>
      <c r="BK129" s="123"/>
      <c r="BP129" s="115"/>
      <c r="BQ129" s="115"/>
      <c r="BR129" s="115"/>
      <c r="BS129" s="115"/>
      <c r="BT129" s="115"/>
      <c r="BU129" s="115"/>
      <c r="BV129" s="115"/>
      <c r="BW129" s="115"/>
      <c r="BX129" s="115"/>
      <c r="BY129" s="115"/>
      <c r="BZ129" s="25"/>
      <c r="CA129" s="13"/>
      <c r="CD129" s="114"/>
    </row>
    <row r="130" spans="1:82" ht="20.100000000000001" customHeight="1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3"/>
      <c r="AB130" s="15"/>
      <c r="AQ130" s="127"/>
      <c r="AR130" s="29"/>
      <c r="BB130" s="25"/>
      <c r="BC130" s="13"/>
      <c r="BH130" s="116"/>
      <c r="BI130" s="123"/>
      <c r="BJ130" s="123"/>
      <c r="BK130" s="123"/>
      <c r="BP130" s="115"/>
      <c r="BQ130" s="115"/>
      <c r="BR130" s="115"/>
      <c r="BS130" s="115"/>
      <c r="BT130" s="115"/>
      <c r="BU130" s="115"/>
      <c r="BV130" s="115"/>
      <c r="BW130" s="115"/>
      <c r="BX130" s="115"/>
      <c r="BY130" s="115"/>
      <c r="BZ130" s="25"/>
      <c r="CA130" s="13"/>
      <c r="CD130" s="114"/>
    </row>
    <row r="131" spans="1:82" ht="20.100000000000001" customHeight="1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25"/>
      <c r="AB131" s="15"/>
      <c r="AQ131" s="127"/>
      <c r="AR131" s="29"/>
      <c r="BB131" s="25"/>
      <c r="BC131" s="13"/>
      <c r="BH131" s="116"/>
      <c r="BI131" s="123"/>
      <c r="BJ131" s="123"/>
      <c r="BK131" s="123"/>
      <c r="BP131" s="115"/>
      <c r="BQ131" s="115"/>
      <c r="BR131" s="115"/>
      <c r="BS131" s="115"/>
      <c r="BT131" s="115"/>
      <c r="BU131" s="115"/>
      <c r="BV131" s="115"/>
      <c r="BW131" s="115"/>
      <c r="BX131" s="115"/>
      <c r="BY131" s="115"/>
      <c r="BZ131" s="25"/>
      <c r="CA131" s="13"/>
      <c r="CD131" s="114"/>
    </row>
    <row r="132" spans="1:82" ht="20.100000000000001" customHeight="1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25"/>
      <c r="AB132" s="15"/>
      <c r="AQ132" s="127"/>
      <c r="AR132" s="29"/>
      <c r="BB132" s="25"/>
      <c r="BC132" s="13"/>
      <c r="BH132" s="116"/>
      <c r="BI132" s="123"/>
      <c r="BJ132" s="123"/>
      <c r="BK132" s="123"/>
      <c r="BP132" s="115"/>
      <c r="BQ132" s="115"/>
      <c r="BR132" s="115"/>
      <c r="BS132" s="115"/>
      <c r="BT132" s="115"/>
      <c r="BU132" s="115"/>
      <c r="BV132" s="115"/>
      <c r="BW132" s="115"/>
      <c r="BX132" s="115"/>
      <c r="BY132" s="115"/>
      <c r="BZ132" s="25"/>
      <c r="CA132" s="13"/>
      <c r="CD132" s="114"/>
    </row>
    <row r="133" spans="1:82" ht="20.100000000000001" customHeight="1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25"/>
      <c r="AB133" s="15"/>
      <c r="AQ133" s="127"/>
      <c r="AR133" s="29"/>
      <c r="BB133" s="25"/>
      <c r="BC133" s="13"/>
      <c r="BH133" s="116"/>
      <c r="BI133" s="123"/>
      <c r="BJ133" s="123"/>
      <c r="BK133" s="123"/>
      <c r="BP133" s="115"/>
      <c r="BQ133" s="115"/>
      <c r="BR133" s="115"/>
      <c r="BS133" s="115"/>
      <c r="BT133" s="115"/>
      <c r="BU133" s="115"/>
      <c r="BV133" s="115"/>
      <c r="BW133" s="115"/>
      <c r="BX133" s="115"/>
      <c r="BY133" s="115"/>
      <c r="BZ133" s="25"/>
      <c r="CA133" s="13"/>
      <c r="CD133" s="114"/>
    </row>
    <row r="134" spans="1:82" ht="20.100000000000001" customHeight="1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25"/>
      <c r="AB134" s="15"/>
      <c r="AQ134" s="127"/>
      <c r="AR134" s="29"/>
      <c r="BB134" s="25"/>
      <c r="BC134" s="13"/>
      <c r="BH134" s="116"/>
      <c r="BI134" s="123"/>
      <c r="BJ134" s="123"/>
      <c r="BK134" s="123"/>
      <c r="BP134" s="115"/>
      <c r="BQ134" s="115"/>
      <c r="BR134" s="115"/>
      <c r="BS134" s="115"/>
      <c r="BT134" s="115"/>
      <c r="BU134" s="115"/>
      <c r="BV134" s="115"/>
      <c r="BW134" s="115"/>
      <c r="BX134" s="115"/>
      <c r="BY134" s="115"/>
      <c r="BZ134" s="25"/>
      <c r="CA134" s="13"/>
      <c r="CD134" s="114"/>
    </row>
    <row r="135" spans="1:82" ht="20.100000000000001" customHeight="1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25"/>
      <c r="AB135" s="15"/>
      <c r="AQ135" s="127"/>
      <c r="AR135" s="29"/>
      <c r="BB135" s="25"/>
      <c r="BC135" s="13"/>
      <c r="BH135" s="116"/>
      <c r="BI135" s="123"/>
      <c r="BJ135" s="123"/>
      <c r="BK135" s="123"/>
      <c r="BP135" s="115"/>
      <c r="BQ135" s="115"/>
      <c r="BR135" s="115"/>
      <c r="BS135" s="115"/>
      <c r="BT135" s="115"/>
      <c r="BU135" s="115"/>
      <c r="BV135" s="115"/>
      <c r="BW135" s="115"/>
      <c r="BX135" s="115"/>
      <c r="BY135" s="115"/>
      <c r="BZ135" s="25"/>
      <c r="CA135" s="13"/>
      <c r="CD135" s="114"/>
    </row>
    <row r="136" spans="1:82" ht="20.100000000000001" customHeight="1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3"/>
      <c r="AB136" s="15"/>
      <c r="AQ136" s="127"/>
      <c r="AR136" s="29"/>
      <c r="BB136" s="25"/>
      <c r="BC136" s="13"/>
      <c r="BH136" s="116"/>
      <c r="BI136" s="123"/>
      <c r="BJ136" s="123"/>
      <c r="BK136" s="123"/>
      <c r="BP136" s="115"/>
      <c r="BQ136" s="115"/>
      <c r="BR136" s="115"/>
      <c r="BS136" s="115"/>
      <c r="BT136" s="115"/>
      <c r="BU136" s="115"/>
      <c r="BV136" s="115"/>
      <c r="BW136" s="115"/>
      <c r="BX136" s="115"/>
      <c r="BY136" s="115"/>
      <c r="BZ136" s="25"/>
      <c r="CA136" s="13"/>
      <c r="CD136" s="114"/>
    </row>
    <row r="137" spans="1:82" ht="20.100000000000001" customHeight="1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25"/>
      <c r="AB137" s="15"/>
      <c r="AQ137" s="127"/>
      <c r="AR137" s="29"/>
      <c r="BB137" s="25"/>
      <c r="BC137" s="13"/>
      <c r="BH137" s="116"/>
      <c r="BI137" s="123"/>
      <c r="BJ137" s="123"/>
      <c r="BK137" s="123"/>
      <c r="BP137" s="115"/>
      <c r="BQ137" s="115"/>
      <c r="BR137" s="115"/>
      <c r="BS137" s="115"/>
      <c r="BT137" s="115"/>
      <c r="BU137" s="115"/>
      <c r="BV137" s="115"/>
      <c r="BW137" s="115"/>
      <c r="BX137" s="115"/>
      <c r="BY137" s="115"/>
      <c r="BZ137" s="25"/>
      <c r="CA137" s="13"/>
      <c r="CD137" s="114"/>
    </row>
    <row r="138" spans="1:82" ht="20.100000000000001" customHeight="1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25"/>
      <c r="AB138" s="15"/>
      <c r="AQ138" s="127"/>
      <c r="AR138" s="29"/>
      <c r="BB138" s="25"/>
      <c r="BC138" s="13"/>
      <c r="BH138" s="116"/>
      <c r="BI138" s="123"/>
      <c r="BJ138" s="123"/>
      <c r="BK138" s="123"/>
      <c r="BP138" s="115"/>
      <c r="BQ138" s="115"/>
      <c r="BR138" s="115"/>
      <c r="BS138" s="115"/>
      <c r="BT138" s="115"/>
      <c r="BU138" s="115"/>
      <c r="BV138" s="115"/>
      <c r="BW138" s="115"/>
      <c r="BX138" s="115"/>
      <c r="BY138" s="115"/>
      <c r="BZ138" s="25"/>
      <c r="CA138" s="13"/>
      <c r="CD138" s="114"/>
    </row>
    <row r="139" spans="1:82" ht="20.100000000000001" customHeight="1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25"/>
      <c r="AB139" s="15"/>
      <c r="AQ139" s="127"/>
      <c r="AR139" s="29"/>
      <c r="BB139" s="25"/>
      <c r="BC139" s="13"/>
      <c r="BH139" s="116"/>
      <c r="BI139" s="123"/>
      <c r="BJ139" s="123"/>
      <c r="BK139" s="123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25"/>
      <c r="CA139" s="13"/>
      <c r="CD139" s="114"/>
    </row>
    <row r="140" spans="1:82" ht="20.100000000000001" customHeight="1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25"/>
      <c r="AB140" s="15"/>
      <c r="AQ140" s="127"/>
      <c r="AR140" s="29"/>
      <c r="BB140" s="25"/>
      <c r="BC140" s="13"/>
      <c r="BH140" s="116"/>
      <c r="BI140" s="123"/>
      <c r="BJ140" s="123"/>
      <c r="BK140" s="123"/>
      <c r="BP140" s="115"/>
      <c r="BQ140" s="115"/>
      <c r="BR140" s="115"/>
      <c r="BS140" s="115"/>
      <c r="BT140" s="115"/>
      <c r="BU140" s="115"/>
      <c r="BV140" s="115"/>
      <c r="BW140" s="115"/>
      <c r="BX140" s="115"/>
      <c r="BY140" s="115"/>
      <c r="BZ140" s="25"/>
      <c r="CA140" s="13"/>
      <c r="CD140" s="114"/>
    </row>
    <row r="141" spans="1:82" ht="20.100000000000001" customHeight="1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25"/>
      <c r="AB141" s="15"/>
      <c r="AQ141" s="127"/>
      <c r="AR141" s="29"/>
      <c r="BB141" s="25"/>
      <c r="BC141" s="13"/>
      <c r="BH141" s="116"/>
      <c r="BI141" s="123"/>
      <c r="BJ141" s="123"/>
      <c r="BK141" s="123"/>
      <c r="BP141" s="115"/>
      <c r="BQ141" s="115"/>
      <c r="BR141" s="115"/>
      <c r="BS141" s="115"/>
      <c r="BT141" s="115"/>
      <c r="BU141" s="115"/>
      <c r="BV141" s="115"/>
      <c r="BW141" s="115"/>
      <c r="BX141" s="115"/>
      <c r="BY141" s="115"/>
      <c r="BZ141" s="25"/>
      <c r="CA141" s="13"/>
      <c r="CD141" s="114"/>
    </row>
    <row r="142" spans="1:82" ht="20.100000000000001" customHeight="1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25"/>
      <c r="AB142" s="15"/>
      <c r="AQ142" s="127"/>
      <c r="AR142" s="29"/>
      <c r="BB142" s="25"/>
      <c r="BC142" s="13"/>
      <c r="BH142" s="116"/>
      <c r="BI142" s="123"/>
      <c r="BJ142" s="123"/>
      <c r="BK142" s="123"/>
      <c r="BP142" s="115"/>
      <c r="BQ142" s="115"/>
      <c r="BR142" s="115"/>
      <c r="BS142" s="115"/>
      <c r="BT142" s="115"/>
      <c r="BU142" s="115"/>
      <c r="BV142" s="115"/>
      <c r="BW142" s="115"/>
      <c r="BX142" s="115"/>
      <c r="BY142" s="115"/>
      <c r="BZ142" s="25"/>
      <c r="CA142" s="13"/>
      <c r="CD142" s="114"/>
    </row>
    <row r="143" spans="1:82" ht="20.100000000000001" customHeight="1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25"/>
      <c r="AB143" s="15"/>
      <c r="AQ143" s="127"/>
      <c r="AR143" s="29"/>
      <c r="BB143" s="25"/>
      <c r="BC143" s="13"/>
      <c r="BH143" s="116"/>
      <c r="BI143" s="123"/>
      <c r="BJ143" s="123"/>
      <c r="BK143" s="123"/>
      <c r="BP143" s="115"/>
      <c r="BQ143" s="115"/>
      <c r="BR143" s="115"/>
      <c r="BS143" s="115"/>
      <c r="BT143" s="115"/>
      <c r="BU143" s="115"/>
      <c r="BV143" s="115"/>
      <c r="BW143" s="115"/>
      <c r="BX143" s="115"/>
      <c r="BY143" s="115"/>
      <c r="BZ143" s="25"/>
      <c r="CA143" s="13"/>
      <c r="CD143" s="114"/>
    </row>
    <row r="144" spans="1:82" ht="20.100000000000001" customHeight="1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25"/>
      <c r="AB144" s="15"/>
      <c r="AQ144" s="127"/>
      <c r="AR144" s="29"/>
      <c r="BB144" s="25"/>
      <c r="BC144" s="13"/>
      <c r="BH144" s="116"/>
      <c r="BI144" s="123"/>
      <c r="BJ144" s="123"/>
      <c r="BK144" s="123"/>
      <c r="BP144" s="115"/>
      <c r="BQ144" s="115"/>
      <c r="BR144" s="115"/>
      <c r="BS144" s="115"/>
      <c r="BT144" s="115"/>
      <c r="BU144" s="115"/>
      <c r="BV144" s="115"/>
      <c r="BW144" s="115"/>
      <c r="BX144" s="115"/>
      <c r="BY144" s="115"/>
      <c r="BZ144" s="25"/>
      <c r="CA144" s="13"/>
      <c r="CD144" s="114"/>
    </row>
    <row r="145" spans="1:82" ht="20.100000000000001" customHeight="1" x14ac:dyDescent="0.4">
      <c r="A145" s="117"/>
      <c r="B145" s="123"/>
      <c r="C145" s="123"/>
      <c r="D145" s="123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25"/>
      <c r="AB145" s="15"/>
      <c r="AQ145" s="127"/>
      <c r="AR145" s="29"/>
      <c r="BB145" s="25"/>
      <c r="BC145" s="13"/>
      <c r="BH145" s="116"/>
      <c r="BI145" s="123"/>
      <c r="BJ145" s="123"/>
      <c r="BK145" s="123"/>
      <c r="BP145" s="115"/>
      <c r="BQ145" s="115"/>
      <c r="BR145" s="115"/>
      <c r="BS145" s="115"/>
      <c r="BT145" s="115"/>
      <c r="BU145" s="115"/>
      <c r="BV145" s="115"/>
      <c r="BW145" s="115"/>
      <c r="BX145" s="115"/>
      <c r="BY145" s="115"/>
      <c r="BZ145" s="25"/>
      <c r="CA145" s="13"/>
      <c r="CD145" s="114"/>
    </row>
    <row r="146" spans="1:82" ht="20.100000000000001" customHeight="1" x14ac:dyDescent="0.4">
      <c r="A146" s="117"/>
      <c r="B146" s="123"/>
      <c r="C146" s="123"/>
      <c r="D146" s="123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25"/>
      <c r="AB146" s="15"/>
      <c r="AQ146" s="127"/>
      <c r="AR146" s="29"/>
      <c r="BB146" s="25"/>
      <c r="BC146" s="13"/>
      <c r="BH146" s="116"/>
      <c r="BI146" s="123"/>
      <c r="BJ146" s="123"/>
      <c r="BK146" s="123"/>
      <c r="BP146" s="115"/>
      <c r="BQ146" s="115"/>
      <c r="BR146" s="115"/>
      <c r="BS146" s="115"/>
      <c r="BT146" s="115"/>
      <c r="BU146" s="115"/>
      <c r="BV146" s="115"/>
      <c r="BW146" s="115"/>
      <c r="BX146" s="115"/>
      <c r="BY146" s="115"/>
      <c r="BZ146" s="25"/>
      <c r="CA146" s="13"/>
      <c r="CD146" s="114"/>
    </row>
    <row r="147" spans="1:82" ht="20.100000000000001" customHeight="1" x14ac:dyDescent="0.4">
      <c r="A147" s="117"/>
      <c r="B147" s="123"/>
      <c r="C147" s="123"/>
      <c r="D147" s="123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25"/>
      <c r="AB147" s="15"/>
      <c r="AQ147" s="127"/>
      <c r="AR147" s="29"/>
      <c r="BB147" s="25"/>
      <c r="BC147" s="13"/>
      <c r="BH147" s="116"/>
      <c r="BI147" s="123"/>
      <c r="BJ147" s="123"/>
      <c r="BK147" s="123"/>
      <c r="BP147" s="115"/>
      <c r="BQ147" s="115"/>
      <c r="BR147" s="115"/>
      <c r="BS147" s="115"/>
      <c r="BT147" s="115"/>
      <c r="BU147" s="115"/>
      <c r="BV147" s="115"/>
      <c r="BW147" s="115"/>
      <c r="BX147" s="115"/>
      <c r="BY147" s="115"/>
      <c r="BZ147" s="25"/>
      <c r="CA147" s="13"/>
      <c r="CD147" s="114"/>
    </row>
    <row r="148" spans="1:82" ht="20.100000000000001" customHeight="1" x14ac:dyDescent="0.4">
      <c r="A148" s="117"/>
      <c r="B148" s="123"/>
      <c r="C148" s="123"/>
      <c r="D148" s="123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25"/>
      <c r="AB148" s="15"/>
      <c r="AQ148" s="127"/>
      <c r="AR148" s="29"/>
      <c r="BB148" s="25"/>
      <c r="BC148" s="13"/>
      <c r="BH148" s="116"/>
      <c r="BI148" s="123"/>
      <c r="BJ148" s="123"/>
      <c r="BK148" s="123"/>
      <c r="BP148" s="115"/>
      <c r="BQ148" s="115"/>
      <c r="BR148" s="115"/>
      <c r="BS148" s="115"/>
      <c r="BT148" s="115"/>
      <c r="BU148" s="115"/>
      <c r="BV148" s="115"/>
      <c r="BW148" s="115"/>
      <c r="BX148" s="115"/>
      <c r="BY148" s="115"/>
      <c r="BZ148" s="25"/>
      <c r="CA148" s="13"/>
      <c r="CD148" s="114"/>
    </row>
    <row r="149" spans="1:82" ht="20.100000000000001" customHeight="1" x14ac:dyDescent="0.4">
      <c r="A149" s="117"/>
      <c r="B149" s="123"/>
      <c r="C149" s="123"/>
      <c r="D149" s="123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3"/>
      <c r="AB149" s="15"/>
      <c r="AQ149" s="127"/>
      <c r="AR149" s="29"/>
      <c r="BB149" s="25"/>
      <c r="BC149" s="13"/>
      <c r="BH149" s="116"/>
      <c r="BI149" s="123"/>
      <c r="BJ149" s="123"/>
      <c r="BK149" s="123"/>
      <c r="BP149" s="115"/>
      <c r="BQ149" s="115"/>
      <c r="BR149" s="115"/>
      <c r="BS149" s="115"/>
      <c r="BT149" s="115"/>
      <c r="BU149" s="115"/>
      <c r="BV149" s="115"/>
      <c r="BW149" s="115"/>
      <c r="BX149" s="115"/>
      <c r="BY149" s="115"/>
      <c r="BZ149" s="25"/>
      <c r="CA149" s="13"/>
      <c r="CD149" s="114"/>
    </row>
    <row r="150" spans="1:82" ht="20.100000000000001" customHeight="1" x14ac:dyDescent="0.4">
      <c r="A150" s="117"/>
      <c r="B150" s="123"/>
      <c r="C150" s="123"/>
      <c r="D150" s="123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25"/>
      <c r="AB150" s="15"/>
      <c r="AQ150" s="127"/>
      <c r="AR150" s="29"/>
      <c r="BB150" s="25"/>
      <c r="BC150" s="13"/>
      <c r="BH150" s="116"/>
      <c r="BI150" s="123"/>
      <c r="BJ150" s="123"/>
      <c r="BK150" s="123"/>
      <c r="BP150" s="115"/>
      <c r="BQ150" s="115"/>
      <c r="BR150" s="115"/>
      <c r="BS150" s="115"/>
      <c r="BT150" s="115"/>
      <c r="BU150" s="115"/>
      <c r="BV150" s="115"/>
      <c r="BW150" s="115"/>
      <c r="BX150" s="115"/>
      <c r="BY150" s="115"/>
      <c r="BZ150" s="25"/>
      <c r="CA150" s="13"/>
      <c r="CD150" s="114"/>
    </row>
    <row r="151" spans="1:82" ht="20.100000000000001" customHeight="1" x14ac:dyDescent="0.4">
      <c r="A151" s="117"/>
      <c r="B151" s="123"/>
      <c r="C151" s="123"/>
      <c r="D151" s="123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25"/>
      <c r="AB151" s="13"/>
      <c r="AQ151" s="127"/>
      <c r="AR151" s="29"/>
      <c r="BB151" s="25"/>
      <c r="BC151" s="13"/>
      <c r="BH151" s="116"/>
      <c r="BI151" s="123"/>
      <c r="BJ151" s="123"/>
      <c r="BK151" s="123"/>
      <c r="BP151" s="115"/>
      <c r="BQ151" s="115"/>
      <c r="BR151" s="115"/>
      <c r="BS151" s="115"/>
      <c r="BT151" s="115"/>
      <c r="BU151" s="115"/>
      <c r="BV151" s="115"/>
      <c r="BW151" s="115"/>
      <c r="BX151" s="115"/>
      <c r="BY151" s="115"/>
      <c r="BZ151" s="25"/>
      <c r="CA151" s="13"/>
      <c r="CD151" s="114"/>
    </row>
    <row r="152" spans="1:82" ht="20.100000000000001" customHeight="1" x14ac:dyDescent="0.4">
      <c r="A152" s="117"/>
      <c r="B152" s="123"/>
      <c r="C152" s="123"/>
      <c r="D152" s="123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3"/>
      <c r="AB152" s="13"/>
      <c r="AQ152" s="127"/>
      <c r="AR152" s="29"/>
      <c r="BB152" s="25"/>
      <c r="BC152" s="13"/>
      <c r="BH152" s="116"/>
      <c r="BI152" s="123"/>
      <c r="BJ152" s="123"/>
      <c r="BK152" s="123"/>
      <c r="BP152" s="115"/>
      <c r="BQ152" s="115"/>
      <c r="BR152" s="115"/>
      <c r="BS152" s="115"/>
      <c r="BT152" s="115"/>
      <c r="BU152" s="115"/>
      <c r="BV152" s="115"/>
      <c r="BW152" s="115"/>
      <c r="BX152" s="115"/>
      <c r="BY152" s="115"/>
      <c r="BZ152" s="25"/>
      <c r="CA152" s="13"/>
      <c r="CD152" s="114"/>
    </row>
    <row r="153" spans="1:82" ht="20.100000000000001" customHeight="1" x14ac:dyDescent="0.4">
      <c r="A153" s="117"/>
      <c r="B153" s="123"/>
      <c r="C153" s="123"/>
      <c r="D153" s="123"/>
      <c r="AA153" s="25"/>
      <c r="AB153" s="13"/>
      <c r="AP153" s="115"/>
      <c r="AQ153" s="29"/>
      <c r="AR153" s="29"/>
      <c r="BB153" s="25"/>
      <c r="BC153" s="13"/>
      <c r="BH153" s="116"/>
      <c r="BI153" s="123"/>
      <c r="BJ153" s="123"/>
      <c r="BK153" s="123"/>
      <c r="BP153" s="115"/>
      <c r="BQ153" s="115"/>
      <c r="BR153" s="115"/>
      <c r="BS153" s="115"/>
      <c r="BT153" s="115"/>
      <c r="BU153" s="115"/>
      <c r="BV153" s="115"/>
      <c r="BW153" s="115"/>
      <c r="BX153" s="115"/>
      <c r="BY153" s="115"/>
      <c r="BZ153" s="25"/>
      <c r="CA153" s="13"/>
      <c r="CD153" s="114"/>
    </row>
    <row r="154" spans="1:82" ht="20.100000000000001" customHeight="1" x14ac:dyDescent="0.4">
      <c r="A154" s="117"/>
      <c r="B154" s="123"/>
      <c r="C154" s="123"/>
      <c r="D154" s="123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25"/>
      <c r="AB154" s="13"/>
      <c r="AP154" s="115"/>
      <c r="AQ154" s="29"/>
      <c r="AR154" s="29"/>
      <c r="BB154" s="25"/>
      <c r="BC154" s="13"/>
      <c r="BH154" s="116"/>
      <c r="BI154" s="123"/>
      <c r="BJ154" s="123"/>
      <c r="BK154" s="123"/>
      <c r="BP154" s="115"/>
      <c r="BQ154" s="115"/>
      <c r="BR154" s="115"/>
      <c r="BS154" s="115"/>
      <c r="BT154" s="115"/>
      <c r="BU154" s="115"/>
      <c r="BV154" s="115"/>
      <c r="BW154" s="115"/>
      <c r="BX154" s="115"/>
      <c r="BY154" s="115"/>
      <c r="BZ154" s="25"/>
      <c r="CA154" s="13"/>
      <c r="CD154" s="114"/>
    </row>
    <row r="155" spans="1:82" ht="20.100000000000001" customHeight="1" x14ac:dyDescent="0.4">
      <c r="A155" s="117"/>
      <c r="B155" s="123"/>
      <c r="C155" s="123"/>
      <c r="D155" s="123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25"/>
      <c r="AB155" s="13"/>
      <c r="AP155" s="115"/>
      <c r="AQ155" s="29"/>
      <c r="AR155" s="29"/>
      <c r="BB155" s="25"/>
      <c r="BC155" s="13"/>
      <c r="BH155" s="116"/>
      <c r="BI155" s="123"/>
      <c r="BJ155" s="123"/>
      <c r="BK155" s="123"/>
      <c r="BP155" s="115"/>
      <c r="BQ155" s="115"/>
      <c r="BR155" s="115"/>
      <c r="BS155" s="115"/>
      <c r="BT155" s="115"/>
      <c r="BU155" s="115"/>
      <c r="BV155" s="115"/>
      <c r="BW155" s="115"/>
      <c r="BX155" s="115"/>
      <c r="BY155" s="115"/>
      <c r="BZ155" s="25"/>
      <c r="CA155" s="13"/>
      <c r="CD155" s="114"/>
    </row>
    <row r="156" spans="1:82" ht="20.100000000000001" customHeight="1" x14ac:dyDescent="0.4">
      <c r="A156" s="117"/>
      <c r="B156" s="123"/>
      <c r="C156" s="123"/>
      <c r="D156" s="123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25"/>
      <c r="AB156" s="13"/>
      <c r="AP156" s="115"/>
      <c r="AQ156" s="29"/>
      <c r="AR156" s="29"/>
      <c r="BB156" s="25"/>
      <c r="BC156" s="13"/>
      <c r="BH156" s="116"/>
      <c r="BI156" s="123"/>
      <c r="BJ156" s="123"/>
      <c r="BK156" s="123"/>
      <c r="BP156" s="115"/>
      <c r="BQ156" s="115"/>
      <c r="BR156" s="115"/>
      <c r="BS156" s="115"/>
      <c r="BT156" s="115"/>
      <c r="BU156" s="115"/>
      <c r="BV156" s="115"/>
      <c r="BW156" s="115"/>
      <c r="BX156" s="115"/>
      <c r="BY156" s="115"/>
      <c r="BZ156" s="25"/>
      <c r="CA156" s="13"/>
      <c r="CD156" s="114"/>
    </row>
    <row r="157" spans="1:82" ht="20.100000000000001" customHeight="1" x14ac:dyDescent="0.4">
      <c r="A157" s="117"/>
      <c r="B157" s="123"/>
      <c r="C157" s="123"/>
      <c r="D157" s="123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25"/>
      <c r="AB157" s="13"/>
      <c r="AP157" s="115"/>
      <c r="AQ157" s="29"/>
      <c r="AR157" s="29"/>
      <c r="BB157" s="25"/>
      <c r="BC157" s="13"/>
      <c r="BH157" s="116"/>
      <c r="BI157" s="123"/>
      <c r="BJ157" s="123"/>
      <c r="BK157" s="123"/>
      <c r="BP157" s="115"/>
      <c r="BQ157" s="115"/>
      <c r="BR157" s="115"/>
      <c r="BS157" s="115"/>
      <c r="BT157" s="115"/>
      <c r="BU157" s="115"/>
      <c r="BV157" s="115"/>
      <c r="BW157" s="115"/>
      <c r="BX157" s="115"/>
      <c r="BY157" s="115"/>
      <c r="BZ157" s="25"/>
      <c r="CA157" s="13"/>
      <c r="CD157" s="114"/>
    </row>
    <row r="158" spans="1:82" ht="20.100000000000001" customHeight="1" x14ac:dyDescent="0.4">
      <c r="A158" s="117"/>
      <c r="B158" s="123"/>
      <c r="C158" s="123"/>
      <c r="D158" s="123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25"/>
      <c r="AB158" s="13"/>
      <c r="AP158" s="115"/>
      <c r="AQ158" s="29"/>
      <c r="AR158" s="29"/>
      <c r="BB158" s="25"/>
      <c r="BC158" s="13"/>
      <c r="BH158" s="116"/>
      <c r="BI158" s="123"/>
      <c r="BJ158" s="123"/>
      <c r="BK158" s="123"/>
      <c r="BP158" s="115"/>
      <c r="BQ158" s="115"/>
      <c r="BR158" s="115"/>
      <c r="BS158" s="115"/>
      <c r="BT158" s="115"/>
      <c r="BU158" s="115"/>
      <c r="BV158" s="115"/>
      <c r="BW158" s="115"/>
      <c r="BX158" s="115"/>
      <c r="BY158" s="115"/>
      <c r="BZ158" s="25"/>
      <c r="CA158" s="13"/>
      <c r="CD158" s="114"/>
    </row>
    <row r="159" spans="1:82" ht="20.100000000000001" customHeight="1" x14ac:dyDescent="0.4">
      <c r="A159" s="117"/>
      <c r="B159" s="123"/>
      <c r="C159" s="123"/>
      <c r="D159" s="123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25"/>
      <c r="AB159" s="13"/>
      <c r="AP159" s="115"/>
      <c r="AQ159" s="29"/>
      <c r="AR159" s="29"/>
      <c r="BB159" s="25"/>
      <c r="BC159" s="13"/>
      <c r="BH159" s="116"/>
      <c r="BI159" s="123"/>
      <c r="BJ159" s="123"/>
      <c r="BK159" s="123"/>
      <c r="BP159" s="115"/>
      <c r="BQ159" s="115"/>
      <c r="BR159" s="115"/>
      <c r="BS159" s="115"/>
      <c r="BT159" s="115"/>
      <c r="BU159" s="115"/>
      <c r="BV159" s="115"/>
      <c r="BW159" s="115"/>
      <c r="BX159" s="115"/>
      <c r="BY159" s="115"/>
      <c r="BZ159" s="25"/>
      <c r="CA159" s="13"/>
      <c r="CD159" s="114"/>
    </row>
    <row r="160" spans="1:82" ht="20.100000000000001" customHeight="1" x14ac:dyDescent="0.4">
      <c r="A160" s="117"/>
      <c r="B160" s="123"/>
      <c r="C160" s="123"/>
      <c r="D160" s="123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25"/>
      <c r="AB160" s="13"/>
      <c r="AP160" s="115"/>
      <c r="AQ160" s="29"/>
      <c r="AR160" s="29"/>
      <c r="BB160" s="25"/>
      <c r="BC160" s="13"/>
      <c r="BH160" s="116"/>
      <c r="BI160" s="123"/>
      <c r="BJ160" s="123"/>
      <c r="BK160" s="123"/>
      <c r="BP160" s="115"/>
      <c r="BQ160" s="115"/>
      <c r="BR160" s="115"/>
      <c r="BS160" s="115"/>
      <c r="BT160" s="115"/>
      <c r="BU160" s="115"/>
      <c r="BV160" s="115"/>
      <c r="BW160" s="115"/>
      <c r="BX160" s="115"/>
      <c r="BY160" s="115"/>
      <c r="BZ160" s="25"/>
      <c r="CA160" s="13"/>
      <c r="CD160" s="114"/>
    </row>
    <row r="161" spans="1:82" ht="20.100000000000001" customHeight="1" x14ac:dyDescent="0.4">
      <c r="A161" s="117"/>
      <c r="B161" s="123"/>
      <c r="C161" s="123"/>
      <c r="D161" s="123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25"/>
      <c r="AB161" s="13"/>
      <c r="AP161" s="115"/>
      <c r="AQ161" s="29"/>
      <c r="AR161" s="29"/>
      <c r="BB161" s="25"/>
      <c r="BC161" s="13"/>
      <c r="BH161" s="116"/>
      <c r="BI161" s="123"/>
      <c r="BJ161" s="123"/>
      <c r="BK161" s="123"/>
      <c r="BP161" s="115"/>
      <c r="BQ161" s="115"/>
      <c r="BR161" s="115"/>
      <c r="BS161" s="115"/>
      <c r="BT161" s="115"/>
      <c r="BU161" s="115"/>
      <c r="BV161" s="115"/>
      <c r="BW161" s="115"/>
      <c r="BX161" s="115"/>
      <c r="BY161" s="115"/>
      <c r="BZ161" s="25"/>
      <c r="CA161" s="13"/>
      <c r="CD161" s="114"/>
    </row>
    <row r="162" spans="1:82" ht="20.100000000000001" customHeight="1" x14ac:dyDescent="0.4">
      <c r="A162" s="117"/>
      <c r="B162" s="123"/>
      <c r="C162" s="123"/>
      <c r="D162" s="123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25"/>
      <c r="AB162" s="13"/>
      <c r="AP162" s="115"/>
      <c r="AQ162" s="29"/>
      <c r="AR162" s="29"/>
      <c r="BB162" s="25"/>
      <c r="BC162" s="13"/>
      <c r="BH162" s="116"/>
      <c r="BI162" s="123"/>
      <c r="BJ162" s="123"/>
      <c r="BK162" s="123"/>
      <c r="BP162" s="115"/>
      <c r="BQ162" s="115"/>
      <c r="BR162" s="115"/>
      <c r="BS162" s="115"/>
      <c r="BT162" s="115"/>
      <c r="BU162" s="115"/>
      <c r="BV162" s="115"/>
      <c r="BW162" s="115"/>
      <c r="BX162" s="115"/>
      <c r="BY162" s="115"/>
      <c r="BZ162" s="25"/>
      <c r="CA162" s="13"/>
      <c r="CD162" s="114"/>
    </row>
    <row r="163" spans="1:82" ht="20.100000000000001" customHeight="1" x14ac:dyDescent="0.4">
      <c r="A163" s="117"/>
      <c r="B163" s="123"/>
      <c r="C163" s="123"/>
      <c r="D163" s="123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25"/>
      <c r="AB163" s="13"/>
      <c r="AP163" s="115"/>
      <c r="AQ163" s="29"/>
      <c r="AR163" s="29"/>
      <c r="BB163" s="25"/>
      <c r="BC163" s="13"/>
      <c r="BH163" s="116"/>
      <c r="BI163" s="123"/>
      <c r="BJ163" s="123"/>
      <c r="BK163" s="123"/>
      <c r="BP163" s="115"/>
      <c r="BQ163" s="115"/>
      <c r="BR163" s="115"/>
      <c r="BS163" s="115"/>
      <c r="BT163" s="115"/>
      <c r="BU163" s="115"/>
      <c r="BV163" s="115"/>
      <c r="BW163" s="115"/>
      <c r="BX163" s="115"/>
      <c r="BY163" s="115"/>
      <c r="BZ163" s="25"/>
      <c r="CA163" s="13"/>
      <c r="CD163" s="114"/>
    </row>
    <row r="164" spans="1:82" ht="20.100000000000001" customHeight="1" x14ac:dyDescent="0.4">
      <c r="A164" s="117"/>
      <c r="B164" s="123"/>
      <c r="C164" s="123"/>
      <c r="D164" s="123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25"/>
      <c r="AB164" s="13"/>
      <c r="AP164" s="115"/>
      <c r="AQ164" s="29"/>
      <c r="AR164" s="29"/>
      <c r="BB164" s="25"/>
      <c r="BC164" s="13"/>
      <c r="BH164" s="116"/>
      <c r="BI164" s="123"/>
      <c r="BJ164" s="123"/>
      <c r="BK164" s="123"/>
      <c r="BP164" s="115"/>
      <c r="BQ164" s="115"/>
      <c r="BR164" s="115"/>
      <c r="BS164" s="115"/>
      <c r="BT164" s="115"/>
      <c r="BU164" s="115"/>
      <c r="BV164" s="115"/>
      <c r="BW164" s="115"/>
      <c r="BX164" s="115"/>
      <c r="BY164" s="115"/>
      <c r="BZ164" s="25"/>
      <c r="CA164" s="13"/>
      <c r="CD164" s="114"/>
    </row>
    <row r="165" spans="1:82" ht="20.100000000000001" customHeight="1" x14ac:dyDescent="0.4">
      <c r="A165" s="117"/>
      <c r="B165" s="123"/>
      <c r="C165" s="123"/>
      <c r="D165" s="123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25"/>
      <c r="AB165" s="13"/>
      <c r="AP165" s="115"/>
      <c r="AQ165" s="29"/>
      <c r="AR165" s="29"/>
      <c r="BB165" s="25"/>
      <c r="BC165" s="13"/>
      <c r="BH165" s="116"/>
      <c r="BI165" s="123"/>
      <c r="BJ165" s="123"/>
      <c r="BK165" s="123"/>
      <c r="BP165" s="115"/>
      <c r="BQ165" s="115"/>
      <c r="BR165" s="115"/>
      <c r="BS165" s="115"/>
      <c r="BT165" s="115"/>
      <c r="BU165" s="115"/>
      <c r="BV165" s="115"/>
      <c r="BW165" s="115"/>
      <c r="BX165" s="115"/>
      <c r="BY165" s="115"/>
      <c r="BZ165" s="25"/>
      <c r="CA165" s="13"/>
      <c r="CD165" s="114"/>
    </row>
    <row r="166" spans="1:82" ht="20.100000000000001" customHeight="1" x14ac:dyDescent="0.4">
      <c r="A166" s="117"/>
      <c r="B166" s="123"/>
      <c r="C166" s="123"/>
      <c r="D166" s="123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25"/>
      <c r="AB166" s="13"/>
      <c r="AP166" s="115"/>
      <c r="AQ166" s="29"/>
      <c r="AR166" s="29"/>
      <c r="BB166" s="25"/>
      <c r="BC166" s="13"/>
      <c r="BH166" s="116"/>
      <c r="BI166" s="123"/>
      <c r="BJ166" s="123"/>
      <c r="BK166" s="123"/>
      <c r="BP166" s="115"/>
      <c r="BQ166" s="115"/>
      <c r="BR166" s="115"/>
      <c r="BS166" s="115"/>
      <c r="BT166" s="115"/>
      <c r="BU166" s="115"/>
      <c r="BV166" s="115"/>
      <c r="BW166" s="115"/>
      <c r="BX166" s="115"/>
      <c r="BY166" s="115"/>
      <c r="BZ166" s="25"/>
      <c r="CA166" s="13"/>
      <c r="CD166" s="114"/>
    </row>
    <row r="167" spans="1:82" ht="20.100000000000001" customHeight="1" x14ac:dyDescent="0.4">
      <c r="A167" s="117"/>
      <c r="B167" s="123"/>
      <c r="C167" s="123"/>
      <c r="D167" s="123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25"/>
      <c r="AB167" s="13"/>
      <c r="AP167" s="115"/>
      <c r="AQ167" s="29"/>
      <c r="AR167" s="29"/>
      <c r="BB167" s="25"/>
      <c r="BC167" s="13"/>
      <c r="BH167" s="116"/>
      <c r="BI167" s="123"/>
      <c r="BJ167" s="123"/>
      <c r="BK167" s="123"/>
      <c r="BP167" s="115"/>
      <c r="BQ167" s="115"/>
      <c r="BR167" s="115"/>
      <c r="BS167" s="115"/>
      <c r="BT167" s="115"/>
      <c r="BU167" s="115"/>
      <c r="BV167" s="115"/>
      <c r="BW167" s="115"/>
      <c r="BX167" s="115"/>
      <c r="BY167" s="115"/>
      <c r="BZ167" s="25"/>
      <c r="CA167" s="13"/>
      <c r="CD167" s="114"/>
    </row>
    <row r="168" spans="1:82" ht="20.100000000000001" customHeight="1" x14ac:dyDescent="0.4">
      <c r="A168" s="117"/>
      <c r="B168" s="123"/>
      <c r="C168" s="123"/>
      <c r="D168" s="123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25"/>
      <c r="AB168" s="13"/>
      <c r="AP168" s="115"/>
      <c r="AQ168" s="29"/>
      <c r="AR168" s="29"/>
      <c r="BB168" s="25"/>
      <c r="BC168" s="13"/>
      <c r="BH168" s="116"/>
      <c r="BI168" s="123"/>
      <c r="BJ168" s="123"/>
      <c r="BK168" s="123"/>
      <c r="BP168" s="115"/>
      <c r="BQ168" s="115"/>
      <c r="BR168" s="115"/>
      <c r="BS168" s="115"/>
      <c r="BT168" s="115"/>
      <c r="BU168" s="115"/>
      <c r="BV168" s="115"/>
      <c r="BW168" s="115"/>
      <c r="BX168" s="115"/>
      <c r="BY168" s="115"/>
      <c r="BZ168" s="25"/>
      <c r="CA168" s="13"/>
      <c r="CD168" s="114"/>
    </row>
    <row r="169" spans="1:82" ht="20.100000000000001" customHeight="1" x14ac:dyDescent="0.4">
      <c r="A169" s="117"/>
      <c r="B169" s="123"/>
      <c r="C169" s="123"/>
      <c r="D169" s="123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20"/>
      <c r="AB169" s="13"/>
      <c r="AP169" s="115"/>
      <c r="AQ169" s="29"/>
      <c r="AR169" s="29"/>
      <c r="BB169" s="25"/>
      <c r="BC169" s="13"/>
      <c r="BH169" s="116"/>
      <c r="BI169" s="123"/>
      <c r="BJ169" s="123"/>
      <c r="BK169" s="123"/>
      <c r="BP169" s="115"/>
      <c r="BQ169" s="115"/>
      <c r="BR169" s="115"/>
      <c r="BS169" s="115"/>
      <c r="BT169" s="115"/>
      <c r="BU169" s="115"/>
      <c r="BV169" s="115"/>
      <c r="BW169" s="115"/>
      <c r="BX169" s="115"/>
      <c r="BY169" s="115"/>
      <c r="BZ169" s="25"/>
      <c r="CA169" s="13"/>
      <c r="CD169" s="114"/>
    </row>
    <row r="170" spans="1:82" ht="20.100000000000001" customHeight="1" x14ac:dyDescent="0.4">
      <c r="A170" s="117"/>
      <c r="B170" s="123"/>
      <c r="C170" s="123"/>
      <c r="D170" s="123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26"/>
      <c r="AB170" s="15"/>
      <c r="AP170" s="115"/>
      <c r="AQ170" s="29"/>
      <c r="AR170" s="29"/>
      <c r="BB170" s="25"/>
      <c r="BC170" s="13"/>
      <c r="BH170" s="116"/>
      <c r="BI170" s="123"/>
      <c r="BJ170" s="123"/>
      <c r="BK170" s="123"/>
      <c r="BP170" s="115"/>
      <c r="BQ170" s="115"/>
      <c r="BR170" s="115"/>
      <c r="BS170" s="115"/>
      <c r="BT170" s="115"/>
      <c r="BU170" s="115"/>
      <c r="BV170" s="115"/>
      <c r="BW170" s="115"/>
      <c r="BX170" s="115"/>
      <c r="BY170" s="115"/>
      <c r="BZ170" s="25"/>
      <c r="CA170" s="13"/>
      <c r="CD170" s="114"/>
    </row>
    <row r="171" spans="1:82" ht="20.100000000000001" customHeight="1" x14ac:dyDescent="0.4">
      <c r="A171" s="117"/>
      <c r="B171" s="123"/>
      <c r="C171" s="123"/>
      <c r="D171" s="123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26"/>
      <c r="AB171" s="13"/>
      <c r="AP171" s="115"/>
      <c r="AQ171" s="29"/>
      <c r="AR171" s="29"/>
      <c r="BB171" s="25"/>
      <c r="BC171" s="13"/>
      <c r="BH171" s="116"/>
      <c r="BI171" s="123"/>
      <c r="BJ171" s="123"/>
      <c r="BK171" s="123"/>
      <c r="BP171" s="115"/>
      <c r="BQ171" s="115"/>
      <c r="BR171" s="115"/>
      <c r="BS171" s="115"/>
      <c r="BT171" s="115"/>
      <c r="BU171" s="115"/>
      <c r="BV171" s="115"/>
      <c r="BW171" s="115"/>
      <c r="BX171" s="115"/>
      <c r="BY171" s="115"/>
      <c r="BZ171" s="25"/>
      <c r="CA171" s="13"/>
      <c r="CD171" s="114"/>
    </row>
    <row r="172" spans="1:82" ht="20.100000000000001" customHeight="1" x14ac:dyDescent="0.4">
      <c r="A172" s="117"/>
      <c r="B172" s="123"/>
      <c r="C172" s="123"/>
      <c r="D172" s="123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26"/>
      <c r="AB172" s="13"/>
      <c r="AP172" s="115"/>
      <c r="AQ172" s="29"/>
      <c r="AR172" s="29"/>
      <c r="BB172" s="25"/>
      <c r="BC172" s="13"/>
      <c r="BH172" s="116"/>
      <c r="BI172" s="123"/>
      <c r="BJ172" s="123"/>
      <c r="BK172" s="123"/>
      <c r="BP172" s="115"/>
      <c r="BQ172" s="115"/>
      <c r="BR172" s="115"/>
      <c r="BS172" s="115"/>
      <c r="BT172" s="115"/>
      <c r="BU172" s="115"/>
      <c r="BV172" s="115"/>
      <c r="BW172" s="115"/>
      <c r="BX172" s="115"/>
      <c r="BY172" s="115"/>
      <c r="BZ172" s="25"/>
      <c r="CA172" s="13"/>
      <c r="CD172" s="114"/>
    </row>
    <row r="173" spans="1:82" ht="20.100000000000001" customHeight="1" x14ac:dyDescent="0.4">
      <c r="A173" s="117"/>
      <c r="B173" s="123"/>
      <c r="C173" s="123"/>
      <c r="D173" s="123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26"/>
      <c r="AB173" s="13"/>
      <c r="AP173" s="115"/>
      <c r="AQ173" s="29"/>
      <c r="AR173" s="29"/>
      <c r="BB173" s="25"/>
      <c r="BC173" s="13"/>
      <c r="BH173" s="116"/>
      <c r="BI173" s="123"/>
      <c r="BJ173" s="123"/>
      <c r="BK173" s="123"/>
      <c r="BP173" s="115"/>
      <c r="BQ173" s="115"/>
      <c r="BR173" s="115"/>
      <c r="BS173" s="115"/>
      <c r="BT173" s="115"/>
      <c r="BU173" s="115"/>
      <c r="BV173" s="115"/>
      <c r="BW173" s="115"/>
      <c r="BX173" s="115"/>
      <c r="BY173" s="115"/>
      <c r="BZ173" s="25"/>
      <c r="CA173" s="13"/>
      <c r="CD173" s="114"/>
    </row>
    <row r="174" spans="1:82" ht="20.100000000000001" customHeight="1" x14ac:dyDescent="0.4">
      <c r="A174" s="117"/>
      <c r="B174" s="123"/>
      <c r="C174" s="123"/>
      <c r="D174" s="123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26"/>
      <c r="AB174" s="13"/>
      <c r="AP174" s="115"/>
      <c r="AQ174" s="29"/>
      <c r="AR174" s="29"/>
      <c r="BB174" s="25"/>
      <c r="BC174" s="13"/>
      <c r="BH174" s="116"/>
      <c r="BI174" s="123"/>
      <c r="BJ174" s="123"/>
      <c r="BK174" s="123"/>
      <c r="BP174" s="115"/>
      <c r="BQ174" s="115"/>
      <c r="BR174" s="115"/>
      <c r="BS174" s="115"/>
      <c r="BT174" s="115"/>
      <c r="BU174" s="115"/>
      <c r="BV174" s="115"/>
      <c r="BW174" s="115"/>
      <c r="BX174" s="115"/>
      <c r="BY174" s="115"/>
      <c r="BZ174" s="25"/>
      <c r="CA174" s="13"/>
      <c r="CD174" s="114"/>
    </row>
    <row r="175" spans="1:82" ht="20.100000000000001" customHeight="1" x14ac:dyDescent="0.4">
      <c r="A175" s="117"/>
      <c r="B175" s="123"/>
      <c r="C175" s="123"/>
      <c r="D175" s="123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26"/>
      <c r="AB175" s="13"/>
      <c r="AP175" s="115"/>
      <c r="AQ175" s="29"/>
      <c r="AR175" s="29"/>
      <c r="BB175" s="25"/>
      <c r="BC175" s="13"/>
      <c r="BH175" s="116"/>
      <c r="BI175" s="123"/>
      <c r="BJ175" s="123"/>
      <c r="BK175" s="123"/>
      <c r="BP175" s="115"/>
      <c r="BQ175" s="115"/>
      <c r="BR175" s="115"/>
      <c r="BS175" s="115"/>
      <c r="BT175" s="115"/>
      <c r="BU175" s="115"/>
      <c r="BV175" s="115"/>
      <c r="BW175" s="115"/>
      <c r="BX175" s="115"/>
      <c r="BY175" s="115"/>
      <c r="BZ175" s="25"/>
      <c r="CA175" s="13"/>
      <c r="CD175" s="114"/>
    </row>
    <row r="176" spans="1:82" ht="20.100000000000001" customHeight="1" x14ac:dyDescent="0.4">
      <c r="A176" s="117"/>
      <c r="B176" s="123"/>
      <c r="C176" s="123"/>
      <c r="D176" s="123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26"/>
      <c r="AB176" s="13"/>
      <c r="AP176" s="115"/>
      <c r="AQ176" s="29"/>
      <c r="AR176" s="29"/>
      <c r="BB176" s="25"/>
      <c r="BC176" s="13"/>
      <c r="BH176" s="116"/>
      <c r="BI176" s="123"/>
      <c r="BJ176" s="123"/>
      <c r="BK176" s="123"/>
      <c r="BP176" s="115"/>
      <c r="BQ176" s="115"/>
      <c r="BR176" s="115"/>
      <c r="BS176" s="115"/>
      <c r="BT176" s="115"/>
      <c r="BU176" s="115"/>
      <c r="BV176" s="115"/>
      <c r="BW176" s="115"/>
      <c r="BX176" s="115"/>
      <c r="BY176" s="115"/>
      <c r="BZ176" s="25"/>
      <c r="CA176" s="13"/>
      <c r="CD176" s="114"/>
    </row>
    <row r="177" spans="1:82" ht="20.100000000000001" customHeight="1" x14ac:dyDescent="0.4">
      <c r="A177" s="117"/>
      <c r="B177" s="123"/>
      <c r="C177" s="123"/>
      <c r="D177" s="123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26"/>
      <c r="AB177" s="13"/>
      <c r="AP177" s="115"/>
      <c r="AQ177" s="29"/>
      <c r="AR177" s="29"/>
      <c r="BB177" s="25"/>
      <c r="BC177" s="13"/>
      <c r="BH177" s="116"/>
      <c r="BI177" s="123"/>
      <c r="BJ177" s="123"/>
      <c r="BK177" s="123"/>
      <c r="BP177" s="115"/>
      <c r="BQ177" s="115"/>
      <c r="BR177" s="115"/>
      <c r="BS177" s="115"/>
      <c r="BT177" s="115"/>
      <c r="BU177" s="115"/>
      <c r="BV177" s="115"/>
      <c r="BW177" s="115"/>
      <c r="BX177" s="115"/>
      <c r="BY177" s="115"/>
      <c r="BZ177" s="25"/>
      <c r="CA177" s="13"/>
      <c r="CD177" s="114"/>
    </row>
    <row r="178" spans="1:82" ht="20.100000000000001" customHeight="1" x14ac:dyDescent="0.4">
      <c r="A178" s="117"/>
      <c r="B178" s="123"/>
      <c r="C178" s="123"/>
      <c r="D178" s="123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26"/>
      <c r="AB178" s="13"/>
      <c r="AP178" s="115"/>
      <c r="AQ178" s="29"/>
      <c r="AR178" s="29"/>
      <c r="BB178" s="25"/>
      <c r="BC178" s="13"/>
      <c r="BH178" s="116"/>
      <c r="BI178" s="123"/>
      <c r="BJ178" s="123"/>
      <c r="BK178" s="123"/>
      <c r="BP178" s="115"/>
      <c r="BQ178" s="115"/>
      <c r="BR178" s="115"/>
      <c r="BS178" s="115"/>
      <c r="BT178" s="115"/>
      <c r="BU178" s="115"/>
      <c r="BV178" s="115"/>
      <c r="BW178" s="115"/>
      <c r="BX178" s="115"/>
      <c r="BY178" s="115"/>
      <c r="BZ178" s="25"/>
      <c r="CA178" s="13"/>
      <c r="CD178" s="114"/>
    </row>
    <row r="179" spans="1:82" ht="20.100000000000001" customHeight="1" x14ac:dyDescent="0.4">
      <c r="A179" s="117"/>
      <c r="B179" s="123"/>
      <c r="C179" s="123"/>
      <c r="D179" s="123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26"/>
      <c r="AB179" s="13"/>
      <c r="AP179" s="115"/>
      <c r="AQ179" s="29"/>
      <c r="AR179" s="29"/>
      <c r="BB179" s="25"/>
      <c r="BC179" s="13"/>
      <c r="BH179" s="116"/>
      <c r="BI179" s="123"/>
      <c r="BJ179" s="123"/>
      <c r="BK179" s="123"/>
      <c r="BP179" s="115"/>
      <c r="BQ179" s="115"/>
      <c r="BR179" s="115"/>
      <c r="BS179" s="115"/>
      <c r="BT179" s="115"/>
      <c r="BU179" s="115"/>
      <c r="BV179" s="115"/>
      <c r="BW179" s="115"/>
      <c r="BX179" s="115"/>
      <c r="BY179" s="115"/>
      <c r="BZ179" s="25"/>
      <c r="CA179" s="13"/>
      <c r="CD179" s="114"/>
    </row>
    <row r="180" spans="1:82" ht="20.100000000000001" customHeight="1" x14ac:dyDescent="0.4">
      <c r="A180" s="117"/>
      <c r="B180" s="123"/>
      <c r="C180" s="123"/>
      <c r="D180" s="123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26"/>
      <c r="AB180" s="13"/>
      <c r="AP180" s="115"/>
      <c r="AQ180" s="29"/>
      <c r="AR180" s="29"/>
      <c r="BB180" s="25"/>
      <c r="BC180" s="13"/>
      <c r="BH180" s="116"/>
      <c r="BI180" s="123"/>
      <c r="BJ180" s="123"/>
      <c r="BK180" s="123"/>
      <c r="BP180" s="115"/>
      <c r="BQ180" s="115"/>
      <c r="BR180" s="115"/>
      <c r="BS180" s="115"/>
      <c r="BT180" s="115"/>
      <c r="BU180" s="115"/>
      <c r="BV180" s="115"/>
      <c r="BW180" s="115"/>
      <c r="BX180" s="115"/>
      <c r="BY180" s="115"/>
      <c r="BZ180" s="25"/>
      <c r="CA180" s="13"/>
      <c r="CD180" s="114"/>
    </row>
    <row r="181" spans="1:82" ht="20.100000000000001" customHeight="1" x14ac:dyDescent="0.4">
      <c r="A181" s="117"/>
      <c r="B181" s="123"/>
      <c r="C181" s="123"/>
      <c r="D181" s="123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26"/>
      <c r="AB181" s="13"/>
      <c r="AP181" s="115"/>
      <c r="AQ181" s="29"/>
      <c r="AR181" s="29"/>
      <c r="BB181" s="25"/>
      <c r="BC181" s="13"/>
      <c r="BH181" s="116"/>
      <c r="BI181" s="123"/>
      <c r="BJ181" s="123"/>
      <c r="BK181" s="123"/>
      <c r="BP181" s="115"/>
      <c r="BQ181" s="115"/>
      <c r="BR181" s="115"/>
      <c r="BS181" s="115"/>
      <c r="BT181" s="115"/>
      <c r="BU181" s="115"/>
      <c r="BV181" s="115"/>
      <c r="BW181" s="115"/>
      <c r="BX181" s="115"/>
      <c r="BY181" s="115"/>
      <c r="BZ181" s="25"/>
      <c r="CA181" s="13"/>
      <c r="CD181" s="114"/>
    </row>
    <row r="182" spans="1:82" ht="20.100000000000001" customHeight="1" x14ac:dyDescent="0.4">
      <c r="A182" s="117"/>
      <c r="B182" s="123"/>
      <c r="C182" s="123"/>
      <c r="D182" s="123"/>
      <c r="AA182" s="26"/>
      <c r="AB182" s="13"/>
      <c r="AN182" s="115"/>
      <c r="AO182" s="115"/>
      <c r="AP182" s="115"/>
      <c r="AQ182" s="127"/>
      <c r="AR182" s="29"/>
      <c r="BB182" s="25"/>
      <c r="BC182" s="13"/>
      <c r="BH182" s="116"/>
      <c r="BI182" s="123"/>
      <c r="BJ182" s="123"/>
      <c r="BK182" s="123"/>
      <c r="BP182" s="115"/>
      <c r="BQ182" s="115"/>
      <c r="BR182" s="115"/>
      <c r="BS182" s="115"/>
      <c r="BT182" s="115"/>
      <c r="BU182" s="115"/>
      <c r="BV182" s="115"/>
      <c r="BW182" s="115"/>
      <c r="BX182" s="115"/>
      <c r="BY182" s="115"/>
      <c r="BZ182" s="25"/>
      <c r="CA182" s="13"/>
      <c r="CD182" s="114"/>
    </row>
    <row r="183" spans="1:82" ht="20.100000000000001" customHeight="1" x14ac:dyDescent="0.4">
      <c r="A183" s="117"/>
      <c r="B183" s="123"/>
      <c r="C183" s="123"/>
      <c r="D183" s="123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26"/>
      <c r="AB183" s="13"/>
      <c r="AN183" s="115"/>
      <c r="AO183" s="115"/>
      <c r="AP183" s="115"/>
      <c r="AQ183" s="127"/>
      <c r="AR183" s="29"/>
      <c r="BB183" s="25"/>
      <c r="BC183" s="13"/>
      <c r="BH183" s="116"/>
      <c r="BI183" s="123"/>
      <c r="BJ183" s="123"/>
      <c r="BK183" s="123"/>
      <c r="BP183" s="115"/>
      <c r="BQ183" s="115"/>
      <c r="BR183" s="115"/>
      <c r="BS183" s="115"/>
      <c r="BT183" s="115"/>
      <c r="BU183" s="115"/>
      <c r="BV183" s="115"/>
      <c r="BW183" s="115"/>
      <c r="BX183" s="115"/>
      <c r="BY183" s="115"/>
      <c r="BZ183" s="25"/>
      <c r="CA183" s="13"/>
      <c r="CD183" s="114"/>
    </row>
    <row r="184" spans="1:82" ht="20.100000000000001" customHeight="1" x14ac:dyDescent="0.4">
      <c r="A184" s="117"/>
      <c r="B184" s="123"/>
      <c r="C184" s="123"/>
      <c r="D184" s="123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26"/>
      <c r="AB184" s="13"/>
      <c r="AN184" s="115"/>
      <c r="AO184" s="115"/>
      <c r="AP184" s="115"/>
      <c r="AQ184" s="127"/>
      <c r="AR184" s="29"/>
      <c r="BB184" s="25"/>
      <c r="BC184" s="13"/>
      <c r="BH184" s="116"/>
      <c r="BI184" s="123"/>
      <c r="BJ184" s="123"/>
      <c r="BK184" s="123"/>
      <c r="BP184" s="115"/>
      <c r="BQ184" s="115"/>
      <c r="BR184" s="115"/>
      <c r="BS184" s="115"/>
      <c r="BT184" s="115"/>
      <c r="BU184" s="115"/>
      <c r="BV184" s="115"/>
      <c r="BW184" s="115"/>
      <c r="BX184" s="115"/>
      <c r="BY184" s="115"/>
      <c r="BZ184" s="25"/>
      <c r="CA184" s="13"/>
      <c r="CD184" s="114"/>
    </row>
    <row r="185" spans="1:82" ht="20.100000000000001" customHeight="1" x14ac:dyDescent="0.4">
      <c r="A185" s="117"/>
      <c r="B185" s="123"/>
      <c r="C185" s="123"/>
      <c r="D185" s="12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26"/>
      <c r="AB185" s="13"/>
      <c r="AN185" s="115"/>
      <c r="AO185" s="115"/>
      <c r="AP185" s="115"/>
      <c r="AQ185" s="127"/>
      <c r="AR185" s="29"/>
      <c r="BB185" s="25"/>
      <c r="BC185" s="13"/>
      <c r="BH185" s="116"/>
      <c r="BI185" s="123"/>
      <c r="BJ185" s="123"/>
      <c r="BK185" s="123"/>
      <c r="BP185" s="115"/>
      <c r="BQ185" s="115"/>
      <c r="BR185" s="115"/>
      <c r="BS185" s="115"/>
      <c r="BT185" s="115"/>
      <c r="BU185" s="115"/>
      <c r="BV185" s="115"/>
      <c r="BW185" s="115"/>
      <c r="BX185" s="115"/>
      <c r="BY185" s="115"/>
      <c r="BZ185" s="25"/>
      <c r="CA185" s="13"/>
      <c r="CD185" s="114"/>
    </row>
    <row r="186" spans="1:82" ht="20.100000000000001" customHeight="1" x14ac:dyDescent="0.4">
      <c r="A186" s="117"/>
      <c r="B186" s="123"/>
      <c r="C186" s="123"/>
      <c r="D186" s="12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26"/>
      <c r="AB186" s="13"/>
      <c r="AN186" s="115"/>
      <c r="AO186" s="115"/>
      <c r="AP186" s="115"/>
      <c r="AQ186" s="127"/>
      <c r="AR186" s="29"/>
      <c r="BB186" s="25"/>
      <c r="BC186" s="13"/>
      <c r="BH186" s="116"/>
      <c r="BI186" s="123"/>
      <c r="BJ186" s="123"/>
      <c r="BK186" s="123"/>
      <c r="BP186" s="115"/>
      <c r="BQ186" s="115"/>
      <c r="BR186" s="115"/>
      <c r="BS186" s="115"/>
      <c r="BT186" s="115"/>
      <c r="BU186" s="115"/>
      <c r="BV186" s="115"/>
      <c r="BW186" s="115"/>
      <c r="BX186" s="115"/>
      <c r="BY186" s="115"/>
      <c r="BZ186" s="25"/>
      <c r="CA186" s="13"/>
      <c r="CD186" s="114"/>
    </row>
    <row r="187" spans="1:82" ht="20.100000000000001" customHeight="1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26"/>
      <c r="AB187" s="13"/>
      <c r="AN187" s="115"/>
      <c r="AO187" s="115"/>
      <c r="AP187" s="115"/>
      <c r="AQ187" s="127"/>
      <c r="AR187" s="29"/>
      <c r="BB187" s="25"/>
      <c r="BC187" s="13"/>
      <c r="BH187" s="116"/>
      <c r="BI187" s="123"/>
      <c r="BJ187" s="123"/>
      <c r="BK187" s="123"/>
      <c r="BP187" s="115"/>
      <c r="BQ187" s="115"/>
      <c r="BR187" s="115"/>
      <c r="BS187" s="115"/>
      <c r="BT187" s="115"/>
      <c r="BU187" s="115"/>
      <c r="BV187" s="115"/>
      <c r="BW187" s="115"/>
      <c r="BX187" s="115"/>
      <c r="BY187" s="115"/>
      <c r="BZ187" s="25"/>
      <c r="CA187" s="13"/>
      <c r="CD187" s="114"/>
    </row>
    <row r="188" spans="1:82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26"/>
      <c r="AB188" s="13"/>
      <c r="AN188" s="115"/>
      <c r="AO188" s="115"/>
      <c r="AP188" s="115"/>
      <c r="AQ188" s="127"/>
      <c r="AR188" s="29"/>
      <c r="BB188" s="25"/>
      <c r="BC188" s="13"/>
      <c r="BH188" s="116"/>
      <c r="BI188" s="123"/>
      <c r="BJ188" s="123"/>
      <c r="BK188" s="123"/>
      <c r="BP188" s="115"/>
      <c r="BQ188" s="115"/>
      <c r="BR188" s="115"/>
      <c r="BS188" s="115"/>
      <c r="BT188" s="115"/>
      <c r="BU188" s="115"/>
      <c r="BV188" s="115"/>
      <c r="BW188" s="115"/>
      <c r="BX188" s="115"/>
      <c r="BY188" s="115"/>
      <c r="BZ188" s="25"/>
      <c r="CA188" s="13"/>
      <c r="CD188" s="114"/>
    </row>
    <row r="189" spans="1:82" ht="20.100000000000001" customHeight="1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26"/>
      <c r="AB189" s="13"/>
      <c r="AN189" s="115"/>
      <c r="AO189" s="115"/>
      <c r="AP189" s="115"/>
      <c r="AQ189" s="127"/>
      <c r="AR189" s="29"/>
      <c r="BB189" s="25"/>
      <c r="BC189" s="13"/>
      <c r="BH189" s="116"/>
      <c r="BI189" s="123"/>
      <c r="BJ189" s="123"/>
      <c r="BK189" s="123"/>
      <c r="BP189" s="115"/>
      <c r="BQ189" s="115"/>
      <c r="BR189" s="115"/>
      <c r="BS189" s="115"/>
      <c r="BT189" s="115"/>
      <c r="BU189" s="115"/>
      <c r="BV189" s="115"/>
      <c r="BW189" s="115"/>
      <c r="BX189" s="115"/>
      <c r="BY189" s="115"/>
      <c r="BZ189" s="25"/>
      <c r="CA189" s="13"/>
      <c r="CD189" s="114"/>
    </row>
    <row r="190" spans="1:82" ht="20.100000000000001" customHeight="1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26"/>
      <c r="AB190" s="13"/>
      <c r="AN190" s="115"/>
      <c r="AO190" s="115"/>
      <c r="AP190" s="115"/>
      <c r="AQ190" s="127"/>
      <c r="AR190" s="29"/>
      <c r="BB190" s="25"/>
      <c r="BC190" s="13"/>
      <c r="BH190" s="116"/>
      <c r="BI190" s="123"/>
      <c r="BJ190" s="123"/>
      <c r="BK190" s="123"/>
      <c r="BP190" s="115"/>
      <c r="BQ190" s="115"/>
      <c r="BR190" s="115"/>
      <c r="BS190" s="115"/>
      <c r="BT190" s="115"/>
      <c r="BU190" s="115"/>
      <c r="BV190" s="115"/>
      <c r="BW190" s="115"/>
      <c r="BX190" s="115"/>
      <c r="BY190" s="115"/>
      <c r="BZ190" s="25"/>
      <c r="CA190" s="13"/>
      <c r="CD190" s="114"/>
    </row>
    <row r="191" spans="1:82" ht="20.100000000000001" customHeight="1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26"/>
      <c r="AB191" s="13"/>
      <c r="AN191" s="115"/>
      <c r="AO191" s="115"/>
      <c r="AP191" s="115"/>
      <c r="AQ191" s="127"/>
      <c r="AR191" s="29"/>
      <c r="BB191" s="25"/>
      <c r="BC191" s="13"/>
      <c r="BH191" s="116"/>
      <c r="BI191" s="123"/>
      <c r="BJ191" s="123"/>
      <c r="BK191" s="123"/>
      <c r="BP191" s="115"/>
      <c r="BQ191" s="115"/>
      <c r="BR191" s="115"/>
      <c r="BS191" s="115"/>
      <c r="BT191" s="115"/>
      <c r="BU191" s="115"/>
      <c r="BV191" s="115"/>
      <c r="BW191" s="115"/>
      <c r="BX191" s="115"/>
      <c r="BY191" s="115"/>
      <c r="BZ191" s="25"/>
      <c r="CA191" s="13"/>
      <c r="CD191" s="114"/>
    </row>
    <row r="192" spans="1:82" ht="20.100000000000001" customHeight="1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7"/>
      <c r="AB192" s="13"/>
      <c r="AN192" s="115"/>
      <c r="AO192" s="115"/>
      <c r="AP192" s="115"/>
      <c r="AQ192" s="127"/>
      <c r="AR192" s="29"/>
      <c r="BB192" s="25"/>
      <c r="BC192" s="13"/>
      <c r="BH192" s="116"/>
      <c r="BI192" s="123"/>
      <c r="BJ192" s="123"/>
      <c r="BK192" s="123"/>
      <c r="BP192" s="115"/>
      <c r="BQ192" s="115"/>
      <c r="BR192" s="115"/>
      <c r="BS192" s="115"/>
      <c r="BT192" s="115"/>
      <c r="BU192" s="115"/>
      <c r="BV192" s="115"/>
      <c r="BW192" s="115"/>
      <c r="BX192" s="115"/>
      <c r="BY192" s="115"/>
      <c r="BZ192" s="25"/>
      <c r="CA192" s="13"/>
      <c r="CD192" s="114"/>
    </row>
    <row r="193" spans="1:82" ht="20.100000000000001" customHeight="1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26"/>
      <c r="AB193" s="13"/>
      <c r="AN193" s="115"/>
      <c r="AO193" s="115"/>
      <c r="AP193" s="115"/>
      <c r="AQ193" s="127"/>
      <c r="AR193" s="29"/>
      <c r="BB193" s="25"/>
      <c r="BC193" s="13"/>
      <c r="BH193" s="116"/>
      <c r="BI193" s="123"/>
      <c r="BJ193" s="123"/>
      <c r="BK193" s="123"/>
      <c r="BP193" s="115"/>
      <c r="BQ193" s="115"/>
      <c r="BR193" s="115"/>
      <c r="BS193" s="115"/>
      <c r="BT193" s="115"/>
      <c r="BU193" s="115"/>
      <c r="BV193" s="115"/>
      <c r="BW193" s="115"/>
      <c r="BX193" s="115"/>
      <c r="BY193" s="115"/>
      <c r="BZ193" s="25"/>
      <c r="CA193" s="13"/>
      <c r="CD193" s="114"/>
    </row>
    <row r="194" spans="1:82" ht="20.100000000000001" customHeight="1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7"/>
      <c r="AB194" s="13"/>
      <c r="AN194" s="115"/>
      <c r="AO194" s="115"/>
      <c r="AP194" s="115"/>
      <c r="AQ194" s="127"/>
      <c r="AR194" s="29"/>
      <c r="BB194" s="25"/>
      <c r="BC194" s="13"/>
      <c r="BH194" s="116"/>
      <c r="BI194" s="123"/>
      <c r="BJ194" s="123"/>
      <c r="BK194" s="123"/>
      <c r="BP194" s="115"/>
      <c r="BQ194" s="115"/>
      <c r="BR194" s="115"/>
      <c r="BS194" s="115"/>
      <c r="BT194" s="115"/>
      <c r="BU194" s="115"/>
      <c r="BV194" s="115"/>
      <c r="BW194" s="115"/>
      <c r="BX194" s="115"/>
      <c r="BY194" s="115"/>
      <c r="BZ194" s="25"/>
      <c r="CA194" s="13"/>
      <c r="CD194" s="114"/>
    </row>
    <row r="195" spans="1:82" ht="20.100000000000001" customHeight="1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26"/>
      <c r="AB195" s="13"/>
      <c r="AN195" s="115"/>
      <c r="AO195" s="115"/>
      <c r="AP195" s="115"/>
      <c r="AQ195" s="127"/>
      <c r="AR195" s="29"/>
      <c r="BB195" s="25"/>
      <c r="BC195" s="13"/>
      <c r="BH195" s="116"/>
      <c r="BI195" s="123"/>
      <c r="BJ195" s="123"/>
      <c r="BK195" s="123"/>
      <c r="BP195" s="115"/>
      <c r="BQ195" s="115"/>
      <c r="BR195" s="115"/>
      <c r="BS195" s="115"/>
      <c r="BT195" s="115"/>
      <c r="BU195" s="115"/>
      <c r="BV195" s="115"/>
      <c r="BW195" s="115"/>
      <c r="BX195" s="115"/>
      <c r="BY195" s="115"/>
      <c r="BZ195" s="25"/>
      <c r="CA195" s="13"/>
      <c r="CD195" s="114"/>
    </row>
    <row r="196" spans="1:82" ht="20.100000000000001" customHeight="1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7"/>
      <c r="AB196" s="13"/>
      <c r="AN196" s="115"/>
      <c r="AO196" s="115"/>
      <c r="AP196" s="115"/>
      <c r="AQ196" s="127"/>
      <c r="AR196" s="29"/>
      <c r="BB196" s="25"/>
      <c r="BC196" s="13"/>
      <c r="BH196" s="116"/>
      <c r="BI196" s="123"/>
      <c r="BJ196" s="123"/>
      <c r="BK196" s="123"/>
      <c r="BP196" s="115"/>
      <c r="BQ196" s="115"/>
      <c r="BR196" s="115"/>
      <c r="BS196" s="115"/>
      <c r="BT196" s="115"/>
      <c r="BU196" s="115"/>
      <c r="BV196" s="115"/>
      <c r="BW196" s="115"/>
      <c r="BX196" s="115"/>
      <c r="BY196" s="115"/>
      <c r="BZ196" s="25"/>
      <c r="CA196" s="13"/>
      <c r="CD196" s="114"/>
    </row>
    <row r="197" spans="1:82" ht="20.100000000000001" customHeight="1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26"/>
      <c r="AB197" s="13"/>
      <c r="AN197" s="115"/>
      <c r="AO197" s="115"/>
      <c r="AP197" s="115"/>
      <c r="AQ197" s="127"/>
      <c r="AR197" s="29"/>
      <c r="BB197" s="25"/>
      <c r="BC197" s="13"/>
      <c r="BH197" s="116"/>
      <c r="BI197" s="123"/>
      <c r="BJ197" s="123"/>
      <c r="BK197" s="123"/>
      <c r="BP197" s="115"/>
      <c r="BQ197" s="115"/>
      <c r="BR197" s="115"/>
      <c r="BS197" s="115"/>
      <c r="BT197" s="115"/>
      <c r="BU197" s="115"/>
      <c r="BV197" s="115"/>
      <c r="BW197" s="115"/>
      <c r="BX197" s="115"/>
      <c r="BY197" s="115"/>
      <c r="BZ197" s="25"/>
      <c r="CA197" s="13"/>
      <c r="CD197" s="114"/>
    </row>
    <row r="198" spans="1:82" ht="20.100000000000001" customHeight="1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26"/>
      <c r="AB198" s="13"/>
      <c r="AN198" s="115"/>
      <c r="AO198" s="115"/>
      <c r="AP198" s="115"/>
      <c r="AQ198" s="127"/>
      <c r="AR198" s="29"/>
      <c r="BB198" s="25"/>
      <c r="BC198" s="13"/>
      <c r="BH198" s="116"/>
      <c r="BI198" s="123"/>
      <c r="BJ198" s="123"/>
      <c r="BK198" s="123"/>
      <c r="BP198" s="115"/>
      <c r="BQ198" s="115"/>
      <c r="BR198" s="115"/>
      <c r="BS198" s="115"/>
      <c r="BT198" s="115"/>
      <c r="BU198" s="115"/>
      <c r="BV198" s="115"/>
      <c r="BW198" s="115"/>
      <c r="BX198" s="115"/>
      <c r="BY198" s="115"/>
      <c r="BZ198" s="25"/>
      <c r="CA198" s="13"/>
      <c r="CD198" s="114"/>
    </row>
    <row r="199" spans="1:82" ht="20.100000000000001" customHeight="1" x14ac:dyDescent="0.4">
      <c r="A199" s="117"/>
      <c r="B199" s="123"/>
      <c r="C199" s="123"/>
      <c r="D199" s="123"/>
      <c r="AA199" s="26"/>
      <c r="AB199" s="13"/>
      <c r="AN199" s="115"/>
      <c r="AO199" s="115"/>
      <c r="AP199" s="115"/>
      <c r="AQ199" s="29"/>
      <c r="AR199" s="29"/>
      <c r="BB199" s="25"/>
      <c r="BC199" s="13"/>
      <c r="BH199" s="116"/>
      <c r="BI199" s="123"/>
      <c r="BJ199" s="123"/>
      <c r="BK199" s="123"/>
      <c r="BP199" s="115"/>
      <c r="BQ199" s="115"/>
      <c r="BR199" s="115"/>
      <c r="BS199" s="115"/>
      <c r="BT199" s="115"/>
      <c r="BU199" s="115"/>
      <c r="BV199" s="115"/>
      <c r="BW199" s="115"/>
      <c r="BX199" s="115"/>
      <c r="BY199" s="115"/>
      <c r="BZ199" s="25"/>
      <c r="CA199" s="13"/>
      <c r="CD199" s="114"/>
    </row>
    <row r="200" spans="1:82" ht="20.100000000000001" customHeight="1" x14ac:dyDescent="0.4">
      <c r="A200" s="117"/>
      <c r="B200" s="123"/>
      <c r="C200" s="123"/>
      <c r="D200" s="123"/>
      <c r="X200" s="115"/>
      <c r="Y200" s="115"/>
      <c r="Z200" s="115"/>
      <c r="AA200" s="26"/>
      <c r="AB200" s="13"/>
      <c r="AN200" s="115"/>
      <c r="AO200" s="115"/>
      <c r="AP200" s="115"/>
      <c r="AQ200" s="29"/>
      <c r="AR200" s="29"/>
      <c r="BB200" s="25"/>
      <c r="BC200" s="13"/>
      <c r="BH200" s="116"/>
      <c r="BI200" s="123"/>
      <c r="BJ200" s="123"/>
      <c r="BK200" s="123"/>
      <c r="BP200" s="115"/>
      <c r="BQ200" s="115"/>
      <c r="BR200" s="115"/>
      <c r="BS200" s="115"/>
      <c r="BT200" s="115"/>
      <c r="BU200" s="115"/>
      <c r="BV200" s="115"/>
      <c r="BW200" s="115"/>
      <c r="BX200" s="115"/>
      <c r="BY200" s="115"/>
      <c r="BZ200" s="25"/>
      <c r="CA200" s="13"/>
      <c r="CD200" s="114"/>
    </row>
    <row r="201" spans="1:82" ht="20.100000000000001" customHeight="1" x14ac:dyDescent="0.4">
      <c r="A201" s="117"/>
      <c r="B201" s="123"/>
      <c r="C201" s="123"/>
      <c r="D201" s="12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26"/>
      <c r="AB201" s="13"/>
      <c r="AN201" s="115"/>
      <c r="AO201" s="115"/>
      <c r="AP201" s="115"/>
      <c r="AQ201" s="29"/>
      <c r="AR201" s="29"/>
      <c r="BB201" s="25"/>
      <c r="BC201" s="13"/>
      <c r="BH201" s="116"/>
      <c r="BI201" s="123"/>
      <c r="BJ201" s="123"/>
      <c r="BK201" s="123"/>
      <c r="BP201" s="115"/>
      <c r="BQ201" s="115"/>
      <c r="BR201" s="115"/>
      <c r="BS201" s="115"/>
      <c r="BT201" s="115"/>
      <c r="BU201" s="115"/>
      <c r="BV201" s="115"/>
      <c r="BW201" s="115"/>
      <c r="BX201" s="115"/>
      <c r="BY201" s="115"/>
      <c r="BZ201" s="25"/>
      <c r="CA201" s="13"/>
      <c r="CD201" s="114"/>
    </row>
    <row r="202" spans="1:82" ht="20.100000000000001" customHeight="1" x14ac:dyDescent="0.4">
      <c r="A202" s="117"/>
      <c r="B202" s="123"/>
      <c r="C202" s="123"/>
      <c r="D202" s="12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26"/>
      <c r="AB202" s="13"/>
      <c r="AN202" s="115"/>
      <c r="AO202" s="115"/>
      <c r="AP202" s="115"/>
      <c r="AQ202" s="29"/>
      <c r="AR202" s="29"/>
      <c r="BB202" s="25"/>
      <c r="BC202" s="13"/>
      <c r="BH202" s="116"/>
      <c r="BI202" s="123"/>
      <c r="BJ202" s="123"/>
      <c r="BK202" s="123"/>
      <c r="BP202" s="115"/>
      <c r="BQ202" s="115"/>
      <c r="BR202" s="115"/>
      <c r="BS202" s="115"/>
      <c r="BT202" s="115"/>
      <c r="BU202" s="115"/>
      <c r="BV202" s="115"/>
      <c r="BW202" s="115"/>
      <c r="BX202" s="115"/>
      <c r="BY202" s="115"/>
      <c r="BZ202" s="25"/>
      <c r="CA202" s="13"/>
      <c r="CD202" s="114"/>
    </row>
    <row r="203" spans="1:82" ht="20.100000000000001" customHeight="1" x14ac:dyDescent="0.4">
      <c r="A203" s="117"/>
      <c r="B203" s="123"/>
      <c r="C203" s="123"/>
      <c r="D203" s="12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26"/>
      <c r="AB203" s="13"/>
      <c r="AN203" s="115"/>
      <c r="AO203" s="115"/>
      <c r="AP203" s="115"/>
      <c r="AQ203" s="29"/>
      <c r="AR203" s="29"/>
      <c r="BB203" s="25"/>
      <c r="BC203" s="13"/>
      <c r="BH203" s="116"/>
      <c r="BI203" s="123"/>
      <c r="BJ203" s="123"/>
      <c r="BK203" s="123"/>
      <c r="BP203" s="115"/>
      <c r="BQ203" s="115"/>
      <c r="BR203" s="115"/>
      <c r="BS203" s="115"/>
      <c r="BT203" s="115"/>
      <c r="BU203" s="115"/>
      <c r="BV203" s="115"/>
      <c r="BW203" s="115"/>
      <c r="BX203" s="115"/>
      <c r="BY203" s="115"/>
      <c r="BZ203" s="25"/>
      <c r="CA203" s="13"/>
      <c r="CD203" s="114"/>
    </row>
    <row r="204" spans="1:82" ht="20.100000000000001" customHeight="1" x14ac:dyDescent="0.4">
      <c r="A204" s="117"/>
      <c r="B204" s="123"/>
      <c r="C204" s="123"/>
      <c r="D204" s="12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26"/>
      <c r="AB204" s="15"/>
      <c r="AN204" s="115"/>
      <c r="AO204" s="115"/>
      <c r="AP204" s="115"/>
      <c r="AQ204" s="29"/>
      <c r="AR204" s="29"/>
      <c r="BB204" s="25"/>
      <c r="BC204" s="13"/>
      <c r="BH204" s="116"/>
      <c r="BI204" s="123"/>
      <c r="BJ204" s="123"/>
      <c r="BK204" s="123"/>
      <c r="BP204" s="115"/>
      <c r="BQ204" s="115"/>
      <c r="BR204" s="115"/>
      <c r="BS204" s="115"/>
      <c r="BT204" s="115"/>
      <c r="BU204" s="115"/>
      <c r="BV204" s="115"/>
      <c r="BW204" s="115"/>
      <c r="BX204" s="115"/>
      <c r="BY204" s="115"/>
      <c r="BZ204" s="25"/>
      <c r="CA204" s="13"/>
      <c r="CD204" s="114"/>
    </row>
    <row r="205" spans="1:82" ht="20.100000000000001" customHeight="1" x14ac:dyDescent="0.4">
      <c r="A205" s="117"/>
      <c r="B205" s="123"/>
      <c r="C205" s="123"/>
      <c r="D205" s="123"/>
      <c r="AA205" s="26"/>
      <c r="AB205" s="15"/>
      <c r="AM205" s="115"/>
      <c r="AN205" s="115"/>
      <c r="AO205" s="115"/>
      <c r="AP205" s="115"/>
      <c r="AQ205" s="127"/>
      <c r="AR205" s="29"/>
      <c r="BB205" s="25"/>
      <c r="BC205" s="13"/>
      <c r="BH205" s="116"/>
      <c r="BI205" s="123"/>
      <c r="BJ205" s="123"/>
      <c r="BK205" s="123"/>
      <c r="BP205" s="115"/>
      <c r="BQ205" s="115"/>
      <c r="BR205" s="115"/>
      <c r="BS205" s="115"/>
      <c r="BT205" s="115"/>
      <c r="BU205" s="115"/>
      <c r="BV205" s="115"/>
      <c r="BW205" s="115"/>
      <c r="BX205" s="115"/>
      <c r="BY205" s="115"/>
      <c r="BZ205" s="25"/>
      <c r="CA205" s="13"/>
      <c r="CD205" s="114"/>
    </row>
    <row r="206" spans="1:82" ht="20.100000000000001" customHeight="1" x14ac:dyDescent="0.4">
      <c r="A206" s="117"/>
      <c r="B206" s="123"/>
      <c r="C206" s="123"/>
      <c r="D206" s="123"/>
      <c r="R206" s="115"/>
      <c r="S206" s="115"/>
      <c r="T206" s="115"/>
      <c r="U206" s="115"/>
      <c r="V206" s="115"/>
      <c r="W206" s="115"/>
      <c r="X206" s="115"/>
      <c r="Y206" s="115"/>
      <c r="Z206" s="115"/>
      <c r="AA206" s="26"/>
      <c r="AB206" s="15"/>
      <c r="AM206" s="115"/>
      <c r="AN206" s="115"/>
      <c r="AO206" s="115"/>
      <c r="AP206" s="115"/>
      <c r="AQ206" s="127"/>
      <c r="AR206" s="29"/>
      <c r="BB206" s="25"/>
      <c r="BC206" s="13"/>
      <c r="BH206" s="116"/>
      <c r="BI206" s="123"/>
      <c r="BJ206" s="123"/>
      <c r="BK206" s="123"/>
      <c r="BP206" s="115"/>
      <c r="BQ206" s="115"/>
      <c r="BR206" s="115"/>
      <c r="BS206" s="115"/>
      <c r="BT206" s="115"/>
      <c r="BU206" s="115"/>
      <c r="BV206" s="115"/>
      <c r="BW206" s="115"/>
      <c r="BX206" s="115"/>
      <c r="BY206" s="115"/>
      <c r="BZ206" s="25"/>
      <c r="CA206" s="13"/>
      <c r="CD206" s="114"/>
    </row>
    <row r="207" spans="1:82" ht="20.100000000000001" customHeight="1" x14ac:dyDescent="0.4">
      <c r="A207" s="117"/>
      <c r="B207" s="123"/>
      <c r="C207" s="123"/>
      <c r="D207" s="123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26"/>
      <c r="AB207" s="13"/>
      <c r="AM207" s="115"/>
      <c r="AN207" s="115"/>
      <c r="AO207" s="115"/>
      <c r="AP207" s="115"/>
      <c r="AQ207" s="127"/>
      <c r="AR207" s="29"/>
      <c r="BB207" s="25"/>
      <c r="BC207" s="13"/>
      <c r="BH207" s="116"/>
      <c r="BI207" s="123"/>
      <c r="BJ207" s="123"/>
      <c r="BK207" s="123"/>
      <c r="BP207" s="115"/>
      <c r="BQ207" s="115"/>
      <c r="BR207" s="115"/>
      <c r="BS207" s="115"/>
      <c r="BT207" s="115"/>
      <c r="BU207" s="115"/>
      <c r="BV207" s="115"/>
      <c r="BW207" s="115"/>
      <c r="BX207" s="115"/>
      <c r="BY207" s="115"/>
      <c r="BZ207" s="25"/>
      <c r="CA207" s="13"/>
      <c r="CD207" s="114"/>
    </row>
    <row r="208" spans="1:82" ht="20.100000000000001" customHeight="1" x14ac:dyDescent="0.4">
      <c r="A208" s="117"/>
      <c r="B208" s="123"/>
      <c r="C208" s="123"/>
      <c r="D208" s="123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26"/>
      <c r="AB208" s="13"/>
      <c r="AM208" s="115"/>
      <c r="AN208" s="115"/>
      <c r="AO208" s="115"/>
      <c r="AP208" s="115"/>
      <c r="AQ208" s="127"/>
      <c r="AR208" s="29"/>
      <c r="BB208" s="25"/>
      <c r="BC208" s="13"/>
      <c r="BH208" s="116"/>
      <c r="BI208" s="123"/>
      <c r="BJ208" s="123"/>
      <c r="BK208" s="123"/>
      <c r="BP208" s="115"/>
      <c r="BQ208" s="115"/>
      <c r="BR208" s="115"/>
      <c r="BS208" s="115"/>
      <c r="BT208" s="115"/>
      <c r="BU208" s="115"/>
      <c r="BV208" s="115"/>
      <c r="BW208" s="115"/>
      <c r="BX208" s="115"/>
      <c r="BY208" s="115"/>
      <c r="BZ208" s="25"/>
      <c r="CA208" s="13"/>
      <c r="CD208" s="114"/>
    </row>
    <row r="209" spans="1:82" ht="20.100000000000001" customHeight="1" x14ac:dyDescent="0.4">
      <c r="A209" s="117"/>
      <c r="B209" s="123"/>
      <c r="C209" s="123"/>
      <c r="D209" s="123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26"/>
      <c r="AB209" s="13"/>
      <c r="AM209" s="115"/>
      <c r="AN209" s="115"/>
      <c r="AO209" s="115"/>
      <c r="AP209" s="115"/>
      <c r="AQ209" s="127"/>
      <c r="AR209" s="29"/>
      <c r="BB209" s="25"/>
      <c r="BC209" s="13"/>
      <c r="BH209" s="116"/>
      <c r="BI209" s="123"/>
      <c r="BJ209" s="123"/>
      <c r="BK209" s="123"/>
      <c r="BP209" s="115"/>
      <c r="BQ209" s="115"/>
      <c r="BR209" s="115"/>
      <c r="BS209" s="115"/>
      <c r="BT209" s="115"/>
      <c r="BU209" s="115"/>
      <c r="BV209" s="115"/>
      <c r="BW209" s="115"/>
      <c r="BX209" s="115"/>
      <c r="BY209" s="115"/>
      <c r="BZ209" s="25"/>
      <c r="CA209" s="13"/>
      <c r="CD209" s="114"/>
    </row>
    <row r="210" spans="1:82" ht="20.100000000000001" customHeight="1" x14ac:dyDescent="0.4">
      <c r="A210" s="117"/>
      <c r="B210" s="123"/>
      <c r="C210" s="123"/>
      <c r="D210" s="123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7"/>
      <c r="AB210" s="13"/>
      <c r="AM210" s="115"/>
      <c r="AN210" s="115"/>
      <c r="AO210" s="115"/>
      <c r="AP210" s="115"/>
      <c r="AQ210" s="127"/>
      <c r="AR210" s="29"/>
      <c r="BB210" s="25"/>
      <c r="BC210" s="13"/>
      <c r="BH210" s="116"/>
      <c r="BI210" s="123"/>
      <c r="BJ210" s="123"/>
      <c r="BK210" s="123"/>
      <c r="BP210" s="115"/>
      <c r="BQ210" s="115"/>
      <c r="BR210" s="115"/>
      <c r="BS210" s="115"/>
      <c r="BT210" s="115"/>
      <c r="BU210" s="115"/>
      <c r="BV210" s="115"/>
      <c r="BW210" s="115"/>
      <c r="BX210" s="115"/>
      <c r="BY210" s="115"/>
      <c r="BZ210" s="25"/>
      <c r="CA210" s="13"/>
      <c r="CD210" s="114"/>
    </row>
    <row r="211" spans="1:82" ht="20.100000000000001" customHeight="1" x14ac:dyDescent="0.4">
      <c r="A211" s="117"/>
      <c r="B211" s="123"/>
      <c r="C211" s="123"/>
      <c r="D211" s="123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26"/>
      <c r="AB211" s="13"/>
      <c r="AM211" s="115"/>
      <c r="AN211" s="115"/>
      <c r="AO211" s="115"/>
      <c r="AP211" s="115"/>
      <c r="AQ211" s="127"/>
      <c r="AR211" s="29"/>
      <c r="BB211" s="25"/>
      <c r="BC211" s="13"/>
      <c r="BH211" s="116"/>
      <c r="BI211" s="123"/>
      <c r="BJ211" s="123"/>
      <c r="BK211" s="123"/>
      <c r="BP211" s="115"/>
      <c r="BQ211" s="115"/>
      <c r="BR211" s="115"/>
      <c r="BS211" s="115"/>
      <c r="BT211" s="115"/>
      <c r="BU211" s="115"/>
      <c r="BV211" s="115"/>
      <c r="BW211" s="115"/>
      <c r="BX211" s="115"/>
      <c r="BY211" s="115"/>
      <c r="BZ211" s="25"/>
      <c r="CA211" s="13"/>
      <c r="CD211" s="114"/>
    </row>
    <row r="212" spans="1:82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26"/>
      <c r="AB212" s="13"/>
      <c r="AM212" s="115"/>
      <c r="AN212" s="115"/>
      <c r="AO212" s="115"/>
      <c r="AP212" s="115"/>
      <c r="AQ212" s="127"/>
      <c r="AR212" s="29"/>
      <c r="BB212" s="25"/>
      <c r="BC212" s="13"/>
      <c r="BH212" s="116"/>
      <c r="BI212" s="123"/>
      <c r="BJ212" s="123"/>
      <c r="BK212" s="123"/>
      <c r="BP212" s="115"/>
      <c r="BQ212" s="115"/>
      <c r="BR212" s="115"/>
      <c r="BS212" s="115"/>
      <c r="BT212" s="115"/>
      <c r="BU212" s="115"/>
      <c r="BV212" s="115"/>
      <c r="BW212" s="115"/>
      <c r="BX212" s="115"/>
      <c r="BY212" s="115"/>
      <c r="BZ212" s="25"/>
      <c r="CA212" s="13"/>
      <c r="CD212" s="114"/>
    </row>
    <row r="213" spans="1:82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26"/>
      <c r="AB213" s="13"/>
      <c r="AM213" s="115"/>
      <c r="AN213" s="115"/>
      <c r="AO213" s="115"/>
      <c r="AP213" s="115"/>
      <c r="AQ213" s="127"/>
      <c r="AR213" s="29"/>
      <c r="BB213" s="25"/>
      <c r="BC213" s="13"/>
      <c r="BH213" s="116"/>
      <c r="BI213" s="123"/>
      <c r="BJ213" s="123"/>
      <c r="BK213" s="123"/>
      <c r="BP213" s="115"/>
      <c r="BQ213" s="115"/>
      <c r="BR213" s="115"/>
      <c r="BS213" s="115"/>
      <c r="BT213" s="115"/>
      <c r="BU213" s="115"/>
      <c r="BV213" s="115"/>
      <c r="BW213" s="115"/>
      <c r="BX213" s="115"/>
      <c r="BY213" s="115"/>
      <c r="BZ213" s="25"/>
      <c r="CA213" s="13"/>
      <c r="CD213" s="114"/>
    </row>
    <row r="214" spans="1:82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26"/>
      <c r="AB214" s="13"/>
      <c r="AM214" s="115"/>
      <c r="AN214" s="115"/>
      <c r="AO214" s="115"/>
      <c r="AP214" s="115"/>
      <c r="AQ214" s="127"/>
      <c r="AR214" s="29"/>
      <c r="BB214" s="25"/>
      <c r="BC214" s="13"/>
      <c r="BH214" s="116"/>
      <c r="BI214" s="123"/>
      <c r="BJ214" s="123"/>
      <c r="BK214" s="123"/>
      <c r="BP214" s="115"/>
      <c r="BQ214" s="115"/>
      <c r="BR214" s="115"/>
      <c r="BS214" s="115"/>
      <c r="BT214" s="115"/>
      <c r="BU214" s="115"/>
      <c r="BV214" s="115"/>
      <c r="BW214" s="115"/>
      <c r="BX214" s="115"/>
      <c r="BY214" s="115"/>
      <c r="BZ214" s="25"/>
      <c r="CA214" s="13"/>
      <c r="CD214" s="114"/>
    </row>
    <row r="215" spans="1:82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7"/>
      <c r="AB215" s="13"/>
      <c r="AM215" s="115"/>
      <c r="AN215" s="115"/>
      <c r="AO215" s="115"/>
      <c r="AP215" s="115"/>
      <c r="AQ215" s="127"/>
      <c r="AR215" s="29"/>
      <c r="BB215" s="25"/>
      <c r="BC215" s="13"/>
      <c r="BH215" s="116"/>
      <c r="BI215" s="123"/>
      <c r="BJ215" s="123"/>
      <c r="BK215" s="123"/>
      <c r="BP215" s="115"/>
      <c r="BQ215" s="115"/>
      <c r="BR215" s="115"/>
      <c r="BS215" s="115"/>
      <c r="BT215" s="115"/>
      <c r="BU215" s="115"/>
      <c r="BV215" s="115"/>
      <c r="BW215" s="115"/>
      <c r="BX215" s="115"/>
      <c r="BY215" s="115"/>
      <c r="BZ215" s="25"/>
      <c r="CA215" s="13"/>
      <c r="CD215" s="114"/>
    </row>
    <row r="216" spans="1:82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26"/>
      <c r="AB216" s="13"/>
      <c r="AM216" s="115"/>
      <c r="AN216" s="115"/>
      <c r="AO216" s="115"/>
      <c r="AP216" s="115"/>
      <c r="AQ216" s="127"/>
      <c r="AR216" s="29"/>
      <c r="BB216" s="25"/>
      <c r="BC216" s="13"/>
      <c r="BH216" s="116"/>
      <c r="BI216" s="123"/>
      <c r="BJ216" s="123"/>
      <c r="BK216" s="123"/>
      <c r="BP216" s="115"/>
      <c r="BQ216" s="115"/>
      <c r="BR216" s="115"/>
      <c r="BS216" s="115"/>
      <c r="BT216" s="115"/>
      <c r="BU216" s="115"/>
      <c r="BV216" s="115"/>
      <c r="BW216" s="115"/>
      <c r="BX216" s="115"/>
      <c r="BY216" s="115"/>
      <c r="BZ216" s="25"/>
      <c r="CA216" s="13"/>
      <c r="CD216" s="114"/>
    </row>
    <row r="217" spans="1:82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26"/>
      <c r="AB217" s="13"/>
      <c r="AM217" s="115"/>
      <c r="AN217" s="115"/>
      <c r="AO217" s="115"/>
      <c r="AP217" s="115"/>
      <c r="AQ217" s="127"/>
      <c r="AR217" s="29"/>
      <c r="BB217" s="25"/>
      <c r="BC217" s="13"/>
      <c r="BH217" s="116"/>
      <c r="BI217" s="123"/>
      <c r="BJ217" s="123"/>
      <c r="BK217" s="123"/>
      <c r="BP217" s="115"/>
      <c r="BQ217" s="115"/>
      <c r="BR217" s="115"/>
      <c r="BS217" s="115"/>
      <c r="BT217" s="115"/>
      <c r="BU217" s="115"/>
      <c r="BV217" s="115"/>
      <c r="BW217" s="115"/>
      <c r="BX217" s="115"/>
      <c r="BY217" s="115"/>
      <c r="BZ217" s="25"/>
      <c r="CA217" s="13"/>
      <c r="CD217" s="114"/>
    </row>
    <row r="218" spans="1:82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26"/>
      <c r="AB218" s="13"/>
      <c r="AM218" s="115"/>
      <c r="AN218" s="115"/>
      <c r="AO218" s="115"/>
      <c r="AP218" s="115"/>
      <c r="AQ218" s="127"/>
      <c r="AR218" s="29"/>
      <c r="BB218" s="25"/>
      <c r="BC218" s="13"/>
      <c r="BH218" s="116"/>
      <c r="BI218" s="123"/>
      <c r="BJ218" s="123"/>
      <c r="BK218" s="123"/>
      <c r="BP218" s="115"/>
      <c r="BQ218" s="115"/>
      <c r="BR218" s="115"/>
      <c r="BS218" s="115"/>
      <c r="BT218" s="115"/>
      <c r="BU218" s="115"/>
      <c r="BV218" s="115"/>
      <c r="BW218" s="115"/>
      <c r="BX218" s="115"/>
      <c r="BY218" s="115"/>
      <c r="BZ218" s="25"/>
      <c r="CA218" s="13"/>
      <c r="CD218" s="114"/>
    </row>
    <row r="219" spans="1:82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26"/>
      <c r="AB219" s="15"/>
      <c r="AM219" s="115"/>
      <c r="AN219" s="115"/>
      <c r="AO219" s="115"/>
      <c r="AP219" s="115"/>
      <c r="AQ219" s="127"/>
      <c r="AR219" s="29"/>
      <c r="BB219" s="25"/>
      <c r="BC219" s="13"/>
      <c r="BH219" s="116"/>
      <c r="BI219" s="123"/>
      <c r="BJ219" s="123"/>
      <c r="BK219" s="123"/>
      <c r="BP219" s="115"/>
      <c r="BQ219" s="115"/>
      <c r="BR219" s="115"/>
      <c r="BS219" s="115"/>
      <c r="BT219" s="115"/>
      <c r="BU219" s="115"/>
      <c r="BV219" s="115"/>
      <c r="BW219" s="115"/>
      <c r="BX219" s="115"/>
      <c r="BY219" s="115"/>
      <c r="BZ219" s="25"/>
      <c r="CA219" s="13"/>
      <c r="CD219" s="114"/>
    </row>
    <row r="220" spans="1:82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26"/>
      <c r="AB220" s="15"/>
      <c r="AM220" s="115"/>
      <c r="AN220" s="115"/>
      <c r="AO220" s="115"/>
      <c r="AP220" s="115"/>
      <c r="AQ220" s="127"/>
      <c r="AR220" s="29"/>
      <c r="BB220" s="25"/>
      <c r="BC220" s="13"/>
      <c r="BH220" s="116"/>
      <c r="BI220" s="123"/>
      <c r="BJ220" s="123"/>
      <c r="BK220" s="123"/>
      <c r="BP220" s="115"/>
      <c r="BQ220" s="115"/>
      <c r="BR220" s="115"/>
      <c r="BS220" s="115"/>
      <c r="BT220" s="115"/>
      <c r="BU220" s="115"/>
      <c r="BV220" s="115"/>
      <c r="BW220" s="115"/>
      <c r="BX220" s="115"/>
      <c r="BY220" s="115"/>
      <c r="BZ220" s="25"/>
      <c r="CA220" s="13"/>
      <c r="CD220" s="114"/>
    </row>
    <row r="221" spans="1:82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26"/>
      <c r="AB221" s="15"/>
      <c r="AM221" s="115"/>
      <c r="AN221" s="115"/>
      <c r="AO221" s="115"/>
      <c r="AP221" s="115"/>
      <c r="AQ221" s="127"/>
      <c r="AR221" s="29"/>
      <c r="BB221" s="25"/>
      <c r="BC221" s="13"/>
      <c r="BH221" s="116"/>
      <c r="BI221" s="123"/>
      <c r="BJ221" s="123"/>
      <c r="BK221" s="123"/>
      <c r="BP221" s="115"/>
      <c r="BQ221" s="115"/>
      <c r="BR221" s="115"/>
      <c r="BS221" s="115"/>
      <c r="BT221" s="115"/>
      <c r="BU221" s="115"/>
      <c r="BV221" s="115"/>
      <c r="BW221" s="115"/>
      <c r="BX221" s="115"/>
      <c r="BY221" s="115"/>
      <c r="BZ221" s="25"/>
      <c r="CA221" s="13"/>
      <c r="CD221" s="114"/>
    </row>
    <row r="222" spans="1:82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7"/>
      <c r="AB222" s="13"/>
      <c r="AM222" s="115"/>
      <c r="AN222" s="115"/>
      <c r="AO222" s="115"/>
      <c r="AP222" s="115"/>
      <c r="AQ222" s="127"/>
      <c r="AR222" s="29"/>
      <c r="BB222" s="25"/>
      <c r="BC222" s="13"/>
      <c r="BH222" s="116"/>
      <c r="BI222" s="123"/>
      <c r="BJ222" s="123"/>
      <c r="BK222" s="123"/>
      <c r="BP222" s="115"/>
      <c r="BQ222" s="115"/>
      <c r="BR222" s="115"/>
      <c r="BS222" s="115"/>
      <c r="BT222" s="115"/>
      <c r="BU222" s="115"/>
      <c r="BV222" s="115"/>
      <c r="BW222" s="115"/>
      <c r="BX222" s="115"/>
      <c r="BY222" s="115"/>
      <c r="BZ222" s="25"/>
      <c r="CA222" s="13"/>
      <c r="CD222" s="114"/>
    </row>
    <row r="223" spans="1:82" ht="20.100000000000001" customHeight="1" x14ac:dyDescent="0.4">
      <c r="A223" s="117"/>
      <c r="B223" s="123"/>
      <c r="C223" s="123"/>
      <c r="D223" s="123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7"/>
      <c r="AB223" s="13"/>
      <c r="AM223" s="115"/>
      <c r="AN223" s="115"/>
      <c r="AO223" s="115"/>
      <c r="AP223" s="115"/>
      <c r="AQ223" s="127"/>
      <c r="AR223" s="29"/>
      <c r="BB223" s="25"/>
      <c r="BC223" s="13"/>
      <c r="BH223" s="116"/>
      <c r="BI223" s="123"/>
      <c r="BJ223" s="123"/>
      <c r="BK223" s="123"/>
      <c r="BP223" s="115"/>
      <c r="BQ223" s="115"/>
      <c r="BR223" s="115"/>
      <c r="BS223" s="115"/>
      <c r="BT223" s="115"/>
      <c r="BU223" s="115"/>
      <c r="BV223" s="115"/>
      <c r="BW223" s="115"/>
      <c r="BX223" s="115"/>
      <c r="BY223" s="115"/>
      <c r="BZ223" s="25"/>
      <c r="CA223" s="13"/>
      <c r="CD223" s="114"/>
    </row>
    <row r="224" spans="1:82" ht="20.100000000000001" customHeight="1" x14ac:dyDescent="0.4">
      <c r="A224" s="117"/>
      <c r="B224" s="123"/>
      <c r="C224" s="123"/>
      <c r="D224" s="123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26"/>
      <c r="AB224" s="13"/>
      <c r="AM224" s="115"/>
      <c r="AN224" s="115"/>
      <c r="AO224" s="115"/>
      <c r="AP224" s="115"/>
      <c r="AQ224" s="127"/>
      <c r="AR224" s="29"/>
      <c r="BB224" s="25"/>
      <c r="BC224" s="13"/>
      <c r="BH224" s="116"/>
      <c r="BI224" s="123"/>
      <c r="BJ224" s="123"/>
      <c r="BK224" s="123"/>
      <c r="BP224" s="115"/>
      <c r="BQ224" s="115"/>
      <c r="BR224" s="115"/>
      <c r="BS224" s="115"/>
      <c r="BT224" s="115"/>
      <c r="BU224" s="115"/>
      <c r="BV224" s="115"/>
      <c r="BW224" s="115"/>
      <c r="BX224" s="115"/>
      <c r="BY224" s="115"/>
      <c r="BZ224" s="25"/>
      <c r="CA224" s="13"/>
      <c r="CD224" s="114"/>
    </row>
    <row r="225" spans="1:82" ht="20.100000000000001" customHeight="1" x14ac:dyDescent="0.4">
      <c r="A225" s="117"/>
      <c r="B225" s="123"/>
      <c r="C225" s="123"/>
      <c r="D225" s="123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7"/>
      <c r="AB225" s="13"/>
      <c r="AM225" s="115"/>
      <c r="AN225" s="115"/>
      <c r="AO225" s="115"/>
      <c r="AP225" s="115"/>
      <c r="AQ225" s="127"/>
      <c r="AR225" s="29"/>
      <c r="BB225" s="25"/>
      <c r="BC225" s="13"/>
      <c r="BH225" s="116"/>
      <c r="BI225" s="123"/>
      <c r="BJ225" s="123"/>
      <c r="BK225" s="123"/>
      <c r="BP225" s="115"/>
      <c r="BQ225" s="115"/>
      <c r="BR225" s="115"/>
      <c r="BS225" s="115"/>
      <c r="BT225" s="115"/>
      <c r="BU225" s="115"/>
      <c r="BV225" s="115"/>
      <c r="BW225" s="115"/>
      <c r="BX225" s="115"/>
      <c r="BY225" s="115"/>
      <c r="BZ225" s="25"/>
      <c r="CA225" s="13"/>
      <c r="CD225" s="114"/>
    </row>
    <row r="226" spans="1:82" ht="20.100000000000001" customHeight="1" x14ac:dyDescent="0.4">
      <c r="A226" s="117"/>
      <c r="B226" s="123"/>
      <c r="C226" s="123"/>
      <c r="D226" s="123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26"/>
      <c r="AB226" s="13"/>
      <c r="AM226" s="115"/>
      <c r="AN226" s="115"/>
      <c r="AO226" s="115"/>
      <c r="AP226" s="115"/>
      <c r="AQ226" s="127"/>
      <c r="AR226" s="29"/>
      <c r="BB226" s="25"/>
      <c r="BC226" s="13"/>
      <c r="BH226" s="116"/>
      <c r="BI226" s="123"/>
      <c r="BJ226" s="123"/>
      <c r="BK226" s="123"/>
      <c r="BP226" s="115"/>
      <c r="BQ226" s="115"/>
      <c r="BR226" s="115"/>
      <c r="BS226" s="115"/>
      <c r="BT226" s="115"/>
      <c r="BU226" s="115"/>
      <c r="BV226" s="115"/>
      <c r="BW226" s="115"/>
      <c r="BX226" s="115"/>
      <c r="BY226" s="115"/>
      <c r="BZ226" s="25"/>
      <c r="CA226" s="13"/>
      <c r="CD226" s="114"/>
    </row>
    <row r="227" spans="1:82" ht="20.100000000000001" customHeight="1" x14ac:dyDescent="0.4">
      <c r="A227" s="117"/>
      <c r="B227" s="123"/>
      <c r="C227" s="123"/>
      <c r="D227" s="123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26"/>
      <c r="AB227" s="13"/>
      <c r="AM227" s="115"/>
      <c r="AN227" s="115"/>
      <c r="AO227" s="115"/>
      <c r="AP227" s="115"/>
      <c r="AQ227" s="127"/>
      <c r="AR227" s="29"/>
      <c r="BB227" s="25"/>
      <c r="BC227" s="13"/>
      <c r="BH227" s="116"/>
      <c r="BI227" s="123"/>
      <c r="BJ227" s="123"/>
      <c r="BK227" s="123"/>
      <c r="BP227" s="115"/>
      <c r="BQ227" s="115"/>
      <c r="BR227" s="115"/>
      <c r="BS227" s="115"/>
      <c r="BT227" s="115"/>
      <c r="BU227" s="115"/>
      <c r="BV227" s="115"/>
      <c r="BW227" s="115"/>
      <c r="BX227" s="115"/>
      <c r="BY227" s="115"/>
      <c r="BZ227" s="25"/>
      <c r="CA227" s="13"/>
      <c r="CD227" s="114"/>
    </row>
    <row r="228" spans="1:82" ht="20.100000000000001" customHeight="1" x14ac:dyDescent="0.4">
      <c r="A228" s="117"/>
      <c r="B228" s="123"/>
      <c r="C228" s="123"/>
      <c r="D228" s="123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26"/>
      <c r="AB228" s="13"/>
      <c r="AM228" s="115"/>
      <c r="AN228" s="115"/>
      <c r="AO228" s="115"/>
      <c r="AP228" s="115"/>
      <c r="AQ228" s="127"/>
      <c r="AR228" s="29"/>
      <c r="BB228" s="25"/>
      <c r="BC228" s="13"/>
      <c r="BH228" s="116"/>
      <c r="BI228" s="123"/>
      <c r="BJ228" s="123"/>
      <c r="BK228" s="123"/>
      <c r="BP228" s="115"/>
      <c r="BQ228" s="115"/>
      <c r="BR228" s="115"/>
      <c r="BS228" s="115"/>
      <c r="BT228" s="115"/>
      <c r="BU228" s="115"/>
      <c r="BV228" s="115"/>
      <c r="BW228" s="115"/>
      <c r="BX228" s="115"/>
      <c r="BY228" s="115"/>
      <c r="BZ228" s="25"/>
      <c r="CA228" s="13"/>
      <c r="CD228" s="114"/>
    </row>
    <row r="229" spans="1:82" ht="20.100000000000001" customHeight="1" x14ac:dyDescent="0.4">
      <c r="A229" s="117"/>
      <c r="B229" s="123"/>
      <c r="C229" s="123"/>
      <c r="D229" s="123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7"/>
      <c r="AB229" s="13"/>
      <c r="AM229" s="115"/>
      <c r="AN229" s="115"/>
      <c r="AO229" s="115"/>
      <c r="AP229" s="115"/>
      <c r="AQ229" s="127"/>
      <c r="AR229" s="29"/>
      <c r="BB229" s="25"/>
      <c r="BC229" s="13"/>
      <c r="BH229" s="116"/>
      <c r="BI229" s="123"/>
      <c r="BJ229" s="123"/>
      <c r="BK229" s="123"/>
      <c r="BP229" s="115"/>
      <c r="BQ229" s="115"/>
      <c r="BR229" s="115"/>
      <c r="BS229" s="115"/>
      <c r="BT229" s="115"/>
      <c r="BU229" s="115"/>
      <c r="BV229" s="115"/>
      <c r="BW229" s="115"/>
      <c r="BX229" s="115"/>
      <c r="BY229" s="115"/>
      <c r="BZ229" s="25"/>
      <c r="CA229" s="13"/>
      <c r="CD229" s="114"/>
    </row>
    <row r="230" spans="1:82" ht="20.100000000000001" customHeight="1" x14ac:dyDescent="0.4">
      <c r="A230" s="117"/>
      <c r="B230" s="123"/>
      <c r="C230" s="123"/>
      <c r="D230" s="123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26"/>
      <c r="AB230" s="13"/>
      <c r="AM230" s="115"/>
      <c r="AN230" s="115"/>
      <c r="AO230" s="115"/>
      <c r="AP230" s="115"/>
      <c r="AQ230" s="127"/>
      <c r="AR230" s="29"/>
      <c r="BB230" s="25"/>
      <c r="BC230" s="13"/>
      <c r="BH230" s="116"/>
      <c r="BI230" s="123"/>
      <c r="BJ230" s="123"/>
      <c r="BK230" s="123"/>
      <c r="BP230" s="115"/>
      <c r="BQ230" s="115"/>
      <c r="BR230" s="115"/>
      <c r="BS230" s="115"/>
      <c r="BT230" s="115"/>
      <c r="BU230" s="115"/>
      <c r="BV230" s="115"/>
      <c r="BW230" s="115"/>
      <c r="BX230" s="115"/>
      <c r="BY230" s="115"/>
      <c r="BZ230" s="25"/>
      <c r="CA230" s="13"/>
      <c r="CD230" s="114"/>
    </row>
    <row r="231" spans="1:82" ht="20.100000000000001" customHeight="1" x14ac:dyDescent="0.4">
      <c r="A231" s="117"/>
      <c r="B231" s="123"/>
      <c r="C231" s="123"/>
      <c r="D231" s="123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7"/>
      <c r="AB231" s="13"/>
      <c r="AM231" s="115"/>
      <c r="AN231" s="115"/>
      <c r="AO231" s="115"/>
      <c r="AP231" s="115"/>
      <c r="AQ231" s="127"/>
      <c r="AR231" s="29"/>
      <c r="BB231" s="25"/>
      <c r="BC231" s="13"/>
      <c r="BH231" s="116"/>
      <c r="BI231" s="123"/>
      <c r="BJ231" s="123"/>
      <c r="BK231" s="123"/>
      <c r="BP231" s="115"/>
      <c r="BQ231" s="115"/>
      <c r="BR231" s="115"/>
      <c r="BS231" s="115"/>
      <c r="BT231" s="115"/>
      <c r="BU231" s="115"/>
      <c r="BV231" s="115"/>
      <c r="BW231" s="115"/>
      <c r="BX231" s="115"/>
      <c r="BY231" s="115"/>
      <c r="BZ231" s="25"/>
      <c r="CA231" s="13"/>
      <c r="CD231" s="114"/>
    </row>
    <row r="232" spans="1:82" ht="20.100000000000001" customHeight="1" x14ac:dyDescent="0.4">
      <c r="A232" s="117"/>
      <c r="B232" s="123"/>
      <c r="C232" s="123"/>
      <c r="D232" s="123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7"/>
      <c r="AB232" s="13"/>
      <c r="AM232" s="115"/>
      <c r="AN232" s="115"/>
      <c r="AO232" s="115"/>
      <c r="AP232" s="115"/>
      <c r="AQ232" s="127"/>
      <c r="AR232" s="29"/>
      <c r="BB232" s="25"/>
      <c r="BC232" s="13"/>
      <c r="BH232" s="116"/>
      <c r="BI232" s="123"/>
      <c r="BJ232" s="123"/>
      <c r="BK232" s="123"/>
      <c r="BP232" s="115"/>
      <c r="BQ232" s="115"/>
      <c r="BR232" s="115"/>
      <c r="BS232" s="115"/>
      <c r="BT232" s="115"/>
      <c r="BU232" s="115"/>
      <c r="BV232" s="115"/>
      <c r="BW232" s="115"/>
      <c r="BX232" s="115"/>
      <c r="BY232" s="115"/>
      <c r="BZ232" s="25"/>
      <c r="CA232" s="13"/>
      <c r="CD232" s="114"/>
    </row>
    <row r="233" spans="1:82" ht="20.100000000000001" customHeight="1" x14ac:dyDescent="0.4">
      <c r="A233" s="117"/>
      <c r="B233" s="123"/>
      <c r="C233" s="123"/>
      <c r="D233" s="123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26"/>
      <c r="AB233" s="13"/>
      <c r="AM233" s="115"/>
      <c r="AN233" s="115"/>
      <c r="AO233" s="115"/>
      <c r="AP233" s="115"/>
      <c r="AQ233" s="127"/>
      <c r="AR233" s="29"/>
      <c r="BB233" s="25"/>
      <c r="BC233" s="13"/>
      <c r="BH233" s="116"/>
      <c r="BI233" s="123"/>
      <c r="BJ233" s="123"/>
      <c r="BK233" s="123"/>
      <c r="BP233" s="115"/>
      <c r="BQ233" s="115"/>
      <c r="BR233" s="115"/>
      <c r="BS233" s="115"/>
      <c r="BT233" s="115"/>
      <c r="BU233" s="115"/>
      <c r="BV233" s="115"/>
      <c r="BW233" s="115"/>
      <c r="BX233" s="115"/>
      <c r="BY233" s="115"/>
      <c r="BZ233" s="25"/>
      <c r="CA233" s="13"/>
      <c r="CD233" s="114"/>
    </row>
    <row r="234" spans="1:82" ht="20.100000000000001" customHeight="1" x14ac:dyDescent="0.4">
      <c r="A234" s="117"/>
      <c r="B234" s="123"/>
      <c r="C234" s="123"/>
      <c r="D234" s="123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26"/>
      <c r="AB234" s="13"/>
      <c r="AM234" s="115"/>
      <c r="AN234" s="115"/>
      <c r="AO234" s="115"/>
      <c r="AP234" s="115"/>
      <c r="AQ234" s="127"/>
      <c r="AR234" s="29"/>
      <c r="BB234" s="25"/>
      <c r="BC234" s="13"/>
      <c r="BH234" s="116"/>
      <c r="BI234" s="123"/>
      <c r="BJ234" s="123"/>
      <c r="BK234" s="123"/>
      <c r="BP234" s="115"/>
      <c r="BQ234" s="115"/>
      <c r="BR234" s="115"/>
      <c r="BS234" s="115"/>
      <c r="BT234" s="115"/>
      <c r="BU234" s="115"/>
      <c r="BV234" s="115"/>
      <c r="BW234" s="115"/>
      <c r="BX234" s="115"/>
      <c r="BY234" s="115"/>
      <c r="BZ234" s="25"/>
      <c r="CA234" s="13"/>
      <c r="CD234" s="114"/>
    </row>
    <row r="235" spans="1:82" ht="20.100000000000001" customHeight="1" x14ac:dyDescent="0.4">
      <c r="A235" s="117"/>
      <c r="B235" s="123"/>
      <c r="C235" s="123"/>
      <c r="D235" s="123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26"/>
      <c r="AB235" s="13"/>
      <c r="AM235" s="115"/>
      <c r="AN235" s="115"/>
      <c r="AO235" s="115"/>
      <c r="AP235" s="115"/>
      <c r="AQ235" s="127"/>
      <c r="AR235" s="29"/>
      <c r="BB235" s="25"/>
      <c r="BC235" s="13"/>
      <c r="BH235" s="116"/>
      <c r="BI235" s="123"/>
      <c r="BJ235" s="123"/>
      <c r="BK235" s="123"/>
      <c r="BP235" s="115"/>
      <c r="BQ235" s="115"/>
      <c r="BR235" s="115"/>
      <c r="BS235" s="115"/>
      <c r="BT235" s="115"/>
      <c r="BU235" s="115"/>
      <c r="BV235" s="115"/>
      <c r="BW235" s="115"/>
      <c r="BX235" s="115"/>
      <c r="BY235" s="115"/>
      <c r="BZ235" s="25"/>
      <c r="CA235" s="13"/>
      <c r="CD235" s="114"/>
    </row>
    <row r="236" spans="1:82" ht="20.100000000000001" customHeight="1" x14ac:dyDescent="0.4">
      <c r="A236" s="117"/>
      <c r="B236" s="123"/>
      <c r="C236" s="123"/>
      <c r="D236" s="123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26"/>
      <c r="AB236" s="13"/>
      <c r="AM236" s="115"/>
      <c r="AN236" s="115"/>
      <c r="AO236" s="115"/>
      <c r="AP236" s="115"/>
      <c r="AQ236" s="127"/>
      <c r="AR236" s="29"/>
      <c r="BB236" s="25"/>
      <c r="BC236" s="13"/>
      <c r="BH236" s="116"/>
      <c r="BI236" s="123"/>
      <c r="BJ236" s="123"/>
      <c r="BK236" s="123"/>
      <c r="BP236" s="115"/>
      <c r="BQ236" s="115"/>
      <c r="BR236" s="115"/>
      <c r="BS236" s="115"/>
      <c r="BT236" s="115"/>
      <c r="BU236" s="115"/>
      <c r="BV236" s="115"/>
      <c r="BW236" s="115"/>
      <c r="BX236" s="115"/>
      <c r="BY236" s="115"/>
      <c r="BZ236" s="25"/>
      <c r="CA236" s="13"/>
      <c r="CD236" s="114"/>
    </row>
    <row r="237" spans="1:82" ht="20.100000000000001" customHeight="1" x14ac:dyDescent="0.4">
      <c r="A237" s="117"/>
      <c r="B237" s="123"/>
      <c r="C237" s="123"/>
      <c r="D237" s="123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26"/>
      <c r="AB237" s="13"/>
      <c r="AM237" s="115"/>
      <c r="AN237" s="115"/>
      <c r="AO237" s="115"/>
      <c r="AP237" s="115"/>
      <c r="AQ237" s="127"/>
      <c r="AR237" s="29"/>
      <c r="BB237" s="25"/>
      <c r="BC237" s="13"/>
      <c r="BH237" s="116"/>
      <c r="BI237" s="123"/>
      <c r="BJ237" s="123"/>
      <c r="BK237" s="123"/>
      <c r="BP237" s="115"/>
      <c r="BQ237" s="115"/>
      <c r="BR237" s="115"/>
      <c r="BS237" s="115"/>
      <c r="BT237" s="115"/>
      <c r="BU237" s="115"/>
      <c r="BV237" s="115"/>
      <c r="BW237" s="115"/>
      <c r="BX237" s="115"/>
      <c r="BY237" s="115"/>
      <c r="BZ237" s="25"/>
      <c r="CA237" s="13"/>
      <c r="CD237" s="114"/>
    </row>
    <row r="238" spans="1:82" ht="20.100000000000001" customHeight="1" x14ac:dyDescent="0.4">
      <c r="A238" s="117"/>
      <c r="B238" s="123"/>
      <c r="C238" s="123"/>
      <c r="D238" s="123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26"/>
      <c r="AB238" s="13"/>
      <c r="AM238" s="115"/>
      <c r="AN238" s="115"/>
      <c r="AO238" s="115"/>
      <c r="AP238" s="115"/>
      <c r="AQ238" s="127"/>
      <c r="AR238" s="29"/>
      <c r="BB238" s="25"/>
      <c r="BC238" s="13"/>
      <c r="BH238" s="116"/>
      <c r="BI238" s="123"/>
      <c r="BJ238" s="123"/>
      <c r="BK238" s="123"/>
      <c r="BP238" s="115"/>
      <c r="BQ238" s="115"/>
      <c r="BR238" s="115"/>
      <c r="BS238" s="115"/>
      <c r="BT238" s="115"/>
      <c r="BU238" s="115"/>
      <c r="BV238" s="115"/>
      <c r="BW238" s="115"/>
      <c r="BX238" s="115"/>
      <c r="BY238" s="115"/>
      <c r="BZ238" s="25"/>
      <c r="CA238" s="13"/>
      <c r="CD238" s="114"/>
    </row>
    <row r="239" spans="1:82" ht="20.100000000000001" customHeight="1" x14ac:dyDescent="0.4">
      <c r="A239" s="117"/>
      <c r="B239" s="123"/>
      <c r="C239" s="123"/>
      <c r="D239" s="123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7"/>
      <c r="AB239" s="13"/>
      <c r="AM239" s="115"/>
      <c r="AN239" s="115"/>
      <c r="AO239" s="115"/>
      <c r="AP239" s="115"/>
      <c r="AQ239" s="127"/>
      <c r="AR239" s="29"/>
      <c r="BB239" s="25"/>
      <c r="BC239" s="13"/>
      <c r="BH239" s="116"/>
      <c r="BI239" s="123"/>
      <c r="BJ239" s="123"/>
      <c r="BK239" s="123"/>
      <c r="BP239" s="115"/>
      <c r="BQ239" s="115"/>
      <c r="BR239" s="115"/>
      <c r="BS239" s="115"/>
      <c r="BT239" s="115"/>
      <c r="BU239" s="115"/>
      <c r="BV239" s="115"/>
      <c r="BW239" s="115"/>
      <c r="BX239" s="115"/>
      <c r="BY239" s="115"/>
      <c r="BZ239" s="25"/>
      <c r="CA239" s="13"/>
      <c r="CD239" s="114"/>
    </row>
    <row r="240" spans="1:82" ht="20.100000000000001" customHeight="1" x14ac:dyDescent="0.4">
      <c r="A240" s="117"/>
      <c r="B240" s="123"/>
      <c r="C240" s="123"/>
      <c r="D240" s="123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26"/>
      <c r="AB240" s="13"/>
      <c r="AM240" s="115"/>
      <c r="AN240" s="115"/>
      <c r="AO240" s="115"/>
      <c r="AP240" s="115"/>
      <c r="AQ240" s="127"/>
      <c r="AR240" s="29"/>
      <c r="BB240" s="25"/>
      <c r="BC240" s="13"/>
      <c r="BH240" s="116"/>
      <c r="BI240" s="123"/>
      <c r="BJ240" s="123"/>
      <c r="BK240" s="123"/>
      <c r="BP240" s="115"/>
      <c r="BQ240" s="115"/>
      <c r="BR240" s="115"/>
      <c r="BS240" s="115"/>
      <c r="BT240" s="115"/>
      <c r="BU240" s="115"/>
      <c r="BV240" s="115"/>
      <c r="BW240" s="115"/>
      <c r="BX240" s="115"/>
      <c r="BY240" s="115"/>
      <c r="BZ240" s="25"/>
      <c r="CA240" s="13"/>
      <c r="CD240" s="114"/>
    </row>
    <row r="241" spans="1:82" ht="20.100000000000001" customHeight="1" x14ac:dyDescent="0.4">
      <c r="A241" s="117"/>
      <c r="B241" s="123"/>
      <c r="C241" s="123"/>
      <c r="D241" s="123"/>
      <c r="AA241" s="26"/>
      <c r="AB241" s="13"/>
      <c r="AM241" s="115"/>
      <c r="AN241" s="115"/>
      <c r="AO241" s="115"/>
      <c r="AP241" s="115"/>
      <c r="AQ241" s="29"/>
      <c r="AR241" s="29"/>
      <c r="BB241" s="25"/>
      <c r="BC241" s="13"/>
      <c r="BH241" s="116"/>
      <c r="BI241" s="123"/>
      <c r="BJ241" s="123"/>
      <c r="BK241" s="123"/>
      <c r="BP241" s="115"/>
      <c r="BQ241" s="115"/>
      <c r="BR241" s="115"/>
      <c r="BS241" s="115"/>
      <c r="BT241" s="115"/>
      <c r="BU241" s="115"/>
      <c r="BV241" s="115"/>
      <c r="BW241" s="115"/>
      <c r="BX241" s="115"/>
      <c r="BY241" s="115"/>
      <c r="BZ241" s="25"/>
      <c r="CA241" s="13"/>
      <c r="CD241" s="114"/>
    </row>
    <row r="242" spans="1:82" ht="20.100000000000001" customHeight="1" x14ac:dyDescent="0.4">
      <c r="A242" s="117"/>
      <c r="B242" s="123"/>
      <c r="C242" s="123"/>
      <c r="D242" s="123"/>
      <c r="V242" s="115"/>
      <c r="W242" s="115"/>
      <c r="X242" s="115"/>
      <c r="Y242" s="115"/>
      <c r="Z242" s="115"/>
      <c r="AA242" s="26"/>
      <c r="AB242" s="13"/>
      <c r="AM242" s="115"/>
      <c r="AN242" s="115"/>
      <c r="AO242" s="115"/>
      <c r="AP242" s="115"/>
      <c r="AQ242" s="29"/>
      <c r="AR242" s="29"/>
      <c r="BB242" s="25"/>
      <c r="BC242" s="13"/>
      <c r="BH242" s="116"/>
      <c r="BI242" s="123"/>
      <c r="BJ242" s="123"/>
      <c r="BK242" s="123"/>
      <c r="BP242" s="115"/>
      <c r="BQ242" s="115"/>
      <c r="BR242" s="115"/>
      <c r="BS242" s="115"/>
      <c r="BT242" s="115"/>
      <c r="BU242" s="115"/>
      <c r="BV242" s="115"/>
      <c r="BW242" s="115"/>
      <c r="BX242" s="115"/>
      <c r="BY242" s="115"/>
      <c r="BZ242" s="25"/>
      <c r="CA242" s="13"/>
      <c r="CD242" s="114"/>
    </row>
    <row r="243" spans="1:82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26"/>
      <c r="AB243" s="13"/>
      <c r="AM243" s="115"/>
      <c r="AN243" s="115"/>
      <c r="AO243" s="115"/>
      <c r="AP243" s="115"/>
      <c r="AQ243" s="29"/>
      <c r="AR243" s="29"/>
      <c r="BB243" s="25"/>
      <c r="BC243" s="13"/>
      <c r="BH243" s="116"/>
      <c r="BI243" s="123"/>
      <c r="BJ243" s="123"/>
      <c r="BK243" s="123"/>
      <c r="BP243" s="115"/>
      <c r="BQ243" s="115"/>
      <c r="BR243" s="115"/>
      <c r="BS243" s="115"/>
      <c r="BT243" s="115"/>
      <c r="BU243" s="115"/>
      <c r="BV243" s="115"/>
      <c r="BW243" s="115"/>
      <c r="BX243" s="115"/>
      <c r="BY243" s="115"/>
      <c r="BZ243" s="25"/>
      <c r="CA243" s="13"/>
      <c r="CD243" s="114"/>
    </row>
    <row r="244" spans="1:82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26"/>
      <c r="AB244" s="13"/>
      <c r="AM244" s="115"/>
      <c r="AN244" s="115"/>
      <c r="AO244" s="115"/>
      <c r="AP244" s="115"/>
      <c r="AQ244" s="29"/>
      <c r="AR244" s="29"/>
      <c r="BB244" s="25"/>
      <c r="BC244" s="13"/>
      <c r="BH244" s="116"/>
      <c r="BI244" s="123"/>
      <c r="BJ244" s="123"/>
      <c r="BK244" s="123"/>
      <c r="BP244" s="115"/>
      <c r="BQ244" s="115"/>
      <c r="BR244" s="115"/>
      <c r="BS244" s="115"/>
      <c r="BT244" s="115"/>
      <c r="BU244" s="115"/>
      <c r="BV244" s="115"/>
      <c r="BW244" s="115"/>
      <c r="BX244" s="115"/>
      <c r="BY244" s="115"/>
      <c r="BZ244" s="25"/>
      <c r="CA244" s="13"/>
      <c r="CD244" s="114"/>
    </row>
    <row r="245" spans="1:82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26"/>
      <c r="AB245" s="13"/>
      <c r="AM245" s="115"/>
      <c r="AN245" s="115"/>
      <c r="AO245" s="115"/>
      <c r="AP245" s="115"/>
      <c r="AQ245" s="29"/>
      <c r="AR245" s="29"/>
      <c r="BB245" s="25"/>
      <c r="BC245" s="13"/>
      <c r="BH245" s="116"/>
      <c r="BI245" s="123"/>
      <c r="BJ245" s="123"/>
      <c r="BK245" s="123"/>
      <c r="BP245" s="115"/>
      <c r="BQ245" s="115"/>
      <c r="BR245" s="115"/>
      <c r="BS245" s="115"/>
      <c r="BT245" s="115"/>
      <c r="BU245" s="115"/>
      <c r="BV245" s="115"/>
      <c r="BW245" s="115"/>
      <c r="BX245" s="115"/>
      <c r="BY245" s="115"/>
      <c r="BZ245" s="25"/>
      <c r="CA245" s="13"/>
      <c r="CD245" s="114"/>
    </row>
    <row r="246" spans="1:82" ht="20.100000000000001" customHeight="1" x14ac:dyDescent="0.4">
      <c r="A246" s="117"/>
      <c r="B246" s="139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26"/>
      <c r="AB246" s="13"/>
      <c r="AM246" s="115"/>
      <c r="AN246" s="115"/>
      <c r="AO246" s="115"/>
      <c r="AP246" s="115"/>
      <c r="AQ246" s="29"/>
      <c r="AR246" s="29"/>
      <c r="BB246" s="25"/>
      <c r="BC246" s="13"/>
      <c r="BH246" s="116"/>
      <c r="BI246" s="123"/>
      <c r="BJ246" s="123"/>
      <c r="BK246" s="123"/>
      <c r="BP246" s="115"/>
      <c r="BQ246" s="115"/>
      <c r="BR246" s="115"/>
      <c r="BS246" s="115"/>
      <c r="BT246" s="115"/>
      <c r="BU246" s="115"/>
      <c r="BV246" s="115"/>
      <c r="BW246" s="115"/>
      <c r="BX246" s="115"/>
      <c r="BY246" s="115"/>
      <c r="BZ246" s="25"/>
      <c r="CA246" s="13"/>
      <c r="CD246" s="114"/>
    </row>
    <row r="247" spans="1:82" ht="20.100000000000001" customHeight="1" x14ac:dyDescent="0.4">
      <c r="A247" s="117"/>
      <c r="B247" s="139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26"/>
      <c r="AB247" s="13"/>
      <c r="AM247" s="115"/>
      <c r="AN247" s="115"/>
      <c r="AO247" s="115"/>
      <c r="AP247" s="115"/>
      <c r="AQ247" s="29"/>
      <c r="AR247" s="29"/>
      <c r="BB247" s="25"/>
      <c r="BC247" s="13"/>
      <c r="BH247" s="116"/>
      <c r="BI247" s="123"/>
      <c r="BJ247" s="123"/>
      <c r="BK247" s="123"/>
      <c r="BP247" s="115"/>
      <c r="BQ247" s="115"/>
      <c r="BR247" s="115"/>
      <c r="BS247" s="115"/>
      <c r="BT247" s="115"/>
      <c r="BU247" s="115"/>
      <c r="BV247" s="115"/>
      <c r="BW247" s="115"/>
      <c r="BX247" s="115"/>
      <c r="BY247" s="115"/>
      <c r="BZ247" s="25"/>
      <c r="CA247" s="13"/>
      <c r="CD247" s="114"/>
    </row>
    <row r="248" spans="1:82" ht="20.100000000000001" customHeight="1" x14ac:dyDescent="0.4">
      <c r="A248" s="117"/>
      <c r="B248" s="139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26"/>
      <c r="AB248" s="13"/>
      <c r="AM248" s="115"/>
      <c r="AN248" s="115"/>
      <c r="AO248" s="115"/>
      <c r="AP248" s="115"/>
      <c r="AQ248" s="29"/>
      <c r="AR248" s="29"/>
      <c r="BB248" s="25"/>
      <c r="BC248" s="13"/>
      <c r="BH248" s="116"/>
      <c r="BI248" s="123"/>
      <c r="BJ248" s="123"/>
      <c r="BK248" s="123"/>
      <c r="BP248" s="115"/>
      <c r="BQ248" s="115"/>
      <c r="BR248" s="115"/>
      <c r="BS248" s="115"/>
      <c r="BT248" s="115"/>
      <c r="BU248" s="115"/>
      <c r="BV248" s="115"/>
      <c r="BW248" s="115"/>
      <c r="BX248" s="115"/>
      <c r="BY248" s="115"/>
      <c r="BZ248" s="25"/>
      <c r="CA248" s="13"/>
      <c r="CD248" s="114"/>
    </row>
    <row r="249" spans="1:82" ht="20.100000000000001" customHeight="1" x14ac:dyDescent="0.4">
      <c r="A249" s="117"/>
      <c r="B249" s="139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26"/>
      <c r="AB249" s="13"/>
      <c r="AM249" s="115"/>
      <c r="AN249" s="115"/>
      <c r="AO249" s="115"/>
      <c r="AP249" s="115"/>
      <c r="AQ249" s="29"/>
      <c r="AR249" s="29"/>
      <c r="BB249" s="25"/>
      <c r="BC249" s="13"/>
      <c r="BH249" s="116"/>
      <c r="BI249" s="123"/>
      <c r="BJ249" s="123"/>
      <c r="BK249" s="123"/>
      <c r="BP249" s="115"/>
      <c r="BQ249" s="115"/>
      <c r="BR249" s="115"/>
      <c r="BS249" s="115"/>
      <c r="BT249" s="115"/>
      <c r="BU249" s="115"/>
      <c r="BV249" s="115"/>
      <c r="BW249" s="115"/>
      <c r="BX249" s="115"/>
      <c r="BY249" s="115"/>
      <c r="BZ249" s="25"/>
      <c r="CA249" s="13"/>
      <c r="CD249" s="114"/>
    </row>
    <row r="250" spans="1:82" ht="20.100000000000001" customHeight="1" x14ac:dyDescent="0.4">
      <c r="A250" s="117"/>
      <c r="B250" s="139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26"/>
      <c r="AB250" s="13"/>
      <c r="AM250" s="115"/>
      <c r="AN250" s="115"/>
      <c r="AO250" s="115"/>
      <c r="AP250" s="115"/>
      <c r="AQ250" s="29"/>
      <c r="AR250" s="29"/>
      <c r="BB250" s="25"/>
      <c r="BC250" s="13"/>
      <c r="BH250" s="116"/>
      <c r="BI250" s="123"/>
      <c r="BJ250" s="123"/>
      <c r="BK250" s="123"/>
      <c r="BP250" s="115"/>
      <c r="BQ250" s="115"/>
      <c r="BR250" s="115"/>
      <c r="BS250" s="115"/>
      <c r="BT250" s="115"/>
      <c r="BU250" s="115"/>
      <c r="BV250" s="115"/>
      <c r="BW250" s="115"/>
      <c r="BX250" s="115"/>
      <c r="BY250" s="115"/>
      <c r="BZ250" s="25"/>
      <c r="CA250" s="13"/>
      <c r="CD250" s="114"/>
    </row>
    <row r="251" spans="1:82" ht="20.100000000000001" customHeight="1" x14ac:dyDescent="0.4">
      <c r="A251" s="117"/>
      <c r="B251" s="139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7"/>
      <c r="AB251" s="13"/>
      <c r="AM251" s="115"/>
      <c r="AN251" s="115"/>
      <c r="AO251" s="115"/>
      <c r="AP251" s="115"/>
      <c r="AQ251" s="29"/>
      <c r="AR251" s="29"/>
      <c r="BB251" s="25"/>
      <c r="BC251" s="13"/>
      <c r="BH251" s="116"/>
      <c r="BI251" s="123"/>
      <c r="BJ251" s="123"/>
      <c r="BK251" s="123"/>
      <c r="BP251" s="115"/>
      <c r="BQ251" s="115"/>
      <c r="BR251" s="115"/>
      <c r="BS251" s="115"/>
      <c r="BT251" s="115"/>
      <c r="BU251" s="115"/>
      <c r="BV251" s="115"/>
      <c r="BW251" s="115"/>
      <c r="BX251" s="115"/>
      <c r="BY251" s="115"/>
      <c r="BZ251" s="25"/>
      <c r="CA251" s="13"/>
      <c r="CD251" s="114"/>
    </row>
    <row r="252" spans="1:82" ht="20.100000000000001" customHeight="1" x14ac:dyDescent="0.4">
      <c r="A252" s="117"/>
      <c r="B252" s="123"/>
      <c r="C252" s="123"/>
      <c r="D252" s="123"/>
      <c r="AA252" s="26"/>
      <c r="AB252" s="13"/>
      <c r="AM252" s="115"/>
      <c r="AN252" s="115"/>
      <c r="AO252" s="115"/>
      <c r="AP252" s="115"/>
      <c r="AQ252" s="127"/>
      <c r="AR252" s="29"/>
      <c r="BB252" s="25"/>
      <c r="BC252" s="13"/>
      <c r="BH252" s="116"/>
      <c r="BI252" s="123"/>
      <c r="BJ252" s="123"/>
      <c r="BK252" s="123"/>
      <c r="BP252" s="115"/>
      <c r="BQ252" s="115"/>
      <c r="BR252" s="115"/>
      <c r="BS252" s="115"/>
      <c r="BT252" s="115"/>
      <c r="BU252" s="115"/>
      <c r="BV252" s="115"/>
      <c r="BW252" s="115"/>
      <c r="BX252" s="115"/>
      <c r="BY252" s="115"/>
      <c r="BZ252" s="25"/>
      <c r="CA252" s="13"/>
      <c r="CD252" s="114"/>
    </row>
    <row r="253" spans="1:82" ht="20.100000000000001" customHeight="1" x14ac:dyDescent="0.4">
      <c r="A253" s="117"/>
      <c r="B253" s="123"/>
      <c r="C253" s="123"/>
      <c r="D253" s="123"/>
      <c r="W253" s="115"/>
      <c r="X253" s="115"/>
      <c r="Y253" s="115"/>
      <c r="Z253" s="115"/>
      <c r="AA253" s="17"/>
      <c r="AB253" s="13"/>
      <c r="AM253" s="115"/>
      <c r="AN253" s="115"/>
      <c r="AO253" s="115"/>
      <c r="AP253" s="115"/>
      <c r="AQ253" s="127"/>
      <c r="AR253" s="29"/>
      <c r="BB253" s="25"/>
      <c r="BC253" s="13"/>
      <c r="BH253" s="116"/>
      <c r="BI253" s="123"/>
      <c r="BJ253" s="123"/>
      <c r="BK253" s="123"/>
      <c r="BP253" s="115"/>
      <c r="BQ253" s="115"/>
      <c r="BR253" s="115"/>
      <c r="BS253" s="115"/>
      <c r="BT253" s="115"/>
      <c r="BU253" s="115"/>
      <c r="BV253" s="115"/>
      <c r="BW253" s="115"/>
      <c r="BX253" s="115"/>
      <c r="BY253" s="115"/>
      <c r="BZ253" s="25"/>
      <c r="CA253" s="13"/>
      <c r="CD253" s="114"/>
    </row>
    <row r="254" spans="1:82" ht="20.100000000000001" customHeight="1" x14ac:dyDescent="0.4">
      <c r="A254" s="117"/>
      <c r="B254" s="123"/>
      <c r="C254" s="123"/>
      <c r="D254" s="123"/>
      <c r="R254" s="115"/>
      <c r="S254" s="115"/>
      <c r="T254" s="115"/>
      <c r="U254" s="115"/>
      <c r="V254" s="115"/>
      <c r="W254" s="115"/>
      <c r="X254" s="115"/>
      <c r="Y254" s="115"/>
      <c r="Z254" s="115"/>
      <c r="AA254" s="26"/>
      <c r="AB254" s="13"/>
      <c r="AM254" s="115"/>
      <c r="AN254" s="115"/>
      <c r="AO254" s="115"/>
      <c r="AP254" s="115"/>
      <c r="AQ254" s="127"/>
      <c r="AR254" s="29"/>
      <c r="BB254" s="25"/>
      <c r="BC254" s="13"/>
      <c r="BH254" s="116"/>
      <c r="BI254" s="123"/>
      <c r="BJ254" s="123"/>
      <c r="BK254" s="123"/>
      <c r="BP254" s="115"/>
      <c r="BQ254" s="115"/>
      <c r="BR254" s="115"/>
      <c r="BS254" s="115"/>
      <c r="BT254" s="115"/>
      <c r="BU254" s="115"/>
      <c r="BV254" s="115"/>
      <c r="BW254" s="115"/>
      <c r="BX254" s="115"/>
      <c r="BY254" s="115"/>
      <c r="BZ254" s="25"/>
      <c r="CA254" s="13"/>
      <c r="CD254" s="114"/>
    </row>
    <row r="255" spans="1:82" ht="20.100000000000001" customHeight="1" x14ac:dyDescent="0.4">
      <c r="A255" s="117"/>
      <c r="B255" s="123"/>
      <c r="C255" s="123"/>
      <c r="D255" s="123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26"/>
      <c r="AB255" s="15"/>
      <c r="AM255" s="115"/>
      <c r="AN255" s="115"/>
      <c r="AO255" s="115"/>
      <c r="AP255" s="115"/>
      <c r="AQ255" s="127"/>
      <c r="AR255" s="29"/>
      <c r="BB255" s="25"/>
      <c r="BC255" s="13"/>
      <c r="BH255" s="116"/>
      <c r="BI255" s="123"/>
      <c r="BJ255" s="123"/>
      <c r="BK255" s="123"/>
      <c r="BP255" s="115"/>
      <c r="BQ255" s="115"/>
      <c r="BR255" s="115"/>
      <c r="BS255" s="115"/>
      <c r="BT255" s="115"/>
      <c r="BU255" s="115"/>
      <c r="BV255" s="115"/>
      <c r="BW255" s="115"/>
      <c r="BX255" s="115"/>
      <c r="BY255" s="115"/>
      <c r="BZ255" s="25"/>
      <c r="CA255" s="13"/>
      <c r="CD255" s="114"/>
    </row>
    <row r="256" spans="1:82" ht="20.100000000000001" customHeight="1" x14ac:dyDescent="0.4">
      <c r="A256" s="117"/>
      <c r="B256" s="123"/>
      <c r="C256" s="123"/>
      <c r="D256" s="123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26"/>
      <c r="AB256" s="15"/>
      <c r="AM256" s="115"/>
      <c r="AN256" s="115"/>
      <c r="AO256" s="115"/>
      <c r="AP256" s="115"/>
      <c r="AQ256" s="127"/>
      <c r="AR256" s="29"/>
      <c r="BB256" s="25"/>
      <c r="BC256" s="13"/>
      <c r="BH256" s="116"/>
      <c r="BI256" s="123"/>
      <c r="BJ256" s="123"/>
      <c r="BK256" s="123"/>
      <c r="BP256" s="115"/>
      <c r="BQ256" s="115"/>
      <c r="BR256" s="115"/>
      <c r="BS256" s="115"/>
      <c r="BT256" s="115"/>
      <c r="BU256" s="115"/>
      <c r="BV256" s="115"/>
      <c r="BW256" s="115"/>
      <c r="BX256" s="115"/>
      <c r="BY256" s="115"/>
      <c r="BZ256" s="25"/>
      <c r="CA256" s="13"/>
      <c r="CD256" s="114"/>
    </row>
    <row r="257" spans="1:82" ht="20.100000000000001" customHeight="1" x14ac:dyDescent="0.4">
      <c r="A257" s="117"/>
      <c r="B257" s="123"/>
      <c r="C257" s="123"/>
      <c r="D257" s="123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7"/>
      <c r="AB257" s="15"/>
      <c r="AM257" s="115"/>
      <c r="AN257" s="115"/>
      <c r="AO257" s="115"/>
      <c r="AP257" s="115"/>
      <c r="AQ257" s="127"/>
      <c r="AR257" s="29"/>
      <c r="BB257" s="25"/>
      <c r="BC257" s="13"/>
      <c r="BH257" s="116"/>
      <c r="BI257" s="123"/>
      <c r="BJ257" s="123"/>
      <c r="BK257" s="123"/>
      <c r="BP257" s="115"/>
      <c r="BQ257" s="115"/>
      <c r="BR257" s="115"/>
      <c r="BS257" s="115"/>
      <c r="BT257" s="115"/>
      <c r="BU257" s="115"/>
      <c r="BV257" s="115"/>
      <c r="BW257" s="115"/>
      <c r="BX257" s="115"/>
      <c r="BY257" s="115"/>
      <c r="BZ257" s="25"/>
      <c r="CA257" s="13"/>
      <c r="CD257" s="114"/>
    </row>
    <row r="258" spans="1:82" ht="20.100000000000001" customHeight="1" x14ac:dyDescent="0.4">
      <c r="A258" s="117"/>
      <c r="B258" s="123"/>
      <c r="C258" s="123"/>
      <c r="D258" s="123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26"/>
      <c r="AB258" s="132"/>
      <c r="AM258" s="115"/>
      <c r="AN258" s="115"/>
      <c r="AO258" s="115"/>
      <c r="AP258" s="115"/>
      <c r="AQ258" s="127"/>
      <c r="AR258" s="29"/>
      <c r="BB258" s="25"/>
      <c r="BC258" s="13"/>
      <c r="BH258" s="116"/>
      <c r="BI258" s="123"/>
      <c r="BJ258" s="123"/>
      <c r="BK258" s="123"/>
      <c r="BP258" s="115"/>
      <c r="BQ258" s="115"/>
      <c r="BR258" s="115"/>
      <c r="BS258" s="115"/>
      <c r="BT258" s="115"/>
      <c r="BU258" s="115"/>
      <c r="BV258" s="115"/>
      <c r="BW258" s="115"/>
      <c r="BX258" s="115"/>
      <c r="BY258" s="115"/>
      <c r="BZ258" s="25"/>
      <c r="CA258" s="13"/>
      <c r="CD258" s="114"/>
    </row>
    <row r="259" spans="1:82" ht="20.100000000000001" customHeight="1" x14ac:dyDescent="0.4">
      <c r="A259" s="117"/>
      <c r="B259" s="123"/>
      <c r="C259" s="123"/>
      <c r="D259" s="123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26"/>
      <c r="AB259" s="13"/>
      <c r="AM259" s="115"/>
      <c r="AN259" s="115"/>
      <c r="AO259" s="115"/>
      <c r="AP259" s="115"/>
      <c r="AQ259" s="127"/>
      <c r="AR259" s="29"/>
      <c r="BB259" s="25"/>
      <c r="BC259" s="13"/>
      <c r="BH259" s="116"/>
      <c r="BI259" s="123"/>
      <c r="BJ259" s="123"/>
      <c r="BK259" s="123"/>
      <c r="BP259" s="115"/>
      <c r="BQ259" s="115"/>
      <c r="BR259" s="115"/>
      <c r="BS259" s="115"/>
      <c r="BT259" s="115"/>
      <c r="BU259" s="115"/>
      <c r="BV259" s="115"/>
      <c r="BW259" s="115"/>
      <c r="BX259" s="115"/>
      <c r="BY259" s="115"/>
      <c r="BZ259" s="25"/>
      <c r="CA259" s="13"/>
      <c r="CD259" s="114"/>
    </row>
    <row r="260" spans="1:82" ht="20.100000000000001" customHeight="1" x14ac:dyDescent="0.4">
      <c r="A260" s="117"/>
      <c r="B260" s="123"/>
      <c r="C260" s="123"/>
      <c r="D260" s="123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7"/>
      <c r="AB260" s="13"/>
      <c r="AM260" s="115"/>
      <c r="AN260" s="115"/>
      <c r="AO260" s="115"/>
      <c r="AP260" s="115"/>
      <c r="AQ260" s="127"/>
      <c r="AR260" s="29"/>
      <c r="BB260" s="25"/>
      <c r="BC260" s="13"/>
      <c r="BH260" s="116"/>
      <c r="BI260" s="123"/>
      <c r="BJ260" s="123"/>
      <c r="BK260" s="123"/>
      <c r="BP260" s="115"/>
      <c r="BQ260" s="115"/>
      <c r="BR260" s="115"/>
      <c r="BS260" s="115"/>
      <c r="BT260" s="115"/>
      <c r="BU260" s="115"/>
      <c r="BV260" s="115"/>
      <c r="BW260" s="115"/>
      <c r="BX260" s="115"/>
      <c r="BY260" s="115"/>
      <c r="BZ260" s="25"/>
      <c r="CA260" s="13"/>
      <c r="CD260" s="114"/>
    </row>
    <row r="261" spans="1:82" ht="20.100000000000001" customHeight="1" x14ac:dyDescent="0.4">
      <c r="A261" s="117"/>
      <c r="B261" s="123"/>
      <c r="C261" s="123"/>
      <c r="D261" s="123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26"/>
      <c r="AB261" s="13"/>
      <c r="AM261" s="115"/>
      <c r="AN261" s="115"/>
      <c r="AO261" s="115"/>
      <c r="AP261" s="115"/>
      <c r="AQ261" s="127"/>
      <c r="AR261" s="29"/>
      <c r="BB261" s="25"/>
      <c r="BC261" s="13"/>
      <c r="BH261" s="116"/>
      <c r="BI261" s="123"/>
      <c r="BJ261" s="123"/>
      <c r="BK261" s="123"/>
      <c r="BP261" s="115"/>
      <c r="BQ261" s="115"/>
      <c r="BR261" s="115"/>
      <c r="BS261" s="115"/>
      <c r="BT261" s="115"/>
      <c r="BU261" s="115"/>
      <c r="BV261" s="115"/>
      <c r="BW261" s="115"/>
      <c r="BX261" s="115"/>
      <c r="BY261" s="115"/>
      <c r="BZ261" s="25"/>
      <c r="CA261" s="13"/>
      <c r="CD261" s="114"/>
    </row>
    <row r="262" spans="1:82" ht="20.100000000000001" customHeight="1" x14ac:dyDescent="0.4">
      <c r="A262" s="117"/>
      <c r="B262" s="123"/>
      <c r="C262" s="123"/>
      <c r="D262" s="123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26"/>
      <c r="AB262" s="13"/>
      <c r="AM262" s="115"/>
      <c r="AN262" s="115"/>
      <c r="AO262" s="115"/>
      <c r="AP262" s="115"/>
      <c r="AQ262" s="127"/>
      <c r="AR262" s="29"/>
      <c r="BB262" s="25"/>
      <c r="BC262" s="13"/>
      <c r="BH262" s="116"/>
      <c r="BI262" s="123"/>
      <c r="BJ262" s="123"/>
      <c r="BK262" s="123"/>
      <c r="BP262" s="115"/>
      <c r="BQ262" s="115"/>
      <c r="BR262" s="115"/>
      <c r="BS262" s="115"/>
      <c r="BT262" s="115"/>
      <c r="BU262" s="115"/>
      <c r="BV262" s="115"/>
      <c r="BW262" s="115"/>
      <c r="BX262" s="115"/>
      <c r="BY262" s="115"/>
      <c r="BZ262" s="25"/>
      <c r="CA262" s="13"/>
      <c r="CD262" s="114"/>
    </row>
    <row r="263" spans="1:82" ht="20.100000000000001" customHeight="1" x14ac:dyDescent="0.4">
      <c r="A263" s="117"/>
      <c r="B263" s="123"/>
      <c r="C263" s="123"/>
      <c r="D263" s="123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26"/>
      <c r="AB263" s="13"/>
      <c r="AM263" s="115"/>
      <c r="AN263" s="115"/>
      <c r="AO263" s="115"/>
      <c r="AP263" s="115"/>
      <c r="AQ263" s="127"/>
      <c r="AR263" s="29"/>
      <c r="BB263" s="25"/>
      <c r="BC263" s="13"/>
      <c r="BH263" s="116"/>
      <c r="BI263" s="123"/>
      <c r="BJ263" s="123"/>
      <c r="BK263" s="123"/>
      <c r="BP263" s="115"/>
      <c r="BQ263" s="115"/>
      <c r="BR263" s="115"/>
      <c r="BS263" s="115"/>
      <c r="BT263" s="115"/>
      <c r="BU263" s="115"/>
      <c r="BV263" s="115"/>
      <c r="BW263" s="115"/>
      <c r="BX263" s="115"/>
      <c r="BY263" s="115"/>
      <c r="BZ263" s="25"/>
      <c r="CA263" s="13"/>
      <c r="CD263" s="114"/>
    </row>
    <row r="264" spans="1:82" ht="20.100000000000001" customHeight="1" x14ac:dyDescent="0.4">
      <c r="A264" s="117"/>
      <c r="B264" s="123"/>
      <c r="C264" s="123"/>
      <c r="D264" s="123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26"/>
      <c r="AB264" s="13"/>
      <c r="AM264" s="115"/>
      <c r="AN264" s="115"/>
      <c r="AO264" s="115"/>
      <c r="AP264" s="115"/>
      <c r="AQ264" s="127"/>
      <c r="AR264" s="29"/>
      <c r="BB264" s="25"/>
      <c r="BC264" s="13"/>
      <c r="BH264" s="116"/>
      <c r="BI264" s="123"/>
      <c r="BJ264" s="123"/>
      <c r="BK264" s="123"/>
      <c r="BP264" s="115"/>
      <c r="BQ264" s="115"/>
      <c r="BR264" s="115"/>
      <c r="BS264" s="115"/>
      <c r="BT264" s="115"/>
      <c r="BU264" s="115"/>
      <c r="BV264" s="115"/>
      <c r="BW264" s="115"/>
      <c r="BX264" s="115"/>
      <c r="BY264" s="115"/>
      <c r="BZ264" s="25"/>
      <c r="CA264" s="13"/>
      <c r="CD264" s="114"/>
    </row>
    <row r="265" spans="1:82" ht="20.100000000000001" customHeight="1" x14ac:dyDescent="0.4">
      <c r="A265" s="117"/>
      <c r="B265" s="123"/>
      <c r="C265" s="123"/>
      <c r="D265" s="123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26"/>
      <c r="AB265" s="13"/>
      <c r="AM265" s="115"/>
      <c r="AN265" s="115"/>
      <c r="AO265" s="115"/>
      <c r="AP265" s="115"/>
      <c r="AQ265" s="127"/>
      <c r="AR265" s="29"/>
      <c r="BB265" s="25"/>
      <c r="BC265" s="13"/>
      <c r="BH265" s="116"/>
      <c r="BI265" s="123"/>
      <c r="BJ265" s="123"/>
      <c r="BK265" s="123"/>
      <c r="BP265" s="115"/>
      <c r="BQ265" s="115"/>
      <c r="BR265" s="115"/>
      <c r="BS265" s="115"/>
      <c r="BT265" s="115"/>
      <c r="BU265" s="115"/>
      <c r="BV265" s="115"/>
      <c r="BW265" s="115"/>
      <c r="BX265" s="115"/>
      <c r="BY265" s="115"/>
      <c r="BZ265" s="25"/>
      <c r="CA265" s="13"/>
      <c r="CD265" s="114"/>
    </row>
    <row r="266" spans="1:82" ht="20.100000000000001" customHeight="1" x14ac:dyDescent="0.4">
      <c r="A266" s="117"/>
      <c r="B266" s="123"/>
      <c r="C266" s="123"/>
      <c r="D266" s="123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26"/>
      <c r="AB266" s="13"/>
      <c r="AM266" s="115"/>
      <c r="AN266" s="115"/>
      <c r="AO266" s="115"/>
      <c r="AP266" s="115"/>
      <c r="AQ266" s="127"/>
      <c r="AR266" s="29"/>
      <c r="BB266" s="25"/>
      <c r="BC266" s="13"/>
      <c r="BH266" s="116"/>
      <c r="BI266" s="123"/>
      <c r="BJ266" s="123"/>
      <c r="BK266" s="123"/>
      <c r="BP266" s="115"/>
      <c r="BQ266" s="115"/>
      <c r="BR266" s="115"/>
      <c r="BS266" s="115"/>
      <c r="BT266" s="115"/>
      <c r="BU266" s="115"/>
      <c r="BV266" s="115"/>
      <c r="BW266" s="115"/>
      <c r="BX266" s="115"/>
      <c r="BY266" s="115"/>
      <c r="BZ266" s="25"/>
      <c r="CA266" s="13"/>
      <c r="CD266" s="114"/>
    </row>
    <row r="267" spans="1:82" ht="20.100000000000001" customHeight="1" x14ac:dyDescent="0.4">
      <c r="A267" s="117"/>
      <c r="B267" s="123"/>
      <c r="C267" s="123"/>
      <c r="D267" s="123"/>
      <c r="AA267" s="26"/>
      <c r="AB267" s="13"/>
      <c r="AM267" s="115"/>
      <c r="AN267" s="115"/>
      <c r="AO267" s="115"/>
      <c r="AP267" s="115"/>
      <c r="AQ267" s="29"/>
      <c r="AR267" s="29"/>
      <c r="BB267" s="25"/>
      <c r="BC267" s="13"/>
      <c r="BH267" s="116"/>
      <c r="BI267" s="123"/>
      <c r="BJ267" s="123"/>
      <c r="BK267" s="123"/>
      <c r="BP267" s="115"/>
      <c r="BQ267" s="115"/>
      <c r="BR267" s="115"/>
      <c r="BS267" s="115"/>
      <c r="BT267" s="115"/>
      <c r="BU267" s="115"/>
      <c r="BV267" s="115"/>
      <c r="BW267" s="115"/>
      <c r="BX267" s="115"/>
      <c r="BY267" s="115"/>
      <c r="BZ267" s="25"/>
      <c r="CA267" s="13"/>
      <c r="CD267" s="114"/>
    </row>
    <row r="268" spans="1:82" ht="20.100000000000001" customHeight="1" x14ac:dyDescent="0.4">
      <c r="A268" s="117"/>
      <c r="B268" s="123"/>
      <c r="C268" s="123"/>
      <c r="D268" s="123"/>
      <c r="T268" s="115"/>
      <c r="U268" s="115"/>
      <c r="V268" s="115"/>
      <c r="W268" s="115"/>
      <c r="X268" s="115"/>
      <c r="Y268" s="115"/>
      <c r="Z268" s="115"/>
      <c r="AA268" s="26"/>
      <c r="AB268" s="13"/>
      <c r="AM268" s="115"/>
      <c r="AN268" s="115"/>
      <c r="AO268" s="115"/>
      <c r="AP268" s="115"/>
      <c r="AQ268" s="29"/>
      <c r="AR268" s="29"/>
      <c r="BB268" s="25"/>
      <c r="BC268" s="13"/>
      <c r="BH268" s="116"/>
      <c r="BI268" s="123"/>
      <c r="BJ268" s="123"/>
      <c r="BK268" s="123"/>
      <c r="BP268" s="115"/>
      <c r="BQ268" s="115"/>
      <c r="BR268" s="115"/>
      <c r="BS268" s="115"/>
      <c r="BT268" s="115"/>
      <c r="BU268" s="115"/>
      <c r="BV268" s="115"/>
      <c r="BW268" s="115"/>
      <c r="BX268" s="115"/>
      <c r="BY268" s="115"/>
      <c r="BZ268" s="25"/>
      <c r="CA268" s="13"/>
      <c r="CD268" s="114"/>
    </row>
    <row r="269" spans="1:82" ht="20.100000000000001" customHeight="1" x14ac:dyDescent="0.4">
      <c r="A269" s="117"/>
      <c r="B269" s="123"/>
      <c r="C269" s="123"/>
      <c r="D269" s="123"/>
      <c r="S269" s="115"/>
      <c r="T269" s="115"/>
      <c r="U269" s="115"/>
      <c r="V269" s="115"/>
      <c r="W269" s="115"/>
      <c r="X269" s="115"/>
      <c r="Y269" s="115"/>
      <c r="Z269" s="115"/>
      <c r="AA269" s="26"/>
      <c r="AB269" s="13"/>
      <c r="AM269" s="115"/>
      <c r="AN269" s="115"/>
      <c r="AO269" s="115"/>
      <c r="AP269" s="115"/>
      <c r="AQ269" s="29"/>
      <c r="AR269" s="29"/>
      <c r="BB269" s="25"/>
      <c r="BC269" s="13"/>
      <c r="BH269" s="116"/>
      <c r="BI269" s="123"/>
      <c r="BJ269" s="123"/>
      <c r="BK269" s="123"/>
      <c r="BP269" s="115"/>
      <c r="BQ269" s="115"/>
      <c r="BR269" s="115"/>
      <c r="BS269" s="115"/>
      <c r="BT269" s="115"/>
      <c r="BU269" s="115"/>
      <c r="BV269" s="115"/>
      <c r="BW269" s="115"/>
      <c r="BX269" s="115"/>
      <c r="BY269" s="115"/>
      <c r="BZ269" s="25"/>
      <c r="CA269" s="13"/>
      <c r="CD269" s="114"/>
    </row>
    <row r="270" spans="1:82" ht="20.100000000000001" customHeight="1" x14ac:dyDescent="0.4">
      <c r="A270" s="117"/>
      <c r="B270" s="123"/>
      <c r="C270" s="123"/>
      <c r="D270" s="123"/>
      <c r="S270" s="115"/>
      <c r="T270" s="115"/>
      <c r="U270" s="115"/>
      <c r="V270" s="115"/>
      <c r="W270" s="115"/>
      <c r="X270" s="115"/>
      <c r="Y270" s="115"/>
      <c r="Z270" s="115"/>
      <c r="AA270" s="26"/>
      <c r="AB270" s="15"/>
      <c r="AM270" s="115"/>
      <c r="AN270" s="115"/>
      <c r="AO270" s="115"/>
      <c r="AP270" s="115"/>
      <c r="AQ270" s="29"/>
      <c r="AR270" s="29"/>
      <c r="BB270" s="25"/>
      <c r="BC270" s="13"/>
      <c r="BH270" s="116"/>
      <c r="BI270" s="123"/>
      <c r="BJ270" s="123"/>
      <c r="BK270" s="123"/>
      <c r="BP270" s="115"/>
      <c r="BQ270" s="115"/>
      <c r="BR270" s="115"/>
      <c r="BS270" s="115"/>
      <c r="BT270" s="115"/>
      <c r="BU270" s="115"/>
      <c r="BV270" s="115"/>
      <c r="BW270" s="115"/>
      <c r="BX270" s="115"/>
      <c r="BY270" s="115"/>
      <c r="BZ270" s="25"/>
      <c r="CA270" s="13"/>
      <c r="CD270" s="114"/>
    </row>
    <row r="271" spans="1:82" ht="20.100000000000001" customHeight="1" x14ac:dyDescent="0.4">
      <c r="A271" s="117"/>
      <c r="B271" s="123"/>
      <c r="C271" s="123"/>
      <c r="D271" s="123"/>
      <c r="AA271" s="26"/>
      <c r="AB271" s="15"/>
      <c r="AL271" s="115"/>
      <c r="AM271" s="115"/>
      <c r="AN271" s="115"/>
      <c r="AO271" s="115"/>
      <c r="AP271" s="115"/>
      <c r="AQ271" s="127"/>
      <c r="AR271" s="29"/>
      <c r="BB271" s="25"/>
      <c r="BC271" s="13"/>
      <c r="BH271" s="116"/>
      <c r="BI271" s="123"/>
      <c r="BJ271" s="123"/>
      <c r="BK271" s="123"/>
      <c r="BP271" s="115"/>
      <c r="BQ271" s="115"/>
      <c r="BR271" s="115"/>
      <c r="BS271" s="115"/>
      <c r="BT271" s="115"/>
      <c r="BU271" s="115"/>
      <c r="BV271" s="115"/>
      <c r="BW271" s="115"/>
      <c r="BX271" s="115"/>
      <c r="BY271" s="115"/>
      <c r="BZ271" s="25"/>
      <c r="CA271" s="13"/>
      <c r="CD271" s="114"/>
    </row>
    <row r="272" spans="1:82" ht="20.100000000000001" customHeight="1" x14ac:dyDescent="0.4">
      <c r="A272" s="117"/>
      <c r="B272" s="123"/>
      <c r="C272" s="123"/>
      <c r="D272" s="123"/>
      <c r="W272" s="115"/>
      <c r="X272" s="115"/>
      <c r="Y272" s="115"/>
      <c r="Z272" s="115"/>
      <c r="AA272" s="17"/>
      <c r="AB272" s="15"/>
      <c r="AL272" s="115"/>
      <c r="AM272" s="115"/>
      <c r="AN272" s="115"/>
      <c r="AO272" s="115"/>
      <c r="AP272" s="115"/>
      <c r="AQ272" s="127"/>
      <c r="AR272" s="29"/>
      <c r="BB272" s="25"/>
      <c r="BC272" s="13"/>
      <c r="BH272" s="116"/>
      <c r="BI272" s="123"/>
      <c r="BJ272" s="123"/>
      <c r="BK272" s="123"/>
      <c r="BP272" s="115"/>
      <c r="BQ272" s="115"/>
      <c r="BR272" s="115"/>
      <c r="BS272" s="115"/>
      <c r="BT272" s="115"/>
      <c r="BU272" s="115"/>
      <c r="BV272" s="115"/>
      <c r="BW272" s="115"/>
      <c r="BX272" s="115"/>
      <c r="BY272" s="115"/>
      <c r="BZ272" s="25"/>
      <c r="CA272" s="13"/>
      <c r="CD272" s="114"/>
    </row>
    <row r="273" spans="1:82" ht="20.100000000000001" customHeight="1" x14ac:dyDescent="0.4">
      <c r="A273" s="117"/>
      <c r="B273" s="123"/>
      <c r="C273" s="123"/>
      <c r="D273" s="123"/>
      <c r="U273" s="115"/>
      <c r="V273" s="115"/>
      <c r="W273" s="115"/>
      <c r="X273" s="115"/>
      <c r="Y273" s="115"/>
      <c r="Z273" s="115"/>
      <c r="AA273" s="26"/>
      <c r="AB273" s="15"/>
      <c r="AL273" s="115"/>
      <c r="AM273" s="115"/>
      <c r="AN273" s="115"/>
      <c r="AO273" s="115"/>
      <c r="AP273" s="115"/>
      <c r="AQ273" s="127"/>
      <c r="AR273" s="29"/>
      <c r="BB273" s="25"/>
      <c r="BC273" s="13"/>
      <c r="BH273" s="116"/>
      <c r="BI273" s="123"/>
      <c r="BJ273" s="123"/>
      <c r="BK273" s="123"/>
      <c r="BP273" s="115"/>
      <c r="BQ273" s="115"/>
      <c r="BR273" s="115"/>
      <c r="BS273" s="115"/>
      <c r="BT273" s="115"/>
      <c r="BU273" s="115"/>
      <c r="BV273" s="115"/>
      <c r="BW273" s="115"/>
      <c r="BX273" s="115"/>
      <c r="BY273" s="115"/>
      <c r="BZ273" s="25"/>
      <c r="CA273" s="13"/>
      <c r="CD273" s="114"/>
    </row>
    <row r="274" spans="1:82" ht="20.100000000000001" customHeight="1" x14ac:dyDescent="0.4">
      <c r="A274" s="117"/>
      <c r="B274" s="123"/>
      <c r="C274" s="123"/>
      <c r="D274" s="123"/>
      <c r="S274" s="115"/>
      <c r="T274" s="115"/>
      <c r="U274" s="115"/>
      <c r="V274" s="115"/>
      <c r="W274" s="115"/>
      <c r="X274" s="115"/>
      <c r="Y274" s="115"/>
      <c r="Z274" s="115"/>
      <c r="AA274" s="26"/>
      <c r="AB274" s="15"/>
      <c r="AL274" s="115"/>
      <c r="AM274" s="115"/>
      <c r="AN274" s="115"/>
      <c r="AO274" s="115"/>
      <c r="AP274" s="115"/>
      <c r="AQ274" s="127"/>
      <c r="AR274" s="29"/>
      <c r="BB274" s="25"/>
      <c r="BC274" s="13"/>
      <c r="BH274" s="116"/>
      <c r="BI274" s="123"/>
      <c r="BJ274" s="123"/>
      <c r="BK274" s="123"/>
      <c r="BP274" s="115"/>
      <c r="BQ274" s="115"/>
      <c r="BR274" s="115"/>
      <c r="BS274" s="115"/>
      <c r="BT274" s="115"/>
      <c r="BU274" s="115"/>
      <c r="BV274" s="115"/>
      <c r="BW274" s="115"/>
      <c r="BX274" s="115"/>
      <c r="BY274" s="115"/>
      <c r="BZ274" s="25"/>
      <c r="CA274" s="13"/>
      <c r="CD274" s="114"/>
    </row>
    <row r="275" spans="1:82" ht="20.100000000000001" customHeight="1" x14ac:dyDescent="0.4">
      <c r="A275" s="117"/>
      <c r="B275" s="123"/>
      <c r="C275" s="123"/>
      <c r="D275" s="123"/>
      <c r="S275" s="115"/>
      <c r="T275" s="115"/>
      <c r="U275" s="115"/>
      <c r="V275" s="115"/>
      <c r="W275" s="115"/>
      <c r="X275" s="115"/>
      <c r="Y275" s="115"/>
      <c r="Z275" s="115"/>
      <c r="AA275" s="17"/>
      <c r="AB275" s="15"/>
      <c r="AL275" s="115"/>
      <c r="AM275" s="115"/>
      <c r="AN275" s="115"/>
      <c r="AO275" s="115"/>
      <c r="AP275" s="115"/>
      <c r="AQ275" s="127"/>
      <c r="AR275" s="29"/>
      <c r="BB275" s="25"/>
      <c r="BC275" s="13"/>
      <c r="BH275" s="116"/>
      <c r="BI275" s="123"/>
      <c r="BJ275" s="123"/>
      <c r="BK275" s="123"/>
      <c r="BP275" s="115"/>
      <c r="BQ275" s="115"/>
      <c r="BR275" s="115"/>
      <c r="BS275" s="115"/>
      <c r="BT275" s="115"/>
      <c r="BU275" s="115"/>
      <c r="BV275" s="115"/>
      <c r="BW275" s="115"/>
      <c r="BX275" s="115"/>
      <c r="BY275" s="115"/>
      <c r="BZ275" s="25"/>
      <c r="CA275" s="13"/>
      <c r="CD275" s="114"/>
    </row>
    <row r="276" spans="1:82" ht="20.100000000000001" customHeight="1" x14ac:dyDescent="0.4">
      <c r="A276" s="117"/>
      <c r="B276" s="123"/>
      <c r="C276" s="123"/>
      <c r="D276" s="123"/>
      <c r="S276" s="115"/>
      <c r="T276" s="115"/>
      <c r="U276" s="115"/>
      <c r="V276" s="115"/>
      <c r="W276" s="115"/>
      <c r="X276" s="115"/>
      <c r="Y276" s="115"/>
      <c r="Z276" s="115"/>
      <c r="AA276" s="26"/>
      <c r="AB276" s="15"/>
      <c r="AL276" s="115"/>
      <c r="AM276" s="115"/>
      <c r="AN276" s="115"/>
      <c r="AO276" s="115"/>
      <c r="AP276" s="115"/>
      <c r="AQ276" s="127"/>
      <c r="AR276" s="29"/>
      <c r="BB276" s="25"/>
      <c r="BC276" s="13"/>
      <c r="BH276" s="116"/>
      <c r="BI276" s="123"/>
      <c r="BJ276" s="123"/>
      <c r="BK276" s="123"/>
      <c r="BP276" s="115"/>
      <c r="BQ276" s="115"/>
      <c r="BR276" s="115"/>
      <c r="BS276" s="115"/>
      <c r="BT276" s="115"/>
      <c r="BU276" s="115"/>
      <c r="BV276" s="115"/>
      <c r="BW276" s="115"/>
      <c r="BX276" s="115"/>
      <c r="BY276" s="115"/>
      <c r="BZ276" s="25"/>
      <c r="CA276" s="13"/>
      <c r="CD276" s="114"/>
    </row>
    <row r="277" spans="1:82" ht="20.100000000000001" customHeight="1" x14ac:dyDescent="0.4">
      <c r="A277" s="117"/>
      <c r="B277" s="123"/>
      <c r="C277" s="123"/>
      <c r="D277" s="123"/>
      <c r="S277" s="115"/>
      <c r="T277" s="115"/>
      <c r="U277" s="115"/>
      <c r="V277" s="115"/>
      <c r="W277" s="115"/>
      <c r="X277" s="115"/>
      <c r="Y277" s="115"/>
      <c r="Z277" s="115"/>
      <c r="AA277" s="17"/>
      <c r="AB277" s="15"/>
      <c r="AL277" s="115"/>
      <c r="AM277" s="115"/>
      <c r="AN277" s="115"/>
      <c r="AO277" s="115"/>
      <c r="AP277" s="115"/>
      <c r="AQ277" s="127"/>
      <c r="AR277" s="29"/>
      <c r="BB277" s="25"/>
      <c r="BC277" s="13"/>
      <c r="BH277" s="116"/>
      <c r="BI277" s="123"/>
      <c r="BJ277" s="123"/>
      <c r="BK277" s="123"/>
      <c r="BP277" s="115"/>
      <c r="BQ277" s="115"/>
      <c r="BR277" s="115"/>
      <c r="BS277" s="115"/>
      <c r="BT277" s="115"/>
      <c r="BU277" s="115"/>
      <c r="BV277" s="115"/>
      <c r="BW277" s="115"/>
      <c r="BX277" s="115"/>
      <c r="BY277" s="115"/>
      <c r="BZ277" s="25"/>
      <c r="CA277" s="13"/>
      <c r="CD277" s="114"/>
    </row>
    <row r="278" spans="1:82" ht="20.100000000000001" customHeight="1" x14ac:dyDescent="0.4">
      <c r="A278" s="117"/>
      <c r="B278" s="123"/>
      <c r="C278" s="123"/>
      <c r="D278" s="123"/>
      <c r="S278" s="115"/>
      <c r="T278" s="115"/>
      <c r="U278" s="115"/>
      <c r="V278" s="115"/>
      <c r="W278" s="115"/>
      <c r="X278" s="115"/>
      <c r="Y278" s="115"/>
      <c r="Z278" s="115"/>
      <c r="AA278" s="26"/>
      <c r="AB278" s="15"/>
      <c r="AL278" s="115"/>
      <c r="AM278" s="115"/>
      <c r="AN278" s="115"/>
      <c r="AO278" s="115"/>
      <c r="AP278" s="115"/>
      <c r="AQ278" s="127"/>
      <c r="AR278" s="29"/>
      <c r="BB278" s="25"/>
      <c r="BC278" s="13"/>
      <c r="BH278" s="116"/>
      <c r="BI278" s="123"/>
      <c r="BJ278" s="123"/>
      <c r="BK278" s="123"/>
      <c r="BP278" s="115"/>
      <c r="BQ278" s="115"/>
      <c r="BR278" s="115"/>
      <c r="BS278" s="115"/>
      <c r="BT278" s="115"/>
      <c r="BU278" s="115"/>
      <c r="BV278" s="115"/>
      <c r="BW278" s="115"/>
      <c r="BX278" s="115"/>
      <c r="BY278" s="115"/>
      <c r="BZ278" s="25"/>
      <c r="CA278" s="13"/>
      <c r="CD278" s="114"/>
    </row>
    <row r="279" spans="1:82" ht="20.100000000000001" customHeight="1" x14ac:dyDescent="0.4">
      <c r="A279" s="117"/>
      <c r="B279" s="123"/>
      <c r="C279" s="123"/>
      <c r="D279" s="123"/>
      <c r="S279" s="115"/>
      <c r="T279" s="115"/>
      <c r="U279" s="115"/>
      <c r="V279" s="115"/>
      <c r="W279" s="115"/>
      <c r="X279" s="115"/>
      <c r="Y279" s="115"/>
      <c r="Z279" s="115"/>
      <c r="AA279" s="17"/>
      <c r="AB279" s="13"/>
      <c r="AL279" s="115"/>
      <c r="AM279" s="115"/>
      <c r="AN279" s="115"/>
      <c r="AO279" s="115"/>
      <c r="AP279" s="115"/>
      <c r="AQ279" s="127"/>
      <c r="AR279" s="29"/>
      <c r="BB279" s="25"/>
      <c r="BC279" s="13"/>
      <c r="BH279" s="116"/>
      <c r="BI279" s="123"/>
      <c r="BJ279" s="123"/>
      <c r="BK279" s="123"/>
      <c r="BP279" s="115"/>
      <c r="BQ279" s="115"/>
      <c r="BR279" s="115"/>
      <c r="BS279" s="115"/>
      <c r="BT279" s="115"/>
      <c r="BU279" s="115"/>
      <c r="BV279" s="115"/>
      <c r="BW279" s="115"/>
      <c r="BX279" s="115"/>
      <c r="BY279" s="115"/>
      <c r="BZ279" s="25"/>
      <c r="CA279" s="13"/>
      <c r="CD279" s="114"/>
    </row>
    <row r="280" spans="1:82" ht="20.100000000000001" customHeight="1" x14ac:dyDescent="0.4">
      <c r="A280" s="117"/>
      <c r="B280" s="123"/>
      <c r="C280" s="123"/>
      <c r="D280" s="123"/>
      <c r="S280" s="115"/>
      <c r="T280" s="115"/>
      <c r="U280" s="115"/>
      <c r="V280" s="115"/>
      <c r="W280" s="115"/>
      <c r="X280" s="115"/>
      <c r="Y280" s="115"/>
      <c r="Z280" s="115"/>
      <c r="AA280" s="17"/>
      <c r="AB280" s="13"/>
      <c r="AL280" s="115"/>
      <c r="AM280" s="115"/>
      <c r="AN280" s="115"/>
      <c r="AO280" s="115"/>
      <c r="AP280" s="115"/>
      <c r="AQ280" s="127"/>
      <c r="AR280" s="29"/>
      <c r="BB280" s="25"/>
      <c r="BC280" s="13"/>
      <c r="BH280" s="116"/>
      <c r="BI280" s="123"/>
      <c r="BJ280" s="123"/>
      <c r="BK280" s="123"/>
      <c r="BP280" s="115"/>
      <c r="BQ280" s="115"/>
      <c r="BR280" s="115"/>
      <c r="BS280" s="115"/>
      <c r="BT280" s="115"/>
      <c r="BU280" s="115"/>
      <c r="BV280" s="115"/>
      <c r="BW280" s="115"/>
      <c r="BX280" s="115"/>
      <c r="BY280" s="115"/>
      <c r="BZ280" s="25"/>
      <c r="CA280" s="13"/>
      <c r="CD280" s="114"/>
    </row>
    <row r="281" spans="1:82" ht="20.100000000000001" customHeight="1" x14ac:dyDescent="0.4">
      <c r="A281" s="117"/>
      <c r="B281" s="123"/>
      <c r="C281" s="123"/>
      <c r="D281" s="123"/>
      <c r="S281" s="115"/>
      <c r="T281" s="115"/>
      <c r="U281" s="115"/>
      <c r="V281" s="115"/>
      <c r="W281" s="115"/>
      <c r="X281" s="115"/>
      <c r="Y281" s="115"/>
      <c r="Z281" s="115"/>
      <c r="AA281" s="26"/>
      <c r="AB281" s="13"/>
      <c r="AL281" s="115"/>
      <c r="AM281" s="115"/>
      <c r="AN281" s="115"/>
      <c r="AO281" s="115"/>
      <c r="AP281" s="115"/>
      <c r="AQ281" s="127"/>
      <c r="AR281" s="29"/>
      <c r="BB281" s="25"/>
      <c r="BC281" s="13"/>
      <c r="BH281" s="116"/>
      <c r="BI281" s="123"/>
      <c r="BJ281" s="123"/>
      <c r="BK281" s="123"/>
      <c r="BP281" s="115"/>
      <c r="BQ281" s="115"/>
      <c r="BR281" s="115"/>
      <c r="BS281" s="115"/>
      <c r="BT281" s="115"/>
      <c r="BU281" s="115"/>
      <c r="BV281" s="115"/>
      <c r="BW281" s="115"/>
      <c r="BX281" s="115"/>
      <c r="BY281" s="115"/>
      <c r="BZ281" s="25"/>
      <c r="CA281" s="13"/>
      <c r="CD281" s="114"/>
    </row>
    <row r="282" spans="1:82" ht="20.100000000000001" customHeight="1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26"/>
      <c r="AB282" s="13"/>
      <c r="AL282" s="115"/>
      <c r="AM282" s="115"/>
      <c r="AN282" s="115"/>
      <c r="AO282" s="115"/>
      <c r="AP282" s="115"/>
      <c r="AQ282" s="127"/>
      <c r="AR282" s="29"/>
      <c r="BB282" s="25"/>
      <c r="BC282" s="13"/>
      <c r="BH282" s="116"/>
      <c r="BI282" s="123"/>
      <c r="BJ282" s="123"/>
      <c r="BK282" s="123"/>
      <c r="BP282" s="115"/>
      <c r="BQ282" s="115"/>
      <c r="BR282" s="115"/>
      <c r="BS282" s="115"/>
      <c r="BT282" s="115"/>
      <c r="BU282" s="115"/>
      <c r="BV282" s="115"/>
      <c r="BW282" s="115"/>
      <c r="BX282" s="115"/>
      <c r="BY282" s="115"/>
      <c r="BZ282" s="25"/>
      <c r="CA282" s="13"/>
      <c r="CD282" s="114"/>
    </row>
    <row r="283" spans="1:82" ht="20.100000000000001" customHeight="1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7"/>
      <c r="AB283" s="13"/>
      <c r="AL283" s="115"/>
      <c r="AM283" s="115"/>
      <c r="AN283" s="115"/>
      <c r="AO283" s="115"/>
      <c r="AP283" s="115"/>
      <c r="AQ283" s="127"/>
      <c r="AR283" s="29"/>
      <c r="BB283" s="25"/>
      <c r="BC283" s="13"/>
      <c r="BH283" s="116"/>
      <c r="BI283" s="123"/>
      <c r="BJ283" s="123"/>
      <c r="BK283" s="123"/>
      <c r="BP283" s="115"/>
      <c r="BQ283" s="115"/>
      <c r="BR283" s="115"/>
      <c r="BS283" s="115"/>
      <c r="BT283" s="115"/>
      <c r="BU283" s="115"/>
      <c r="BV283" s="115"/>
      <c r="BW283" s="115"/>
      <c r="BX283" s="115"/>
      <c r="BY283" s="115"/>
      <c r="BZ283" s="25"/>
      <c r="CA283" s="13"/>
      <c r="CD283" s="114"/>
    </row>
    <row r="284" spans="1:82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26"/>
      <c r="AB284" s="13"/>
      <c r="AL284" s="115"/>
      <c r="AM284" s="115"/>
      <c r="AN284" s="115"/>
      <c r="AO284" s="115"/>
      <c r="AP284" s="115"/>
      <c r="AQ284" s="127"/>
      <c r="AR284" s="29"/>
      <c r="BB284" s="25"/>
      <c r="BC284" s="13"/>
      <c r="BH284" s="116"/>
      <c r="BI284" s="123"/>
      <c r="BJ284" s="123"/>
      <c r="BK284" s="123"/>
      <c r="BP284" s="115"/>
      <c r="BQ284" s="115"/>
      <c r="BR284" s="115"/>
      <c r="BS284" s="115"/>
      <c r="BT284" s="115"/>
      <c r="BU284" s="115"/>
      <c r="BV284" s="115"/>
      <c r="BW284" s="115"/>
      <c r="BX284" s="115"/>
      <c r="BY284" s="115"/>
      <c r="BZ284" s="25"/>
      <c r="CA284" s="13"/>
      <c r="CD284" s="114"/>
    </row>
    <row r="285" spans="1:82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7"/>
      <c r="AB285" s="13"/>
      <c r="AL285" s="115"/>
      <c r="AM285" s="115"/>
      <c r="AN285" s="115"/>
      <c r="AO285" s="115"/>
      <c r="AP285" s="115"/>
      <c r="AQ285" s="127"/>
      <c r="AR285" s="29"/>
      <c r="BB285" s="25"/>
      <c r="BC285" s="13"/>
      <c r="BH285" s="116"/>
      <c r="BI285" s="123"/>
      <c r="BJ285" s="123"/>
      <c r="BK285" s="123"/>
      <c r="BP285" s="115"/>
      <c r="BQ285" s="115"/>
      <c r="BR285" s="115"/>
      <c r="BS285" s="115"/>
      <c r="BT285" s="115"/>
      <c r="BU285" s="115"/>
      <c r="BV285" s="115"/>
      <c r="BW285" s="115"/>
      <c r="BX285" s="115"/>
      <c r="BY285" s="115"/>
      <c r="BZ285" s="25"/>
      <c r="CA285" s="13"/>
      <c r="CD285" s="114"/>
    </row>
    <row r="286" spans="1:82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7"/>
      <c r="AB286" s="13"/>
      <c r="AL286" s="115"/>
      <c r="AM286" s="115"/>
      <c r="AN286" s="115"/>
      <c r="AO286" s="115"/>
      <c r="AP286" s="115"/>
      <c r="AQ286" s="127"/>
      <c r="AR286" s="29"/>
      <c r="BB286" s="25"/>
      <c r="BC286" s="13"/>
      <c r="BH286" s="116"/>
      <c r="BI286" s="123"/>
      <c r="BJ286" s="123"/>
      <c r="BK286" s="123"/>
      <c r="BP286" s="115"/>
      <c r="BQ286" s="115"/>
      <c r="BR286" s="115"/>
      <c r="BS286" s="115"/>
      <c r="BT286" s="115"/>
      <c r="BU286" s="115"/>
      <c r="BV286" s="115"/>
      <c r="BW286" s="115"/>
      <c r="BX286" s="115"/>
      <c r="BY286" s="115"/>
      <c r="BZ286" s="25"/>
      <c r="CA286" s="13"/>
      <c r="CD286" s="114"/>
    </row>
    <row r="287" spans="1:82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26"/>
      <c r="AB287" s="13"/>
      <c r="AL287" s="115"/>
      <c r="AM287" s="115"/>
      <c r="AN287" s="115"/>
      <c r="AO287" s="115"/>
      <c r="AP287" s="115"/>
      <c r="AQ287" s="127"/>
      <c r="AR287" s="29"/>
      <c r="BB287" s="25"/>
      <c r="BC287" s="13"/>
      <c r="BH287" s="116"/>
      <c r="BI287" s="123"/>
      <c r="BJ287" s="123"/>
      <c r="BK287" s="123"/>
      <c r="BP287" s="115"/>
      <c r="BQ287" s="115"/>
      <c r="BR287" s="115"/>
      <c r="BS287" s="115"/>
      <c r="BT287" s="115"/>
      <c r="BU287" s="115"/>
      <c r="BV287" s="115"/>
      <c r="BW287" s="115"/>
      <c r="BX287" s="115"/>
      <c r="BY287" s="115"/>
      <c r="BZ287" s="25"/>
      <c r="CA287" s="13"/>
      <c r="CD287" s="114"/>
    </row>
    <row r="288" spans="1:82" ht="20.100000000000001" customHeight="1" x14ac:dyDescent="0.4">
      <c r="A288" s="117"/>
      <c r="B288" s="123"/>
      <c r="C288" s="123"/>
      <c r="D288" s="123"/>
      <c r="AA288" s="26"/>
      <c r="AB288" s="13"/>
      <c r="AL288" s="115"/>
      <c r="AM288" s="115"/>
      <c r="AN288" s="115"/>
      <c r="AO288" s="115"/>
      <c r="AP288" s="115"/>
      <c r="AQ288" s="29"/>
      <c r="AR288" s="29"/>
      <c r="BB288" s="25"/>
      <c r="BC288" s="13"/>
      <c r="BH288" s="116"/>
      <c r="BI288" s="123"/>
      <c r="BJ288" s="123"/>
      <c r="BK288" s="123"/>
      <c r="BP288" s="115"/>
      <c r="BQ288" s="115"/>
      <c r="BR288" s="115"/>
      <c r="BS288" s="115"/>
      <c r="BT288" s="115"/>
      <c r="BU288" s="115"/>
      <c r="BV288" s="115"/>
      <c r="BW288" s="115"/>
      <c r="BX288" s="115"/>
      <c r="BY288" s="115"/>
      <c r="BZ288" s="25"/>
      <c r="CA288" s="13"/>
      <c r="CD288" s="114"/>
    </row>
    <row r="289" spans="1:82" ht="20.100000000000001" customHeight="1" x14ac:dyDescent="0.4">
      <c r="A289" s="117"/>
      <c r="B289" s="123"/>
      <c r="C289" s="123"/>
      <c r="D289" s="123"/>
      <c r="T289" s="115"/>
      <c r="U289" s="115"/>
      <c r="V289" s="115"/>
      <c r="W289" s="115"/>
      <c r="X289" s="115"/>
      <c r="Y289" s="115"/>
      <c r="Z289" s="115"/>
      <c r="AA289" s="26"/>
      <c r="AB289" s="13"/>
      <c r="AL289" s="115"/>
      <c r="AM289" s="115"/>
      <c r="AN289" s="115"/>
      <c r="AO289" s="115"/>
      <c r="AP289" s="115"/>
      <c r="AQ289" s="29"/>
      <c r="AR289" s="29"/>
      <c r="BB289" s="25"/>
      <c r="BC289" s="13"/>
      <c r="BH289" s="116"/>
      <c r="BI289" s="123"/>
      <c r="BJ289" s="123"/>
      <c r="BK289" s="123"/>
      <c r="BP289" s="115"/>
      <c r="BQ289" s="115"/>
      <c r="BR289" s="115"/>
      <c r="BS289" s="115"/>
      <c r="BT289" s="115"/>
      <c r="BU289" s="115"/>
      <c r="BV289" s="115"/>
      <c r="BW289" s="115"/>
      <c r="BX289" s="115"/>
      <c r="BY289" s="115"/>
      <c r="BZ289" s="25"/>
      <c r="CA289" s="13"/>
      <c r="CD289" s="114"/>
    </row>
    <row r="290" spans="1:82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26"/>
      <c r="AB290" s="13"/>
      <c r="AL290" s="115"/>
      <c r="AM290" s="115"/>
      <c r="AN290" s="115"/>
      <c r="AO290" s="115"/>
      <c r="AP290" s="115"/>
      <c r="AQ290" s="29"/>
      <c r="AR290" s="29"/>
      <c r="BB290" s="25"/>
      <c r="BC290" s="13"/>
      <c r="BH290" s="116"/>
      <c r="BI290" s="123"/>
      <c r="BJ290" s="123"/>
      <c r="BK290" s="123"/>
      <c r="BP290" s="115"/>
      <c r="BQ290" s="115"/>
      <c r="BR290" s="115"/>
      <c r="BS290" s="115"/>
      <c r="BT290" s="115"/>
      <c r="BU290" s="115"/>
      <c r="BV290" s="115"/>
      <c r="BW290" s="115"/>
      <c r="BX290" s="115"/>
      <c r="BY290" s="115"/>
      <c r="BZ290" s="25"/>
      <c r="CA290" s="13"/>
      <c r="CD290" s="114"/>
    </row>
    <row r="291" spans="1:82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26"/>
      <c r="AB291" s="13"/>
      <c r="AL291" s="115"/>
      <c r="AM291" s="115"/>
      <c r="AN291" s="115"/>
      <c r="AO291" s="115"/>
      <c r="AP291" s="115"/>
      <c r="AQ291" s="29"/>
      <c r="AR291" s="29"/>
      <c r="BB291" s="25"/>
      <c r="BC291" s="13"/>
      <c r="BH291" s="116"/>
      <c r="BI291" s="123"/>
      <c r="BJ291" s="123"/>
      <c r="BK291" s="123"/>
      <c r="BP291" s="115"/>
      <c r="BQ291" s="115"/>
      <c r="BR291" s="115"/>
      <c r="BS291" s="115"/>
      <c r="BT291" s="115"/>
      <c r="BU291" s="115"/>
      <c r="BV291" s="115"/>
      <c r="BW291" s="115"/>
      <c r="BX291" s="115"/>
      <c r="BY291" s="115"/>
      <c r="BZ291" s="25"/>
      <c r="CA291" s="13"/>
      <c r="CD291" s="114"/>
    </row>
    <row r="292" spans="1:82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26"/>
      <c r="AB292" s="13"/>
      <c r="AL292" s="115"/>
      <c r="AM292" s="115"/>
      <c r="AN292" s="115"/>
      <c r="AO292" s="115"/>
      <c r="AP292" s="115"/>
      <c r="AQ292" s="29"/>
      <c r="AR292" s="29"/>
      <c r="BB292" s="25"/>
      <c r="BC292" s="13"/>
      <c r="BH292" s="116"/>
      <c r="BI292" s="123"/>
      <c r="BJ292" s="123"/>
      <c r="BK292" s="123"/>
      <c r="BP292" s="115"/>
      <c r="BQ292" s="115"/>
      <c r="BR292" s="115"/>
      <c r="BS292" s="115"/>
      <c r="BT292" s="115"/>
      <c r="BU292" s="115"/>
      <c r="BV292" s="115"/>
      <c r="BW292" s="115"/>
      <c r="BX292" s="115"/>
      <c r="BY292" s="115"/>
      <c r="BZ292" s="25"/>
      <c r="CA292" s="13"/>
      <c r="CD292" s="114"/>
    </row>
    <row r="293" spans="1:82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7"/>
      <c r="AB293" s="13"/>
      <c r="AL293" s="115"/>
      <c r="AM293" s="115"/>
      <c r="AN293" s="115"/>
      <c r="AO293" s="115"/>
      <c r="AP293" s="115"/>
      <c r="AQ293" s="29"/>
      <c r="AR293" s="29"/>
      <c r="BB293" s="25"/>
      <c r="BC293" s="13"/>
      <c r="BH293" s="116"/>
      <c r="BI293" s="123"/>
      <c r="BJ293" s="123"/>
      <c r="BK293" s="123"/>
      <c r="BP293" s="115"/>
      <c r="BQ293" s="115"/>
      <c r="BR293" s="115"/>
      <c r="BS293" s="115"/>
      <c r="BT293" s="115"/>
      <c r="BU293" s="115"/>
      <c r="BV293" s="115"/>
      <c r="BW293" s="115"/>
      <c r="BX293" s="115"/>
      <c r="BY293" s="115"/>
      <c r="BZ293" s="25"/>
      <c r="CA293" s="13"/>
      <c r="CD293" s="114"/>
    </row>
    <row r="294" spans="1:82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26"/>
      <c r="AB294" s="13"/>
      <c r="AL294" s="115"/>
      <c r="AM294" s="115"/>
      <c r="AN294" s="115"/>
      <c r="AO294" s="115"/>
      <c r="AP294" s="115"/>
      <c r="AQ294" s="29"/>
      <c r="AR294" s="29"/>
      <c r="BB294" s="25"/>
      <c r="BC294" s="13"/>
      <c r="BH294" s="116"/>
      <c r="BI294" s="123"/>
      <c r="BJ294" s="123"/>
      <c r="BK294" s="123"/>
      <c r="BP294" s="115"/>
      <c r="BQ294" s="115"/>
      <c r="BR294" s="115"/>
      <c r="BS294" s="115"/>
      <c r="BT294" s="115"/>
      <c r="BU294" s="115"/>
      <c r="BV294" s="115"/>
      <c r="BW294" s="115"/>
      <c r="BX294" s="115"/>
      <c r="BY294" s="115"/>
      <c r="BZ294" s="25"/>
      <c r="CA294" s="13"/>
      <c r="CD294" s="114"/>
    </row>
    <row r="295" spans="1:82" ht="20.100000000000001" customHeight="1" x14ac:dyDescent="0.4">
      <c r="A295" s="117"/>
      <c r="B295" s="123"/>
      <c r="C295" s="123"/>
      <c r="D295" s="123"/>
      <c r="AA295" s="26"/>
      <c r="AB295" s="13"/>
      <c r="AL295" s="115"/>
      <c r="AM295" s="115"/>
      <c r="AN295" s="115"/>
      <c r="AO295" s="115"/>
      <c r="AP295" s="115"/>
      <c r="AQ295" s="127"/>
      <c r="AR295" s="29"/>
      <c r="BB295" s="25"/>
      <c r="BC295" s="13"/>
      <c r="BH295" s="116"/>
      <c r="BI295" s="123"/>
      <c r="BJ295" s="123"/>
      <c r="BK295" s="123"/>
      <c r="BP295" s="115"/>
      <c r="BQ295" s="115"/>
      <c r="BR295" s="115"/>
      <c r="BS295" s="115"/>
      <c r="BT295" s="115"/>
      <c r="BU295" s="115"/>
      <c r="BV295" s="115"/>
      <c r="BW295" s="115"/>
      <c r="BX295" s="115"/>
      <c r="BY295" s="115"/>
      <c r="BZ295" s="25"/>
      <c r="CA295" s="13"/>
      <c r="CD295" s="114"/>
    </row>
    <row r="296" spans="1:82" ht="20.100000000000001" customHeight="1" x14ac:dyDescent="0.4">
      <c r="A296" s="117"/>
      <c r="B296" s="123"/>
      <c r="C296" s="123"/>
      <c r="D296" s="123"/>
      <c r="AA296" s="26"/>
      <c r="AB296" s="15"/>
      <c r="AK296" s="115"/>
      <c r="AL296" s="115"/>
      <c r="AM296" s="115"/>
      <c r="AN296" s="115"/>
      <c r="AO296" s="115"/>
      <c r="AP296" s="115"/>
      <c r="AQ296" s="127"/>
      <c r="AR296" s="29"/>
      <c r="BB296" s="25"/>
      <c r="BC296" s="13"/>
      <c r="BH296" s="116"/>
      <c r="BI296" s="123"/>
      <c r="BJ296" s="123"/>
      <c r="BK296" s="123"/>
      <c r="BP296" s="115"/>
      <c r="BQ296" s="115"/>
      <c r="BR296" s="115"/>
      <c r="BS296" s="115"/>
      <c r="BT296" s="115"/>
      <c r="BU296" s="115"/>
      <c r="BV296" s="115"/>
      <c r="BW296" s="115"/>
      <c r="BX296" s="115"/>
      <c r="BY296" s="115"/>
      <c r="BZ296" s="25"/>
      <c r="CA296" s="13"/>
      <c r="CD296" s="114"/>
    </row>
    <row r="297" spans="1:82" ht="20.100000000000001" customHeight="1" x14ac:dyDescent="0.4">
      <c r="A297" s="117"/>
      <c r="B297" s="123"/>
      <c r="C297" s="123"/>
      <c r="D297" s="123"/>
      <c r="T297" s="115"/>
      <c r="U297" s="115"/>
      <c r="V297" s="115"/>
      <c r="W297" s="115"/>
      <c r="X297" s="115"/>
      <c r="Y297" s="115"/>
      <c r="Z297" s="115"/>
      <c r="AA297" s="26"/>
      <c r="AB297" s="15"/>
      <c r="AK297" s="115"/>
      <c r="AL297" s="115"/>
      <c r="AM297" s="115"/>
      <c r="AN297" s="115"/>
      <c r="AO297" s="115"/>
      <c r="AP297" s="115"/>
      <c r="AQ297" s="127"/>
      <c r="AR297" s="29"/>
      <c r="BB297" s="25"/>
      <c r="BC297" s="13"/>
      <c r="BH297" s="116"/>
      <c r="BI297" s="123"/>
      <c r="BJ297" s="123"/>
      <c r="BK297" s="123"/>
      <c r="BP297" s="115"/>
      <c r="BQ297" s="115"/>
      <c r="BR297" s="115"/>
      <c r="BS297" s="115"/>
      <c r="BT297" s="115"/>
      <c r="BU297" s="115"/>
      <c r="BV297" s="115"/>
      <c r="BW297" s="115"/>
      <c r="BX297" s="115"/>
      <c r="BY297" s="115"/>
      <c r="BZ297" s="25"/>
      <c r="CA297" s="13"/>
      <c r="CD297" s="114"/>
    </row>
    <row r="298" spans="1:82" ht="20.100000000000001" customHeight="1" x14ac:dyDescent="0.4">
      <c r="A298" s="117"/>
      <c r="B298" s="123"/>
      <c r="C298" s="123"/>
      <c r="D298" s="123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26"/>
      <c r="AB298" s="15"/>
      <c r="AK298" s="115"/>
      <c r="AL298" s="115"/>
      <c r="AM298" s="115"/>
      <c r="AN298" s="115"/>
      <c r="AO298" s="115"/>
      <c r="AP298" s="115"/>
      <c r="AQ298" s="127"/>
      <c r="AR298" s="29"/>
      <c r="BB298" s="25"/>
      <c r="BC298" s="13"/>
      <c r="BH298" s="116"/>
      <c r="BI298" s="123"/>
      <c r="BJ298" s="123"/>
      <c r="BK298" s="123"/>
      <c r="BP298" s="115"/>
      <c r="BQ298" s="115"/>
      <c r="BR298" s="115"/>
      <c r="BS298" s="115"/>
      <c r="BT298" s="115"/>
      <c r="BU298" s="115"/>
      <c r="BV298" s="115"/>
      <c r="BW298" s="115"/>
      <c r="BX298" s="115"/>
      <c r="BY298" s="115"/>
      <c r="BZ298" s="25"/>
      <c r="CA298" s="13"/>
      <c r="CD298" s="114"/>
    </row>
    <row r="299" spans="1:82" ht="20.100000000000001" customHeight="1" x14ac:dyDescent="0.4">
      <c r="A299" s="117"/>
      <c r="B299" s="123"/>
      <c r="C299" s="123"/>
      <c r="D299" s="123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26"/>
      <c r="AB299" s="13"/>
      <c r="AK299" s="115"/>
      <c r="AL299" s="115"/>
      <c r="AM299" s="115"/>
      <c r="AN299" s="115"/>
      <c r="AO299" s="115"/>
      <c r="AP299" s="115"/>
      <c r="AQ299" s="127"/>
      <c r="AR299" s="29"/>
      <c r="BB299" s="25"/>
      <c r="BC299" s="13"/>
      <c r="BH299" s="116"/>
      <c r="BI299" s="123"/>
      <c r="BJ299" s="123"/>
      <c r="BK299" s="123"/>
      <c r="BP299" s="115"/>
      <c r="BQ299" s="115"/>
      <c r="BR299" s="115"/>
      <c r="BS299" s="115"/>
      <c r="BT299" s="115"/>
      <c r="BU299" s="115"/>
      <c r="BV299" s="115"/>
      <c r="BW299" s="115"/>
      <c r="BX299" s="115"/>
      <c r="BY299" s="115"/>
      <c r="BZ299" s="25"/>
      <c r="CA299" s="13"/>
      <c r="CD299" s="114"/>
    </row>
    <row r="300" spans="1:82" ht="20.100000000000001" customHeight="1" x14ac:dyDescent="0.4">
      <c r="A300" s="117"/>
      <c r="B300" s="123"/>
      <c r="C300" s="123"/>
      <c r="D300" s="123"/>
      <c r="AA300" s="26"/>
      <c r="AB300" s="13"/>
      <c r="AK300" s="115"/>
      <c r="AL300" s="115"/>
      <c r="AM300" s="115"/>
      <c r="AN300" s="115"/>
      <c r="AO300" s="115"/>
      <c r="AP300" s="115"/>
      <c r="AQ300" s="29"/>
      <c r="AR300" s="29"/>
      <c r="BB300" s="25"/>
      <c r="BC300" s="13"/>
      <c r="BH300" s="116"/>
      <c r="BI300" s="123"/>
      <c r="BJ300" s="123"/>
      <c r="BK300" s="123"/>
      <c r="BP300" s="115"/>
      <c r="BQ300" s="115"/>
      <c r="BR300" s="115"/>
      <c r="BS300" s="115"/>
      <c r="BT300" s="115"/>
      <c r="BU300" s="115"/>
      <c r="BV300" s="115"/>
      <c r="BW300" s="115"/>
      <c r="BX300" s="115"/>
      <c r="BY300" s="115"/>
      <c r="BZ300" s="25"/>
      <c r="CA300" s="13"/>
      <c r="CD300" s="114"/>
    </row>
    <row r="301" spans="1:82" ht="20.100000000000001" customHeight="1" x14ac:dyDescent="0.4">
      <c r="A301" s="117"/>
      <c r="B301" s="123"/>
      <c r="C301" s="123"/>
      <c r="D301" s="123"/>
      <c r="U301" s="115"/>
      <c r="V301" s="115"/>
      <c r="W301" s="115"/>
      <c r="X301" s="115"/>
      <c r="Y301" s="115"/>
      <c r="Z301" s="115"/>
      <c r="AA301" s="17"/>
      <c r="AB301" s="13"/>
      <c r="AK301" s="115"/>
      <c r="AL301" s="115"/>
      <c r="AM301" s="115"/>
      <c r="AN301" s="115"/>
      <c r="AO301" s="115"/>
      <c r="AP301" s="115"/>
      <c r="AQ301" s="29"/>
      <c r="AR301" s="29"/>
      <c r="BB301" s="25"/>
      <c r="BC301" s="13"/>
      <c r="BH301" s="116"/>
      <c r="BI301" s="123"/>
      <c r="BJ301" s="123"/>
      <c r="BK301" s="123"/>
      <c r="BP301" s="115"/>
      <c r="BQ301" s="115"/>
      <c r="BR301" s="115"/>
      <c r="BS301" s="115"/>
      <c r="BT301" s="115"/>
      <c r="BU301" s="115"/>
      <c r="BV301" s="115"/>
      <c r="BW301" s="115"/>
      <c r="BX301" s="115"/>
      <c r="BY301" s="115"/>
      <c r="BZ301" s="25"/>
      <c r="CA301" s="13"/>
      <c r="CD301" s="114"/>
    </row>
    <row r="302" spans="1:82" ht="20.100000000000001" customHeight="1" x14ac:dyDescent="0.4">
      <c r="A302" s="117"/>
      <c r="B302" s="123"/>
      <c r="C302" s="123"/>
      <c r="D302" s="123"/>
      <c r="T302" s="115"/>
      <c r="U302" s="115"/>
      <c r="V302" s="115"/>
      <c r="W302" s="115"/>
      <c r="X302" s="115"/>
      <c r="Y302" s="115"/>
      <c r="Z302" s="115"/>
      <c r="AA302" s="26"/>
      <c r="AB302" s="13"/>
      <c r="AK302" s="115"/>
      <c r="AL302" s="115"/>
      <c r="AM302" s="115"/>
      <c r="AN302" s="115"/>
      <c r="AO302" s="115"/>
      <c r="AP302" s="115"/>
      <c r="AQ302" s="29"/>
      <c r="AR302" s="29"/>
      <c r="BB302" s="25"/>
      <c r="BC302" s="13"/>
      <c r="BH302" s="116"/>
      <c r="BI302" s="123"/>
      <c r="BJ302" s="123"/>
      <c r="BK302" s="123"/>
      <c r="BP302" s="115"/>
      <c r="BQ302" s="115"/>
      <c r="BR302" s="115"/>
      <c r="BS302" s="115"/>
      <c r="BT302" s="115"/>
      <c r="BU302" s="115"/>
      <c r="BV302" s="115"/>
      <c r="BW302" s="115"/>
      <c r="BX302" s="115"/>
      <c r="BY302" s="115"/>
      <c r="BZ302" s="25"/>
      <c r="CA302" s="13"/>
      <c r="CD302" s="114"/>
    </row>
    <row r="303" spans="1:82" ht="20.100000000000001" customHeight="1" x14ac:dyDescent="0.4">
      <c r="A303" s="117"/>
      <c r="B303" s="123"/>
      <c r="C303" s="123"/>
      <c r="D303" s="123"/>
      <c r="AA303" s="26"/>
      <c r="AB303" s="13"/>
      <c r="AK303" s="115"/>
      <c r="AL303" s="115"/>
      <c r="AM303" s="115"/>
      <c r="AN303" s="115"/>
      <c r="AO303" s="115"/>
      <c r="AP303" s="115"/>
      <c r="AQ303" s="127"/>
      <c r="AR303" s="29"/>
      <c r="BB303" s="25"/>
      <c r="BC303" s="13"/>
      <c r="BH303" s="116"/>
      <c r="BI303" s="123"/>
      <c r="BJ303" s="123"/>
      <c r="BK303" s="123"/>
      <c r="BP303" s="115"/>
      <c r="BQ303" s="115"/>
      <c r="BR303" s="115"/>
      <c r="BS303" s="115"/>
      <c r="BT303" s="115"/>
      <c r="BU303" s="115"/>
      <c r="BV303" s="115"/>
      <c r="BW303" s="115"/>
      <c r="BX303" s="115"/>
      <c r="BY303" s="115"/>
      <c r="BZ303" s="25"/>
      <c r="CA303" s="13"/>
      <c r="CD303" s="114"/>
    </row>
    <row r="304" spans="1:82" ht="20.100000000000001" customHeight="1" x14ac:dyDescent="0.4">
      <c r="A304" s="117"/>
      <c r="B304" s="123"/>
      <c r="C304" s="123"/>
      <c r="D304" s="123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26"/>
      <c r="AB304" s="13"/>
      <c r="AK304" s="115"/>
      <c r="AL304" s="115"/>
      <c r="AM304" s="115"/>
      <c r="AN304" s="115"/>
      <c r="AO304" s="115"/>
      <c r="AP304" s="115"/>
      <c r="AQ304" s="127"/>
      <c r="AR304" s="29"/>
      <c r="BB304" s="25"/>
      <c r="BC304" s="13"/>
      <c r="BH304" s="116"/>
      <c r="BI304" s="123"/>
      <c r="BJ304" s="123"/>
      <c r="BK304" s="123"/>
      <c r="BP304" s="115"/>
      <c r="BQ304" s="115"/>
      <c r="BR304" s="115"/>
      <c r="BS304" s="115"/>
      <c r="BT304" s="115"/>
      <c r="BU304" s="115"/>
      <c r="BV304" s="115"/>
      <c r="BW304" s="115"/>
      <c r="BX304" s="115"/>
      <c r="BY304" s="115"/>
      <c r="BZ304" s="25"/>
      <c r="CA304" s="13"/>
      <c r="CD304" s="114"/>
    </row>
    <row r="305" spans="1:82" ht="20.100000000000001" customHeight="1" x14ac:dyDescent="0.4">
      <c r="A305" s="117"/>
      <c r="B305" s="123"/>
      <c r="C305" s="123"/>
      <c r="D305" s="123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7"/>
      <c r="AB305" s="13"/>
      <c r="AK305" s="115"/>
      <c r="AL305" s="115"/>
      <c r="AM305" s="115"/>
      <c r="AN305" s="115"/>
      <c r="AO305" s="115"/>
      <c r="AP305" s="115"/>
      <c r="AQ305" s="127"/>
      <c r="AR305" s="29"/>
      <c r="BB305" s="25"/>
      <c r="BC305" s="13"/>
      <c r="BH305" s="116"/>
      <c r="BI305" s="123"/>
      <c r="BJ305" s="123"/>
      <c r="BK305" s="123"/>
      <c r="BP305" s="115"/>
      <c r="BQ305" s="115"/>
      <c r="BR305" s="115"/>
      <c r="BS305" s="115"/>
      <c r="BT305" s="115"/>
      <c r="BU305" s="115"/>
      <c r="BV305" s="115"/>
      <c r="BW305" s="115"/>
      <c r="BX305" s="115"/>
      <c r="BY305" s="115"/>
      <c r="BZ305" s="25"/>
      <c r="CA305" s="13"/>
      <c r="CD305" s="114"/>
    </row>
    <row r="306" spans="1:82" ht="20.100000000000001" customHeight="1" x14ac:dyDescent="0.4">
      <c r="A306" s="117"/>
      <c r="B306" s="123"/>
      <c r="C306" s="123"/>
      <c r="D306" s="123"/>
      <c r="AA306" s="26"/>
      <c r="AB306" s="13"/>
      <c r="AK306" s="115"/>
      <c r="AL306" s="115"/>
      <c r="AM306" s="115"/>
      <c r="AN306" s="115"/>
      <c r="AO306" s="115"/>
      <c r="AP306" s="115"/>
      <c r="AQ306" s="127"/>
      <c r="AR306" s="29"/>
      <c r="BB306" s="25"/>
      <c r="BC306" s="13"/>
      <c r="BH306" s="116"/>
      <c r="BI306" s="123"/>
      <c r="BJ306" s="123"/>
      <c r="BK306" s="123"/>
      <c r="BP306" s="115"/>
      <c r="BQ306" s="115"/>
      <c r="BR306" s="115"/>
      <c r="BS306" s="115"/>
      <c r="BT306" s="115"/>
      <c r="BU306" s="115"/>
      <c r="BV306" s="115"/>
      <c r="BW306" s="115"/>
      <c r="BX306" s="115"/>
      <c r="BY306" s="115"/>
      <c r="BZ306" s="25"/>
      <c r="CA306" s="13"/>
      <c r="CD306" s="114"/>
    </row>
    <row r="307" spans="1:82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26"/>
      <c r="AB307" s="13"/>
      <c r="AK307" s="115"/>
      <c r="AL307" s="115"/>
      <c r="AM307" s="115"/>
      <c r="AN307" s="115"/>
      <c r="AO307" s="115"/>
      <c r="AP307" s="115"/>
      <c r="AQ307" s="127"/>
      <c r="AR307" s="29"/>
      <c r="BB307" s="25"/>
      <c r="BC307" s="13"/>
      <c r="BH307" s="116"/>
      <c r="BI307" s="123"/>
      <c r="BJ307" s="123"/>
      <c r="BK307" s="123"/>
      <c r="BP307" s="115"/>
      <c r="BQ307" s="115"/>
      <c r="BR307" s="115"/>
      <c r="BS307" s="115"/>
      <c r="BT307" s="115"/>
      <c r="BU307" s="115"/>
      <c r="BV307" s="115"/>
      <c r="BW307" s="115"/>
      <c r="BX307" s="115"/>
      <c r="BY307" s="115"/>
      <c r="BZ307" s="25"/>
      <c r="CA307" s="13"/>
      <c r="CD307" s="114"/>
    </row>
    <row r="308" spans="1:82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26"/>
      <c r="AB308" s="13"/>
      <c r="AK308" s="115"/>
      <c r="AL308" s="115"/>
      <c r="AM308" s="115"/>
      <c r="AN308" s="115"/>
      <c r="AO308" s="115"/>
      <c r="AP308" s="115"/>
      <c r="AQ308" s="127"/>
      <c r="AR308" s="29"/>
      <c r="BB308" s="25"/>
      <c r="BC308" s="13"/>
      <c r="BH308" s="116"/>
      <c r="BI308" s="123"/>
      <c r="BJ308" s="123"/>
      <c r="BK308" s="123"/>
      <c r="BP308" s="115"/>
      <c r="BQ308" s="115"/>
      <c r="BR308" s="115"/>
      <c r="BS308" s="115"/>
      <c r="BT308" s="115"/>
      <c r="BU308" s="115"/>
      <c r="BV308" s="115"/>
      <c r="BW308" s="115"/>
      <c r="BX308" s="115"/>
      <c r="BY308" s="115"/>
      <c r="BZ308" s="25"/>
      <c r="CA308" s="13"/>
      <c r="CD308" s="114"/>
    </row>
    <row r="309" spans="1:82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26"/>
      <c r="AB309" s="13"/>
      <c r="AK309" s="115"/>
      <c r="AL309" s="115"/>
      <c r="AM309" s="115"/>
      <c r="AN309" s="115"/>
      <c r="AO309" s="115"/>
      <c r="AP309" s="115"/>
      <c r="AQ309" s="127"/>
      <c r="AR309" s="29"/>
      <c r="BB309" s="25"/>
      <c r="BC309" s="13"/>
      <c r="BH309" s="116"/>
      <c r="BI309" s="123"/>
      <c r="BJ309" s="123"/>
      <c r="BK309" s="123"/>
      <c r="BP309" s="115"/>
      <c r="BQ309" s="115"/>
      <c r="BR309" s="115"/>
      <c r="BS309" s="115"/>
      <c r="BT309" s="115"/>
      <c r="BU309" s="115"/>
      <c r="BV309" s="115"/>
      <c r="BW309" s="115"/>
      <c r="BX309" s="115"/>
      <c r="BY309" s="115"/>
      <c r="BZ309" s="25"/>
      <c r="CA309" s="13"/>
      <c r="CD309" s="114"/>
    </row>
    <row r="310" spans="1:82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7"/>
      <c r="AB310" s="13"/>
      <c r="AK310" s="115"/>
      <c r="AL310" s="115"/>
      <c r="AM310" s="115"/>
      <c r="AN310" s="115"/>
      <c r="AO310" s="115"/>
      <c r="AP310" s="115"/>
      <c r="AQ310" s="127"/>
      <c r="AR310" s="29"/>
      <c r="BB310" s="25"/>
      <c r="BC310" s="13"/>
      <c r="BH310" s="116"/>
      <c r="BI310" s="123"/>
      <c r="BJ310" s="123"/>
      <c r="BK310" s="123"/>
      <c r="BP310" s="115"/>
      <c r="BQ310" s="115"/>
      <c r="BR310" s="115"/>
      <c r="BS310" s="115"/>
      <c r="BT310" s="115"/>
      <c r="BU310" s="115"/>
      <c r="BV310" s="115"/>
      <c r="BW310" s="115"/>
      <c r="BX310" s="115"/>
      <c r="BY310" s="115"/>
      <c r="BZ310" s="25"/>
      <c r="CA310" s="13"/>
      <c r="CD310" s="114"/>
    </row>
    <row r="311" spans="1:82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26"/>
      <c r="AB311" s="13"/>
      <c r="AK311" s="115"/>
      <c r="AL311" s="115"/>
      <c r="AM311" s="115"/>
      <c r="AN311" s="115"/>
      <c r="AO311" s="115"/>
      <c r="AP311" s="115"/>
      <c r="AQ311" s="127"/>
      <c r="AR311" s="29"/>
      <c r="BB311" s="25"/>
      <c r="BC311" s="13"/>
      <c r="BH311" s="116"/>
      <c r="BI311" s="123"/>
      <c r="BJ311" s="123"/>
      <c r="BK311" s="123"/>
      <c r="BP311" s="115"/>
      <c r="BQ311" s="115"/>
      <c r="BR311" s="115"/>
      <c r="BS311" s="115"/>
      <c r="BT311" s="115"/>
      <c r="BU311" s="115"/>
      <c r="BV311" s="115"/>
      <c r="BW311" s="115"/>
      <c r="BX311" s="115"/>
      <c r="BY311" s="115"/>
      <c r="BZ311" s="25"/>
      <c r="CA311" s="13"/>
      <c r="CD311" s="114"/>
    </row>
    <row r="312" spans="1:82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26"/>
      <c r="AB312" s="13"/>
      <c r="AK312" s="115"/>
      <c r="AL312" s="115"/>
      <c r="AM312" s="115"/>
      <c r="AN312" s="115"/>
      <c r="AO312" s="115"/>
      <c r="AP312" s="115"/>
      <c r="AQ312" s="127"/>
      <c r="AR312" s="29"/>
      <c r="BB312" s="25"/>
      <c r="BC312" s="13"/>
      <c r="BH312" s="116"/>
      <c r="BI312" s="123"/>
      <c r="BJ312" s="123"/>
      <c r="BK312" s="123"/>
      <c r="BP312" s="115"/>
      <c r="BQ312" s="115"/>
      <c r="BR312" s="115"/>
      <c r="BS312" s="115"/>
      <c r="BT312" s="115"/>
      <c r="BU312" s="115"/>
      <c r="BV312" s="115"/>
      <c r="BW312" s="115"/>
      <c r="BX312" s="115"/>
      <c r="BY312" s="115"/>
      <c r="BZ312" s="25"/>
      <c r="CA312" s="13"/>
      <c r="CD312" s="114"/>
    </row>
    <row r="313" spans="1:82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26"/>
      <c r="AB313" s="13"/>
      <c r="AK313" s="115"/>
      <c r="AL313" s="115"/>
      <c r="AM313" s="115"/>
      <c r="AN313" s="115"/>
      <c r="AO313" s="115"/>
      <c r="AP313" s="115"/>
      <c r="AQ313" s="127"/>
      <c r="AR313" s="29"/>
      <c r="BB313" s="25"/>
      <c r="BC313" s="13"/>
      <c r="BH313" s="116"/>
      <c r="BI313" s="123"/>
      <c r="BJ313" s="123"/>
      <c r="BK313" s="123"/>
      <c r="BP313" s="115"/>
      <c r="BQ313" s="115"/>
      <c r="BR313" s="115"/>
      <c r="BS313" s="115"/>
      <c r="BT313" s="115"/>
      <c r="BU313" s="115"/>
      <c r="BV313" s="115"/>
      <c r="BW313" s="115"/>
      <c r="BX313" s="115"/>
      <c r="BY313" s="115"/>
      <c r="BZ313" s="25"/>
      <c r="CA313" s="13"/>
      <c r="CD313" s="114"/>
    </row>
    <row r="314" spans="1:82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26"/>
      <c r="AB314" s="13"/>
      <c r="AK314" s="115"/>
      <c r="AL314" s="115"/>
      <c r="AM314" s="115"/>
      <c r="AN314" s="115"/>
      <c r="AO314" s="115"/>
      <c r="AP314" s="115"/>
      <c r="AQ314" s="127"/>
      <c r="AR314" s="29"/>
      <c r="BB314" s="25"/>
      <c r="BC314" s="13"/>
      <c r="BH314" s="116"/>
      <c r="BI314" s="123"/>
      <c r="BJ314" s="123"/>
      <c r="BK314" s="123"/>
      <c r="BP314" s="115"/>
      <c r="BQ314" s="115"/>
      <c r="BR314" s="115"/>
      <c r="BS314" s="115"/>
      <c r="BT314" s="115"/>
      <c r="BU314" s="115"/>
      <c r="BV314" s="115"/>
      <c r="BW314" s="115"/>
      <c r="BX314" s="115"/>
      <c r="BY314" s="115"/>
      <c r="BZ314" s="25"/>
      <c r="CA314" s="13"/>
      <c r="CD314" s="114"/>
    </row>
    <row r="315" spans="1:82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7"/>
      <c r="AB315" s="13"/>
      <c r="AK315" s="115"/>
      <c r="AL315" s="115"/>
      <c r="AM315" s="115"/>
      <c r="AN315" s="115"/>
      <c r="AO315" s="115"/>
      <c r="AP315" s="115"/>
      <c r="AQ315" s="127"/>
      <c r="AR315" s="29"/>
      <c r="BB315" s="25"/>
      <c r="BC315" s="13"/>
      <c r="BH315" s="116"/>
      <c r="BI315" s="123"/>
      <c r="BJ315" s="123"/>
      <c r="BK315" s="123"/>
      <c r="BP315" s="115"/>
      <c r="BQ315" s="115"/>
      <c r="BR315" s="115"/>
      <c r="BS315" s="115"/>
      <c r="BT315" s="115"/>
      <c r="BU315" s="115"/>
      <c r="BV315" s="115"/>
      <c r="BW315" s="115"/>
      <c r="BX315" s="115"/>
      <c r="BY315" s="115"/>
      <c r="BZ315" s="25"/>
      <c r="CA315" s="13"/>
      <c r="CD315" s="114"/>
    </row>
    <row r="316" spans="1:82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26"/>
      <c r="AB316" s="13"/>
      <c r="AK316" s="115"/>
      <c r="AL316" s="115"/>
      <c r="AM316" s="115"/>
      <c r="AN316" s="115"/>
      <c r="AO316" s="115"/>
      <c r="AP316" s="115"/>
      <c r="AQ316" s="127"/>
      <c r="AR316" s="29"/>
      <c r="BB316" s="25"/>
      <c r="BC316" s="13"/>
      <c r="BH316" s="116"/>
      <c r="BI316" s="123"/>
      <c r="BJ316" s="123"/>
      <c r="BK316" s="123"/>
      <c r="BP316" s="115"/>
      <c r="BQ316" s="115"/>
      <c r="BR316" s="115"/>
      <c r="BS316" s="115"/>
      <c r="BT316" s="115"/>
      <c r="BU316" s="115"/>
      <c r="BV316" s="115"/>
      <c r="BW316" s="115"/>
      <c r="BX316" s="115"/>
      <c r="BY316" s="115"/>
      <c r="BZ316" s="25"/>
      <c r="CA316" s="13"/>
      <c r="CD316" s="114"/>
    </row>
    <row r="317" spans="1:82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20"/>
      <c r="AB317" s="13"/>
      <c r="AK317" s="115"/>
      <c r="AL317" s="115"/>
      <c r="AM317" s="115"/>
      <c r="AN317" s="115"/>
      <c r="AO317" s="115"/>
      <c r="AP317" s="115"/>
      <c r="AQ317" s="127"/>
      <c r="AR317" s="29"/>
      <c r="BB317" s="25"/>
      <c r="BC317" s="13"/>
      <c r="BH317" s="116"/>
      <c r="BI317" s="123"/>
      <c r="BJ317" s="123"/>
      <c r="BK317" s="123"/>
      <c r="BP317" s="115"/>
      <c r="BQ317" s="115"/>
      <c r="BR317" s="115"/>
      <c r="BS317" s="115"/>
      <c r="BT317" s="115"/>
      <c r="BU317" s="115"/>
      <c r="BV317" s="115"/>
      <c r="BW317" s="115"/>
      <c r="BX317" s="115"/>
      <c r="BY317" s="115"/>
      <c r="BZ317" s="25"/>
      <c r="CA317" s="13"/>
      <c r="CD317" s="114"/>
    </row>
    <row r="318" spans="1:82" ht="20.100000000000001" customHeight="1" x14ac:dyDescent="0.4">
      <c r="A318" s="117"/>
      <c r="B318" s="123"/>
      <c r="C318" s="123"/>
      <c r="D318" s="123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20"/>
      <c r="AB318" s="13"/>
      <c r="AK318" s="115"/>
      <c r="AL318" s="115"/>
      <c r="AM318" s="115"/>
      <c r="AN318" s="115"/>
      <c r="AO318" s="115"/>
      <c r="AP318" s="115"/>
      <c r="AQ318" s="127"/>
      <c r="AR318" s="29"/>
      <c r="BB318" s="25"/>
      <c r="BC318" s="13"/>
      <c r="BH318" s="116"/>
      <c r="BI318" s="123"/>
      <c r="BJ318" s="123"/>
      <c r="BK318" s="123"/>
      <c r="BP318" s="115"/>
      <c r="BQ318" s="115"/>
      <c r="BR318" s="115"/>
      <c r="BS318" s="115"/>
      <c r="BT318" s="115"/>
      <c r="BU318" s="115"/>
      <c r="BV318" s="115"/>
      <c r="BW318" s="115"/>
      <c r="BX318" s="115"/>
      <c r="BY318" s="115"/>
      <c r="BZ318" s="25"/>
      <c r="CA318" s="13"/>
      <c r="CD318" s="114"/>
    </row>
    <row r="319" spans="1:82" ht="20.100000000000001" customHeight="1" x14ac:dyDescent="0.4">
      <c r="A319" s="117"/>
      <c r="B319" s="123"/>
      <c r="C319" s="123"/>
      <c r="D319" s="123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20"/>
      <c r="AB319" s="13"/>
      <c r="AK319" s="115"/>
      <c r="AL319" s="115"/>
      <c r="AM319" s="115"/>
      <c r="AN319" s="115"/>
      <c r="AO319" s="115"/>
      <c r="AP319" s="115"/>
      <c r="AQ319" s="127"/>
      <c r="AR319" s="29"/>
      <c r="BB319" s="25"/>
      <c r="BC319" s="13"/>
      <c r="BH319" s="116"/>
      <c r="BI319" s="123"/>
      <c r="BJ319" s="123"/>
      <c r="BK319" s="123"/>
      <c r="BP319" s="115"/>
      <c r="BQ319" s="115"/>
      <c r="BR319" s="115"/>
      <c r="BS319" s="115"/>
      <c r="BT319" s="115"/>
      <c r="BU319" s="115"/>
      <c r="BV319" s="115"/>
      <c r="BW319" s="115"/>
      <c r="BX319" s="115"/>
      <c r="BY319" s="115"/>
      <c r="BZ319" s="25"/>
      <c r="CA319" s="13"/>
      <c r="CD319" s="114"/>
    </row>
    <row r="320" spans="1:82" ht="20.100000000000001" customHeight="1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20"/>
      <c r="AB320" s="13"/>
      <c r="AK320" s="115"/>
      <c r="AL320" s="115"/>
      <c r="AM320" s="115"/>
      <c r="AN320" s="115"/>
      <c r="AO320" s="115"/>
      <c r="AP320" s="115"/>
      <c r="AQ320" s="127"/>
      <c r="AR320" s="29"/>
      <c r="BB320" s="25"/>
      <c r="BC320" s="13"/>
      <c r="BH320" s="116"/>
      <c r="BI320" s="123"/>
      <c r="BJ320" s="123"/>
      <c r="BK320" s="123"/>
      <c r="BP320" s="115"/>
      <c r="BQ320" s="115"/>
      <c r="BR320" s="115"/>
      <c r="BS320" s="115"/>
      <c r="BT320" s="115"/>
      <c r="BU320" s="115"/>
      <c r="BV320" s="115"/>
      <c r="BW320" s="115"/>
      <c r="BX320" s="115"/>
      <c r="BY320" s="115"/>
      <c r="BZ320" s="25"/>
      <c r="CA320" s="13"/>
      <c r="CD320" s="114"/>
    </row>
    <row r="321" spans="1:82" ht="20.100000000000001" customHeight="1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25"/>
      <c r="AB321" s="13"/>
      <c r="AK321" s="115"/>
      <c r="AL321" s="115"/>
      <c r="AM321" s="115"/>
      <c r="AN321" s="115"/>
      <c r="AO321" s="115"/>
      <c r="AP321" s="115"/>
      <c r="AQ321" s="127"/>
      <c r="AR321" s="29"/>
      <c r="BB321" s="25"/>
      <c r="BC321" s="13"/>
      <c r="BH321" s="116"/>
      <c r="BI321" s="123"/>
      <c r="BJ321" s="123"/>
      <c r="BK321" s="123"/>
      <c r="BP321" s="115"/>
      <c r="BQ321" s="115"/>
      <c r="BR321" s="115"/>
      <c r="BS321" s="115"/>
      <c r="BT321" s="115"/>
      <c r="BU321" s="115"/>
      <c r="BV321" s="115"/>
      <c r="BW321" s="115"/>
      <c r="BX321" s="115"/>
      <c r="BY321" s="115"/>
      <c r="BZ321" s="25"/>
      <c r="CA321" s="13"/>
      <c r="CD321" s="114"/>
    </row>
    <row r="322" spans="1:82" ht="20.100000000000001" customHeight="1" x14ac:dyDescent="0.4">
      <c r="A322" s="117"/>
      <c r="B322" s="123"/>
      <c r="C322" s="123"/>
      <c r="D322" s="123"/>
      <c r="AA322" s="25"/>
      <c r="AB322" s="13"/>
      <c r="AK322" s="115"/>
      <c r="AL322" s="115"/>
      <c r="AM322" s="115"/>
      <c r="AN322" s="115"/>
      <c r="AO322" s="115"/>
      <c r="AP322" s="115"/>
      <c r="AQ322" s="127"/>
      <c r="AR322" s="29"/>
      <c r="BB322" s="25"/>
      <c r="BC322" s="13"/>
      <c r="BH322" s="116"/>
      <c r="BI322" s="123"/>
      <c r="BJ322" s="123"/>
      <c r="BK322" s="123"/>
      <c r="BP322" s="115"/>
      <c r="BQ322" s="115"/>
      <c r="BR322" s="115"/>
      <c r="BS322" s="115"/>
      <c r="BT322" s="115"/>
      <c r="BU322" s="115"/>
      <c r="BV322" s="115"/>
      <c r="BW322" s="115"/>
      <c r="BX322" s="115"/>
      <c r="BY322" s="115"/>
      <c r="BZ322" s="25"/>
      <c r="CA322" s="13"/>
      <c r="CD322" s="114"/>
    </row>
    <row r="323" spans="1:82" ht="20.100000000000001" customHeight="1" x14ac:dyDescent="0.4">
      <c r="A323" s="117"/>
      <c r="B323" s="123"/>
      <c r="C323" s="123"/>
      <c r="D323" s="123"/>
      <c r="AA323" s="25"/>
      <c r="AB323" s="13"/>
      <c r="AK323" s="115"/>
      <c r="AL323" s="115"/>
      <c r="AM323" s="115"/>
      <c r="AN323" s="115"/>
      <c r="AO323" s="115"/>
      <c r="AP323" s="115"/>
      <c r="AQ323" s="29"/>
      <c r="AR323" s="29"/>
      <c r="BB323" s="25"/>
      <c r="BC323" s="13"/>
      <c r="BH323" s="116"/>
      <c r="BI323" s="123"/>
      <c r="BJ323" s="123"/>
      <c r="BK323" s="123"/>
      <c r="BP323" s="115"/>
      <c r="BQ323" s="115"/>
      <c r="BR323" s="115"/>
      <c r="BS323" s="115"/>
      <c r="BT323" s="115"/>
      <c r="BU323" s="115"/>
      <c r="BV323" s="115"/>
      <c r="BW323" s="115"/>
      <c r="BX323" s="115"/>
      <c r="BY323" s="115"/>
      <c r="BZ323" s="25"/>
      <c r="CA323" s="13"/>
      <c r="CD323" s="114"/>
    </row>
    <row r="324" spans="1:82" ht="20.100000000000001" customHeight="1" x14ac:dyDescent="0.4">
      <c r="A324" s="117"/>
      <c r="B324" s="123"/>
      <c r="C324" s="123"/>
      <c r="D324" s="123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25"/>
      <c r="AB324" s="13"/>
      <c r="AK324" s="115"/>
      <c r="AL324" s="115"/>
      <c r="AM324" s="115"/>
      <c r="AN324" s="115"/>
      <c r="AO324" s="115"/>
      <c r="AP324" s="115"/>
      <c r="AQ324" s="29"/>
      <c r="AR324" s="29"/>
      <c r="BB324" s="25"/>
      <c r="BC324" s="13"/>
      <c r="BH324" s="116"/>
      <c r="BI324" s="123"/>
      <c r="BJ324" s="123"/>
      <c r="BK324" s="123"/>
      <c r="BP324" s="115"/>
      <c r="BQ324" s="115"/>
      <c r="BR324" s="115"/>
      <c r="BS324" s="115"/>
      <c r="BT324" s="115"/>
      <c r="BU324" s="115"/>
      <c r="BV324" s="115"/>
      <c r="BW324" s="115"/>
      <c r="BX324" s="115"/>
      <c r="BY324" s="115"/>
      <c r="BZ324" s="25"/>
      <c r="CA324" s="13"/>
      <c r="CD324" s="114"/>
    </row>
    <row r="325" spans="1:82" ht="20.100000000000001" customHeight="1" x14ac:dyDescent="0.4">
      <c r="A325" s="117"/>
      <c r="B325" s="123"/>
      <c r="C325" s="123"/>
      <c r="D325" s="123"/>
      <c r="AA325" s="25"/>
      <c r="AB325" s="13"/>
      <c r="AK325" s="115"/>
      <c r="AL325" s="115"/>
      <c r="AM325" s="115"/>
      <c r="AN325" s="115"/>
      <c r="AO325" s="115"/>
      <c r="AP325" s="115"/>
      <c r="AQ325" s="127"/>
      <c r="AR325" s="29"/>
      <c r="BB325" s="25"/>
      <c r="BC325" s="13"/>
      <c r="BH325" s="116"/>
      <c r="BI325" s="123"/>
      <c r="BJ325" s="123"/>
      <c r="BK325" s="123"/>
      <c r="BP325" s="115"/>
      <c r="BQ325" s="115"/>
      <c r="BR325" s="115"/>
      <c r="BS325" s="115"/>
      <c r="BT325" s="115"/>
      <c r="BU325" s="115"/>
      <c r="BV325" s="115"/>
      <c r="BW325" s="115"/>
      <c r="BX325" s="115"/>
      <c r="BY325" s="115"/>
      <c r="BZ325" s="25"/>
      <c r="CA325" s="13"/>
      <c r="CD325" s="114"/>
    </row>
    <row r="326" spans="1:82" ht="20.100000000000001" customHeight="1" x14ac:dyDescent="0.4">
      <c r="A326" s="117"/>
      <c r="B326" s="123"/>
      <c r="C326" s="123"/>
      <c r="D326" s="12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25"/>
      <c r="AB326" s="13"/>
      <c r="AK326" s="115"/>
      <c r="AL326" s="115"/>
      <c r="AM326" s="115"/>
      <c r="AN326" s="115"/>
      <c r="AO326" s="115"/>
      <c r="AP326" s="115"/>
      <c r="AQ326" s="127"/>
      <c r="AR326" s="29"/>
      <c r="BB326" s="25"/>
      <c r="BC326" s="13"/>
      <c r="BH326" s="116"/>
      <c r="BI326" s="123"/>
      <c r="BJ326" s="123"/>
      <c r="BK326" s="123"/>
      <c r="BP326" s="115"/>
      <c r="BQ326" s="115"/>
      <c r="BR326" s="115"/>
      <c r="BS326" s="115"/>
      <c r="BT326" s="115"/>
      <c r="BU326" s="115"/>
      <c r="BV326" s="115"/>
      <c r="BW326" s="115"/>
      <c r="BX326" s="115"/>
      <c r="BY326" s="115"/>
      <c r="BZ326" s="25"/>
      <c r="CA326" s="13"/>
      <c r="CD326" s="114"/>
    </row>
    <row r="327" spans="1:82" ht="20.100000000000001" customHeight="1" x14ac:dyDescent="0.4">
      <c r="A327" s="117"/>
      <c r="B327" s="123"/>
      <c r="C327" s="123"/>
      <c r="D327" s="123"/>
      <c r="AA327" s="25"/>
      <c r="AB327" s="13"/>
      <c r="AK327" s="115"/>
      <c r="AL327" s="115"/>
      <c r="AM327" s="115"/>
      <c r="AN327" s="115"/>
      <c r="AO327" s="115"/>
      <c r="AP327" s="115"/>
      <c r="AQ327" s="29"/>
      <c r="AR327" s="29"/>
      <c r="BB327" s="25"/>
      <c r="BC327" s="13"/>
      <c r="BH327" s="116"/>
      <c r="BI327" s="123"/>
      <c r="BJ327" s="123"/>
      <c r="BK327" s="123"/>
      <c r="BP327" s="115"/>
      <c r="BQ327" s="115"/>
      <c r="BR327" s="115"/>
      <c r="BS327" s="115"/>
      <c r="BT327" s="115"/>
      <c r="BU327" s="115"/>
      <c r="BV327" s="115"/>
      <c r="BW327" s="115"/>
      <c r="BX327" s="115"/>
      <c r="BY327" s="115"/>
      <c r="BZ327" s="25"/>
      <c r="CA327" s="13"/>
      <c r="CD327" s="114"/>
    </row>
    <row r="328" spans="1:82" ht="20.100000000000001" customHeight="1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25"/>
      <c r="AB328" s="13"/>
      <c r="AK328" s="115"/>
      <c r="AL328" s="115"/>
      <c r="AM328" s="115"/>
      <c r="AN328" s="115"/>
      <c r="AO328" s="115"/>
      <c r="AP328" s="115"/>
      <c r="AQ328" s="29"/>
      <c r="AR328" s="29"/>
      <c r="BB328" s="25"/>
      <c r="BC328" s="13"/>
      <c r="BH328" s="116"/>
      <c r="BI328" s="123"/>
      <c r="BJ328" s="123"/>
      <c r="BK328" s="123"/>
      <c r="BP328" s="115"/>
      <c r="BQ328" s="115"/>
      <c r="BR328" s="115"/>
      <c r="BS328" s="115"/>
      <c r="BT328" s="115"/>
      <c r="BU328" s="115"/>
      <c r="BV328" s="115"/>
      <c r="BW328" s="115"/>
      <c r="BX328" s="115"/>
      <c r="BY328" s="115"/>
      <c r="BZ328" s="25"/>
      <c r="CA328" s="13"/>
      <c r="CD328" s="114"/>
    </row>
    <row r="329" spans="1:82" ht="20.100000000000001" customHeight="1" x14ac:dyDescent="0.4">
      <c r="A329" s="117"/>
      <c r="B329" s="123"/>
      <c r="C329" s="123"/>
      <c r="D329" s="123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25"/>
      <c r="AB329" s="13"/>
      <c r="AK329" s="115"/>
      <c r="AL329" s="115"/>
      <c r="AM329" s="115"/>
      <c r="AN329" s="115"/>
      <c r="AO329" s="115"/>
      <c r="AP329" s="115"/>
      <c r="AQ329" s="29"/>
      <c r="AR329" s="29"/>
      <c r="BB329" s="25"/>
      <c r="BC329" s="13"/>
      <c r="BH329" s="116"/>
      <c r="BI329" s="123"/>
      <c r="BJ329" s="123"/>
      <c r="BK329" s="123"/>
      <c r="BP329" s="115"/>
      <c r="BQ329" s="115"/>
      <c r="BR329" s="115"/>
      <c r="BS329" s="115"/>
      <c r="BT329" s="115"/>
      <c r="BU329" s="115"/>
      <c r="BV329" s="115"/>
      <c r="BW329" s="115"/>
      <c r="BX329" s="115"/>
      <c r="BY329" s="115"/>
      <c r="BZ329" s="25"/>
      <c r="CA329" s="13"/>
      <c r="CD329" s="114"/>
    </row>
    <row r="330" spans="1:82" ht="20.100000000000001" customHeight="1" x14ac:dyDescent="0.4">
      <c r="A330" s="117"/>
      <c r="B330" s="123"/>
      <c r="C330" s="123"/>
      <c r="D330" s="123"/>
      <c r="AA330" s="25"/>
      <c r="AB330" s="13"/>
      <c r="AK330" s="115"/>
      <c r="AL330" s="115"/>
      <c r="AM330" s="115"/>
      <c r="AN330" s="115"/>
      <c r="AO330" s="115"/>
      <c r="AP330" s="115"/>
      <c r="AQ330" s="127"/>
      <c r="AR330" s="29"/>
      <c r="BB330" s="25"/>
      <c r="BC330" s="13"/>
      <c r="BH330" s="116"/>
      <c r="BI330" s="123"/>
      <c r="BJ330" s="123"/>
      <c r="BK330" s="123"/>
      <c r="BP330" s="115"/>
      <c r="BQ330" s="115"/>
      <c r="BR330" s="115"/>
      <c r="BS330" s="115"/>
      <c r="BT330" s="115"/>
      <c r="BU330" s="115"/>
      <c r="BV330" s="115"/>
      <c r="BW330" s="115"/>
      <c r="BX330" s="115"/>
      <c r="BY330" s="115"/>
      <c r="BZ330" s="25"/>
      <c r="CA330" s="13"/>
      <c r="CD330" s="114"/>
    </row>
    <row r="331" spans="1:82" ht="20.100000000000001" customHeight="1" x14ac:dyDescent="0.4">
      <c r="A331" s="117"/>
      <c r="B331" s="123"/>
      <c r="C331" s="123"/>
      <c r="D331" s="123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25"/>
      <c r="AB331" s="13"/>
      <c r="AK331" s="115"/>
      <c r="AL331" s="115"/>
      <c r="AM331" s="115"/>
      <c r="AN331" s="115"/>
      <c r="AO331" s="115"/>
      <c r="AP331" s="115"/>
      <c r="AQ331" s="127"/>
      <c r="AR331" s="29"/>
      <c r="BB331" s="25"/>
      <c r="BC331" s="13"/>
      <c r="BH331" s="116"/>
      <c r="BI331" s="123"/>
      <c r="BJ331" s="123"/>
      <c r="BK331" s="123"/>
      <c r="BP331" s="115"/>
      <c r="BQ331" s="115"/>
      <c r="BR331" s="115"/>
      <c r="BS331" s="115"/>
      <c r="BT331" s="115"/>
      <c r="BU331" s="115"/>
      <c r="BV331" s="115"/>
      <c r="BW331" s="115"/>
      <c r="BX331" s="115"/>
      <c r="BY331" s="115"/>
      <c r="BZ331" s="25"/>
      <c r="CA331" s="13"/>
      <c r="CD331" s="114"/>
    </row>
    <row r="332" spans="1:82" ht="20.100000000000001" customHeight="1" x14ac:dyDescent="0.4">
      <c r="A332" s="117"/>
      <c r="B332" s="123"/>
      <c r="C332" s="123"/>
      <c r="D332" s="123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25"/>
      <c r="AB332" s="13"/>
      <c r="AK332" s="115"/>
      <c r="AL332" s="115"/>
      <c r="AM332" s="115"/>
      <c r="AN332" s="115"/>
      <c r="AO332" s="115"/>
      <c r="AP332" s="115"/>
      <c r="AQ332" s="127"/>
      <c r="AR332" s="29"/>
      <c r="BB332" s="25"/>
      <c r="BC332" s="13"/>
      <c r="BH332" s="116"/>
      <c r="BI332" s="123"/>
      <c r="BJ332" s="123"/>
      <c r="BK332" s="123"/>
      <c r="BP332" s="115"/>
      <c r="BQ332" s="115"/>
      <c r="BR332" s="115"/>
      <c r="BS332" s="115"/>
      <c r="BT332" s="115"/>
      <c r="BU332" s="115"/>
      <c r="BV332" s="115"/>
      <c r="BW332" s="115"/>
      <c r="BX332" s="115"/>
      <c r="BY332" s="115"/>
      <c r="BZ332" s="25"/>
      <c r="CA332" s="13"/>
      <c r="CD332" s="114"/>
    </row>
    <row r="333" spans="1:82" ht="20.100000000000001" customHeight="1" x14ac:dyDescent="0.4">
      <c r="A333" s="117"/>
      <c r="B333" s="123"/>
      <c r="C333" s="123"/>
      <c r="D333" s="123"/>
      <c r="AA333" s="25"/>
      <c r="AB333" s="13"/>
      <c r="AK333" s="115"/>
      <c r="AL333" s="115"/>
      <c r="AM333" s="115"/>
      <c r="AN333" s="115"/>
      <c r="AO333" s="115"/>
      <c r="AP333" s="115"/>
      <c r="AQ333" s="127"/>
      <c r="AR333" s="29"/>
      <c r="BB333" s="25"/>
      <c r="BC333" s="13"/>
      <c r="BH333" s="116"/>
      <c r="BI333" s="123"/>
      <c r="BJ333" s="123"/>
      <c r="BK333" s="123"/>
      <c r="BP333" s="115"/>
      <c r="BQ333" s="115"/>
      <c r="BR333" s="115"/>
      <c r="BS333" s="115"/>
      <c r="BT333" s="115"/>
      <c r="BU333" s="115"/>
      <c r="BV333" s="115"/>
      <c r="BW333" s="115"/>
      <c r="BX333" s="115"/>
      <c r="BY333" s="115"/>
      <c r="BZ333" s="25"/>
      <c r="CA333" s="13"/>
      <c r="CD333" s="114"/>
    </row>
    <row r="334" spans="1:82" ht="20.100000000000001" customHeight="1" x14ac:dyDescent="0.4">
      <c r="A334" s="117"/>
      <c r="B334" s="123"/>
      <c r="C334" s="123"/>
      <c r="D334" s="123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25"/>
      <c r="AB334" s="13"/>
      <c r="AK334" s="115"/>
      <c r="AL334" s="115"/>
      <c r="AM334" s="115"/>
      <c r="AN334" s="115"/>
      <c r="AO334" s="115"/>
      <c r="AP334" s="115"/>
      <c r="AQ334" s="127"/>
      <c r="AR334" s="29"/>
      <c r="BB334" s="25"/>
      <c r="BC334" s="13"/>
      <c r="BH334" s="116"/>
      <c r="BI334" s="123"/>
      <c r="BJ334" s="123"/>
      <c r="BK334" s="123"/>
      <c r="BP334" s="115"/>
      <c r="BQ334" s="115"/>
      <c r="BR334" s="115"/>
      <c r="BS334" s="115"/>
      <c r="BT334" s="115"/>
      <c r="BU334" s="115"/>
      <c r="BV334" s="115"/>
      <c r="BW334" s="115"/>
      <c r="BX334" s="115"/>
      <c r="BY334" s="115"/>
      <c r="BZ334" s="25"/>
      <c r="CA334" s="13"/>
      <c r="CD334" s="114"/>
    </row>
    <row r="335" spans="1:82" ht="20.100000000000001" customHeight="1" x14ac:dyDescent="0.4">
      <c r="A335" s="117"/>
      <c r="B335" s="123"/>
      <c r="C335" s="123"/>
      <c r="D335" s="123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25"/>
      <c r="AB335" s="13"/>
      <c r="AK335" s="115"/>
      <c r="AL335" s="115"/>
      <c r="AM335" s="115"/>
      <c r="AN335" s="115"/>
      <c r="AO335" s="115"/>
      <c r="AP335" s="115"/>
      <c r="AQ335" s="127"/>
      <c r="AR335" s="29"/>
      <c r="BB335" s="25"/>
      <c r="BC335" s="13"/>
      <c r="BH335" s="116"/>
      <c r="BI335" s="123"/>
      <c r="BJ335" s="123"/>
      <c r="BK335" s="123"/>
      <c r="BP335" s="115"/>
      <c r="BQ335" s="115"/>
      <c r="BR335" s="115"/>
      <c r="BS335" s="115"/>
      <c r="BT335" s="115"/>
      <c r="BU335" s="115"/>
      <c r="BV335" s="115"/>
      <c r="BW335" s="115"/>
      <c r="BX335" s="115"/>
      <c r="BY335" s="115"/>
      <c r="BZ335" s="25"/>
      <c r="CA335" s="13"/>
      <c r="CD335" s="114"/>
    </row>
    <row r="336" spans="1:82" ht="20.100000000000001" customHeight="1" x14ac:dyDescent="0.4">
      <c r="A336" s="117"/>
      <c r="B336" s="123"/>
      <c r="C336" s="123"/>
      <c r="D336" s="123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26"/>
      <c r="AB336" s="13"/>
      <c r="AK336" s="115"/>
      <c r="AL336" s="115"/>
      <c r="AM336" s="115"/>
      <c r="AN336" s="115"/>
      <c r="AO336" s="115"/>
      <c r="AP336" s="115"/>
      <c r="AQ336" s="127"/>
      <c r="AR336" s="29"/>
      <c r="BB336" s="25"/>
      <c r="BC336" s="13"/>
      <c r="BH336" s="116"/>
      <c r="BI336" s="123"/>
      <c r="BJ336" s="123"/>
      <c r="BK336" s="123"/>
      <c r="BP336" s="115"/>
      <c r="BQ336" s="115"/>
      <c r="BR336" s="115"/>
      <c r="BS336" s="115"/>
      <c r="BT336" s="115"/>
      <c r="BU336" s="115"/>
      <c r="BV336" s="115"/>
      <c r="BW336" s="115"/>
      <c r="BX336" s="115"/>
      <c r="BY336" s="115"/>
      <c r="BZ336" s="25"/>
      <c r="CA336" s="13"/>
      <c r="CD336" s="114"/>
    </row>
    <row r="337" spans="1:82" ht="20.100000000000001" customHeight="1" x14ac:dyDescent="0.4">
      <c r="A337" s="117"/>
      <c r="B337" s="123"/>
      <c r="C337" s="123"/>
      <c r="D337" s="123"/>
      <c r="AA337" s="26"/>
      <c r="AB337" s="13"/>
      <c r="AK337" s="115"/>
      <c r="AL337" s="115"/>
      <c r="AM337" s="115"/>
      <c r="AN337" s="115"/>
      <c r="AO337" s="115"/>
      <c r="AP337" s="115"/>
      <c r="AQ337" s="29"/>
      <c r="AR337" s="29"/>
      <c r="BB337" s="25"/>
      <c r="BC337" s="13"/>
      <c r="BH337" s="116"/>
      <c r="BI337" s="123"/>
      <c r="BJ337" s="123"/>
      <c r="BK337" s="123"/>
      <c r="BP337" s="115"/>
      <c r="BQ337" s="115"/>
      <c r="BR337" s="115"/>
      <c r="BS337" s="115"/>
      <c r="BT337" s="115"/>
      <c r="BU337" s="115"/>
      <c r="BV337" s="115"/>
      <c r="BW337" s="115"/>
      <c r="BX337" s="115"/>
      <c r="BY337" s="115"/>
      <c r="BZ337" s="25"/>
      <c r="CA337" s="13"/>
      <c r="CD337" s="114"/>
    </row>
    <row r="338" spans="1:82" ht="20.100000000000001" customHeight="1" x14ac:dyDescent="0.4">
      <c r="A338" s="117"/>
      <c r="B338" s="123"/>
      <c r="C338" s="123"/>
      <c r="D338" s="123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7"/>
      <c r="AB338" s="13"/>
      <c r="AK338" s="115"/>
      <c r="AL338" s="115"/>
      <c r="AM338" s="115"/>
      <c r="AN338" s="115"/>
      <c r="AO338" s="115"/>
      <c r="AP338" s="115"/>
      <c r="AQ338" s="29"/>
      <c r="AR338" s="29"/>
      <c r="BB338" s="25"/>
      <c r="BC338" s="13"/>
      <c r="BH338" s="116"/>
      <c r="BI338" s="123"/>
      <c r="BJ338" s="123"/>
      <c r="BK338" s="123"/>
      <c r="BP338" s="115"/>
      <c r="BQ338" s="115"/>
      <c r="BR338" s="115"/>
      <c r="BS338" s="115"/>
      <c r="BT338" s="115"/>
      <c r="BU338" s="115"/>
      <c r="BV338" s="115"/>
      <c r="BW338" s="115"/>
      <c r="BX338" s="115"/>
      <c r="BY338" s="115"/>
      <c r="BZ338" s="25"/>
      <c r="CA338" s="13"/>
      <c r="CD338" s="114"/>
    </row>
    <row r="339" spans="1:82" ht="20.100000000000001" customHeight="1" x14ac:dyDescent="0.4">
      <c r="A339" s="117"/>
      <c r="B339" s="123"/>
      <c r="C339" s="123"/>
      <c r="D339" s="123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26"/>
      <c r="AB339" s="13"/>
      <c r="AK339" s="115"/>
      <c r="AL339" s="115"/>
      <c r="AM339" s="115"/>
      <c r="AN339" s="115"/>
      <c r="AO339" s="115"/>
      <c r="AP339" s="115"/>
      <c r="AQ339" s="29"/>
      <c r="AR339" s="29"/>
      <c r="BB339" s="25"/>
      <c r="BC339" s="13"/>
      <c r="BH339" s="116"/>
      <c r="BI339" s="123"/>
      <c r="BJ339" s="123"/>
      <c r="BK339" s="123"/>
      <c r="BP339" s="115"/>
      <c r="BQ339" s="115"/>
      <c r="BR339" s="115"/>
      <c r="BS339" s="115"/>
      <c r="BT339" s="115"/>
      <c r="BU339" s="115"/>
      <c r="BV339" s="115"/>
      <c r="BW339" s="115"/>
      <c r="BX339" s="115"/>
      <c r="BY339" s="115"/>
      <c r="BZ339" s="25"/>
      <c r="CA339" s="13"/>
      <c r="CD339" s="114"/>
    </row>
    <row r="340" spans="1:82" ht="20.100000000000001" customHeight="1" x14ac:dyDescent="0.4">
      <c r="A340" s="117"/>
      <c r="B340" s="123"/>
      <c r="C340" s="123"/>
      <c r="D340" s="123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26"/>
      <c r="AB340" s="13"/>
      <c r="AK340" s="115"/>
      <c r="AL340" s="115"/>
      <c r="AM340" s="115"/>
      <c r="AN340" s="115"/>
      <c r="AO340" s="115"/>
      <c r="AP340" s="115"/>
      <c r="AQ340" s="29"/>
      <c r="AR340" s="29"/>
      <c r="BB340" s="25"/>
      <c r="BC340" s="13"/>
      <c r="BH340" s="116"/>
      <c r="BI340" s="123"/>
      <c r="BJ340" s="123"/>
      <c r="BK340" s="123"/>
      <c r="BP340" s="115"/>
      <c r="BQ340" s="115"/>
      <c r="BR340" s="115"/>
      <c r="BS340" s="115"/>
      <c r="BT340" s="115"/>
      <c r="BU340" s="115"/>
      <c r="BV340" s="115"/>
      <c r="BW340" s="115"/>
      <c r="BX340" s="115"/>
      <c r="BY340" s="115"/>
      <c r="BZ340" s="25"/>
      <c r="CA340" s="13"/>
      <c r="CD340" s="114"/>
    </row>
    <row r="341" spans="1:82" ht="20.100000000000001" customHeight="1" x14ac:dyDescent="0.4">
      <c r="A341" s="117"/>
      <c r="B341" s="123"/>
      <c r="C341" s="123"/>
      <c r="D341" s="123"/>
      <c r="AA341" s="26"/>
      <c r="AB341" s="13"/>
      <c r="AJ341" s="115"/>
      <c r="AK341" s="115"/>
      <c r="AL341" s="115"/>
      <c r="AM341" s="115"/>
      <c r="AN341" s="115"/>
      <c r="AO341" s="115"/>
      <c r="AP341" s="115"/>
      <c r="AQ341" s="127"/>
      <c r="AR341" s="29"/>
      <c r="BB341" s="25"/>
      <c r="BC341" s="13"/>
      <c r="BH341" s="116"/>
      <c r="BI341" s="123"/>
      <c r="BJ341" s="123"/>
      <c r="BK341" s="123"/>
      <c r="BP341" s="115"/>
      <c r="BQ341" s="115"/>
      <c r="BR341" s="115"/>
      <c r="BS341" s="115"/>
      <c r="BT341" s="115"/>
      <c r="BU341" s="115"/>
      <c r="BV341" s="115"/>
      <c r="BW341" s="115"/>
      <c r="BX341" s="115"/>
      <c r="BY341" s="115"/>
      <c r="BZ341" s="25"/>
      <c r="CA341" s="13"/>
      <c r="CD341" s="114"/>
    </row>
    <row r="342" spans="1:82" ht="20.100000000000001" customHeight="1" x14ac:dyDescent="0.4">
      <c r="A342" s="117"/>
      <c r="B342" s="123"/>
      <c r="C342" s="123"/>
      <c r="D342" s="123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26"/>
      <c r="AB342" s="13"/>
      <c r="AJ342" s="115"/>
      <c r="AK342" s="115"/>
      <c r="AL342" s="115"/>
      <c r="AM342" s="115"/>
      <c r="AN342" s="115"/>
      <c r="AO342" s="115"/>
      <c r="AP342" s="115"/>
      <c r="AQ342" s="127"/>
      <c r="AR342" s="29"/>
      <c r="BB342" s="25"/>
      <c r="BC342" s="13"/>
      <c r="BH342" s="116"/>
      <c r="BI342" s="123"/>
      <c r="BJ342" s="123"/>
      <c r="BK342" s="123"/>
      <c r="BP342" s="115"/>
      <c r="BQ342" s="115"/>
      <c r="BR342" s="115"/>
      <c r="BS342" s="115"/>
      <c r="BT342" s="115"/>
      <c r="BU342" s="115"/>
      <c r="BV342" s="115"/>
      <c r="BW342" s="115"/>
      <c r="BX342" s="115"/>
      <c r="BY342" s="115"/>
      <c r="BZ342" s="25"/>
      <c r="CA342" s="13"/>
      <c r="CD342" s="114"/>
    </row>
    <row r="343" spans="1:82" ht="20.100000000000001" customHeight="1" x14ac:dyDescent="0.4">
      <c r="A343" s="117"/>
      <c r="B343" s="123"/>
      <c r="C343" s="123"/>
      <c r="D343" s="123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26"/>
      <c r="AB343" s="13"/>
      <c r="AJ343" s="115"/>
      <c r="AK343" s="115"/>
      <c r="AL343" s="115"/>
      <c r="AM343" s="115"/>
      <c r="AN343" s="115"/>
      <c r="AO343" s="115"/>
      <c r="AP343" s="115"/>
      <c r="AQ343" s="127"/>
      <c r="AR343" s="29"/>
      <c r="BB343" s="25"/>
      <c r="BC343" s="13"/>
      <c r="BH343" s="116"/>
      <c r="BI343" s="123"/>
      <c r="BJ343" s="123"/>
      <c r="BK343" s="123"/>
      <c r="BP343" s="115"/>
      <c r="BQ343" s="115"/>
      <c r="BR343" s="115"/>
      <c r="BS343" s="115"/>
      <c r="BT343" s="115"/>
      <c r="BU343" s="115"/>
      <c r="BV343" s="115"/>
      <c r="BW343" s="115"/>
      <c r="BX343" s="115"/>
      <c r="BY343" s="115"/>
      <c r="BZ343" s="25"/>
      <c r="CA343" s="13"/>
      <c r="CD343" s="114"/>
    </row>
    <row r="344" spans="1:82" ht="20.100000000000001" customHeight="1" x14ac:dyDescent="0.4">
      <c r="A344" s="117"/>
      <c r="B344" s="123"/>
      <c r="C344" s="123"/>
      <c r="D344" s="123"/>
      <c r="AA344" s="26"/>
      <c r="AB344" s="13"/>
      <c r="AJ344" s="115"/>
      <c r="AK344" s="115"/>
      <c r="AL344" s="115"/>
      <c r="AM344" s="115"/>
      <c r="AN344" s="115"/>
      <c r="AO344" s="115"/>
      <c r="AP344" s="115"/>
      <c r="AQ344" s="127"/>
      <c r="AR344" s="134"/>
      <c r="BB344" s="25"/>
      <c r="BC344" s="13"/>
      <c r="BH344" s="116"/>
      <c r="BI344" s="123"/>
      <c r="BJ344" s="123"/>
      <c r="BK344" s="123"/>
      <c r="BP344" s="115"/>
      <c r="BQ344" s="115"/>
      <c r="BR344" s="115"/>
      <c r="BS344" s="115"/>
      <c r="BT344" s="115"/>
      <c r="BU344" s="115"/>
      <c r="BV344" s="115"/>
      <c r="BW344" s="115"/>
      <c r="BX344" s="115"/>
      <c r="BY344" s="115"/>
      <c r="BZ344" s="25"/>
      <c r="CA344" s="13"/>
      <c r="CD344" s="114"/>
    </row>
    <row r="345" spans="1:82" ht="20.100000000000001" customHeight="1" x14ac:dyDescent="0.4">
      <c r="A345" s="117"/>
      <c r="B345" s="123"/>
      <c r="C345" s="123"/>
      <c r="D345" s="123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26"/>
      <c r="AB345" s="13"/>
      <c r="AJ345" s="115"/>
      <c r="AK345" s="115"/>
      <c r="AL345" s="115"/>
      <c r="AM345" s="115"/>
      <c r="AN345" s="115"/>
      <c r="AO345" s="115"/>
      <c r="AP345" s="115"/>
      <c r="AQ345" s="127"/>
      <c r="AR345" s="134"/>
      <c r="BB345" s="25"/>
      <c r="BC345" s="13"/>
      <c r="BH345" s="116"/>
      <c r="BI345" s="123"/>
      <c r="BJ345" s="123"/>
      <c r="BK345" s="123"/>
      <c r="BP345" s="115"/>
      <c r="BQ345" s="115"/>
      <c r="BR345" s="115"/>
      <c r="BS345" s="115"/>
      <c r="BT345" s="115"/>
      <c r="BU345" s="115"/>
      <c r="BV345" s="115"/>
      <c r="BW345" s="115"/>
      <c r="BX345" s="115"/>
      <c r="BY345" s="115"/>
      <c r="BZ345" s="25"/>
      <c r="CA345" s="13"/>
      <c r="CD345" s="114"/>
    </row>
    <row r="346" spans="1:82" ht="20.100000000000001" customHeight="1" x14ac:dyDescent="0.4">
      <c r="A346" s="117"/>
      <c r="B346" s="123"/>
      <c r="C346" s="123"/>
      <c r="D346" s="123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26"/>
      <c r="AB346" s="13"/>
      <c r="AJ346" s="115"/>
      <c r="AK346" s="115"/>
      <c r="AL346" s="115"/>
      <c r="AM346" s="115"/>
      <c r="AN346" s="115"/>
      <c r="AO346" s="115"/>
      <c r="AP346" s="115"/>
      <c r="AQ346" s="127"/>
      <c r="AR346" s="134"/>
      <c r="BB346" s="25"/>
      <c r="BC346" s="13"/>
      <c r="BH346" s="116"/>
      <c r="BI346" s="123"/>
      <c r="BJ346" s="123"/>
      <c r="BK346" s="123"/>
      <c r="BP346" s="115"/>
      <c r="BQ346" s="115"/>
      <c r="BR346" s="115"/>
      <c r="BS346" s="115"/>
      <c r="BT346" s="115"/>
      <c r="BU346" s="115"/>
      <c r="BV346" s="115"/>
      <c r="BW346" s="115"/>
      <c r="BX346" s="115"/>
      <c r="BY346" s="115"/>
      <c r="BZ346" s="25"/>
      <c r="CA346" s="13"/>
      <c r="CD346" s="114"/>
    </row>
    <row r="347" spans="1:82" ht="20.100000000000001" customHeight="1" x14ac:dyDescent="0.4">
      <c r="A347" s="117"/>
      <c r="B347" s="123"/>
      <c r="C347" s="123"/>
      <c r="D347" s="123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26"/>
      <c r="AB347" s="13"/>
      <c r="AJ347" s="115"/>
      <c r="AK347" s="115"/>
      <c r="AL347" s="115"/>
      <c r="AM347" s="115"/>
      <c r="AN347" s="115"/>
      <c r="AO347" s="115"/>
      <c r="AP347" s="115"/>
      <c r="AQ347" s="127"/>
      <c r="AR347" s="134"/>
      <c r="BB347" s="25"/>
      <c r="BC347" s="13"/>
      <c r="BH347" s="116"/>
      <c r="BI347" s="123"/>
      <c r="BJ347" s="123"/>
      <c r="BK347" s="123"/>
      <c r="BP347" s="115"/>
      <c r="BQ347" s="115"/>
      <c r="BR347" s="115"/>
      <c r="BS347" s="115"/>
      <c r="BT347" s="115"/>
      <c r="BU347" s="115"/>
      <c r="BV347" s="115"/>
      <c r="BW347" s="115"/>
      <c r="BX347" s="115"/>
      <c r="BY347" s="115"/>
      <c r="BZ347" s="25"/>
      <c r="CA347" s="13"/>
      <c r="CD347" s="114"/>
    </row>
    <row r="348" spans="1:82" ht="20.100000000000001" customHeight="1" x14ac:dyDescent="0.4">
      <c r="A348" s="117"/>
      <c r="B348" s="123"/>
      <c r="C348" s="123"/>
      <c r="D348" s="123"/>
      <c r="AA348" s="26"/>
      <c r="AB348" s="13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127"/>
      <c r="AR348" s="29"/>
      <c r="BB348" s="25"/>
      <c r="BC348" s="13"/>
      <c r="BH348" s="116"/>
      <c r="BI348" s="123"/>
      <c r="BJ348" s="123"/>
      <c r="BK348" s="123"/>
      <c r="BP348" s="115"/>
      <c r="BQ348" s="115"/>
      <c r="BR348" s="115"/>
      <c r="BS348" s="115"/>
      <c r="BT348" s="115"/>
      <c r="BU348" s="115"/>
      <c r="BV348" s="115"/>
      <c r="BW348" s="115"/>
      <c r="BX348" s="115"/>
      <c r="BY348" s="115"/>
      <c r="BZ348" s="25"/>
      <c r="CA348" s="13"/>
      <c r="CD348" s="114"/>
    </row>
    <row r="349" spans="1:82" ht="20.100000000000001" customHeight="1" x14ac:dyDescent="0.4">
      <c r="A349" s="117"/>
      <c r="B349" s="123"/>
      <c r="C349" s="123"/>
      <c r="D349" s="123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26"/>
      <c r="AB349" s="13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27"/>
      <c r="AR349" s="29"/>
      <c r="BB349" s="25"/>
      <c r="BC349" s="13"/>
      <c r="BH349" s="116"/>
      <c r="BI349" s="123"/>
      <c r="BJ349" s="123"/>
      <c r="BK349" s="123"/>
      <c r="BP349" s="115"/>
      <c r="BQ349" s="115"/>
      <c r="BR349" s="115"/>
      <c r="BS349" s="115"/>
      <c r="BT349" s="115"/>
      <c r="BU349" s="115"/>
      <c r="BV349" s="115"/>
      <c r="BW349" s="115"/>
      <c r="BX349" s="115"/>
      <c r="BY349" s="115"/>
      <c r="BZ349" s="25"/>
      <c r="CA349" s="13"/>
      <c r="CD349" s="114"/>
    </row>
    <row r="350" spans="1:82" ht="20.100000000000001" customHeight="1" x14ac:dyDescent="0.4">
      <c r="A350" s="117"/>
      <c r="B350" s="123"/>
      <c r="C350" s="123"/>
      <c r="D350" s="123"/>
      <c r="AA350" s="26"/>
      <c r="AB350" s="13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127"/>
      <c r="AR350" s="29"/>
      <c r="BB350" s="25"/>
      <c r="BC350" s="13"/>
      <c r="BH350" s="116"/>
      <c r="BI350" s="123"/>
      <c r="BJ350" s="123"/>
      <c r="BK350" s="123"/>
      <c r="BP350" s="115"/>
      <c r="BQ350" s="115"/>
      <c r="BR350" s="115"/>
      <c r="BS350" s="115"/>
      <c r="BT350" s="115"/>
      <c r="BU350" s="115"/>
      <c r="BV350" s="115"/>
      <c r="BW350" s="115"/>
      <c r="BX350" s="115"/>
      <c r="BY350" s="115"/>
      <c r="BZ350" s="25"/>
      <c r="CA350" s="13"/>
      <c r="CD350" s="114"/>
    </row>
    <row r="351" spans="1:82" ht="20.100000000000001" customHeight="1" x14ac:dyDescent="0.4">
      <c r="A351" s="117"/>
      <c r="B351" s="123"/>
      <c r="C351" s="123"/>
      <c r="D351" s="123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26"/>
      <c r="AB351" s="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127"/>
      <c r="AR351" s="29"/>
      <c r="BB351" s="25"/>
      <c r="BC351" s="13"/>
      <c r="BH351" s="116"/>
      <c r="BI351" s="123"/>
      <c r="BJ351" s="123"/>
      <c r="BK351" s="123"/>
      <c r="BP351" s="115"/>
      <c r="BQ351" s="115"/>
      <c r="BR351" s="115"/>
      <c r="BS351" s="115"/>
      <c r="BT351" s="115"/>
      <c r="BU351" s="115"/>
      <c r="BV351" s="115"/>
      <c r="BW351" s="115"/>
      <c r="BX351" s="115"/>
      <c r="BY351" s="115"/>
      <c r="BZ351" s="25"/>
      <c r="CA351" s="13"/>
      <c r="CD351" s="114"/>
    </row>
    <row r="352" spans="1:82" ht="20.100000000000001" customHeight="1" x14ac:dyDescent="0.4">
      <c r="A352" s="117"/>
      <c r="B352" s="123"/>
      <c r="C352" s="123"/>
      <c r="D352" s="123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7"/>
      <c r="AB352" s="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127"/>
      <c r="AR352" s="29"/>
      <c r="BB352" s="25"/>
      <c r="BC352" s="13"/>
      <c r="BH352" s="116"/>
      <c r="BI352" s="123"/>
      <c r="BJ352" s="123"/>
      <c r="BK352" s="123"/>
      <c r="BP352" s="115"/>
      <c r="BQ352" s="115"/>
      <c r="BR352" s="115"/>
      <c r="BS352" s="115"/>
      <c r="BT352" s="115"/>
      <c r="BU352" s="115"/>
      <c r="BV352" s="115"/>
      <c r="BW352" s="115"/>
      <c r="BX352" s="115"/>
      <c r="BY352" s="115"/>
      <c r="BZ352" s="25"/>
      <c r="CA352" s="13"/>
      <c r="CD352" s="114"/>
    </row>
    <row r="353" spans="1:82" ht="20.100000000000001" customHeight="1" x14ac:dyDescent="0.4">
      <c r="A353" s="117"/>
      <c r="B353" s="123"/>
      <c r="C353" s="123"/>
      <c r="D353" s="123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26"/>
      <c r="AB353" s="132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127"/>
      <c r="AR353" s="29"/>
      <c r="BB353" s="25"/>
      <c r="BC353" s="13"/>
      <c r="BH353" s="116"/>
      <c r="BI353" s="123"/>
      <c r="BJ353" s="123"/>
      <c r="BK353" s="123"/>
      <c r="BP353" s="115"/>
      <c r="BQ353" s="115"/>
      <c r="BR353" s="115"/>
      <c r="BS353" s="115"/>
      <c r="BT353" s="115"/>
      <c r="BU353" s="115"/>
      <c r="BV353" s="115"/>
      <c r="BW353" s="115"/>
      <c r="BX353" s="115"/>
      <c r="BY353" s="115"/>
      <c r="BZ353" s="25"/>
      <c r="CA353" s="13"/>
      <c r="CD353" s="114"/>
    </row>
    <row r="354" spans="1:82" ht="20.100000000000001" customHeight="1" x14ac:dyDescent="0.4">
      <c r="A354" s="117"/>
      <c r="B354" s="123"/>
      <c r="C354" s="123"/>
      <c r="D354" s="123"/>
      <c r="AA354" s="26"/>
      <c r="AB354" s="13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127"/>
      <c r="AR354" s="29"/>
      <c r="BB354" s="25"/>
      <c r="BC354" s="13"/>
      <c r="BH354" s="116"/>
      <c r="BI354" s="123"/>
      <c r="BJ354" s="123"/>
      <c r="BK354" s="123"/>
      <c r="BP354" s="115"/>
      <c r="BQ354" s="115"/>
      <c r="BR354" s="115"/>
      <c r="BS354" s="115"/>
      <c r="BT354" s="115"/>
      <c r="BU354" s="115"/>
      <c r="BV354" s="115"/>
      <c r="BW354" s="115"/>
      <c r="BX354" s="115"/>
      <c r="BY354" s="115"/>
      <c r="BZ354" s="25"/>
      <c r="CA354" s="13"/>
      <c r="CD354" s="114"/>
    </row>
    <row r="355" spans="1:82" ht="20.100000000000001" customHeight="1" x14ac:dyDescent="0.4">
      <c r="A355" s="117"/>
      <c r="B355" s="123"/>
      <c r="C355" s="123"/>
      <c r="D355" s="123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26"/>
      <c r="AB355" s="13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27"/>
      <c r="AR355" s="29"/>
      <c r="BB355" s="25"/>
      <c r="BC355" s="13"/>
      <c r="BH355" s="116"/>
      <c r="BI355" s="123"/>
      <c r="BJ355" s="123"/>
      <c r="BK355" s="123"/>
      <c r="BP355" s="115"/>
      <c r="BQ355" s="115"/>
      <c r="BR355" s="115"/>
      <c r="BS355" s="115"/>
      <c r="BT355" s="115"/>
      <c r="BU355" s="115"/>
      <c r="BV355" s="115"/>
      <c r="BW355" s="115"/>
      <c r="BX355" s="115"/>
      <c r="BY355" s="115"/>
      <c r="BZ355" s="25"/>
      <c r="CA355" s="13"/>
      <c r="CD355" s="114"/>
    </row>
    <row r="356" spans="1:82" ht="20.100000000000001" customHeight="1" x14ac:dyDescent="0.4">
      <c r="A356" s="117"/>
      <c r="B356" s="123"/>
      <c r="C356" s="123"/>
      <c r="D356" s="123"/>
      <c r="AA356" s="26"/>
      <c r="AB356" s="13"/>
      <c r="AH356" s="115"/>
      <c r="AI356" s="115"/>
      <c r="AJ356" s="115"/>
      <c r="AK356" s="115"/>
      <c r="AL356" s="115"/>
      <c r="AM356" s="115"/>
      <c r="AN356" s="115"/>
      <c r="AO356" s="115"/>
      <c r="AP356" s="115"/>
      <c r="AQ356" s="29"/>
      <c r="AR356" s="29"/>
      <c r="BB356" s="25"/>
      <c r="BC356" s="13"/>
      <c r="BH356" s="116"/>
      <c r="BI356" s="123"/>
      <c r="BJ356" s="123"/>
      <c r="BK356" s="123"/>
      <c r="BP356" s="115"/>
      <c r="BQ356" s="115"/>
      <c r="BR356" s="115"/>
      <c r="BS356" s="115"/>
      <c r="BT356" s="115"/>
      <c r="BU356" s="115"/>
      <c r="BV356" s="115"/>
      <c r="BW356" s="115"/>
      <c r="BX356" s="115"/>
      <c r="BY356" s="115"/>
      <c r="BZ356" s="25"/>
      <c r="CA356" s="13"/>
      <c r="CD356" s="114"/>
    </row>
    <row r="357" spans="1:82" ht="20.100000000000001" customHeight="1" x14ac:dyDescent="0.4">
      <c r="A357" s="117"/>
      <c r="B357" s="123"/>
      <c r="C357" s="123"/>
      <c r="D357" s="123"/>
      <c r="AA357" s="26"/>
      <c r="AB357" s="13"/>
      <c r="AH357" s="115"/>
      <c r="AI357" s="115"/>
      <c r="AJ357" s="115"/>
      <c r="AK357" s="115"/>
      <c r="AL357" s="115"/>
      <c r="AM357" s="115"/>
      <c r="AN357" s="115"/>
      <c r="AO357" s="115"/>
      <c r="AP357" s="115"/>
      <c r="AQ357" s="127"/>
      <c r="AR357" s="29"/>
      <c r="BB357" s="25"/>
      <c r="BC357" s="13"/>
      <c r="BH357" s="116"/>
      <c r="BI357" s="123"/>
      <c r="BJ357" s="123"/>
      <c r="BK357" s="123"/>
      <c r="BP357" s="115"/>
      <c r="BQ357" s="115"/>
      <c r="BR357" s="115"/>
      <c r="BS357" s="115"/>
      <c r="BT357" s="115"/>
      <c r="BU357" s="115"/>
      <c r="BV357" s="115"/>
      <c r="BW357" s="115"/>
      <c r="BX357" s="115"/>
      <c r="BY357" s="115"/>
      <c r="BZ357" s="25"/>
      <c r="CA357" s="13"/>
      <c r="CD357" s="114"/>
    </row>
    <row r="358" spans="1:82" ht="20.100000000000001" customHeight="1" x14ac:dyDescent="0.4">
      <c r="A358" s="117"/>
      <c r="B358" s="123"/>
      <c r="C358" s="123"/>
      <c r="D358" s="123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26"/>
      <c r="AB358" s="13"/>
      <c r="AH358" s="115"/>
      <c r="AI358" s="115"/>
      <c r="AJ358" s="115"/>
      <c r="AK358" s="115"/>
      <c r="AL358" s="115"/>
      <c r="AM358" s="115"/>
      <c r="AN358" s="115"/>
      <c r="AO358" s="115"/>
      <c r="AP358" s="115"/>
      <c r="AQ358" s="127"/>
      <c r="AR358" s="29"/>
      <c r="BB358" s="25"/>
      <c r="BC358" s="13"/>
      <c r="BH358" s="116"/>
      <c r="BI358" s="123"/>
      <c r="BJ358" s="123"/>
      <c r="BK358" s="123"/>
      <c r="BP358" s="115"/>
      <c r="BQ358" s="115"/>
      <c r="BR358" s="115"/>
      <c r="BS358" s="115"/>
      <c r="BT358" s="115"/>
      <c r="BU358" s="115"/>
      <c r="BV358" s="115"/>
      <c r="BW358" s="115"/>
      <c r="BX358" s="115"/>
      <c r="BY358" s="115"/>
      <c r="BZ358" s="25"/>
      <c r="CA358" s="13"/>
      <c r="CD358" s="114"/>
    </row>
    <row r="359" spans="1:82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26"/>
      <c r="AB359" s="13"/>
      <c r="AH359" s="115"/>
      <c r="AI359" s="115"/>
      <c r="AJ359" s="115"/>
      <c r="AK359" s="115"/>
      <c r="AL359" s="115"/>
      <c r="AM359" s="115"/>
      <c r="AN359" s="115"/>
      <c r="AO359" s="115"/>
      <c r="AP359" s="115"/>
      <c r="AQ359" s="127"/>
      <c r="AR359" s="29"/>
      <c r="BB359" s="25"/>
      <c r="BC359" s="13"/>
      <c r="BH359" s="116"/>
      <c r="BI359" s="123"/>
      <c r="BJ359" s="123"/>
      <c r="BK359" s="123"/>
      <c r="BP359" s="115"/>
      <c r="BQ359" s="115"/>
      <c r="BR359" s="115"/>
      <c r="BS359" s="115"/>
      <c r="BT359" s="115"/>
      <c r="BU359" s="115"/>
      <c r="BV359" s="115"/>
      <c r="BW359" s="115"/>
      <c r="BX359" s="115"/>
      <c r="BY359" s="115"/>
      <c r="BZ359" s="25"/>
      <c r="CA359" s="13"/>
      <c r="CD359" s="114"/>
    </row>
    <row r="360" spans="1:82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7"/>
      <c r="AB360" s="13"/>
      <c r="AH360" s="115"/>
      <c r="AI360" s="115"/>
      <c r="AJ360" s="115"/>
      <c r="AK360" s="115"/>
      <c r="AL360" s="115"/>
      <c r="AM360" s="115"/>
      <c r="AN360" s="115"/>
      <c r="AO360" s="115"/>
      <c r="AP360" s="115"/>
      <c r="AQ360" s="127"/>
      <c r="AR360" s="29"/>
      <c r="BB360" s="25"/>
      <c r="BC360" s="13"/>
      <c r="BH360" s="116"/>
      <c r="BI360" s="123"/>
      <c r="BJ360" s="123"/>
      <c r="BK360" s="123"/>
      <c r="BP360" s="115"/>
      <c r="BQ360" s="115"/>
      <c r="BR360" s="115"/>
      <c r="BS360" s="115"/>
      <c r="BT360" s="115"/>
      <c r="BU360" s="115"/>
      <c r="BV360" s="115"/>
      <c r="BW360" s="115"/>
      <c r="BX360" s="115"/>
      <c r="BY360" s="115"/>
      <c r="BZ360" s="25"/>
      <c r="CA360" s="13"/>
      <c r="CD360" s="114"/>
    </row>
    <row r="361" spans="1:82" ht="20.100000000000001" customHeight="1" x14ac:dyDescent="0.4">
      <c r="A361" s="117"/>
      <c r="B361" s="123"/>
      <c r="C361" s="123"/>
      <c r="D361" s="123"/>
      <c r="AA361" s="26"/>
      <c r="AB361" s="13"/>
      <c r="AH361" s="115"/>
      <c r="AI361" s="115"/>
      <c r="AJ361" s="115"/>
      <c r="AK361" s="115"/>
      <c r="AL361" s="115"/>
      <c r="AM361" s="115"/>
      <c r="AN361" s="115"/>
      <c r="AO361" s="115"/>
      <c r="AP361" s="115"/>
      <c r="AQ361" s="127"/>
      <c r="AR361" s="29"/>
      <c r="BB361" s="25"/>
      <c r="BC361" s="13"/>
      <c r="BH361" s="116"/>
      <c r="BI361" s="123"/>
      <c r="BJ361" s="123"/>
      <c r="BK361" s="123"/>
      <c r="BP361" s="115"/>
      <c r="BQ361" s="115"/>
      <c r="BR361" s="115"/>
      <c r="BS361" s="115"/>
      <c r="BT361" s="115"/>
      <c r="BU361" s="115"/>
      <c r="BV361" s="115"/>
      <c r="BW361" s="115"/>
      <c r="BX361" s="115"/>
      <c r="BY361" s="115"/>
      <c r="BZ361" s="25"/>
      <c r="CA361" s="13"/>
      <c r="CD361" s="114"/>
    </row>
    <row r="362" spans="1:82" ht="20.100000000000001" customHeight="1" x14ac:dyDescent="0.4">
      <c r="A362" s="117"/>
      <c r="B362" s="123"/>
      <c r="C362" s="123"/>
      <c r="D362" s="123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26"/>
      <c r="AB362" s="13"/>
      <c r="AH362" s="115"/>
      <c r="AI362" s="115"/>
      <c r="AJ362" s="115"/>
      <c r="AK362" s="115"/>
      <c r="AL362" s="115"/>
      <c r="AM362" s="115"/>
      <c r="AN362" s="115"/>
      <c r="AO362" s="115"/>
      <c r="AP362" s="115"/>
      <c r="AQ362" s="127"/>
      <c r="AR362" s="29"/>
      <c r="BB362" s="25"/>
      <c r="BC362" s="13"/>
      <c r="BH362" s="116"/>
      <c r="BI362" s="123"/>
      <c r="BJ362" s="123"/>
      <c r="BK362" s="123"/>
      <c r="BP362" s="115"/>
      <c r="BQ362" s="115"/>
      <c r="BR362" s="115"/>
      <c r="BS362" s="115"/>
      <c r="BT362" s="115"/>
      <c r="BU362" s="115"/>
      <c r="BV362" s="115"/>
      <c r="BW362" s="115"/>
      <c r="BX362" s="115"/>
      <c r="BY362" s="115"/>
      <c r="BZ362" s="25"/>
      <c r="CA362" s="13"/>
      <c r="CD362" s="114"/>
    </row>
    <row r="363" spans="1:82" ht="20.100000000000001" customHeight="1" x14ac:dyDescent="0.4">
      <c r="A363" s="117"/>
      <c r="B363" s="123"/>
      <c r="C363" s="123"/>
      <c r="D363" s="123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7"/>
      <c r="AB363" s="13"/>
      <c r="AH363" s="115"/>
      <c r="AI363" s="115"/>
      <c r="AJ363" s="115"/>
      <c r="AK363" s="115"/>
      <c r="AL363" s="115"/>
      <c r="AM363" s="115"/>
      <c r="AN363" s="115"/>
      <c r="AO363" s="115"/>
      <c r="AP363" s="115"/>
      <c r="AQ363" s="127"/>
      <c r="AR363" s="29"/>
      <c r="BB363" s="25"/>
      <c r="BC363" s="13"/>
      <c r="BH363" s="116"/>
      <c r="BI363" s="123"/>
      <c r="BJ363" s="123"/>
      <c r="BK363" s="123"/>
      <c r="BP363" s="115"/>
      <c r="BQ363" s="115"/>
      <c r="BR363" s="115"/>
      <c r="BS363" s="115"/>
      <c r="BT363" s="115"/>
      <c r="BU363" s="115"/>
      <c r="BV363" s="115"/>
      <c r="BW363" s="115"/>
      <c r="BX363" s="115"/>
      <c r="BY363" s="115"/>
      <c r="BZ363" s="25"/>
      <c r="CA363" s="13"/>
      <c r="CD363" s="114"/>
    </row>
    <row r="364" spans="1:82" ht="20.100000000000001" customHeight="1" x14ac:dyDescent="0.4">
      <c r="A364" s="117"/>
      <c r="B364" s="123"/>
      <c r="C364" s="123"/>
      <c r="D364" s="123"/>
      <c r="AA364" s="26"/>
      <c r="AB364" s="13"/>
      <c r="AH364" s="115"/>
      <c r="AI364" s="115"/>
      <c r="AJ364" s="115"/>
      <c r="AK364" s="115"/>
      <c r="AL364" s="115"/>
      <c r="AM364" s="115"/>
      <c r="AN364" s="115"/>
      <c r="AO364" s="115"/>
      <c r="AP364" s="115"/>
      <c r="AQ364" s="127"/>
      <c r="AR364" s="29"/>
      <c r="BB364" s="25"/>
      <c r="BC364" s="13"/>
      <c r="BH364" s="116"/>
      <c r="BI364" s="123"/>
      <c r="BJ364" s="123"/>
      <c r="BK364" s="123"/>
      <c r="BP364" s="115"/>
      <c r="BQ364" s="115"/>
      <c r="BR364" s="115"/>
      <c r="BS364" s="115"/>
      <c r="BT364" s="115"/>
      <c r="BU364" s="115"/>
      <c r="BV364" s="115"/>
      <c r="BW364" s="115"/>
      <c r="BX364" s="115"/>
      <c r="BY364" s="115"/>
      <c r="BZ364" s="25"/>
      <c r="CA364" s="13"/>
      <c r="CD364" s="114"/>
    </row>
    <row r="365" spans="1:82" ht="20.100000000000001" customHeight="1" x14ac:dyDescent="0.4">
      <c r="A365" s="117"/>
      <c r="B365" s="123"/>
      <c r="C365" s="123"/>
      <c r="D365" s="123"/>
      <c r="AA365" s="26"/>
      <c r="AB365" s="13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127"/>
      <c r="AR365" s="29"/>
      <c r="BB365" s="25"/>
      <c r="BC365" s="13"/>
      <c r="BH365" s="116"/>
      <c r="BI365" s="123"/>
      <c r="BJ365" s="123"/>
      <c r="BK365" s="123"/>
      <c r="BP365" s="115"/>
      <c r="BQ365" s="115"/>
      <c r="BR365" s="115"/>
      <c r="BS365" s="115"/>
      <c r="BT365" s="115"/>
      <c r="BU365" s="115"/>
      <c r="BV365" s="115"/>
      <c r="BW365" s="115"/>
      <c r="BX365" s="115"/>
      <c r="BY365" s="115"/>
      <c r="BZ365" s="25"/>
      <c r="CA365" s="13"/>
      <c r="CD365" s="114"/>
    </row>
    <row r="366" spans="1:82" ht="20.100000000000001" customHeight="1" x14ac:dyDescent="0.4">
      <c r="A366" s="117"/>
      <c r="B366" s="123"/>
      <c r="C366" s="123"/>
      <c r="D366" s="123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26"/>
      <c r="AB366" s="13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127"/>
      <c r="AR366" s="29"/>
      <c r="BB366" s="25"/>
      <c r="BC366" s="13"/>
      <c r="BH366" s="116"/>
      <c r="BI366" s="123"/>
      <c r="BJ366" s="123"/>
      <c r="BK366" s="123"/>
      <c r="BP366" s="115"/>
      <c r="BQ366" s="115"/>
      <c r="BR366" s="115"/>
      <c r="BS366" s="115"/>
      <c r="BT366" s="115"/>
      <c r="BU366" s="115"/>
      <c r="BV366" s="115"/>
      <c r="BW366" s="115"/>
      <c r="BX366" s="115"/>
      <c r="BY366" s="115"/>
      <c r="BZ366" s="25"/>
      <c r="CA366" s="13"/>
      <c r="CD366" s="114"/>
    </row>
    <row r="367" spans="1:82" ht="20.100000000000001" customHeight="1" x14ac:dyDescent="0.4">
      <c r="A367" s="117"/>
      <c r="B367" s="123"/>
      <c r="C367" s="123"/>
      <c r="D367" s="123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26"/>
      <c r="AB367" s="13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27"/>
      <c r="AR367" s="29"/>
      <c r="BB367" s="25"/>
      <c r="BC367" s="13"/>
      <c r="BH367" s="116"/>
      <c r="BI367" s="123"/>
      <c r="BJ367" s="123"/>
      <c r="BK367" s="123"/>
      <c r="BP367" s="115"/>
      <c r="BQ367" s="115"/>
      <c r="BR367" s="115"/>
      <c r="BS367" s="115"/>
      <c r="BT367" s="115"/>
      <c r="BU367" s="115"/>
      <c r="BV367" s="115"/>
      <c r="BW367" s="115"/>
      <c r="BX367" s="115"/>
      <c r="BY367" s="115"/>
      <c r="BZ367" s="25"/>
      <c r="CA367" s="13"/>
      <c r="CD367" s="114"/>
    </row>
    <row r="368" spans="1:82" ht="20.100000000000001" customHeight="1" x14ac:dyDescent="0.4">
      <c r="A368" s="117"/>
      <c r="B368" s="123"/>
      <c r="C368" s="123"/>
      <c r="D368" s="123"/>
      <c r="AA368" s="26"/>
      <c r="AB368" s="13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127"/>
      <c r="AR368" s="29"/>
      <c r="BB368" s="25"/>
      <c r="BC368" s="13"/>
      <c r="BH368" s="116"/>
      <c r="BI368" s="123"/>
      <c r="BJ368" s="123"/>
      <c r="BK368" s="123"/>
      <c r="BP368" s="115"/>
      <c r="BQ368" s="115"/>
      <c r="BR368" s="115"/>
      <c r="BS368" s="115"/>
      <c r="BT368" s="115"/>
      <c r="BU368" s="115"/>
      <c r="BV368" s="115"/>
      <c r="BW368" s="115"/>
      <c r="BX368" s="115"/>
      <c r="BY368" s="115"/>
      <c r="BZ368" s="25"/>
      <c r="CA368" s="13"/>
      <c r="CD368" s="114"/>
    </row>
    <row r="369" spans="1:82" ht="20.100000000000001" customHeight="1" x14ac:dyDescent="0.4">
      <c r="A369" s="117"/>
      <c r="B369" s="123"/>
      <c r="C369" s="123"/>
      <c r="D369" s="123"/>
      <c r="AA369" s="26"/>
      <c r="AB369" s="13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27"/>
      <c r="AR369" s="29"/>
      <c r="BB369" s="25"/>
      <c r="BC369" s="13"/>
      <c r="BH369" s="116"/>
      <c r="BI369" s="123"/>
      <c r="BJ369" s="123"/>
      <c r="BK369" s="123"/>
      <c r="BP369" s="115"/>
      <c r="BQ369" s="115"/>
      <c r="BR369" s="115"/>
      <c r="BS369" s="115"/>
      <c r="BT369" s="115"/>
      <c r="BU369" s="115"/>
      <c r="BV369" s="115"/>
      <c r="BW369" s="115"/>
      <c r="BX369" s="115"/>
      <c r="BY369" s="115"/>
      <c r="BZ369" s="25"/>
      <c r="CA369" s="13"/>
      <c r="CD369" s="114"/>
    </row>
    <row r="370" spans="1:82" ht="20.100000000000001" customHeight="1" x14ac:dyDescent="0.4">
      <c r="A370" s="117"/>
      <c r="B370" s="123"/>
      <c r="C370" s="123"/>
      <c r="D370" s="123"/>
      <c r="AA370" s="26"/>
      <c r="AB370" s="13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127"/>
      <c r="AR370" s="29"/>
      <c r="BB370" s="25"/>
      <c r="BC370" s="13"/>
      <c r="BH370" s="116"/>
      <c r="BI370" s="123"/>
      <c r="BJ370" s="123"/>
      <c r="BK370" s="123"/>
      <c r="BP370" s="115"/>
      <c r="BQ370" s="115"/>
      <c r="BR370" s="115"/>
      <c r="BS370" s="115"/>
      <c r="BT370" s="115"/>
      <c r="BU370" s="115"/>
      <c r="BV370" s="115"/>
      <c r="BW370" s="115"/>
      <c r="BX370" s="115"/>
      <c r="BY370" s="115"/>
      <c r="BZ370" s="25"/>
      <c r="CA370" s="13"/>
      <c r="CD370" s="114"/>
    </row>
    <row r="371" spans="1:82" ht="20.100000000000001" customHeight="1" x14ac:dyDescent="0.4">
      <c r="A371" s="117"/>
      <c r="B371" s="123"/>
      <c r="C371" s="123"/>
      <c r="D371" s="123"/>
      <c r="AA371" s="26"/>
      <c r="AB371" s="13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127"/>
      <c r="AR371" s="29"/>
      <c r="BB371" s="25"/>
      <c r="BC371" s="13"/>
      <c r="BH371" s="116"/>
      <c r="BI371" s="123"/>
      <c r="BJ371" s="123"/>
      <c r="BK371" s="123"/>
      <c r="BP371" s="115"/>
      <c r="BQ371" s="115"/>
      <c r="BR371" s="115"/>
      <c r="BS371" s="115"/>
      <c r="BT371" s="115"/>
      <c r="BU371" s="115"/>
      <c r="BV371" s="115"/>
      <c r="BW371" s="115"/>
      <c r="BX371" s="115"/>
      <c r="BY371" s="115"/>
      <c r="BZ371" s="25"/>
      <c r="CA371" s="13"/>
      <c r="CD371" s="114"/>
    </row>
    <row r="372" spans="1:82" ht="20.100000000000001" customHeight="1" x14ac:dyDescent="0.4">
      <c r="A372" s="117"/>
      <c r="B372" s="123"/>
      <c r="C372" s="123"/>
      <c r="D372" s="123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7"/>
      <c r="AB372" s="13"/>
      <c r="AH372" s="115"/>
      <c r="AI372" s="115"/>
      <c r="AJ372" s="115"/>
      <c r="AK372" s="115"/>
      <c r="AL372" s="115"/>
      <c r="AM372" s="115"/>
      <c r="AN372" s="115"/>
      <c r="AO372" s="115"/>
      <c r="AP372" s="115"/>
      <c r="AQ372" s="127"/>
      <c r="AR372" s="29"/>
      <c r="BB372" s="25"/>
      <c r="BC372" s="13"/>
      <c r="BH372" s="116"/>
      <c r="BI372" s="123"/>
      <c r="BJ372" s="123"/>
      <c r="BK372" s="123"/>
      <c r="BP372" s="115"/>
      <c r="BQ372" s="115"/>
      <c r="BR372" s="115"/>
      <c r="BS372" s="115"/>
      <c r="BT372" s="115"/>
      <c r="BU372" s="115"/>
      <c r="BV372" s="115"/>
      <c r="BW372" s="115"/>
      <c r="BX372" s="115"/>
      <c r="BY372" s="115"/>
      <c r="BZ372" s="25"/>
      <c r="CA372" s="13"/>
      <c r="CD372" s="114"/>
    </row>
    <row r="373" spans="1:82" ht="20.100000000000001" customHeight="1" x14ac:dyDescent="0.4">
      <c r="A373" s="117"/>
      <c r="B373" s="123"/>
      <c r="C373" s="123"/>
      <c r="D373" s="123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26"/>
      <c r="AB373" s="15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27"/>
      <c r="AR373" s="29"/>
      <c r="BB373" s="25"/>
      <c r="BC373" s="13"/>
      <c r="BH373" s="116"/>
      <c r="BI373" s="123"/>
      <c r="BJ373" s="123"/>
      <c r="BK373" s="123"/>
      <c r="BP373" s="115"/>
      <c r="BQ373" s="115"/>
      <c r="BR373" s="115"/>
      <c r="BS373" s="115"/>
      <c r="BT373" s="115"/>
      <c r="BU373" s="115"/>
      <c r="BV373" s="115"/>
      <c r="BW373" s="115"/>
      <c r="BX373" s="115"/>
      <c r="BY373" s="115"/>
      <c r="BZ373" s="25"/>
      <c r="CA373" s="13"/>
      <c r="CD373" s="114"/>
    </row>
    <row r="374" spans="1:82" ht="20.100000000000001" customHeight="1" x14ac:dyDescent="0.4">
      <c r="A374" s="117"/>
      <c r="B374" s="123"/>
      <c r="C374" s="123"/>
      <c r="D374" s="123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7"/>
      <c r="AB374" s="15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27"/>
      <c r="AR374" s="29"/>
      <c r="BB374" s="25"/>
      <c r="BC374" s="13"/>
      <c r="BH374" s="116"/>
      <c r="BI374" s="123"/>
      <c r="BJ374" s="123"/>
      <c r="BK374" s="123"/>
      <c r="BP374" s="115"/>
      <c r="BQ374" s="115"/>
      <c r="BR374" s="115"/>
      <c r="BS374" s="115"/>
      <c r="BT374" s="115"/>
      <c r="BU374" s="115"/>
      <c r="BV374" s="115"/>
      <c r="BW374" s="115"/>
      <c r="BX374" s="115"/>
      <c r="BY374" s="115"/>
      <c r="BZ374" s="25"/>
      <c r="CA374" s="13"/>
      <c r="CD374" s="114"/>
    </row>
    <row r="375" spans="1:82" ht="20.100000000000001" customHeight="1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26"/>
      <c r="AB375" s="15"/>
      <c r="AH375" s="115"/>
      <c r="AI375" s="115"/>
      <c r="AJ375" s="115"/>
      <c r="AK375" s="115"/>
      <c r="AL375" s="115"/>
      <c r="AM375" s="115"/>
      <c r="AN375" s="115"/>
      <c r="AO375" s="115"/>
      <c r="AP375" s="115"/>
      <c r="AQ375" s="127"/>
      <c r="AR375" s="29"/>
      <c r="BB375" s="25"/>
      <c r="BC375" s="13"/>
      <c r="BH375" s="116"/>
      <c r="BI375" s="123"/>
      <c r="BJ375" s="123"/>
      <c r="BK375" s="123"/>
      <c r="BP375" s="115"/>
      <c r="BQ375" s="115"/>
      <c r="BR375" s="115"/>
      <c r="BS375" s="115"/>
      <c r="BT375" s="115"/>
      <c r="BU375" s="115"/>
      <c r="BV375" s="115"/>
      <c r="BW375" s="115"/>
      <c r="BX375" s="115"/>
      <c r="BY375" s="115"/>
      <c r="BZ375" s="25"/>
      <c r="CA375" s="13"/>
      <c r="CD375" s="114"/>
    </row>
    <row r="376" spans="1:82" ht="20.100000000000001" customHeight="1" x14ac:dyDescent="0.4">
      <c r="A376" s="117"/>
      <c r="B376" s="123"/>
      <c r="C376" s="123"/>
      <c r="D376" s="123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7"/>
      <c r="AB376" s="15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127"/>
      <c r="AR376" s="29"/>
      <c r="BB376" s="25"/>
      <c r="BC376" s="13"/>
      <c r="BH376" s="116"/>
      <c r="BI376" s="123"/>
      <c r="BJ376" s="123"/>
      <c r="BK376" s="123"/>
      <c r="BP376" s="115"/>
      <c r="BQ376" s="115"/>
      <c r="BR376" s="115"/>
      <c r="BS376" s="115"/>
      <c r="BT376" s="115"/>
      <c r="BU376" s="115"/>
      <c r="BV376" s="115"/>
      <c r="BW376" s="115"/>
      <c r="BX376" s="115"/>
      <c r="BY376" s="115"/>
      <c r="BZ376" s="25"/>
      <c r="CA376" s="13"/>
      <c r="CD376" s="114"/>
    </row>
    <row r="377" spans="1:82" ht="20.100000000000001" customHeight="1" x14ac:dyDescent="0.4">
      <c r="A377" s="117"/>
      <c r="B377" s="123"/>
      <c r="C377" s="123"/>
      <c r="D377" s="123"/>
      <c r="AA377" s="26"/>
      <c r="AB377" s="15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115"/>
      <c r="AQ377" s="127"/>
      <c r="AR377" s="29"/>
      <c r="BB377" s="25"/>
      <c r="BC377" s="13"/>
      <c r="BH377" s="116"/>
      <c r="BI377" s="123"/>
      <c r="BJ377" s="123"/>
      <c r="BK377" s="123"/>
      <c r="BP377" s="115"/>
      <c r="BQ377" s="115"/>
      <c r="BR377" s="115"/>
      <c r="BS377" s="115"/>
      <c r="BT377" s="115"/>
      <c r="BU377" s="115"/>
      <c r="BV377" s="115"/>
      <c r="BW377" s="115"/>
      <c r="BX377" s="115"/>
      <c r="BY377" s="115"/>
      <c r="BZ377" s="25"/>
      <c r="CA377" s="13"/>
      <c r="CD377" s="114"/>
    </row>
    <row r="378" spans="1:82" ht="20.100000000000001" customHeight="1" x14ac:dyDescent="0.4">
      <c r="A378" s="117"/>
      <c r="B378" s="123"/>
      <c r="C378" s="123"/>
      <c r="D378" s="123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7"/>
      <c r="AB378" s="15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115"/>
      <c r="AO378" s="115"/>
      <c r="AP378" s="115"/>
      <c r="AQ378" s="127"/>
      <c r="AR378" s="29"/>
      <c r="BB378" s="25"/>
      <c r="BC378" s="13"/>
      <c r="BH378" s="116"/>
      <c r="BI378" s="123"/>
      <c r="BJ378" s="123"/>
      <c r="BK378" s="123"/>
      <c r="BP378" s="115"/>
      <c r="BQ378" s="115"/>
      <c r="BR378" s="115"/>
      <c r="BS378" s="115"/>
      <c r="BT378" s="115"/>
      <c r="BU378" s="115"/>
      <c r="BV378" s="115"/>
      <c r="BW378" s="115"/>
      <c r="BX378" s="115"/>
      <c r="BY378" s="115"/>
      <c r="BZ378" s="25"/>
      <c r="CA378" s="13"/>
      <c r="CD378" s="114"/>
    </row>
    <row r="379" spans="1:82" ht="20.100000000000001" customHeight="1" x14ac:dyDescent="0.4">
      <c r="A379" s="117"/>
      <c r="B379" s="123"/>
      <c r="C379" s="123"/>
      <c r="D379" s="123"/>
      <c r="AA379" s="26"/>
      <c r="AB379" s="15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115"/>
      <c r="AO379" s="115"/>
      <c r="AP379" s="115"/>
      <c r="AQ379" s="127"/>
      <c r="AR379" s="29"/>
      <c r="BB379" s="25"/>
      <c r="BC379" s="13"/>
      <c r="BH379" s="116"/>
      <c r="BI379" s="123"/>
      <c r="BJ379" s="123"/>
      <c r="BK379" s="123"/>
      <c r="BP379" s="115"/>
      <c r="BQ379" s="115"/>
      <c r="BR379" s="115"/>
      <c r="BS379" s="115"/>
      <c r="BT379" s="115"/>
      <c r="BU379" s="115"/>
      <c r="BV379" s="115"/>
      <c r="BW379" s="115"/>
      <c r="BX379" s="115"/>
      <c r="BY379" s="115"/>
      <c r="BZ379" s="25"/>
      <c r="CA379" s="13"/>
      <c r="CD379" s="114"/>
    </row>
    <row r="380" spans="1:82" ht="20.100000000000001" customHeight="1" x14ac:dyDescent="0.4">
      <c r="A380" s="117"/>
      <c r="B380" s="123"/>
      <c r="C380" s="123"/>
      <c r="D380" s="123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26"/>
      <c r="AB380" s="15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115"/>
      <c r="AO380" s="115"/>
      <c r="AP380" s="115"/>
      <c r="AQ380" s="127"/>
      <c r="AR380" s="29"/>
      <c r="BB380" s="25"/>
      <c r="BC380" s="13"/>
      <c r="BH380" s="116"/>
      <c r="BI380" s="123"/>
      <c r="BJ380" s="123"/>
      <c r="BK380" s="123"/>
      <c r="BP380" s="115"/>
      <c r="BQ380" s="115"/>
      <c r="BR380" s="115"/>
      <c r="BS380" s="115"/>
      <c r="BT380" s="115"/>
      <c r="BU380" s="115"/>
      <c r="BV380" s="115"/>
      <c r="BW380" s="115"/>
      <c r="BX380" s="115"/>
      <c r="BY380" s="115"/>
      <c r="BZ380" s="25"/>
      <c r="CA380" s="13"/>
      <c r="CD380" s="114"/>
    </row>
    <row r="381" spans="1:82" ht="20.100000000000001" customHeight="1" x14ac:dyDescent="0.4">
      <c r="A381" s="117"/>
      <c r="B381" s="123"/>
      <c r="C381" s="123"/>
      <c r="D381" s="123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20"/>
      <c r="AB381" s="13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115"/>
      <c r="AO381" s="115"/>
      <c r="AP381" s="115"/>
      <c r="AQ381" s="127"/>
      <c r="AR381" s="29"/>
      <c r="BB381" s="25"/>
      <c r="BC381" s="13"/>
      <c r="BH381" s="116"/>
      <c r="BI381" s="123"/>
      <c r="BJ381" s="123"/>
      <c r="BK381" s="123"/>
      <c r="BP381" s="115"/>
      <c r="BQ381" s="115"/>
      <c r="BR381" s="115"/>
      <c r="BS381" s="115"/>
      <c r="BT381" s="115"/>
      <c r="BU381" s="115"/>
      <c r="BV381" s="115"/>
      <c r="BW381" s="115"/>
      <c r="BX381" s="115"/>
      <c r="BY381" s="115"/>
      <c r="BZ381" s="25"/>
      <c r="CA381" s="13"/>
      <c r="CD381" s="114"/>
    </row>
    <row r="382" spans="1:82" ht="20.100000000000001" customHeight="1" x14ac:dyDescent="0.4">
      <c r="A382" s="117"/>
      <c r="B382" s="123"/>
      <c r="C382" s="123"/>
      <c r="D382" s="123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20"/>
      <c r="AB382" s="13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115"/>
      <c r="AO382" s="115"/>
      <c r="AP382" s="115"/>
      <c r="AQ382" s="127"/>
      <c r="AR382" s="29"/>
      <c r="BB382" s="25"/>
      <c r="BC382" s="13"/>
      <c r="BH382" s="116"/>
      <c r="BI382" s="123"/>
      <c r="BJ382" s="123"/>
      <c r="BK382" s="123"/>
      <c r="BP382" s="115"/>
      <c r="BQ382" s="115"/>
      <c r="BR382" s="115"/>
      <c r="BS382" s="115"/>
      <c r="BT382" s="115"/>
      <c r="BU382" s="115"/>
      <c r="BV382" s="115"/>
      <c r="BW382" s="115"/>
      <c r="BX382" s="115"/>
      <c r="BY382" s="115"/>
      <c r="BZ382" s="25"/>
      <c r="CA382" s="13"/>
      <c r="CD382" s="114"/>
    </row>
    <row r="383" spans="1:82" ht="20.100000000000001" customHeight="1" x14ac:dyDescent="0.4">
      <c r="A383" s="117"/>
      <c r="B383" s="123"/>
      <c r="C383" s="123"/>
      <c r="D383" s="123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3"/>
      <c r="AB383" s="13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115"/>
      <c r="AO383" s="115"/>
      <c r="AP383" s="115"/>
      <c r="AQ383" s="127"/>
      <c r="AR383" s="29"/>
      <c r="BB383" s="25"/>
      <c r="BC383" s="13"/>
      <c r="BH383" s="116"/>
      <c r="BI383" s="123"/>
      <c r="BJ383" s="123"/>
      <c r="BK383" s="123"/>
      <c r="BP383" s="115"/>
      <c r="BQ383" s="115"/>
      <c r="BR383" s="115"/>
      <c r="BS383" s="115"/>
      <c r="BT383" s="115"/>
      <c r="BU383" s="115"/>
      <c r="BV383" s="115"/>
      <c r="BW383" s="115"/>
      <c r="BX383" s="115"/>
      <c r="BY383" s="115"/>
      <c r="BZ383" s="25"/>
      <c r="CA383" s="13"/>
      <c r="CD383" s="114"/>
    </row>
    <row r="384" spans="1:82" ht="20.100000000000001" customHeight="1" x14ac:dyDescent="0.4">
      <c r="A384" s="117"/>
      <c r="B384" s="123"/>
      <c r="C384" s="123"/>
      <c r="D384" s="123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25"/>
      <c r="AB384" s="15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115"/>
      <c r="AQ384" s="127"/>
      <c r="AR384" s="29"/>
      <c r="BB384" s="25"/>
      <c r="BC384" s="13"/>
      <c r="BH384" s="116"/>
      <c r="BI384" s="123"/>
      <c r="BJ384" s="123"/>
      <c r="BK384" s="123"/>
      <c r="BP384" s="115"/>
      <c r="BQ384" s="115"/>
      <c r="BR384" s="115"/>
      <c r="BS384" s="115"/>
      <c r="BT384" s="115"/>
      <c r="BU384" s="115"/>
      <c r="BV384" s="115"/>
      <c r="BW384" s="115"/>
      <c r="BX384" s="115"/>
      <c r="BY384" s="115"/>
      <c r="BZ384" s="25"/>
      <c r="CA384" s="13"/>
      <c r="CD384" s="114"/>
    </row>
    <row r="385" spans="1:82" ht="20.100000000000001" customHeight="1" x14ac:dyDescent="0.4">
      <c r="A385" s="117"/>
      <c r="B385" s="123"/>
      <c r="C385" s="123"/>
      <c r="D385" s="123"/>
      <c r="AA385" s="25"/>
      <c r="AB385" s="15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29"/>
      <c r="AR385" s="29"/>
      <c r="BB385" s="25"/>
      <c r="BC385" s="13"/>
      <c r="BH385" s="116"/>
      <c r="BI385" s="123"/>
      <c r="BJ385" s="123"/>
      <c r="BK385" s="123"/>
      <c r="BP385" s="115"/>
      <c r="BQ385" s="115"/>
      <c r="BR385" s="115"/>
      <c r="BS385" s="115"/>
      <c r="BT385" s="115"/>
      <c r="BU385" s="115"/>
      <c r="BV385" s="115"/>
      <c r="BW385" s="115"/>
      <c r="BX385" s="115"/>
      <c r="BY385" s="115"/>
      <c r="BZ385" s="25"/>
      <c r="CA385" s="13"/>
      <c r="CD385" s="114"/>
    </row>
    <row r="386" spans="1:82" ht="20.100000000000001" customHeight="1" x14ac:dyDescent="0.4">
      <c r="A386" s="117"/>
      <c r="B386" s="123"/>
      <c r="C386" s="123"/>
      <c r="D386" s="123"/>
      <c r="AA386" s="25"/>
      <c r="AB386" s="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127"/>
      <c r="AR386" s="29"/>
      <c r="BB386" s="25"/>
      <c r="BC386" s="13"/>
      <c r="BH386" s="116"/>
      <c r="BI386" s="123"/>
      <c r="BJ386" s="123"/>
      <c r="BK386" s="123"/>
      <c r="BP386" s="115"/>
      <c r="BQ386" s="115"/>
      <c r="BR386" s="115"/>
      <c r="BS386" s="115"/>
      <c r="BT386" s="115"/>
      <c r="BU386" s="115"/>
      <c r="BV386" s="115"/>
      <c r="BW386" s="115"/>
      <c r="BX386" s="115"/>
      <c r="BY386" s="115"/>
      <c r="BZ386" s="25"/>
      <c r="CA386" s="13"/>
      <c r="CD386" s="114"/>
    </row>
    <row r="387" spans="1:82" ht="20.100000000000001" customHeight="1" x14ac:dyDescent="0.4">
      <c r="A387" s="117"/>
      <c r="B387" s="123"/>
      <c r="C387" s="123"/>
      <c r="D387" s="123"/>
      <c r="AA387" s="25"/>
      <c r="AB387" s="13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127"/>
      <c r="AR387" s="29"/>
      <c r="BB387" s="25"/>
      <c r="BC387" s="13"/>
      <c r="BH387" s="116"/>
      <c r="BI387" s="123"/>
      <c r="BJ387" s="123"/>
      <c r="BK387" s="123"/>
      <c r="BP387" s="115"/>
      <c r="BQ387" s="115"/>
      <c r="BR387" s="115"/>
      <c r="BS387" s="115"/>
      <c r="BT387" s="115"/>
      <c r="BU387" s="115"/>
      <c r="BV387" s="115"/>
      <c r="BW387" s="115"/>
      <c r="BX387" s="115"/>
      <c r="BY387" s="115"/>
      <c r="BZ387" s="25"/>
      <c r="CA387" s="13"/>
      <c r="CD387" s="114"/>
    </row>
    <row r="388" spans="1:82" ht="20.100000000000001" customHeight="1" x14ac:dyDescent="0.4">
      <c r="A388" s="117"/>
      <c r="B388" s="123"/>
      <c r="C388" s="123"/>
      <c r="D388" s="123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3"/>
      <c r="AB388" s="13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115"/>
      <c r="AQ388" s="127"/>
      <c r="AR388" s="29"/>
      <c r="BB388" s="25"/>
      <c r="BC388" s="13"/>
      <c r="BH388" s="116"/>
      <c r="BI388" s="123"/>
      <c r="BJ388" s="123"/>
      <c r="BK388" s="123"/>
      <c r="BP388" s="115"/>
      <c r="BQ388" s="115"/>
      <c r="BR388" s="115"/>
      <c r="BS388" s="115"/>
      <c r="BT388" s="115"/>
      <c r="BU388" s="115"/>
      <c r="BV388" s="115"/>
      <c r="BW388" s="115"/>
      <c r="BX388" s="115"/>
      <c r="BY388" s="115"/>
      <c r="BZ388" s="25"/>
      <c r="CA388" s="13"/>
      <c r="CD388" s="114"/>
    </row>
    <row r="389" spans="1:82" ht="20.100000000000001" customHeight="1" x14ac:dyDescent="0.4">
      <c r="A389" s="117"/>
      <c r="B389" s="123"/>
      <c r="C389" s="123"/>
      <c r="D389" s="123"/>
      <c r="AA389" s="25"/>
      <c r="AB389" s="13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29"/>
      <c r="AR389" s="29"/>
      <c r="BB389" s="25"/>
      <c r="BC389" s="13"/>
      <c r="BH389" s="116"/>
      <c r="BI389" s="123"/>
      <c r="BJ389" s="123"/>
      <c r="BK389" s="123"/>
      <c r="BP389" s="115"/>
      <c r="BQ389" s="115"/>
      <c r="BR389" s="115"/>
      <c r="BS389" s="115"/>
      <c r="BT389" s="115"/>
      <c r="BU389" s="115"/>
      <c r="BV389" s="115"/>
      <c r="BW389" s="115"/>
      <c r="BX389" s="115"/>
      <c r="BY389" s="115"/>
      <c r="BZ389" s="25"/>
      <c r="CA389" s="13"/>
      <c r="CD389" s="114"/>
    </row>
    <row r="390" spans="1:82" ht="20.100000000000001" customHeight="1" x14ac:dyDescent="0.4">
      <c r="A390" s="117"/>
      <c r="B390" s="123"/>
      <c r="C390" s="123"/>
      <c r="D390" s="123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25"/>
      <c r="AB390" s="13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29"/>
      <c r="AR390" s="29"/>
      <c r="BB390" s="25"/>
      <c r="BC390" s="13"/>
      <c r="BH390" s="116"/>
      <c r="BI390" s="123"/>
      <c r="BJ390" s="123"/>
      <c r="BK390" s="123"/>
      <c r="BP390" s="115"/>
      <c r="BQ390" s="115"/>
      <c r="BR390" s="115"/>
      <c r="BS390" s="115"/>
      <c r="BT390" s="115"/>
      <c r="BU390" s="115"/>
      <c r="BV390" s="115"/>
      <c r="BW390" s="115"/>
      <c r="BX390" s="115"/>
      <c r="BY390" s="115"/>
      <c r="BZ390" s="25"/>
      <c r="CA390" s="13"/>
      <c r="CD390" s="114"/>
    </row>
    <row r="391" spans="1:82" ht="20.100000000000001" customHeight="1" x14ac:dyDescent="0.4">
      <c r="A391" s="117"/>
      <c r="B391" s="123"/>
      <c r="C391" s="123"/>
      <c r="D391" s="123"/>
      <c r="AA391" s="25"/>
      <c r="AB391" s="13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127"/>
      <c r="AR391" s="29"/>
      <c r="BB391" s="25"/>
      <c r="BC391" s="13"/>
      <c r="BH391" s="116"/>
      <c r="BI391" s="123"/>
      <c r="BJ391" s="123"/>
      <c r="BK391" s="123"/>
      <c r="BP391" s="115"/>
      <c r="BQ391" s="115"/>
      <c r="BR391" s="115"/>
      <c r="BS391" s="115"/>
      <c r="BT391" s="115"/>
      <c r="BU391" s="115"/>
      <c r="BV391" s="115"/>
      <c r="BW391" s="115"/>
      <c r="BX391" s="115"/>
      <c r="BY391" s="115"/>
      <c r="BZ391" s="25"/>
      <c r="CA391" s="13"/>
      <c r="CD391" s="114"/>
    </row>
    <row r="392" spans="1:82" ht="20.100000000000001" customHeight="1" x14ac:dyDescent="0.4">
      <c r="A392" s="117"/>
      <c r="B392" s="123"/>
      <c r="C392" s="123"/>
      <c r="D392" s="123"/>
      <c r="AA392" s="25"/>
      <c r="AB392" s="13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15"/>
      <c r="AQ392" s="127"/>
      <c r="AR392" s="29"/>
      <c r="BB392" s="25"/>
      <c r="BC392" s="13"/>
      <c r="BH392" s="116"/>
      <c r="BI392" s="123"/>
      <c r="BJ392" s="123"/>
      <c r="BK392" s="123"/>
      <c r="BP392" s="115"/>
      <c r="BQ392" s="115"/>
      <c r="BR392" s="115"/>
      <c r="BS392" s="115"/>
      <c r="BT392" s="115"/>
      <c r="BU392" s="115"/>
      <c r="BV392" s="115"/>
      <c r="BW392" s="115"/>
      <c r="BX392" s="115"/>
      <c r="BY392" s="115"/>
      <c r="BZ392" s="25"/>
      <c r="CA392" s="13"/>
      <c r="CD392" s="114"/>
    </row>
    <row r="393" spans="1:82" ht="20.100000000000001" customHeight="1" x14ac:dyDescent="0.4">
      <c r="A393" s="117"/>
      <c r="B393" s="123"/>
      <c r="C393" s="123"/>
      <c r="D393" s="123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3"/>
      <c r="AB393" s="13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127"/>
      <c r="AR393" s="29"/>
      <c r="BB393" s="25"/>
      <c r="BC393" s="13"/>
      <c r="BH393" s="116"/>
      <c r="BI393" s="123"/>
      <c r="BJ393" s="123"/>
      <c r="BK393" s="123"/>
      <c r="BP393" s="115"/>
      <c r="BQ393" s="115"/>
      <c r="BR393" s="115"/>
      <c r="BS393" s="115"/>
      <c r="BT393" s="115"/>
      <c r="BU393" s="115"/>
      <c r="BV393" s="115"/>
      <c r="BW393" s="115"/>
      <c r="BX393" s="115"/>
      <c r="BY393" s="115"/>
      <c r="BZ393" s="25"/>
      <c r="CA393" s="13"/>
      <c r="CD393" s="114"/>
    </row>
    <row r="394" spans="1:82" ht="20.100000000000001" customHeight="1" x14ac:dyDescent="0.4">
      <c r="A394" s="117"/>
      <c r="B394" s="123"/>
      <c r="C394" s="123"/>
      <c r="D394" s="123"/>
      <c r="F394" s="117"/>
      <c r="G394" s="135"/>
      <c r="H394" s="135"/>
      <c r="I394" s="135"/>
      <c r="J394" s="135"/>
      <c r="K394" s="135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25"/>
      <c r="AB394" s="13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115"/>
      <c r="AQ394" s="127"/>
      <c r="AR394" s="29"/>
      <c r="BB394" s="25"/>
      <c r="BC394" s="13"/>
      <c r="BH394" s="116"/>
      <c r="BI394" s="123"/>
      <c r="BJ394" s="123"/>
      <c r="BK394" s="123"/>
      <c r="BP394" s="115"/>
      <c r="BQ394" s="115"/>
      <c r="BR394" s="115"/>
      <c r="BS394" s="115"/>
      <c r="BT394" s="115"/>
      <c r="BU394" s="115"/>
      <c r="BV394" s="115"/>
      <c r="BW394" s="115"/>
      <c r="BX394" s="115"/>
      <c r="BY394" s="115"/>
      <c r="BZ394" s="25"/>
      <c r="CA394" s="13"/>
      <c r="CD394" s="114"/>
    </row>
    <row r="395" spans="1:82" ht="20.100000000000001" customHeight="1" x14ac:dyDescent="0.4">
      <c r="A395" s="117"/>
      <c r="B395" s="123"/>
      <c r="C395" s="123"/>
      <c r="D395" s="123"/>
      <c r="F395" s="117"/>
      <c r="G395" s="135"/>
      <c r="H395" s="135"/>
      <c r="I395" s="135"/>
      <c r="J395" s="135"/>
      <c r="K395" s="135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25"/>
      <c r="AB395" s="13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115"/>
      <c r="AQ395" s="127"/>
      <c r="AR395" s="29"/>
      <c r="BB395" s="25"/>
      <c r="BC395" s="13"/>
      <c r="BH395" s="116"/>
      <c r="BI395" s="123"/>
      <c r="BJ395" s="123"/>
      <c r="BK395" s="123"/>
      <c r="BP395" s="115"/>
      <c r="BQ395" s="115"/>
      <c r="BR395" s="115"/>
      <c r="BS395" s="115"/>
      <c r="BT395" s="115"/>
      <c r="BU395" s="115"/>
      <c r="BV395" s="115"/>
      <c r="BW395" s="115"/>
      <c r="BX395" s="115"/>
      <c r="BY395" s="115"/>
      <c r="BZ395" s="25"/>
      <c r="CA395" s="13"/>
      <c r="CD395" s="114"/>
    </row>
    <row r="396" spans="1:82" ht="20.100000000000001" customHeight="1" x14ac:dyDescent="0.4">
      <c r="A396" s="117"/>
      <c r="B396" s="123"/>
      <c r="C396" s="123"/>
      <c r="D396" s="123"/>
      <c r="F396" s="117"/>
      <c r="G396" s="135"/>
      <c r="H396" s="135"/>
      <c r="I396" s="135"/>
      <c r="J396" s="135"/>
      <c r="K396" s="135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20"/>
      <c r="AB396" s="13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115"/>
      <c r="AQ396" s="127"/>
      <c r="AR396" s="29"/>
      <c r="BB396" s="25"/>
      <c r="BC396" s="13"/>
      <c r="BH396" s="116"/>
      <c r="BI396" s="123"/>
      <c r="BJ396" s="123"/>
      <c r="BK396" s="123"/>
      <c r="BP396" s="115"/>
      <c r="BQ396" s="115"/>
      <c r="BR396" s="115"/>
      <c r="BS396" s="115"/>
      <c r="BT396" s="115"/>
      <c r="BU396" s="115"/>
      <c r="BV396" s="115"/>
      <c r="BW396" s="115"/>
      <c r="BX396" s="115"/>
      <c r="BY396" s="115"/>
      <c r="BZ396" s="25"/>
      <c r="CA396" s="13"/>
      <c r="CD396" s="114"/>
    </row>
    <row r="397" spans="1:82" ht="20.100000000000001" customHeight="1" x14ac:dyDescent="0.4">
      <c r="A397" s="117"/>
      <c r="B397" s="123"/>
      <c r="C397" s="123"/>
      <c r="D397" s="123"/>
      <c r="F397" s="117"/>
      <c r="G397" s="135"/>
      <c r="H397" s="135"/>
      <c r="I397" s="135"/>
      <c r="J397" s="135"/>
      <c r="K397" s="135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26"/>
      <c r="AB397" s="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29"/>
      <c r="AR397" s="29"/>
      <c r="BB397" s="25"/>
      <c r="BC397" s="13"/>
      <c r="BH397" s="116"/>
      <c r="BI397" s="123"/>
      <c r="BJ397" s="123"/>
      <c r="BK397" s="123"/>
      <c r="BP397" s="115"/>
      <c r="BQ397" s="115"/>
      <c r="BR397" s="115"/>
      <c r="BS397" s="115"/>
      <c r="BT397" s="115"/>
      <c r="BU397" s="115"/>
      <c r="BV397" s="115"/>
      <c r="BW397" s="115"/>
      <c r="BX397" s="115"/>
      <c r="BY397" s="115"/>
      <c r="BZ397" s="25"/>
      <c r="CA397" s="13"/>
      <c r="CD397" s="114"/>
    </row>
    <row r="398" spans="1:82" ht="20.100000000000001" customHeight="1" x14ac:dyDescent="0.4">
      <c r="A398" s="117"/>
      <c r="B398" s="123"/>
      <c r="C398" s="123"/>
      <c r="D398" s="123"/>
      <c r="F398" s="117"/>
      <c r="G398" s="135"/>
      <c r="H398" s="135"/>
      <c r="I398" s="135"/>
      <c r="J398" s="135"/>
      <c r="K398" s="135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26"/>
      <c r="AB398" s="15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127"/>
      <c r="AR398" s="29"/>
      <c r="BB398" s="25"/>
      <c r="BC398" s="13"/>
      <c r="BH398" s="116"/>
      <c r="BI398" s="123"/>
      <c r="BJ398" s="123"/>
      <c r="BK398" s="123"/>
      <c r="BP398" s="115"/>
      <c r="BQ398" s="115"/>
      <c r="BR398" s="115"/>
      <c r="BS398" s="115"/>
      <c r="BT398" s="115"/>
      <c r="BU398" s="115"/>
      <c r="BV398" s="115"/>
      <c r="BW398" s="115"/>
      <c r="BX398" s="115"/>
      <c r="BY398" s="115"/>
      <c r="BZ398" s="25"/>
      <c r="CA398" s="13"/>
      <c r="CD398" s="114"/>
    </row>
    <row r="399" spans="1:82" ht="20.100000000000001" customHeight="1" x14ac:dyDescent="0.4">
      <c r="A399" s="117"/>
      <c r="B399" s="123"/>
      <c r="C399" s="123"/>
      <c r="D399" s="123"/>
      <c r="F399" s="117"/>
      <c r="G399" s="135"/>
      <c r="H399" s="135"/>
      <c r="I399" s="135"/>
      <c r="J399" s="135"/>
      <c r="K399" s="135"/>
      <c r="L399" s="136"/>
      <c r="M399" s="136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30"/>
      <c r="AB399" s="15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127"/>
      <c r="AR399" s="29"/>
      <c r="BB399" s="25"/>
      <c r="BC399" s="13"/>
      <c r="BH399" s="116"/>
      <c r="BI399" s="123"/>
      <c r="BJ399" s="123"/>
      <c r="BK399" s="123"/>
      <c r="BP399" s="115"/>
      <c r="BQ399" s="115"/>
      <c r="BR399" s="115"/>
      <c r="BS399" s="115"/>
      <c r="BT399" s="115"/>
      <c r="BU399" s="115"/>
      <c r="BV399" s="115"/>
      <c r="BW399" s="115"/>
      <c r="BX399" s="115"/>
      <c r="BY399" s="115"/>
      <c r="BZ399" s="25"/>
      <c r="CA399" s="13"/>
      <c r="CD399" s="114"/>
    </row>
    <row r="400" spans="1:82" ht="20.100000000000001" customHeight="1" x14ac:dyDescent="0.4">
      <c r="A400" s="117"/>
      <c r="B400" s="123"/>
      <c r="C400" s="123"/>
      <c r="D400" s="123"/>
      <c r="F400" s="117"/>
      <c r="G400" s="135"/>
      <c r="H400" s="135"/>
      <c r="I400" s="135"/>
      <c r="J400" s="135"/>
      <c r="K400" s="135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25"/>
      <c r="AB400" s="13"/>
      <c r="AD400" s="115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127"/>
      <c r="AR400" s="29"/>
      <c r="BB400" s="25"/>
      <c r="BC400" s="13"/>
      <c r="BH400" s="116"/>
      <c r="BI400" s="123"/>
      <c r="BJ400" s="123"/>
      <c r="BK400" s="123"/>
      <c r="BP400" s="115"/>
      <c r="BQ400" s="115"/>
      <c r="BR400" s="115"/>
      <c r="BS400" s="115"/>
      <c r="BT400" s="115"/>
      <c r="BU400" s="115"/>
      <c r="BV400" s="115"/>
      <c r="BW400" s="115"/>
      <c r="BX400" s="115"/>
      <c r="BY400" s="115"/>
      <c r="BZ400" s="25"/>
      <c r="CA400" s="13"/>
      <c r="CD400" s="114"/>
    </row>
    <row r="401" spans="1:82" ht="20.100000000000001" customHeight="1" x14ac:dyDescent="0.4">
      <c r="A401" s="117"/>
      <c r="B401" s="123"/>
      <c r="C401" s="123"/>
      <c r="D401" s="123"/>
      <c r="F401" s="117"/>
      <c r="G401" s="135"/>
      <c r="H401" s="135"/>
      <c r="I401" s="135"/>
      <c r="J401" s="135"/>
      <c r="K401" s="135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25"/>
      <c r="AB401" s="13"/>
      <c r="AD401" s="115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29"/>
      <c r="AR401" s="29"/>
      <c r="BB401" s="25"/>
      <c r="BC401" s="13"/>
      <c r="BH401" s="116"/>
      <c r="BI401" s="123"/>
      <c r="BJ401" s="123"/>
      <c r="BK401" s="123"/>
      <c r="BP401" s="115"/>
      <c r="BQ401" s="115"/>
      <c r="BR401" s="115"/>
      <c r="BS401" s="115"/>
      <c r="BT401" s="115"/>
      <c r="BU401" s="115"/>
      <c r="BV401" s="115"/>
      <c r="BW401" s="115"/>
      <c r="BX401" s="115"/>
      <c r="BY401" s="115"/>
      <c r="BZ401" s="25"/>
      <c r="CA401" s="13"/>
      <c r="CD401" s="114"/>
    </row>
    <row r="402" spans="1:82" ht="20.100000000000001" customHeight="1" x14ac:dyDescent="0.4">
      <c r="A402" s="117"/>
      <c r="B402" s="123"/>
      <c r="C402" s="123"/>
      <c r="D402" s="123"/>
      <c r="F402" s="117"/>
      <c r="G402" s="135"/>
      <c r="H402" s="135"/>
      <c r="I402" s="135"/>
      <c r="J402" s="135"/>
      <c r="K402" s="135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25"/>
      <c r="AB402" s="13"/>
      <c r="AD402" s="115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29"/>
      <c r="AR402" s="29"/>
      <c r="BB402" s="25"/>
      <c r="BC402" s="13"/>
      <c r="BH402" s="116"/>
      <c r="BI402" s="123"/>
      <c r="BJ402" s="123"/>
      <c r="BK402" s="123"/>
      <c r="BP402" s="115"/>
      <c r="BQ402" s="115"/>
      <c r="BR402" s="115"/>
      <c r="BS402" s="115"/>
      <c r="BT402" s="115"/>
      <c r="BU402" s="115"/>
      <c r="BV402" s="115"/>
      <c r="BW402" s="115"/>
      <c r="BX402" s="115"/>
      <c r="BY402" s="115"/>
      <c r="BZ402" s="25"/>
      <c r="CA402" s="13"/>
      <c r="CD402" s="114"/>
    </row>
    <row r="403" spans="1:82" ht="20.100000000000001" customHeight="1" x14ac:dyDescent="0.4">
      <c r="A403" s="117"/>
      <c r="B403" s="123"/>
      <c r="C403" s="123"/>
      <c r="D403" s="123"/>
      <c r="F403" s="117"/>
      <c r="G403" s="135"/>
      <c r="H403" s="135"/>
      <c r="I403" s="135"/>
      <c r="J403" s="135"/>
      <c r="K403" s="135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25"/>
      <c r="AB403" s="13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29"/>
      <c r="AR403" s="29"/>
      <c r="BB403" s="25"/>
      <c r="BC403" s="13"/>
      <c r="BH403" s="116"/>
      <c r="BI403" s="123"/>
      <c r="BJ403" s="123"/>
      <c r="BK403" s="123"/>
      <c r="BP403" s="115"/>
      <c r="BQ403" s="115"/>
      <c r="BR403" s="115"/>
      <c r="BS403" s="115"/>
      <c r="BT403" s="115"/>
      <c r="BU403" s="115"/>
      <c r="BV403" s="115"/>
      <c r="BW403" s="115"/>
      <c r="BX403" s="115"/>
      <c r="BY403" s="115"/>
      <c r="BZ403" s="25"/>
      <c r="CA403" s="13"/>
      <c r="CD403" s="114"/>
    </row>
    <row r="404" spans="1:82" ht="20.100000000000001" customHeight="1" x14ac:dyDescent="0.4">
      <c r="A404" s="117"/>
      <c r="B404" s="123"/>
      <c r="C404" s="123"/>
      <c r="D404" s="123"/>
      <c r="F404" s="117"/>
      <c r="G404" s="135"/>
      <c r="H404" s="135"/>
      <c r="I404" s="135"/>
      <c r="J404" s="135"/>
      <c r="K404" s="135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25"/>
      <c r="AB404" s="13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27"/>
      <c r="AR404" s="29"/>
      <c r="BB404" s="25"/>
      <c r="BC404" s="13"/>
      <c r="BH404" s="116"/>
      <c r="BI404" s="123"/>
      <c r="BJ404" s="123"/>
      <c r="BK404" s="123"/>
      <c r="BP404" s="115"/>
      <c r="BQ404" s="115"/>
      <c r="BR404" s="115"/>
      <c r="BS404" s="115"/>
      <c r="BT404" s="115"/>
      <c r="BU404" s="115"/>
      <c r="BV404" s="115"/>
      <c r="BW404" s="115"/>
      <c r="BX404" s="115"/>
      <c r="BY404" s="115"/>
      <c r="BZ404" s="25"/>
      <c r="CA404" s="13"/>
      <c r="CD404" s="114"/>
    </row>
    <row r="405" spans="1:82" ht="20.100000000000001" customHeight="1" x14ac:dyDescent="0.4">
      <c r="A405" s="117"/>
      <c r="B405" s="123"/>
      <c r="C405" s="123"/>
      <c r="D405" s="123"/>
      <c r="F405" s="117"/>
      <c r="G405" s="135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25"/>
      <c r="AB405" s="13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15"/>
      <c r="AN405" s="115"/>
      <c r="AO405" s="115"/>
      <c r="AP405" s="115"/>
      <c r="AQ405" s="127"/>
      <c r="AR405" s="29"/>
      <c r="BB405" s="25"/>
      <c r="BC405" s="13"/>
      <c r="BH405" s="116"/>
      <c r="BI405" s="123"/>
      <c r="BJ405" s="123"/>
      <c r="BK405" s="123"/>
      <c r="BP405" s="115"/>
      <c r="BQ405" s="115"/>
      <c r="BR405" s="115"/>
      <c r="BS405" s="115"/>
      <c r="BT405" s="115"/>
      <c r="BU405" s="115"/>
      <c r="BV405" s="115"/>
      <c r="BW405" s="115"/>
      <c r="BX405" s="115"/>
      <c r="BY405" s="115"/>
      <c r="BZ405" s="25"/>
      <c r="CA405" s="13"/>
      <c r="CD405" s="114"/>
    </row>
    <row r="406" spans="1:82" ht="20.100000000000001" customHeight="1" x14ac:dyDescent="0.4">
      <c r="A406" s="117"/>
      <c r="B406" s="123"/>
      <c r="C406" s="123"/>
      <c r="D406" s="123"/>
      <c r="F406" s="117"/>
      <c r="G406" s="135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25"/>
      <c r="AB406" s="13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115"/>
      <c r="AQ406" s="127"/>
      <c r="AR406" s="29"/>
      <c r="BB406" s="25"/>
      <c r="BC406" s="13"/>
      <c r="BH406" s="116"/>
      <c r="BI406" s="123"/>
      <c r="BJ406" s="123"/>
      <c r="BK406" s="123"/>
      <c r="BP406" s="115"/>
      <c r="BQ406" s="115"/>
      <c r="BR406" s="115"/>
      <c r="BS406" s="115"/>
      <c r="BT406" s="115"/>
      <c r="BU406" s="115"/>
      <c r="BV406" s="115"/>
      <c r="BW406" s="115"/>
      <c r="BX406" s="115"/>
      <c r="BY406" s="115"/>
      <c r="BZ406" s="25"/>
      <c r="CA406" s="13"/>
      <c r="CD406" s="114"/>
    </row>
    <row r="407" spans="1:82" ht="20.100000000000001" customHeight="1" x14ac:dyDescent="0.4">
      <c r="A407" s="117"/>
      <c r="B407" s="123"/>
      <c r="C407" s="123"/>
      <c r="D407" s="123"/>
      <c r="F407" s="117"/>
      <c r="G407" s="135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"/>
      <c r="AB407" s="13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27"/>
      <c r="AR407" s="29"/>
      <c r="BB407" s="25"/>
      <c r="BC407" s="13"/>
      <c r="BH407" s="116"/>
      <c r="BI407" s="123"/>
      <c r="BJ407" s="123"/>
      <c r="BK407" s="123"/>
      <c r="BP407" s="115"/>
      <c r="BQ407" s="115"/>
      <c r="BR407" s="115"/>
      <c r="BS407" s="115"/>
      <c r="BT407" s="115"/>
      <c r="BU407" s="115"/>
      <c r="BV407" s="115"/>
      <c r="BW407" s="115"/>
      <c r="BX407" s="115"/>
      <c r="BY407" s="115"/>
      <c r="BZ407" s="25"/>
      <c r="CA407" s="13"/>
      <c r="CD407" s="114"/>
    </row>
    <row r="408" spans="1:82" ht="20.100000000000001" customHeight="1" x14ac:dyDescent="0.4">
      <c r="A408" s="117"/>
      <c r="B408" s="123"/>
      <c r="C408" s="123"/>
      <c r="D408" s="123"/>
      <c r="F408" s="117"/>
      <c r="G408" s="135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25"/>
      <c r="AB408" s="13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115"/>
      <c r="AO408" s="115"/>
      <c r="AP408" s="115"/>
      <c r="AQ408" s="127"/>
      <c r="AR408" s="29"/>
      <c r="BB408" s="25"/>
      <c r="BC408" s="13"/>
      <c r="BH408" s="116"/>
      <c r="BI408" s="123"/>
      <c r="BJ408" s="123"/>
      <c r="BK408" s="123"/>
      <c r="BP408" s="115"/>
      <c r="BQ408" s="115"/>
      <c r="BR408" s="115"/>
      <c r="BS408" s="115"/>
      <c r="BT408" s="115"/>
      <c r="BU408" s="115"/>
      <c r="BV408" s="115"/>
      <c r="BW408" s="115"/>
      <c r="BX408" s="115"/>
      <c r="BY408" s="115"/>
      <c r="BZ408" s="25"/>
      <c r="CA408" s="13"/>
      <c r="CD408" s="114"/>
    </row>
    <row r="409" spans="1:82" ht="20.100000000000001" customHeight="1" x14ac:dyDescent="0.4">
      <c r="A409" s="117"/>
      <c r="B409" s="123"/>
      <c r="C409" s="123"/>
      <c r="D409" s="123"/>
      <c r="F409" s="117"/>
      <c r="G409" s="135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25"/>
      <c r="AB409" s="13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115"/>
      <c r="AO409" s="115"/>
      <c r="AP409" s="115"/>
      <c r="AQ409" s="127"/>
      <c r="AR409" s="29"/>
      <c r="BB409" s="25"/>
      <c r="BC409" s="13"/>
      <c r="BH409" s="116"/>
      <c r="BI409" s="123"/>
      <c r="BJ409" s="123"/>
      <c r="BK409" s="123"/>
      <c r="BP409" s="115"/>
      <c r="BQ409" s="115"/>
      <c r="BR409" s="115"/>
      <c r="BS409" s="115"/>
      <c r="BT409" s="115"/>
      <c r="BU409" s="115"/>
      <c r="BV409" s="115"/>
      <c r="BW409" s="115"/>
      <c r="BX409" s="115"/>
      <c r="BY409" s="115"/>
      <c r="BZ409" s="25"/>
      <c r="CA409" s="13"/>
      <c r="CD409" s="114"/>
    </row>
    <row r="410" spans="1:82" ht="20.100000000000001" customHeight="1" x14ac:dyDescent="0.4">
      <c r="A410" s="117"/>
      <c r="B410" s="123"/>
      <c r="C410" s="123"/>
      <c r="D410" s="123"/>
      <c r="F410" s="117"/>
      <c r="G410" s="135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25"/>
      <c r="AB410" s="13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127"/>
      <c r="AR410" s="29"/>
      <c r="BB410" s="25"/>
      <c r="BC410" s="13"/>
      <c r="BH410" s="116"/>
      <c r="BI410" s="123"/>
      <c r="BJ410" s="123"/>
      <c r="BK410" s="123"/>
      <c r="BP410" s="115"/>
      <c r="BQ410" s="115"/>
      <c r="BR410" s="115"/>
      <c r="BS410" s="115"/>
      <c r="BT410" s="115"/>
      <c r="BU410" s="115"/>
      <c r="BV410" s="115"/>
      <c r="BW410" s="115"/>
      <c r="BX410" s="115"/>
      <c r="BY410" s="115"/>
      <c r="BZ410" s="25"/>
      <c r="CA410" s="13"/>
      <c r="CD410" s="114"/>
    </row>
    <row r="411" spans="1:82" ht="20.100000000000001" customHeight="1" x14ac:dyDescent="0.4">
      <c r="A411" s="117"/>
      <c r="B411" s="123"/>
      <c r="C411" s="123"/>
      <c r="D411" s="123"/>
      <c r="F411" s="117"/>
      <c r="G411" s="135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25"/>
      <c r="AB411" s="13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27"/>
      <c r="AR411" s="29"/>
      <c r="BB411" s="25"/>
      <c r="BC411" s="13"/>
      <c r="BH411" s="116"/>
      <c r="BI411" s="123"/>
      <c r="BJ411" s="123"/>
      <c r="BK411" s="123"/>
      <c r="BP411" s="115"/>
      <c r="BQ411" s="115"/>
      <c r="BR411" s="115"/>
      <c r="BS411" s="115"/>
      <c r="BT411" s="115"/>
      <c r="BU411" s="115"/>
      <c r="BV411" s="115"/>
      <c r="BW411" s="115"/>
      <c r="BX411" s="115"/>
      <c r="BY411" s="115"/>
      <c r="BZ411" s="25"/>
      <c r="CA411" s="13"/>
      <c r="CD411" s="114"/>
    </row>
    <row r="412" spans="1:82" ht="20.100000000000001" customHeight="1" x14ac:dyDescent="0.4">
      <c r="A412" s="117"/>
      <c r="B412" s="123"/>
      <c r="C412" s="123"/>
      <c r="D412" s="123"/>
      <c r="F412" s="117"/>
      <c r="G412" s="135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"/>
      <c r="AB412" s="13"/>
      <c r="AD412" s="115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127"/>
      <c r="AR412" s="29"/>
      <c r="BB412" s="25"/>
      <c r="BC412" s="13"/>
      <c r="BH412" s="116"/>
      <c r="BI412" s="123"/>
      <c r="BJ412" s="123"/>
      <c r="BK412" s="123"/>
      <c r="BP412" s="115"/>
      <c r="BQ412" s="115"/>
      <c r="BR412" s="115"/>
      <c r="BS412" s="115"/>
      <c r="BT412" s="115"/>
      <c r="BU412" s="115"/>
      <c r="BV412" s="115"/>
      <c r="BW412" s="115"/>
      <c r="BX412" s="115"/>
      <c r="BY412" s="115"/>
      <c r="BZ412" s="25"/>
      <c r="CA412" s="13"/>
      <c r="CD412" s="114"/>
    </row>
    <row r="413" spans="1:82" ht="20.100000000000001" customHeight="1" x14ac:dyDescent="0.4">
      <c r="A413" s="117"/>
      <c r="B413" s="123"/>
      <c r="C413" s="123"/>
      <c r="D413" s="123"/>
      <c r="F413" s="117"/>
      <c r="G413" s="135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25"/>
      <c r="AB413" s="13"/>
      <c r="AD413" s="115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27"/>
      <c r="AR413" s="29"/>
      <c r="BB413" s="25"/>
      <c r="BC413" s="13"/>
      <c r="BH413" s="116"/>
      <c r="BI413" s="123"/>
      <c r="BJ413" s="123"/>
      <c r="BK413" s="123"/>
      <c r="BP413" s="115"/>
      <c r="BQ413" s="115"/>
      <c r="BR413" s="115"/>
      <c r="BS413" s="115"/>
      <c r="BT413" s="115"/>
      <c r="BU413" s="115"/>
      <c r="BV413" s="115"/>
      <c r="BW413" s="115"/>
      <c r="BX413" s="115"/>
      <c r="BY413" s="115"/>
      <c r="BZ413" s="25"/>
      <c r="CA413" s="13"/>
      <c r="CD413" s="114"/>
    </row>
    <row r="414" spans="1:82" ht="20.100000000000001" customHeight="1" x14ac:dyDescent="0.4">
      <c r="A414" s="117"/>
      <c r="B414" s="123"/>
      <c r="C414" s="123"/>
      <c r="D414" s="123"/>
      <c r="F414" s="117"/>
      <c r="G414" s="135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25"/>
      <c r="AB414" s="13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127"/>
      <c r="AR414" s="29"/>
      <c r="BB414" s="25"/>
      <c r="BC414" s="13"/>
      <c r="BH414" s="116"/>
      <c r="BI414" s="123"/>
      <c r="BJ414" s="123"/>
      <c r="BK414" s="123"/>
      <c r="BP414" s="115"/>
      <c r="BQ414" s="115"/>
      <c r="BR414" s="115"/>
      <c r="BS414" s="115"/>
      <c r="BT414" s="115"/>
      <c r="BU414" s="115"/>
      <c r="BV414" s="115"/>
      <c r="BW414" s="115"/>
      <c r="BX414" s="115"/>
      <c r="BY414" s="115"/>
      <c r="BZ414" s="25"/>
      <c r="CA414" s="13"/>
      <c r="CD414" s="114"/>
    </row>
    <row r="415" spans="1:82" ht="20.100000000000001" customHeight="1" x14ac:dyDescent="0.4">
      <c r="A415" s="117"/>
      <c r="B415" s="123"/>
      <c r="C415" s="123"/>
      <c r="D415" s="123"/>
      <c r="F415" s="117"/>
      <c r="G415" s="135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"/>
      <c r="AB415" s="13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27"/>
      <c r="AR415" s="29"/>
      <c r="BB415" s="25"/>
      <c r="BC415" s="13"/>
      <c r="BH415" s="116"/>
      <c r="BI415" s="123"/>
      <c r="BJ415" s="123"/>
      <c r="BK415" s="123"/>
      <c r="BP415" s="115"/>
      <c r="BQ415" s="115"/>
      <c r="BR415" s="115"/>
      <c r="BS415" s="115"/>
      <c r="BT415" s="115"/>
      <c r="BU415" s="115"/>
      <c r="BV415" s="115"/>
      <c r="BW415" s="115"/>
      <c r="BX415" s="115"/>
      <c r="BY415" s="115"/>
      <c r="BZ415" s="25"/>
      <c r="CA415" s="13"/>
      <c r="CD415" s="114"/>
    </row>
    <row r="416" spans="1:82" ht="20.100000000000001" customHeight="1" x14ac:dyDescent="0.4">
      <c r="A416" s="117"/>
      <c r="B416" s="123"/>
      <c r="C416" s="123"/>
      <c r="D416" s="123"/>
      <c r="F416" s="117"/>
      <c r="G416" s="135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25"/>
      <c r="AB416" s="13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127"/>
      <c r="AR416" s="29"/>
      <c r="BB416" s="25"/>
      <c r="BC416" s="13"/>
      <c r="BH416" s="116"/>
      <c r="BI416" s="123"/>
      <c r="BJ416" s="123"/>
      <c r="BK416" s="123"/>
      <c r="BP416" s="115"/>
      <c r="BQ416" s="115"/>
      <c r="BR416" s="115"/>
      <c r="BS416" s="115"/>
      <c r="BT416" s="115"/>
      <c r="BU416" s="115"/>
      <c r="BV416" s="115"/>
      <c r="BW416" s="115"/>
      <c r="BX416" s="115"/>
      <c r="BY416" s="115"/>
      <c r="BZ416" s="25"/>
      <c r="CA416" s="13"/>
      <c r="CD416" s="114"/>
    </row>
    <row r="417" spans="1:82" ht="20.100000000000001" customHeight="1" x14ac:dyDescent="0.4">
      <c r="A417" s="117"/>
      <c r="B417" s="123"/>
      <c r="C417" s="123"/>
      <c r="D417" s="123"/>
      <c r="F417" s="117"/>
      <c r="G417" s="135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"/>
      <c r="AB417" s="13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27"/>
      <c r="AR417" s="29"/>
      <c r="BB417" s="25"/>
      <c r="BC417" s="13"/>
      <c r="BH417" s="116"/>
      <c r="BI417" s="123"/>
      <c r="BJ417" s="123"/>
      <c r="BK417" s="123"/>
      <c r="BP417" s="115"/>
      <c r="BQ417" s="115"/>
      <c r="BR417" s="115"/>
      <c r="BS417" s="115"/>
      <c r="BT417" s="115"/>
      <c r="BU417" s="115"/>
      <c r="BV417" s="115"/>
      <c r="BW417" s="115"/>
      <c r="BX417" s="115"/>
      <c r="BY417" s="115"/>
      <c r="BZ417" s="25"/>
      <c r="CA417" s="13"/>
      <c r="CD417" s="114"/>
    </row>
    <row r="418" spans="1:82" ht="20.100000000000001" customHeight="1" x14ac:dyDescent="0.4">
      <c r="A418" s="117"/>
      <c r="B418" s="123"/>
      <c r="C418" s="123"/>
      <c r="D418" s="123"/>
      <c r="F418" s="117"/>
      <c r="G418" s="135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25"/>
      <c r="AB418" s="13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27"/>
      <c r="AR418" s="29"/>
      <c r="BB418" s="25"/>
      <c r="BC418" s="13"/>
      <c r="BH418" s="116"/>
      <c r="BI418" s="123"/>
      <c r="BJ418" s="123"/>
      <c r="BK418" s="123"/>
      <c r="BP418" s="115"/>
      <c r="BQ418" s="115"/>
      <c r="BR418" s="115"/>
      <c r="BS418" s="115"/>
      <c r="BT418" s="115"/>
      <c r="BU418" s="115"/>
      <c r="BV418" s="115"/>
      <c r="BW418" s="115"/>
      <c r="BX418" s="115"/>
      <c r="BY418" s="115"/>
      <c r="BZ418" s="25"/>
      <c r="CA418" s="13"/>
      <c r="CD418" s="114"/>
    </row>
    <row r="419" spans="1:82" ht="20.100000000000001" customHeight="1" x14ac:dyDescent="0.4">
      <c r="A419" s="117"/>
      <c r="B419" s="123"/>
      <c r="C419" s="123"/>
      <c r="D419" s="123"/>
      <c r="F419" s="117"/>
      <c r="G419" s="135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"/>
      <c r="AB419" s="13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27"/>
      <c r="AR419" s="29"/>
      <c r="BB419" s="25"/>
      <c r="BC419" s="13"/>
      <c r="BH419" s="116"/>
      <c r="BI419" s="123"/>
      <c r="BJ419" s="123"/>
      <c r="BK419" s="123"/>
      <c r="BP419" s="115"/>
      <c r="BQ419" s="115"/>
      <c r="BR419" s="115"/>
      <c r="BS419" s="115"/>
      <c r="BT419" s="115"/>
      <c r="BU419" s="115"/>
      <c r="BV419" s="115"/>
      <c r="BW419" s="115"/>
      <c r="BX419" s="115"/>
      <c r="BY419" s="115"/>
      <c r="BZ419" s="25"/>
      <c r="CA419" s="13"/>
      <c r="CD419" s="114"/>
    </row>
    <row r="420" spans="1:82" ht="20.100000000000001" customHeight="1" x14ac:dyDescent="0.4">
      <c r="A420" s="117"/>
      <c r="B420" s="123"/>
      <c r="C420" s="123"/>
      <c r="D420" s="123"/>
      <c r="F420" s="117"/>
      <c r="G420" s="135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25"/>
      <c r="AB420" s="13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127"/>
      <c r="AR420" s="29"/>
      <c r="BB420" s="25"/>
      <c r="BC420" s="13"/>
      <c r="BH420" s="116"/>
      <c r="BI420" s="123"/>
      <c r="BJ420" s="123"/>
      <c r="BK420" s="123"/>
      <c r="BP420" s="115"/>
      <c r="BQ420" s="115"/>
      <c r="BR420" s="115"/>
      <c r="BS420" s="115"/>
      <c r="BT420" s="115"/>
      <c r="BU420" s="115"/>
      <c r="BV420" s="115"/>
      <c r="BW420" s="115"/>
      <c r="BX420" s="115"/>
      <c r="BY420" s="115"/>
      <c r="BZ420" s="25"/>
      <c r="CA420" s="13"/>
      <c r="CD420" s="114"/>
    </row>
    <row r="421" spans="1:82" ht="20.100000000000001" customHeight="1" x14ac:dyDescent="0.4">
      <c r="A421" s="117"/>
      <c r="B421" s="123"/>
      <c r="C421" s="123"/>
      <c r="D421" s="123"/>
      <c r="F421" s="117"/>
      <c r="G421" s="135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25"/>
      <c r="AB421" s="13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27"/>
      <c r="AR421" s="29"/>
      <c r="BB421" s="25"/>
      <c r="BC421" s="13"/>
      <c r="BH421" s="116"/>
      <c r="BI421" s="123"/>
      <c r="BJ421" s="123"/>
      <c r="BK421" s="123"/>
      <c r="BP421" s="115"/>
      <c r="BQ421" s="115"/>
      <c r="BR421" s="115"/>
      <c r="BS421" s="115"/>
      <c r="BT421" s="115"/>
      <c r="BU421" s="115"/>
      <c r="BV421" s="115"/>
      <c r="BW421" s="115"/>
      <c r="BX421" s="115"/>
      <c r="BY421" s="115"/>
      <c r="BZ421" s="25"/>
      <c r="CA421" s="13"/>
      <c r="CD421" s="114"/>
    </row>
    <row r="422" spans="1:82" ht="20.100000000000001" customHeight="1" x14ac:dyDescent="0.4">
      <c r="A422" s="117"/>
      <c r="B422" s="123"/>
      <c r="C422" s="123"/>
      <c r="D422" s="123"/>
      <c r="F422" s="117"/>
      <c r="G422" s="135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26"/>
      <c r="AB422" s="15"/>
      <c r="AQ422" s="127"/>
      <c r="AR422" s="29"/>
      <c r="BB422" s="25"/>
      <c r="BC422" s="13"/>
      <c r="BH422" s="116"/>
      <c r="BI422" s="123"/>
      <c r="BJ422" s="123"/>
      <c r="BK422" s="123"/>
      <c r="BP422" s="115"/>
      <c r="BQ422" s="115"/>
      <c r="BR422" s="115"/>
      <c r="BS422" s="115"/>
      <c r="BT422" s="115"/>
      <c r="BU422" s="115"/>
      <c r="BV422" s="115"/>
      <c r="BW422" s="115"/>
      <c r="BX422" s="115"/>
      <c r="BY422" s="115"/>
      <c r="BZ422" s="25"/>
      <c r="CA422" s="13"/>
      <c r="CD422" s="114"/>
    </row>
    <row r="423" spans="1:82" ht="20.100000000000001" customHeight="1" x14ac:dyDescent="0.4">
      <c r="A423" s="117"/>
      <c r="B423" s="123"/>
      <c r="C423" s="123"/>
      <c r="D423" s="123"/>
      <c r="F423" s="117"/>
      <c r="G423" s="135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7"/>
      <c r="AB423" s="15"/>
      <c r="AQ423" s="127"/>
      <c r="AR423" s="29"/>
      <c r="BB423" s="25"/>
      <c r="BC423" s="13"/>
      <c r="BH423" s="116"/>
      <c r="BI423" s="123"/>
      <c r="BJ423" s="123"/>
      <c r="BK423" s="123"/>
      <c r="BP423" s="115"/>
      <c r="BQ423" s="115"/>
      <c r="BR423" s="115"/>
      <c r="BS423" s="115"/>
      <c r="BT423" s="115"/>
      <c r="BU423" s="115"/>
      <c r="BV423" s="115"/>
      <c r="BW423" s="115"/>
      <c r="BX423" s="115"/>
      <c r="BY423" s="115"/>
      <c r="BZ423" s="25"/>
      <c r="CA423" s="13"/>
      <c r="CD423" s="114"/>
    </row>
    <row r="424" spans="1:82" ht="20.100000000000001" customHeight="1" x14ac:dyDescent="0.4">
      <c r="A424" s="117"/>
      <c r="B424" s="123"/>
      <c r="C424" s="123"/>
      <c r="D424" s="123"/>
      <c r="F424" s="117"/>
      <c r="G424" s="135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26"/>
      <c r="AB424" s="15"/>
      <c r="AM424" s="115"/>
      <c r="AN424" s="115"/>
      <c r="AO424" s="115"/>
      <c r="AP424" s="115"/>
      <c r="AQ424" s="127"/>
      <c r="AR424" s="29"/>
      <c r="BB424" s="25"/>
      <c r="BC424" s="13"/>
      <c r="BH424" s="116"/>
      <c r="BI424" s="123"/>
      <c r="BJ424" s="123"/>
      <c r="BK424" s="123"/>
      <c r="BP424" s="115"/>
      <c r="BQ424" s="115"/>
      <c r="BR424" s="115"/>
      <c r="BS424" s="115"/>
      <c r="BT424" s="115"/>
      <c r="BU424" s="115"/>
      <c r="BV424" s="115"/>
      <c r="BW424" s="115"/>
      <c r="BX424" s="115"/>
      <c r="BY424" s="115"/>
      <c r="BZ424" s="25"/>
      <c r="CA424" s="13"/>
      <c r="CD424" s="114"/>
    </row>
    <row r="425" spans="1:82" ht="20.100000000000001" customHeight="1" x14ac:dyDescent="0.4">
      <c r="A425" s="117"/>
      <c r="B425" s="123"/>
      <c r="C425" s="123"/>
      <c r="D425" s="123"/>
      <c r="F425" s="117"/>
      <c r="G425" s="135"/>
      <c r="H425" s="136"/>
      <c r="I425" s="136"/>
      <c r="J425" s="136"/>
      <c r="K425" s="136"/>
      <c r="L425" s="136"/>
      <c r="M425" s="136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30"/>
      <c r="AB425" s="15"/>
      <c r="AM425" s="115"/>
      <c r="AN425" s="115"/>
      <c r="AO425" s="115"/>
      <c r="AP425" s="115"/>
      <c r="AQ425" s="127"/>
      <c r="AR425" s="29"/>
      <c r="BB425" s="25"/>
      <c r="BC425" s="13"/>
      <c r="BH425" s="116"/>
      <c r="BI425" s="123"/>
      <c r="BJ425" s="123"/>
      <c r="BK425" s="123"/>
      <c r="BP425" s="115"/>
      <c r="BQ425" s="115"/>
      <c r="BR425" s="115"/>
      <c r="BS425" s="115"/>
      <c r="BT425" s="115"/>
      <c r="BU425" s="115"/>
      <c r="BV425" s="115"/>
      <c r="BW425" s="115"/>
      <c r="BX425" s="115"/>
      <c r="BY425" s="115"/>
      <c r="BZ425" s="25"/>
      <c r="CA425" s="13"/>
      <c r="CD425" s="114"/>
    </row>
    <row r="426" spans="1:82" ht="20.100000000000001" customHeight="1" x14ac:dyDescent="0.4">
      <c r="A426" s="117"/>
      <c r="B426" s="123"/>
      <c r="C426" s="123"/>
      <c r="D426" s="123"/>
      <c r="F426" s="117"/>
      <c r="G426" s="135"/>
      <c r="H426" s="136"/>
      <c r="I426" s="136"/>
      <c r="J426" s="136"/>
      <c r="K426" s="136"/>
      <c r="L426" s="136"/>
      <c r="M426" s="136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  <c r="AA426" s="141"/>
      <c r="AB426" s="13"/>
      <c r="AM426" s="115"/>
      <c r="AN426" s="115"/>
      <c r="AO426" s="115"/>
      <c r="AP426" s="115"/>
      <c r="AQ426" s="127"/>
      <c r="AR426" s="29"/>
      <c r="BB426" s="25"/>
      <c r="BC426" s="13"/>
      <c r="BH426" s="116"/>
      <c r="BI426" s="123"/>
      <c r="BJ426" s="123"/>
      <c r="BK426" s="123"/>
      <c r="BP426" s="115"/>
      <c r="BQ426" s="115"/>
      <c r="BR426" s="115"/>
      <c r="BS426" s="115"/>
      <c r="BT426" s="115"/>
      <c r="BU426" s="115"/>
      <c r="BV426" s="115"/>
      <c r="BW426" s="115"/>
      <c r="BX426" s="115"/>
      <c r="BY426" s="115"/>
      <c r="BZ426" s="25"/>
      <c r="CA426" s="13"/>
      <c r="CD426" s="114"/>
    </row>
    <row r="427" spans="1:82" ht="20.100000000000001" customHeight="1" x14ac:dyDescent="0.4">
      <c r="A427" s="117"/>
      <c r="B427" s="123"/>
      <c r="C427" s="123"/>
      <c r="D427" s="123"/>
      <c r="F427" s="117"/>
      <c r="G427" s="135"/>
      <c r="H427" s="136"/>
      <c r="I427" s="136"/>
      <c r="J427" s="136"/>
      <c r="K427" s="136"/>
      <c r="L427" s="136"/>
      <c r="M427" s="136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  <c r="AA427" s="141"/>
      <c r="AB427" s="13"/>
      <c r="AM427" s="115"/>
      <c r="AN427" s="115"/>
      <c r="AO427" s="115"/>
      <c r="AP427" s="115"/>
      <c r="AQ427" s="127"/>
      <c r="AR427" s="29"/>
      <c r="BB427" s="25"/>
      <c r="BC427" s="13"/>
      <c r="BH427" s="116"/>
      <c r="BI427" s="123"/>
      <c r="BJ427" s="123"/>
      <c r="BK427" s="123"/>
      <c r="BP427" s="115"/>
      <c r="BQ427" s="115"/>
      <c r="BR427" s="115"/>
      <c r="BS427" s="115"/>
      <c r="BT427" s="115"/>
      <c r="BU427" s="115"/>
      <c r="BV427" s="115"/>
      <c r="BW427" s="115"/>
      <c r="BX427" s="115"/>
      <c r="BY427" s="115"/>
      <c r="BZ427" s="25"/>
      <c r="CA427" s="13"/>
      <c r="CD427" s="114"/>
    </row>
    <row r="428" spans="1:82" ht="20.100000000000001" customHeight="1" x14ac:dyDescent="0.4">
      <c r="A428" s="117"/>
      <c r="B428" s="123"/>
      <c r="C428" s="123"/>
      <c r="D428" s="123"/>
      <c r="F428" s="117"/>
      <c r="G428" s="135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25"/>
      <c r="AB428" s="13"/>
      <c r="AM428" s="115"/>
      <c r="AN428" s="115"/>
      <c r="AO428" s="115"/>
      <c r="AP428" s="115"/>
      <c r="AQ428" s="127"/>
      <c r="AR428" s="29"/>
      <c r="BB428" s="25"/>
      <c r="BC428" s="13"/>
      <c r="BH428" s="116"/>
      <c r="BI428" s="123"/>
      <c r="BJ428" s="123"/>
      <c r="BK428" s="123"/>
      <c r="BP428" s="115"/>
      <c r="BQ428" s="115"/>
      <c r="BR428" s="115"/>
      <c r="BS428" s="115"/>
      <c r="BT428" s="115"/>
      <c r="BU428" s="115"/>
      <c r="BV428" s="115"/>
      <c r="BW428" s="115"/>
      <c r="BX428" s="115"/>
      <c r="BY428" s="115"/>
      <c r="BZ428" s="25"/>
      <c r="CA428" s="13"/>
      <c r="CD428" s="114"/>
    </row>
    <row r="429" spans="1:82" ht="20.100000000000001" customHeight="1" x14ac:dyDescent="0.4">
      <c r="A429" s="117"/>
      <c r="B429" s="123"/>
      <c r="C429" s="123"/>
      <c r="D429" s="123"/>
      <c r="F429" s="117"/>
      <c r="G429" s="135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25"/>
      <c r="AB429" s="13"/>
      <c r="AM429" s="115"/>
      <c r="AN429" s="115"/>
      <c r="AO429" s="115"/>
      <c r="AP429" s="115"/>
      <c r="AQ429" s="127"/>
      <c r="AR429" s="29"/>
      <c r="BB429" s="25"/>
      <c r="BC429" s="13"/>
      <c r="BH429" s="116"/>
      <c r="BI429" s="123"/>
      <c r="BJ429" s="123"/>
      <c r="BK429" s="123"/>
      <c r="BP429" s="115"/>
      <c r="BQ429" s="115"/>
      <c r="BR429" s="115"/>
      <c r="BS429" s="115"/>
      <c r="BT429" s="115"/>
      <c r="BU429" s="115"/>
      <c r="BV429" s="115"/>
      <c r="BW429" s="115"/>
      <c r="BX429" s="115"/>
      <c r="BY429" s="115"/>
      <c r="BZ429" s="25"/>
      <c r="CA429" s="13"/>
      <c r="CD429" s="114"/>
    </row>
    <row r="430" spans="1:82" ht="20.100000000000001" customHeight="1" x14ac:dyDescent="0.4">
      <c r="A430" s="117"/>
      <c r="B430" s="123"/>
      <c r="C430" s="123"/>
      <c r="D430" s="123"/>
      <c r="F430" s="117"/>
      <c r="G430" s="135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25"/>
      <c r="AB430" s="13"/>
      <c r="AI430" s="115"/>
      <c r="AJ430" s="115"/>
      <c r="AK430" s="115"/>
      <c r="AL430" s="115"/>
      <c r="AM430" s="115"/>
      <c r="AN430" s="115"/>
      <c r="AO430" s="115"/>
      <c r="AP430" s="115"/>
      <c r="AQ430" s="127"/>
      <c r="AR430" s="29"/>
      <c r="BB430" s="25"/>
      <c r="BC430" s="13"/>
      <c r="BH430" s="116"/>
      <c r="BI430" s="123"/>
      <c r="BJ430" s="123"/>
      <c r="BK430" s="123"/>
      <c r="BP430" s="115"/>
      <c r="BQ430" s="115"/>
      <c r="BR430" s="115"/>
      <c r="BS430" s="115"/>
      <c r="BT430" s="115"/>
      <c r="BU430" s="115"/>
      <c r="BV430" s="115"/>
      <c r="BW430" s="115"/>
      <c r="BX430" s="115"/>
      <c r="BY430" s="115"/>
      <c r="BZ430" s="25"/>
      <c r="CA430" s="13"/>
      <c r="CD430" s="114"/>
    </row>
    <row r="431" spans="1:82" ht="20.100000000000001" customHeight="1" x14ac:dyDescent="0.4">
      <c r="A431" s="117"/>
      <c r="B431" s="123"/>
      <c r="C431" s="123"/>
      <c r="D431" s="123"/>
      <c r="F431" s="117"/>
      <c r="G431" s="135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25"/>
      <c r="AB431" s="13"/>
      <c r="AI431" s="115"/>
      <c r="AJ431" s="115"/>
      <c r="AK431" s="115"/>
      <c r="AL431" s="115"/>
      <c r="AM431" s="115"/>
      <c r="AN431" s="115"/>
      <c r="AO431" s="115"/>
      <c r="AP431" s="115"/>
      <c r="AQ431" s="29"/>
      <c r="AR431" s="29"/>
      <c r="BB431" s="25"/>
      <c r="BC431" s="13"/>
      <c r="BH431" s="116"/>
      <c r="BI431" s="123"/>
      <c r="BJ431" s="123"/>
      <c r="BK431" s="123"/>
      <c r="BP431" s="115"/>
      <c r="BQ431" s="115"/>
      <c r="BR431" s="115"/>
      <c r="BS431" s="115"/>
      <c r="BT431" s="115"/>
      <c r="BU431" s="115"/>
      <c r="BV431" s="115"/>
      <c r="BW431" s="115"/>
      <c r="BX431" s="115"/>
      <c r="BY431" s="115"/>
      <c r="BZ431" s="25"/>
      <c r="CA431" s="13"/>
      <c r="CD431" s="114"/>
    </row>
    <row r="432" spans="1:82" ht="20.100000000000001" customHeight="1" x14ac:dyDescent="0.4">
      <c r="A432" s="117"/>
      <c r="B432" s="123"/>
      <c r="C432" s="123"/>
      <c r="D432" s="123"/>
      <c r="F432" s="117"/>
      <c r="G432" s="135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"/>
      <c r="AB432" s="13"/>
      <c r="AI432" s="115"/>
      <c r="AJ432" s="115"/>
      <c r="AK432" s="115"/>
      <c r="AL432" s="115"/>
      <c r="AM432" s="115"/>
      <c r="AN432" s="115"/>
      <c r="AO432" s="115"/>
      <c r="AP432" s="115"/>
      <c r="AQ432" s="29"/>
      <c r="AR432" s="29"/>
      <c r="BB432" s="25"/>
      <c r="BC432" s="13"/>
      <c r="BH432" s="116"/>
      <c r="BI432" s="123"/>
      <c r="BJ432" s="123"/>
      <c r="BK432" s="123"/>
      <c r="BP432" s="115"/>
      <c r="BQ432" s="115"/>
      <c r="BR432" s="115"/>
      <c r="BS432" s="115"/>
      <c r="BT432" s="115"/>
      <c r="BU432" s="115"/>
      <c r="BV432" s="115"/>
      <c r="BW432" s="115"/>
      <c r="BX432" s="115"/>
      <c r="BY432" s="115"/>
      <c r="BZ432" s="25"/>
      <c r="CA432" s="13"/>
      <c r="CD432" s="114"/>
    </row>
    <row r="433" spans="1:82" ht="20.100000000000001" customHeight="1" x14ac:dyDescent="0.4">
      <c r="A433" s="117"/>
      <c r="B433" s="123"/>
      <c r="C433" s="123"/>
      <c r="D433" s="123"/>
      <c r="F433" s="117"/>
      <c r="G433" s="135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25"/>
      <c r="AB433" s="13"/>
      <c r="AI433" s="115"/>
      <c r="AJ433" s="115"/>
      <c r="AK433" s="115"/>
      <c r="AL433" s="115"/>
      <c r="AM433" s="115"/>
      <c r="AN433" s="115"/>
      <c r="AO433" s="115"/>
      <c r="AP433" s="115"/>
      <c r="AQ433" s="127"/>
      <c r="AR433" s="29"/>
      <c r="BB433" s="25"/>
      <c r="BC433" s="13"/>
      <c r="BH433" s="116"/>
      <c r="BI433" s="123"/>
      <c r="BJ433" s="123"/>
      <c r="BK433" s="123"/>
      <c r="BP433" s="115"/>
      <c r="BQ433" s="115"/>
      <c r="BR433" s="115"/>
      <c r="BS433" s="115"/>
      <c r="BT433" s="115"/>
      <c r="BU433" s="115"/>
      <c r="BV433" s="115"/>
      <c r="BW433" s="115"/>
      <c r="BX433" s="115"/>
      <c r="BY433" s="115"/>
      <c r="BZ433" s="25"/>
      <c r="CA433" s="13"/>
      <c r="CD433" s="114"/>
    </row>
    <row r="434" spans="1:82" ht="20.100000000000001" customHeight="1" x14ac:dyDescent="0.4">
      <c r="A434" s="117"/>
      <c r="B434" s="123"/>
      <c r="C434" s="123"/>
      <c r="D434" s="123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26"/>
      <c r="AB434" s="13"/>
      <c r="AI434" s="115"/>
      <c r="AJ434" s="115"/>
      <c r="AK434" s="115"/>
      <c r="AL434" s="115"/>
      <c r="AM434" s="115"/>
      <c r="AN434" s="115"/>
      <c r="AO434" s="115"/>
      <c r="AP434" s="115"/>
      <c r="AQ434" s="127"/>
      <c r="AR434" s="29"/>
      <c r="BB434" s="25"/>
      <c r="BC434" s="13"/>
      <c r="BH434" s="116"/>
      <c r="BI434" s="123"/>
      <c r="BJ434" s="123"/>
      <c r="BK434" s="123"/>
      <c r="BP434" s="115"/>
      <c r="BQ434" s="115"/>
      <c r="BR434" s="115"/>
      <c r="BS434" s="115"/>
      <c r="BT434" s="115"/>
      <c r="BU434" s="115"/>
      <c r="BV434" s="115"/>
      <c r="BW434" s="115"/>
      <c r="BX434" s="115"/>
      <c r="BY434" s="115"/>
      <c r="BZ434" s="25"/>
      <c r="CA434" s="13"/>
      <c r="CD434" s="114"/>
    </row>
    <row r="435" spans="1:82" ht="20.100000000000001" customHeight="1" x14ac:dyDescent="0.4">
      <c r="A435" s="117"/>
      <c r="B435" s="123"/>
      <c r="C435" s="123"/>
      <c r="D435" s="123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26"/>
      <c r="AB435" s="13"/>
      <c r="AI435" s="115"/>
      <c r="AJ435" s="115"/>
      <c r="AK435" s="115"/>
      <c r="AL435" s="115"/>
      <c r="AM435" s="115"/>
      <c r="AN435" s="115"/>
      <c r="AO435" s="115"/>
      <c r="AP435" s="115"/>
      <c r="AQ435" s="127"/>
      <c r="AR435" s="29"/>
      <c r="BB435" s="25"/>
      <c r="BC435" s="13"/>
      <c r="BH435" s="116"/>
      <c r="BI435" s="123"/>
      <c r="BJ435" s="123"/>
      <c r="BK435" s="123"/>
      <c r="BP435" s="115"/>
      <c r="BQ435" s="115"/>
      <c r="BR435" s="115"/>
      <c r="BS435" s="115"/>
      <c r="BT435" s="115"/>
      <c r="BU435" s="115"/>
      <c r="BV435" s="115"/>
      <c r="BW435" s="115"/>
      <c r="BX435" s="115"/>
      <c r="BY435" s="115"/>
      <c r="BZ435" s="25"/>
      <c r="CA435" s="13"/>
      <c r="CD435" s="114"/>
    </row>
    <row r="436" spans="1:82" ht="20.100000000000001" customHeight="1" x14ac:dyDescent="0.4">
      <c r="A436" s="117"/>
      <c r="B436" s="123"/>
      <c r="C436" s="123"/>
      <c r="D436" s="123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26"/>
      <c r="AB436" s="13"/>
      <c r="AI436" s="115"/>
      <c r="AJ436" s="115"/>
      <c r="AK436" s="115"/>
      <c r="AL436" s="115"/>
      <c r="AM436" s="115"/>
      <c r="AN436" s="115"/>
      <c r="AO436" s="115"/>
      <c r="AP436" s="115"/>
      <c r="AQ436" s="127"/>
      <c r="AR436" s="29"/>
      <c r="BB436" s="25"/>
      <c r="BC436" s="13"/>
      <c r="BH436" s="116"/>
      <c r="BI436" s="123"/>
      <c r="BJ436" s="123"/>
      <c r="BK436" s="123"/>
      <c r="BP436" s="115"/>
      <c r="BQ436" s="115"/>
      <c r="BR436" s="115"/>
      <c r="BS436" s="115"/>
      <c r="BT436" s="115"/>
      <c r="BU436" s="115"/>
      <c r="BV436" s="115"/>
      <c r="BW436" s="115"/>
      <c r="BX436" s="115"/>
      <c r="BY436" s="115"/>
      <c r="BZ436" s="25"/>
      <c r="CA436" s="13"/>
      <c r="CD436" s="114"/>
    </row>
    <row r="437" spans="1:82" ht="20.100000000000001" customHeight="1" x14ac:dyDescent="0.4">
      <c r="A437" s="117"/>
      <c r="B437" s="123"/>
      <c r="C437" s="123"/>
      <c r="D437" s="123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26"/>
      <c r="AB437" s="13"/>
      <c r="AI437" s="115"/>
      <c r="AJ437" s="115"/>
      <c r="AK437" s="115"/>
      <c r="AL437" s="115"/>
      <c r="AM437" s="115"/>
      <c r="AN437" s="115"/>
      <c r="AO437" s="115"/>
      <c r="AP437" s="115"/>
      <c r="AQ437" s="127"/>
      <c r="AR437" s="29"/>
      <c r="BB437" s="25"/>
      <c r="BC437" s="13"/>
      <c r="BH437" s="116"/>
      <c r="BI437" s="123"/>
      <c r="BJ437" s="123"/>
      <c r="BK437" s="123"/>
      <c r="BP437" s="115"/>
      <c r="BQ437" s="115"/>
      <c r="BR437" s="115"/>
      <c r="BS437" s="115"/>
      <c r="BT437" s="115"/>
      <c r="BU437" s="115"/>
      <c r="BV437" s="115"/>
      <c r="BW437" s="115"/>
      <c r="BX437" s="115"/>
      <c r="BY437" s="115"/>
      <c r="BZ437" s="25"/>
      <c r="CA437" s="13"/>
      <c r="CD437" s="114"/>
    </row>
    <row r="438" spans="1:82" ht="20.100000000000001" customHeight="1" x14ac:dyDescent="0.4">
      <c r="A438" s="117"/>
      <c r="B438" s="123"/>
      <c r="C438" s="123"/>
      <c r="D438" s="123"/>
      <c r="AA438" s="26"/>
      <c r="AB438" s="13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27"/>
      <c r="AR438" s="29"/>
      <c r="BB438" s="25"/>
      <c r="BC438" s="13"/>
      <c r="BH438" s="116"/>
      <c r="BI438" s="123"/>
      <c r="BJ438" s="123"/>
      <c r="BK438" s="123"/>
      <c r="BP438" s="115"/>
      <c r="BQ438" s="115"/>
      <c r="BR438" s="115"/>
      <c r="BS438" s="115"/>
      <c r="BT438" s="115"/>
      <c r="BU438" s="115"/>
      <c r="BV438" s="115"/>
      <c r="BW438" s="115"/>
      <c r="BX438" s="115"/>
      <c r="BY438" s="115"/>
      <c r="BZ438" s="25"/>
      <c r="CA438" s="13"/>
      <c r="CD438" s="114"/>
    </row>
    <row r="439" spans="1:82" ht="20.100000000000001" customHeight="1" x14ac:dyDescent="0.4">
      <c r="A439" s="117"/>
      <c r="B439" s="123"/>
      <c r="C439" s="123"/>
      <c r="D439" s="123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26"/>
      <c r="AB439" s="13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27"/>
      <c r="AR439" s="29"/>
      <c r="BB439" s="25"/>
      <c r="BC439" s="13"/>
      <c r="BH439" s="116"/>
      <c r="BI439" s="123"/>
      <c r="BJ439" s="123"/>
      <c r="BK439" s="123"/>
      <c r="BP439" s="115"/>
      <c r="BQ439" s="115"/>
      <c r="BR439" s="115"/>
      <c r="BS439" s="115"/>
      <c r="BT439" s="115"/>
      <c r="BU439" s="115"/>
      <c r="BV439" s="115"/>
      <c r="BW439" s="115"/>
      <c r="BX439" s="115"/>
      <c r="BY439" s="115"/>
      <c r="BZ439" s="25"/>
      <c r="CA439" s="13"/>
      <c r="CD439" s="114"/>
    </row>
    <row r="440" spans="1:82" ht="20.100000000000001" customHeight="1" x14ac:dyDescent="0.4">
      <c r="A440" s="117"/>
      <c r="B440" s="123"/>
      <c r="C440" s="123"/>
      <c r="D440" s="123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26"/>
      <c r="AB440" s="13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27"/>
      <c r="AR440" s="29"/>
      <c r="BB440" s="25"/>
      <c r="BC440" s="13"/>
      <c r="BH440" s="116"/>
      <c r="BI440" s="123"/>
      <c r="BJ440" s="123"/>
      <c r="BK440" s="123"/>
      <c r="BP440" s="115"/>
      <c r="BQ440" s="115"/>
      <c r="BR440" s="115"/>
      <c r="BS440" s="115"/>
      <c r="BT440" s="115"/>
      <c r="BU440" s="115"/>
      <c r="BV440" s="115"/>
      <c r="BW440" s="115"/>
      <c r="BX440" s="115"/>
      <c r="BY440" s="115"/>
      <c r="BZ440" s="25"/>
      <c r="CA440" s="13"/>
      <c r="CD440" s="114"/>
    </row>
    <row r="441" spans="1:82" ht="20.100000000000001" customHeight="1" x14ac:dyDescent="0.4">
      <c r="A441" s="117"/>
      <c r="B441" s="123"/>
      <c r="C441" s="123"/>
      <c r="D441" s="123"/>
      <c r="AA441" s="26"/>
      <c r="AB441" s="13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27"/>
      <c r="AR441" s="29"/>
      <c r="BB441" s="25"/>
      <c r="BC441" s="13"/>
      <c r="BH441" s="116"/>
      <c r="BI441" s="123"/>
      <c r="BJ441" s="123"/>
      <c r="BK441" s="123"/>
      <c r="BP441" s="115"/>
      <c r="BQ441" s="115"/>
      <c r="BR441" s="115"/>
      <c r="BS441" s="115"/>
      <c r="BT441" s="115"/>
      <c r="BU441" s="115"/>
      <c r="BV441" s="115"/>
      <c r="BW441" s="115"/>
      <c r="BX441" s="115"/>
      <c r="BY441" s="115"/>
      <c r="BZ441" s="25"/>
      <c r="CA441" s="13"/>
      <c r="CD441" s="114"/>
    </row>
    <row r="442" spans="1:82" ht="20.100000000000001" customHeight="1" x14ac:dyDescent="0.4">
      <c r="A442" s="117"/>
      <c r="B442" s="123"/>
      <c r="C442" s="123"/>
      <c r="D442" s="123"/>
      <c r="AA442" s="26"/>
      <c r="AB442" s="13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27"/>
      <c r="AR442" s="134"/>
      <c r="BB442" s="25"/>
      <c r="BC442" s="13"/>
      <c r="BH442" s="116"/>
      <c r="BI442" s="123"/>
      <c r="BJ442" s="123"/>
      <c r="BK442" s="123"/>
      <c r="BP442" s="115"/>
      <c r="BQ442" s="115"/>
      <c r="BR442" s="115"/>
      <c r="BS442" s="115"/>
      <c r="BT442" s="115"/>
      <c r="BU442" s="115"/>
      <c r="BV442" s="115"/>
      <c r="BW442" s="115"/>
      <c r="BX442" s="115"/>
      <c r="BY442" s="115"/>
      <c r="BZ442" s="25"/>
      <c r="CA442" s="13"/>
      <c r="CD442" s="114"/>
    </row>
    <row r="443" spans="1:82" ht="20.100000000000001" customHeight="1" x14ac:dyDescent="0.4">
      <c r="A443" s="117"/>
      <c r="B443" s="123"/>
      <c r="C443" s="123"/>
      <c r="D443" s="123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26"/>
      <c r="AB443" s="13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27"/>
      <c r="AR443" s="134"/>
      <c r="BB443" s="25"/>
      <c r="BC443" s="13"/>
      <c r="BH443" s="116"/>
      <c r="BI443" s="123"/>
      <c r="BJ443" s="123"/>
      <c r="BK443" s="123"/>
      <c r="BP443" s="115"/>
      <c r="BQ443" s="115"/>
      <c r="BR443" s="115"/>
      <c r="BS443" s="115"/>
      <c r="BT443" s="115"/>
      <c r="BU443" s="115"/>
      <c r="BV443" s="115"/>
      <c r="BW443" s="115"/>
      <c r="BX443" s="115"/>
      <c r="BY443" s="115"/>
      <c r="BZ443" s="25"/>
      <c r="CA443" s="13"/>
      <c r="CD443" s="114"/>
    </row>
    <row r="444" spans="1:82" ht="20.100000000000001" customHeight="1" x14ac:dyDescent="0.4">
      <c r="A444" s="117"/>
      <c r="B444" s="123"/>
      <c r="C444" s="123"/>
      <c r="D444" s="123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7"/>
      <c r="AB444" s="13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27"/>
      <c r="AR444" s="134"/>
      <c r="BB444" s="25"/>
      <c r="BC444" s="13"/>
      <c r="BH444" s="116"/>
      <c r="BI444" s="123"/>
      <c r="BJ444" s="123"/>
      <c r="BK444" s="123"/>
      <c r="BP444" s="115"/>
      <c r="BQ444" s="115"/>
      <c r="BR444" s="115"/>
      <c r="BS444" s="115"/>
      <c r="BT444" s="115"/>
      <c r="BU444" s="115"/>
      <c r="BV444" s="115"/>
      <c r="BW444" s="115"/>
      <c r="BX444" s="115"/>
      <c r="BY444" s="115"/>
      <c r="BZ444" s="25"/>
      <c r="CA444" s="13"/>
      <c r="CD444" s="114"/>
    </row>
    <row r="445" spans="1:82" ht="20.100000000000001" customHeight="1" x14ac:dyDescent="0.4">
      <c r="A445" s="117"/>
      <c r="B445" s="123"/>
      <c r="C445" s="123"/>
      <c r="D445" s="123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26"/>
      <c r="AB445" s="13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27"/>
      <c r="AR445" s="134"/>
      <c r="BB445" s="25"/>
      <c r="BC445" s="13"/>
      <c r="BH445" s="116"/>
      <c r="BI445" s="123"/>
      <c r="BJ445" s="123"/>
      <c r="BK445" s="123"/>
      <c r="BP445" s="115"/>
      <c r="BQ445" s="115"/>
      <c r="BR445" s="115"/>
      <c r="BS445" s="115"/>
      <c r="BT445" s="115"/>
      <c r="BU445" s="115"/>
      <c r="BV445" s="115"/>
      <c r="BW445" s="115"/>
      <c r="BX445" s="115"/>
      <c r="BY445" s="115"/>
      <c r="BZ445" s="25"/>
      <c r="CA445" s="13"/>
      <c r="CD445" s="114"/>
    </row>
    <row r="446" spans="1:82" ht="20.100000000000001" customHeight="1" x14ac:dyDescent="0.4">
      <c r="A446" s="117"/>
      <c r="B446" s="123"/>
      <c r="C446" s="123"/>
      <c r="D446" s="123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26"/>
      <c r="AB446" s="13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27"/>
      <c r="AR446" s="134"/>
      <c r="BB446" s="25"/>
      <c r="BC446" s="13"/>
      <c r="BH446" s="116"/>
      <c r="BI446" s="123"/>
      <c r="BJ446" s="123"/>
      <c r="BK446" s="123"/>
      <c r="BP446" s="115"/>
      <c r="BQ446" s="115"/>
      <c r="BR446" s="115"/>
      <c r="BS446" s="115"/>
      <c r="BT446" s="115"/>
      <c r="BU446" s="115"/>
      <c r="BV446" s="115"/>
      <c r="BW446" s="115"/>
      <c r="BX446" s="115"/>
      <c r="BY446" s="115"/>
      <c r="BZ446" s="25"/>
      <c r="CA446" s="13"/>
      <c r="CD446" s="114"/>
    </row>
    <row r="447" spans="1:82" ht="20.100000000000001" customHeight="1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26"/>
      <c r="AB447" s="13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27"/>
      <c r="AR447" s="134"/>
      <c r="BB447" s="25"/>
      <c r="BC447" s="13"/>
      <c r="BH447" s="116"/>
      <c r="BI447" s="123"/>
      <c r="BJ447" s="123"/>
      <c r="BK447" s="123"/>
      <c r="BP447" s="115"/>
      <c r="BQ447" s="115"/>
      <c r="BR447" s="115"/>
      <c r="BS447" s="115"/>
      <c r="BT447" s="115"/>
      <c r="BU447" s="115"/>
      <c r="BV447" s="115"/>
      <c r="BW447" s="115"/>
      <c r="BX447" s="115"/>
      <c r="BY447" s="115"/>
      <c r="BZ447" s="25"/>
      <c r="CA447" s="13"/>
      <c r="CD447" s="114"/>
    </row>
    <row r="448" spans="1:82" ht="20.100000000000001" customHeight="1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26"/>
      <c r="AB448" s="13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27"/>
      <c r="AR448" s="134"/>
      <c r="BB448" s="25"/>
      <c r="BC448" s="13"/>
      <c r="BH448" s="116"/>
      <c r="BI448" s="123"/>
      <c r="BJ448" s="123"/>
      <c r="BK448" s="123"/>
      <c r="BP448" s="115"/>
      <c r="BQ448" s="115"/>
      <c r="BR448" s="115"/>
      <c r="BS448" s="115"/>
      <c r="BT448" s="115"/>
      <c r="BU448" s="115"/>
      <c r="BV448" s="115"/>
      <c r="BW448" s="115"/>
      <c r="BX448" s="115"/>
      <c r="BY448" s="115"/>
      <c r="BZ448" s="25"/>
      <c r="CA448" s="13"/>
      <c r="CD448" s="114"/>
    </row>
    <row r="449" spans="1:82" ht="20.100000000000001" customHeight="1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26"/>
      <c r="AB449" s="13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27"/>
      <c r="AR449" s="134"/>
      <c r="BB449" s="25"/>
      <c r="BC449" s="13"/>
      <c r="BH449" s="116"/>
      <c r="BI449" s="123"/>
      <c r="BJ449" s="123"/>
      <c r="BK449" s="123"/>
      <c r="BP449" s="115"/>
      <c r="BQ449" s="115"/>
      <c r="BR449" s="115"/>
      <c r="BS449" s="115"/>
      <c r="BT449" s="115"/>
      <c r="BU449" s="115"/>
      <c r="BV449" s="115"/>
      <c r="BW449" s="115"/>
      <c r="BX449" s="115"/>
      <c r="BY449" s="115"/>
      <c r="BZ449" s="25"/>
      <c r="CA449" s="13"/>
      <c r="CD449" s="114"/>
    </row>
    <row r="450" spans="1:82" ht="20.100000000000001" customHeight="1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7"/>
      <c r="AB450" s="13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27"/>
      <c r="AR450" s="134"/>
      <c r="BB450" s="25"/>
      <c r="BC450" s="13"/>
      <c r="BH450" s="116"/>
      <c r="BI450" s="123"/>
      <c r="BJ450" s="123"/>
      <c r="BK450" s="123"/>
      <c r="BP450" s="115"/>
      <c r="BQ450" s="115"/>
      <c r="BR450" s="115"/>
      <c r="BS450" s="115"/>
      <c r="BT450" s="115"/>
      <c r="BU450" s="115"/>
      <c r="BV450" s="115"/>
      <c r="BW450" s="115"/>
      <c r="BX450" s="115"/>
      <c r="BY450" s="115"/>
      <c r="BZ450" s="25"/>
      <c r="CA450" s="13"/>
      <c r="CD450" s="114"/>
    </row>
    <row r="451" spans="1:82" ht="20.100000000000001" customHeight="1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26"/>
      <c r="AB451" s="13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27"/>
      <c r="AR451" s="134"/>
      <c r="BB451" s="25"/>
      <c r="BC451" s="13"/>
      <c r="BH451" s="116"/>
      <c r="BI451" s="123"/>
      <c r="BJ451" s="123"/>
      <c r="BK451" s="123"/>
      <c r="BP451" s="115"/>
      <c r="BQ451" s="115"/>
      <c r="BR451" s="115"/>
      <c r="BS451" s="115"/>
      <c r="BT451" s="115"/>
      <c r="BU451" s="115"/>
      <c r="BV451" s="115"/>
      <c r="BW451" s="115"/>
      <c r="BX451" s="115"/>
      <c r="BY451" s="115"/>
      <c r="BZ451" s="25"/>
      <c r="CA451" s="13"/>
      <c r="CD451" s="114"/>
    </row>
    <row r="452" spans="1:82" ht="20.100000000000001" customHeight="1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26"/>
      <c r="AB452" s="13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27"/>
      <c r="AR452" s="134"/>
      <c r="BB452" s="25"/>
      <c r="BC452" s="13"/>
      <c r="BH452" s="116"/>
      <c r="BI452" s="123"/>
      <c r="BJ452" s="123"/>
      <c r="BK452" s="123"/>
      <c r="BP452" s="115"/>
      <c r="BQ452" s="115"/>
      <c r="BR452" s="115"/>
      <c r="BS452" s="115"/>
      <c r="BT452" s="115"/>
      <c r="BU452" s="115"/>
      <c r="BV452" s="115"/>
      <c r="BW452" s="115"/>
      <c r="BX452" s="115"/>
      <c r="BY452" s="115"/>
      <c r="BZ452" s="25"/>
      <c r="CA452" s="13"/>
      <c r="CD452" s="114"/>
    </row>
    <row r="453" spans="1:82" ht="20.100000000000001" customHeight="1" x14ac:dyDescent="0.4">
      <c r="A453" s="117"/>
      <c r="B453" s="123"/>
      <c r="C453" s="123"/>
      <c r="D453" s="123"/>
      <c r="AA453" s="26"/>
      <c r="AB453" s="13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27"/>
      <c r="AR453" s="29"/>
      <c r="BB453" s="25"/>
      <c r="BC453" s="13"/>
      <c r="BH453" s="116"/>
      <c r="BI453" s="123"/>
      <c r="BJ453" s="123"/>
      <c r="BK453" s="123"/>
      <c r="BP453" s="115"/>
      <c r="BQ453" s="115"/>
      <c r="BR453" s="115"/>
      <c r="BS453" s="115"/>
      <c r="BT453" s="115"/>
      <c r="BU453" s="115"/>
      <c r="BV453" s="115"/>
      <c r="BW453" s="115"/>
      <c r="BX453" s="115"/>
      <c r="BY453" s="115"/>
      <c r="BZ453" s="25"/>
      <c r="CA453" s="13"/>
      <c r="CD453" s="114"/>
    </row>
    <row r="454" spans="1:82" ht="20.100000000000001" customHeight="1" x14ac:dyDescent="0.4">
      <c r="A454" s="117"/>
      <c r="B454" s="123"/>
      <c r="C454" s="123"/>
      <c r="D454" s="123"/>
      <c r="AA454" s="26"/>
      <c r="AB454" s="13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29"/>
      <c r="AR454" s="29"/>
      <c r="BB454" s="25"/>
      <c r="BC454" s="13"/>
      <c r="BH454" s="116"/>
      <c r="BI454" s="123"/>
      <c r="BJ454" s="123"/>
      <c r="BK454" s="123"/>
      <c r="BP454" s="115"/>
      <c r="BQ454" s="115"/>
      <c r="BR454" s="115"/>
      <c r="BS454" s="115"/>
      <c r="BT454" s="115"/>
      <c r="BU454" s="115"/>
      <c r="BV454" s="115"/>
      <c r="BW454" s="115"/>
      <c r="BX454" s="115"/>
      <c r="BY454" s="115"/>
      <c r="BZ454" s="25"/>
      <c r="CA454" s="13"/>
      <c r="CD454" s="114"/>
    </row>
    <row r="455" spans="1:82" ht="20.100000000000001" customHeight="1" x14ac:dyDescent="0.4">
      <c r="A455" s="117"/>
      <c r="B455" s="123"/>
      <c r="C455" s="123"/>
      <c r="D455" s="123"/>
      <c r="AA455" s="26"/>
      <c r="AB455" s="13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27"/>
      <c r="AR455" s="29"/>
      <c r="BB455" s="25"/>
      <c r="BC455" s="13"/>
      <c r="BH455" s="116"/>
      <c r="BI455" s="123"/>
      <c r="BJ455" s="123"/>
      <c r="BK455" s="123"/>
      <c r="BP455" s="115"/>
      <c r="BQ455" s="115"/>
      <c r="BR455" s="115"/>
      <c r="BS455" s="115"/>
      <c r="BT455" s="115"/>
      <c r="BU455" s="115"/>
      <c r="BV455" s="115"/>
      <c r="BW455" s="115"/>
      <c r="BX455" s="115"/>
      <c r="BY455" s="115"/>
      <c r="BZ455" s="25"/>
      <c r="CA455" s="13"/>
      <c r="CD455" s="114"/>
    </row>
    <row r="456" spans="1:82" ht="20.100000000000001" customHeight="1" x14ac:dyDescent="0.4">
      <c r="A456" s="117"/>
      <c r="B456" s="123"/>
      <c r="C456" s="123"/>
      <c r="D456" s="123"/>
      <c r="AA456" s="26"/>
      <c r="AB456" s="13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27"/>
      <c r="AR456" s="29"/>
      <c r="BB456" s="25"/>
      <c r="BC456" s="13"/>
      <c r="BH456" s="116"/>
      <c r="BI456" s="123"/>
      <c r="BJ456" s="123"/>
      <c r="BK456" s="123"/>
      <c r="BP456" s="115"/>
      <c r="BQ456" s="115"/>
      <c r="BR456" s="115"/>
      <c r="BS456" s="115"/>
      <c r="BT456" s="115"/>
      <c r="BU456" s="115"/>
      <c r="BV456" s="115"/>
      <c r="BW456" s="115"/>
      <c r="BX456" s="115"/>
      <c r="BY456" s="115"/>
      <c r="BZ456" s="25"/>
      <c r="CA456" s="13"/>
      <c r="CD456" s="114"/>
    </row>
    <row r="457" spans="1:82" ht="20.100000000000001" customHeight="1" x14ac:dyDescent="0.4">
      <c r="A457" s="117"/>
      <c r="B457" s="123"/>
      <c r="C457" s="123"/>
      <c r="D457" s="123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7"/>
      <c r="AB457" s="13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27"/>
      <c r="AR457" s="29"/>
      <c r="BB457" s="25"/>
      <c r="BC457" s="13"/>
      <c r="BH457" s="116"/>
      <c r="BI457" s="123"/>
      <c r="BJ457" s="123"/>
      <c r="BK457" s="123"/>
      <c r="BP457" s="115"/>
      <c r="BQ457" s="115"/>
      <c r="BR457" s="115"/>
      <c r="BS457" s="115"/>
      <c r="BT457" s="115"/>
      <c r="BU457" s="115"/>
      <c r="BV457" s="115"/>
      <c r="BW457" s="115"/>
      <c r="BX457" s="115"/>
      <c r="BY457" s="115"/>
      <c r="BZ457" s="25"/>
      <c r="CA457" s="13"/>
      <c r="CD457" s="114"/>
    </row>
    <row r="458" spans="1:82" ht="20.100000000000001" customHeight="1" x14ac:dyDescent="0.4">
      <c r="A458" s="117"/>
      <c r="B458" s="123"/>
      <c r="C458" s="123"/>
      <c r="D458" s="123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26"/>
      <c r="AB458" s="13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27"/>
      <c r="AR458" s="29"/>
      <c r="BB458" s="25"/>
      <c r="BC458" s="13"/>
      <c r="BH458" s="116"/>
      <c r="BI458" s="123"/>
      <c r="BJ458" s="123"/>
      <c r="BK458" s="123"/>
      <c r="BP458" s="115"/>
      <c r="BQ458" s="115"/>
      <c r="BR458" s="115"/>
      <c r="BS458" s="115"/>
      <c r="BT458" s="115"/>
      <c r="BU458" s="115"/>
      <c r="BV458" s="115"/>
      <c r="BW458" s="115"/>
      <c r="BX458" s="115"/>
      <c r="BY458" s="115"/>
      <c r="BZ458" s="25"/>
      <c r="CA458" s="13"/>
      <c r="CD458" s="114"/>
    </row>
    <row r="459" spans="1:82" ht="20.100000000000001" customHeight="1" x14ac:dyDescent="0.4">
      <c r="A459" s="117"/>
      <c r="B459" s="123"/>
      <c r="C459" s="123"/>
      <c r="D459" s="123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26"/>
      <c r="AB459" s="13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27"/>
      <c r="AR459" s="29"/>
      <c r="BB459" s="25"/>
      <c r="BC459" s="13"/>
      <c r="BH459" s="116"/>
      <c r="BI459" s="123"/>
      <c r="BJ459" s="123"/>
      <c r="BK459" s="123"/>
      <c r="BP459" s="115"/>
      <c r="BQ459" s="115"/>
      <c r="BR459" s="115"/>
      <c r="BS459" s="115"/>
      <c r="BT459" s="115"/>
      <c r="BU459" s="115"/>
      <c r="BV459" s="115"/>
      <c r="BW459" s="115"/>
      <c r="BX459" s="115"/>
      <c r="BY459" s="115"/>
      <c r="BZ459" s="25"/>
      <c r="CA459" s="13"/>
      <c r="CD459" s="114"/>
    </row>
    <row r="460" spans="1:82" ht="20.100000000000001" customHeight="1" x14ac:dyDescent="0.4">
      <c r="A460" s="117"/>
      <c r="B460" s="123"/>
      <c r="C460" s="123"/>
      <c r="D460" s="123"/>
      <c r="AA460" s="26"/>
      <c r="AB460" s="133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27"/>
      <c r="AR460" s="29"/>
      <c r="BB460" s="25"/>
      <c r="BC460" s="13"/>
      <c r="BH460" s="116"/>
      <c r="BI460" s="123"/>
      <c r="BJ460" s="123"/>
      <c r="BK460" s="123"/>
      <c r="BP460" s="115"/>
      <c r="BQ460" s="115"/>
      <c r="BR460" s="115"/>
      <c r="BS460" s="115"/>
      <c r="BT460" s="115"/>
      <c r="BU460" s="115"/>
      <c r="BV460" s="115"/>
      <c r="BW460" s="115"/>
      <c r="BX460" s="115"/>
      <c r="BY460" s="115"/>
      <c r="BZ460" s="25"/>
      <c r="CA460" s="13"/>
      <c r="CD460" s="114"/>
    </row>
    <row r="461" spans="1:82" ht="20.100000000000001" customHeight="1" x14ac:dyDescent="0.4">
      <c r="A461" s="117"/>
      <c r="B461" s="123"/>
      <c r="C461" s="123"/>
      <c r="D461" s="123"/>
      <c r="AA461" s="26"/>
      <c r="AB461" s="13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27"/>
      <c r="AR461" s="29"/>
      <c r="BB461" s="25"/>
      <c r="BC461" s="13"/>
      <c r="BH461" s="116"/>
      <c r="BI461" s="123"/>
      <c r="BJ461" s="123"/>
      <c r="BK461" s="123"/>
      <c r="BP461" s="115"/>
      <c r="BQ461" s="115"/>
      <c r="BR461" s="115"/>
      <c r="BS461" s="115"/>
      <c r="BT461" s="115"/>
      <c r="BU461" s="115"/>
      <c r="BV461" s="115"/>
      <c r="BW461" s="115"/>
      <c r="BX461" s="115"/>
      <c r="BY461" s="115"/>
      <c r="BZ461" s="25"/>
      <c r="CA461" s="13"/>
      <c r="CD461" s="114"/>
    </row>
    <row r="462" spans="1:82" ht="20.100000000000001" customHeight="1" x14ac:dyDescent="0.4">
      <c r="A462" s="117"/>
      <c r="B462" s="123"/>
      <c r="C462" s="123"/>
      <c r="D462" s="123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26"/>
      <c r="AB462" s="13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27"/>
      <c r="AR462" s="29"/>
      <c r="BB462" s="25"/>
      <c r="BC462" s="13"/>
      <c r="BH462" s="116"/>
      <c r="BI462" s="123"/>
      <c r="BJ462" s="123"/>
      <c r="BK462" s="123"/>
      <c r="BP462" s="115"/>
      <c r="BQ462" s="115"/>
      <c r="BR462" s="115"/>
      <c r="BS462" s="115"/>
      <c r="BT462" s="115"/>
      <c r="BU462" s="115"/>
      <c r="BV462" s="115"/>
      <c r="BW462" s="115"/>
      <c r="BX462" s="115"/>
      <c r="BY462" s="115"/>
      <c r="BZ462" s="25"/>
      <c r="CA462" s="13"/>
      <c r="CD462" s="114"/>
    </row>
    <row r="463" spans="1:82" ht="20.100000000000001" customHeight="1" x14ac:dyDescent="0.4">
      <c r="A463" s="117"/>
      <c r="B463" s="123"/>
      <c r="C463" s="123"/>
      <c r="D463" s="123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7"/>
      <c r="AB463" s="13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27"/>
      <c r="AR463" s="29"/>
      <c r="BB463" s="25"/>
      <c r="BC463" s="13"/>
      <c r="BH463" s="116"/>
      <c r="BI463" s="123"/>
      <c r="BJ463" s="123"/>
      <c r="BK463" s="123"/>
      <c r="BP463" s="115"/>
      <c r="BQ463" s="115"/>
      <c r="BR463" s="115"/>
      <c r="BS463" s="115"/>
      <c r="BT463" s="115"/>
      <c r="BU463" s="115"/>
      <c r="BV463" s="115"/>
      <c r="BW463" s="115"/>
      <c r="BX463" s="115"/>
      <c r="BY463" s="115"/>
      <c r="BZ463" s="25"/>
      <c r="CA463" s="13"/>
      <c r="CD463" s="114"/>
    </row>
    <row r="464" spans="1:82" ht="20.100000000000001" customHeight="1" x14ac:dyDescent="0.4">
      <c r="A464" s="117"/>
      <c r="B464" s="123"/>
      <c r="C464" s="123"/>
      <c r="D464" s="123"/>
      <c r="AA464" s="26"/>
      <c r="AB464" s="13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27"/>
      <c r="AR464" s="29"/>
      <c r="BB464" s="25"/>
      <c r="BC464" s="13"/>
      <c r="BH464" s="116"/>
      <c r="BI464" s="123"/>
      <c r="BJ464" s="123"/>
      <c r="BK464" s="123"/>
      <c r="BP464" s="115"/>
      <c r="BQ464" s="115"/>
      <c r="BR464" s="115"/>
      <c r="BS464" s="115"/>
      <c r="BT464" s="115"/>
      <c r="BU464" s="115"/>
      <c r="BV464" s="115"/>
      <c r="BW464" s="115"/>
      <c r="BX464" s="115"/>
      <c r="BY464" s="115"/>
      <c r="BZ464" s="25"/>
      <c r="CA464" s="13"/>
      <c r="CD464" s="114"/>
    </row>
    <row r="465" spans="1:82" ht="20.100000000000001" customHeight="1" x14ac:dyDescent="0.4">
      <c r="A465" s="117"/>
      <c r="B465" s="123"/>
      <c r="C465" s="123"/>
      <c r="D465" s="123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7"/>
      <c r="AB465" s="13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27"/>
      <c r="AR465" s="29"/>
      <c r="BB465" s="25"/>
      <c r="BC465" s="13"/>
      <c r="BH465" s="116"/>
      <c r="BI465" s="123"/>
      <c r="BJ465" s="123"/>
      <c r="BK465" s="123"/>
      <c r="BP465" s="115"/>
      <c r="BQ465" s="115"/>
      <c r="BR465" s="115"/>
      <c r="BS465" s="115"/>
      <c r="BT465" s="115"/>
      <c r="BU465" s="115"/>
      <c r="BV465" s="115"/>
      <c r="BW465" s="115"/>
      <c r="BX465" s="115"/>
      <c r="BY465" s="115"/>
      <c r="BZ465" s="25"/>
      <c r="CA465" s="13"/>
      <c r="CD465" s="114"/>
    </row>
    <row r="466" spans="1:82" ht="20.100000000000001" customHeight="1" x14ac:dyDescent="0.4">
      <c r="A466" s="117"/>
      <c r="B466" s="123"/>
      <c r="C466" s="123"/>
      <c r="D466" s="123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26"/>
      <c r="AB466" s="13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27"/>
      <c r="AR466" s="29"/>
      <c r="BB466" s="25"/>
      <c r="BC466" s="13"/>
      <c r="BH466" s="116"/>
      <c r="BI466" s="123"/>
      <c r="BJ466" s="123"/>
      <c r="BK466" s="123"/>
      <c r="BP466" s="115"/>
      <c r="BQ466" s="115"/>
      <c r="BR466" s="115"/>
      <c r="BS466" s="115"/>
      <c r="BT466" s="115"/>
      <c r="BU466" s="115"/>
      <c r="BV466" s="115"/>
      <c r="BW466" s="115"/>
      <c r="BX466" s="115"/>
      <c r="BY466" s="115"/>
      <c r="BZ466" s="25"/>
      <c r="CA466" s="13"/>
      <c r="CD466" s="114"/>
    </row>
    <row r="467" spans="1:82" ht="20.100000000000001" customHeight="1" x14ac:dyDescent="0.4">
      <c r="A467" s="117"/>
      <c r="B467" s="123"/>
      <c r="C467" s="123"/>
      <c r="D467" s="123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26"/>
      <c r="AB467" s="13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27"/>
      <c r="AR467" s="29"/>
      <c r="BB467" s="25"/>
      <c r="BC467" s="13"/>
      <c r="BH467" s="116"/>
      <c r="BI467" s="123"/>
      <c r="BJ467" s="123"/>
      <c r="BK467" s="123"/>
      <c r="BP467" s="115"/>
      <c r="BQ467" s="115"/>
      <c r="BR467" s="115"/>
      <c r="BS467" s="115"/>
      <c r="BT467" s="115"/>
      <c r="BU467" s="115"/>
      <c r="BV467" s="115"/>
      <c r="BW467" s="115"/>
      <c r="BX467" s="115"/>
      <c r="BY467" s="115"/>
      <c r="BZ467" s="25"/>
      <c r="CA467" s="13"/>
      <c r="CD467" s="114"/>
    </row>
    <row r="468" spans="1:82" ht="20.100000000000001" customHeight="1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7"/>
      <c r="AB468" s="13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27"/>
      <c r="AR468" s="29"/>
      <c r="BB468" s="25"/>
      <c r="BC468" s="13"/>
      <c r="BH468" s="116"/>
      <c r="BI468" s="123"/>
      <c r="BJ468" s="123"/>
      <c r="BK468" s="123"/>
      <c r="BP468" s="115"/>
      <c r="BQ468" s="115"/>
      <c r="BR468" s="115"/>
      <c r="BS468" s="115"/>
      <c r="BT468" s="115"/>
      <c r="BU468" s="115"/>
      <c r="BV468" s="115"/>
      <c r="BW468" s="115"/>
      <c r="BX468" s="115"/>
      <c r="BY468" s="115"/>
      <c r="BZ468" s="25"/>
      <c r="CA468" s="13"/>
      <c r="CD468" s="114"/>
    </row>
    <row r="469" spans="1:82" ht="20.100000000000001" customHeight="1" x14ac:dyDescent="0.4">
      <c r="A469" s="117"/>
      <c r="B469" s="123"/>
      <c r="C469" s="123"/>
      <c r="D469" s="123"/>
      <c r="AA469" s="26"/>
      <c r="AB469" s="133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29"/>
      <c r="AR469" s="29"/>
      <c r="BB469" s="25"/>
      <c r="BC469" s="13"/>
      <c r="BH469" s="116"/>
      <c r="BI469" s="123"/>
      <c r="BJ469" s="123"/>
      <c r="BK469" s="123"/>
      <c r="BP469" s="115"/>
      <c r="BQ469" s="115"/>
      <c r="BR469" s="115"/>
      <c r="BS469" s="115"/>
      <c r="BT469" s="115"/>
      <c r="BU469" s="115"/>
      <c r="BV469" s="115"/>
      <c r="BW469" s="115"/>
      <c r="BX469" s="115"/>
      <c r="BY469" s="115"/>
      <c r="BZ469" s="25"/>
      <c r="CA469" s="13"/>
      <c r="CD469" s="114"/>
    </row>
    <row r="470" spans="1:82" ht="20.100000000000001" customHeight="1" x14ac:dyDescent="0.4">
      <c r="A470" s="117"/>
      <c r="B470" s="123"/>
      <c r="C470" s="123"/>
      <c r="D470" s="123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7"/>
      <c r="AB470" s="13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29"/>
      <c r="AR470" s="29"/>
      <c r="BB470" s="25"/>
      <c r="BC470" s="13"/>
      <c r="BH470" s="116"/>
      <c r="BI470" s="123"/>
      <c r="BJ470" s="123"/>
      <c r="BK470" s="123"/>
      <c r="BP470" s="115"/>
      <c r="BQ470" s="115"/>
      <c r="BR470" s="115"/>
      <c r="BS470" s="115"/>
      <c r="BT470" s="115"/>
      <c r="BU470" s="115"/>
      <c r="BV470" s="115"/>
      <c r="BW470" s="115"/>
      <c r="BX470" s="115"/>
      <c r="BY470" s="115"/>
      <c r="BZ470" s="25"/>
      <c r="CA470" s="13"/>
      <c r="CD470" s="114"/>
    </row>
    <row r="471" spans="1:82" ht="20.100000000000001" customHeight="1" x14ac:dyDescent="0.4">
      <c r="A471" s="117"/>
      <c r="B471" s="123"/>
      <c r="C471" s="123"/>
      <c r="D471" s="123"/>
      <c r="AA471" s="26"/>
      <c r="AB471" s="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27"/>
      <c r="AR471" s="29"/>
      <c r="BB471" s="25"/>
      <c r="BC471" s="13"/>
      <c r="BH471" s="116"/>
      <c r="BI471" s="123"/>
      <c r="BJ471" s="123"/>
      <c r="BK471" s="123"/>
      <c r="BP471" s="115"/>
      <c r="BQ471" s="115"/>
      <c r="BR471" s="115"/>
      <c r="BS471" s="115"/>
      <c r="BT471" s="115"/>
      <c r="BU471" s="115"/>
      <c r="BV471" s="115"/>
      <c r="BW471" s="115"/>
      <c r="BX471" s="115"/>
      <c r="BY471" s="115"/>
      <c r="BZ471" s="25"/>
      <c r="CA471" s="13"/>
      <c r="CD471" s="114"/>
    </row>
    <row r="472" spans="1:82" ht="20.100000000000001" customHeight="1" x14ac:dyDescent="0.4">
      <c r="A472" s="117"/>
      <c r="B472" s="123"/>
      <c r="C472" s="123"/>
      <c r="D472" s="123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26"/>
      <c r="AB472" s="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27"/>
      <c r="AR472" s="29"/>
      <c r="BB472" s="25"/>
      <c r="BC472" s="13"/>
      <c r="BH472" s="116"/>
      <c r="BI472" s="123"/>
      <c r="BJ472" s="123"/>
      <c r="BK472" s="123"/>
      <c r="BP472" s="115"/>
      <c r="BQ472" s="115"/>
      <c r="BR472" s="115"/>
      <c r="BS472" s="115"/>
      <c r="BT472" s="115"/>
      <c r="BU472" s="115"/>
      <c r="BV472" s="115"/>
      <c r="BW472" s="115"/>
      <c r="BX472" s="115"/>
      <c r="BY472" s="115"/>
      <c r="BZ472" s="25"/>
      <c r="CA472" s="13"/>
      <c r="CD472" s="114"/>
    </row>
    <row r="473" spans="1:82" ht="20.100000000000001" customHeight="1" x14ac:dyDescent="0.4">
      <c r="A473" s="117"/>
      <c r="B473" s="123"/>
      <c r="C473" s="123"/>
      <c r="D473" s="123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7"/>
      <c r="AB473" s="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27"/>
      <c r="AR473" s="29"/>
      <c r="BB473" s="25"/>
      <c r="BC473" s="13"/>
      <c r="BH473" s="116"/>
      <c r="BI473" s="123"/>
      <c r="BJ473" s="123"/>
      <c r="BK473" s="123"/>
      <c r="BP473" s="115"/>
      <c r="BQ473" s="115"/>
      <c r="BR473" s="115"/>
      <c r="BS473" s="115"/>
      <c r="BT473" s="115"/>
      <c r="BU473" s="115"/>
      <c r="BV473" s="115"/>
      <c r="BW473" s="115"/>
      <c r="BX473" s="115"/>
      <c r="BY473" s="115"/>
      <c r="BZ473" s="25"/>
      <c r="CA473" s="13"/>
      <c r="CD473" s="114"/>
    </row>
    <row r="474" spans="1:82" ht="20.100000000000001" customHeight="1" x14ac:dyDescent="0.4">
      <c r="A474" s="117"/>
      <c r="B474" s="123"/>
      <c r="C474" s="123"/>
      <c r="D474" s="123"/>
      <c r="AA474" s="26"/>
      <c r="AB474" s="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27"/>
      <c r="AR474" s="29"/>
      <c r="BB474" s="25"/>
      <c r="BC474" s="13"/>
      <c r="BH474" s="116"/>
      <c r="BI474" s="123"/>
      <c r="BJ474" s="123"/>
      <c r="BK474" s="123"/>
      <c r="BP474" s="115"/>
      <c r="BQ474" s="115"/>
      <c r="BR474" s="115"/>
      <c r="BS474" s="115"/>
      <c r="BT474" s="115"/>
      <c r="BU474" s="115"/>
      <c r="BV474" s="115"/>
      <c r="BW474" s="115"/>
      <c r="BX474" s="115"/>
      <c r="BY474" s="115"/>
      <c r="BZ474" s="25"/>
      <c r="CA474" s="13"/>
      <c r="CD474" s="114"/>
    </row>
    <row r="475" spans="1:82" ht="20.100000000000001" customHeight="1" x14ac:dyDescent="0.4">
      <c r="A475" s="117"/>
      <c r="B475" s="123"/>
      <c r="C475" s="123"/>
      <c r="D475" s="123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26"/>
      <c r="AB475" s="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27"/>
      <c r="AR475" s="29"/>
      <c r="BB475" s="25"/>
      <c r="BC475" s="13"/>
      <c r="BH475" s="116"/>
      <c r="BI475" s="123"/>
      <c r="BJ475" s="123"/>
      <c r="BK475" s="123"/>
      <c r="BP475" s="115"/>
      <c r="BQ475" s="115"/>
      <c r="BR475" s="115"/>
      <c r="BS475" s="115"/>
      <c r="BT475" s="115"/>
      <c r="BU475" s="115"/>
      <c r="BV475" s="115"/>
      <c r="BW475" s="115"/>
      <c r="BX475" s="115"/>
      <c r="BY475" s="115"/>
      <c r="BZ475" s="25"/>
      <c r="CA475" s="13"/>
      <c r="CD475" s="114"/>
    </row>
    <row r="476" spans="1:82" ht="20.100000000000001" customHeight="1" x14ac:dyDescent="0.4">
      <c r="A476" s="117"/>
      <c r="B476" s="123"/>
      <c r="C476" s="123"/>
      <c r="D476" s="123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20"/>
      <c r="AB476" s="13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27"/>
      <c r="AR476" s="29"/>
      <c r="BB476" s="25"/>
      <c r="BC476" s="13"/>
      <c r="BH476" s="116"/>
      <c r="BI476" s="123"/>
      <c r="BJ476" s="123"/>
      <c r="BK476" s="123"/>
      <c r="BP476" s="115"/>
      <c r="BQ476" s="115"/>
      <c r="BR476" s="115"/>
      <c r="BS476" s="115"/>
      <c r="BT476" s="115"/>
      <c r="BU476" s="115"/>
      <c r="BV476" s="115"/>
      <c r="BW476" s="115"/>
      <c r="BX476" s="115"/>
      <c r="BY476" s="115"/>
      <c r="BZ476" s="25"/>
      <c r="CA476" s="13"/>
      <c r="CD476" s="114"/>
    </row>
    <row r="477" spans="1:82" ht="20.100000000000001" customHeight="1" x14ac:dyDescent="0.4">
      <c r="A477" s="117"/>
      <c r="B477" s="123"/>
      <c r="C477" s="123"/>
      <c r="D477" s="123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20"/>
      <c r="AB477" s="13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27"/>
      <c r="AR477" s="29"/>
      <c r="BB477" s="25"/>
      <c r="BC477" s="13"/>
      <c r="BH477" s="116"/>
      <c r="BI477" s="123"/>
      <c r="BJ477" s="123"/>
      <c r="BK477" s="123"/>
      <c r="BP477" s="115"/>
      <c r="BQ477" s="115"/>
      <c r="BR477" s="115"/>
      <c r="BS477" s="115"/>
      <c r="BT477" s="115"/>
      <c r="BU477" s="115"/>
      <c r="BV477" s="115"/>
      <c r="BW477" s="115"/>
      <c r="BX477" s="115"/>
      <c r="BY477" s="115"/>
      <c r="BZ477" s="25"/>
      <c r="CA477" s="13"/>
      <c r="CD477" s="114"/>
    </row>
    <row r="478" spans="1:82" ht="20.100000000000001" customHeight="1" x14ac:dyDescent="0.4">
      <c r="A478" s="117"/>
      <c r="B478" s="123"/>
      <c r="C478" s="123"/>
      <c r="D478" s="123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25"/>
      <c r="AB478" s="13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27"/>
      <c r="AR478" s="29"/>
      <c r="BB478" s="25"/>
      <c r="BC478" s="13"/>
      <c r="BH478" s="116"/>
      <c r="BI478" s="123"/>
      <c r="BJ478" s="123"/>
      <c r="BK478" s="123"/>
      <c r="BP478" s="115"/>
      <c r="BQ478" s="115"/>
      <c r="BR478" s="115"/>
      <c r="BS478" s="115"/>
      <c r="BT478" s="115"/>
      <c r="BU478" s="115"/>
      <c r="BV478" s="115"/>
      <c r="BW478" s="115"/>
      <c r="BX478" s="115"/>
      <c r="BY478" s="115"/>
      <c r="BZ478" s="25"/>
      <c r="CA478" s="13"/>
      <c r="CD478" s="114"/>
    </row>
    <row r="479" spans="1:82" ht="20.100000000000001" customHeight="1" x14ac:dyDescent="0.4">
      <c r="A479" s="117"/>
      <c r="B479" s="123"/>
      <c r="C479" s="123"/>
      <c r="D479" s="123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25"/>
      <c r="AB479" s="13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27"/>
      <c r="AR479" s="29"/>
      <c r="BB479" s="25"/>
      <c r="BC479" s="13"/>
      <c r="BH479" s="116"/>
      <c r="BI479" s="123"/>
      <c r="BJ479" s="123"/>
      <c r="BK479" s="123"/>
      <c r="BP479" s="115"/>
      <c r="BQ479" s="115"/>
      <c r="BR479" s="115"/>
      <c r="BS479" s="115"/>
      <c r="BT479" s="115"/>
      <c r="BU479" s="115"/>
      <c r="BV479" s="115"/>
      <c r="BW479" s="115"/>
      <c r="BX479" s="115"/>
      <c r="BY479" s="115"/>
      <c r="BZ479" s="25"/>
      <c r="CA479" s="13"/>
      <c r="CD479" s="114"/>
    </row>
    <row r="480" spans="1:82" ht="20.100000000000001" customHeight="1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3"/>
      <c r="AB480" s="13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27"/>
      <c r="AR480" s="29"/>
      <c r="BB480" s="25"/>
      <c r="BC480" s="13"/>
      <c r="BH480" s="116"/>
      <c r="BI480" s="123"/>
      <c r="BJ480" s="123"/>
      <c r="BK480" s="123"/>
      <c r="BP480" s="115"/>
      <c r="BQ480" s="115"/>
      <c r="BR480" s="115"/>
      <c r="BS480" s="115"/>
      <c r="BT480" s="115"/>
      <c r="BU480" s="115"/>
      <c r="BV480" s="115"/>
      <c r="BW480" s="115"/>
      <c r="BX480" s="115"/>
      <c r="BY480" s="115"/>
      <c r="BZ480" s="25"/>
      <c r="CA480" s="13"/>
      <c r="CD480" s="114"/>
    </row>
    <row r="481" spans="1:82" ht="20.100000000000001" customHeight="1" x14ac:dyDescent="0.4">
      <c r="A481" s="117"/>
      <c r="B481" s="123"/>
      <c r="C481" s="123"/>
      <c r="D481" s="123"/>
      <c r="AA481" s="25"/>
      <c r="AB481" s="13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27"/>
      <c r="AR481" s="29"/>
      <c r="BB481" s="25"/>
      <c r="BC481" s="13"/>
      <c r="BH481" s="116"/>
      <c r="BI481" s="123"/>
      <c r="BJ481" s="123"/>
      <c r="BK481" s="123"/>
      <c r="BP481" s="115"/>
      <c r="BQ481" s="115"/>
      <c r="BR481" s="115"/>
      <c r="BS481" s="115"/>
      <c r="BT481" s="115"/>
      <c r="BU481" s="115"/>
      <c r="BV481" s="115"/>
      <c r="BW481" s="115"/>
      <c r="BX481" s="115"/>
      <c r="BY481" s="115"/>
      <c r="BZ481" s="25"/>
      <c r="CA481" s="13"/>
      <c r="CD481" s="114"/>
    </row>
    <row r="482" spans="1:82" ht="20.100000000000001" customHeight="1" x14ac:dyDescent="0.4">
      <c r="A482" s="117"/>
      <c r="B482" s="123"/>
      <c r="C482" s="123"/>
      <c r="D482" s="123"/>
      <c r="AA482" s="25"/>
      <c r="AB482" s="13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27"/>
      <c r="AR482" s="29"/>
      <c r="BB482" s="25"/>
      <c r="BC482" s="13"/>
      <c r="BH482" s="116"/>
      <c r="BI482" s="123"/>
      <c r="BJ482" s="123"/>
      <c r="BK482" s="123"/>
      <c r="BP482" s="115"/>
      <c r="BQ482" s="115"/>
      <c r="BR482" s="115"/>
      <c r="BS482" s="115"/>
      <c r="BT482" s="115"/>
      <c r="BU482" s="115"/>
      <c r="BV482" s="115"/>
      <c r="BW482" s="115"/>
      <c r="BX482" s="115"/>
      <c r="BY482" s="115"/>
      <c r="BZ482" s="25"/>
      <c r="CA482" s="13"/>
      <c r="CD482" s="114"/>
    </row>
    <row r="483" spans="1:82" ht="20.100000000000001" customHeight="1" x14ac:dyDescent="0.4">
      <c r="A483" s="117"/>
      <c r="B483" s="123"/>
      <c r="C483" s="123"/>
      <c r="D483" s="123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25"/>
      <c r="AB483" s="13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27"/>
      <c r="AR483" s="29"/>
      <c r="BB483" s="25"/>
      <c r="BC483" s="13"/>
      <c r="BH483" s="116"/>
      <c r="BI483" s="123"/>
      <c r="BJ483" s="123"/>
      <c r="BK483" s="123"/>
      <c r="BP483" s="115"/>
      <c r="BQ483" s="115"/>
      <c r="BR483" s="115"/>
      <c r="BS483" s="115"/>
      <c r="BT483" s="115"/>
      <c r="BU483" s="115"/>
      <c r="BV483" s="115"/>
      <c r="BW483" s="115"/>
      <c r="BX483" s="115"/>
      <c r="BY483" s="115"/>
      <c r="BZ483" s="25"/>
      <c r="CA483" s="13"/>
      <c r="CD483" s="114"/>
    </row>
    <row r="484" spans="1:82" ht="20.100000000000001" customHeight="1" x14ac:dyDescent="0.4">
      <c r="A484" s="117"/>
      <c r="B484" s="123"/>
      <c r="C484" s="123"/>
      <c r="D484" s="123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3"/>
      <c r="AB484" s="13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27"/>
      <c r="AR484" s="29"/>
      <c r="BB484" s="25"/>
      <c r="BC484" s="13"/>
      <c r="BH484" s="116"/>
      <c r="BI484" s="123"/>
      <c r="BJ484" s="123"/>
      <c r="BK484" s="123"/>
      <c r="BP484" s="115"/>
      <c r="BQ484" s="115"/>
      <c r="BR484" s="115"/>
      <c r="BS484" s="115"/>
      <c r="BT484" s="115"/>
      <c r="BU484" s="115"/>
      <c r="BV484" s="115"/>
      <c r="BW484" s="115"/>
      <c r="BX484" s="115"/>
      <c r="BY484" s="115"/>
      <c r="BZ484" s="25"/>
      <c r="CA484" s="13"/>
      <c r="CD484" s="114"/>
    </row>
    <row r="485" spans="1:82" ht="20.100000000000001" customHeight="1" x14ac:dyDescent="0.4">
      <c r="A485" s="117"/>
      <c r="B485" s="123"/>
      <c r="C485" s="123"/>
      <c r="D485" s="123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25"/>
      <c r="AB485" s="13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27"/>
      <c r="AR485" s="29"/>
      <c r="BB485" s="25"/>
      <c r="BC485" s="13"/>
      <c r="BH485" s="116"/>
      <c r="BI485" s="123"/>
      <c r="BJ485" s="123"/>
      <c r="BK485" s="123"/>
      <c r="BP485" s="115"/>
      <c r="BQ485" s="115"/>
      <c r="BR485" s="115"/>
      <c r="BS485" s="115"/>
      <c r="BT485" s="115"/>
      <c r="BU485" s="115"/>
      <c r="BV485" s="115"/>
      <c r="BW485" s="115"/>
      <c r="BX485" s="115"/>
      <c r="BY485" s="115"/>
      <c r="BZ485" s="25"/>
      <c r="CA485" s="13"/>
      <c r="CD485" s="114"/>
    </row>
    <row r="486" spans="1:82" ht="20.100000000000001" customHeight="1" x14ac:dyDescent="0.4">
      <c r="A486" s="117"/>
      <c r="B486" s="123"/>
      <c r="C486" s="123"/>
      <c r="D486" s="123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3"/>
      <c r="AB486" s="13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27"/>
      <c r="AR486" s="29"/>
      <c r="BB486" s="25"/>
      <c r="BC486" s="13"/>
      <c r="BH486" s="116"/>
      <c r="BI486" s="123"/>
      <c r="BJ486" s="123"/>
      <c r="BK486" s="123"/>
      <c r="BP486" s="115"/>
      <c r="BQ486" s="115"/>
      <c r="BR486" s="115"/>
      <c r="BS486" s="115"/>
      <c r="BT486" s="115"/>
      <c r="BU486" s="115"/>
      <c r="BV486" s="115"/>
      <c r="BW486" s="115"/>
      <c r="BX486" s="115"/>
      <c r="BY486" s="115"/>
      <c r="BZ486" s="25"/>
      <c r="CA486" s="13"/>
      <c r="CD486" s="114"/>
    </row>
    <row r="487" spans="1:82" ht="20.100000000000001" customHeight="1" x14ac:dyDescent="0.4">
      <c r="A487" s="117"/>
      <c r="B487" s="123"/>
      <c r="C487" s="123"/>
      <c r="D487" s="123"/>
      <c r="AA487" s="25"/>
      <c r="AB487" s="13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27"/>
      <c r="AR487" s="29"/>
      <c r="BB487" s="25"/>
      <c r="BC487" s="13"/>
      <c r="BH487" s="116"/>
      <c r="BI487" s="123"/>
      <c r="BJ487" s="123"/>
      <c r="BK487" s="123"/>
      <c r="BP487" s="115"/>
      <c r="BQ487" s="115"/>
      <c r="BR487" s="115"/>
      <c r="BS487" s="115"/>
      <c r="BT487" s="115"/>
      <c r="BU487" s="115"/>
      <c r="BV487" s="115"/>
      <c r="BW487" s="115"/>
      <c r="BX487" s="115"/>
      <c r="BY487" s="115"/>
      <c r="BZ487" s="25"/>
      <c r="CA487" s="13"/>
      <c r="CD487" s="114"/>
    </row>
    <row r="488" spans="1:82" ht="20.100000000000001" customHeight="1" x14ac:dyDescent="0.4">
      <c r="A488" s="117"/>
      <c r="B488" s="123"/>
      <c r="C488" s="123"/>
      <c r="D488" s="123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3"/>
      <c r="AB488" s="13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27"/>
      <c r="AR488" s="29"/>
      <c r="BB488" s="25"/>
      <c r="BC488" s="13"/>
      <c r="BH488" s="116"/>
      <c r="BI488" s="123"/>
      <c r="BJ488" s="123"/>
      <c r="BK488" s="123"/>
      <c r="BP488" s="115"/>
      <c r="BQ488" s="115"/>
      <c r="BR488" s="115"/>
      <c r="BS488" s="115"/>
      <c r="BT488" s="115"/>
      <c r="BU488" s="115"/>
      <c r="BV488" s="115"/>
      <c r="BW488" s="115"/>
      <c r="BX488" s="115"/>
      <c r="BY488" s="115"/>
      <c r="BZ488" s="25"/>
      <c r="CA488" s="13"/>
      <c r="CD488" s="114"/>
    </row>
    <row r="489" spans="1:82" ht="20.100000000000001" customHeight="1" x14ac:dyDescent="0.4">
      <c r="A489" s="117"/>
      <c r="B489" s="123"/>
      <c r="C489" s="123"/>
      <c r="D489" s="123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3"/>
      <c r="AB489" s="13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27"/>
      <c r="AR489" s="29"/>
      <c r="BB489" s="25"/>
      <c r="BC489" s="13"/>
      <c r="BH489" s="116"/>
      <c r="BI489" s="123"/>
      <c r="BJ489" s="123"/>
      <c r="BK489" s="123"/>
      <c r="BP489" s="115"/>
      <c r="BQ489" s="115"/>
      <c r="BR489" s="115"/>
      <c r="BS489" s="115"/>
      <c r="BT489" s="115"/>
      <c r="BU489" s="115"/>
      <c r="BV489" s="115"/>
      <c r="BW489" s="115"/>
      <c r="BX489" s="115"/>
      <c r="BY489" s="115"/>
      <c r="BZ489" s="25"/>
      <c r="CA489" s="13"/>
      <c r="CD489" s="114"/>
    </row>
    <row r="490" spans="1:82" ht="20.100000000000001" customHeight="1" x14ac:dyDescent="0.4">
      <c r="A490" s="117"/>
      <c r="B490" s="123"/>
      <c r="C490" s="123"/>
      <c r="D490" s="123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25"/>
      <c r="AB490" s="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27"/>
      <c r="AR490" s="29"/>
      <c r="BB490" s="25"/>
      <c r="BC490" s="13"/>
      <c r="BH490" s="116"/>
      <c r="BI490" s="123"/>
      <c r="BJ490" s="123"/>
      <c r="BK490" s="123"/>
      <c r="BP490" s="115"/>
      <c r="BQ490" s="115"/>
      <c r="BR490" s="115"/>
      <c r="BS490" s="115"/>
      <c r="BT490" s="115"/>
      <c r="BU490" s="115"/>
      <c r="BV490" s="115"/>
      <c r="BW490" s="115"/>
      <c r="BX490" s="115"/>
      <c r="BY490" s="115"/>
      <c r="BZ490" s="25"/>
      <c r="CA490" s="13"/>
      <c r="CD490" s="114"/>
    </row>
    <row r="491" spans="1:82" ht="20.100000000000001" customHeight="1" x14ac:dyDescent="0.4">
      <c r="A491" s="117"/>
      <c r="B491" s="123"/>
      <c r="C491" s="123"/>
      <c r="D491" s="123"/>
      <c r="AA491" s="25"/>
      <c r="AB491" s="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27"/>
      <c r="AR491" s="29"/>
      <c r="BB491" s="25"/>
      <c r="BC491" s="13"/>
      <c r="BH491" s="116"/>
      <c r="BI491" s="123"/>
      <c r="BJ491" s="123"/>
      <c r="BK491" s="123"/>
      <c r="BP491" s="115"/>
      <c r="BQ491" s="115"/>
      <c r="BR491" s="115"/>
      <c r="BS491" s="115"/>
      <c r="BT491" s="115"/>
      <c r="BU491" s="115"/>
      <c r="BV491" s="115"/>
      <c r="BW491" s="115"/>
      <c r="BX491" s="115"/>
      <c r="BY491" s="115"/>
      <c r="BZ491" s="25"/>
      <c r="CA491" s="13"/>
      <c r="CD491" s="114"/>
    </row>
    <row r="492" spans="1:82" ht="20.100000000000001" customHeight="1" x14ac:dyDescent="0.4">
      <c r="A492" s="117"/>
      <c r="B492" s="123"/>
      <c r="C492" s="123"/>
      <c r="D492" s="123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25"/>
      <c r="AB492" s="13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27"/>
      <c r="AR492" s="29"/>
      <c r="BB492" s="25"/>
      <c r="BC492" s="13"/>
      <c r="BH492" s="116"/>
      <c r="BI492" s="123"/>
      <c r="BJ492" s="123"/>
      <c r="BK492" s="123"/>
      <c r="BP492" s="115"/>
      <c r="BQ492" s="115"/>
      <c r="BR492" s="115"/>
      <c r="BS492" s="115"/>
      <c r="BT492" s="115"/>
      <c r="BU492" s="115"/>
      <c r="BV492" s="115"/>
      <c r="BW492" s="115"/>
      <c r="BX492" s="115"/>
      <c r="BY492" s="115"/>
      <c r="BZ492" s="25"/>
      <c r="CA492" s="13"/>
      <c r="CD492" s="114"/>
    </row>
    <row r="493" spans="1:82" ht="20.100000000000001" customHeight="1" x14ac:dyDescent="0.4">
      <c r="A493" s="117"/>
      <c r="B493" s="123"/>
      <c r="C493" s="123"/>
      <c r="D493" s="123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25"/>
      <c r="AB493" s="13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27"/>
      <c r="AR493" s="29"/>
      <c r="BB493" s="25"/>
      <c r="BC493" s="13"/>
      <c r="BH493" s="116"/>
      <c r="BI493" s="123"/>
      <c r="BJ493" s="123"/>
      <c r="BK493" s="123"/>
      <c r="BP493" s="115"/>
      <c r="BQ493" s="115"/>
      <c r="BR493" s="115"/>
      <c r="BS493" s="115"/>
      <c r="BT493" s="115"/>
      <c r="BU493" s="115"/>
      <c r="BV493" s="115"/>
      <c r="BW493" s="115"/>
      <c r="BX493" s="115"/>
      <c r="BY493" s="115"/>
      <c r="BZ493" s="25"/>
      <c r="CA493" s="13"/>
      <c r="CD493" s="114"/>
    </row>
    <row r="494" spans="1:82" ht="20.100000000000001" customHeight="1" x14ac:dyDescent="0.4">
      <c r="A494" s="117"/>
      <c r="B494" s="123"/>
      <c r="C494" s="123"/>
      <c r="D494" s="123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25"/>
      <c r="AB494" s="13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27"/>
      <c r="AR494" s="29"/>
      <c r="BB494" s="25"/>
      <c r="BC494" s="13"/>
      <c r="BH494" s="116"/>
      <c r="BI494" s="123"/>
      <c r="BJ494" s="123"/>
      <c r="BK494" s="123"/>
      <c r="BP494" s="115"/>
      <c r="BQ494" s="115"/>
      <c r="BR494" s="115"/>
      <c r="BS494" s="115"/>
      <c r="BT494" s="115"/>
      <c r="BU494" s="115"/>
      <c r="BV494" s="115"/>
      <c r="BW494" s="115"/>
      <c r="BX494" s="115"/>
      <c r="BY494" s="115"/>
      <c r="BZ494" s="25"/>
      <c r="CA494" s="13"/>
      <c r="CD494" s="114"/>
    </row>
    <row r="495" spans="1:82" ht="20.100000000000001" customHeight="1" x14ac:dyDescent="0.4">
      <c r="A495" s="117"/>
      <c r="B495" s="123"/>
      <c r="C495" s="123"/>
      <c r="D495" s="123"/>
      <c r="AA495" s="25"/>
      <c r="AB495" s="13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27"/>
      <c r="AR495" s="29"/>
      <c r="BB495" s="25"/>
      <c r="BC495" s="13"/>
      <c r="BH495" s="116"/>
      <c r="BI495" s="123"/>
      <c r="BJ495" s="123"/>
      <c r="BK495" s="123"/>
      <c r="BP495" s="115"/>
      <c r="BQ495" s="115"/>
      <c r="BR495" s="115"/>
      <c r="BS495" s="115"/>
      <c r="BT495" s="115"/>
      <c r="BU495" s="115"/>
      <c r="BV495" s="115"/>
      <c r="BW495" s="115"/>
      <c r="BX495" s="115"/>
      <c r="BY495" s="115"/>
      <c r="BZ495" s="25"/>
      <c r="CA495" s="13"/>
      <c r="CD495" s="114"/>
    </row>
    <row r="496" spans="1:82" ht="20.100000000000001" customHeight="1" x14ac:dyDescent="0.4">
      <c r="A496" s="117"/>
      <c r="B496" s="123"/>
      <c r="C496" s="123"/>
      <c r="D496" s="123"/>
      <c r="AA496" s="25"/>
      <c r="AB496" s="13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29"/>
      <c r="AR496" s="29"/>
      <c r="BB496" s="25"/>
      <c r="BC496" s="13"/>
      <c r="BH496" s="116"/>
      <c r="BI496" s="123"/>
      <c r="BJ496" s="123"/>
      <c r="BK496" s="123"/>
      <c r="BP496" s="115"/>
      <c r="BQ496" s="115"/>
      <c r="BR496" s="115"/>
      <c r="BS496" s="115"/>
      <c r="BT496" s="115"/>
      <c r="BU496" s="115"/>
      <c r="BV496" s="115"/>
      <c r="BW496" s="115"/>
      <c r="BX496" s="115"/>
      <c r="BY496" s="115"/>
      <c r="BZ496" s="25"/>
      <c r="CA496" s="13"/>
      <c r="CD496" s="114"/>
    </row>
    <row r="497" spans="1:82" ht="20.100000000000001" customHeight="1" x14ac:dyDescent="0.4">
      <c r="A497" s="117"/>
      <c r="B497" s="123"/>
      <c r="C497" s="123"/>
      <c r="D497" s="123"/>
      <c r="AA497" s="25"/>
      <c r="AB497" s="13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27"/>
      <c r="AR497" s="29"/>
      <c r="BB497" s="25"/>
      <c r="BC497" s="13"/>
      <c r="BH497" s="116"/>
      <c r="BI497" s="123"/>
      <c r="BJ497" s="123"/>
      <c r="BK497" s="123"/>
      <c r="BP497" s="115"/>
      <c r="BQ497" s="115"/>
      <c r="BR497" s="115"/>
      <c r="BS497" s="115"/>
      <c r="BT497" s="115"/>
      <c r="BU497" s="115"/>
      <c r="BV497" s="115"/>
      <c r="BW497" s="115"/>
      <c r="BX497" s="115"/>
      <c r="BY497" s="115"/>
      <c r="BZ497" s="25"/>
      <c r="CA497" s="13"/>
      <c r="CD497" s="114"/>
    </row>
    <row r="498" spans="1:82" ht="20.100000000000001" customHeight="1" x14ac:dyDescent="0.4">
      <c r="A498" s="117"/>
      <c r="B498" s="123"/>
      <c r="C498" s="123"/>
      <c r="D498" s="123"/>
      <c r="AA498" s="25"/>
      <c r="AB498" s="13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27"/>
      <c r="AR498" s="29"/>
      <c r="BB498" s="25"/>
      <c r="BC498" s="13"/>
      <c r="BH498" s="116"/>
      <c r="BI498" s="123"/>
      <c r="BJ498" s="123"/>
      <c r="BK498" s="123"/>
      <c r="BP498" s="115"/>
      <c r="BQ498" s="115"/>
      <c r="BR498" s="115"/>
      <c r="BS498" s="115"/>
      <c r="BT498" s="115"/>
      <c r="BU498" s="115"/>
      <c r="BV498" s="115"/>
      <c r="BW498" s="115"/>
      <c r="BX498" s="115"/>
      <c r="BY498" s="115"/>
      <c r="BZ498" s="25"/>
      <c r="CA498" s="13"/>
      <c r="CD498" s="114"/>
    </row>
    <row r="499" spans="1:82" ht="20.100000000000001" customHeight="1" x14ac:dyDescent="0.4">
      <c r="A499" s="117"/>
      <c r="B499" s="123"/>
      <c r="C499" s="123"/>
      <c r="D499" s="123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25"/>
      <c r="AB499" s="13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27"/>
      <c r="AR499" s="29"/>
      <c r="BB499" s="25"/>
      <c r="BC499" s="13"/>
      <c r="BH499" s="116"/>
      <c r="BI499" s="123"/>
      <c r="BJ499" s="123"/>
      <c r="BK499" s="123"/>
      <c r="BP499" s="115"/>
      <c r="BQ499" s="115"/>
      <c r="BR499" s="115"/>
      <c r="BS499" s="115"/>
      <c r="BT499" s="115"/>
      <c r="BU499" s="115"/>
      <c r="BV499" s="115"/>
      <c r="BW499" s="115"/>
      <c r="BX499" s="115"/>
      <c r="BY499" s="115"/>
      <c r="BZ499" s="25"/>
      <c r="CA499" s="13"/>
      <c r="CD499" s="114"/>
    </row>
    <row r="500" spans="1:82" ht="20.100000000000001" customHeight="1" x14ac:dyDescent="0.4">
      <c r="A500" s="117"/>
      <c r="B500" s="123"/>
      <c r="C500" s="123"/>
      <c r="D500" s="123"/>
      <c r="AA500" s="25"/>
      <c r="AB500" s="13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27"/>
      <c r="AR500" s="29"/>
      <c r="BB500" s="25"/>
      <c r="BC500" s="13"/>
      <c r="BH500" s="116"/>
      <c r="BI500" s="123"/>
      <c r="BJ500" s="123"/>
      <c r="BK500" s="123"/>
      <c r="BP500" s="115"/>
      <c r="BQ500" s="115"/>
      <c r="BR500" s="115"/>
      <c r="BS500" s="115"/>
      <c r="BT500" s="115"/>
      <c r="BU500" s="115"/>
      <c r="BV500" s="115"/>
      <c r="BW500" s="115"/>
      <c r="BX500" s="115"/>
      <c r="BY500" s="115"/>
      <c r="BZ500" s="25"/>
      <c r="CA500" s="13"/>
      <c r="CD500" s="114"/>
    </row>
    <row r="501" spans="1:82" ht="20.100000000000001" customHeight="1" x14ac:dyDescent="0.4">
      <c r="A501" s="117"/>
      <c r="B501" s="123"/>
      <c r="C501" s="123"/>
      <c r="D501" s="123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3"/>
      <c r="AB501" s="13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27"/>
      <c r="AR501" s="29"/>
      <c r="BB501" s="25"/>
      <c r="BC501" s="13"/>
      <c r="BH501" s="116"/>
      <c r="BI501" s="123"/>
      <c r="BJ501" s="123"/>
      <c r="BK501" s="123"/>
      <c r="BP501" s="115"/>
      <c r="BQ501" s="115"/>
      <c r="BR501" s="115"/>
      <c r="BS501" s="115"/>
      <c r="BT501" s="115"/>
      <c r="BU501" s="115"/>
      <c r="BV501" s="115"/>
      <c r="BW501" s="115"/>
      <c r="BX501" s="115"/>
      <c r="BY501" s="115"/>
      <c r="BZ501" s="25"/>
      <c r="CA501" s="13"/>
      <c r="CD501" s="114"/>
    </row>
    <row r="502" spans="1:82" ht="20.100000000000001" customHeight="1" x14ac:dyDescent="0.4">
      <c r="A502" s="117"/>
      <c r="B502" s="123"/>
      <c r="C502" s="123"/>
      <c r="D502" s="123"/>
      <c r="AA502" s="25"/>
      <c r="AB502" s="13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27"/>
      <c r="AR502" s="29"/>
      <c r="BB502" s="25"/>
      <c r="BC502" s="13"/>
      <c r="BH502" s="116"/>
      <c r="BI502" s="123"/>
      <c r="BJ502" s="123"/>
      <c r="BK502" s="123"/>
      <c r="BP502" s="115"/>
      <c r="BQ502" s="115"/>
      <c r="BR502" s="115"/>
      <c r="BS502" s="115"/>
      <c r="BT502" s="115"/>
      <c r="BU502" s="115"/>
      <c r="BV502" s="115"/>
      <c r="BW502" s="115"/>
      <c r="BX502" s="115"/>
      <c r="BY502" s="115"/>
      <c r="BZ502" s="25"/>
      <c r="CA502" s="13"/>
      <c r="CD502" s="114"/>
    </row>
    <row r="503" spans="1:82" ht="20.100000000000001" customHeight="1" x14ac:dyDescent="0.4">
      <c r="A503" s="117"/>
      <c r="B503" s="123"/>
      <c r="C503" s="123"/>
      <c r="D503" s="123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25"/>
      <c r="AB503" s="13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27"/>
      <c r="AR503" s="29"/>
      <c r="BB503" s="25"/>
      <c r="BC503" s="13"/>
      <c r="BH503" s="116"/>
      <c r="BI503" s="123"/>
      <c r="BJ503" s="123"/>
      <c r="BK503" s="123"/>
      <c r="BP503" s="115"/>
      <c r="BQ503" s="115"/>
      <c r="BR503" s="115"/>
      <c r="BS503" s="115"/>
      <c r="BT503" s="115"/>
      <c r="BU503" s="115"/>
      <c r="BV503" s="115"/>
      <c r="BW503" s="115"/>
      <c r="BX503" s="115"/>
      <c r="BY503" s="115"/>
      <c r="BZ503" s="25"/>
      <c r="CA503" s="13"/>
      <c r="CD503" s="114"/>
    </row>
    <row r="504" spans="1:82" ht="20.100000000000001" customHeight="1" x14ac:dyDescent="0.4">
      <c r="A504" s="117"/>
      <c r="B504" s="123"/>
      <c r="C504" s="123"/>
      <c r="D504" s="123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25"/>
      <c r="AB504" s="13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27"/>
      <c r="AR504" s="29"/>
      <c r="BB504" s="25"/>
      <c r="BC504" s="13"/>
      <c r="BH504" s="116"/>
      <c r="BI504" s="123"/>
      <c r="BJ504" s="123"/>
      <c r="BK504" s="123"/>
      <c r="BP504" s="115"/>
      <c r="BQ504" s="115"/>
      <c r="BR504" s="115"/>
      <c r="BS504" s="115"/>
      <c r="BT504" s="115"/>
      <c r="BU504" s="115"/>
      <c r="BV504" s="115"/>
      <c r="BW504" s="115"/>
      <c r="BX504" s="115"/>
      <c r="BY504" s="115"/>
      <c r="BZ504" s="25"/>
      <c r="CA504" s="13"/>
      <c r="CD504" s="114"/>
    </row>
    <row r="505" spans="1:82" ht="20.100000000000001" customHeight="1" x14ac:dyDescent="0.4">
      <c r="A505" s="117"/>
      <c r="B505" s="123"/>
      <c r="C505" s="123"/>
      <c r="D505" s="123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3"/>
      <c r="AB505" s="13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27"/>
      <c r="AR505" s="29"/>
      <c r="BB505" s="25"/>
      <c r="BC505" s="13"/>
      <c r="BH505" s="116"/>
      <c r="BI505" s="123"/>
      <c r="BJ505" s="123"/>
      <c r="BK505" s="123"/>
      <c r="BP505" s="115"/>
      <c r="BQ505" s="115"/>
      <c r="BR505" s="115"/>
      <c r="BS505" s="115"/>
      <c r="BT505" s="115"/>
      <c r="BU505" s="115"/>
      <c r="BV505" s="115"/>
      <c r="BW505" s="115"/>
      <c r="BX505" s="115"/>
      <c r="BY505" s="115"/>
      <c r="BZ505" s="25"/>
      <c r="CA505" s="13"/>
      <c r="CD505" s="114"/>
    </row>
    <row r="506" spans="1:82" ht="20.100000000000001" customHeight="1" x14ac:dyDescent="0.4">
      <c r="A506" s="117"/>
      <c r="B506" s="123"/>
      <c r="C506" s="123"/>
      <c r="D506" s="123"/>
      <c r="AA506" s="25"/>
      <c r="AB506" s="13"/>
      <c r="AQ506" s="127"/>
      <c r="AR506" s="29"/>
      <c r="BB506" s="25"/>
      <c r="BC506" s="13"/>
      <c r="BH506" s="116"/>
      <c r="BI506" s="123"/>
      <c r="BJ506" s="123"/>
      <c r="BK506" s="123"/>
      <c r="BP506" s="115"/>
      <c r="BQ506" s="115"/>
      <c r="BR506" s="115"/>
      <c r="BS506" s="115"/>
      <c r="BT506" s="115"/>
      <c r="BU506" s="115"/>
      <c r="BV506" s="115"/>
      <c r="BW506" s="115"/>
      <c r="BX506" s="115"/>
      <c r="BY506" s="115"/>
      <c r="BZ506" s="25"/>
      <c r="CA506" s="13"/>
      <c r="CD506" s="114"/>
    </row>
    <row r="507" spans="1:82" ht="20.100000000000001" customHeight="1" x14ac:dyDescent="0.4">
      <c r="A507" s="117"/>
      <c r="B507" s="123"/>
      <c r="C507" s="123"/>
      <c r="D507" s="123"/>
      <c r="AA507" s="25"/>
      <c r="AB507" s="13"/>
      <c r="AO507" s="115"/>
      <c r="AP507" s="115"/>
      <c r="AQ507" s="127"/>
      <c r="AR507" s="29"/>
      <c r="BB507" s="25"/>
      <c r="BC507" s="13"/>
      <c r="BH507" s="116"/>
      <c r="BI507" s="123"/>
      <c r="BJ507" s="123"/>
      <c r="BK507" s="123"/>
      <c r="BP507" s="115"/>
      <c r="BQ507" s="115"/>
      <c r="BR507" s="115"/>
      <c r="BS507" s="115"/>
      <c r="BT507" s="115"/>
      <c r="BU507" s="115"/>
      <c r="BV507" s="115"/>
      <c r="BW507" s="115"/>
      <c r="BX507" s="115"/>
      <c r="BY507" s="115"/>
      <c r="BZ507" s="25"/>
      <c r="CA507" s="13"/>
      <c r="CD507" s="114"/>
    </row>
    <row r="508" spans="1:82" ht="20.100000000000001" customHeight="1" x14ac:dyDescent="0.4">
      <c r="A508" s="117"/>
      <c r="B508" s="123"/>
      <c r="C508" s="123"/>
      <c r="D508" s="123"/>
      <c r="AA508" s="25"/>
      <c r="AB508" s="13"/>
      <c r="AJ508" s="115"/>
      <c r="AK508" s="115"/>
      <c r="AL508" s="115"/>
      <c r="AM508" s="115"/>
      <c r="AN508" s="115"/>
      <c r="AO508" s="115"/>
      <c r="AP508" s="115"/>
      <c r="AQ508" s="127"/>
      <c r="AR508" s="29"/>
      <c r="BB508" s="25"/>
      <c r="BC508" s="13"/>
      <c r="BH508" s="116"/>
      <c r="BI508" s="123"/>
      <c r="BJ508" s="123"/>
      <c r="BK508" s="123"/>
      <c r="BP508" s="115"/>
      <c r="BQ508" s="115"/>
      <c r="BR508" s="115"/>
      <c r="BS508" s="115"/>
      <c r="BT508" s="115"/>
      <c r="BU508" s="115"/>
      <c r="BV508" s="115"/>
      <c r="BW508" s="115"/>
      <c r="BX508" s="115"/>
      <c r="BY508" s="115"/>
      <c r="BZ508" s="25"/>
      <c r="CA508" s="13"/>
      <c r="CD508" s="114"/>
    </row>
    <row r="509" spans="1:82" ht="20.100000000000001" customHeight="1" x14ac:dyDescent="0.4">
      <c r="A509" s="117"/>
      <c r="B509" s="123"/>
      <c r="C509" s="123"/>
      <c r="D509" s="123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3"/>
      <c r="AB509" s="13"/>
      <c r="AJ509" s="115"/>
      <c r="AK509" s="115"/>
      <c r="AL509" s="115"/>
      <c r="AM509" s="115"/>
      <c r="AN509" s="115"/>
      <c r="AO509" s="115"/>
      <c r="AP509" s="115"/>
      <c r="AQ509" s="127"/>
      <c r="AR509" s="29"/>
      <c r="BB509" s="25"/>
      <c r="BC509" s="13"/>
      <c r="BH509" s="116"/>
      <c r="BI509" s="123"/>
      <c r="BJ509" s="123"/>
      <c r="BK509" s="123"/>
      <c r="BP509" s="115"/>
      <c r="BQ509" s="115"/>
      <c r="BR509" s="115"/>
      <c r="BS509" s="115"/>
      <c r="BT509" s="115"/>
      <c r="BU509" s="115"/>
      <c r="BV509" s="115"/>
      <c r="BW509" s="115"/>
      <c r="BX509" s="115"/>
      <c r="BY509" s="115"/>
      <c r="BZ509" s="25"/>
      <c r="CA509" s="13"/>
      <c r="CD509" s="114"/>
    </row>
    <row r="510" spans="1:82" ht="20.100000000000001" customHeight="1" x14ac:dyDescent="0.4">
      <c r="A510" s="117"/>
      <c r="B510" s="123"/>
      <c r="C510" s="123"/>
      <c r="D510" s="123"/>
      <c r="AA510" s="25"/>
      <c r="AB510" s="13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27"/>
      <c r="AR510" s="29"/>
      <c r="BB510" s="25"/>
      <c r="BC510" s="13"/>
      <c r="BH510" s="116"/>
      <c r="BI510" s="123"/>
      <c r="BJ510" s="123"/>
      <c r="BK510" s="123"/>
      <c r="BP510" s="115"/>
      <c r="BQ510" s="115"/>
      <c r="BR510" s="115"/>
      <c r="BS510" s="115"/>
      <c r="BT510" s="115"/>
      <c r="BU510" s="115"/>
      <c r="BV510" s="115"/>
      <c r="BW510" s="115"/>
      <c r="BX510" s="115"/>
      <c r="BY510" s="115"/>
      <c r="BZ510" s="25"/>
      <c r="CA510" s="13"/>
      <c r="CD510" s="114"/>
    </row>
    <row r="511" spans="1:82" ht="20.100000000000001" customHeight="1" x14ac:dyDescent="0.4">
      <c r="A511" s="117"/>
      <c r="B511" s="123"/>
      <c r="C511" s="123"/>
      <c r="D511" s="123"/>
      <c r="AA511" s="25"/>
      <c r="AB511" s="13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27"/>
      <c r="AR511" s="29"/>
      <c r="BB511" s="25"/>
      <c r="BC511" s="13"/>
      <c r="BH511" s="116"/>
      <c r="BI511" s="123"/>
      <c r="BJ511" s="123"/>
      <c r="BK511" s="123"/>
      <c r="BP511" s="115"/>
      <c r="BQ511" s="115"/>
      <c r="BR511" s="115"/>
      <c r="BS511" s="115"/>
      <c r="BT511" s="115"/>
      <c r="BU511" s="115"/>
      <c r="BV511" s="115"/>
      <c r="BW511" s="115"/>
      <c r="BX511" s="115"/>
      <c r="BY511" s="115"/>
      <c r="BZ511" s="25"/>
      <c r="CA511" s="13"/>
      <c r="CD511" s="114"/>
    </row>
    <row r="512" spans="1:82" ht="20.100000000000001" customHeight="1" x14ac:dyDescent="0.4">
      <c r="A512" s="117"/>
      <c r="B512" s="123"/>
      <c r="C512" s="123"/>
      <c r="D512" s="123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3"/>
      <c r="AB512" s="13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27"/>
      <c r="AR512" s="29"/>
      <c r="BB512" s="25"/>
      <c r="BC512" s="13"/>
      <c r="BH512" s="116"/>
      <c r="BI512" s="123"/>
      <c r="BJ512" s="123"/>
      <c r="BK512" s="123"/>
      <c r="BP512" s="115"/>
      <c r="BQ512" s="115"/>
      <c r="BR512" s="115"/>
      <c r="BS512" s="115"/>
      <c r="BT512" s="115"/>
      <c r="BU512" s="115"/>
      <c r="BV512" s="115"/>
      <c r="BW512" s="115"/>
      <c r="BX512" s="115"/>
      <c r="BY512" s="115"/>
      <c r="BZ512" s="25"/>
      <c r="CA512" s="13"/>
      <c r="CD512" s="114"/>
    </row>
    <row r="513" spans="1:82" ht="20.100000000000001" customHeight="1" x14ac:dyDescent="0.4">
      <c r="A513" s="117"/>
      <c r="B513" s="123"/>
      <c r="C513" s="123"/>
      <c r="D513" s="123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3"/>
      <c r="AB513" s="13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27"/>
      <c r="AR513" s="29"/>
      <c r="BB513" s="25"/>
      <c r="BC513" s="13"/>
      <c r="BH513" s="116"/>
      <c r="BI513" s="123"/>
      <c r="BJ513" s="123"/>
      <c r="BK513" s="123"/>
      <c r="BP513" s="115"/>
      <c r="BQ513" s="115"/>
      <c r="BR513" s="115"/>
      <c r="BS513" s="115"/>
      <c r="BT513" s="115"/>
      <c r="BU513" s="115"/>
      <c r="BV513" s="115"/>
      <c r="BW513" s="115"/>
      <c r="BX513" s="115"/>
      <c r="BY513" s="115"/>
      <c r="BZ513" s="25"/>
      <c r="CA513" s="13"/>
      <c r="CD513" s="114"/>
    </row>
    <row r="514" spans="1:82" ht="20.100000000000001" customHeight="1" x14ac:dyDescent="0.4">
      <c r="A514" s="117"/>
      <c r="B514" s="123"/>
      <c r="C514" s="123"/>
      <c r="D514" s="123"/>
      <c r="AA514" s="25"/>
      <c r="AB514" s="13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27"/>
      <c r="AR514" s="29"/>
      <c r="BB514" s="25"/>
      <c r="BC514" s="13"/>
      <c r="BH514" s="116"/>
      <c r="BI514" s="123"/>
      <c r="BJ514" s="123"/>
      <c r="BK514" s="123"/>
      <c r="BP514" s="115"/>
      <c r="BQ514" s="115"/>
      <c r="BR514" s="115"/>
      <c r="BS514" s="115"/>
      <c r="BT514" s="115"/>
      <c r="BU514" s="115"/>
      <c r="BV514" s="115"/>
      <c r="BW514" s="115"/>
      <c r="BX514" s="115"/>
      <c r="BY514" s="115"/>
      <c r="BZ514" s="25"/>
      <c r="CA514" s="13"/>
      <c r="CD514" s="114"/>
    </row>
    <row r="515" spans="1:82" ht="20.100000000000001" customHeight="1" x14ac:dyDescent="0.4">
      <c r="A515" s="117"/>
      <c r="B515" s="123"/>
      <c r="C515" s="123"/>
      <c r="D515" s="123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3"/>
      <c r="AB515" s="13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27"/>
      <c r="AR515" s="29"/>
      <c r="BB515" s="25"/>
      <c r="BC515" s="13"/>
      <c r="BH515" s="116"/>
      <c r="BI515" s="123"/>
      <c r="BJ515" s="123"/>
      <c r="BK515" s="123"/>
      <c r="BP515" s="115"/>
      <c r="BQ515" s="115"/>
      <c r="BR515" s="115"/>
      <c r="BS515" s="115"/>
      <c r="BT515" s="115"/>
      <c r="BU515" s="115"/>
      <c r="BV515" s="115"/>
      <c r="BW515" s="115"/>
      <c r="BX515" s="115"/>
      <c r="BY515" s="115"/>
      <c r="BZ515" s="25"/>
      <c r="CA515" s="13"/>
      <c r="CD515" s="114"/>
    </row>
    <row r="516" spans="1:82" ht="20.100000000000001" customHeight="1" x14ac:dyDescent="0.4">
      <c r="A516" s="117"/>
      <c r="B516" s="123"/>
      <c r="C516" s="123"/>
      <c r="D516" s="123"/>
      <c r="AA516" s="25"/>
      <c r="AB516" s="13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27"/>
      <c r="AR516" s="29"/>
      <c r="BB516" s="25"/>
      <c r="BC516" s="13"/>
      <c r="BH516" s="116"/>
      <c r="BI516" s="123"/>
      <c r="BJ516" s="123"/>
      <c r="BK516" s="123"/>
      <c r="BP516" s="115"/>
      <c r="BQ516" s="115"/>
      <c r="BR516" s="115"/>
      <c r="BS516" s="115"/>
      <c r="BT516" s="115"/>
      <c r="BU516" s="115"/>
      <c r="BV516" s="115"/>
      <c r="BW516" s="115"/>
      <c r="BX516" s="115"/>
      <c r="BY516" s="115"/>
      <c r="BZ516" s="25"/>
      <c r="CA516" s="13"/>
      <c r="CD516" s="114"/>
    </row>
    <row r="517" spans="1:82" ht="20.100000000000001" customHeight="1" x14ac:dyDescent="0.4">
      <c r="A517" s="117"/>
      <c r="B517" s="123"/>
      <c r="C517" s="123"/>
      <c r="D517" s="123"/>
      <c r="AA517" s="25"/>
      <c r="AB517" s="13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27"/>
      <c r="AR517" s="29"/>
      <c r="BB517" s="25"/>
      <c r="BC517" s="13"/>
      <c r="BH517" s="116"/>
      <c r="BI517" s="123"/>
      <c r="BJ517" s="123"/>
      <c r="BK517" s="123"/>
      <c r="BP517" s="115"/>
      <c r="BQ517" s="115"/>
      <c r="BR517" s="115"/>
      <c r="BS517" s="115"/>
      <c r="BT517" s="115"/>
      <c r="BU517" s="115"/>
      <c r="BV517" s="115"/>
      <c r="BW517" s="115"/>
      <c r="BX517" s="115"/>
      <c r="BY517" s="115"/>
      <c r="BZ517" s="25"/>
      <c r="CA517" s="13"/>
      <c r="CD517" s="114"/>
    </row>
    <row r="518" spans="1:82" ht="20.100000000000001" customHeight="1" x14ac:dyDescent="0.4">
      <c r="A518" s="117"/>
      <c r="B518" s="123"/>
      <c r="C518" s="123"/>
      <c r="D518" s="123"/>
      <c r="AA518" s="25"/>
      <c r="AB518" s="13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29"/>
      <c r="AR518" s="29"/>
      <c r="BB518" s="25"/>
      <c r="BC518" s="13"/>
      <c r="BH518" s="116"/>
      <c r="BI518" s="123"/>
      <c r="BJ518" s="123"/>
      <c r="BK518" s="123"/>
      <c r="BP518" s="115"/>
      <c r="BQ518" s="115"/>
      <c r="BR518" s="115"/>
      <c r="BS518" s="115"/>
      <c r="BT518" s="115"/>
      <c r="BU518" s="115"/>
      <c r="BV518" s="115"/>
      <c r="BW518" s="115"/>
      <c r="BX518" s="115"/>
      <c r="BY518" s="115"/>
      <c r="BZ518" s="25"/>
      <c r="CA518" s="13"/>
      <c r="CD518" s="114"/>
    </row>
    <row r="519" spans="1:82" ht="20.100000000000001" customHeight="1" x14ac:dyDescent="0.4">
      <c r="A519" s="117"/>
      <c r="B519" s="123"/>
      <c r="C519" s="123"/>
      <c r="D519" s="123"/>
      <c r="AA519" s="25"/>
      <c r="AB519" s="13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27"/>
      <c r="AR519" s="29"/>
      <c r="BB519" s="25"/>
      <c r="BC519" s="13"/>
      <c r="BH519" s="116"/>
      <c r="BI519" s="123"/>
      <c r="BJ519" s="123"/>
      <c r="BK519" s="123"/>
      <c r="BP519" s="115"/>
      <c r="BQ519" s="115"/>
      <c r="BR519" s="115"/>
      <c r="BS519" s="115"/>
      <c r="BT519" s="115"/>
      <c r="BU519" s="115"/>
      <c r="BV519" s="115"/>
      <c r="BW519" s="115"/>
      <c r="BX519" s="115"/>
      <c r="BY519" s="115"/>
      <c r="BZ519" s="25"/>
      <c r="CA519" s="13"/>
      <c r="CD519" s="114"/>
    </row>
    <row r="520" spans="1:82" ht="20.100000000000001" customHeight="1" x14ac:dyDescent="0.4">
      <c r="A520" s="117"/>
      <c r="B520" s="123"/>
      <c r="C520" s="123"/>
      <c r="D520" s="123"/>
      <c r="AA520" s="25"/>
      <c r="AB520" s="13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29"/>
      <c r="AR520" s="29"/>
      <c r="BB520" s="25"/>
      <c r="BC520" s="13"/>
      <c r="BH520" s="116"/>
      <c r="BI520" s="123"/>
      <c r="BJ520" s="123"/>
      <c r="BK520" s="123"/>
      <c r="BP520" s="115"/>
      <c r="BQ520" s="115"/>
      <c r="BR520" s="115"/>
      <c r="BS520" s="115"/>
      <c r="BT520" s="115"/>
      <c r="BU520" s="115"/>
      <c r="BV520" s="115"/>
      <c r="BW520" s="115"/>
      <c r="BX520" s="115"/>
      <c r="BY520" s="115"/>
      <c r="BZ520" s="25"/>
      <c r="CA520" s="13"/>
      <c r="CD520" s="114"/>
    </row>
    <row r="521" spans="1:82" ht="20.100000000000001" customHeight="1" x14ac:dyDescent="0.4">
      <c r="A521" s="117"/>
      <c r="B521" s="123"/>
      <c r="C521" s="123"/>
      <c r="D521" s="123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3"/>
      <c r="AB521" s="13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29"/>
      <c r="AR521" s="29"/>
      <c r="BB521" s="25"/>
      <c r="BC521" s="13"/>
      <c r="BH521" s="116"/>
      <c r="BI521" s="123"/>
      <c r="BJ521" s="123"/>
      <c r="BK521" s="123"/>
      <c r="BP521" s="115"/>
      <c r="BQ521" s="115"/>
      <c r="BR521" s="115"/>
      <c r="BS521" s="115"/>
      <c r="BT521" s="115"/>
      <c r="BU521" s="115"/>
      <c r="BV521" s="115"/>
      <c r="BW521" s="115"/>
      <c r="BX521" s="115"/>
      <c r="BY521" s="115"/>
      <c r="BZ521" s="25"/>
      <c r="CA521" s="13"/>
      <c r="CD521" s="114"/>
    </row>
    <row r="522" spans="1:82" ht="20.100000000000001" customHeight="1" x14ac:dyDescent="0.4">
      <c r="A522" s="117"/>
      <c r="B522" s="123"/>
      <c r="C522" s="123"/>
      <c r="D522" s="123"/>
      <c r="AA522" s="25"/>
      <c r="AB522" s="13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27"/>
      <c r="AR522" s="29"/>
      <c r="BB522" s="25"/>
      <c r="BC522" s="13"/>
      <c r="BH522" s="116"/>
      <c r="BI522" s="123"/>
      <c r="BJ522" s="123"/>
      <c r="BK522" s="123"/>
      <c r="BP522" s="115"/>
      <c r="BQ522" s="115"/>
      <c r="BR522" s="115"/>
      <c r="BS522" s="115"/>
      <c r="BT522" s="115"/>
      <c r="BU522" s="115"/>
      <c r="BV522" s="115"/>
      <c r="BW522" s="115"/>
      <c r="BX522" s="115"/>
      <c r="BY522" s="115"/>
      <c r="BZ522" s="25"/>
      <c r="CA522" s="13"/>
      <c r="CD522" s="114"/>
    </row>
    <row r="523" spans="1:82" ht="20.100000000000001" customHeight="1" x14ac:dyDescent="0.4">
      <c r="A523" s="117"/>
      <c r="B523" s="123"/>
      <c r="C523" s="123"/>
      <c r="D523" s="123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3"/>
      <c r="AB523" s="13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27"/>
      <c r="AR523" s="29"/>
      <c r="BB523" s="25"/>
      <c r="BC523" s="13"/>
      <c r="BH523" s="116"/>
      <c r="BI523" s="123"/>
      <c r="BJ523" s="123"/>
      <c r="BK523" s="123"/>
      <c r="BP523" s="115"/>
      <c r="BQ523" s="115"/>
      <c r="BR523" s="115"/>
      <c r="BS523" s="115"/>
      <c r="BT523" s="115"/>
      <c r="BU523" s="115"/>
      <c r="BV523" s="115"/>
      <c r="BW523" s="115"/>
      <c r="BX523" s="115"/>
      <c r="BY523" s="115"/>
      <c r="BZ523" s="25"/>
      <c r="CA523" s="13"/>
      <c r="CD523" s="114"/>
    </row>
    <row r="524" spans="1:82" ht="20.100000000000001" customHeight="1" x14ac:dyDescent="0.4">
      <c r="A524" s="117"/>
      <c r="B524" s="123"/>
      <c r="C524" s="123"/>
      <c r="D524" s="123"/>
      <c r="AA524" s="25"/>
      <c r="AB524" s="13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29"/>
      <c r="AR524" s="29"/>
      <c r="BB524" s="25"/>
      <c r="BC524" s="13"/>
      <c r="BH524" s="116"/>
      <c r="BI524" s="123"/>
      <c r="BJ524" s="123"/>
      <c r="BK524" s="123"/>
      <c r="BP524" s="115"/>
      <c r="BQ524" s="115"/>
      <c r="BR524" s="115"/>
      <c r="BS524" s="115"/>
      <c r="BT524" s="115"/>
      <c r="BU524" s="115"/>
      <c r="BV524" s="115"/>
      <c r="BW524" s="115"/>
      <c r="BX524" s="115"/>
      <c r="BY524" s="115"/>
      <c r="BZ524" s="25"/>
      <c r="CA524" s="13"/>
      <c r="CD524" s="114"/>
    </row>
    <row r="525" spans="1:82" ht="20.100000000000001" customHeight="1" x14ac:dyDescent="0.4">
      <c r="A525" s="117"/>
      <c r="B525" s="123"/>
      <c r="C525" s="123"/>
      <c r="D525" s="123"/>
      <c r="AA525" s="25"/>
      <c r="AB525" s="13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27"/>
      <c r="AR525" s="29"/>
      <c r="BB525" s="25"/>
      <c r="BC525" s="13"/>
      <c r="BH525" s="116"/>
      <c r="BI525" s="123"/>
      <c r="BJ525" s="123"/>
      <c r="BK525" s="123"/>
      <c r="BP525" s="115"/>
      <c r="BQ525" s="115"/>
      <c r="BR525" s="115"/>
      <c r="BS525" s="115"/>
      <c r="BT525" s="115"/>
      <c r="BU525" s="115"/>
      <c r="BV525" s="115"/>
      <c r="BW525" s="115"/>
      <c r="BX525" s="115"/>
      <c r="BY525" s="115"/>
      <c r="BZ525" s="25"/>
      <c r="CA525" s="13"/>
      <c r="CD525" s="114"/>
    </row>
    <row r="526" spans="1:82" ht="20.100000000000001" customHeight="1" x14ac:dyDescent="0.4">
      <c r="A526" s="117"/>
      <c r="B526" s="123"/>
      <c r="C526" s="123"/>
      <c r="D526" s="123"/>
      <c r="AA526" s="25"/>
      <c r="AB526" s="13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29"/>
      <c r="AR526" s="29"/>
      <c r="BB526" s="25"/>
      <c r="BC526" s="13"/>
      <c r="BH526" s="116"/>
      <c r="BI526" s="123"/>
      <c r="BJ526" s="123"/>
      <c r="BK526" s="123"/>
      <c r="BP526" s="115"/>
      <c r="BQ526" s="115"/>
      <c r="BR526" s="115"/>
      <c r="BS526" s="115"/>
      <c r="BT526" s="115"/>
      <c r="BU526" s="115"/>
      <c r="BV526" s="115"/>
      <c r="BW526" s="115"/>
      <c r="BX526" s="115"/>
      <c r="BY526" s="115"/>
      <c r="BZ526" s="25"/>
      <c r="CA526" s="13"/>
      <c r="CD526" s="114"/>
    </row>
    <row r="527" spans="1:82" ht="20.100000000000001" customHeight="1" x14ac:dyDescent="0.4">
      <c r="A527" s="117"/>
      <c r="B527" s="123"/>
      <c r="C527" s="123"/>
      <c r="D527" s="123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3"/>
      <c r="AB527" s="13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29"/>
      <c r="AR527" s="29"/>
      <c r="BB527" s="25"/>
      <c r="BC527" s="13"/>
      <c r="BH527" s="116"/>
      <c r="BI527" s="123"/>
      <c r="BJ527" s="123"/>
      <c r="BK527" s="123"/>
      <c r="BP527" s="115"/>
      <c r="BQ527" s="115"/>
      <c r="BR527" s="115"/>
      <c r="BS527" s="115"/>
      <c r="BT527" s="115"/>
      <c r="BU527" s="115"/>
      <c r="BV527" s="115"/>
      <c r="BW527" s="115"/>
      <c r="BX527" s="115"/>
      <c r="BY527" s="115"/>
      <c r="BZ527" s="25"/>
      <c r="CA527" s="13"/>
      <c r="CD527" s="114"/>
    </row>
    <row r="528" spans="1:82" ht="20.100000000000001" customHeight="1" x14ac:dyDescent="0.4">
      <c r="A528" s="117"/>
      <c r="B528" s="123"/>
      <c r="C528" s="123"/>
      <c r="D528" s="123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25"/>
      <c r="AB528" s="13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29"/>
      <c r="AR528" s="29"/>
      <c r="BB528" s="25"/>
      <c r="BC528" s="13"/>
      <c r="BH528" s="116"/>
      <c r="BI528" s="123"/>
      <c r="BJ528" s="123"/>
      <c r="BK528" s="123"/>
      <c r="BP528" s="115"/>
      <c r="BQ528" s="115"/>
      <c r="BR528" s="115"/>
      <c r="BS528" s="115"/>
      <c r="BT528" s="115"/>
      <c r="BU528" s="115"/>
      <c r="BV528" s="115"/>
      <c r="BW528" s="115"/>
      <c r="BX528" s="115"/>
      <c r="BY528" s="115"/>
      <c r="BZ528" s="25"/>
      <c r="CA528" s="13"/>
      <c r="CD528" s="114"/>
    </row>
    <row r="529" spans="1:82" ht="20.100000000000001" customHeight="1" x14ac:dyDescent="0.4">
      <c r="A529" s="117"/>
      <c r="B529" s="123"/>
      <c r="C529" s="123"/>
      <c r="D529" s="123"/>
      <c r="AA529" s="25"/>
      <c r="AB529" s="133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27"/>
      <c r="AR529" s="29"/>
      <c r="BB529" s="25"/>
      <c r="BC529" s="13"/>
      <c r="BH529" s="116"/>
      <c r="BI529" s="123"/>
      <c r="BJ529" s="123"/>
      <c r="BK529" s="123"/>
      <c r="BP529" s="115"/>
      <c r="BQ529" s="115"/>
      <c r="BR529" s="115"/>
      <c r="BS529" s="115"/>
      <c r="BT529" s="115"/>
      <c r="BU529" s="115"/>
      <c r="BV529" s="115"/>
      <c r="BW529" s="115"/>
      <c r="BX529" s="115"/>
      <c r="BY529" s="115"/>
      <c r="BZ529" s="25"/>
      <c r="CA529" s="13"/>
      <c r="CD529" s="114"/>
    </row>
    <row r="530" spans="1:82" ht="20.100000000000001" customHeight="1" x14ac:dyDescent="0.4">
      <c r="A530" s="117"/>
      <c r="B530" s="123"/>
      <c r="C530" s="123"/>
      <c r="D530" s="123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25"/>
      <c r="AB530" s="13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27"/>
      <c r="AR530" s="29"/>
      <c r="BB530" s="25"/>
      <c r="BC530" s="13"/>
      <c r="BH530" s="116"/>
      <c r="BI530" s="123"/>
      <c r="BJ530" s="123"/>
      <c r="BK530" s="123"/>
      <c r="BP530" s="115"/>
      <c r="BQ530" s="115"/>
      <c r="BR530" s="115"/>
      <c r="BS530" s="115"/>
      <c r="BT530" s="115"/>
      <c r="BU530" s="115"/>
      <c r="BV530" s="115"/>
      <c r="BW530" s="115"/>
      <c r="BX530" s="115"/>
      <c r="BY530" s="115"/>
      <c r="BZ530" s="25"/>
      <c r="CA530" s="13"/>
      <c r="CD530" s="114"/>
    </row>
    <row r="531" spans="1:82" ht="20.100000000000001" customHeight="1" x14ac:dyDescent="0.4">
      <c r="A531" s="117"/>
      <c r="B531" s="123"/>
      <c r="C531" s="123"/>
      <c r="D531" s="123"/>
      <c r="AA531" s="25"/>
      <c r="AB531" s="13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27"/>
      <c r="AR531" s="29"/>
      <c r="BB531" s="25"/>
      <c r="BC531" s="13"/>
      <c r="BH531" s="116"/>
      <c r="BI531" s="123"/>
      <c r="BJ531" s="123"/>
      <c r="BK531" s="123"/>
      <c r="BP531" s="115"/>
      <c r="BQ531" s="115"/>
      <c r="BR531" s="115"/>
      <c r="BS531" s="115"/>
      <c r="BT531" s="115"/>
      <c r="BU531" s="115"/>
      <c r="BV531" s="115"/>
      <c r="BW531" s="115"/>
      <c r="BX531" s="115"/>
      <c r="BY531" s="115"/>
      <c r="BZ531" s="25"/>
      <c r="CA531" s="13"/>
      <c r="CD531" s="114"/>
    </row>
    <row r="532" spans="1:82" ht="20.100000000000001" customHeight="1" x14ac:dyDescent="0.4">
      <c r="A532" s="117"/>
      <c r="B532" s="123"/>
      <c r="C532" s="123"/>
      <c r="D532" s="123"/>
      <c r="AA532" s="25"/>
      <c r="AB532" s="13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29"/>
      <c r="AR532" s="29"/>
      <c r="BB532" s="25"/>
      <c r="BC532" s="13"/>
      <c r="BH532" s="116"/>
      <c r="BI532" s="123"/>
      <c r="BJ532" s="123"/>
      <c r="BK532" s="123"/>
      <c r="BP532" s="115"/>
      <c r="BQ532" s="115"/>
      <c r="BR532" s="115"/>
      <c r="BS532" s="115"/>
      <c r="BT532" s="115"/>
      <c r="BU532" s="115"/>
      <c r="BV532" s="115"/>
      <c r="BW532" s="115"/>
      <c r="BX532" s="115"/>
      <c r="BY532" s="115"/>
      <c r="BZ532" s="25"/>
      <c r="CA532" s="13"/>
      <c r="CD532" s="114"/>
    </row>
    <row r="533" spans="1:82" ht="20.100000000000001" customHeight="1" x14ac:dyDescent="0.4">
      <c r="A533" s="117"/>
      <c r="B533" s="123"/>
      <c r="C533" s="123"/>
      <c r="D533" s="123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3"/>
      <c r="AB533" s="13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29"/>
      <c r="AR533" s="29"/>
      <c r="BB533" s="25"/>
      <c r="BC533" s="13"/>
      <c r="BH533" s="116"/>
      <c r="BI533" s="123"/>
      <c r="BJ533" s="123"/>
      <c r="BK533" s="123"/>
      <c r="BP533" s="115"/>
      <c r="BQ533" s="115"/>
      <c r="BR533" s="115"/>
      <c r="BS533" s="115"/>
      <c r="BT533" s="115"/>
      <c r="BU533" s="115"/>
      <c r="BV533" s="115"/>
      <c r="BW533" s="115"/>
      <c r="BX533" s="115"/>
      <c r="BY533" s="115"/>
      <c r="BZ533" s="25"/>
      <c r="CA533" s="13"/>
      <c r="CD533" s="114"/>
    </row>
    <row r="534" spans="1:82" ht="20.100000000000001" customHeight="1" x14ac:dyDescent="0.4">
      <c r="A534" s="117"/>
      <c r="B534" s="123"/>
      <c r="C534" s="123"/>
      <c r="D534" s="123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3"/>
      <c r="AB534" s="13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29"/>
      <c r="AR534" s="29"/>
      <c r="BB534" s="25"/>
      <c r="BC534" s="13"/>
      <c r="BH534" s="116"/>
      <c r="BI534" s="123"/>
      <c r="BJ534" s="123"/>
      <c r="BK534" s="123"/>
      <c r="BP534" s="115"/>
      <c r="BQ534" s="115"/>
      <c r="BR534" s="115"/>
      <c r="BS534" s="115"/>
      <c r="BT534" s="115"/>
      <c r="BU534" s="115"/>
      <c r="BV534" s="115"/>
      <c r="BW534" s="115"/>
      <c r="BX534" s="115"/>
      <c r="BY534" s="115"/>
      <c r="BZ534" s="25"/>
      <c r="CA534" s="13"/>
      <c r="CD534" s="114"/>
    </row>
    <row r="535" spans="1:82" ht="20.100000000000001" customHeight="1" x14ac:dyDescent="0.4">
      <c r="A535" s="117"/>
      <c r="B535" s="123"/>
      <c r="C535" s="123"/>
      <c r="D535" s="123"/>
      <c r="AA535" s="25"/>
      <c r="AB535" s="13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27"/>
      <c r="AR535" s="29"/>
      <c r="BB535" s="25"/>
      <c r="BC535" s="13"/>
      <c r="BH535" s="116"/>
      <c r="BI535" s="123"/>
      <c r="BJ535" s="123"/>
      <c r="BK535" s="123"/>
      <c r="BP535" s="115"/>
      <c r="BQ535" s="115"/>
      <c r="BR535" s="115"/>
      <c r="BS535" s="115"/>
      <c r="BT535" s="115"/>
      <c r="BU535" s="115"/>
      <c r="BV535" s="115"/>
      <c r="BW535" s="115"/>
      <c r="BX535" s="115"/>
      <c r="BY535" s="115"/>
      <c r="BZ535" s="25"/>
      <c r="CA535" s="13"/>
      <c r="CD535" s="114"/>
    </row>
    <row r="536" spans="1:82" ht="20.100000000000001" customHeight="1" x14ac:dyDescent="0.4">
      <c r="A536" s="117"/>
      <c r="B536" s="123"/>
      <c r="C536" s="123"/>
      <c r="D536" s="123"/>
      <c r="AA536" s="25"/>
      <c r="AB536" s="13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27"/>
      <c r="AR536" s="29"/>
      <c r="BB536" s="25"/>
      <c r="BC536" s="13"/>
      <c r="BH536" s="116"/>
      <c r="BI536" s="123"/>
      <c r="BJ536" s="123"/>
      <c r="BK536" s="123"/>
      <c r="BP536" s="115"/>
      <c r="BQ536" s="115"/>
      <c r="BR536" s="115"/>
      <c r="BS536" s="115"/>
      <c r="BT536" s="115"/>
      <c r="BU536" s="115"/>
      <c r="BV536" s="115"/>
      <c r="BW536" s="115"/>
      <c r="BX536" s="115"/>
      <c r="BY536" s="115"/>
      <c r="BZ536" s="25"/>
      <c r="CA536" s="13"/>
      <c r="CD536" s="114"/>
    </row>
    <row r="537" spans="1:82" ht="20.100000000000001" customHeight="1" x14ac:dyDescent="0.4">
      <c r="A537" s="117"/>
      <c r="B537" s="123"/>
      <c r="C537" s="123"/>
      <c r="D537" s="123"/>
      <c r="AA537" s="25"/>
      <c r="AB537" s="13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29"/>
      <c r="AR537" s="29"/>
      <c r="BB537" s="25"/>
      <c r="BC537" s="13"/>
      <c r="BH537" s="116"/>
      <c r="BI537" s="123"/>
      <c r="BJ537" s="123"/>
      <c r="BK537" s="123"/>
      <c r="BP537" s="115"/>
      <c r="BQ537" s="115"/>
      <c r="BR537" s="115"/>
      <c r="BS537" s="115"/>
      <c r="BT537" s="115"/>
      <c r="BU537" s="115"/>
      <c r="BV537" s="115"/>
      <c r="BW537" s="115"/>
      <c r="BX537" s="115"/>
      <c r="BY537" s="115"/>
      <c r="BZ537" s="25"/>
      <c r="CA537" s="13"/>
      <c r="CD537" s="114"/>
    </row>
    <row r="538" spans="1:82" ht="20.100000000000001" customHeight="1" x14ac:dyDescent="0.4">
      <c r="A538" s="117"/>
      <c r="B538" s="123"/>
      <c r="C538" s="123"/>
      <c r="D538" s="123"/>
      <c r="AA538" s="25"/>
      <c r="AB538" s="13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27"/>
      <c r="AR538" s="29"/>
      <c r="BB538" s="25"/>
      <c r="BC538" s="13"/>
      <c r="BH538" s="116"/>
      <c r="BI538" s="123"/>
      <c r="BJ538" s="123"/>
      <c r="BK538" s="123"/>
      <c r="BP538" s="115"/>
      <c r="BQ538" s="115"/>
      <c r="BR538" s="115"/>
      <c r="BS538" s="115"/>
      <c r="BT538" s="115"/>
      <c r="BU538" s="115"/>
      <c r="BV538" s="115"/>
      <c r="BW538" s="115"/>
      <c r="BX538" s="115"/>
      <c r="BY538" s="115"/>
      <c r="BZ538" s="25"/>
      <c r="CA538" s="13"/>
      <c r="CD538" s="114"/>
    </row>
    <row r="539" spans="1:82" ht="20.100000000000001" customHeight="1" x14ac:dyDescent="0.4">
      <c r="A539" s="117"/>
      <c r="B539" s="123"/>
      <c r="C539" s="123"/>
      <c r="D539" s="123"/>
      <c r="AA539" s="25"/>
      <c r="AB539" s="13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27"/>
      <c r="AR539" s="29"/>
      <c r="BB539" s="25"/>
      <c r="BC539" s="13"/>
      <c r="BH539" s="116"/>
      <c r="BI539" s="123"/>
      <c r="BJ539" s="123"/>
      <c r="BK539" s="123"/>
      <c r="BP539" s="115"/>
      <c r="BQ539" s="115"/>
      <c r="BR539" s="115"/>
      <c r="BS539" s="115"/>
      <c r="BT539" s="115"/>
      <c r="BU539" s="115"/>
      <c r="BV539" s="115"/>
      <c r="BW539" s="115"/>
      <c r="BX539" s="115"/>
      <c r="BY539" s="115"/>
      <c r="BZ539" s="25"/>
      <c r="CA539" s="13"/>
      <c r="CD539" s="114"/>
    </row>
    <row r="540" spans="1:82" ht="20.100000000000001" customHeight="1" x14ac:dyDescent="0.4">
      <c r="A540" s="117"/>
      <c r="B540" s="123"/>
      <c r="C540" s="123"/>
      <c r="D540" s="123"/>
      <c r="AA540" s="25"/>
      <c r="AB540" s="13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27"/>
      <c r="AR540" s="29"/>
      <c r="BB540" s="25"/>
      <c r="BC540" s="13"/>
      <c r="BH540" s="116"/>
      <c r="BI540" s="123"/>
      <c r="BJ540" s="123"/>
      <c r="BK540" s="123"/>
      <c r="BP540" s="115"/>
      <c r="BQ540" s="115"/>
      <c r="BR540" s="115"/>
      <c r="BS540" s="115"/>
      <c r="BT540" s="115"/>
      <c r="BU540" s="115"/>
      <c r="BV540" s="115"/>
      <c r="BW540" s="115"/>
      <c r="BX540" s="115"/>
      <c r="BY540" s="115"/>
      <c r="BZ540" s="25"/>
      <c r="CA540" s="13"/>
      <c r="CD540" s="114"/>
    </row>
    <row r="541" spans="1:82" ht="20.100000000000001" customHeight="1" x14ac:dyDescent="0.4">
      <c r="A541" s="117"/>
      <c r="B541" s="123"/>
      <c r="C541" s="123"/>
      <c r="D541" s="123"/>
      <c r="AA541" s="25"/>
      <c r="AB541" s="133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29"/>
      <c r="AR541" s="29"/>
      <c r="BB541" s="25"/>
      <c r="BC541" s="13"/>
      <c r="BH541" s="116"/>
      <c r="BI541" s="123"/>
      <c r="BJ541" s="123"/>
      <c r="BK541" s="123"/>
      <c r="BP541" s="115"/>
      <c r="BQ541" s="115"/>
      <c r="BR541" s="115"/>
      <c r="BS541" s="115"/>
      <c r="BT541" s="115"/>
      <c r="BU541" s="115"/>
      <c r="BV541" s="115"/>
      <c r="BW541" s="115"/>
      <c r="BX541" s="115"/>
      <c r="BY541" s="115"/>
      <c r="BZ541" s="25"/>
      <c r="CA541" s="13"/>
      <c r="CD541" s="114"/>
    </row>
    <row r="542" spans="1:82" ht="20.100000000000001" customHeight="1" x14ac:dyDescent="0.4">
      <c r="A542" s="117"/>
      <c r="B542" s="123"/>
      <c r="C542" s="123"/>
      <c r="D542" s="123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26"/>
      <c r="AB542" s="13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29"/>
      <c r="AR542" s="29"/>
      <c r="BB542" s="25"/>
      <c r="BC542" s="13"/>
      <c r="BH542" s="116"/>
      <c r="BI542" s="123"/>
      <c r="BJ542" s="123"/>
      <c r="BK542" s="123"/>
      <c r="BP542" s="115"/>
      <c r="BQ542" s="115"/>
      <c r="BR542" s="115"/>
      <c r="BS542" s="115"/>
      <c r="BT542" s="115"/>
      <c r="BU542" s="115"/>
      <c r="BV542" s="115"/>
      <c r="BW542" s="115"/>
      <c r="BX542" s="115"/>
      <c r="BY542" s="115"/>
      <c r="BZ542" s="25"/>
      <c r="CA542" s="13"/>
      <c r="CD542" s="114"/>
    </row>
    <row r="543" spans="1:82" ht="20.100000000000001" customHeight="1" x14ac:dyDescent="0.4">
      <c r="A543" s="117"/>
      <c r="B543" s="123"/>
      <c r="C543" s="123"/>
      <c r="D543" s="123"/>
      <c r="AA543" s="26"/>
      <c r="AB543" s="13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27"/>
      <c r="AR543" s="29"/>
      <c r="BB543" s="25"/>
      <c r="BC543" s="13"/>
      <c r="BH543" s="116"/>
      <c r="BI543" s="123"/>
      <c r="BJ543" s="123"/>
      <c r="BK543" s="123"/>
      <c r="BP543" s="115"/>
      <c r="BQ543" s="115"/>
      <c r="BR543" s="115"/>
      <c r="BS543" s="115"/>
      <c r="BT543" s="115"/>
      <c r="BU543" s="115"/>
      <c r="BV543" s="115"/>
      <c r="BW543" s="115"/>
      <c r="BX543" s="115"/>
      <c r="BY543" s="115"/>
      <c r="BZ543" s="25"/>
      <c r="CA543" s="13"/>
      <c r="CD543" s="114"/>
    </row>
    <row r="544" spans="1:82" ht="20.100000000000001" customHeight="1" x14ac:dyDescent="0.4">
      <c r="A544" s="117"/>
      <c r="B544" s="123"/>
      <c r="C544" s="123"/>
      <c r="D544" s="123"/>
      <c r="AA544" s="26"/>
      <c r="AB544" s="13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29"/>
      <c r="AR544" s="29"/>
      <c r="BB544" s="25"/>
      <c r="BC544" s="13"/>
      <c r="BH544" s="116"/>
      <c r="BI544" s="123"/>
      <c r="BJ544" s="123"/>
      <c r="BK544" s="123"/>
      <c r="BP544" s="115"/>
      <c r="BQ544" s="115"/>
      <c r="BR544" s="115"/>
      <c r="BS544" s="115"/>
      <c r="BT544" s="115"/>
      <c r="BU544" s="115"/>
      <c r="BV544" s="115"/>
      <c r="BW544" s="115"/>
      <c r="BX544" s="115"/>
      <c r="BY544" s="115"/>
      <c r="BZ544" s="25"/>
      <c r="CA544" s="13"/>
      <c r="CD544" s="114"/>
    </row>
    <row r="545" spans="1:82" ht="20.100000000000001" customHeight="1" x14ac:dyDescent="0.4">
      <c r="A545" s="117"/>
      <c r="B545" s="123"/>
      <c r="C545" s="123"/>
      <c r="D545" s="123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26"/>
      <c r="AB545" s="13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29"/>
      <c r="AR545" s="29"/>
      <c r="BB545" s="25"/>
      <c r="BC545" s="13"/>
      <c r="BH545" s="116"/>
      <c r="BI545" s="123"/>
      <c r="BJ545" s="123"/>
      <c r="BK545" s="123"/>
      <c r="BP545" s="115"/>
      <c r="BQ545" s="115"/>
      <c r="BR545" s="115"/>
      <c r="BS545" s="115"/>
      <c r="BT545" s="115"/>
      <c r="BU545" s="115"/>
      <c r="BV545" s="115"/>
      <c r="BW545" s="115"/>
      <c r="BX545" s="115"/>
      <c r="BY545" s="115"/>
      <c r="BZ545" s="25"/>
      <c r="CA545" s="13"/>
      <c r="CD545" s="114"/>
    </row>
    <row r="546" spans="1:82" ht="20.100000000000001" customHeight="1" x14ac:dyDescent="0.4">
      <c r="A546" s="117"/>
      <c r="B546" s="123"/>
      <c r="C546" s="123"/>
      <c r="D546" s="123"/>
      <c r="AA546" s="26"/>
      <c r="AB546" s="13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27"/>
      <c r="AR546" s="29"/>
      <c r="BB546" s="25"/>
      <c r="BC546" s="13"/>
      <c r="BH546" s="116"/>
      <c r="BI546" s="123"/>
      <c r="BJ546" s="123"/>
      <c r="BK546" s="123"/>
      <c r="BP546" s="115"/>
      <c r="BQ546" s="115"/>
      <c r="BR546" s="115"/>
      <c r="BS546" s="115"/>
      <c r="BT546" s="115"/>
      <c r="BU546" s="115"/>
      <c r="BV546" s="115"/>
      <c r="BW546" s="115"/>
      <c r="BX546" s="115"/>
      <c r="BY546" s="115"/>
      <c r="BZ546" s="25"/>
      <c r="CA546" s="13"/>
      <c r="CD546" s="114"/>
    </row>
    <row r="547" spans="1:82" ht="20.100000000000001" customHeight="1" x14ac:dyDescent="0.4">
      <c r="A547" s="117"/>
      <c r="B547" s="123"/>
      <c r="C547" s="123"/>
      <c r="D547" s="123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7"/>
      <c r="AB547" s="13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27"/>
      <c r="AR547" s="29"/>
      <c r="BB547" s="25"/>
      <c r="BC547" s="13"/>
      <c r="BH547" s="116"/>
      <c r="BI547" s="123"/>
      <c r="BJ547" s="123"/>
      <c r="BK547" s="123"/>
      <c r="BP547" s="115"/>
      <c r="BQ547" s="115"/>
      <c r="BR547" s="115"/>
      <c r="BS547" s="115"/>
      <c r="BT547" s="115"/>
      <c r="BU547" s="115"/>
      <c r="BV547" s="115"/>
      <c r="BW547" s="115"/>
      <c r="BX547" s="115"/>
      <c r="BY547" s="115"/>
      <c r="BZ547" s="25"/>
      <c r="CA547" s="13"/>
      <c r="CD547" s="114"/>
    </row>
    <row r="548" spans="1:82" ht="20.100000000000001" customHeight="1" x14ac:dyDescent="0.4">
      <c r="A548" s="117"/>
      <c r="B548" s="123"/>
      <c r="C548" s="123"/>
      <c r="D548" s="123"/>
      <c r="AA548" s="26"/>
      <c r="AB548" s="13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29"/>
      <c r="AR548" s="29"/>
      <c r="BB548" s="25"/>
      <c r="BC548" s="13"/>
      <c r="BH548" s="116"/>
      <c r="BI548" s="123"/>
      <c r="BJ548" s="123"/>
      <c r="BK548" s="123"/>
      <c r="BP548" s="115"/>
      <c r="BQ548" s="115"/>
      <c r="BR548" s="115"/>
      <c r="BS548" s="115"/>
      <c r="BT548" s="115"/>
      <c r="BU548" s="115"/>
      <c r="BV548" s="115"/>
      <c r="BW548" s="115"/>
      <c r="BX548" s="115"/>
      <c r="BY548" s="115"/>
      <c r="BZ548" s="25"/>
      <c r="CA548" s="13"/>
      <c r="CD548" s="114"/>
    </row>
    <row r="549" spans="1:82" ht="20.100000000000001" customHeight="1" x14ac:dyDescent="0.4">
      <c r="A549" s="117"/>
      <c r="B549" s="123"/>
      <c r="C549" s="123"/>
      <c r="D549" s="123"/>
      <c r="AA549" s="26"/>
      <c r="AB549" s="13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27"/>
      <c r="AR549" s="29"/>
      <c r="BB549" s="25"/>
      <c r="BC549" s="13"/>
      <c r="BH549" s="116"/>
      <c r="BI549" s="123"/>
      <c r="BJ549" s="123"/>
      <c r="BK549" s="123"/>
      <c r="BP549" s="115"/>
      <c r="BQ549" s="115"/>
      <c r="BR549" s="115"/>
      <c r="BS549" s="115"/>
      <c r="BT549" s="115"/>
      <c r="BU549" s="115"/>
      <c r="BV549" s="115"/>
      <c r="BW549" s="115"/>
      <c r="BX549" s="115"/>
      <c r="BY549" s="115"/>
      <c r="BZ549" s="25"/>
      <c r="CA549" s="13"/>
      <c r="CD549" s="114"/>
    </row>
    <row r="550" spans="1:82" ht="20.100000000000001" customHeight="1" x14ac:dyDescent="0.4">
      <c r="A550" s="117"/>
      <c r="B550" s="123"/>
      <c r="C550" s="123"/>
      <c r="D550" s="123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7"/>
      <c r="AB550" s="13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27"/>
      <c r="AR550" s="29"/>
      <c r="BB550" s="25"/>
      <c r="BC550" s="13"/>
      <c r="BH550" s="116"/>
      <c r="BI550" s="123"/>
      <c r="BJ550" s="123"/>
      <c r="BK550" s="123"/>
      <c r="BP550" s="115"/>
      <c r="BQ550" s="115"/>
      <c r="BR550" s="115"/>
      <c r="BS550" s="115"/>
      <c r="BT550" s="115"/>
      <c r="BU550" s="115"/>
      <c r="BV550" s="115"/>
      <c r="BW550" s="115"/>
      <c r="BX550" s="115"/>
      <c r="BY550" s="115"/>
      <c r="BZ550" s="25"/>
      <c r="CA550" s="13"/>
      <c r="CD550" s="114"/>
    </row>
    <row r="551" spans="1:82" ht="20.100000000000001" customHeight="1" x14ac:dyDescent="0.4">
      <c r="A551" s="117"/>
      <c r="B551" s="123"/>
      <c r="C551" s="123"/>
      <c r="D551" s="123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26"/>
      <c r="AB551" s="13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27"/>
      <c r="AR551" s="29"/>
      <c r="BB551" s="25"/>
      <c r="BC551" s="13"/>
      <c r="BH551" s="116"/>
      <c r="BI551" s="123"/>
      <c r="BJ551" s="123"/>
      <c r="BK551" s="123"/>
      <c r="BP551" s="115"/>
      <c r="BQ551" s="115"/>
      <c r="BR551" s="115"/>
      <c r="BS551" s="115"/>
      <c r="BT551" s="115"/>
      <c r="BU551" s="115"/>
      <c r="BV551" s="115"/>
      <c r="BW551" s="115"/>
      <c r="BX551" s="115"/>
      <c r="BY551" s="115"/>
      <c r="BZ551" s="25"/>
      <c r="CA551" s="13"/>
      <c r="CD551" s="114"/>
    </row>
    <row r="552" spans="1:82" ht="20.100000000000001" customHeight="1" x14ac:dyDescent="0.4">
      <c r="A552" s="117"/>
      <c r="B552" s="123"/>
      <c r="C552" s="123"/>
      <c r="D552" s="123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7"/>
      <c r="AB552" s="13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27"/>
      <c r="AR552" s="29"/>
      <c r="BB552" s="25"/>
      <c r="BC552" s="13"/>
      <c r="BH552" s="116"/>
      <c r="BI552" s="123"/>
      <c r="BJ552" s="123"/>
      <c r="BK552" s="123"/>
      <c r="BP552" s="115"/>
      <c r="BQ552" s="115"/>
      <c r="BR552" s="115"/>
      <c r="BS552" s="115"/>
      <c r="BT552" s="115"/>
      <c r="BU552" s="115"/>
      <c r="BV552" s="115"/>
      <c r="BW552" s="115"/>
      <c r="BX552" s="115"/>
      <c r="BY552" s="115"/>
      <c r="BZ552" s="25"/>
      <c r="CA552" s="13"/>
      <c r="CD552" s="114"/>
    </row>
    <row r="553" spans="1:82" ht="20.100000000000001" customHeight="1" x14ac:dyDescent="0.4">
      <c r="A553" s="117"/>
      <c r="B553" s="123"/>
      <c r="C553" s="123"/>
      <c r="D553" s="123"/>
      <c r="AA553" s="26"/>
      <c r="AB553" s="13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29"/>
      <c r="AR553" s="29"/>
      <c r="BB553" s="25"/>
      <c r="BC553" s="13"/>
      <c r="BH553" s="116"/>
      <c r="BI553" s="123"/>
      <c r="BJ553" s="123"/>
      <c r="BK553" s="123"/>
      <c r="BP553" s="115"/>
      <c r="BQ553" s="115"/>
      <c r="BR553" s="115"/>
      <c r="BS553" s="115"/>
      <c r="BT553" s="115"/>
      <c r="BU553" s="115"/>
      <c r="BV553" s="115"/>
      <c r="BW553" s="115"/>
      <c r="BX553" s="115"/>
      <c r="BY553" s="115"/>
      <c r="BZ553" s="25"/>
      <c r="CA553" s="13"/>
      <c r="CD553" s="114"/>
    </row>
    <row r="554" spans="1:82" ht="20.100000000000001" customHeight="1" x14ac:dyDescent="0.4">
      <c r="A554" s="117"/>
      <c r="B554" s="123"/>
      <c r="C554" s="123"/>
      <c r="D554" s="123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7"/>
      <c r="AB554" s="13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29"/>
      <c r="AR554" s="29"/>
      <c r="BB554" s="25"/>
      <c r="BC554" s="13"/>
      <c r="BH554" s="116"/>
      <c r="BI554" s="123"/>
      <c r="BJ554" s="123"/>
      <c r="BK554" s="123"/>
      <c r="BP554" s="115"/>
      <c r="BQ554" s="115"/>
      <c r="BR554" s="115"/>
      <c r="BS554" s="115"/>
      <c r="BT554" s="115"/>
      <c r="BU554" s="115"/>
      <c r="BV554" s="115"/>
      <c r="BW554" s="115"/>
      <c r="BX554" s="115"/>
      <c r="BY554" s="115"/>
      <c r="BZ554" s="25"/>
      <c r="CA554" s="13"/>
      <c r="CD554" s="114"/>
    </row>
    <row r="555" spans="1:82" ht="20.100000000000001" customHeight="1" x14ac:dyDescent="0.4">
      <c r="A555" s="117"/>
      <c r="B555" s="123"/>
      <c r="C555" s="123"/>
      <c r="D555" s="123"/>
      <c r="AA555" s="26"/>
      <c r="AB555" s="13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29"/>
      <c r="AR555" s="29"/>
      <c r="BB555" s="25"/>
      <c r="BC555" s="13"/>
      <c r="BH555" s="116"/>
      <c r="BI555" s="123"/>
      <c r="BJ555" s="123"/>
      <c r="BK555" s="123"/>
      <c r="BP555" s="115"/>
      <c r="BQ555" s="115"/>
      <c r="BR555" s="115"/>
      <c r="BS555" s="115"/>
      <c r="BT555" s="115"/>
      <c r="BU555" s="115"/>
      <c r="BV555" s="115"/>
      <c r="BW555" s="115"/>
      <c r="BX555" s="115"/>
      <c r="BY555" s="115"/>
      <c r="BZ555" s="25"/>
      <c r="CA555" s="13"/>
      <c r="CD555" s="114"/>
    </row>
    <row r="556" spans="1:82" ht="20.100000000000001" customHeight="1" x14ac:dyDescent="0.4">
      <c r="A556" s="117"/>
      <c r="B556" s="123"/>
      <c r="C556" s="123"/>
      <c r="D556" s="123"/>
      <c r="AA556" s="26"/>
      <c r="AB556" s="13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27"/>
      <c r="AR556" s="29"/>
      <c r="BB556" s="25"/>
      <c r="BC556" s="13"/>
      <c r="BH556" s="116"/>
      <c r="BI556" s="123"/>
      <c r="BJ556" s="123"/>
      <c r="BK556" s="123"/>
      <c r="BP556" s="115"/>
      <c r="BQ556" s="115"/>
      <c r="BR556" s="115"/>
      <c r="BS556" s="115"/>
      <c r="BT556" s="115"/>
      <c r="BU556" s="115"/>
      <c r="BV556" s="115"/>
      <c r="BW556" s="115"/>
      <c r="BX556" s="115"/>
      <c r="BY556" s="115"/>
      <c r="BZ556" s="25"/>
      <c r="CA556" s="13"/>
      <c r="CD556" s="114"/>
    </row>
    <row r="557" spans="1:82" ht="20.100000000000001" customHeight="1" x14ac:dyDescent="0.4">
      <c r="A557" s="117"/>
      <c r="B557" s="123"/>
      <c r="C557" s="123"/>
      <c r="D557" s="123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20"/>
      <c r="AB557" s="13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27"/>
      <c r="AR557" s="29"/>
      <c r="BB557" s="25"/>
      <c r="BC557" s="13"/>
      <c r="BH557" s="116"/>
      <c r="BI557" s="123"/>
      <c r="BJ557" s="123"/>
      <c r="BK557" s="123"/>
      <c r="BP557" s="115"/>
      <c r="BQ557" s="115"/>
      <c r="BR557" s="115"/>
      <c r="BS557" s="115"/>
      <c r="BT557" s="115"/>
      <c r="BU557" s="115"/>
      <c r="BV557" s="115"/>
      <c r="BW557" s="115"/>
      <c r="BX557" s="115"/>
      <c r="BY557" s="115"/>
      <c r="BZ557" s="25"/>
      <c r="CA557" s="13"/>
      <c r="CD557" s="114"/>
    </row>
    <row r="558" spans="1:82" ht="20.100000000000001" customHeight="1" x14ac:dyDescent="0.4">
      <c r="A558" s="117"/>
      <c r="B558" s="123"/>
      <c r="C558" s="123"/>
      <c r="D558" s="123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20"/>
      <c r="AB558" s="13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27"/>
      <c r="AR558" s="29"/>
      <c r="BB558" s="25"/>
      <c r="BC558" s="13"/>
      <c r="BH558" s="116"/>
      <c r="BI558" s="123"/>
      <c r="BJ558" s="123"/>
      <c r="BK558" s="123"/>
      <c r="BP558" s="115"/>
      <c r="BQ558" s="115"/>
      <c r="BR558" s="115"/>
      <c r="BS558" s="115"/>
      <c r="BT558" s="115"/>
      <c r="BU558" s="115"/>
      <c r="BV558" s="115"/>
      <c r="BW558" s="115"/>
      <c r="BX558" s="115"/>
      <c r="BY558" s="115"/>
      <c r="BZ558" s="25"/>
      <c r="CA558" s="13"/>
      <c r="CD558" s="114"/>
    </row>
    <row r="559" spans="1:82" ht="20.100000000000001" customHeight="1" x14ac:dyDescent="0.4">
      <c r="A559" s="117"/>
      <c r="B559" s="123"/>
      <c r="C559" s="123"/>
      <c r="D559" s="123"/>
      <c r="AA559" s="25"/>
      <c r="AB559" s="13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27"/>
      <c r="AR559" s="29"/>
      <c r="BB559" s="25"/>
      <c r="BC559" s="13"/>
      <c r="BH559" s="116"/>
      <c r="BI559" s="123"/>
      <c r="BJ559" s="123"/>
      <c r="BK559" s="123"/>
      <c r="BP559" s="115"/>
      <c r="BQ559" s="115"/>
      <c r="BR559" s="115"/>
      <c r="BS559" s="115"/>
      <c r="BT559" s="115"/>
      <c r="BU559" s="115"/>
      <c r="BV559" s="115"/>
      <c r="BW559" s="115"/>
      <c r="BX559" s="115"/>
      <c r="BY559" s="115"/>
      <c r="BZ559" s="25"/>
      <c r="CA559" s="13"/>
      <c r="CD559" s="114"/>
    </row>
    <row r="560" spans="1:82" ht="20.100000000000001" customHeight="1" x14ac:dyDescent="0.4">
      <c r="A560" s="117"/>
      <c r="B560" s="123"/>
      <c r="C560" s="123"/>
      <c r="D560" s="123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3"/>
      <c r="AB560" s="13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27"/>
      <c r="AR560" s="29"/>
      <c r="BB560" s="25"/>
      <c r="BC560" s="13"/>
      <c r="BH560" s="116"/>
      <c r="BI560" s="123"/>
      <c r="BJ560" s="123"/>
      <c r="BK560" s="123"/>
      <c r="BP560" s="115"/>
      <c r="BQ560" s="115"/>
      <c r="BR560" s="115"/>
      <c r="BS560" s="115"/>
      <c r="BT560" s="115"/>
      <c r="BU560" s="115"/>
      <c r="BV560" s="115"/>
      <c r="BW560" s="115"/>
      <c r="BX560" s="115"/>
      <c r="BY560" s="115"/>
      <c r="BZ560" s="25"/>
      <c r="CA560" s="13"/>
      <c r="CD560" s="114"/>
    </row>
    <row r="561" spans="1:82" ht="20.100000000000001" customHeight="1" x14ac:dyDescent="0.4">
      <c r="A561" s="117"/>
      <c r="B561" s="123"/>
      <c r="C561" s="123"/>
      <c r="D561" s="123"/>
      <c r="AA561" s="25"/>
      <c r="AB561" s="13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27"/>
      <c r="AR561" s="29"/>
      <c r="BB561" s="25"/>
      <c r="BC561" s="13"/>
      <c r="BH561" s="116"/>
      <c r="BI561" s="123"/>
      <c r="BJ561" s="123"/>
      <c r="BK561" s="123"/>
      <c r="BP561" s="115"/>
      <c r="BQ561" s="115"/>
      <c r="BR561" s="115"/>
      <c r="BS561" s="115"/>
      <c r="BT561" s="115"/>
      <c r="BU561" s="115"/>
      <c r="BV561" s="115"/>
      <c r="BW561" s="115"/>
      <c r="BX561" s="115"/>
      <c r="BY561" s="115"/>
      <c r="BZ561" s="25"/>
      <c r="CA561" s="13"/>
      <c r="CD561" s="114"/>
    </row>
    <row r="562" spans="1:82" ht="20.100000000000001" customHeight="1" x14ac:dyDescent="0.4">
      <c r="A562" s="117"/>
      <c r="B562" s="123"/>
      <c r="C562" s="123"/>
      <c r="D562" s="123"/>
      <c r="AA562" s="26"/>
      <c r="AB562" s="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27"/>
      <c r="AR562" s="29"/>
      <c r="BB562" s="25"/>
      <c r="BC562" s="13"/>
      <c r="BH562" s="116"/>
      <c r="BI562" s="123"/>
      <c r="BJ562" s="123"/>
      <c r="BK562" s="123"/>
      <c r="BP562" s="115"/>
      <c r="BQ562" s="115"/>
      <c r="BR562" s="115"/>
      <c r="BS562" s="115"/>
      <c r="BT562" s="115"/>
      <c r="BU562" s="115"/>
      <c r="BV562" s="115"/>
      <c r="BW562" s="115"/>
      <c r="BX562" s="115"/>
      <c r="BY562" s="115"/>
      <c r="BZ562" s="25"/>
      <c r="CA562" s="13"/>
      <c r="CD562" s="114"/>
    </row>
    <row r="563" spans="1:82" ht="20.100000000000001" customHeight="1" x14ac:dyDescent="0.4">
      <c r="A563" s="117"/>
      <c r="B563" s="123"/>
      <c r="C563" s="123"/>
      <c r="D563" s="123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25"/>
      <c r="AB563" s="13"/>
      <c r="AQ563" s="127"/>
      <c r="AR563" s="29"/>
      <c r="BB563" s="25"/>
      <c r="BC563" s="13"/>
      <c r="BH563" s="116"/>
      <c r="BI563" s="123"/>
      <c r="BJ563" s="123"/>
      <c r="BK563" s="123"/>
      <c r="BP563" s="115"/>
      <c r="BQ563" s="115"/>
      <c r="BR563" s="115"/>
      <c r="BS563" s="115"/>
      <c r="BT563" s="115"/>
      <c r="BU563" s="115"/>
      <c r="BV563" s="115"/>
      <c r="BW563" s="115"/>
      <c r="BX563" s="115"/>
      <c r="BY563" s="115"/>
      <c r="BZ563" s="25"/>
      <c r="CA563" s="13"/>
      <c r="CD563" s="114"/>
    </row>
    <row r="564" spans="1:82" ht="20.100000000000001" customHeight="1" x14ac:dyDescent="0.4">
      <c r="A564" s="117"/>
      <c r="B564" s="123"/>
      <c r="C564" s="123"/>
      <c r="D564" s="123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25"/>
      <c r="AB564" s="13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27"/>
      <c r="AR564" s="29"/>
      <c r="BB564" s="25"/>
      <c r="BC564" s="13"/>
      <c r="BH564" s="116"/>
      <c r="BI564" s="123"/>
      <c r="BJ564" s="123"/>
      <c r="BK564" s="123"/>
      <c r="BP564" s="115"/>
      <c r="BQ564" s="115"/>
      <c r="BR564" s="115"/>
      <c r="BS564" s="115"/>
      <c r="BT564" s="115"/>
      <c r="BU564" s="115"/>
      <c r="BV564" s="115"/>
      <c r="BW564" s="115"/>
      <c r="BX564" s="115"/>
      <c r="BY564" s="115"/>
      <c r="BZ564" s="25"/>
      <c r="CA564" s="13"/>
      <c r="CD564" s="114"/>
    </row>
    <row r="565" spans="1:82" ht="20.100000000000001" customHeight="1" x14ac:dyDescent="0.4">
      <c r="A565" s="117"/>
      <c r="B565" s="123"/>
      <c r="C565" s="123"/>
      <c r="D565" s="123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25"/>
      <c r="AB565" s="13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29"/>
      <c r="AR565" s="29"/>
      <c r="BB565" s="25"/>
      <c r="BC565" s="13"/>
      <c r="BH565" s="116"/>
      <c r="BI565" s="123"/>
      <c r="BJ565" s="123"/>
      <c r="BK565" s="123"/>
      <c r="BP565" s="115"/>
      <c r="BQ565" s="115"/>
      <c r="BR565" s="115"/>
      <c r="BS565" s="115"/>
      <c r="BT565" s="115"/>
      <c r="BU565" s="115"/>
      <c r="BV565" s="115"/>
      <c r="BW565" s="115"/>
      <c r="BX565" s="115"/>
      <c r="BY565" s="115"/>
      <c r="BZ565" s="25"/>
      <c r="CA565" s="13"/>
      <c r="CD565" s="114"/>
    </row>
    <row r="566" spans="1:82" ht="20.100000000000001" customHeight="1" x14ac:dyDescent="0.4">
      <c r="A566" s="117"/>
      <c r="B566" s="123"/>
      <c r="C566" s="123"/>
      <c r="D566" s="123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25"/>
      <c r="AB566" s="13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27"/>
      <c r="AR566" s="29"/>
      <c r="BB566" s="25"/>
      <c r="BC566" s="13"/>
      <c r="BH566" s="116"/>
      <c r="BI566" s="123"/>
      <c r="BJ566" s="123"/>
      <c r="BK566" s="123"/>
      <c r="BP566" s="115"/>
      <c r="BQ566" s="115"/>
      <c r="BR566" s="115"/>
      <c r="BS566" s="115"/>
      <c r="BT566" s="115"/>
      <c r="BU566" s="115"/>
      <c r="BV566" s="115"/>
      <c r="BW566" s="115"/>
      <c r="BX566" s="115"/>
      <c r="BY566" s="115"/>
      <c r="BZ566" s="25"/>
      <c r="CA566" s="13"/>
      <c r="CD566" s="114"/>
    </row>
    <row r="567" spans="1:82" ht="20.100000000000001" customHeight="1" x14ac:dyDescent="0.4">
      <c r="A567" s="117"/>
      <c r="B567" s="123"/>
      <c r="C567" s="123"/>
      <c r="D567" s="123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26"/>
      <c r="AB567" s="13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27"/>
      <c r="AR567" s="29"/>
      <c r="BB567" s="25"/>
      <c r="BC567" s="13"/>
      <c r="BH567" s="116"/>
      <c r="BI567" s="123"/>
      <c r="BJ567" s="123"/>
      <c r="BK567" s="123"/>
      <c r="BP567" s="115"/>
      <c r="BQ567" s="115"/>
      <c r="BR567" s="115"/>
      <c r="BS567" s="115"/>
      <c r="BT567" s="115"/>
      <c r="BU567" s="115"/>
      <c r="BV567" s="115"/>
      <c r="BW567" s="115"/>
      <c r="BX567" s="115"/>
      <c r="BY567" s="115"/>
      <c r="BZ567" s="25"/>
      <c r="CA567" s="13"/>
      <c r="CD567" s="114"/>
    </row>
    <row r="568" spans="1:82" ht="20.100000000000001" customHeight="1" x14ac:dyDescent="0.4">
      <c r="A568" s="117"/>
      <c r="B568" s="123"/>
      <c r="C568" s="123"/>
      <c r="D568" s="123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26"/>
      <c r="AB568" s="13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27"/>
      <c r="AR568" s="29"/>
      <c r="BB568" s="25"/>
      <c r="BC568" s="13"/>
      <c r="BH568" s="116"/>
      <c r="BI568" s="123"/>
      <c r="BJ568" s="123"/>
      <c r="BK568" s="123"/>
      <c r="BP568" s="115"/>
      <c r="BQ568" s="115"/>
      <c r="BR568" s="115"/>
      <c r="BS568" s="115"/>
      <c r="BT568" s="115"/>
      <c r="BU568" s="115"/>
      <c r="BV568" s="115"/>
      <c r="BW568" s="115"/>
      <c r="BX568" s="115"/>
      <c r="BY568" s="115"/>
      <c r="BZ568" s="25"/>
      <c r="CA568" s="13"/>
      <c r="CD568" s="114"/>
    </row>
    <row r="569" spans="1:82" ht="20.100000000000001" customHeight="1" x14ac:dyDescent="0.4">
      <c r="A569" s="117"/>
      <c r="B569" s="123"/>
      <c r="C569" s="123"/>
      <c r="D569" s="123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7"/>
      <c r="AB569" s="13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27"/>
      <c r="AR569" s="29"/>
      <c r="BB569" s="25"/>
      <c r="BC569" s="13"/>
      <c r="BH569" s="116"/>
      <c r="BI569" s="123"/>
      <c r="BJ569" s="123"/>
      <c r="BK569" s="123"/>
      <c r="BP569" s="115"/>
      <c r="BQ569" s="115"/>
      <c r="BR569" s="115"/>
      <c r="BS569" s="115"/>
      <c r="BT569" s="115"/>
      <c r="BU569" s="115"/>
      <c r="BV569" s="115"/>
      <c r="BW569" s="115"/>
      <c r="BX569" s="115"/>
      <c r="BY569" s="115"/>
      <c r="BZ569" s="25"/>
      <c r="CA569" s="13"/>
      <c r="CD569" s="114"/>
    </row>
    <row r="570" spans="1:82" ht="20.100000000000001" customHeight="1" x14ac:dyDescent="0.4">
      <c r="A570" s="117"/>
      <c r="B570" s="123"/>
      <c r="C570" s="123"/>
      <c r="D570" s="123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26"/>
      <c r="AB570" s="13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27"/>
      <c r="AR570" s="29"/>
      <c r="BB570" s="25"/>
      <c r="BC570" s="13"/>
      <c r="BH570" s="116"/>
      <c r="BI570" s="123"/>
      <c r="BJ570" s="123"/>
      <c r="BK570" s="123"/>
      <c r="BP570" s="115"/>
      <c r="BQ570" s="115"/>
      <c r="BR570" s="115"/>
      <c r="BS570" s="115"/>
      <c r="BT570" s="115"/>
      <c r="BU570" s="115"/>
      <c r="BV570" s="115"/>
      <c r="BW570" s="115"/>
      <c r="BX570" s="115"/>
      <c r="BY570" s="115"/>
      <c r="BZ570" s="25"/>
      <c r="CA570" s="13"/>
      <c r="CD570" s="114"/>
    </row>
    <row r="571" spans="1:82" ht="20.100000000000001" customHeight="1" x14ac:dyDescent="0.4">
      <c r="A571" s="117"/>
      <c r="B571" s="123"/>
      <c r="C571" s="123"/>
      <c r="D571" s="123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26"/>
      <c r="AB571" s="13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27"/>
      <c r="AR571" s="29"/>
      <c r="BB571" s="25"/>
      <c r="BC571" s="13"/>
      <c r="BH571" s="116"/>
      <c r="BI571" s="123"/>
      <c r="BJ571" s="123"/>
      <c r="BK571" s="123"/>
      <c r="BP571" s="115"/>
      <c r="BQ571" s="115"/>
      <c r="BR571" s="115"/>
      <c r="BS571" s="115"/>
      <c r="BT571" s="115"/>
      <c r="BU571" s="115"/>
      <c r="BV571" s="115"/>
      <c r="BW571" s="115"/>
      <c r="BX571" s="115"/>
      <c r="BY571" s="115"/>
      <c r="BZ571" s="25"/>
      <c r="CA571" s="13"/>
      <c r="CD571" s="114"/>
    </row>
    <row r="572" spans="1:82" ht="20.100000000000001" customHeight="1" x14ac:dyDescent="0.4">
      <c r="A572" s="117"/>
      <c r="B572" s="123"/>
      <c r="C572" s="123"/>
      <c r="D572" s="123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7"/>
      <c r="AB572" s="13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27"/>
      <c r="AR572" s="29"/>
      <c r="BB572" s="25"/>
      <c r="BC572" s="13"/>
      <c r="BH572" s="116"/>
      <c r="BI572" s="123"/>
      <c r="BJ572" s="123"/>
      <c r="BK572" s="123"/>
      <c r="BP572" s="115"/>
      <c r="BQ572" s="115"/>
      <c r="BR572" s="115"/>
      <c r="BS572" s="115"/>
      <c r="BT572" s="115"/>
      <c r="BU572" s="115"/>
      <c r="BV572" s="115"/>
      <c r="BW572" s="115"/>
      <c r="BX572" s="115"/>
      <c r="BY572" s="115"/>
      <c r="BZ572" s="25"/>
      <c r="CA572" s="13"/>
      <c r="CD572" s="114"/>
    </row>
    <row r="573" spans="1:82" ht="20.100000000000001" customHeight="1" x14ac:dyDescent="0.4">
      <c r="A573" s="117"/>
      <c r="B573" s="123"/>
      <c r="C573" s="123"/>
      <c r="D573" s="123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26"/>
      <c r="AB573" s="13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27"/>
      <c r="AR573" s="134"/>
      <c r="BB573" s="25"/>
      <c r="BC573" s="13"/>
      <c r="BH573" s="116"/>
      <c r="BI573" s="123"/>
      <c r="BJ573" s="123"/>
      <c r="BK573" s="123"/>
      <c r="BP573" s="115"/>
      <c r="BQ573" s="115"/>
      <c r="BR573" s="115"/>
      <c r="BS573" s="115"/>
      <c r="BT573" s="115"/>
      <c r="BU573" s="115"/>
      <c r="BV573" s="115"/>
      <c r="BW573" s="115"/>
      <c r="BX573" s="115"/>
      <c r="BY573" s="115"/>
      <c r="BZ573" s="25"/>
      <c r="CA573" s="13"/>
      <c r="CD573" s="114"/>
    </row>
    <row r="574" spans="1:82" ht="20.100000000000001" customHeight="1" x14ac:dyDescent="0.4">
      <c r="A574" s="117"/>
      <c r="B574" s="123"/>
      <c r="C574" s="123"/>
      <c r="D574" s="123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26"/>
      <c r="AB574" s="13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27"/>
      <c r="AR574" s="29"/>
      <c r="BB574" s="25"/>
      <c r="BC574" s="13"/>
      <c r="BH574" s="116"/>
      <c r="BI574" s="123"/>
      <c r="BJ574" s="123"/>
      <c r="BK574" s="123"/>
      <c r="BP574" s="115"/>
      <c r="BQ574" s="115"/>
      <c r="BR574" s="115"/>
      <c r="BS574" s="115"/>
      <c r="BT574" s="115"/>
      <c r="BU574" s="115"/>
      <c r="BV574" s="115"/>
      <c r="BW574" s="115"/>
      <c r="BX574" s="115"/>
      <c r="BY574" s="115"/>
      <c r="BZ574" s="25"/>
      <c r="CA574" s="13"/>
      <c r="CD574" s="114"/>
    </row>
    <row r="575" spans="1:82" ht="20.100000000000001" customHeight="1" x14ac:dyDescent="0.4">
      <c r="A575" s="117"/>
      <c r="B575" s="123"/>
      <c r="C575" s="123"/>
      <c r="D575" s="123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26"/>
      <c r="AB575" s="13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27"/>
      <c r="AR575" s="29"/>
      <c r="BB575" s="25"/>
      <c r="BC575" s="13"/>
      <c r="BH575" s="116"/>
      <c r="BI575" s="123"/>
      <c r="BJ575" s="123"/>
      <c r="BK575" s="123"/>
      <c r="BP575" s="115"/>
      <c r="BQ575" s="115"/>
      <c r="BR575" s="115"/>
      <c r="BS575" s="115"/>
      <c r="BT575" s="115"/>
      <c r="BU575" s="115"/>
      <c r="BV575" s="115"/>
      <c r="BW575" s="115"/>
      <c r="BX575" s="115"/>
      <c r="BY575" s="115"/>
      <c r="BZ575" s="25"/>
      <c r="CA575" s="13"/>
      <c r="CD575" s="114"/>
    </row>
    <row r="576" spans="1:82" ht="20.100000000000001" customHeight="1" x14ac:dyDescent="0.4">
      <c r="A576" s="117"/>
      <c r="B576" s="123"/>
      <c r="C576" s="123"/>
      <c r="D576" s="123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26"/>
      <c r="AB576" s="13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27"/>
      <c r="AR576" s="29"/>
      <c r="BB576" s="25"/>
      <c r="BC576" s="13"/>
      <c r="BH576" s="116"/>
      <c r="BI576" s="123"/>
      <c r="BJ576" s="123"/>
      <c r="BK576" s="123"/>
      <c r="BP576" s="115"/>
      <c r="BQ576" s="115"/>
      <c r="BR576" s="115"/>
      <c r="BS576" s="115"/>
      <c r="BT576" s="115"/>
      <c r="BU576" s="115"/>
      <c r="BV576" s="115"/>
      <c r="BW576" s="115"/>
      <c r="BX576" s="115"/>
      <c r="BY576" s="115"/>
      <c r="BZ576" s="25"/>
      <c r="CA576" s="13"/>
      <c r="CD576" s="114"/>
    </row>
    <row r="577" spans="1:82" ht="20.100000000000001" customHeight="1" x14ac:dyDescent="0.4">
      <c r="A577" s="117"/>
      <c r="B577" s="123"/>
      <c r="C577" s="123"/>
      <c r="D577" s="123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26"/>
      <c r="AB577" s="13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27"/>
      <c r="AR577" s="29"/>
      <c r="BB577" s="25"/>
      <c r="BC577" s="13"/>
      <c r="BH577" s="116"/>
      <c r="BI577" s="123"/>
      <c r="BJ577" s="123"/>
      <c r="BK577" s="123"/>
      <c r="BP577" s="115"/>
      <c r="BQ577" s="115"/>
      <c r="BR577" s="115"/>
      <c r="BS577" s="115"/>
      <c r="BT577" s="115"/>
      <c r="BU577" s="115"/>
      <c r="BV577" s="115"/>
      <c r="BW577" s="115"/>
      <c r="BX577" s="115"/>
      <c r="BY577" s="115"/>
      <c r="BZ577" s="25"/>
      <c r="CA577" s="13"/>
      <c r="CD577" s="114"/>
    </row>
    <row r="578" spans="1:82" ht="20.100000000000001" customHeight="1" x14ac:dyDescent="0.4">
      <c r="A578" s="117"/>
      <c r="B578" s="123"/>
      <c r="C578" s="123"/>
      <c r="D578" s="123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26"/>
      <c r="AB578" s="13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27"/>
      <c r="AR578" s="29"/>
      <c r="BB578" s="25"/>
      <c r="BC578" s="13"/>
      <c r="BH578" s="116"/>
      <c r="BI578" s="123"/>
      <c r="BJ578" s="123"/>
      <c r="BK578" s="123"/>
      <c r="BP578" s="115"/>
      <c r="BQ578" s="115"/>
      <c r="BR578" s="115"/>
      <c r="BS578" s="115"/>
      <c r="BT578" s="115"/>
      <c r="BU578" s="115"/>
      <c r="BV578" s="115"/>
      <c r="BW578" s="115"/>
      <c r="BX578" s="115"/>
      <c r="BY578" s="115"/>
      <c r="BZ578" s="25"/>
      <c r="CA578" s="13"/>
      <c r="CD578" s="114"/>
    </row>
    <row r="579" spans="1:82" ht="20.100000000000001" customHeight="1" x14ac:dyDescent="0.4">
      <c r="A579" s="117"/>
      <c r="B579" s="123"/>
      <c r="C579" s="123"/>
      <c r="D579" s="123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26"/>
      <c r="AB579" s="13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27"/>
      <c r="AR579" s="29"/>
      <c r="BB579" s="25"/>
      <c r="BC579" s="13"/>
      <c r="BH579" s="116"/>
      <c r="BI579" s="123"/>
      <c r="BJ579" s="123"/>
      <c r="BK579" s="123"/>
      <c r="BP579" s="115"/>
      <c r="BQ579" s="115"/>
      <c r="BR579" s="115"/>
      <c r="BS579" s="115"/>
      <c r="BT579" s="115"/>
      <c r="BU579" s="115"/>
      <c r="BV579" s="115"/>
      <c r="BW579" s="115"/>
      <c r="BX579" s="115"/>
      <c r="BY579" s="115"/>
      <c r="BZ579" s="25"/>
      <c r="CA579" s="13"/>
      <c r="CD579" s="114"/>
    </row>
    <row r="580" spans="1:82" ht="20.100000000000001" customHeight="1" x14ac:dyDescent="0.4">
      <c r="A580" s="117"/>
      <c r="B580" s="123"/>
      <c r="C580" s="123"/>
      <c r="D580" s="123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7"/>
      <c r="AB580" s="13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27"/>
      <c r="AR580" s="29"/>
      <c r="BB580" s="25"/>
      <c r="BC580" s="13"/>
      <c r="BH580" s="116"/>
      <c r="BI580" s="123"/>
      <c r="BJ580" s="123"/>
      <c r="BK580" s="123"/>
      <c r="BP580" s="115"/>
      <c r="BQ580" s="115"/>
      <c r="BR580" s="115"/>
      <c r="BS580" s="115"/>
      <c r="BT580" s="115"/>
      <c r="BU580" s="115"/>
      <c r="BV580" s="115"/>
      <c r="BW580" s="115"/>
      <c r="BX580" s="115"/>
      <c r="BY580" s="115"/>
      <c r="BZ580" s="25"/>
      <c r="CA580" s="13"/>
      <c r="CD580" s="114"/>
    </row>
    <row r="581" spans="1:82" ht="20.100000000000001" customHeight="1" x14ac:dyDescent="0.4">
      <c r="A581" s="117"/>
      <c r="B581" s="123"/>
      <c r="C581" s="123"/>
      <c r="D581" s="123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26"/>
      <c r="AB581" s="13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27"/>
      <c r="AR581" s="29"/>
      <c r="BB581" s="25"/>
      <c r="BC581" s="13"/>
      <c r="BH581" s="116"/>
      <c r="BI581" s="123"/>
      <c r="BJ581" s="123"/>
      <c r="BK581" s="123"/>
      <c r="BP581" s="115"/>
      <c r="BQ581" s="115"/>
      <c r="BR581" s="115"/>
      <c r="BS581" s="115"/>
      <c r="BT581" s="115"/>
      <c r="BU581" s="115"/>
      <c r="BV581" s="115"/>
      <c r="BW581" s="115"/>
      <c r="BX581" s="115"/>
      <c r="BY581" s="115"/>
      <c r="BZ581" s="25"/>
      <c r="CA581" s="13"/>
      <c r="CD581" s="114"/>
    </row>
    <row r="582" spans="1:82" ht="20.100000000000001" customHeight="1" x14ac:dyDescent="0.4">
      <c r="A582" s="117"/>
      <c r="B582" s="123"/>
      <c r="C582" s="123"/>
      <c r="D582" s="123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26"/>
      <c r="AB582" s="13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27"/>
      <c r="AR582" s="29"/>
      <c r="BB582" s="25"/>
      <c r="BC582" s="13"/>
      <c r="BH582" s="116"/>
      <c r="BI582" s="123"/>
      <c r="BJ582" s="123"/>
      <c r="BK582" s="123"/>
      <c r="BP582" s="115"/>
      <c r="BQ582" s="115"/>
      <c r="BR582" s="115"/>
      <c r="BS582" s="115"/>
      <c r="BT582" s="115"/>
      <c r="BU582" s="115"/>
      <c r="BV582" s="115"/>
      <c r="BW582" s="115"/>
      <c r="BX582" s="115"/>
      <c r="BY582" s="115"/>
      <c r="BZ582" s="25"/>
      <c r="CA582" s="13"/>
      <c r="CD582" s="114"/>
    </row>
    <row r="583" spans="1:82" ht="20.100000000000001" customHeight="1" x14ac:dyDescent="0.4">
      <c r="A583" s="117"/>
      <c r="B583" s="123"/>
      <c r="C583" s="123"/>
      <c r="D583" s="123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7"/>
      <c r="AB583" s="13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27"/>
      <c r="AR583" s="29"/>
      <c r="BB583" s="25"/>
      <c r="BC583" s="13"/>
      <c r="BH583" s="116"/>
      <c r="BI583" s="123"/>
      <c r="BJ583" s="123"/>
      <c r="BK583" s="123"/>
      <c r="BP583" s="115"/>
      <c r="BQ583" s="115"/>
      <c r="BR583" s="115"/>
      <c r="BS583" s="115"/>
      <c r="BT583" s="115"/>
      <c r="BU583" s="115"/>
      <c r="BV583" s="115"/>
      <c r="BW583" s="115"/>
      <c r="BX583" s="115"/>
      <c r="BY583" s="115"/>
      <c r="BZ583" s="25"/>
      <c r="CA583" s="13"/>
      <c r="CD583" s="114"/>
    </row>
    <row r="584" spans="1:82" ht="20.100000000000001" customHeight="1" x14ac:dyDescent="0.4">
      <c r="A584" s="117"/>
      <c r="B584" s="123"/>
      <c r="C584" s="123"/>
      <c r="D584" s="123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26"/>
      <c r="AB584" s="13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27"/>
      <c r="AR584" s="134"/>
      <c r="BB584" s="25"/>
      <c r="BC584" s="13"/>
      <c r="BH584" s="116"/>
      <c r="BI584" s="123"/>
      <c r="BJ584" s="123"/>
      <c r="BK584" s="123"/>
      <c r="BP584" s="115"/>
      <c r="BQ584" s="115"/>
      <c r="BR584" s="115"/>
      <c r="BS584" s="115"/>
      <c r="BT584" s="115"/>
      <c r="BU584" s="115"/>
      <c r="BV584" s="115"/>
      <c r="BW584" s="115"/>
      <c r="BX584" s="115"/>
      <c r="BY584" s="115"/>
      <c r="BZ584" s="25"/>
      <c r="CA584" s="13"/>
      <c r="CD584" s="114"/>
    </row>
    <row r="585" spans="1:82" ht="20.100000000000001" customHeight="1" x14ac:dyDescent="0.4">
      <c r="A585" s="117"/>
      <c r="B585" s="123"/>
      <c r="C585" s="123"/>
      <c r="D585" s="123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26"/>
      <c r="AB585" s="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27"/>
      <c r="AR585" s="29"/>
      <c r="BB585" s="25"/>
      <c r="BC585" s="13"/>
      <c r="BH585" s="116"/>
      <c r="BI585" s="123"/>
      <c r="BJ585" s="123"/>
      <c r="BK585" s="123"/>
      <c r="BP585" s="115"/>
      <c r="BQ585" s="115"/>
      <c r="BR585" s="115"/>
      <c r="BS585" s="115"/>
      <c r="BT585" s="115"/>
      <c r="BU585" s="115"/>
      <c r="BV585" s="115"/>
      <c r="BW585" s="115"/>
      <c r="BX585" s="115"/>
      <c r="BY585" s="115"/>
      <c r="BZ585" s="25"/>
      <c r="CA585" s="13"/>
      <c r="CD585" s="114"/>
    </row>
    <row r="586" spans="1:82" ht="20.100000000000001" customHeight="1" x14ac:dyDescent="0.4">
      <c r="A586" s="117"/>
      <c r="B586" s="123"/>
      <c r="C586" s="123"/>
      <c r="D586" s="123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26"/>
      <c r="AB586" s="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27"/>
      <c r="AR586" s="29"/>
      <c r="BB586" s="25"/>
      <c r="BC586" s="13"/>
      <c r="BH586" s="116"/>
      <c r="BI586" s="123"/>
      <c r="BJ586" s="123"/>
      <c r="BK586" s="123"/>
      <c r="BP586" s="115"/>
      <c r="BQ586" s="115"/>
      <c r="BR586" s="115"/>
      <c r="BS586" s="115"/>
      <c r="BT586" s="115"/>
      <c r="BU586" s="115"/>
      <c r="BV586" s="115"/>
      <c r="BW586" s="115"/>
      <c r="BX586" s="115"/>
      <c r="BY586" s="115"/>
      <c r="BZ586" s="25"/>
      <c r="CA586" s="13"/>
      <c r="CD586" s="114"/>
    </row>
    <row r="587" spans="1:82" ht="20.100000000000001" customHeight="1" x14ac:dyDescent="0.4">
      <c r="A587" s="117"/>
      <c r="B587" s="123"/>
      <c r="C587" s="123"/>
      <c r="D587" s="123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26"/>
      <c r="AB587" s="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27"/>
      <c r="AR587" s="29"/>
      <c r="BB587" s="25"/>
      <c r="BC587" s="13"/>
      <c r="BH587" s="116"/>
      <c r="BI587" s="123"/>
      <c r="BJ587" s="123"/>
      <c r="BK587" s="123"/>
      <c r="BP587" s="115"/>
      <c r="BQ587" s="115"/>
      <c r="BR587" s="115"/>
      <c r="BS587" s="115"/>
      <c r="BT587" s="115"/>
      <c r="BU587" s="115"/>
      <c r="BV587" s="115"/>
      <c r="BW587" s="115"/>
      <c r="BX587" s="115"/>
      <c r="BY587" s="115"/>
      <c r="BZ587" s="25"/>
      <c r="CA587" s="13"/>
      <c r="CD587" s="114"/>
    </row>
    <row r="588" spans="1:82" ht="20.100000000000001" customHeight="1" x14ac:dyDescent="0.4">
      <c r="A588" s="117"/>
      <c r="B588" s="123"/>
      <c r="C588" s="123"/>
      <c r="D588" s="123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26"/>
      <c r="AB588" s="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29"/>
      <c r="AR588" s="29"/>
      <c r="BB588" s="25"/>
      <c r="BC588" s="13"/>
      <c r="BH588" s="116"/>
      <c r="BI588" s="123"/>
      <c r="BJ588" s="123"/>
      <c r="BK588" s="123"/>
      <c r="BP588" s="115"/>
      <c r="BQ588" s="115"/>
      <c r="BR588" s="115"/>
      <c r="BS588" s="115"/>
      <c r="BT588" s="115"/>
      <c r="BU588" s="115"/>
      <c r="BV588" s="115"/>
      <c r="BW588" s="115"/>
      <c r="BX588" s="115"/>
      <c r="BY588" s="115"/>
      <c r="BZ588" s="25"/>
      <c r="CA588" s="13"/>
      <c r="CD588" s="114"/>
    </row>
    <row r="589" spans="1:82" ht="20.100000000000001" customHeight="1" x14ac:dyDescent="0.4">
      <c r="A589" s="117"/>
      <c r="B589" s="123"/>
      <c r="C589" s="123"/>
      <c r="D589" s="123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26"/>
      <c r="AB589" s="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27"/>
      <c r="AR589" s="29"/>
      <c r="BB589" s="25"/>
      <c r="BC589" s="13"/>
      <c r="BH589" s="116"/>
      <c r="BI589" s="123"/>
      <c r="BJ589" s="123"/>
      <c r="BK589" s="123"/>
      <c r="BP589" s="115"/>
      <c r="BQ589" s="115"/>
      <c r="BR589" s="115"/>
      <c r="BS589" s="115"/>
      <c r="BT589" s="115"/>
      <c r="BU589" s="115"/>
      <c r="BV589" s="115"/>
      <c r="BW589" s="115"/>
      <c r="BX589" s="115"/>
      <c r="BY589" s="115"/>
      <c r="BZ589" s="25"/>
      <c r="CA589" s="13"/>
      <c r="CD589" s="114"/>
    </row>
    <row r="590" spans="1:82" ht="20.100000000000001" customHeight="1" x14ac:dyDescent="0.4">
      <c r="A590" s="117"/>
      <c r="B590" s="123"/>
      <c r="C590" s="123"/>
      <c r="D590" s="123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26"/>
      <c r="AB590" s="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27"/>
      <c r="AR590" s="29"/>
      <c r="BB590" s="25"/>
      <c r="BC590" s="13"/>
      <c r="BH590" s="116"/>
      <c r="BI590" s="123"/>
      <c r="BJ590" s="123"/>
      <c r="BK590" s="123"/>
      <c r="BP590" s="115"/>
      <c r="BQ590" s="115"/>
      <c r="BR590" s="115"/>
      <c r="BS590" s="115"/>
      <c r="BT590" s="115"/>
      <c r="BU590" s="115"/>
      <c r="BV590" s="115"/>
      <c r="BW590" s="115"/>
      <c r="BX590" s="115"/>
      <c r="BY590" s="115"/>
      <c r="BZ590" s="25"/>
      <c r="CA590" s="13"/>
      <c r="CD590" s="114"/>
    </row>
    <row r="591" spans="1:82" ht="20.100000000000001" customHeight="1" x14ac:dyDescent="0.4">
      <c r="A591" s="117"/>
      <c r="B591" s="123"/>
      <c r="C591" s="123"/>
      <c r="D591" s="123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26"/>
      <c r="AB591" s="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27"/>
      <c r="AR591" s="29"/>
      <c r="BB591" s="25"/>
      <c r="BC591" s="13"/>
      <c r="BH591" s="116"/>
      <c r="BI591" s="123"/>
      <c r="BJ591" s="123"/>
      <c r="BK591" s="123"/>
      <c r="BP591" s="115"/>
      <c r="BQ591" s="115"/>
      <c r="BR591" s="115"/>
      <c r="BS591" s="115"/>
      <c r="BT591" s="115"/>
      <c r="BU591" s="115"/>
      <c r="BV591" s="115"/>
      <c r="BW591" s="115"/>
      <c r="BX591" s="115"/>
      <c r="BY591" s="115"/>
      <c r="BZ591" s="25"/>
      <c r="CA591" s="13"/>
      <c r="CD591" s="114"/>
    </row>
    <row r="592" spans="1:82" ht="20.100000000000001" customHeight="1" x14ac:dyDescent="0.4">
      <c r="A592" s="117"/>
      <c r="B592" s="123"/>
      <c r="C592" s="123"/>
      <c r="D592" s="123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26"/>
      <c r="AB592" s="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27"/>
      <c r="AR592" s="29"/>
      <c r="BB592" s="25"/>
      <c r="BC592" s="13"/>
      <c r="BH592" s="116"/>
      <c r="BI592" s="123"/>
      <c r="BJ592" s="123"/>
      <c r="BK592" s="123"/>
      <c r="BP592" s="115"/>
      <c r="BQ592" s="115"/>
      <c r="BR592" s="115"/>
      <c r="BS592" s="115"/>
      <c r="BT592" s="115"/>
      <c r="BU592" s="115"/>
      <c r="BV592" s="115"/>
      <c r="BW592" s="115"/>
      <c r="BX592" s="115"/>
      <c r="BY592" s="115"/>
      <c r="BZ592" s="25"/>
      <c r="CA592" s="13"/>
      <c r="CD592" s="114"/>
    </row>
    <row r="593" spans="1:82" ht="20.100000000000001" customHeight="1" x14ac:dyDescent="0.4">
      <c r="A593" s="117"/>
      <c r="B593" s="123"/>
      <c r="C593" s="123"/>
      <c r="D593" s="123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26"/>
      <c r="AB593" s="13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29"/>
      <c r="AR593" s="29"/>
      <c r="BB593" s="25"/>
      <c r="BC593" s="13"/>
      <c r="BH593" s="116"/>
      <c r="BI593" s="123"/>
      <c r="BJ593" s="123"/>
      <c r="BK593" s="123"/>
      <c r="BP593" s="115"/>
      <c r="BQ593" s="115"/>
      <c r="BR593" s="115"/>
      <c r="BS593" s="115"/>
      <c r="BT593" s="115"/>
      <c r="BU593" s="115"/>
      <c r="BV593" s="115"/>
      <c r="BW593" s="115"/>
      <c r="BX593" s="115"/>
      <c r="BY593" s="115"/>
      <c r="BZ593" s="25"/>
      <c r="CA593" s="13"/>
      <c r="CD593" s="114"/>
    </row>
    <row r="594" spans="1:82" ht="20.100000000000001" customHeight="1" x14ac:dyDescent="0.4">
      <c r="A594" s="117"/>
      <c r="B594" s="123"/>
      <c r="C594" s="123"/>
      <c r="D594" s="123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26"/>
      <c r="AB594" s="13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27"/>
      <c r="AR594" s="29"/>
      <c r="BB594" s="25"/>
      <c r="BC594" s="13"/>
      <c r="BH594" s="116"/>
      <c r="BI594" s="123"/>
      <c r="BJ594" s="123"/>
      <c r="BK594" s="123"/>
      <c r="BP594" s="115"/>
      <c r="BQ594" s="115"/>
      <c r="BR594" s="115"/>
      <c r="BS594" s="115"/>
      <c r="BT594" s="115"/>
      <c r="BU594" s="115"/>
      <c r="BV594" s="115"/>
      <c r="BW594" s="115"/>
      <c r="BX594" s="115"/>
      <c r="BY594" s="115"/>
      <c r="BZ594" s="25"/>
      <c r="CA594" s="13"/>
      <c r="CD594" s="114"/>
    </row>
    <row r="595" spans="1:82" ht="20.100000000000001" customHeight="1" x14ac:dyDescent="0.4">
      <c r="A595" s="117"/>
      <c r="B595" s="123"/>
      <c r="C595" s="123"/>
      <c r="D595" s="123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26"/>
      <c r="AB595" s="13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27"/>
      <c r="AR595" s="29"/>
      <c r="BB595" s="25"/>
      <c r="BC595" s="13"/>
      <c r="BH595" s="116"/>
      <c r="BI595" s="123"/>
      <c r="BJ595" s="123"/>
      <c r="BK595" s="123"/>
      <c r="BP595" s="115"/>
      <c r="BQ595" s="115"/>
      <c r="BR595" s="115"/>
      <c r="BS595" s="115"/>
      <c r="BT595" s="115"/>
      <c r="BU595" s="115"/>
      <c r="BV595" s="115"/>
      <c r="BW595" s="115"/>
      <c r="BX595" s="115"/>
      <c r="BY595" s="115"/>
      <c r="BZ595" s="25"/>
      <c r="CA595" s="13"/>
      <c r="CD595" s="114"/>
    </row>
    <row r="596" spans="1:82" ht="20.100000000000001" customHeight="1" x14ac:dyDescent="0.4">
      <c r="A596" s="117"/>
      <c r="B596" s="123"/>
      <c r="C596" s="123"/>
      <c r="D596" s="123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26"/>
      <c r="AB596" s="13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27"/>
      <c r="AR596" s="29"/>
      <c r="BB596" s="25"/>
      <c r="BC596" s="13"/>
      <c r="BH596" s="116"/>
      <c r="BI596" s="123"/>
      <c r="BJ596" s="123"/>
      <c r="BK596" s="123"/>
      <c r="BP596" s="115"/>
      <c r="BQ596" s="115"/>
      <c r="BR596" s="115"/>
      <c r="BS596" s="115"/>
      <c r="BT596" s="115"/>
      <c r="BU596" s="115"/>
      <c r="BV596" s="115"/>
      <c r="BW596" s="115"/>
      <c r="BX596" s="115"/>
      <c r="BY596" s="115"/>
      <c r="BZ596" s="25"/>
      <c r="CA596" s="13"/>
      <c r="CD596" s="114"/>
    </row>
    <row r="597" spans="1:82" ht="20.100000000000001" customHeight="1" x14ac:dyDescent="0.4">
      <c r="A597" s="117"/>
      <c r="B597" s="123"/>
      <c r="C597" s="123"/>
      <c r="D597" s="123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26"/>
      <c r="AB597" s="13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27"/>
      <c r="AR597" s="29"/>
      <c r="BB597" s="25"/>
      <c r="BC597" s="13"/>
      <c r="BH597" s="116"/>
      <c r="BI597" s="123"/>
      <c r="BJ597" s="123"/>
      <c r="BK597" s="123"/>
      <c r="BP597" s="115"/>
      <c r="BQ597" s="115"/>
      <c r="BR597" s="115"/>
      <c r="BS597" s="115"/>
      <c r="BT597" s="115"/>
      <c r="BU597" s="115"/>
      <c r="BV597" s="115"/>
      <c r="BW597" s="115"/>
      <c r="BX597" s="115"/>
      <c r="BY597" s="115"/>
      <c r="BZ597" s="25"/>
      <c r="CA597" s="13"/>
      <c r="CD597" s="114"/>
    </row>
    <row r="598" spans="1:82" ht="20.100000000000001" customHeight="1" x14ac:dyDescent="0.4">
      <c r="A598" s="117"/>
      <c r="B598" s="123"/>
      <c r="C598" s="123"/>
      <c r="D598" s="123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7"/>
      <c r="AB598" s="13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27"/>
      <c r="AR598" s="29"/>
      <c r="BB598" s="25"/>
      <c r="BC598" s="13"/>
      <c r="BH598" s="116"/>
      <c r="BI598" s="123"/>
      <c r="BJ598" s="123"/>
      <c r="BK598" s="123"/>
      <c r="BP598" s="115"/>
      <c r="BQ598" s="115"/>
      <c r="BR598" s="115"/>
      <c r="BS598" s="115"/>
      <c r="BT598" s="115"/>
      <c r="BU598" s="115"/>
      <c r="BV598" s="115"/>
      <c r="BW598" s="115"/>
      <c r="BX598" s="115"/>
      <c r="BY598" s="115"/>
      <c r="BZ598" s="25"/>
      <c r="CA598" s="13"/>
      <c r="CD598" s="114"/>
    </row>
    <row r="599" spans="1:82" ht="20.100000000000001" customHeight="1" x14ac:dyDescent="0.4">
      <c r="A599" s="117"/>
      <c r="B599" s="123"/>
      <c r="C599" s="123"/>
      <c r="D599" s="123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26"/>
      <c r="AB599" s="13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27"/>
      <c r="AR599" s="29"/>
      <c r="BB599" s="25"/>
      <c r="BC599" s="13"/>
      <c r="BH599" s="116"/>
      <c r="BI599" s="123"/>
      <c r="BJ599" s="123"/>
      <c r="BK599" s="123"/>
      <c r="BP599" s="115"/>
      <c r="BQ599" s="115"/>
      <c r="BR599" s="115"/>
      <c r="BS599" s="115"/>
      <c r="BT599" s="115"/>
      <c r="BU599" s="115"/>
      <c r="BV599" s="115"/>
      <c r="BW599" s="115"/>
      <c r="BX599" s="115"/>
      <c r="BY599" s="115"/>
      <c r="BZ599" s="25"/>
      <c r="CA599" s="13"/>
      <c r="CD599" s="114"/>
    </row>
    <row r="600" spans="1:82" ht="20.100000000000001" customHeight="1" x14ac:dyDescent="0.4">
      <c r="A600" s="117"/>
      <c r="B600" s="123"/>
      <c r="C600" s="123"/>
      <c r="D600" s="123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26"/>
      <c r="AB600" s="13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27"/>
      <c r="AR600" s="29"/>
      <c r="BB600" s="25"/>
      <c r="BC600" s="13"/>
      <c r="BH600" s="116"/>
      <c r="BI600" s="123"/>
      <c r="BJ600" s="123"/>
      <c r="BK600" s="123"/>
      <c r="BP600" s="115"/>
      <c r="BQ600" s="115"/>
      <c r="BR600" s="115"/>
      <c r="BS600" s="115"/>
      <c r="BT600" s="115"/>
      <c r="BU600" s="115"/>
      <c r="BV600" s="115"/>
      <c r="BW600" s="115"/>
      <c r="BX600" s="115"/>
      <c r="BY600" s="115"/>
      <c r="BZ600" s="25"/>
      <c r="CA600" s="13"/>
      <c r="CD600" s="114"/>
    </row>
    <row r="601" spans="1:82" ht="20.100000000000001" customHeight="1" x14ac:dyDescent="0.4">
      <c r="A601" s="117"/>
      <c r="B601" s="123"/>
      <c r="C601" s="123"/>
      <c r="D601" s="123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26"/>
      <c r="AB601" s="13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29"/>
      <c r="AR601" s="29"/>
      <c r="BB601" s="25"/>
      <c r="BC601" s="13"/>
      <c r="BH601" s="116"/>
      <c r="BI601" s="123"/>
      <c r="BJ601" s="123"/>
      <c r="BK601" s="123"/>
      <c r="BP601" s="115"/>
      <c r="BQ601" s="115"/>
      <c r="BR601" s="115"/>
      <c r="BS601" s="115"/>
      <c r="BT601" s="115"/>
      <c r="BU601" s="115"/>
      <c r="BV601" s="115"/>
      <c r="BW601" s="115"/>
      <c r="BX601" s="115"/>
      <c r="BY601" s="115"/>
      <c r="BZ601" s="25"/>
      <c r="CA601" s="13"/>
      <c r="CD601" s="114"/>
    </row>
    <row r="602" spans="1:82" ht="20.100000000000001" customHeight="1" x14ac:dyDescent="0.4">
      <c r="A602" s="117"/>
      <c r="B602" s="123"/>
      <c r="C602" s="123"/>
      <c r="D602" s="123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26"/>
      <c r="AB602" s="13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27"/>
      <c r="AR602" s="29"/>
      <c r="BB602" s="25"/>
      <c r="BC602" s="13"/>
      <c r="BH602" s="116"/>
      <c r="BI602" s="123"/>
      <c r="BJ602" s="123"/>
      <c r="BK602" s="123"/>
      <c r="BP602" s="115"/>
      <c r="BQ602" s="115"/>
      <c r="BR602" s="115"/>
      <c r="BS602" s="115"/>
      <c r="BT602" s="115"/>
      <c r="BU602" s="115"/>
      <c r="BV602" s="115"/>
      <c r="BW602" s="115"/>
      <c r="BX602" s="115"/>
      <c r="BY602" s="115"/>
      <c r="BZ602" s="25"/>
      <c r="CA602" s="13"/>
      <c r="CD602" s="114"/>
    </row>
    <row r="603" spans="1:82" ht="20.100000000000001" customHeight="1" x14ac:dyDescent="0.4">
      <c r="A603" s="117"/>
      <c r="B603" s="123"/>
      <c r="C603" s="123"/>
      <c r="D603" s="123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26"/>
      <c r="AB603" s="13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27"/>
      <c r="AR603" s="29"/>
      <c r="BB603" s="25"/>
      <c r="BC603" s="13"/>
      <c r="BH603" s="116"/>
      <c r="BI603" s="123"/>
      <c r="BJ603" s="123"/>
      <c r="BK603" s="123"/>
      <c r="BP603" s="115"/>
      <c r="BQ603" s="115"/>
      <c r="BR603" s="115"/>
      <c r="BS603" s="115"/>
      <c r="BT603" s="115"/>
      <c r="BU603" s="115"/>
      <c r="BV603" s="115"/>
      <c r="BW603" s="115"/>
      <c r="BX603" s="115"/>
      <c r="BY603" s="115"/>
      <c r="BZ603" s="25"/>
      <c r="CA603" s="13"/>
      <c r="CD603" s="114"/>
    </row>
    <row r="604" spans="1:82" ht="20.100000000000001" customHeight="1" x14ac:dyDescent="0.4">
      <c r="A604" s="117"/>
      <c r="B604" s="123"/>
      <c r="C604" s="123"/>
      <c r="D604" s="123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26"/>
      <c r="AB604" s="13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27"/>
      <c r="AR604" s="29"/>
      <c r="BB604" s="25"/>
      <c r="BC604" s="13"/>
      <c r="BH604" s="116"/>
      <c r="BI604" s="123"/>
      <c r="BJ604" s="123"/>
      <c r="BK604" s="123"/>
      <c r="BP604" s="115"/>
      <c r="BQ604" s="115"/>
      <c r="BR604" s="115"/>
      <c r="BS604" s="115"/>
      <c r="BT604" s="115"/>
      <c r="BU604" s="115"/>
      <c r="BV604" s="115"/>
      <c r="BW604" s="115"/>
      <c r="BX604" s="115"/>
      <c r="BY604" s="115"/>
      <c r="BZ604" s="25"/>
      <c r="CA604" s="13"/>
      <c r="CD604" s="114"/>
    </row>
    <row r="605" spans="1:82" ht="20.100000000000001" customHeight="1" x14ac:dyDescent="0.4">
      <c r="A605" s="117"/>
      <c r="B605" s="123"/>
      <c r="C605" s="123"/>
      <c r="D605" s="123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7"/>
      <c r="AB605" s="13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27"/>
      <c r="AR605" s="29"/>
      <c r="BB605" s="25"/>
      <c r="BC605" s="13"/>
      <c r="BH605" s="116"/>
      <c r="BI605" s="123"/>
      <c r="BJ605" s="123"/>
      <c r="BK605" s="123"/>
      <c r="BP605" s="115"/>
      <c r="BQ605" s="115"/>
      <c r="BR605" s="115"/>
      <c r="BS605" s="115"/>
      <c r="BT605" s="115"/>
      <c r="BU605" s="115"/>
      <c r="BV605" s="115"/>
      <c r="BW605" s="115"/>
      <c r="BX605" s="115"/>
      <c r="BY605" s="115"/>
      <c r="BZ605" s="25"/>
      <c r="CA605" s="13"/>
      <c r="CD605" s="114"/>
    </row>
    <row r="606" spans="1:82" ht="20.100000000000001" customHeight="1" x14ac:dyDescent="0.4">
      <c r="A606" s="117"/>
      <c r="B606" s="123"/>
      <c r="C606" s="123"/>
      <c r="D606" s="123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26"/>
      <c r="AB606" s="13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29"/>
      <c r="AR606" s="29"/>
      <c r="BB606" s="25"/>
      <c r="BC606" s="13"/>
      <c r="BH606" s="116"/>
      <c r="BI606" s="123"/>
      <c r="BJ606" s="123"/>
      <c r="BK606" s="123"/>
      <c r="BP606" s="115"/>
      <c r="BQ606" s="115"/>
      <c r="BR606" s="115"/>
      <c r="BS606" s="115"/>
      <c r="BT606" s="115"/>
      <c r="BU606" s="115"/>
      <c r="BV606" s="115"/>
      <c r="BW606" s="115"/>
      <c r="BX606" s="115"/>
      <c r="BY606" s="115"/>
      <c r="BZ606" s="25"/>
      <c r="CA606" s="13"/>
      <c r="CD606" s="114"/>
    </row>
    <row r="607" spans="1:82" ht="20.100000000000001" customHeight="1" x14ac:dyDescent="0.4">
      <c r="A607" s="117"/>
      <c r="B607" s="123"/>
      <c r="C607" s="123"/>
      <c r="D607" s="123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7"/>
      <c r="AB607" s="13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29"/>
      <c r="AR607" s="29"/>
      <c r="BB607" s="25"/>
      <c r="BC607" s="13"/>
      <c r="BH607" s="116"/>
      <c r="BI607" s="123"/>
      <c r="BJ607" s="123"/>
      <c r="BK607" s="123"/>
      <c r="BP607" s="115"/>
      <c r="BQ607" s="115"/>
      <c r="BR607" s="115"/>
      <c r="BS607" s="115"/>
      <c r="BT607" s="115"/>
      <c r="BU607" s="115"/>
      <c r="BV607" s="115"/>
      <c r="BW607" s="115"/>
      <c r="BX607" s="115"/>
      <c r="BY607" s="115"/>
      <c r="BZ607" s="25"/>
      <c r="CA607" s="13"/>
      <c r="CD607" s="114"/>
    </row>
    <row r="608" spans="1:82" ht="20.100000000000001" customHeight="1" x14ac:dyDescent="0.4">
      <c r="A608" s="117"/>
      <c r="B608" s="123"/>
      <c r="C608" s="123"/>
      <c r="D608" s="123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26"/>
      <c r="AB608" s="13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27"/>
      <c r="AR608" s="29"/>
      <c r="BB608" s="25"/>
      <c r="BC608" s="13"/>
      <c r="BH608" s="116"/>
      <c r="BI608" s="123"/>
      <c r="BJ608" s="123"/>
      <c r="BK608" s="123"/>
      <c r="BP608" s="115"/>
      <c r="BQ608" s="115"/>
      <c r="BR608" s="115"/>
      <c r="BS608" s="115"/>
      <c r="BT608" s="115"/>
      <c r="BU608" s="115"/>
      <c r="BV608" s="115"/>
      <c r="BW608" s="115"/>
      <c r="BX608" s="115"/>
      <c r="BY608" s="115"/>
      <c r="BZ608" s="25"/>
      <c r="CA608" s="13"/>
      <c r="CD608" s="114"/>
    </row>
    <row r="609" spans="1:82" ht="20.100000000000001" customHeight="1" x14ac:dyDescent="0.4">
      <c r="A609" s="117"/>
      <c r="B609" s="123"/>
      <c r="C609" s="123"/>
      <c r="D609" s="123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7"/>
      <c r="AB609" s="13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27"/>
      <c r="AR609" s="29"/>
      <c r="BB609" s="25"/>
      <c r="BC609" s="13"/>
      <c r="BH609" s="116"/>
      <c r="BI609" s="123"/>
      <c r="BJ609" s="123"/>
      <c r="BK609" s="123"/>
      <c r="BP609" s="115"/>
      <c r="BQ609" s="115"/>
      <c r="BR609" s="115"/>
      <c r="BS609" s="115"/>
      <c r="BT609" s="115"/>
      <c r="BU609" s="115"/>
      <c r="BV609" s="115"/>
      <c r="BW609" s="115"/>
      <c r="BX609" s="115"/>
      <c r="BY609" s="115"/>
      <c r="BZ609" s="25"/>
      <c r="CA609" s="13"/>
      <c r="CD609" s="114"/>
    </row>
    <row r="610" spans="1:82" ht="20.100000000000001" customHeight="1" x14ac:dyDescent="0.4">
      <c r="A610" s="117"/>
      <c r="B610" s="123"/>
      <c r="C610" s="123"/>
      <c r="D610" s="123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26"/>
      <c r="AB610" s="13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27"/>
      <c r="AR610" s="29"/>
      <c r="BB610" s="25"/>
      <c r="BC610" s="13"/>
      <c r="BH610" s="116"/>
      <c r="BI610" s="123"/>
      <c r="BJ610" s="123"/>
      <c r="BK610" s="123"/>
      <c r="BP610" s="115"/>
      <c r="BQ610" s="115"/>
      <c r="BR610" s="115"/>
      <c r="BS610" s="115"/>
      <c r="BT610" s="115"/>
      <c r="BU610" s="115"/>
      <c r="BV610" s="115"/>
      <c r="BW610" s="115"/>
      <c r="BX610" s="115"/>
      <c r="BY610" s="115"/>
      <c r="BZ610" s="25"/>
      <c r="CA610" s="13"/>
      <c r="CD610" s="114"/>
    </row>
    <row r="611" spans="1:82" ht="20.100000000000001" customHeight="1" x14ac:dyDescent="0.4">
      <c r="A611" s="117"/>
      <c r="B611" s="123"/>
      <c r="C611" s="123"/>
      <c r="D611" s="123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7"/>
      <c r="AB611" s="13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27"/>
      <c r="AR611" s="29"/>
      <c r="BB611" s="25"/>
      <c r="BC611" s="13"/>
      <c r="BH611" s="116"/>
      <c r="BI611" s="123"/>
      <c r="BJ611" s="123"/>
      <c r="BK611" s="123"/>
      <c r="BP611" s="115"/>
      <c r="BQ611" s="115"/>
      <c r="BR611" s="115"/>
      <c r="BS611" s="115"/>
      <c r="BT611" s="115"/>
      <c r="BU611" s="115"/>
      <c r="BV611" s="115"/>
      <c r="BW611" s="115"/>
      <c r="BX611" s="115"/>
      <c r="BY611" s="115"/>
      <c r="BZ611" s="25"/>
      <c r="CA611" s="13"/>
      <c r="CD611" s="114"/>
    </row>
    <row r="612" spans="1:82" ht="20.100000000000001" customHeight="1" x14ac:dyDescent="0.4">
      <c r="A612" s="117"/>
      <c r="B612" s="123"/>
      <c r="C612" s="123"/>
      <c r="D612" s="123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26"/>
      <c r="AB612" s="13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27"/>
      <c r="AR612" s="29"/>
      <c r="BB612" s="25"/>
      <c r="BC612" s="13"/>
      <c r="BH612" s="116"/>
      <c r="BI612" s="123"/>
      <c r="BJ612" s="123"/>
      <c r="BK612" s="123"/>
      <c r="BP612" s="115"/>
      <c r="BQ612" s="115"/>
      <c r="BR612" s="115"/>
      <c r="BS612" s="115"/>
      <c r="BT612" s="115"/>
      <c r="BU612" s="115"/>
      <c r="BV612" s="115"/>
      <c r="BW612" s="115"/>
      <c r="BX612" s="115"/>
      <c r="BY612" s="115"/>
      <c r="BZ612" s="25"/>
      <c r="CA612" s="13"/>
      <c r="CD612" s="114"/>
    </row>
    <row r="613" spans="1:82" ht="20.100000000000001" customHeight="1" x14ac:dyDescent="0.4">
      <c r="A613" s="117"/>
      <c r="B613" s="123"/>
      <c r="C613" s="123"/>
      <c r="D613" s="123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26"/>
      <c r="AB613" s="133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29"/>
      <c r="AR613" s="29"/>
      <c r="BB613" s="25"/>
      <c r="BC613" s="13"/>
      <c r="BH613" s="116"/>
      <c r="BI613" s="123"/>
      <c r="BJ613" s="123"/>
      <c r="BK613" s="123"/>
      <c r="BP613" s="115"/>
      <c r="BQ613" s="115"/>
      <c r="BR613" s="115"/>
      <c r="BS613" s="115"/>
      <c r="BT613" s="115"/>
      <c r="BU613" s="115"/>
      <c r="BV613" s="115"/>
      <c r="BW613" s="115"/>
      <c r="BX613" s="115"/>
      <c r="BY613" s="115"/>
      <c r="BZ613" s="25"/>
      <c r="CA613" s="13"/>
      <c r="CD613" s="114"/>
    </row>
    <row r="614" spans="1:82" ht="20.100000000000001" customHeight="1" x14ac:dyDescent="0.4">
      <c r="A614" s="117"/>
      <c r="B614" s="123"/>
      <c r="C614" s="123"/>
      <c r="D614" s="123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7"/>
      <c r="AB614" s="13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29"/>
      <c r="AR614" s="29"/>
      <c r="BB614" s="25"/>
      <c r="BC614" s="13"/>
      <c r="BH614" s="116"/>
      <c r="BI614" s="123"/>
      <c r="BJ614" s="123"/>
      <c r="BK614" s="123"/>
      <c r="BP614" s="115"/>
      <c r="BQ614" s="115"/>
      <c r="BR614" s="115"/>
      <c r="BS614" s="115"/>
      <c r="BT614" s="115"/>
      <c r="BU614" s="115"/>
      <c r="BV614" s="115"/>
      <c r="BW614" s="115"/>
      <c r="BX614" s="115"/>
      <c r="BY614" s="115"/>
      <c r="BZ614" s="25"/>
      <c r="CA614" s="13"/>
      <c r="CD614" s="114"/>
    </row>
    <row r="615" spans="1:82" ht="20.100000000000001" customHeight="1" x14ac:dyDescent="0.4">
      <c r="A615" s="117"/>
      <c r="B615" s="123"/>
      <c r="C615" s="123"/>
      <c r="D615" s="123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26"/>
      <c r="AB615" s="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27"/>
      <c r="AR615" s="29"/>
      <c r="BB615" s="25"/>
      <c r="BC615" s="13"/>
      <c r="BH615" s="116"/>
      <c r="BI615" s="123"/>
      <c r="BJ615" s="123"/>
      <c r="BK615" s="123"/>
      <c r="BP615" s="115"/>
      <c r="BQ615" s="115"/>
      <c r="BR615" s="115"/>
      <c r="BS615" s="115"/>
      <c r="BT615" s="115"/>
      <c r="BU615" s="115"/>
      <c r="BV615" s="115"/>
      <c r="BW615" s="115"/>
      <c r="BX615" s="115"/>
      <c r="BY615" s="115"/>
      <c r="BZ615" s="25"/>
      <c r="CA615" s="13"/>
      <c r="CD615" s="114"/>
    </row>
    <row r="616" spans="1:82" ht="20.100000000000001" customHeight="1" x14ac:dyDescent="0.4">
      <c r="A616" s="117"/>
      <c r="B616" s="123"/>
      <c r="C616" s="123"/>
      <c r="D616" s="123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19"/>
      <c r="AB616" s="119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27"/>
      <c r="AR616" s="29"/>
      <c r="BB616" s="25"/>
      <c r="BC616" s="13"/>
      <c r="BH616" s="116"/>
      <c r="BI616" s="123"/>
      <c r="BJ616" s="123"/>
      <c r="BK616" s="123"/>
      <c r="BP616" s="115"/>
      <c r="BQ616" s="115"/>
      <c r="BR616" s="115"/>
      <c r="BS616" s="115"/>
      <c r="BT616" s="115"/>
      <c r="BU616" s="115"/>
      <c r="BV616" s="115"/>
      <c r="BW616" s="115"/>
      <c r="BX616" s="115"/>
      <c r="BY616" s="115"/>
      <c r="BZ616" s="25"/>
      <c r="CA616" s="13"/>
      <c r="CD616" s="114"/>
    </row>
    <row r="617" spans="1:82" ht="20.100000000000001" customHeight="1" x14ac:dyDescent="0.4">
      <c r="A617" s="117"/>
      <c r="B617" s="123"/>
      <c r="C617" s="123"/>
      <c r="D617" s="123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19"/>
      <c r="AB617" s="119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27"/>
      <c r="AR617" s="29"/>
      <c r="BB617" s="25"/>
      <c r="BC617" s="13"/>
      <c r="BH617" s="116"/>
      <c r="BI617" s="123"/>
      <c r="BJ617" s="123"/>
      <c r="BK617" s="123"/>
      <c r="BP617" s="115"/>
      <c r="BQ617" s="115"/>
      <c r="BR617" s="115"/>
      <c r="BS617" s="115"/>
      <c r="BT617" s="115"/>
      <c r="BU617" s="115"/>
      <c r="BV617" s="115"/>
      <c r="BW617" s="115"/>
      <c r="BX617" s="115"/>
      <c r="BY617" s="115"/>
      <c r="BZ617" s="25"/>
      <c r="CA617" s="13"/>
      <c r="CD617" s="114"/>
    </row>
    <row r="618" spans="1:82" ht="20.100000000000001" customHeight="1" x14ac:dyDescent="0.4">
      <c r="A618" s="117"/>
      <c r="B618" s="123"/>
      <c r="C618" s="123"/>
      <c r="D618" s="123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27"/>
      <c r="AR618" s="29"/>
      <c r="BB618" s="25"/>
      <c r="BC618" s="13"/>
      <c r="BH618" s="116"/>
      <c r="BI618" s="123"/>
      <c r="BJ618" s="123"/>
      <c r="BK618" s="123"/>
      <c r="BP618" s="115"/>
      <c r="BQ618" s="115"/>
      <c r="BR618" s="115"/>
      <c r="BS618" s="115"/>
      <c r="BT618" s="115"/>
      <c r="BU618" s="115"/>
      <c r="BV618" s="115"/>
      <c r="BW618" s="115"/>
      <c r="BX618" s="115"/>
      <c r="BY618" s="115"/>
      <c r="BZ618" s="25"/>
      <c r="CA618" s="13"/>
      <c r="CD618" s="114"/>
    </row>
    <row r="619" spans="1:82" ht="20.100000000000001" customHeight="1" x14ac:dyDescent="0.4">
      <c r="A619" s="117"/>
      <c r="B619" s="123"/>
      <c r="C619" s="123"/>
      <c r="D619" s="123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27"/>
      <c r="AR619" s="29"/>
      <c r="BB619" s="25"/>
      <c r="BC619" s="13"/>
      <c r="BH619" s="116"/>
      <c r="BI619" s="123"/>
      <c r="BJ619" s="123"/>
      <c r="BK619" s="123"/>
      <c r="BP619" s="115"/>
      <c r="BQ619" s="115"/>
      <c r="BR619" s="115"/>
      <c r="BS619" s="115"/>
      <c r="BT619" s="115"/>
      <c r="BU619" s="115"/>
      <c r="BV619" s="115"/>
      <c r="BW619" s="115"/>
      <c r="BX619" s="115"/>
      <c r="BY619" s="115"/>
      <c r="BZ619" s="25"/>
      <c r="CA619" s="13"/>
      <c r="CD619" s="114"/>
    </row>
    <row r="620" spans="1:82" ht="20.100000000000001" customHeight="1" x14ac:dyDescent="0.4">
      <c r="A620" s="117"/>
      <c r="B620" s="123"/>
      <c r="C620" s="123"/>
      <c r="D620" s="123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27"/>
      <c r="AR620" s="29"/>
      <c r="BB620" s="25"/>
      <c r="BC620" s="13"/>
      <c r="BH620" s="116"/>
      <c r="BI620" s="123"/>
      <c r="BJ620" s="123"/>
      <c r="BK620" s="123"/>
      <c r="BP620" s="115"/>
      <c r="BQ620" s="115"/>
      <c r="BR620" s="115"/>
      <c r="BS620" s="115"/>
      <c r="BT620" s="115"/>
      <c r="BU620" s="115"/>
      <c r="BV620" s="115"/>
      <c r="BW620" s="115"/>
      <c r="BX620" s="115"/>
      <c r="BY620" s="115"/>
      <c r="BZ620" s="25"/>
      <c r="CA620" s="13"/>
      <c r="CD620" s="114"/>
    </row>
    <row r="621" spans="1:82" ht="20.100000000000001" customHeight="1" x14ac:dyDescent="0.4">
      <c r="A621" s="117"/>
      <c r="B621" s="123"/>
      <c r="C621" s="123"/>
      <c r="D621" s="123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29"/>
      <c r="AR621" s="29"/>
      <c r="BB621" s="25"/>
      <c r="BC621" s="13"/>
      <c r="BH621" s="116"/>
      <c r="BI621" s="123"/>
      <c r="BJ621" s="123"/>
      <c r="BK621" s="123"/>
      <c r="BP621" s="115"/>
      <c r="BQ621" s="115"/>
      <c r="BR621" s="115"/>
      <c r="BS621" s="115"/>
      <c r="BT621" s="115"/>
      <c r="BU621" s="115"/>
      <c r="BV621" s="115"/>
      <c r="BW621" s="115"/>
      <c r="BX621" s="115"/>
      <c r="BY621" s="115"/>
      <c r="BZ621" s="25"/>
      <c r="CA621" s="13"/>
      <c r="CD621" s="114"/>
    </row>
    <row r="622" spans="1:82" ht="20.100000000000001" customHeight="1" x14ac:dyDescent="0.4">
      <c r="A622" s="117"/>
      <c r="B622" s="123"/>
      <c r="C622" s="123"/>
      <c r="D622" s="123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Q622" s="127"/>
      <c r="AR622" s="29"/>
      <c r="AX622" s="115"/>
      <c r="AY622" s="115"/>
      <c r="AZ622" s="115"/>
      <c r="BA622" s="115"/>
      <c r="BB622" s="25">
        <v>45669</v>
      </c>
      <c r="BC622" s="13" t="s">
        <v>147</v>
      </c>
      <c r="BH622" s="116"/>
      <c r="BI622" s="123"/>
      <c r="BJ622" s="123"/>
      <c r="BK622" s="123"/>
      <c r="BP622" s="115"/>
      <c r="BQ622" s="115"/>
      <c r="BR622" s="115"/>
      <c r="BS622" s="115"/>
      <c r="BT622" s="115"/>
      <c r="BU622" s="115"/>
      <c r="BV622" s="115"/>
      <c r="BW622" s="115"/>
      <c r="BX622" s="115"/>
      <c r="BY622" s="115"/>
      <c r="BZ622" s="25"/>
      <c r="CA622" s="13"/>
      <c r="CD622" s="114"/>
    </row>
    <row r="623" spans="1:82" ht="20.100000000000001" customHeight="1" x14ac:dyDescent="0.4">
      <c r="A623" s="117"/>
      <c r="B623" s="123"/>
      <c r="C623" s="123"/>
      <c r="D623" s="123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O623" s="115"/>
      <c r="AP623" s="115"/>
      <c r="AQ623" s="29"/>
      <c r="AR623" s="29"/>
      <c r="AX623" s="115"/>
      <c r="AY623" s="115"/>
      <c r="AZ623" s="115"/>
      <c r="BA623" s="115"/>
      <c r="BB623" s="25"/>
      <c r="BC623" s="13"/>
      <c r="BH623" s="116"/>
      <c r="BI623" s="123"/>
      <c r="BJ623" s="123"/>
      <c r="BK623" s="123"/>
      <c r="BP623" s="115"/>
      <c r="BQ623" s="115"/>
      <c r="BR623" s="115"/>
      <c r="BS623" s="115"/>
      <c r="BT623" s="115"/>
      <c r="BU623" s="115"/>
      <c r="BV623" s="115"/>
      <c r="BW623" s="115"/>
      <c r="BX623" s="115"/>
      <c r="BY623" s="115"/>
      <c r="BZ623" s="25"/>
      <c r="CA623" s="13"/>
      <c r="CD623" s="114"/>
    </row>
    <row r="624" spans="1:82" ht="20.100000000000001" customHeight="1" x14ac:dyDescent="0.4">
      <c r="A624" s="117"/>
      <c r="B624" s="123"/>
      <c r="C624" s="123"/>
      <c r="D624" s="123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27"/>
      <c r="AR624" s="29"/>
      <c r="AX624" s="115"/>
      <c r="AY624" s="115"/>
      <c r="AZ624" s="115"/>
      <c r="BA624" s="115"/>
      <c r="BB624" s="25"/>
      <c r="BC624" s="13"/>
      <c r="BH624" s="116"/>
      <c r="BI624" s="123"/>
      <c r="BJ624" s="123"/>
      <c r="BK624" s="123"/>
      <c r="BP624" s="115"/>
      <c r="BQ624" s="115"/>
      <c r="BR624" s="115"/>
      <c r="BS624" s="115"/>
      <c r="BT624" s="115"/>
      <c r="BU624" s="115"/>
      <c r="BV624" s="115"/>
      <c r="BW624" s="115"/>
      <c r="BX624" s="115"/>
      <c r="BY624" s="115"/>
      <c r="BZ624" s="25"/>
      <c r="CA624" s="13"/>
      <c r="CD624" s="114"/>
    </row>
    <row r="625" spans="1:82" ht="20.100000000000001" customHeight="1" x14ac:dyDescent="0.4">
      <c r="A625" s="117"/>
      <c r="B625" s="123"/>
      <c r="C625" s="123"/>
      <c r="D625" s="123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Q625" s="127"/>
      <c r="AR625" s="29"/>
      <c r="AX625" s="115"/>
      <c r="AY625" s="115"/>
      <c r="AZ625" s="115"/>
      <c r="BA625" s="115"/>
      <c r="BB625" s="25"/>
      <c r="BC625" s="13"/>
      <c r="BH625" s="116"/>
      <c r="BI625" s="123"/>
      <c r="BJ625" s="123"/>
      <c r="BK625" s="123"/>
      <c r="BP625" s="115"/>
      <c r="BQ625" s="115"/>
      <c r="BR625" s="115"/>
      <c r="BS625" s="115"/>
      <c r="BT625" s="115"/>
      <c r="BU625" s="115"/>
      <c r="BV625" s="115"/>
      <c r="BW625" s="115"/>
      <c r="BX625" s="115"/>
      <c r="BY625" s="115"/>
      <c r="BZ625" s="25"/>
      <c r="CA625" s="13"/>
      <c r="CD625" s="114"/>
    </row>
    <row r="626" spans="1:82" ht="20.100000000000001" customHeight="1" x14ac:dyDescent="0.4">
      <c r="A626" s="117"/>
      <c r="B626" s="123"/>
      <c r="C626" s="123"/>
      <c r="D626" s="123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O626" s="115"/>
      <c r="AP626" s="115"/>
      <c r="AQ626" s="29"/>
      <c r="AR626" s="29"/>
      <c r="AX626" s="115"/>
      <c r="AY626" s="115"/>
      <c r="AZ626" s="115"/>
      <c r="BA626" s="115"/>
      <c r="BB626" s="25"/>
      <c r="BC626" s="13"/>
      <c r="BH626" s="116"/>
      <c r="BI626" s="123"/>
      <c r="BJ626" s="123"/>
      <c r="BK626" s="123"/>
      <c r="BP626" s="115"/>
      <c r="BQ626" s="115"/>
      <c r="BR626" s="115"/>
      <c r="BS626" s="115"/>
      <c r="BT626" s="115"/>
      <c r="BU626" s="115"/>
      <c r="BV626" s="115"/>
      <c r="BW626" s="115"/>
      <c r="BX626" s="115"/>
      <c r="BY626" s="115"/>
      <c r="BZ626" s="25"/>
      <c r="CA626" s="13"/>
      <c r="CD626" s="114"/>
    </row>
    <row r="627" spans="1:82" ht="20.100000000000001" customHeight="1" x14ac:dyDescent="0.4">
      <c r="A627" s="117"/>
      <c r="B627" s="123"/>
      <c r="C627" s="123"/>
      <c r="D627" s="123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27"/>
      <c r="AR627" s="29"/>
      <c r="AX627" s="115"/>
      <c r="AY627" s="115"/>
      <c r="AZ627" s="115"/>
      <c r="BA627" s="115"/>
      <c r="BB627" s="25"/>
      <c r="BC627" s="13"/>
      <c r="BH627" s="116"/>
      <c r="BI627" s="123"/>
      <c r="BJ627" s="123"/>
      <c r="BK627" s="123"/>
      <c r="BP627" s="115"/>
      <c r="BQ627" s="115"/>
      <c r="BR627" s="115"/>
      <c r="BS627" s="115"/>
      <c r="BT627" s="115"/>
      <c r="BU627" s="115"/>
      <c r="BV627" s="115"/>
      <c r="BW627" s="115"/>
      <c r="BX627" s="115"/>
      <c r="BY627" s="115"/>
      <c r="BZ627" s="25"/>
      <c r="CA627" s="13"/>
      <c r="CD627" s="114"/>
    </row>
    <row r="628" spans="1:82" ht="20.100000000000001" customHeight="1" x14ac:dyDescent="0.4">
      <c r="A628" s="117"/>
      <c r="B628" s="123"/>
      <c r="C628" s="123"/>
      <c r="D628" s="123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27"/>
      <c r="AR628" s="29"/>
      <c r="AX628" s="115"/>
      <c r="AY628" s="115"/>
      <c r="AZ628" s="115"/>
      <c r="BA628" s="115"/>
      <c r="BB628" s="25"/>
      <c r="BC628" s="13"/>
      <c r="BH628" s="116"/>
      <c r="BI628" s="123"/>
      <c r="BJ628" s="123"/>
      <c r="BK628" s="123"/>
      <c r="BP628" s="115"/>
      <c r="BQ628" s="115"/>
      <c r="BR628" s="115"/>
      <c r="BS628" s="115"/>
      <c r="BT628" s="115"/>
      <c r="BU628" s="115"/>
      <c r="BV628" s="115"/>
      <c r="BW628" s="115"/>
      <c r="BX628" s="115"/>
      <c r="BY628" s="115"/>
      <c r="BZ628" s="25"/>
      <c r="CA628" s="13"/>
      <c r="CD628" s="114"/>
    </row>
    <row r="629" spans="1:82" ht="20.100000000000001" customHeight="1" x14ac:dyDescent="0.4">
      <c r="A629" s="117"/>
      <c r="B629" s="123"/>
      <c r="C629" s="123"/>
      <c r="D629" s="123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27"/>
      <c r="AR629" s="29"/>
      <c r="AX629" s="115"/>
      <c r="AY629" s="115"/>
      <c r="AZ629" s="115"/>
      <c r="BA629" s="115"/>
      <c r="BB629" s="25"/>
      <c r="BC629" s="13"/>
      <c r="BH629" s="116"/>
      <c r="BI629" s="123"/>
      <c r="BJ629" s="123"/>
      <c r="BK629" s="123"/>
      <c r="BP629" s="115"/>
      <c r="BQ629" s="115"/>
      <c r="BR629" s="115"/>
      <c r="BS629" s="115"/>
      <c r="BT629" s="115"/>
      <c r="BU629" s="115"/>
      <c r="BV629" s="115"/>
      <c r="BW629" s="115"/>
      <c r="BX629" s="115"/>
      <c r="BY629" s="115"/>
      <c r="BZ629" s="25"/>
      <c r="CA629" s="13"/>
      <c r="CD629" s="114"/>
    </row>
    <row r="630" spans="1:82" ht="20.100000000000001" customHeight="1" x14ac:dyDescent="0.4">
      <c r="A630" s="117"/>
      <c r="B630" s="123"/>
      <c r="C630" s="123"/>
      <c r="D630" s="123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27"/>
      <c r="AR630" s="29"/>
      <c r="AX630" s="115"/>
      <c r="AY630" s="115"/>
      <c r="AZ630" s="115"/>
      <c r="BA630" s="115"/>
      <c r="BB630" s="25"/>
      <c r="BC630" s="13"/>
      <c r="BH630" s="116"/>
      <c r="BI630" s="123"/>
      <c r="BJ630" s="123"/>
      <c r="BK630" s="123"/>
      <c r="BP630" s="115"/>
      <c r="BQ630" s="115"/>
      <c r="BR630" s="115"/>
      <c r="BS630" s="115"/>
      <c r="BT630" s="115"/>
      <c r="BU630" s="115"/>
      <c r="BV630" s="115"/>
      <c r="BW630" s="115"/>
      <c r="BX630" s="115"/>
      <c r="BY630" s="115"/>
      <c r="BZ630" s="25"/>
      <c r="CA630" s="13"/>
      <c r="CD630" s="114"/>
    </row>
    <row r="631" spans="1:82" ht="20.100000000000001" customHeight="1" x14ac:dyDescent="0.4">
      <c r="A631" s="117"/>
      <c r="B631" s="123"/>
      <c r="C631" s="123"/>
      <c r="D631" s="123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27"/>
      <c r="AR631" s="29"/>
      <c r="AX631" s="115"/>
      <c r="AY631" s="115"/>
      <c r="AZ631" s="115"/>
      <c r="BA631" s="115"/>
      <c r="BB631" s="25"/>
      <c r="BC631" s="13"/>
      <c r="BH631" s="116"/>
      <c r="BI631" s="123"/>
      <c r="BJ631" s="123"/>
      <c r="BK631" s="123"/>
      <c r="BP631" s="115"/>
      <c r="BQ631" s="115"/>
      <c r="BR631" s="115"/>
      <c r="BS631" s="115"/>
      <c r="BT631" s="115"/>
      <c r="BU631" s="115"/>
      <c r="BV631" s="115"/>
      <c r="BW631" s="115"/>
      <c r="BX631" s="115"/>
      <c r="BY631" s="115"/>
      <c r="BZ631" s="25"/>
      <c r="CA631" s="13"/>
      <c r="CD631" s="114"/>
    </row>
    <row r="632" spans="1:82" ht="20.100000000000001" customHeight="1" x14ac:dyDescent="0.4">
      <c r="A632" s="117"/>
      <c r="B632" s="123"/>
      <c r="C632" s="123"/>
      <c r="D632" s="123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29"/>
      <c r="AR632" s="29"/>
      <c r="AX632" s="115"/>
      <c r="AY632" s="115"/>
      <c r="AZ632" s="115"/>
      <c r="BA632" s="115"/>
      <c r="BB632" s="25"/>
      <c r="BC632" s="13"/>
      <c r="BH632" s="116"/>
      <c r="BI632" s="123"/>
      <c r="BJ632" s="123"/>
      <c r="BK632" s="123"/>
      <c r="BP632" s="115"/>
      <c r="BQ632" s="115"/>
      <c r="BR632" s="115"/>
      <c r="BS632" s="115"/>
      <c r="BT632" s="115"/>
      <c r="BU632" s="115"/>
      <c r="BV632" s="115"/>
      <c r="BW632" s="115"/>
      <c r="BX632" s="115"/>
      <c r="BY632" s="115"/>
      <c r="BZ632" s="25"/>
      <c r="CA632" s="13"/>
      <c r="CD632" s="114"/>
    </row>
    <row r="633" spans="1:82" ht="20.100000000000001" customHeight="1" x14ac:dyDescent="0.4">
      <c r="A633" s="117"/>
      <c r="B633" s="123"/>
      <c r="C633" s="123"/>
      <c r="D633" s="123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27"/>
      <c r="AR633" s="29"/>
      <c r="AX633" s="115"/>
      <c r="AY633" s="115"/>
      <c r="AZ633" s="115"/>
      <c r="BA633" s="115"/>
      <c r="BB633" s="25"/>
      <c r="BC633" s="13"/>
      <c r="BH633" s="116"/>
      <c r="BI633" s="123"/>
      <c r="BJ633" s="123"/>
      <c r="BK633" s="123"/>
      <c r="BP633" s="115"/>
      <c r="BQ633" s="115"/>
      <c r="BR633" s="115"/>
      <c r="BS633" s="115"/>
      <c r="BT633" s="115"/>
      <c r="BU633" s="115"/>
      <c r="BV633" s="115"/>
      <c r="BW633" s="115"/>
      <c r="BX633" s="115"/>
      <c r="BY633" s="115"/>
      <c r="BZ633" s="25"/>
      <c r="CA633" s="13"/>
      <c r="CD633" s="114"/>
    </row>
    <row r="634" spans="1:82" ht="20.100000000000001" customHeight="1" x14ac:dyDescent="0.4">
      <c r="A634" s="117"/>
      <c r="B634" s="123"/>
      <c r="C634" s="123"/>
      <c r="D634" s="123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27"/>
      <c r="AR634" s="29"/>
      <c r="AX634" s="115"/>
      <c r="AY634" s="115"/>
      <c r="AZ634" s="115"/>
      <c r="BA634" s="115"/>
      <c r="BB634" s="25"/>
      <c r="BC634" s="13"/>
      <c r="BH634" s="116"/>
      <c r="BI634" s="123"/>
      <c r="BJ634" s="123"/>
      <c r="BK634" s="123"/>
      <c r="BP634" s="115"/>
      <c r="BQ634" s="115"/>
      <c r="BR634" s="115"/>
      <c r="BS634" s="115"/>
      <c r="BT634" s="115"/>
      <c r="BU634" s="115"/>
      <c r="BV634" s="115"/>
      <c r="BW634" s="115"/>
      <c r="BX634" s="115"/>
      <c r="BY634" s="115"/>
      <c r="BZ634" s="25"/>
      <c r="CA634" s="13"/>
      <c r="CD634" s="114"/>
    </row>
    <row r="635" spans="1:82" ht="20.100000000000001" customHeight="1" x14ac:dyDescent="0.4">
      <c r="A635" s="117"/>
      <c r="B635" s="123"/>
      <c r="C635" s="123"/>
      <c r="D635" s="123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27"/>
      <c r="AR635" s="29"/>
      <c r="AX635" s="115"/>
      <c r="AY635" s="115"/>
      <c r="AZ635" s="115"/>
      <c r="BA635" s="115"/>
      <c r="BB635" s="25"/>
      <c r="BC635" s="13"/>
      <c r="BH635" s="116"/>
      <c r="BI635" s="123"/>
      <c r="BJ635" s="123"/>
      <c r="BK635" s="123"/>
      <c r="BP635" s="115"/>
      <c r="BQ635" s="115"/>
      <c r="BR635" s="115"/>
      <c r="BS635" s="115"/>
      <c r="BT635" s="115"/>
      <c r="BU635" s="115"/>
      <c r="BV635" s="115"/>
      <c r="BW635" s="115"/>
      <c r="BX635" s="115"/>
      <c r="BY635" s="115"/>
      <c r="BZ635" s="25"/>
      <c r="CA635" s="13"/>
      <c r="CD635" s="114"/>
    </row>
    <row r="636" spans="1:82" ht="20.100000000000001" customHeight="1" x14ac:dyDescent="0.4">
      <c r="A636" s="117"/>
      <c r="B636" s="123"/>
      <c r="C636" s="123"/>
      <c r="D636" s="123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27"/>
      <c r="AR636" s="29"/>
      <c r="AX636" s="115"/>
      <c r="AY636" s="115"/>
      <c r="AZ636" s="115"/>
      <c r="BA636" s="115"/>
      <c r="BB636" s="25"/>
      <c r="BC636" s="13"/>
      <c r="BH636" s="116"/>
      <c r="BI636" s="123"/>
      <c r="BJ636" s="123"/>
      <c r="BK636" s="123"/>
      <c r="BP636" s="115"/>
      <c r="BQ636" s="115"/>
      <c r="BR636" s="115"/>
      <c r="BS636" s="115"/>
      <c r="BT636" s="115"/>
      <c r="BU636" s="115"/>
      <c r="BV636" s="115"/>
      <c r="BW636" s="115"/>
      <c r="BX636" s="115"/>
      <c r="BY636" s="115"/>
      <c r="BZ636" s="25"/>
      <c r="CA636" s="13"/>
      <c r="CD636" s="114"/>
    </row>
    <row r="637" spans="1:82" ht="20.100000000000001" customHeight="1" x14ac:dyDescent="0.4">
      <c r="A637" s="117"/>
      <c r="B637" s="123"/>
      <c r="C637" s="123"/>
      <c r="D637" s="123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27"/>
      <c r="AR637" s="29"/>
      <c r="AX637" s="115"/>
      <c r="AY637" s="115"/>
      <c r="AZ637" s="115"/>
      <c r="BA637" s="115"/>
      <c r="BB637" s="25"/>
      <c r="BC637" s="13"/>
      <c r="BH637" s="116"/>
      <c r="BI637" s="123"/>
      <c r="BJ637" s="123"/>
      <c r="BK637" s="123"/>
      <c r="BP637" s="115"/>
      <c r="BQ637" s="115"/>
      <c r="BR637" s="115"/>
      <c r="BS637" s="115"/>
      <c r="BT637" s="115"/>
      <c r="BU637" s="115"/>
      <c r="BV637" s="115"/>
      <c r="BW637" s="115"/>
      <c r="BX637" s="115"/>
      <c r="BY637" s="115"/>
      <c r="BZ637" s="25"/>
      <c r="CA637" s="13"/>
      <c r="CD637" s="114"/>
    </row>
    <row r="638" spans="1:82" ht="20.100000000000001" customHeight="1" x14ac:dyDescent="0.4">
      <c r="A638" s="117"/>
      <c r="B638" s="123"/>
      <c r="C638" s="123"/>
      <c r="D638" s="123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27"/>
      <c r="AR638" s="29"/>
      <c r="AX638" s="115"/>
      <c r="AY638" s="115"/>
      <c r="AZ638" s="115"/>
      <c r="BA638" s="115"/>
      <c r="BB638" s="25"/>
      <c r="BC638" s="13"/>
      <c r="BH638" s="116"/>
      <c r="BI638" s="123"/>
      <c r="BJ638" s="123"/>
      <c r="BK638" s="123"/>
      <c r="BP638" s="115"/>
      <c r="BQ638" s="115"/>
      <c r="BR638" s="115"/>
      <c r="BS638" s="115"/>
      <c r="BT638" s="115"/>
      <c r="BU638" s="115"/>
      <c r="BV638" s="115"/>
      <c r="BW638" s="115"/>
      <c r="BX638" s="115"/>
      <c r="BY638" s="115"/>
      <c r="BZ638" s="25"/>
      <c r="CA638" s="13"/>
      <c r="CD638" s="114"/>
    </row>
    <row r="639" spans="1:82" ht="20.100000000000001" customHeight="1" x14ac:dyDescent="0.4">
      <c r="A639" s="117"/>
      <c r="B639" s="123"/>
      <c r="C639" s="123"/>
      <c r="D639" s="123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27"/>
      <c r="AR639" s="29"/>
      <c r="AX639" s="115"/>
      <c r="AY639" s="115"/>
      <c r="AZ639" s="115"/>
      <c r="BA639" s="115"/>
      <c r="BB639" s="25"/>
      <c r="BC639" s="13"/>
      <c r="BH639" s="116"/>
      <c r="BI639" s="123"/>
      <c r="BJ639" s="123"/>
      <c r="BK639" s="123"/>
      <c r="BP639" s="115"/>
      <c r="BQ639" s="115"/>
      <c r="BR639" s="115"/>
      <c r="BS639" s="115"/>
      <c r="BT639" s="115"/>
      <c r="BU639" s="115"/>
      <c r="BV639" s="115"/>
      <c r="BW639" s="115"/>
      <c r="BX639" s="115"/>
      <c r="BY639" s="115"/>
      <c r="BZ639" s="25"/>
      <c r="CA639" s="13"/>
      <c r="CD639" s="114"/>
    </row>
    <row r="640" spans="1:82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27"/>
      <c r="AR640" s="29"/>
      <c r="AX640" s="115"/>
      <c r="AY640" s="115"/>
      <c r="AZ640" s="115"/>
      <c r="BA640" s="115"/>
      <c r="BB640" s="25"/>
      <c r="BC640" s="13"/>
      <c r="BH640" s="116"/>
      <c r="BI640" s="123"/>
      <c r="BJ640" s="123"/>
      <c r="BK640" s="123"/>
      <c r="BP640" s="115"/>
      <c r="BQ640" s="115"/>
      <c r="BR640" s="115"/>
      <c r="BS640" s="115"/>
      <c r="BT640" s="115"/>
      <c r="BU640" s="115"/>
      <c r="BV640" s="115"/>
      <c r="BW640" s="115"/>
      <c r="BX640" s="115"/>
      <c r="BY640" s="115"/>
      <c r="BZ640" s="25"/>
      <c r="CA640" s="13"/>
      <c r="CD640" s="114"/>
    </row>
    <row r="641" spans="1:82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27"/>
      <c r="AR641" s="29"/>
      <c r="AX641" s="115"/>
      <c r="AY641" s="115"/>
      <c r="AZ641" s="115"/>
      <c r="BA641" s="115"/>
      <c r="BB641" s="25"/>
      <c r="BC641" s="13"/>
      <c r="BH641" s="116"/>
      <c r="BI641" s="123"/>
      <c r="BJ641" s="123"/>
      <c r="BK641" s="123"/>
      <c r="BP641" s="115"/>
      <c r="BQ641" s="115"/>
      <c r="BR641" s="115"/>
      <c r="BS641" s="115"/>
      <c r="BT641" s="115"/>
      <c r="BU641" s="115"/>
      <c r="BV641" s="115"/>
      <c r="BW641" s="115"/>
      <c r="BX641" s="115"/>
      <c r="BY641" s="115"/>
      <c r="BZ641" s="25"/>
      <c r="CA641" s="13"/>
      <c r="CD641" s="114"/>
    </row>
    <row r="642" spans="1:82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27"/>
      <c r="AR642" s="29"/>
      <c r="AX642" s="115"/>
      <c r="AY642" s="115"/>
      <c r="AZ642" s="115"/>
      <c r="BA642" s="115"/>
      <c r="BB642" s="25"/>
      <c r="BC642" s="13"/>
      <c r="BH642" s="116"/>
      <c r="BI642" s="123"/>
      <c r="BJ642" s="123"/>
      <c r="BK642" s="123"/>
      <c r="BP642" s="115"/>
      <c r="BQ642" s="115"/>
      <c r="BR642" s="115"/>
      <c r="BS642" s="115"/>
      <c r="BT642" s="115"/>
      <c r="BU642" s="115"/>
      <c r="BV642" s="115"/>
      <c r="BW642" s="115"/>
      <c r="BX642" s="115"/>
      <c r="BY642" s="115"/>
      <c r="BZ642" s="25"/>
      <c r="CA642" s="13"/>
      <c r="CD642" s="114"/>
    </row>
    <row r="643" spans="1:82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27"/>
      <c r="AR643" s="29"/>
      <c r="AX643" s="115"/>
      <c r="AY643" s="115"/>
      <c r="AZ643" s="115"/>
      <c r="BA643" s="115"/>
      <c r="BB643" s="25"/>
      <c r="BC643" s="13"/>
      <c r="BH643" s="116"/>
      <c r="BI643" s="123"/>
      <c r="BJ643" s="123"/>
      <c r="BK643" s="123"/>
      <c r="BP643" s="115"/>
      <c r="BQ643" s="115"/>
      <c r="BR643" s="115"/>
      <c r="BS643" s="115"/>
      <c r="BT643" s="115"/>
      <c r="BU643" s="115"/>
      <c r="BV643" s="115"/>
      <c r="BW643" s="115"/>
      <c r="BX643" s="115"/>
      <c r="BY643" s="115"/>
      <c r="BZ643" s="25"/>
      <c r="CA643" s="13"/>
      <c r="CD643" s="114"/>
    </row>
    <row r="644" spans="1:82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29"/>
      <c r="AR644" s="29"/>
      <c r="AX644" s="115"/>
      <c r="AY644" s="115"/>
      <c r="AZ644" s="115"/>
      <c r="BA644" s="115"/>
      <c r="BB644" s="25"/>
      <c r="BC644" s="13"/>
      <c r="BH644" s="116"/>
      <c r="BI644" s="123"/>
      <c r="BJ644" s="123"/>
      <c r="BK644" s="123"/>
      <c r="BP644" s="115"/>
      <c r="BQ644" s="115"/>
      <c r="BR644" s="115"/>
      <c r="BS644" s="115"/>
      <c r="BT644" s="115"/>
      <c r="BU644" s="115"/>
      <c r="BV644" s="115"/>
      <c r="BW644" s="115"/>
      <c r="BX644" s="115"/>
      <c r="BY644" s="115"/>
      <c r="BZ644" s="25"/>
      <c r="CA644" s="13"/>
      <c r="CD644" s="114"/>
    </row>
    <row r="645" spans="1:82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27"/>
      <c r="AR645" s="29"/>
      <c r="AX645" s="115"/>
      <c r="AY645" s="115"/>
      <c r="AZ645" s="115"/>
      <c r="BA645" s="115"/>
      <c r="BB645" s="25"/>
      <c r="BC645" s="13"/>
      <c r="BH645" s="116"/>
      <c r="BI645" s="123"/>
      <c r="BJ645" s="123"/>
      <c r="BK645" s="123"/>
      <c r="BP645" s="115"/>
      <c r="BQ645" s="115"/>
      <c r="BR645" s="115"/>
      <c r="BS645" s="115"/>
      <c r="BT645" s="115"/>
      <c r="BU645" s="115"/>
      <c r="BV645" s="115"/>
      <c r="BW645" s="115"/>
      <c r="BX645" s="115"/>
      <c r="BY645" s="115"/>
      <c r="BZ645" s="25"/>
      <c r="CA645" s="13"/>
      <c r="CD645" s="114"/>
    </row>
    <row r="646" spans="1:82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27"/>
      <c r="AR646" s="29"/>
      <c r="AX646" s="115"/>
      <c r="AY646" s="115"/>
      <c r="AZ646" s="115"/>
      <c r="BA646" s="115"/>
      <c r="BB646" s="25"/>
      <c r="BC646" s="13"/>
      <c r="BH646" s="116"/>
      <c r="BI646" s="123"/>
      <c r="BJ646" s="123"/>
      <c r="BK646" s="123"/>
      <c r="BP646" s="115"/>
      <c r="BQ646" s="115"/>
      <c r="BR646" s="115"/>
      <c r="BS646" s="115"/>
      <c r="BT646" s="115"/>
      <c r="BU646" s="115"/>
      <c r="BV646" s="115"/>
      <c r="BW646" s="115"/>
      <c r="BX646" s="115"/>
      <c r="BY646" s="115"/>
      <c r="BZ646" s="25"/>
      <c r="CA646" s="13"/>
      <c r="CD646" s="114"/>
    </row>
    <row r="647" spans="1:82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29"/>
      <c r="AR647" s="29"/>
      <c r="AX647" s="115"/>
      <c r="AY647" s="115"/>
      <c r="AZ647" s="115"/>
      <c r="BA647" s="115"/>
      <c r="BB647" s="25"/>
      <c r="BC647" s="13"/>
      <c r="BH647" s="116"/>
      <c r="BI647" s="123"/>
      <c r="BJ647" s="123"/>
      <c r="BK647" s="123"/>
      <c r="BP647" s="115"/>
      <c r="BQ647" s="115"/>
      <c r="BR647" s="115"/>
      <c r="BS647" s="115"/>
      <c r="BT647" s="115"/>
      <c r="BU647" s="115"/>
      <c r="BV647" s="115"/>
      <c r="BW647" s="115"/>
      <c r="BX647" s="115"/>
      <c r="BY647" s="115"/>
      <c r="BZ647" s="25"/>
      <c r="CA647" s="13"/>
      <c r="CD647" s="114"/>
    </row>
    <row r="648" spans="1:82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27"/>
      <c r="AR648" s="29"/>
      <c r="AX648" s="115"/>
      <c r="AY648" s="115"/>
      <c r="AZ648" s="115"/>
      <c r="BA648" s="115"/>
      <c r="BB648" s="25"/>
      <c r="BC648" s="13"/>
      <c r="BH648" s="116"/>
      <c r="BI648" s="123"/>
      <c r="BJ648" s="123"/>
      <c r="BK648" s="123"/>
      <c r="BP648" s="115"/>
      <c r="BQ648" s="115"/>
      <c r="BR648" s="115"/>
      <c r="BS648" s="115"/>
      <c r="BT648" s="115"/>
      <c r="BU648" s="115"/>
      <c r="BV648" s="115"/>
      <c r="BW648" s="115"/>
      <c r="BX648" s="115"/>
      <c r="BY648" s="115"/>
      <c r="BZ648" s="25"/>
      <c r="CA648" s="13"/>
      <c r="CD648" s="114"/>
    </row>
    <row r="649" spans="1:82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27"/>
      <c r="AR649" s="29"/>
      <c r="AX649" s="115"/>
      <c r="AY649" s="115"/>
      <c r="AZ649" s="115"/>
      <c r="BA649" s="115"/>
      <c r="BB649" s="25"/>
      <c r="BC649" s="13"/>
      <c r="BH649" s="116"/>
      <c r="BI649" s="123"/>
      <c r="BJ649" s="123"/>
      <c r="BK649" s="123"/>
      <c r="BP649" s="115"/>
      <c r="BQ649" s="115"/>
      <c r="BR649" s="115"/>
      <c r="BS649" s="115"/>
      <c r="BT649" s="115"/>
      <c r="BU649" s="115"/>
      <c r="BV649" s="115"/>
      <c r="BW649" s="115"/>
      <c r="BX649" s="115"/>
      <c r="BY649" s="115"/>
      <c r="BZ649" s="25"/>
      <c r="CA649" s="13"/>
      <c r="CD649" s="114"/>
    </row>
    <row r="650" spans="1:82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Q650" s="127"/>
      <c r="AR650" s="29"/>
      <c r="AX650" s="115"/>
      <c r="AY650" s="115"/>
      <c r="AZ650" s="115"/>
      <c r="BA650" s="115"/>
      <c r="BB650" s="25">
        <v>45671</v>
      </c>
      <c r="BC650" s="13" t="s">
        <v>146</v>
      </c>
      <c r="BH650" s="116"/>
      <c r="BI650" s="123"/>
      <c r="BJ650" s="123"/>
      <c r="BK650" s="123"/>
      <c r="BP650" s="115"/>
      <c r="BQ650" s="115"/>
      <c r="BR650" s="115"/>
      <c r="BS650" s="115"/>
      <c r="BT650" s="115"/>
      <c r="BU650" s="115"/>
      <c r="BV650" s="115"/>
      <c r="BW650" s="115"/>
      <c r="BX650" s="115"/>
      <c r="BY650" s="115"/>
      <c r="BZ650" s="25"/>
      <c r="CA650" s="13"/>
      <c r="CD650" s="114"/>
    </row>
    <row r="651" spans="1:82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27"/>
      <c r="AR651" s="29"/>
      <c r="AX651" s="115"/>
      <c r="AY651" s="115"/>
      <c r="AZ651" s="115"/>
      <c r="BA651" s="115"/>
      <c r="BB651" s="25"/>
      <c r="BC651" s="13"/>
      <c r="BH651" s="116"/>
      <c r="BI651" s="123"/>
      <c r="BJ651" s="123"/>
      <c r="BK651" s="123"/>
      <c r="BP651" s="115"/>
      <c r="BQ651" s="115"/>
      <c r="BR651" s="115"/>
      <c r="BS651" s="115"/>
      <c r="BT651" s="115"/>
      <c r="BU651" s="115"/>
      <c r="BV651" s="115"/>
      <c r="BW651" s="115"/>
      <c r="BX651" s="115"/>
      <c r="BY651" s="115"/>
      <c r="BZ651" s="25"/>
      <c r="CA651" s="13"/>
      <c r="CD651" s="114"/>
    </row>
    <row r="652" spans="1:82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29"/>
      <c r="AR652" s="29"/>
      <c r="AX652" s="115"/>
      <c r="AY652" s="115"/>
      <c r="AZ652" s="115"/>
      <c r="BA652" s="115"/>
      <c r="BB652" s="25"/>
      <c r="BC652" s="13"/>
      <c r="BH652" s="116"/>
      <c r="BI652" s="123"/>
      <c r="BJ652" s="123"/>
      <c r="BK652" s="123"/>
      <c r="BP652" s="115"/>
      <c r="BQ652" s="115"/>
      <c r="BR652" s="115"/>
      <c r="BS652" s="115"/>
      <c r="BT652" s="115"/>
      <c r="BU652" s="115"/>
      <c r="BV652" s="115"/>
      <c r="BW652" s="115"/>
      <c r="BX652" s="115"/>
      <c r="BY652" s="115"/>
      <c r="BZ652" s="25"/>
      <c r="CA652" s="13"/>
      <c r="CD652" s="114"/>
    </row>
    <row r="653" spans="1:82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27"/>
      <c r="AR653" s="29"/>
      <c r="AX653" s="115"/>
      <c r="AY653" s="115"/>
      <c r="AZ653" s="115"/>
      <c r="BA653" s="115"/>
      <c r="BB653" s="25"/>
      <c r="BC653" s="13"/>
      <c r="BH653" s="116"/>
      <c r="BI653" s="123"/>
      <c r="BJ653" s="123"/>
      <c r="BK653" s="123"/>
      <c r="BP653" s="115"/>
      <c r="BQ653" s="115"/>
      <c r="BR653" s="115"/>
      <c r="BS653" s="115"/>
      <c r="BT653" s="115"/>
      <c r="BU653" s="115"/>
      <c r="BV653" s="115"/>
      <c r="BW653" s="115"/>
      <c r="BX653" s="115"/>
      <c r="BY653" s="115"/>
      <c r="BZ653" s="25"/>
      <c r="CA653" s="13"/>
      <c r="CD653" s="114"/>
    </row>
    <row r="654" spans="1:82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29"/>
      <c r="AR654" s="29"/>
      <c r="AX654" s="115"/>
      <c r="AY654" s="115"/>
      <c r="AZ654" s="115"/>
      <c r="BA654" s="115"/>
      <c r="BB654" s="25"/>
      <c r="BC654" s="13"/>
      <c r="BH654" s="116"/>
      <c r="BI654" s="123"/>
      <c r="BJ654" s="123"/>
      <c r="BK654" s="123"/>
      <c r="BP654" s="115"/>
      <c r="BQ654" s="115"/>
      <c r="BR654" s="115"/>
      <c r="BS654" s="115"/>
      <c r="BT654" s="115"/>
      <c r="BU654" s="115"/>
      <c r="BV654" s="115"/>
      <c r="BW654" s="115"/>
      <c r="BX654" s="115"/>
      <c r="BY654" s="115"/>
      <c r="BZ654" s="25"/>
      <c r="CA654" s="13"/>
      <c r="CD654" s="114"/>
    </row>
    <row r="655" spans="1:82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Q655" s="127"/>
      <c r="AR655" s="29"/>
      <c r="AV655" s="115"/>
      <c r="AW655" s="115"/>
      <c r="AX655" s="115"/>
      <c r="AY655" s="115"/>
      <c r="AZ655" s="115"/>
      <c r="BA655" s="115"/>
      <c r="BB655" s="25">
        <v>45671</v>
      </c>
      <c r="BC655" s="13" t="s">
        <v>148</v>
      </c>
      <c r="BH655" s="116"/>
      <c r="BI655" s="123"/>
      <c r="BJ655" s="123"/>
      <c r="BK655" s="123"/>
      <c r="BP655" s="115"/>
      <c r="BQ655" s="115"/>
      <c r="BR655" s="115"/>
      <c r="BS655" s="115"/>
      <c r="BT655" s="115"/>
      <c r="BU655" s="115"/>
      <c r="BV655" s="115"/>
      <c r="BW655" s="115"/>
      <c r="BX655" s="115"/>
      <c r="BY655" s="115"/>
      <c r="BZ655" s="25"/>
      <c r="CA655" s="13"/>
      <c r="CD655" s="114"/>
    </row>
    <row r="656" spans="1:82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O656" s="115"/>
      <c r="AP656" s="115"/>
      <c r="AQ656" s="29"/>
      <c r="AR656" s="29"/>
      <c r="AV656" s="115"/>
      <c r="AW656" s="115"/>
      <c r="AX656" s="115"/>
      <c r="AY656" s="115"/>
      <c r="AZ656" s="115"/>
      <c r="BA656" s="115"/>
      <c r="BB656" s="25"/>
      <c r="BC656" s="13"/>
      <c r="BH656" s="116"/>
      <c r="BI656" s="123"/>
      <c r="BJ656" s="123"/>
      <c r="BK656" s="123"/>
      <c r="BP656" s="115"/>
      <c r="BQ656" s="115"/>
      <c r="BR656" s="115"/>
      <c r="BS656" s="115"/>
      <c r="BT656" s="115"/>
      <c r="BU656" s="115"/>
      <c r="BV656" s="115"/>
      <c r="BW656" s="115"/>
      <c r="BX656" s="115"/>
      <c r="BY656" s="115"/>
      <c r="BZ656" s="25"/>
      <c r="CA656" s="13"/>
      <c r="CD656" s="114"/>
    </row>
    <row r="657" spans="1:82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K657" s="115"/>
      <c r="AL657" s="115"/>
      <c r="AM657" s="115"/>
      <c r="AN657" s="115"/>
      <c r="AO657" s="115"/>
      <c r="AP657" s="115"/>
      <c r="AQ657" s="127"/>
      <c r="AR657" s="29"/>
      <c r="AV657" s="115"/>
      <c r="AW657" s="115"/>
      <c r="AX657" s="115"/>
      <c r="AY657" s="115"/>
      <c r="AZ657" s="115"/>
      <c r="BA657" s="115"/>
      <c r="BB657" s="25"/>
      <c r="BC657" s="13"/>
      <c r="BH657" s="116"/>
      <c r="BI657" s="123"/>
      <c r="BJ657" s="123"/>
      <c r="BK657" s="123"/>
      <c r="BP657" s="115"/>
      <c r="BQ657" s="115"/>
      <c r="BR657" s="115"/>
      <c r="BS657" s="115"/>
      <c r="BT657" s="115"/>
      <c r="BU657" s="115"/>
      <c r="BV657" s="115"/>
      <c r="BW657" s="115"/>
      <c r="BX657" s="115"/>
      <c r="BY657" s="115"/>
      <c r="BZ657" s="25"/>
      <c r="CA657" s="13"/>
      <c r="CD657" s="114"/>
    </row>
    <row r="658" spans="1:82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K658" s="115"/>
      <c r="AL658" s="115"/>
      <c r="AM658" s="115"/>
      <c r="AN658" s="115"/>
      <c r="AO658" s="115"/>
      <c r="AP658" s="115"/>
      <c r="AQ658" s="29"/>
      <c r="AR658" s="29"/>
      <c r="AV658" s="115"/>
      <c r="AW658" s="115"/>
      <c r="AX658" s="115"/>
      <c r="AY658" s="115"/>
      <c r="AZ658" s="115"/>
      <c r="BA658" s="115"/>
      <c r="BB658" s="25"/>
      <c r="BC658" s="13"/>
      <c r="BH658" s="116"/>
      <c r="BI658" s="123"/>
      <c r="BJ658" s="123"/>
      <c r="BK658" s="123"/>
      <c r="BP658" s="115"/>
      <c r="BQ658" s="115"/>
      <c r="BR658" s="115"/>
      <c r="BS658" s="115"/>
      <c r="BT658" s="115"/>
      <c r="BU658" s="115"/>
      <c r="BV658" s="115"/>
      <c r="BW658" s="115"/>
      <c r="BX658" s="115"/>
      <c r="BY658" s="115"/>
      <c r="BZ658" s="25"/>
      <c r="CA658" s="13"/>
      <c r="CD658" s="114"/>
    </row>
    <row r="659" spans="1:82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K659" s="115"/>
      <c r="AL659" s="115"/>
      <c r="AM659" s="115"/>
      <c r="AN659" s="115"/>
      <c r="AO659" s="115"/>
      <c r="AP659" s="115"/>
      <c r="AQ659" s="29"/>
      <c r="AR659" s="29"/>
      <c r="AV659" s="115"/>
      <c r="AW659" s="115"/>
      <c r="AX659" s="115"/>
      <c r="AY659" s="115"/>
      <c r="AZ659" s="115"/>
      <c r="BA659" s="115"/>
      <c r="BB659" s="25"/>
      <c r="BC659" s="13"/>
      <c r="BH659" s="116"/>
      <c r="BI659" s="123"/>
      <c r="BJ659" s="123"/>
      <c r="BK659" s="123"/>
      <c r="BP659" s="115"/>
      <c r="BQ659" s="115"/>
      <c r="BR659" s="115"/>
      <c r="BS659" s="115"/>
      <c r="BT659" s="115"/>
      <c r="BU659" s="115"/>
      <c r="BV659" s="115"/>
      <c r="BW659" s="115"/>
      <c r="BX659" s="115"/>
      <c r="BY659" s="115"/>
      <c r="BZ659" s="25"/>
      <c r="CA659" s="13"/>
      <c r="CD659" s="114"/>
    </row>
    <row r="660" spans="1:82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J660" s="115"/>
      <c r="AK660" s="115"/>
      <c r="AL660" s="115"/>
      <c r="AM660" s="115"/>
      <c r="AN660" s="115"/>
      <c r="AO660" s="115"/>
      <c r="AP660" s="115"/>
      <c r="AQ660" s="127"/>
      <c r="AR660" s="29"/>
      <c r="AV660" s="115"/>
      <c r="AW660" s="115"/>
      <c r="AX660" s="115"/>
      <c r="AY660" s="115"/>
      <c r="AZ660" s="115"/>
      <c r="BA660" s="115"/>
      <c r="BB660" s="25"/>
      <c r="BC660" s="13"/>
      <c r="BH660" s="116"/>
      <c r="BI660" s="123"/>
      <c r="BJ660" s="123"/>
      <c r="BK660" s="123"/>
      <c r="BP660" s="115"/>
      <c r="BQ660" s="115"/>
      <c r="BR660" s="115"/>
      <c r="BS660" s="115"/>
      <c r="BT660" s="115"/>
      <c r="BU660" s="115"/>
      <c r="BV660" s="115"/>
      <c r="BW660" s="115"/>
      <c r="BX660" s="115"/>
      <c r="BY660" s="115"/>
      <c r="BZ660" s="25"/>
      <c r="CA660" s="13"/>
      <c r="CD660" s="114"/>
    </row>
    <row r="661" spans="1:82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J661" s="115"/>
      <c r="AK661" s="115"/>
      <c r="AL661" s="115"/>
      <c r="AM661" s="115"/>
      <c r="AN661" s="115"/>
      <c r="AO661" s="115"/>
      <c r="AP661" s="115"/>
      <c r="AQ661" s="127"/>
      <c r="AR661" s="29"/>
      <c r="AV661" s="115"/>
      <c r="AW661" s="115"/>
      <c r="AX661" s="115"/>
      <c r="AY661" s="115"/>
      <c r="AZ661" s="115"/>
      <c r="BA661" s="115"/>
      <c r="BB661" s="25"/>
      <c r="BC661" s="13"/>
      <c r="BH661" s="116"/>
      <c r="BI661" s="123"/>
      <c r="BJ661" s="123"/>
      <c r="BK661" s="123"/>
      <c r="BP661" s="115"/>
      <c r="BQ661" s="115"/>
      <c r="BR661" s="115"/>
      <c r="BS661" s="115"/>
      <c r="BT661" s="115"/>
      <c r="BU661" s="115"/>
      <c r="BV661" s="115"/>
      <c r="BW661" s="115"/>
      <c r="BX661" s="115"/>
      <c r="BY661" s="115"/>
      <c r="BZ661" s="25"/>
      <c r="CA661" s="13"/>
      <c r="CD661" s="114"/>
    </row>
    <row r="662" spans="1:82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J662" s="115"/>
      <c r="AK662" s="115"/>
      <c r="AL662" s="115"/>
      <c r="AM662" s="115"/>
      <c r="AN662" s="115"/>
      <c r="AO662" s="115"/>
      <c r="AP662" s="115"/>
      <c r="AQ662" s="127"/>
      <c r="AR662" s="29"/>
      <c r="AV662" s="115"/>
      <c r="AW662" s="115"/>
      <c r="AX662" s="115"/>
      <c r="AY662" s="115"/>
      <c r="AZ662" s="115"/>
      <c r="BA662" s="115"/>
      <c r="BB662" s="25"/>
      <c r="BC662" s="13"/>
      <c r="BH662" s="116"/>
      <c r="BI662" s="123"/>
      <c r="BJ662" s="123"/>
      <c r="BK662" s="123"/>
      <c r="BP662" s="115"/>
      <c r="BQ662" s="115"/>
      <c r="BR662" s="115"/>
      <c r="BS662" s="115"/>
      <c r="BT662" s="115"/>
      <c r="BU662" s="115"/>
      <c r="BV662" s="115"/>
      <c r="BW662" s="115"/>
      <c r="BX662" s="115"/>
      <c r="BY662" s="115"/>
      <c r="BZ662" s="25"/>
      <c r="CA662" s="13"/>
      <c r="CD662" s="114"/>
    </row>
    <row r="663" spans="1:82" ht="20.100000000000001" customHeight="1" x14ac:dyDescent="0.4">
      <c r="A663" s="117"/>
      <c r="B663" s="123"/>
      <c r="C663" s="123"/>
      <c r="D663" s="123"/>
      <c r="AQ663" s="127"/>
      <c r="AR663" s="29"/>
      <c r="AV663" s="115"/>
      <c r="AW663" s="115"/>
      <c r="AX663" s="115"/>
      <c r="AY663" s="115"/>
      <c r="AZ663" s="115"/>
      <c r="BA663" s="115"/>
      <c r="BB663" s="25"/>
      <c r="BC663" s="13"/>
      <c r="BH663" s="116"/>
      <c r="BI663" s="123"/>
      <c r="BJ663" s="123"/>
      <c r="BK663" s="123"/>
      <c r="BP663" s="115"/>
      <c r="BQ663" s="115"/>
      <c r="BR663" s="115"/>
      <c r="BS663" s="115"/>
      <c r="BT663" s="115"/>
      <c r="BU663" s="115"/>
      <c r="BV663" s="115"/>
      <c r="BW663" s="115"/>
      <c r="BX663" s="115"/>
      <c r="BY663" s="115"/>
      <c r="BZ663" s="25"/>
      <c r="CA663" s="13"/>
      <c r="CD663" s="114"/>
    </row>
    <row r="664" spans="1:82" ht="20.100000000000001" customHeight="1" x14ac:dyDescent="0.4">
      <c r="A664" s="117"/>
      <c r="B664" s="123"/>
      <c r="C664" s="123"/>
      <c r="D664" s="123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27"/>
      <c r="AR664" s="29"/>
      <c r="AV664" s="115"/>
      <c r="AW664" s="115"/>
      <c r="AX664" s="115"/>
      <c r="AY664" s="115"/>
      <c r="AZ664" s="115"/>
      <c r="BA664" s="115"/>
      <c r="BB664" s="25"/>
      <c r="BC664" s="13"/>
      <c r="BH664" s="116"/>
      <c r="BI664" s="123"/>
      <c r="BJ664" s="123"/>
      <c r="BK664" s="123"/>
      <c r="BP664" s="115"/>
      <c r="BQ664" s="115"/>
      <c r="BR664" s="115"/>
      <c r="BS664" s="115"/>
      <c r="BT664" s="115"/>
      <c r="BU664" s="115"/>
      <c r="BV664" s="115"/>
      <c r="BW664" s="115"/>
      <c r="BX664" s="115"/>
      <c r="BY664" s="115"/>
      <c r="BZ664" s="25"/>
      <c r="CA664" s="13"/>
      <c r="CD664" s="114"/>
    </row>
    <row r="665" spans="1:82" ht="20.100000000000001" customHeight="1" x14ac:dyDescent="0.4">
      <c r="A665" s="117"/>
      <c r="B665" s="123"/>
      <c r="C665" s="123"/>
      <c r="D665" s="123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27"/>
      <c r="AR665" s="29"/>
      <c r="AV665" s="115"/>
      <c r="AW665" s="115"/>
      <c r="AX665" s="115"/>
      <c r="AY665" s="115"/>
      <c r="AZ665" s="115"/>
      <c r="BA665" s="115"/>
      <c r="BB665" s="25"/>
      <c r="BC665" s="13"/>
      <c r="BH665" s="116"/>
      <c r="BI665" s="123"/>
      <c r="BJ665" s="123"/>
      <c r="BK665" s="123"/>
      <c r="BP665" s="115"/>
      <c r="BQ665" s="115"/>
      <c r="BR665" s="115"/>
      <c r="BS665" s="115"/>
      <c r="BT665" s="115"/>
      <c r="BU665" s="115"/>
      <c r="BV665" s="115"/>
      <c r="BW665" s="115"/>
      <c r="BX665" s="115"/>
      <c r="BY665" s="115"/>
      <c r="BZ665" s="25"/>
      <c r="CA665" s="13"/>
      <c r="CD665" s="114"/>
    </row>
    <row r="666" spans="1:82" ht="20.100000000000001" customHeight="1" x14ac:dyDescent="0.4">
      <c r="A666" s="117"/>
      <c r="B666" s="123"/>
      <c r="C666" s="123"/>
      <c r="D666" s="123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27"/>
      <c r="AR666" s="29"/>
      <c r="AV666" s="115"/>
      <c r="AW666" s="115"/>
      <c r="AX666" s="115"/>
      <c r="AY666" s="115"/>
      <c r="AZ666" s="115"/>
      <c r="BA666" s="115"/>
      <c r="BB666" s="25"/>
      <c r="BC666" s="13"/>
      <c r="BH666" s="116"/>
      <c r="BI666" s="123"/>
      <c r="BJ666" s="123"/>
      <c r="BK666" s="123"/>
      <c r="BP666" s="115"/>
      <c r="BQ666" s="115"/>
      <c r="BR666" s="115"/>
      <c r="BS666" s="115"/>
      <c r="BT666" s="115"/>
      <c r="BU666" s="115"/>
      <c r="BV666" s="115"/>
      <c r="BW666" s="115"/>
      <c r="BX666" s="115"/>
      <c r="BY666" s="115"/>
      <c r="BZ666" s="25"/>
      <c r="CA666" s="13"/>
      <c r="CD666" s="114"/>
    </row>
    <row r="667" spans="1:82" ht="20.100000000000001" customHeight="1" x14ac:dyDescent="0.4">
      <c r="A667" s="117"/>
      <c r="B667" s="123"/>
      <c r="C667" s="123"/>
      <c r="D667" s="123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29"/>
      <c r="AR667" s="29"/>
      <c r="AV667" s="115"/>
      <c r="AW667" s="115"/>
      <c r="AX667" s="115"/>
      <c r="AY667" s="115"/>
      <c r="AZ667" s="115"/>
      <c r="BA667" s="115"/>
      <c r="BB667" s="25"/>
      <c r="BC667" s="13"/>
      <c r="BH667" s="116"/>
      <c r="BI667" s="123"/>
      <c r="BJ667" s="123"/>
      <c r="BK667" s="123"/>
      <c r="BP667" s="115"/>
      <c r="BQ667" s="115"/>
      <c r="BR667" s="115"/>
      <c r="BS667" s="115"/>
      <c r="BT667" s="115"/>
      <c r="BU667" s="115"/>
      <c r="BV667" s="115"/>
      <c r="BW667" s="115"/>
      <c r="BX667" s="115"/>
      <c r="BY667" s="115"/>
      <c r="BZ667" s="25"/>
      <c r="CA667" s="13"/>
      <c r="CD667" s="114"/>
    </row>
    <row r="668" spans="1:82" ht="20.100000000000001" customHeight="1" x14ac:dyDescent="0.4">
      <c r="A668" s="117"/>
      <c r="B668" s="123"/>
      <c r="C668" s="123"/>
      <c r="D668" s="123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27"/>
      <c r="AR668" s="29"/>
      <c r="AV668" s="115"/>
      <c r="AW668" s="115"/>
      <c r="AX668" s="115"/>
      <c r="AY668" s="115"/>
      <c r="AZ668" s="115"/>
      <c r="BA668" s="115"/>
      <c r="BB668" s="25"/>
      <c r="BC668" s="13"/>
      <c r="BH668" s="116"/>
      <c r="BI668" s="123"/>
      <c r="BJ668" s="123"/>
      <c r="BK668" s="123"/>
      <c r="BP668" s="115"/>
      <c r="BQ668" s="115"/>
      <c r="BR668" s="115"/>
      <c r="BS668" s="115"/>
      <c r="BT668" s="115"/>
      <c r="BU668" s="115"/>
      <c r="BV668" s="115"/>
      <c r="BW668" s="115"/>
      <c r="BX668" s="115"/>
      <c r="BY668" s="115"/>
      <c r="BZ668" s="25"/>
      <c r="CA668" s="13"/>
      <c r="CD668" s="114"/>
    </row>
    <row r="669" spans="1:82" ht="20.100000000000001" customHeight="1" x14ac:dyDescent="0.4">
      <c r="A669" s="117"/>
      <c r="B669" s="123"/>
      <c r="C669" s="123"/>
      <c r="D669" s="123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27"/>
      <c r="AR669" s="29"/>
      <c r="AV669" s="115"/>
      <c r="AW669" s="115"/>
      <c r="AX669" s="115"/>
      <c r="AY669" s="115"/>
      <c r="AZ669" s="115"/>
      <c r="BA669" s="115"/>
      <c r="BB669" s="25"/>
      <c r="BC669" s="13"/>
      <c r="BH669" s="116"/>
      <c r="BI669" s="123"/>
      <c r="BJ669" s="123"/>
      <c r="BK669" s="123"/>
      <c r="BP669" s="115"/>
      <c r="BQ669" s="115"/>
      <c r="BR669" s="115"/>
      <c r="BS669" s="115"/>
      <c r="BT669" s="115"/>
      <c r="BU669" s="115"/>
      <c r="BV669" s="115"/>
      <c r="BW669" s="115"/>
      <c r="BX669" s="115"/>
      <c r="BY669" s="115"/>
      <c r="BZ669" s="25"/>
      <c r="CA669" s="13"/>
      <c r="CD669" s="114"/>
    </row>
    <row r="670" spans="1:82" ht="20.100000000000001" customHeight="1" x14ac:dyDescent="0.4">
      <c r="A670" s="117"/>
      <c r="B670" s="123"/>
      <c r="C670" s="123"/>
      <c r="D670" s="123"/>
      <c r="AQ670" s="127"/>
      <c r="AR670" s="29"/>
      <c r="AV670" s="115"/>
      <c r="AW670" s="115"/>
      <c r="AX670" s="115"/>
      <c r="AY670" s="115"/>
      <c r="AZ670" s="115"/>
      <c r="BA670" s="115"/>
      <c r="BB670" s="25"/>
      <c r="BC670" s="13"/>
      <c r="BH670" s="116"/>
      <c r="BI670" s="123"/>
      <c r="BJ670" s="123"/>
      <c r="BK670" s="123"/>
      <c r="BP670" s="115"/>
      <c r="BQ670" s="115"/>
      <c r="BR670" s="115"/>
      <c r="BS670" s="115"/>
      <c r="BT670" s="115"/>
      <c r="BU670" s="115"/>
      <c r="BV670" s="115"/>
      <c r="BW670" s="115"/>
      <c r="BX670" s="115"/>
      <c r="BY670" s="115"/>
      <c r="BZ670" s="25"/>
      <c r="CA670" s="13"/>
      <c r="CD670" s="114"/>
    </row>
    <row r="671" spans="1:82" ht="20.100000000000001" customHeight="1" x14ac:dyDescent="0.4">
      <c r="A671" s="117"/>
      <c r="B671" s="123"/>
      <c r="C671" s="123"/>
      <c r="D671" s="123"/>
      <c r="AM671" s="115"/>
      <c r="AN671" s="115"/>
      <c r="AO671" s="115"/>
      <c r="AP671" s="115"/>
      <c r="AQ671" s="127"/>
      <c r="AR671" s="29"/>
      <c r="AV671" s="115"/>
      <c r="AW671" s="115"/>
      <c r="AX671" s="115"/>
      <c r="AY671" s="115"/>
      <c r="AZ671" s="115"/>
      <c r="BA671" s="115"/>
      <c r="BB671" s="25"/>
      <c r="BC671" s="13"/>
      <c r="BH671" s="116"/>
      <c r="BI671" s="123"/>
      <c r="BJ671" s="123"/>
      <c r="BK671" s="123"/>
      <c r="BP671" s="115"/>
      <c r="BQ671" s="115"/>
      <c r="BR671" s="115"/>
      <c r="BS671" s="115"/>
      <c r="BT671" s="115"/>
      <c r="BU671" s="115"/>
      <c r="BV671" s="115"/>
      <c r="BW671" s="115"/>
      <c r="BX671" s="115"/>
      <c r="BY671" s="115"/>
      <c r="BZ671" s="25"/>
      <c r="CA671" s="13"/>
      <c r="CD671" s="114"/>
    </row>
    <row r="672" spans="1:82" ht="20.100000000000001" customHeight="1" x14ac:dyDescent="0.4">
      <c r="A672" s="117"/>
      <c r="B672" s="123"/>
      <c r="C672" s="123"/>
      <c r="D672" s="123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27"/>
      <c r="AR672" s="29"/>
      <c r="AV672" s="115"/>
      <c r="AW672" s="115"/>
      <c r="AX672" s="115"/>
      <c r="AY672" s="115"/>
      <c r="AZ672" s="115"/>
      <c r="BA672" s="115"/>
      <c r="BB672" s="25"/>
      <c r="BC672" s="13"/>
      <c r="BH672" s="116"/>
      <c r="BI672" s="123"/>
      <c r="BJ672" s="123"/>
      <c r="BK672" s="123"/>
      <c r="BP672" s="115"/>
      <c r="BQ672" s="115"/>
      <c r="BR672" s="115"/>
      <c r="BS672" s="115"/>
      <c r="BT672" s="115"/>
      <c r="BU672" s="115"/>
      <c r="BV672" s="115"/>
      <c r="BW672" s="115"/>
      <c r="BX672" s="115"/>
      <c r="BY672" s="115"/>
      <c r="BZ672" s="25"/>
      <c r="CA672" s="13"/>
      <c r="CD672" s="114"/>
    </row>
    <row r="673" spans="1:82" ht="20.100000000000001" customHeight="1" x14ac:dyDescent="0.4">
      <c r="A673" s="117"/>
      <c r="B673" s="123"/>
      <c r="C673" s="123"/>
      <c r="D673" s="123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27"/>
      <c r="AR673" s="29"/>
      <c r="AV673" s="115"/>
      <c r="AW673" s="115"/>
      <c r="AX673" s="115"/>
      <c r="AY673" s="115"/>
      <c r="AZ673" s="115"/>
      <c r="BA673" s="115"/>
      <c r="BB673" s="25"/>
      <c r="BC673" s="13"/>
      <c r="BH673" s="116"/>
      <c r="BI673" s="123"/>
      <c r="BJ673" s="123"/>
      <c r="BK673" s="123"/>
      <c r="BP673" s="115"/>
      <c r="BQ673" s="115"/>
      <c r="BR673" s="115"/>
      <c r="BS673" s="115"/>
      <c r="BT673" s="115"/>
      <c r="BU673" s="115"/>
      <c r="BV673" s="115"/>
      <c r="BW673" s="115"/>
      <c r="BX673" s="115"/>
      <c r="BY673" s="115"/>
      <c r="BZ673" s="25"/>
      <c r="CA673" s="13"/>
      <c r="CD673" s="114"/>
    </row>
    <row r="674" spans="1:82" ht="20.100000000000001" customHeight="1" x14ac:dyDescent="0.4">
      <c r="A674" s="117"/>
      <c r="B674" s="123"/>
      <c r="C674" s="123"/>
      <c r="D674" s="123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27"/>
      <c r="AR674" s="29"/>
      <c r="AV674" s="115"/>
      <c r="AW674" s="115"/>
      <c r="AX674" s="115"/>
      <c r="AY674" s="115"/>
      <c r="AZ674" s="115"/>
      <c r="BA674" s="115"/>
      <c r="BB674" s="25"/>
      <c r="BC674" s="13"/>
      <c r="BH674" s="116"/>
      <c r="BI674" s="123"/>
      <c r="BJ674" s="123"/>
      <c r="BK674" s="123"/>
      <c r="BP674" s="115"/>
      <c r="BQ674" s="115"/>
      <c r="BR674" s="115"/>
      <c r="BS674" s="115"/>
      <c r="BT674" s="115"/>
      <c r="BU674" s="115"/>
      <c r="BV674" s="115"/>
      <c r="BW674" s="115"/>
      <c r="BX674" s="115"/>
      <c r="BY674" s="115"/>
      <c r="BZ674" s="25"/>
      <c r="CA674" s="13"/>
      <c r="CD674" s="114"/>
    </row>
    <row r="675" spans="1:82" ht="20.100000000000001" customHeight="1" x14ac:dyDescent="0.4">
      <c r="A675" s="117"/>
      <c r="B675" s="123"/>
      <c r="C675" s="123"/>
      <c r="D675" s="123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27"/>
      <c r="AR675" s="29"/>
      <c r="AV675" s="115"/>
      <c r="AW675" s="115"/>
      <c r="AX675" s="115"/>
      <c r="AY675" s="115"/>
      <c r="AZ675" s="115"/>
      <c r="BA675" s="115"/>
      <c r="BB675" s="25"/>
      <c r="BC675" s="13"/>
      <c r="BH675" s="116"/>
      <c r="BI675" s="123"/>
      <c r="BJ675" s="123"/>
      <c r="BK675" s="123"/>
      <c r="BP675" s="115"/>
      <c r="BQ675" s="115"/>
      <c r="BR675" s="115"/>
      <c r="BS675" s="115"/>
      <c r="BT675" s="115"/>
      <c r="BU675" s="115"/>
      <c r="BV675" s="115"/>
      <c r="BW675" s="115"/>
      <c r="BX675" s="115"/>
      <c r="BY675" s="115"/>
      <c r="BZ675" s="25"/>
      <c r="CA675" s="13"/>
      <c r="CD675" s="114"/>
    </row>
    <row r="676" spans="1:82" ht="20.100000000000001" customHeight="1" x14ac:dyDescent="0.4">
      <c r="A676" s="117"/>
      <c r="B676" s="123"/>
      <c r="C676" s="123"/>
      <c r="D676" s="123"/>
      <c r="AQ676" s="127"/>
      <c r="AR676" s="29"/>
      <c r="AV676" s="115"/>
      <c r="AW676" s="115"/>
      <c r="AX676" s="115"/>
      <c r="AY676" s="115"/>
      <c r="AZ676" s="115"/>
      <c r="BA676" s="115"/>
      <c r="BB676" s="25"/>
      <c r="BC676" s="13"/>
      <c r="BH676" s="116"/>
      <c r="BI676" s="123"/>
      <c r="BJ676" s="123"/>
      <c r="BK676" s="123"/>
      <c r="BP676" s="115"/>
      <c r="BQ676" s="115"/>
      <c r="BR676" s="115"/>
      <c r="BS676" s="115"/>
      <c r="BT676" s="115"/>
      <c r="BU676" s="115"/>
      <c r="BV676" s="115"/>
      <c r="BW676" s="115"/>
      <c r="BX676" s="115"/>
      <c r="BY676" s="115"/>
      <c r="BZ676" s="25"/>
      <c r="CA676" s="13"/>
      <c r="CD676" s="114"/>
    </row>
    <row r="677" spans="1:82" ht="20.100000000000001" customHeight="1" x14ac:dyDescent="0.4">
      <c r="A677" s="117"/>
      <c r="B677" s="123"/>
      <c r="C677" s="123"/>
      <c r="D677" s="123"/>
      <c r="AM677" s="115"/>
      <c r="AN677" s="115"/>
      <c r="AO677" s="115"/>
      <c r="AP677" s="115"/>
      <c r="AQ677" s="127"/>
      <c r="AR677" s="29"/>
      <c r="AV677" s="115"/>
      <c r="AW677" s="115"/>
      <c r="AX677" s="115"/>
      <c r="AY677" s="115"/>
      <c r="AZ677" s="115"/>
      <c r="BA677" s="115"/>
      <c r="BB677" s="25"/>
      <c r="BC677" s="13"/>
      <c r="BH677" s="116"/>
      <c r="BI677" s="123"/>
      <c r="BJ677" s="123"/>
      <c r="BK677" s="123"/>
      <c r="BP677" s="115"/>
      <c r="BQ677" s="115"/>
      <c r="BR677" s="115"/>
      <c r="BS677" s="115"/>
      <c r="BT677" s="115"/>
      <c r="BU677" s="115"/>
      <c r="BV677" s="115"/>
      <c r="BW677" s="115"/>
      <c r="BX677" s="115"/>
      <c r="BY677" s="115"/>
      <c r="BZ677" s="25"/>
      <c r="CA677" s="13"/>
      <c r="CD677" s="114"/>
    </row>
    <row r="678" spans="1:82" ht="20.100000000000001" customHeight="1" x14ac:dyDescent="0.4">
      <c r="A678" s="117"/>
      <c r="B678" s="123"/>
      <c r="C678" s="123"/>
      <c r="D678" s="123"/>
      <c r="AM678" s="115"/>
      <c r="AN678" s="115"/>
      <c r="AO678" s="115"/>
      <c r="AP678" s="115"/>
      <c r="AQ678" s="29"/>
      <c r="AR678" s="29"/>
      <c r="AV678" s="115"/>
      <c r="AW678" s="115"/>
      <c r="AX678" s="115"/>
      <c r="AY678" s="115"/>
      <c r="AZ678" s="115"/>
      <c r="BA678" s="115"/>
      <c r="BB678" s="25"/>
      <c r="BC678" s="13"/>
      <c r="BH678" s="116"/>
      <c r="BI678" s="123"/>
      <c r="BJ678" s="123"/>
      <c r="BK678" s="123"/>
      <c r="BP678" s="115"/>
      <c r="BQ678" s="115"/>
      <c r="BR678" s="115"/>
      <c r="BS678" s="115"/>
      <c r="BT678" s="115"/>
      <c r="BU678" s="115"/>
      <c r="BV678" s="115"/>
      <c r="BW678" s="115"/>
      <c r="BX678" s="115"/>
      <c r="BY678" s="115"/>
      <c r="BZ678" s="25"/>
      <c r="CA678" s="13"/>
      <c r="CD678" s="114"/>
    </row>
    <row r="679" spans="1:82" ht="20.100000000000001" customHeight="1" x14ac:dyDescent="0.4">
      <c r="A679" s="117"/>
      <c r="B679" s="123"/>
      <c r="C679" s="123"/>
      <c r="D679" s="123"/>
      <c r="AM679" s="115"/>
      <c r="AN679" s="115"/>
      <c r="AO679" s="115"/>
      <c r="AP679" s="115"/>
      <c r="AQ679" s="127"/>
      <c r="AR679" s="29"/>
      <c r="AV679" s="115"/>
      <c r="AW679" s="115"/>
      <c r="AX679" s="115"/>
      <c r="AY679" s="115"/>
      <c r="AZ679" s="115"/>
      <c r="BA679" s="115"/>
      <c r="BB679" s="25"/>
      <c r="BC679" s="13"/>
      <c r="BH679" s="116"/>
      <c r="BI679" s="123"/>
      <c r="BJ679" s="123"/>
      <c r="BK679" s="123"/>
      <c r="BP679" s="115"/>
      <c r="BQ679" s="115"/>
      <c r="BR679" s="115"/>
      <c r="BS679" s="115"/>
      <c r="BT679" s="115"/>
      <c r="BU679" s="115"/>
      <c r="BV679" s="115"/>
      <c r="BW679" s="115"/>
      <c r="BX679" s="115"/>
      <c r="BY679" s="115"/>
      <c r="BZ679" s="25"/>
      <c r="CA679" s="13"/>
      <c r="CD679" s="114"/>
    </row>
    <row r="680" spans="1:82" ht="20.100000000000001" customHeight="1" x14ac:dyDescent="0.4">
      <c r="A680" s="117"/>
      <c r="B680" s="123"/>
      <c r="C680" s="123"/>
      <c r="D680" s="123"/>
      <c r="AM680" s="115"/>
      <c r="AN680" s="115"/>
      <c r="AO680" s="115"/>
      <c r="AP680" s="115"/>
      <c r="AQ680" s="29"/>
      <c r="AR680" s="29"/>
      <c r="AV680" s="115"/>
      <c r="AW680" s="115"/>
      <c r="AX680" s="115"/>
      <c r="AY680" s="115"/>
      <c r="AZ680" s="115"/>
      <c r="BA680" s="115"/>
      <c r="BB680" s="25"/>
      <c r="BC680" s="13"/>
      <c r="BH680" s="116"/>
      <c r="BI680" s="123"/>
      <c r="BJ680" s="123"/>
      <c r="BK680" s="123"/>
      <c r="BP680" s="115"/>
      <c r="BQ680" s="115"/>
      <c r="BR680" s="115"/>
      <c r="BS680" s="115"/>
      <c r="BT680" s="115"/>
      <c r="BU680" s="115"/>
      <c r="BV680" s="115"/>
      <c r="BW680" s="115"/>
      <c r="BX680" s="115"/>
      <c r="BY680" s="115"/>
      <c r="BZ680" s="25"/>
      <c r="CA680" s="13"/>
      <c r="CD680" s="114"/>
    </row>
    <row r="681" spans="1:82" ht="20.100000000000001" customHeight="1" x14ac:dyDescent="0.4">
      <c r="A681" s="117"/>
      <c r="B681" s="123"/>
      <c r="C681" s="123"/>
      <c r="D681" s="123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27"/>
      <c r="AR681" s="29"/>
      <c r="AV681" s="115"/>
      <c r="AW681" s="115"/>
      <c r="AX681" s="115"/>
      <c r="AY681" s="115"/>
      <c r="AZ681" s="115"/>
      <c r="BA681" s="115"/>
      <c r="BB681" s="25"/>
      <c r="BC681" s="13"/>
      <c r="BH681" s="116"/>
      <c r="BI681" s="123"/>
      <c r="BJ681" s="123"/>
      <c r="BK681" s="123"/>
      <c r="BP681" s="115"/>
      <c r="BQ681" s="115"/>
      <c r="BR681" s="115"/>
      <c r="BS681" s="115"/>
      <c r="BT681" s="115"/>
      <c r="BU681" s="115"/>
      <c r="BV681" s="115"/>
      <c r="BW681" s="115"/>
      <c r="BX681" s="115"/>
      <c r="BY681" s="115"/>
      <c r="BZ681" s="25"/>
      <c r="CA681" s="13"/>
      <c r="CD681" s="114"/>
    </row>
    <row r="682" spans="1:82" ht="20.100000000000001" customHeight="1" x14ac:dyDescent="0.4">
      <c r="A682" s="117"/>
      <c r="B682" s="123"/>
      <c r="C682" s="123"/>
      <c r="D682" s="123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27"/>
      <c r="AR682" s="29"/>
      <c r="AV682" s="115"/>
      <c r="AW682" s="115"/>
      <c r="AX682" s="115"/>
      <c r="AY682" s="115"/>
      <c r="AZ682" s="115"/>
      <c r="BA682" s="115"/>
      <c r="BB682" s="25"/>
      <c r="BC682" s="13"/>
      <c r="BH682" s="116"/>
      <c r="BI682" s="123"/>
      <c r="BJ682" s="123"/>
      <c r="BK682" s="123"/>
      <c r="BP682" s="115"/>
      <c r="BQ682" s="115"/>
      <c r="BR682" s="115"/>
      <c r="BS682" s="115"/>
      <c r="BT682" s="115"/>
      <c r="BU682" s="115"/>
      <c r="BV682" s="115"/>
      <c r="BW682" s="115"/>
      <c r="BX682" s="115"/>
      <c r="BY682" s="115"/>
      <c r="BZ682" s="25"/>
      <c r="CA682" s="13"/>
      <c r="CD682" s="114"/>
    </row>
    <row r="683" spans="1:82" ht="20.100000000000001" customHeight="1" x14ac:dyDescent="0.4">
      <c r="A683" s="117"/>
      <c r="B683" s="123"/>
      <c r="C683" s="123"/>
      <c r="D683" s="123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27"/>
      <c r="AR683" s="29"/>
      <c r="AV683" s="115"/>
      <c r="AW683" s="115"/>
      <c r="AX683" s="115"/>
      <c r="AY683" s="115"/>
      <c r="AZ683" s="115"/>
      <c r="BA683" s="115"/>
      <c r="BB683" s="25"/>
      <c r="BC683" s="13"/>
      <c r="BH683" s="116"/>
      <c r="BI683" s="123"/>
      <c r="BJ683" s="123"/>
      <c r="BK683" s="123"/>
      <c r="BP683" s="115"/>
      <c r="BQ683" s="115"/>
      <c r="BR683" s="115"/>
      <c r="BS683" s="115"/>
      <c r="BT683" s="115"/>
      <c r="BU683" s="115"/>
      <c r="BV683" s="115"/>
      <c r="BW683" s="115"/>
      <c r="BX683" s="115"/>
      <c r="BY683" s="115"/>
      <c r="BZ683" s="25"/>
      <c r="CA683" s="13"/>
      <c r="CD683" s="114"/>
    </row>
    <row r="684" spans="1:82" ht="20.100000000000001" customHeight="1" x14ac:dyDescent="0.4">
      <c r="A684" s="117"/>
      <c r="B684" s="123"/>
      <c r="C684" s="123"/>
      <c r="D684" s="123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27"/>
      <c r="AR684" s="29"/>
      <c r="AV684" s="115"/>
      <c r="AW684" s="115"/>
      <c r="AX684" s="115"/>
      <c r="AY684" s="115"/>
      <c r="AZ684" s="115"/>
      <c r="BA684" s="115"/>
      <c r="BB684" s="25"/>
      <c r="BC684" s="13"/>
      <c r="BH684" s="116"/>
      <c r="BI684" s="123"/>
      <c r="BJ684" s="123"/>
      <c r="BK684" s="123"/>
      <c r="BP684" s="115"/>
      <c r="BQ684" s="115"/>
      <c r="BR684" s="115"/>
      <c r="BS684" s="115"/>
      <c r="BT684" s="115"/>
      <c r="BU684" s="115"/>
      <c r="BV684" s="115"/>
      <c r="BW684" s="115"/>
      <c r="BX684" s="115"/>
      <c r="BY684" s="115"/>
      <c r="BZ684" s="25"/>
      <c r="CA684" s="13"/>
      <c r="CD684" s="114"/>
    </row>
    <row r="685" spans="1:82" ht="20.100000000000001" customHeight="1" x14ac:dyDescent="0.4">
      <c r="A685" s="117"/>
      <c r="B685" s="123"/>
      <c r="C685" s="123"/>
      <c r="D685" s="123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29"/>
      <c r="AR685" s="29"/>
      <c r="AV685" s="115"/>
      <c r="AW685" s="115"/>
      <c r="AX685" s="115"/>
      <c r="AY685" s="115"/>
      <c r="AZ685" s="115"/>
      <c r="BA685" s="115"/>
      <c r="BB685" s="25"/>
      <c r="BC685" s="13"/>
      <c r="BH685" s="116"/>
      <c r="BI685" s="123"/>
      <c r="BJ685" s="123"/>
      <c r="BK685" s="123"/>
      <c r="BP685" s="115"/>
      <c r="BQ685" s="115"/>
      <c r="BR685" s="115"/>
      <c r="BS685" s="115"/>
      <c r="BT685" s="115"/>
      <c r="BU685" s="115"/>
      <c r="BV685" s="115"/>
      <c r="BW685" s="115"/>
      <c r="BX685" s="115"/>
      <c r="BY685" s="115"/>
      <c r="BZ685" s="25"/>
      <c r="CA685" s="13"/>
      <c r="CD685" s="114"/>
    </row>
    <row r="686" spans="1:82" ht="20.100000000000001" customHeight="1" x14ac:dyDescent="0.4">
      <c r="A686" s="117"/>
      <c r="B686" s="123"/>
      <c r="C686" s="123"/>
      <c r="D686" s="123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27"/>
      <c r="AR686" s="29"/>
      <c r="AV686" s="115"/>
      <c r="AW686" s="115"/>
      <c r="AX686" s="115"/>
      <c r="AY686" s="115"/>
      <c r="AZ686" s="115"/>
      <c r="BA686" s="115"/>
      <c r="BB686" s="25"/>
      <c r="BC686" s="13"/>
      <c r="BH686" s="116"/>
      <c r="BI686" s="123"/>
      <c r="BJ686" s="123"/>
      <c r="BK686" s="123"/>
      <c r="BP686" s="115"/>
      <c r="BQ686" s="115"/>
      <c r="BR686" s="115"/>
      <c r="BS686" s="115"/>
      <c r="BT686" s="115"/>
      <c r="BU686" s="115"/>
      <c r="BV686" s="115"/>
      <c r="BW686" s="115"/>
      <c r="BX686" s="115"/>
      <c r="BY686" s="115"/>
      <c r="BZ686" s="25"/>
      <c r="CA686" s="13"/>
      <c r="CD686" s="114"/>
    </row>
    <row r="687" spans="1:82" ht="20.100000000000001" customHeight="1" x14ac:dyDescent="0.4">
      <c r="A687" s="117"/>
      <c r="B687" s="123"/>
      <c r="C687" s="123"/>
      <c r="D687" s="123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27"/>
      <c r="AR687" s="29"/>
      <c r="AV687" s="115"/>
      <c r="AW687" s="115"/>
      <c r="AX687" s="115"/>
      <c r="AY687" s="115"/>
      <c r="AZ687" s="115"/>
      <c r="BA687" s="115"/>
      <c r="BB687" s="25"/>
      <c r="BC687" s="13"/>
      <c r="BH687" s="116"/>
      <c r="BI687" s="123"/>
      <c r="BJ687" s="123"/>
      <c r="BK687" s="123"/>
      <c r="BP687" s="115"/>
      <c r="BQ687" s="115"/>
      <c r="BR687" s="115"/>
      <c r="BS687" s="115"/>
      <c r="BT687" s="115"/>
      <c r="BU687" s="115"/>
      <c r="BV687" s="115"/>
      <c r="BW687" s="115"/>
      <c r="BX687" s="115"/>
      <c r="BY687" s="115"/>
      <c r="BZ687" s="25"/>
      <c r="CA687" s="13"/>
      <c r="CD687" s="114"/>
    </row>
    <row r="688" spans="1:82" ht="20.100000000000001" customHeight="1" x14ac:dyDescent="0.4">
      <c r="A688" s="117"/>
      <c r="B688" s="123"/>
      <c r="C688" s="123"/>
      <c r="D688" s="123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29"/>
      <c r="AR688" s="29"/>
      <c r="AV688" s="115"/>
      <c r="AW688" s="115"/>
      <c r="AX688" s="115"/>
      <c r="AY688" s="115"/>
      <c r="AZ688" s="115"/>
      <c r="BA688" s="115"/>
      <c r="BB688" s="25"/>
      <c r="BC688" s="13"/>
      <c r="BH688" s="116"/>
      <c r="BI688" s="123"/>
      <c r="BJ688" s="123"/>
      <c r="BK688" s="123"/>
      <c r="BP688" s="115"/>
      <c r="BQ688" s="115"/>
      <c r="BR688" s="115"/>
      <c r="BS688" s="115"/>
      <c r="BT688" s="115"/>
      <c r="BU688" s="115"/>
      <c r="BV688" s="115"/>
      <c r="BW688" s="115"/>
      <c r="BX688" s="115"/>
      <c r="BY688" s="115"/>
      <c r="BZ688" s="25"/>
      <c r="CA688" s="13"/>
      <c r="CD688" s="114"/>
    </row>
    <row r="689" spans="1:82" ht="20.100000000000001" customHeight="1" x14ac:dyDescent="0.4">
      <c r="A689" s="117"/>
      <c r="B689" s="123"/>
      <c r="C689" s="123"/>
      <c r="D689" s="123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27"/>
      <c r="AR689" s="29"/>
      <c r="AV689" s="115"/>
      <c r="AW689" s="115"/>
      <c r="AX689" s="115"/>
      <c r="AY689" s="115"/>
      <c r="AZ689" s="115"/>
      <c r="BA689" s="115"/>
      <c r="BB689" s="25"/>
      <c r="BC689" s="13"/>
      <c r="BH689" s="116"/>
      <c r="BI689" s="123"/>
      <c r="BJ689" s="123"/>
      <c r="BK689" s="123"/>
      <c r="BP689" s="115"/>
      <c r="BQ689" s="115"/>
      <c r="BR689" s="115"/>
      <c r="BS689" s="115"/>
      <c r="BT689" s="115"/>
      <c r="BU689" s="115"/>
      <c r="BV689" s="115"/>
      <c r="BW689" s="115"/>
      <c r="BX689" s="115"/>
      <c r="BY689" s="115"/>
      <c r="BZ689" s="25"/>
      <c r="CA689" s="13"/>
      <c r="CD689" s="114"/>
    </row>
    <row r="690" spans="1:82" ht="20.100000000000001" customHeight="1" x14ac:dyDescent="0.4">
      <c r="A690" s="117"/>
      <c r="B690" s="123"/>
      <c r="C690" s="123"/>
      <c r="D690" s="123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29"/>
      <c r="AR690" s="29"/>
      <c r="AV690" s="115"/>
      <c r="AW690" s="115"/>
      <c r="AX690" s="115"/>
      <c r="AY690" s="115"/>
      <c r="AZ690" s="115"/>
      <c r="BA690" s="115"/>
      <c r="BB690" s="25"/>
      <c r="BC690" s="13"/>
      <c r="BH690" s="116"/>
      <c r="BI690" s="123"/>
      <c r="BJ690" s="123"/>
      <c r="BK690" s="123"/>
      <c r="BP690" s="115"/>
      <c r="BQ690" s="115"/>
      <c r="BR690" s="115"/>
      <c r="BS690" s="115"/>
      <c r="BT690" s="115"/>
      <c r="BU690" s="115"/>
      <c r="BV690" s="115"/>
      <c r="BW690" s="115"/>
      <c r="BX690" s="115"/>
      <c r="BY690" s="115"/>
      <c r="BZ690" s="25"/>
      <c r="CA690" s="13"/>
      <c r="CD690" s="114"/>
    </row>
    <row r="691" spans="1:82" ht="20.100000000000001" customHeight="1" x14ac:dyDescent="0.4">
      <c r="A691" s="117"/>
      <c r="B691" s="123"/>
      <c r="C691" s="123"/>
      <c r="D691" s="123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29"/>
      <c r="AR691" s="29"/>
      <c r="AV691" s="115"/>
      <c r="AW691" s="115"/>
      <c r="AX691" s="115"/>
      <c r="AY691" s="115"/>
      <c r="AZ691" s="115"/>
      <c r="BA691" s="115"/>
      <c r="BB691" s="25"/>
      <c r="BC691" s="13"/>
      <c r="BH691" s="116"/>
      <c r="BI691" s="123"/>
      <c r="BJ691" s="123"/>
      <c r="BK691" s="123"/>
      <c r="BP691" s="115"/>
      <c r="BQ691" s="115"/>
      <c r="BR691" s="115"/>
      <c r="BS691" s="115"/>
      <c r="BT691" s="115"/>
      <c r="BU691" s="115"/>
      <c r="BV691" s="115"/>
      <c r="BW691" s="115"/>
      <c r="BX691" s="115"/>
      <c r="BY691" s="115"/>
      <c r="BZ691" s="25"/>
      <c r="CA691" s="13"/>
      <c r="CD691" s="114"/>
    </row>
    <row r="692" spans="1:82" ht="20.100000000000001" customHeight="1" x14ac:dyDescent="0.4">
      <c r="A692" s="117"/>
      <c r="B692" s="123"/>
      <c r="C692" s="123"/>
      <c r="D692" s="123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27"/>
      <c r="AR692" s="29"/>
      <c r="AV692" s="115"/>
      <c r="AW692" s="115"/>
      <c r="AX692" s="115"/>
      <c r="AY692" s="115"/>
      <c r="AZ692" s="115"/>
      <c r="BA692" s="115"/>
      <c r="BB692" s="25"/>
      <c r="BC692" s="13"/>
      <c r="BH692" s="116"/>
      <c r="BI692" s="123"/>
      <c r="BJ692" s="123"/>
      <c r="BK692" s="123"/>
      <c r="BP692" s="115"/>
      <c r="BQ692" s="115"/>
      <c r="BR692" s="115"/>
      <c r="BS692" s="115"/>
      <c r="BT692" s="115"/>
      <c r="BU692" s="115"/>
      <c r="BV692" s="115"/>
      <c r="BW692" s="115"/>
      <c r="BX692" s="115"/>
      <c r="BY692" s="115"/>
      <c r="BZ692" s="25"/>
      <c r="CA692" s="13"/>
      <c r="CD692" s="114"/>
    </row>
    <row r="693" spans="1:82" ht="20.100000000000001" customHeight="1" x14ac:dyDescent="0.4">
      <c r="A693" s="117"/>
      <c r="B693" s="123"/>
      <c r="C693" s="123"/>
      <c r="D693" s="123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29"/>
      <c r="AR693" s="29"/>
      <c r="AV693" s="115"/>
      <c r="AW693" s="115"/>
      <c r="AX693" s="115"/>
      <c r="AY693" s="115"/>
      <c r="AZ693" s="115"/>
      <c r="BA693" s="115"/>
      <c r="BB693" s="25"/>
      <c r="BC693" s="13"/>
      <c r="BH693" s="116"/>
      <c r="BI693" s="123"/>
      <c r="BJ693" s="123"/>
      <c r="BK693" s="123"/>
      <c r="BP693" s="115"/>
      <c r="BQ693" s="115"/>
      <c r="BR693" s="115"/>
      <c r="BS693" s="115"/>
      <c r="BT693" s="115"/>
      <c r="BU693" s="115"/>
      <c r="BV693" s="115"/>
      <c r="BW693" s="115"/>
      <c r="BX693" s="115"/>
      <c r="BY693" s="115"/>
      <c r="BZ693" s="25"/>
      <c r="CA693" s="13"/>
      <c r="CD693" s="114"/>
    </row>
    <row r="694" spans="1:82" ht="20.100000000000001" customHeight="1" x14ac:dyDescent="0.4">
      <c r="A694" s="117"/>
      <c r="B694" s="123"/>
      <c r="C694" s="123"/>
      <c r="D694" s="123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27"/>
      <c r="AR694" s="29"/>
      <c r="AV694" s="115"/>
      <c r="AW694" s="115"/>
      <c r="AX694" s="115"/>
      <c r="AY694" s="115"/>
      <c r="AZ694" s="115"/>
      <c r="BA694" s="115"/>
      <c r="BB694" s="25"/>
      <c r="BC694" s="13"/>
      <c r="BH694" s="116"/>
      <c r="BI694" s="123"/>
      <c r="BJ694" s="123"/>
      <c r="BK694" s="123"/>
      <c r="BP694" s="115"/>
      <c r="BQ694" s="115"/>
      <c r="BR694" s="115"/>
      <c r="BS694" s="115"/>
      <c r="BT694" s="115"/>
      <c r="BU694" s="115"/>
      <c r="BV694" s="115"/>
      <c r="BW694" s="115"/>
      <c r="BX694" s="115"/>
      <c r="BY694" s="115"/>
      <c r="BZ694" s="25"/>
      <c r="CA694" s="13"/>
      <c r="CD694" s="114"/>
    </row>
    <row r="695" spans="1:82" ht="20.100000000000001" customHeight="1" x14ac:dyDescent="0.4">
      <c r="A695" s="117"/>
      <c r="B695" s="123"/>
      <c r="C695" s="123"/>
      <c r="D695" s="123"/>
      <c r="AQ695" s="127"/>
      <c r="AR695" s="127"/>
      <c r="AV695" s="115"/>
      <c r="AW695" s="115"/>
      <c r="AX695" s="115"/>
      <c r="AY695" s="115"/>
      <c r="AZ695" s="115"/>
      <c r="BA695" s="115"/>
      <c r="BB695" s="25">
        <v>45672</v>
      </c>
      <c r="BC695" s="13" t="s">
        <v>146</v>
      </c>
      <c r="BH695" s="116"/>
      <c r="BI695" s="123"/>
      <c r="BJ695" s="123"/>
      <c r="BK695" s="123"/>
      <c r="BP695" s="115"/>
      <c r="BQ695" s="115"/>
      <c r="BR695" s="115"/>
      <c r="BS695" s="115"/>
      <c r="BT695" s="115"/>
      <c r="BU695" s="115"/>
      <c r="BV695" s="115"/>
      <c r="BW695" s="115"/>
      <c r="BX695" s="115"/>
      <c r="BY695" s="115"/>
      <c r="BZ695" s="25"/>
      <c r="CA695" s="13"/>
      <c r="CD695" s="114"/>
    </row>
    <row r="696" spans="1:82" ht="20.100000000000001" customHeight="1" x14ac:dyDescent="0.4">
      <c r="A696" s="117"/>
      <c r="B696" s="123"/>
      <c r="C696" s="123"/>
      <c r="D696" s="123"/>
      <c r="AL696" s="115"/>
      <c r="AM696" s="115"/>
      <c r="AN696" s="115"/>
      <c r="AO696" s="115"/>
      <c r="AP696" s="115"/>
      <c r="AQ696" s="29"/>
      <c r="AR696" s="29"/>
      <c r="AV696" s="115"/>
      <c r="AW696" s="115"/>
      <c r="AX696" s="115"/>
      <c r="AY696" s="115"/>
      <c r="AZ696" s="115"/>
      <c r="BA696" s="115"/>
      <c r="BB696" s="25"/>
      <c r="BC696" s="13"/>
      <c r="BH696" s="116"/>
      <c r="BI696" s="123"/>
      <c r="BJ696" s="123"/>
      <c r="BK696" s="123"/>
      <c r="BP696" s="115"/>
      <c r="BQ696" s="115"/>
      <c r="BR696" s="115"/>
      <c r="BS696" s="115"/>
      <c r="BT696" s="115"/>
      <c r="BU696" s="115"/>
      <c r="BV696" s="115"/>
      <c r="BW696" s="115"/>
      <c r="BX696" s="115"/>
      <c r="BY696" s="115"/>
      <c r="BZ696" s="25"/>
      <c r="CA696" s="13"/>
      <c r="CD696" s="114"/>
    </row>
    <row r="697" spans="1:82" ht="20.100000000000001" customHeight="1" x14ac:dyDescent="0.4">
      <c r="A697" s="117"/>
      <c r="B697" s="123"/>
      <c r="C697" s="123"/>
      <c r="D697" s="123"/>
      <c r="AI697" s="115"/>
      <c r="AJ697" s="115"/>
      <c r="AK697" s="115"/>
      <c r="AL697" s="115"/>
      <c r="AM697" s="115"/>
      <c r="AN697" s="115"/>
      <c r="AO697" s="115"/>
      <c r="AP697" s="115"/>
      <c r="AQ697" s="127"/>
      <c r="AR697" s="29"/>
      <c r="AV697" s="115"/>
      <c r="AW697" s="115"/>
      <c r="AX697" s="115"/>
      <c r="AY697" s="115"/>
      <c r="AZ697" s="115"/>
      <c r="BA697" s="115"/>
      <c r="BB697" s="25"/>
      <c r="BC697" s="13"/>
      <c r="BH697" s="116"/>
      <c r="BI697" s="123"/>
      <c r="BJ697" s="123"/>
      <c r="BK697" s="123"/>
      <c r="BP697" s="115"/>
      <c r="BQ697" s="115"/>
      <c r="BR697" s="115"/>
      <c r="BS697" s="115"/>
      <c r="BT697" s="115"/>
      <c r="BU697" s="115"/>
      <c r="BV697" s="115"/>
      <c r="BW697" s="115"/>
      <c r="BX697" s="115"/>
      <c r="BY697" s="115"/>
      <c r="BZ697" s="25"/>
      <c r="CA697" s="13"/>
      <c r="CD697" s="114"/>
    </row>
    <row r="698" spans="1:82" ht="20.100000000000001" customHeight="1" x14ac:dyDescent="0.4">
      <c r="A698" s="117"/>
      <c r="B698" s="123"/>
      <c r="C698" s="123"/>
      <c r="D698" s="123"/>
      <c r="AI698" s="115"/>
      <c r="AJ698" s="115"/>
      <c r="AK698" s="115"/>
      <c r="AL698" s="115"/>
      <c r="AM698" s="115"/>
      <c r="AN698" s="115"/>
      <c r="AO698" s="115"/>
      <c r="AP698" s="115"/>
      <c r="AQ698" s="29"/>
      <c r="AR698" s="29"/>
      <c r="AV698" s="115"/>
      <c r="AW698" s="115"/>
      <c r="AX698" s="115"/>
      <c r="AY698" s="115"/>
      <c r="AZ698" s="115"/>
      <c r="BA698" s="115"/>
      <c r="BB698" s="25"/>
      <c r="BC698" s="13"/>
      <c r="BH698" s="116"/>
      <c r="BI698" s="123"/>
      <c r="BJ698" s="123"/>
      <c r="BK698" s="123"/>
      <c r="BP698" s="115"/>
      <c r="BQ698" s="115"/>
      <c r="BR698" s="115"/>
      <c r="BS698" s="115"/>
      <c r="BT698" s="115"/>
      <c r="BU698" s="115"/>
      <c r="BV698" s="115"/>
      <c r="BW698" s="115"/>
      <c r="BX698" s="115"/>
      <c r="BY698" s="115"/>
      <c r="BZ698" s="25"/>
      <c r="CA698" s="13"/>
      <c r="CD698" s="114"/>
    </row>
    <row r="699" spans="1:82" ht="20.100000000000001" customHeight="1" x14ac:dyDescent="0.4">
      <c r="A699" s="117"/>
      <c r="B699" s="123"/>
      <c r="C699" s="123"/>
      <c r="D699" s="123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27"/>
      <c r="AR699" s="29"/>
      <c r="AV699" s="115"/>
      <c r="AW699" s="115"/>
      <c r="AX699" s="115"/>
      <c r="AY699" s="115"/>
      <c r="AZ699" s="115"/>
      <c r="BA699" s="115"/>
      <c r="BB699" s="25"/>
      <c r="BC699" s="13"/>
      <c r="BH699" s="116"/>
      <c r="BI699" s="123"/>
      <c r="BJ699" s="123"/>
      <c r="BK699" s="123"/>
      <c r="BP699" s="115"/>
      <c r="BQ699" s="115"/>
      <c r="BR699" s="115"/>
      <c r="BS699" s="115"/>
      <c r="BT699" s="115"/>
      <c r="BU699" s="115"/>
      <c r="BV699" s="115"/>
      <c r="BW699" s="115"/>
      <c r="BX699" s="115"/>
      <c r="BY699" s="115"/>
      <c r="BZ699" s="25"/>
      <c r="CA699" s="13"/>
      <c r="CD699" s="114"/>
    </row>
    <row r="700" spans="1:82" ht="20.100000000000001" customHeight="1" x14ac:dyDescent="0.4">
      <c r="A700" s="117"/>
      <c r="B700" s="123"/>
      <c r="C700" s="123"/>
      <c r="D700" s="123"/>
      <c r="AQ700" s="127"/>
      <c r="AR700" s="29"/>
      <c r="AV700" s="115"/>
      <c r="AW700" s="115"/>
      <c r="AX700" s="115"/>
      <c r="AY700" s="115"/>
      <c r="AZ700" s="115"/>
      <c r="BA700" s="115"/>
      <c r="BB700" s="25">
        <v>45672</v>
      </c>
      <c r="BC700" s="13" t="s">
        <v>146</v>
      </c>
      <c r="BH700" s="116"/>
      <c r="BI700" s="123"/>
      <c r="BJ700" s="123"/>
      <c r="BK700" s="123"/>
      <c r="BP700" s="115"/>
      <c r="BQ700" s="115"/>
      <c r="BR700" s="115"/>
      <c r="BS700" s="115"/>
      <c r="BT700" s="115"/>
      <c r="BU700" s="115"/>
      <c r="BV700" s="115"/>
      <c r="BW700" s="115"/>
      <c r="BX700" s="115"/>
      <c r="BY700" s="115"/>
      <c r="BZ700" s="25"/>
      <c r="CA700" s="13"/>
      <c r="CD700" s="114"/>
    </row>
    <row r="701" spans="1:82" ht="20.100000000000001" customHeight="1" x14ac:dyDescent="0.4">
      <c r="A701" s="117"/>
      <c r="B701" s="123"/>
      <c r="C701" s="123"/>
      <c r="D701" s="123"/>
      <c r="AQ701" s="127"/>
      <c r="AR701" s="29"/>
      <c r="AV701" s="115"/>
      <c r="AW701" s="115"/>
      <c r="AX701" s="115"/>
      <c r="AY701" s="115"/>
      <c r="AZ701" s="115"/>
      <c r="BA701" s="115"/>
      <c r="BB701" s="25"/>
      <c r="BC701" s="13"/>
      <c r="BH701" s="116"/>
      <c r="BI701" s="123"/>
      <c r="BJ701" s="123"/>
      <c r="BK701" s="123"/>
      <c r="BP701" s="115"/>
      <c r="BQ701" s="115"/>
      <c r="BR701" s="115"/>
      <c r="BS701" s="115"/>
      <c r="BT701" s="115"/>
      <c r="BU701" s="115"/>
      <c r="BV701" s="115"/>
      <c r="BW701" s="115"/>
      <c r="BX701" s="115"/>
      <c r="BY701" s="115"/>
      <c r="BZ701" s="25"/>
      <c r="CA701" s="13"/>
      <c r="CD701" s="114"/>
    </row>
    <row r="702" spans="1:82" ht="20.100000000000001" customHeight="1" x14ac:dyDescent="0.4">
      <c r="A702" s="117"/>
      <c r="B702" s="123"/>
      <c r="C702" s="123"/>
      <c r="D702" s="123"/>
      <c r="AL702" s="115"/>
      <c r="AM702" s="115"/>
      <c r="AN702" s="115"/>
      <c r="AO702" s="115"/>
      <c r="AP702" s="115"/>
      <c r="AQ702" s="29"/>
      <c r="AR702" s="29"/>
      <c r="AV702" s="115"/>
      <c r="AW702" s="115"/>
      <c r="AX702" s="115"/>
      <c r="AY702" s="115"/>
      <c r="AZ702" s="115"/>
      <c r="BA702" s="115"/>
      <c r="BB702" s="25"/>
      <c r="BC702" s="13"/>
      <c r="BH702" s="116"/>
      <c r="BI702" s="123"/>
      <c r="BJ702" s="123"/>
      <c r="BK702" s="123"/>
      <c r="BP702" s="115"/>
      <c r="BQ702" s="115"/>
      <c r="BR702" s="115"/>
      <c r="BS702" s="115"/>
      <c r="BT702" s="115"/>
      <c r="BU702" s="115"/>
      <c r="BV702" s="115"/>
      <c r="BW702" s="115"/>
      <c r="BX702" s="115"/>
      <c r="BY702" s="115"/>
      <c r="BZ702" s="25"/>
      <c r="CA702" s="13"/>
      <c r="CD702" s="114"/>
    </row>
    <row r="703" spans="1:82" ht="20.100000000000001" customHeight="1" x14ac:dyDescent="0.4">
      <c r="A703" s="117"/>
      <c r="B703" s="123"/>
      <c r="C703" s="123"/>
      <c r="D703" s="123"/>
      <c r="AQ703" s="127"/>
      <c r="AR703" s="29"/>
      <c r="AV703" s="115"/>
      <c r="AW703" s="115"/>
      <c r="AX703" s="115"/>
      <c r="AY703" s="115"/>
      <c r="AZ703" s="115"/>
      <c r="BA703" s="115"/>
      <c r="BB703" s="25">
        <v>45672</v>
      </c>
      <c r="BC703" s="25" t="s">
        <v>147</v>
      </c>
      <c r="BH703" s="116"/>
      <c r="BI703" s="123"/>
      <c r="BJ703" s="123"/>
      <c r="BK703" s="123"/>
      <c r="BP703" s="115"/>
      <c r="BQ703" s="115"/>
      <c r="BR703" s="115"/>
      <c r="BS703" s="115"/>
      <c r="BT703" s="115"/>
      <c r="BU703" s="115"/>
      <c r="BV703" s="115"/>
      <c r="BW703" s="115"/>
      <c r="BX703" s="115"/>
      <c r="BY703" s="115"/>
      <c r="BZ703" s="25"/>
      <c r="CA703" s="13"/>
      <c r="CD703" s="114"/>
    </row>
    <row r="704" spans="1:82" ht="20.100000000000001" customHeight="1" x14ac:dyDescent="0.4">
      <c r="A704" s="117"/>
      <c r="B704" s="123"/>
      <c r="C704" s="123"/>
      <c r="D704" s="123"/>
      <c r="AQ704" s="127"/>
      <c r="AR704" s="29"/>
      <c r="AV704" s="115"/>
      <c r="AW704" s="115"/>
      <c r="AX704" s="115"/>
      <c r="AY704" s="115"/>
      <c r="AZ704" s="115"/>
      <c r="BA704" s="115"/>
      <c r="BB704" s="25"/>
      <c r="BC704" s="25"/>
      <c r="BH704" s="116"/>
      <c r="BI704" s="123"/>
      <c r="BJ704" s="123"/>
      <c r="BK704" s="123"/>
      <c r="BP704" s="115"/>
      <c r="BQ704" s="115"/>
      <c r="BR704" s="115"/>
      <c r="BS704" s="115"/>
      <c r="BT704" s="115"/>
      <c r="BU704" s="115"/>
      <c r="BV704" s="115"/>
      <c r="BW704" s="115"/>
      <c r="BX704" s="115"/>
      <c r="BY704" s="115"/>
      <c r="BZ704" s="25"/>
      <c r="CA704" s="13"/>
      <c r="CD704" s="114"/>
    </row>
    <row r="705" spans="1:82" ht="20.100000000000001" customHeight="1" x14ac:dyDescent="0.4">
      <c r="A705" s="117"/>
      <c r="B705" s="123"/>
      <c r="C705" s="123"/>
      <c r="D705" s="123"/>
      <c r="AL705" s="115"/>
      <c r="AM705" s="115"/>
      <c r="AN705" s="115"/>
      <c r="AO705" s="115"/>
      <c r="AP705" s="115"/>
      <c r="AQ705" s="29"/>
      <c r="AR705" s="29"/>
      <c r="AV705" s="115"/>
      <c r="AW705" s="115"/>
      <c r="AX705" s="115"/>
      <c r="AY705" s="115"/>
      <c r="AZ705" s="115"/>
      <c r="BA705" s="115"/>
      <c r="BB705" s="25"/>
      <c r="BC705" s="25"/>
      <c r="BH705" s="116"/>
      <c r="BI705" s="123"/>
      <c r="BJ705" s="123"/>
      <c r="BK705" s="123"/>
      <c r="BP705" s="115"/>
      <c r="BQ705" s="115"/>
      <c r="BR705" s="115"/>
      <c r="BS705" s="115"/>
      <c r="BT705" s="115"/>
      <c r="BU705" s="115"/>
      <c r="BV705" s="115"/>
      <c r="BW705" s="115"/>
      <c r="BX705" s="115"/>
      <c r="BY705" s="115"/>
      <c r="BZ705" s="25"/>
      <c r="CA705" s="13"/>
      <c r="CD705" s="114"/>
    </row>
    <row r="706" spans="1:82" ht="20.100000000000001" customHeight="1" x14ac:dyDescent="0.4">
      <c r="A706" s="117"/>
      <c r="B706" s="123"/>
      <c r="C706" s="123"/>
      <c r="D706" s="123"/>
      <c r="AL706" s="115"/>
      <c r="AM706" s="115"/>
      <c r="AN706" s="115"/>
      <c r="AO706" s="115"/>
      <c r="AP706" s="115"/>
      <c r="AQ706" s="29"/>
      <c r="AR706" s="29"/>
      <c r="AV706" s="115"/>
      <c r="AW706" s="115"/>
      <c r="AX706" s="115"/>
      <c r="AY706" s="115"/>
      <c r="AZ706" s="115"/>
      <c r="BA706" s="115"/>
      <c r="BB706" s="25"/>
      <c r="BC706" s="25"/>
      <c r="BH706" s="116"/>
      <c r="BI706" s="123"/>
      <c r="BJ706" s="123"/>
      <c r="BK706" s="123"/>
      <c r="BP706" s="115"/>
      <c r="BQ706" s="115"/>
      <c r="BR706" s="115"/>
      <c r="BS706" s="115"/>
      <c r="BT706" s="115"/>
      <c r="BU706" s="115"/>
      <c r="BV706" s="115"/>
      <c r="BW706" s="115"/>
      <c r="BX706" s="115"/>
      <c r="BY706" s="115"/>
      <c r="BZ706" s="25"/>
      <c r="CA706" s="13"/>
      <c r="CD706" s="114"/>
    </row>
    <row r="707" spans="1:82" ht="20.100000000000001" customHeight="1" x14ac:dyDescent="0.4">
      <c r="A707" s="117"/>
      <c r="B707" s="123"/>
      <c r="C707" s="123"/>
      <c r="D707" s="123"/>
      <c r="AI707" s="115"/>
      <c r="AJ707" s="115"/>
      <c r="AK707" s="115"/>
      <c r="AL707" s="115"/>
      <c r="AM707" s="115"/>
      <c r="AN707" s="115"/>
      <c r="AO707" s="115"/>
      <c r="AP707" s="115"/>
      <c r="AQ707" s="127"/>
      <c r="AR707" s="29"/>
      <c r="AV707" s="115"/>
      <c r="AW707" s="115"/>
      <c r="AX707" s="115"/>
      <c r="AY707" s="115"/>
      <c r="AZ707" s="115"/>
      <c r="BA707" s="115"/>
      <c r="BB707" s="25"/>
      <c r="BC707" s="25"/>
      <c r="BH707" s="116"/>
      <c r="BI707" s="123"/>
      <c r="BJ707" s="123"/>
      <c r="BK707" s="123"/>
      <c r="BP707" s="115"/>
      <c r="BQ707" s="115"/>
      <c r="BR707" s="115"/>
      <c r="BS707" s="115"/>
      <c r="BT707" s="115"/>
      <c r="BU707" s="115"/>
      <c r="BV707" s="115"/>
      <c r="BW707" s="115"/>
      <c r="BX707" s="115"/>
      <c r="BY707" s="115"/>
      <c r="BZ707" s="25"/>
      <c r="CA707" s="13"/>
      <c r="CD707" s="114"/>
    </row>
    <row r="708" spans="1:82" ht="20.100000000000001" customHeight="1" x14ac:dyDescent="0.4">
      <c r="A708" s="117"/>
      <c r="B708" s="123"/>
      <c r="C708" s="123"/>
      <c r="D708" s="123"/>
      <c r="AI708" s="115"/>
      <c r="AJ708" s="115"/>
      <c r="AK708" s="115"/>
      <c r="AL708" s="115"/>
      <c r="AM708" s="115"/>
      <c r="AN708" s="115"/>
      <c r="AO708" s="115"/>
      <c r="AP708" s="115"/>
      <c r="AQ708" s="29"/>
      <c r="AR708" s="29"/>
      <c r="AV708" s="115"/>
      <c r="AW708" s="115"/>
      <c r="AX708" s="115"/>
      <c r="AY708" s="115"/>
      <c r="AZ708" s="115"/>
      <c r="BA708" s="115"/>
      <c r="BB708" s="25"/>
      <c r="BC708" s="25"/>
      <c r="BH708" s="116"/>
      <c r="BI708" s="123"/>
      <c r="BJ708" s="123"/>
      <c r="BK708" s="123"/>
      <c r="BP708" s="115"/>
      <c r="BQ708" s="115"/>
      <c r="BR708" s="115"/>
      <c r="BS708" s="115"/>
      <c r="BT708" s="115"/>
      <c r="BU708" s="115"/>
      <c r="BV708" s="115"/>
      <c r="BW708" s="115"/>
      <c r="BX708" s="115"/>
      <c r="BY708" s="115"/>
      <c r="BZ708" s="25"/>
      <c r="CA708" s="13"/>
      <c r="CD708" s="114"/>
    </row>
    <row r="709" spans="1:82" ht="20.100000000000001" customHeight="1" x14ac:dyDescent="0.4">
      <c r="A709" s="117"/>
      <c r="B709" s="123"/>
      <c r="C709" s="123"/>
      <c r="D709" s="123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27"/>
      <c r="AR709" s="29"/>
      <c r="AV709" s="115"/>
      <c r="AW709" s="115"/>
      <c r="AX709" s="115"/>
      <c r="AY709" s="115"/>
      <c r="AZ709" s="115"/>
      <c r="BA709" s="115"/>
      <c r="BB709" s="25"/>
      <c r="BC709" s="25"/>
      <c r="BH709" s="116"/>
      <c r="BI709" s="123"/>
      <c r="BJ709" s="123"/>
      <c r="BK709" s="123"/>
      <c r="BP709" s="115"/>
      <c r="BQ709" s="115"/>
      <c r="BR709" s="115"/>
      <c r="BS709" s="115"/>
      <c r="BT709" s="115"/>
      <c r="BU709" s="115"/>
      <c r="BV709" s="115"/>
      <c r="BW709" s="115"/>
      <c r="BX709" s="115"/>
      <c r="BY709" s="115"/>
      <c r="BZ709" s="25"/>
      <c r="CA709" s="13"/>
      <c r="CD709" s="114"/>
    </row>
    <row r="710" spans="1:82" ht="20.100000000000001" customHeight="1" x14ac:dyDescent="0.4">
      <c r="A710" s="117"/>
      <c r="B710" s="123"/>
      <c r="C710" s="123"/>
      <c r="D710" s="123"/>
      <c r="AQ710" s="127"/>
      <c r="AR710" s="29"/>
      <c r="AV710" s="115"/>
      <c r="AW710" s="115"/>
      <c r="AX710" s="115"/>
      <c r="AY710" s="115"/>
      <c r="AZ710" s="115"/>
      <c r="BA710" s="115"/>
      <c r="BB710" s="25">
        <v>45673</v>
      </c>
      <c r="BC710" s="13" t="s">
        <v>147</v>
      </c>
      <c r="BH710" s="116"/>
      <c r="BI710" s="123"/>
      <c r="BJ710" s="123"/>
      <c r="BK710" s="123"/>
      <c r="BP710" s="115"/>
      <c r="BQ710" s="115"/>
      <c r="BR710" s="115"/>
      <c r="BS710" s="115"/>
      <c r="BT710" s="115"/>
      <c r="BU710" s="115"/>
      <c r="BV710" s="115"/>
      <c r="BW710" s="115"/>
      <c r="BX710" s="115"/>
      <c r="BY710" s="115"/>
      <c r="BZ710" s="25"/>
      <c r="CA710" s="13"/>
      <c r="CD710" s="114"/>
    </row>
    <row r="711" spans="1:82" ht="20.100000000000001" customHeight="1" x14ac:dyDescent="0.4">
      <c r="A711" s="117"/>
      <c r="B711" s="123"/>
      <c r="C711" s="123"/>
      <c r="D711" s="123"/>
      <c r="AJ711" s="115"/>
      <c r="AK711" s="115"/>
      <c r="AL711" s="115"/>
      <c r="AM711" s="115"/>
      <c r="AN711" s="115"/>
      <c r="AO711" s="115"/>
      <c r="AP711" s="115"/>
      <c r="AQ711" s="127"/>
      <c r="AR711" s="29"/>
      <c r="AV711" s="115"/>
      <c r="AW711" s="115"/>
      <c r="AX711" s="115"/>
      <c r="AY711" s="115"/>
      <c r="AZ711" s="115"/>
      <c r="BA711" s="115"/>
      <c r="BB711" s="25"/>
      <c r="BC711" s="13"/>
      <c r="BH711" s="116"/>
      <c r="BI711" s="123"/>
      <c r="BJ711" s="123"/>
      <c r="BK711" s="123"/>
      <c r="BP711" s="115"/>
      <c r="BQ711" s="115"/>
      <c r="BR711" s="115"/>
      <c r="BS711" s="115"/>
      <c r="BT711" s="115"/>
      <c r="BU711" s="115"/>
      <c r="BV711" s="115"/>
      <c r="BW711" s="115"/>
      <c r="BX711" s="115"/>
      <c r="BY711" s="115"/>
      <c r="BZ711" s="25"/>
      <c r="CA711" s="13"/>
      <c r="CD711" s="114"/>
    </row>
    <row r="712" spans="1:82" ht="20.100000000000001" customHeight="1" x14ac:dyDescent="0.4">
      <c r="A712" s="117"/>
      <c r="B712" s="123"/>
      <c r="C712" s="123"/>
      <c r="D712" s="123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27"/>
      <c r="AR712" s="29"/>
      <c r="AV712" s="115"/>
      <c r="AW712" s="115"/>
      <c r="AX712" s="115"/>
      <c r="AY712" s="115"/>
      <c r="AZ712" s="115"/>
      <c r="BA712" s="115"/>
      <c r="BB712" s="25"/>
      <c r="BC712" s="13"/>
      <c r="BH712" s="116"/>
      <c r="BI712" s="123"/>
      <c r="BJ712" s="123"/>
      <c r="BK712" s="123"/>
      <c r="BP712" s="115"/>
      <c r="BQ712" s="115"/>
      <c r="BR712" s="115"/>
      <c r="BS712" s="115"/>
      <c r="BT712" s="115"/>
      <c r="BU712" s="115"/>
      <c r="BV712" s="115"/>
      <c r="BW712" s="115"/>
      <c r="BX712" s="115"/>
      <c r="BY712" s="115"/>
      <c r="BZ712" s="25"/>
      <c r="CA712" s="13"/>
      <c r="CD712" s="114"/>
    </row>
    <row r="713" spans="1:82" ht="20.100000000000001" customHeight="1" x14ac:dyDescent="0.4">
      <c r="A713" s="117"/>
      <c r="B713" s="123"/>
      <c r="C713" s="123"/>
      <c r="D713" s="123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29"/>
      <c r="AR713" s="29"/>
      <c r="AV713" s="115"/>
      <c r="AW713" s="115"/>
      <c r="AX713" s="115"/>
      <c r="AY713" s="115"/>
      <c r="AZ713" s="115"/>
      <c r="BA713" s="115"/>
      <c r="BB713" s="25"/>
      <c r="BC713" s="13"/>
      <c r="BH713" s="116"/>
      <c r="BI713" s="123"/>
      <c r="BJ713" s="123"/>
      <c r="BK713" s="123"/>
      <c r="BP713" s="115"/>
      <c r="BQ713" s="115"/>
      <c r="BR713" s="115"/>
      <c r="BS713" s="115"/>
      <c r="BT713" s="115"/>
      <c r="BU713" s="115"/>
      <c r="BV713" s="115"/>
      <c r="BW713" s="115"/>
      <c r="BX713" s="115"/>
      <c r="BY713" s="115"/>
      <c r="BZ713" s="25"/>
      <c r="CA713" s="13"/>
      <c r="CD713" s="114"/>
    </row>
    <row r="714" spans="1:82" ht="20.100000000000001" customHeight="1" x14ac:dyDescent="0.4">
      <c r="A714" s="117"/>
      <c r="B714" s="123"/>
      <c r="C714" s="123"/>
      <c r="D714" s="123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27"/>
      <c r="AR714" s="29"/>
      <c r="AV714" s="115"/>
      <c r="AW714" s="115"/>
      <c r="AX714" s="115"/>
      <c r="AY714" s="115"/>
      <c r="AZ714" s="115"/>
      <c r="BA714" s="115"/>
      <c r="BB714" s="25"/>
      <c r="BC714" s="13"/>
      <c r="BH714" s="116"/>
      <c r="BI714" s="123"/>
      <c r="BJ714" s="123"/>
      <c r="BK714" s="123"/>
      <c r="BP714" s="115"/>
      <c r="BQ714" s="115"/>
      <c r="BR714" s="115"/>
      <c r="BS714" s="115"/>
      <c r="BT714" s="115"/>
      <c r="BU714" s="115"/>
      <c r="BV714" s="115"/>
      <c r="BW714" s="115"/>
      <c r="BX714" s="115"/>
      <c r="BY714" s="115"/>
      <c r="BZ714" s="25"/>
      <c r="CA714" s="13"/>
      <c r="CD714" s="114"/>
    </row>
    <row r="715" spans="1:82" ht="20.100000000000001" customHeight="1" x14ac:dyDescent="0.4">
      <c r="A715" s="117"/>
      <c r="B715" s="123"/>
      <c r="C715" s="123"/>
      <c r="D715" s="123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29"/>
      <c r="AR715" s="29"/>
      <c r="AV715" s="115"/>
      <c r="AW715" s="115"/>
      <c r="AX715" s="115"/>
      <c r="AY715" s="115"/>
      <c r="AZ715" s="115"/>
      <c r="BA715" s="115"/>
      <c r="BB715" s="25"/>
      <c r="BC715" s="13"/>
      <c r="BH715" s="116"/>
      <c r="BI715" s="123"/>
      <c r="BJ715" s="123"/>
      <c r="BK715" s="123"/>
      <c r="BP715" s="115"/>
      <c r="BQ715" s="115"/>
      <c r="BR715" s="115"/>
      <c r="BS715" s="115"/>
      <c r="BT715" s="115"/>
      <c r="BU715" s="115"/>
      <c r="BV715" s="115"/>
      <c r="BW715" s="115"/>
      <c r="BX715" s="115"/>
      <c r="BY715" s="115"/>
      <c r="BZ715" s="25"/>
      <c r="CA715" s="13"/>
      <c r="CD715" s="114"/>
    </row>
    <row r="716" spans="1:82" ht="20.100000000000001" customHeight="1" x14ac:dyDescent="0.4">
      <c r="A716" s="117"/>
      <c r="B716" s="123"/>
      <c r="C716" s="123"/>
      <c r="D716" s="123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27"/>
      <c r="AR716" s="29"/>
      <c r="AV716" s="115"/>
      <c r="AW716" s="115"/>
      <c r="AX716" s="115"/>
      <c r="AY716" s="115"/>
      <c r="AZ716" s="115"/>
      <c r="BA716" s="115"/>
      <c r="BB716" s="25"/>
      <c r="BC716" s="13"/>
      <c r="BH716" s="116"/>
      <c r="BI716" s="123"/>
      <c r="BJ716" s="123"/>
      <c r="BK716" s="123"/>
      <c r="BP716" s="115"/>
      <c r="BQ716" s="115"/>
      <c r="BR716" s="115"/>
      <c r="BS716" s="115"/>
      <c r="BT716" s="115"/>
      <c r="BU716" s="115"/>
      <c r="BV716" s="115"/>
      <c r="BW716" s="115"/>
      <c r="BX716" s="115"/>
      <c r="BY716" s="115"/>
      <c r="BZ716" s="25"/>
      <c r="CA716" s="13"/>
      <c r="CD716" s="114"/>
    </row>
    <row r="717" spans="1:82" ht="20.100000000000001" customHeight="1" x14ac:dyDescent="0.4">
      <c r="A717" s="117"/>
      <c r="B717" s="123"/>
      <c r="C717" s="123"/>
      <c r="D717" s="123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29"/>
      <c r="AR717" s="29"/>
      <c r="AV717" s="115"/>
      <c r="AW717" s="115"/>
      <c r="AX717" s="115"/>
      <c r="AY717" s="115"/>
      <c r="AZ717" s="115"/>
      <c r="BA717" s="115"/>
      <c r="BB717" s="25"/>
      <c r="BC717" s="13"/>
      <c r="BH717" s="116"/>
      <c r="BI717" s="123"/>
      <c r="BJ717" s="123"/>
      <c r="BK717" s="123"/>
      <c r="BP717" s="115"/>
      <c r="BQ717" s="115"/>
      <c r="BR717" s="115"/>
      <c r="BS717" s="115"/>
      <c r="BT717" s="115"/>
      <c r="BU717" s="115"/>
      <c r="BV717" s="115"/>
      <c r="BW717" s="115"/>
      <c r="BX717" s="115"/>
      <c r="BY717" s="115"/>
      <c r="BZ717" s="25"/>
      <c r="CA717" s="13"/>
      <c r="CD717" s="114"/>
    </row>
    <row r="718" spans="1:82" ht="20.100000000000001" customHeight="1" x14ac:dyDescent="0.4">
      <c r="A718" s="117"/>
      <c r="B718" s="123"/>
      <c r="C718" s="123"/>
      <c r="D718" s="123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27"/>
      <c r="AR718" s="127"/>
      <c r="AV718" s="115"/>
      <c r="AW718" s="115"/>
      <c r="AX718" s="115"/>
      <c r="AY718" s="115"/>
      <c r="AZ718" s="115"/>
      <c r="BA718" s="115"/>
      <c r="BB718" s="25"/>
      <c r="BC718" s="13"/>
      <c r="BH718" s="116"/>
      <c r="BI718" s="123"/>
      <c r="BJ718" s="123"/>
      <c r="BK718" s="123"/>
      <c r="BP718" s="115"/>
      <c r="BQ718" s="115"/>
      <c r="BR718" s="115"/>
      <c r="BS718" s="115"/>
      <c r="BT718" s="115"/>
      <c r="BU718" s="115"/>
      <c r="BV718" s="115"/>
      <c r="BW718" s="115"/>
      <c r="BX718" s="115"/>
      <c r="BY718" s="115"/>
      <c r="BZ718" s="25"/>
      <c r="CA718" s="13"/>
      <c r="CD718" s="114"/>
    </row>
    <row r="719" spans="1:82" ht="20.100000000000001" customHeight="1" x14ac:dyDescent="0.4">
      <c r="A719" s="117"/>
      <c r="B719" s="123"/>
      <c r="C719" s="123"/>
      <c r="D719" s="123"/>
      <c r="AQ719" s="127"/>
      <c r="AR719" s="127"/>
      <c r="AV719" s="115"/>
      <c r="AW719" s="115"/>
      <c r="AX719" s="115"/>
      <c r="AY719" s="115"/>
      <c r="AZ719" s="115"/>
      <c r="BA719" s="115"/>
      <c r="BB719" s="25">
        <v>45673</v>
      </c>
      <c r="BC719" s="13" t="s">
        <v>147</v>
      </c>
      <c r="BH719" s="116"/>
      <c r="BI719" s="123"/>
      <c r="BJ719" s="123"/>
      <c r="BK719" s="123"/>
      <c r="BP719" s="115"/>
      <c r="BQ719" s="115"/>
      <c r="BR719" s="115"/>
      <c r="BS719" s="115"/>
      <c r="BT719" s="115"/>
      <c r="BU719" s="115"/>
      <c r="BV719" s="115"/>
      <c r="BW719" s="115"/>
      <c r="BX719" s="115"/>
      <c r="BY719" s="115"/>
      <c r="BZ719" s="25"/>
      <c r="CA719" s="13"/>
      <c r="CD719" s="114"/>
    </row>
    <row r="720" spans="1:82" ht="20.100000000000001" customHeight="1" x14ac:dyDescent="0.4">
      <c r="A720" s="117"/>
      <c r="B720" s="123"/>
      <c r="C720" s="123"/>
      <c r="D720" s="123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27"/>
      <c r="AR720" s="29"/>
      <c r="AV720" s="115"/>
      <c r="AW720" s="115"/>
      <c r="AX720" s="115"/>
      <c r="AY720" s="115"/>
      <c r="AZ720" s="115"/>
      <c r="BA720" s="115"/>
      <c r="BB720" s="25"/>
      <c r="BC720" s="13"/>
      <c r="BH720" s="116"/>
      <c r="BI720" s="123"/>
      <c r="BJ720" s="123"/>
      <c r="BK720" s="123"/>
      <c r="BP720" s="115"/>
      <c r="BQ720" s="115"/>
      <c r="BR720" s="115"/>
      <c r="BS720" s="115"/>
      <c r="BT720" s="115"/>
      <c r="BU720" s="115"/>
      <c r="BV720" s="115"/>
      <c r="BW720" s="115"/>
      <c r="BX720" s="115"/>
      <c r="BY720" s="115"/>
      <c r="BZ720" s="25"/>
      <c r="CA720" s="13"/>
      <c r="CD720" s="114"/>
    </row>
    <row r="721" spans="1:82" ht="20.100000000000001" customHeight="1" x14ac:dyDescent="0.4">
      <c r="A721" s="117"/>
      <c r="B721" s="123"/>
      <c r="C721" s="123"/>
      <c r="D721" s="123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27"/>
      <c r="AR721" s="29"/>
      <c r="AV721" s="115"/>
      <c r="AW721" s="115"/>
      <c r="AX721" s="115"/>
      <c r="AY721" s="115"/>
      <c r="AZ721" s="115"/>
      <c r="BA721" s="115"/>
      <c r="BB721" s="25"/>
      <c r="BC721" s="13"/>
      <c r="BH721" s="116"/>
      <c r="BI721" s="123"/>
      <c r="BJ721" s="123"/>
      <c r="BK721" s="123"/>
      <c r="BP721" s="115"/>
      <c r="BQ721" s="115"/>
      <c r="BR721" s="115"/>
      <c r="BS721" s="115"/>
      <c r="BT721" s="115"/>
      <c r="BU721" s="115"/>
      <c r="BV721" s="115"/>
      <c r="BW721" s="115"/>
      <c r="BX721" s="115"/>
      <c r="BY721" s="115"/>
      <c r="BZ721" s="25"/>
      <c r="CA721" s="13"/>
      <c r="CD721" s="114"/>
    </row>
    <row r="722" spans="1:82" ht="20.100000000000001" customHeight="1" x14ac:dyDescent="0.4">
      <c r="A722" s="117"/>
      <c r="B722" s="123"/>
      <c r="C722" s="123"/>
      <c r="D722" s="123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27"/>
      <c r="AR722" s="29"/>
      <c r="AV722" s="115"/>
      <c r="AW722" s="115"/>
      <c r="AX722" s="115"/>
      <c r="AY722" s="115"/>
      <c r="AZ722" s="115"/>
      <c r="BA722" s="115"/>
      <c r="BB722" s="25"/>
      <c r="BC722" s="13"/>
      <c r="BH722" s="116"/>
      <c r="BI722" s="123"/>
      <c r="BJ722" s="123"/>
      <c r="BK722" s="123"/>
      <c r="BP722" s="115"/>
      <c r="BQ722" s="115"/>
      <c r="BR722" s="115"/>
      <c r="BS722" s="115"/>
      <c r="BT722" s="115"/>
      <c r="BU722" s="115"/>
      <c r="BV722" s="115"/>
      <c r="BW722" s="115"/>
      <c r="BX722" s="115"/>
      <c r="BY722" s="115"/>
      <c r="BZ722" s="25"/>
      <c r="CA722" s="13"/>
      <c r="CD722" s="114"/>
    </row>
    <row r="723" spans="1:82" ht="20.100000000000001" customHeight="1" x14ac:dyDescent="0.4">
      <c r="A723" s="117"/>
      <c r="B723" s="123"/>
      <c r="C723" s="123"/>
      <c r="D723" s="123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27"/>
      <c r="AR723" s="29"/>
      <c r="AV723" s="115"/>
      <c r="AW723" s="115"/>
      <c r="AX723" s="115"/>
      <c r="AY723" s="115"/>
      <c r="AZ723" s="115"/>
      <c r="BA723" s="115"/>
      <c r="BB723" s="25"/>
      <c r="BC723" s="13"/>
      <c r="BH723" s="116"/>
      <c r="BI723" s="123"/>
      <c r="BJ723" s="123"/>
      <c r="BK723" s="123"/>
      <c r="BP723" s="115"/>
      <c r="BQ723" s="115"/>
      <c r="BR723" s="115"/>
      <c r="BS723" s="115"/>
      <c r="BT723" s="115"/>
      <c r="BU723" s="115"/>
      <c r="BV723" s="115"/>
      <c r="BW723" s="115"/>
      <c r="BX723" s="115"/>
      <c r="BY723" s="115"/>
      <c r="BZ723" s="25"/>
      <c r="CA723" s="13"/>
      <c r="CD723" s="114"/>
    </row>
    <row r="724" spans="1:82" ht="20.100000000000001" customHeight="1" x14ac:dyDescent="0.4">
      <c r="A724" s="117"/>
      <c r="B724" s="123"/>
      <c r="C724" s="123"/>
      <c r="D724" s="123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29"/>
      <c r="AR724" s="29"/>
      <c r="AV724" s="115"/>
      <c r="AW724" s="115"/>
      <c r="AX724" s="115"/>
      <c r="AY724" s="115"/>
      <c r="AZ724" s="115"/>
      <c r="BA724" s="115"/>
      <c r="BB724" s="25"/>
      <c r="BC724" s="13"/>
      <c r="BH724" s="116"/>
      <c r="BI724" s="123"/>
      <c r="BJ724" s="123"/>
      <c r="BK724" s="123"/>
      <c r="BP724" s="115"/>
      <c r="BQ724" s="115"/>
      <c r="BR724" s="115"/>
      <c r="BS724" s="115"/>
      <c r="BT724" s="115"/>
      <c r="BU724" s="115"/>
      <c r="BV724" s="115"/>
      <c r="BW724" s="115"/>
      <c r="BX724" s="115"/>
      <c r="BY724" s="115"/>
      <c r="BZ724" s="25"/>
      <c r="CA724" s="13"/>
      <c r="CD724" s="114"/>
    </row>
    <row r="725" spans="1:82" ht="20.100000000000001" customHeight="1" x14ac:dyDescent="0.4">
      <c r="A725" s="117"/>
      <c r="B725" s="123"/>
      <c r="C725" s="123"/>
      <c r="D725" s="123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29"/>
      <c r="AR725" s="29"/>
      <c r="AV725" s="115"/>
      <c r="AW725" s="115"/>
      <c r="AX725" s="115"/>
      <c r="AY725" s="115"/>
      <c r="AZ725" s="115"/>
      <c r="BA725" s="115"/>
      <c r="BB725" s="25"/>
      <c r="BC725" s="13"/>
      <c r="BH725" s="116"/>
      <c r="BI725" s="123"/>
      <c r="BJ725" s="123"/>
      <c r="BK725" s="123"/>
      <c r="BP725" s="115"/>
      <c r="BQ725" s="115"/>
      <c r="BR725" s="115"/>
      <c r="BS725" s="115"/>
      <c r="BT725" s="115"/>
      <c r="BU725" s="115"/>
      <c r="BV725" s="115"/>
      <c r="BW725" s="115"/>
      <c r="BX725" s="115"/>
      <c r="BY725" s="115"/>
      <c r="BZ725" s="25"/>
      <c r="CA725" s="13"/>
      <c r="CD725" s="114"/>
    </row>
    <row r="726" spans="1:82" ht="20.100000000000001" customHeight="1" x14ac:dyDescent="0.4">
      <c r="A726" s="117"/>
      <c r="B726" s="123"/>
      <c r="C726" s="123"/>
      <c r="D726" s="123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27"/>
      <c r="AR726" s="29"/>
      <c r="AV726" s="115"/>
      <c r="AW726" s="115"/>
      <c r="AX726" s="115"/>
      <c r="AY726" s="115"/>
      <c r="AZ726" s="115"/>
      <c r="BA726" s="115"/>
      <c r="BB726" s="25"/>
      <c r="BC726" s="13"/>
      <c r="BH726" s="116"/>
      <c r="BI726" s="123"/>
      <c r="BJ726" s="123"/>
      <c r="BK726" s="123"/>
      <c r="BP726" s="115"/>
      <c r="BQ726" s="115"/>
      <c r="BR726" s="115"/>
      <c r="BS726" s="115"/>
      <c r="BT726" s="115"/>
      <c r="BU726" s="115"/>
      <c r="BV726" s="115"/>
      <c r="BW726" s="115"/>
      <c r="BX726" s="115"/>
      <c r="BY726" s="115"/>
      <c r="BZ726" s="25"/>
      <c r="CA726" s="13"/>
      <c r="CD726" s="114"/>
    </row>
    <row r="727" spans="1:82" ht="20.100000000000001" customHeight="1" x14ac:dyDescent="0.4">
      <c r="A727" s="117"/>
      <c r="B727" s="123"/>
      <c r="C727" s="123"/>
      <c r="D727" s="123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127"/>
      <c r="AR727" s="29"/>
      <c r="AV727" s="115"/>
      <c r="AW727" s="115"/>
      <c r="AX727" s="115"/>
      <c r="AY727" s="115"/>
      <c r="AZ727" s="115"/>
      <c r="BA727" s="115"/>
      <c r="BB727" s="25"/>
      <c r="BC727" s="13"/>
      <c r="BH727" s="116"/>
      <c r="BI727" s="123"/>
      <c r="BJ727" s="123"/>
      <c r="BK727" s="123"/>
      <c r="BP727" s="115"/>
      <c r="BQ727" s="115"/>
      <c r="BR727" s="115"/>
      <c r="BS727" s="115"/>
      <c r="BT727" s="115"/>
      <c r="BU727" s="115"/>
      <c r="BV727" s="115"/>
      <c r="BW727" s="115"/>
      <c r="BX727" s="115"/>
      <c r="BY727" s="115"/>
      <c r="BZ727" s="25"/>
      <c r="CA727" s="13"/>
      <c r="CD727" s="114"/>
    </row>
    <row r="728" spans="1:82" ht="20.100000000000001" customHeight="1" x14ac:dyDescent="0.4">
      <c r="A728" s="117"/>
      <c r="B728" s="123"/>
      <c r="C728" s="123"/>
      <c r="D728" s="123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27"/>
      <c r="AR728" s="29"/>
      <c r="AV728" s="115"/>
      <c r="AW728" s="115"/>
      <c r="AX728" s="115"/>
      <c r="AY728" s="115"/>
      <c r="AZ728" s="115"/>
      <c r="BA728" s="115"/>
      <c r="BB728" s="25"/>
      <c r="BC728" s="13"/>
      <c r="BH728" s="116"/>
      <c r="BI728" s="123"/>
      <c r="BJ728" s="123"/>
      <c r="BK728" s="123"/>
      <c r="BP728" s="115"/>
      <c r="BQ728" s="115"/>
      <c r="BR728" s="115"/>
      <c r="BS728" s="115"/>
      <c r="BT728" s="115"/>
      <c r="BU728" s="115"/>
      <c r="BV728" s="115"/>
      <c r="BW728" s="115"/>
      <c r="BX728" s="115"/>
      <c r="BY728" s="115"/>
      <c r="BZ728" s="25"/>
      <c r="CA728" s="13"/>
      <c r="CD728" s="114"/>
    </row>
    <row r="729" spans="1:82" ht="20.100000000000001" customHeight="1" x14ac:dyDescent="0.4">
      <c r="A729" s="117"/>
      <c r="B729" s="123"/>
      <c r="C729" s="123"/>
      <c r="D729" s="123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27"/>
      <c r="AR729" s="29"/>
      <c r="AV729" s="115"/>
      <c r="AW729" s="115"/>
      <c r="AX729" s="115"/>
      <c r="AY729" s="115"/>
      <c r="AZ729" s="115"/>
      <c r="BA729" s="115"/>
      <c r="BB729" s="25"/>
      <c r="BC729" s="13"/>
      <c r="BH729" s="116"/>
      <c r="BI729" s="123"/>
      <c r="BJ729" s="123"/>
      <c r="BK729" s="123"/>
      <c r="BP729" s="115"/>
      <c r="BQ729" s="115"/>
      <c r="BR729" s="115"/>
      <c r="BS729" s="115"/>
      <c r="BT729" s="115"/>
      <c r="BU729" s="115"/>
      <c r="BV729" s="115"/>
      <c r="BW729" s="115"/>
      <c r="BX729" s="115"/>
      <c r="BY729" s="115"/>
      <c r="BZ729" s="25"/>
      <c r="CA729" s="13"/>
      <c r="CD729" s="114"/>
    </row>
    <row r="730" spans="1:82" ht="20.100000000000001" customHeight="1" x14ac:dyDescent="0.4">
      <c r="A730" s="117"/>
      <c r="B730" s="123"/>
      <c r="C730" s="123"/>
      <c r="D730" s="123"/>
      <c r="AQ730" s="127"/>
      <c r="AR730" s="29"/>
      <c r="AT730" s="115"/>
      <c r="AU730" s="115"/>
      <c r="AV730" s="115"/>
      <c r="AW730" s="115"/>
      <c r="AX730" s="115"/>
      <c r="AY730" s="115"/>
      <c r="AZ730" s="115"/>
      <c r="BA730" s="115"/>
      <c r="BB730" s="25">
        <v>45673</v>
      </c>
      <c r="BC730" s="13" t="s">
        <v>148</v>
      </c>
      <c r="BH730" s="116"/>
      <c r="BI730" s="123"/>
      <c r="BJ730" s="123"/>
      <c r="BK730" s="123"/>
      <c r="BP730" s="115"/>
      <c r="BQ730" s="115"/>
      <c r="BR730" s="115"/>
      <c r="BS730" s="115"/>
      <c r="BT730" s="115"/>
      <c r="BU730" s="115"/>
      <c r="BV730" s="115"/>
      <c r="BW730" s="115"/>
      <c r="BX730" s="115"/>
      <c r="BY730" s="115"/>
      <c r="BZ730" s="25"/>
      <c r="CA730" s="13"/>
      <c r="CD730" s="114"/>
    </row>
    <row r="731" spans="1:82" ht="20.100000000000001" customHeight="1" x14ac:dyDescent="0.4">
      <c r="A731" s="117"/>
      <c r="B731" s="123"/>
      <c r="C731" s="123"/>
      <c r="D731" s="123"/>
      <c r="AJ731" s="115"/>
      <c r="AK731" s="115"/>
      <c r="AL731" s="115"/>
      <c r="AM731" s="115"/>
      <c r="AN731" s="115"/>
      <c r="AO731" s="115"/>
      <c r="AP731" s="115"/>
      <c r="AQ731" s="29"/>
      <c r="AR731" s="29"/>
      <c r="AT731" s="115"/>
      <c r="AU731" s="115"/>
      <c r="AV731" s="115"/>
      <c r="AW731" s="115"/>
      <c r="AX731" s="115"/>
      <c r="AY731" s="115"/>
      <c r="AZ731" s="115"/>
      <c r="BA731" s="115"/>
      <c r="BB731" s="25"/>
      <c r="BC731" s="13"/>
      <c r="BH731" s="116"/>
      <c r="BI731" s="123"/>
      <c r="BJ731" s="123"/>
      <c r="BK731" s="123"/>
      <c r="BP731" s="115"/>
      <c r="BQ731" s="115"/>
      <c r="BR731" s="115"/>
      <c r="BS731" s="115"/>
      <c r="BT731" s="115"/>
      <c r="BU731" s="115"/>
      <c r="BV731" s="115"/>
      <c r="BW731" s="115"/>
      <c r="BX731" s="115"/>
      <c r="BY731" s="115"/>
      <c r="BZ731" s="25"/>
      <c r="CA731" s="13"/>
      <c r="CD731" s="114"/>
    </row>
    <row r="732" spans="1:82" ht="20.100000000000001" customHeight="1" x14ac:dyDescent="0.4">
      <c r="A732" s="117"/>
      <c r="B732" s="123"/>
      <c r="C732" s="123"/>
      <c r="D732" s="123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27"/>
      <c r="AR732" s="29"/>
      <c r="AT732" s="115"/>
      <c r="AU732" s="115"/>
      <c r="AV732" s="115"/>
      <c r="AW732" s="115"/>
      <c r="AX732" s="115"/>
      <c r="AY732" s="115"/>
      <c r="AZ732" s="115"/>
      <c r="BA732" s="115"/>
      <c r="BB732" s="25"/>
      <c r="BC732" s="13"/>
      <c r="BH732" s="116"/>
      <c r="BI732" s="123"/>
      <c r="BJ732" s="123"/>
      <c r="BK732" s="123"/>
      <c r="BP732" s="115"/>
      <c r="BQ732" s="115"/>
      <c r="BR732" s="115"/>
      <c r="BS732" s="115"/>
      <c r="BT732" s="115"/>
      <c r="BU732" s="115"/>
      <c r="BV732" s="115"/>
      <c r="BW732" s="115"/>
      <c r="BX732" s="115"/>
      <c r="BY732" s="115"/>
      <c r="BZ732" s="25"/>
      <c r="CA732" s="13"/>
      <c r="CD732" s="114"/>
    </row>
    <row r="733" spans="1:82" ht="20.100000000000001" customHeight="1" x14ac:dyDescent="0.4">
      <c r="A733" s="117"/>
      <c r="B733" s="123"/>
      <c r="C733" s="123"/>
      <c r="D733" s="123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27"/>
      <c r="AR733" s="29"/>
      <c r="AT733" s="115"/>
      <c r="AU733" s="115"/>
      <c r="AV733" s="115"/>
      <c r="AW733" s="115"/>
      <c r="AX733" s="115"/>
      <c r="AY733" s="115"/>
      <c r="AZ733" s="115"/>
      <c r="BA733" s="115"/>
      <c r="BB733" s="25"/>
      <c r="BC733" s="13"/>
      <c r="BH733" s="116"/>
      <c r="BI733" s="123"/>
      <c r="BJ733" s="123"/>
      <c r="BK733" s="123"/>
      <c r="BP733" s="115"/>
      <c r="BQ733" s="115"/>
      <c r="BR733" s="115"/>
      <c r="BS733" s="115"/>
      <c r="BT733" s="115"/>
      <c r="BU733" s="115"/>
      <c r="BV733" s="115"/>
      <c r="BW733" s="115"/>
      <c r="BX733" s="115"/>
      <c r="BY733" s="115"/>
      <c r="BZ733" s="25"/>
      <c r="CA733" s="13"/>
      <c r="CD733" s="114"/>
    </row>
    <row r="734" spans="1:82" ht="20.100000000000001" customHeight="1" x14ac:dyDescent="0.4">
      <c r="A734" s="117"/>
      <c r="B734" s="123"/>
      <c r="C734" s="123"/>
      <c r="D734" s="123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27"/>
      <c r="AR734" s="29"/>
      <c r="AT734" s="115"/>
      <c r="AU734" s="115"/>
      <c r="AV734" s="115"/>
      <c r="AW734" s="115"/>
      <c r="AX734" s="115"/>
      <c r="AY734" s="115"/>
      <c r="AZ734" s="115"/>
      <c r="BA734" s="115"/>
      <c r="BB734" s="25"/>
      <c r="BC734" s="13"/>
      <c r="BH734" s="116"/>
      <c r="BI734" s="123"/>
      <c r="BJ734" s="123"/>
      <c r="BK734" s="123"/>
      <c r="BP734" s="115"/>
      <c r="BQ734" s="115"/>
      <c r="BR734" s="115"/>
      <c r="BS734" s="115"/>
      <c r="BT734" s="115"/>
      <c r="BU734" s="115"/>
      <c r="BV734" s="115"/>
      <c r="BW734" s="115"/>
      <c r="BX734" s="115"/>
      <c r="BY734" s="115"/>
      <c r="BZ734" s="25"/>
      <c r="CA734" s="13"/>
      <c r="CD734" s="114"/>
    </row>
    <row r="735" spans="1:82" ht="20.100000000000001" customHeight="1" x14ac:dyDescent="0.4">
      <c r="A735" s="117"/>
      <c r="B735" s="123"/>
      <c r="C735" s="123"/>
      <c r="D735" s="123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27"/>
      <c r="AR735" s="29"/>
      <c r="AT735" s="115"/>
      <c r="AU735" s="115"/>
      <c r="AV735" s="115"/>
      <c r="AW735" s="115"/>
      <c r="AX735" s="115"/>
      <c r="AY735" s="115"/>
      <c r="AZ735" s="115"/>
      <c r="BA735" s="115"/>
      <c r="BB735" s="25"/>
      <c r="BC735" s="13"/>
      <c r="BH735" s="116"/>
      <c r="BI735" s="123"/>
      <c r="BJ735" s="123"/>
      <c r="BK735" s="123"/>
      <c r="BP735" s="115"/>
      <c r="BQ735" s="115"/>
      <c r="BR735" s="115"/>
      <c r="BS735" s="115"/>
      <c r="BT735" s="115"/>
      <c r="BU735" s="115"/>
      <c r="BV735" s="115"/>
      <c r="BW735" s="115"/>
      <c r="BX735" s="115"/>
      <c r="BY735" s="115"/>
      <c r="BZ735" s="25"/>
      <c r="CA735" s="13"/>
      <c r="CD735" s="114"/>
    </row>
    <row r="736" spans="1:82" ht="20.100000000000001" customHeight="1" x14ac:dyDescent="0.4">
      <c r="A736" s="117"/>
      <c r="B736" s="123"/>
      <c r="C736" s="123"/>
      <c r="D736" s="123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29"/>
      <c r="AR736" s="29"/>
      <c r="AT736" s="115"/>
      <c r="AU736" s="115"/>
      <c r="AV736" s="115"/>
      <c r="AW736" s="115"/>
      <c r="AX736" s="115"/>
      <c r="AY736" s="115"/>
      <c r="AZ736" s="115"/>
      <c r="BA736" s="115"/>
      <c r="BB736" s="25"/>
      <c r="BC736" s="13"/>
      <c r="BH736" s="116"/>
      <c r="BI736" s="123"/>
      <c r="BJ736" s="123"/>
      <c r="BK736" s="123"/>
      <c r="BP736" s="115"/>
      <c r="BQ736" s="115"/>
      <c r="BR736" s="115"/>
      <c r="BS736" s="115"/>
      <c r="BT736" s="115"/>
      <c r="BU736" s="115"/>
      <c r="BV736" s="115"/>
      <c r="BW736" s="115"/>
      <c r="BX736" s="115"/>
      <c r="BY736" s="115"/>
      <c r="BZ736" s="25"/>
      <c r="CA736" s="13"/>
      <c r="CD736" s="114"/>
    </row>
    <row r="737" spans="1:82" ht="20.100000000000001" customHeight="1" x14ac:dyDescent="0.4">
      <c r="A737" s="117"/>
      <c r="B737" s="123"/>
      <c r="C737" s="123"/>
      <c r="D737" s="123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27"/>
      <c r="AR737" s="29"/>
      <c r="AT737" s="115"/>
      <c r="AU737" s="115"/>
      <c r="AV737" s="115"/>
      <c r="AW737" s="115"/>
      <c r="AX737" s="115"/>
      <c r="AY737" s="115"/>
      <c r="AZ737" s="115"/>
      <c r="BA737" s="115"/>
      <c r="BB737" s="25"/>
      <c r="BC737" s="13"/>
      <c r="BH737" s="116"/>
      <c r="BI737" s="123"/>
      <c r="BJ737" s="123"/>
      <c r="BK737" s="123"/>
      <c r="BP737" s="115"/>
      <c r="BQ737" s="115"/>
      <c r="BR737" s="115"/>
      <c r="BS737" s="115"/>
      <c r="BT737" s="115"/>
      <c r="BU737" s="115"/>
      <c r="BV737" s="115"/>
      <c r="BW737" s="115"/>
      <c r="BX737" s="115"/>
      <c r="BY737" s="115"/>
      <c r="BZ737" s="25"/>
      <c r="CA737" s="13"/>
      <c r="CD737" s="114"/>
    </row>
    <row r="738" spans="1:82" ht="20.100000000000001" customHeight="1" x14ac:dyDescent="0.4">
      <c r="A738" s="117"/>
      <c r="B738" s="123"/>
      <c r="C738" s="123"/>
      <c r="D738" s="123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27"/>
      <c r="AR738" s="29"/>
      <c r="AT738" s="115"/>
      <c r="AU738" s="115"/>
      <c r="AV738" s="115"/>
      <c r="AW738" s="115"/>
      <c r="AX738" s="115"/>
      <c r="AY738" s="115"/>
      <c r="AZ738" s="115"/>
      <c r="BA738" s="115"/>
      <c r="BB738" s="25"/>
      <c r="BC738" s="13"/>
      <c r="BH738" s="116"/>
      <c r="BI738" s="123"/>
      <c r="BJ738" s="123"/>
      <c r="BK738" s="123"/>
      <c r="BP738" s="115"/>
      <c r="BQ738" s="115"/>
      <c r="BR738" s="115"/>
      <c r="BS738" s="115"/>
      <c r="BT738" s="115"/>
      <c r="BU738" s="115"/>
      <c r="BV738" s="115"/>
      <c r="BW738" s="115"/>
      <c r="BX738" s="115"/>
      <c r="BY738" s="115"/>
      <c r="BZ738" s="25"/>
      <c r="CA738" s="13"/>
      <c r="CD738" s="114"/>
    </row>
    <row r="739" spans="1:82" ht="20.100000000000001" customHeight="1" x14ac:dyDescent="0.4">
      <c r="A739" s="117"/>
      <c r="B739" s="123"/>
      <c r="C739" s="123"/>
      <c r="D739" s="123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27"/>
      <c r="AR739" s="29"/>
      <c r="AT739" s="115"/>
      <c r="AU739" s="115"/>
      <c r="AV739" s="115"/>
      <c r="AW739" s="115"/>
      <c r="AX739" s="115"/>
      <c r="AY739" s="115"/>
      <c r="AZ739" s="115"/>
      <c r="BA739" s="115"/>
      <c r="BB739" s="25"/>
      <c r="BC739" s="13"/>
      <c r="BH739" s="116"/>
      <c r="BI739" s="123"/>
      <c r="BJ739" s="123"/>
      <c r="BK739" s="123"/>
      <c r="BP739" s="115"/>
      <c r="BQ739" s="115"/>
      <c r="BR739" s="115"/>
      <c r="BS739" s="115"/>
      <c r="BT739" s="115"/>
      <c r="BU739" s="115"/>
      <c r="BV739" s="115"/>
      <c r="BW739" s="115"/>
      <c r="BX739" s="115"/>
      <c r="BY739" s="115"/>
      <c r="BZ739" s="25"/>
      <c r="CA739" s="13"/>
      <c r="CD739" s="114"/>
    </row>
    <row r="740" spans="1:82" ht="20.100000000000001" customHeight="1" x14ac:dyDescent="0.4">
      <c r="A740" s="117"/>
      <c r="B740" s="123"/>
      <c r="C740" s="123"/>
      <c r="D740" s="123"/>
      <c r="AQ740" s="127"/>
      <c r="AR740" s="29"/>
      <c r="AT740" s="115"/>
      <c r="AU740" s="115"/>
      <c r="AV740" s="115"/>
      <c r="AW740" s="115"/>
      <c r="AX740" s="115"/>
      <c r="AY740" s="115"/>
      <c r="AZ740" s="115"/>
      <c r="BA740" s="115"/>
      <c r="BB740" s="25">
        <v>45673</v>
      </c>
      <c r="BC740" s="13" t="s">
        <v>147</v>
      </c>
      <c r="BH740" s="116"/>
      <c r="BI740" s="123"/>
      <c r="BJ740" s="123"/>
      <c r="BK740" s="123"/>
      <c r="BP740" s="115"/>
      <c r="BQ740" s="115"/>
      <c r="BR740" s="115"/>
      <c r="BS740" s="115"/>
      <c r="BT740" s="115"/>
      <c r="BU740" s="115"/>
      <c r="BV740" s="115"/>
      <c r="BW740" s="115"/>
      <c r="BX740" s="115"/>
      <c r="BY740" s="115"/>
      <c r="BZ740" s="25"/>
      <c r="CA740" s="13"/>
      <c r="CD740" s="114"/>
    </row>
    <row r="741" spans="1:82" ht="20.100000000000001" customHeight="1" x14ac:dyDescent="0.4">
      <c r="A741" s="117"/>
      <c r="B741" s="123"/>
      <c r="C741" s="123"/>
      <c r="D741" s="123"/>
      <c r="AJ741" s="115"/>
      <c r="AK741" s="115"/>
      <c r="AL741" s="115"/>
      <c r="AM741" s="115"/>
      <c r="AN741" s="115"/>
      <c r="AO741" s="115"/>
      <c r="AP741" s="115"/>
      <c r="AQ741" s="29"/>
      <c r="AR741" s="29"/>
      <c r="AT741" s="115"/>
      <c r="AU741" s="115"/>
      <c r="AV741" s="115"/>
      <c r="AW741" s="115"/>
      <c r="AX741" s="115"/>
      <c r="AY741" s="115"/>
      <c r="AZ741" s="115"/>
      <c r="BA741" s="115"/>
      <c r="BB741" s="25"/>
      <c r="BC741" s="13"/>
      <c r="BH741" s="116"/>
      <c r="BI741" s="123"/>
      <c r="BJ741" s="123"/>
      <c r="BK741" s="123"/>
      <c r="BP741" s="115"/>
      <c r="BQ741" s="115"/>
      <c r="BR741" s="115"/>
      <c r="BS741" s="115"/>
      <c r="BT741" s="115"/>
      <c r="BU741" s="115"/>
      <c r="BV741" s="115"/>
      <c r="BW741" s="115"/>
      <c r="BX741" s="115"/>
      <c r="BY741" s="115"/>
      <c r="BZ741" s="25"/>
      <c r="CA741" s="13"/>
      <c r="CD741" s="114"/>
    </row>
    <row r="742" spans="1:82" ht="20.100000000000001" customHeight="1" x14ac:dyDescent="0.4">
      <c r="A742" s="117"/>
      <c r="B742" s="123"/>
      <c r="C742" s="123"/>
      <c r="D742" s="123"/>
      <c r="AQ742" s="127"/>
      <c r="AR742" s="29"/>
      <c r="AT742" s="115"/>
      <c r="AU742" s="115"/>
      <c r="AV742" s="115"/>
      <c r="AW742" s="115"/>
      <c r="AX742" s="115"/>
      <c r="AY742" s="115"/>
      <c r="AZ742" s="115"/>
      <c r="BA742" s="115"/>
      <c r="BB742" s="25"/>
      <c r="BC742" s="13"/>
      <c r="BH742" s="116"/>
      <c r="BI742" s="123"/>
      <c r="BJ742" s="123"/>
      <c r="BK742" s="123"/>
      <c r="BP742" s="115"/>
      <c r="BQ742" s="115"/>
      <c r="BR742" s="115"/>
      <c r="BS742" s="115"/>
      <c r="BT742" s="115"/>
      <c r="BU742" s="115"/>
      <c r="BV742" s="115"/>
      <c r="BW742" s="115"/>
      <c r="BX742" s="115"/>
      <c r="BY742" s="115"/>
      <c r="BZ742" s="25"/>
      <c r="CA742" s="13"/>
      <c r="CD742" s="114"/>
    </row>
    <row r="743" spans="1:82" ht="20.100000000000001" customHeight="1" x14ac:dyDescent="0.4">
      <c r="A743" s="117"/>
      <c r="B743" s="123"/>
      <c r="C743" s="123"/>
      <c r="D743" s="123"/>
      <c r="AJ743" s="115"/>
      <c r="AK743" s="115"/>
      <c r="AL743" s="115"/>
      <c r="AM743" s="115"/>
      <c r="AN743" s="115"/>
      <c r="AO743" s="115"/>
      <c r="AP743" s="115"/>
      <c r="AQ743" s="29"/>
      <c r="AR743" s="29"/>
      <c r="AT743" s="115"/>
      <c r="AU743" s="115"/>
      <c r="AV743" s="115"/>
      <c r="AW743" s="115"/>
      <c r="AX743" s="115"/>
      <c r="AY743" s="115"/>
      <c r="AZ743" s="115"/>
      <c r="BA743" s="115"/>
      <c r="BB743" s="25"/>
      <c r="BC743" s="13"/>
      <c r="BH743" s="116"/>
      <c r="BI743" s="123"/>
      <c r="BJ743" s="123"/>
      <c r="BK743" s="123"/>
      <c r="BP743" s="115"/>
      <c r="BQ743" s="115"/>
      <c r="BR743" s="115"/>
      <c r="BS743" s="115"/>
      <c r="BT743" s="115"/>
      <c r="BU743" s="115"/>
      <c r="BV743" s="115"/>
      <c r="BW743" s="115"/>
      <c r="BX743" s="115"/>
      <c r="BY743" s="115"/>
      <c r="BZ743" s="25"/>
      <c r="CA743" s="13"/>
      <c r="CD743" s="114"/>
    </row>
    <row r="744" spans="1:82" ht="20.100000000000001" customHeight="1" x14ac:dyDescent="0.4">
      <c r="A744" s="117"/>
      <c r="B744" s="123"/>
      <c r="C744" s="123"/>
      <c r="D744" s="123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27"/>
      <c r="AR744" s="29"/>
      <c r="AT744" s="115"/>
      <c r="AU744" s="115"/>
      <c r="AV744" s="115"/>
      <c r="AW744" s="115"/>
      <c r="AX744" s="115"/>
      <c r="AY744" s="115"/>
      <c r="AZ744" s="115"/>
      <c r="BA744" s="115"/>
      <c r="BB744" s="25"/>
      <c r="BC744" s="13"/>
      <c r="BH744" s="116"/>
      <c r="BI744" s="123"/>
      <c r="BJ744" s="123"/>
      <c r="BK744" s="123"/>
      <c r="BP744" s="115"/>
      <c r="BQ744" s="115"/>
      <c r="BR744" s="115"/>
      <c r="BS744" s="115"/>
      <c r="BT744" s="115"/>
      <c r="BU744" s="115"/>
      <c r="BV744" s="115"/>
      <c r="BW744" s="115"/>
      <c r="BX744" s="115"/>
      <c r="BY744" s="115"/>
      <c r="BZ744" s="25"/>
      <c r="CA744" s="13"/>
      <c r="CD744" s="114"/>
    </row>
    <row r="745" spans="1:82" ht="20.100000000000001" customHeight="1" x14ac:dyDescent="0.4">
      <c r="A745" s="117"/>
      <c r="B745" s="123"/>
      <c r="C745" s="123"/>
      <c r="D745" s="123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29"/>
      <c r="AR745" s="29"/>
      <c r="AT745" s="115"/>
      <c r="AU745" s="115"/>
      <c r="AV745" s="115"/>
      <c r="AW745" s="115"/>
      <c r="AX745" s="115"/>
      <c r="AY745" s="115"/>
      <c r="AZ745" s="115"/>
      <c r="BA745" s="115"/>
      <c r="BB745" s="25"/>
      <c r="BC745" s="13"/>
      <c r="BH745" s="116"/>
      <c r="BI745" s="123"/>
      <c r="BJ745" s="123"/>
      <c r="BK745" s="123"/>
      <c r="BP745" s="115"/>
      <c r="BQ745" s="115"/>
      <c r="BR745" s="115"/>
      <c r="BS745" s="115"/>
      <c r="BT745" s="115"/>
      <c r="BU745" s="115"/>
      <c r="BV745" s="115"/>
      <c r="BW745" s="115"/>
      <c r="BX745" s="115"/>
      <c r="BY745" s="115"/>
      <c r="BZ745" s="25"/>
      <c r="CA745" s="13"/>
      <c r="CD745" s="114"/>
    </row>
    <row r="746" spans="1:82" ht="20.100000000000001" customHeight="1" x14ac:dyDescent="0.4">
      <c r="A746" s="117"/>
      <c r="B746" s="123"/>
      <c r="C746" s="123"/>
      <c r="D746" s="123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29"/>
      <c r="AR746" s="29"/>
      <c r="AT746" s="115"/>
      <c r="AU746" s="115"/>
      <c r="AV746" s="115"/>
      <c r="AW746" s="115"/>
      <c r="AX746" s="115"/>
      <c r="AY746" s="115"/>
      <c r="AZ746" s="115"/>
      <c r="BA746" s="115"/>
      <c r="BB746" s="25"/>
      <c r="BC746" s="13"/>
      <c r="BH746" s="116"/>
      <c r="BI746" s="123"/>
      <c r="BJ746" s="123"/>
      <c r="BK746" s="123"/>
      <c r="BP746" s="115"/>
      <c r="BQ746" s="115"/>
      <c r="BR746" s="115"/>
      <c r="BS746" s="115"/>
      <c r="BT746" s="115"/>
      <c r="BU746" s="115"/>
      <c r="BV746" s="115"/>
      <c r="BW746" s="115"/>
      <c r="BX746" s="115"/>
      <c r="BY746" s="115"/>
      <c r="BZ746" s="25"/>
      <c r="CA746" s="13"/>
      <c r="CD746" s="114"/>
    </row>
    <row r="747" spans="1:82" ht="20.100000000000001" customHeight="1" x14ac:dyDescent="0.4">
      <c r="A747" s="117"/>
      <c r="B747" s="123"/>
      <c r="C747" s="123"/>
      <c r="D747" s="123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29"/>
      <c r="AR747" s="29"/>
      <c r="AT747" s="115"/>
      <c r="AU747" s="115"/>
      <c r="AV747" s="115"/>
      <c r="AW747" s="115"/>
      <c r="AX747" s="115"/>
      <c r="AY747" s="115"/>
      <c r="AZ747" s="115"/>
      <c r="BA747" s="115"/>
      <c r="BB747" s="25"/>
      <c r="BC747" s="13"/>
      <c r="BH747" s="116"/>
      <c r="BI747" s="123"/>
      <c r="BJ747" s="123"/>
      <c r="BK747" s="123"/>
      <c r="BP747" s="115"/>
      <c r="BQ747" s="115"/>
      <c r="BR747" s="115"/>
      <c r="BS747" s="115"/>
      <c r="BT747" s="115"/>
      <c r="BU747" s="115"/>
      <c r="BV747" s="115"/>
      <c r="BW747" s="115"/>
      <c r="BX747" s="115"/>
      <c r="BY747" s="115"/>
      <c r="BZ747" s="25"/>
      <c r="CA747" s="13"/>
      <c r="CD747" s="114"/>
    </row>
    <row r="748" spans="1:82" ht="20.100000000000001" customHeight="1" x14ac:dyDescent="0.4">
      <c r="A748" s="117"/>
      <c r="B748" s="123"/>
      <c r="C748" s="123"/>
      <c r="D748" s="123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127"/>
      <c r="AR748" s="29"/>
      <c r="AT748" s="115"/>
      <c r="AU748" s="115"/>
      <c r="AV748" s="115"/>
      <c r="AW748" s="115"/>
      <c r="AX748" s="115"/>
      <c r="AY748" s="115"/>
      <c r="AZ748" s="115"/>
      <c r="BA748" s="115"/>
      <c r="BB748" s="25"/>
      <c r="BC748" s="13"/>
      <c r="BH748" s="116"/>
      <c r="BI748" s="123"/>
      <c r="BJ748" s="123"/>
      <c r="BK748" s="123"/>
      <c r="BP748" s="115"/>
      <c r="BQ748" s="115"/>
      <c r="BR748" s="115"/>
      <c r="BS748" s="115"/>
      <c r="BT748" s="115"/>
      <c r="BU748" s="115"/>
      <c r="BV748" s="115"/>
      <c r="BW748" s="115"/>
      <c r="BX748" s="115"/>
      <c r="BY748" s="115"/>
      <c r="BZ748" s="25"/>
      <c r="CA748" s="13"/>
      <c r="CD748" s="114"/>
    </row>
    <row r="749" spans="1:82" ht="20.100000000000001" customHeight="1" x14ac:dyDescent="0.4">
      <c r="A749" s="117"/>
      <c r="B749" s="123"/>
      <c r="C749" s="123"/>
      <c r="D749" s="123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29"/>
      <c r="AR749" s="29"/>
      <c r="AT749" s="115"/>
      <c r="AU749" s="115"/>
      <c r="AV749" s="115"/>
      <c r="AW749" s="115"/>
      <c r="AX749" s="115"/>
      <c r="AY749" s="115"/>
      <c r="AZ749" s="115"/>
      <c r="BA749" s="115"/>
      <c r="BB749" s="25"/>
      <c r="BC749" s="13"/>
      <c r="BH749" s="116"/>
      <c r="BI749" s="123"/>
      <c r="BJ749" s="123"/>
      <c r="BK749" s="123"/>
      <c r="BP749" s="115"/>
      <c r="BQ749" s="115"/>
      <c r="BR749" s="115"/>
      <c r="BS749" s="115"/>
      <c r="BT749" s="115"/>
      <c r="BU749" s="115"/>
      <c r="BV749" s="115"/>
      <c r="BW749" s="115"/>
      <c r="BX749" s="115"/>
      <c r="BY749" s="115"/>
      <c r="BZ749" s="25"/>
      <c r="CA749" s="13"/>
      <c r="CD749" s="114"/>
    </row>
    <row r="750" spans="1:82" ht="20.100000000000001" customHeight="1" x14ac:dyDescent="0.4">
      <c r="A750" s="117"/>
      <c r="B750" s="123"/>
      <c r="C750" s="123"/>
      <c r="D750" s="123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27"/>
      <c r="AR750" s="29"/>
      <c r="AT750" s="115"/>
      <c r="AU750" s="115"/>
      <c r="AV750" s="115"/>
      <c r="AW750" s="115"/>
      <c r="AX750" s="115"/>
      <c r="AY750" s="115"/>
      <c r="AZ750" s="115"/>
      <c r="BA750" s="115"/>
      <c r="BB750" s="25"/>
      <c r="BC750" s="13"/>
      <c r="BH750" s="116"/>
      <c r="BI750" s="123"/>
      <c r="BJ750" s="123"/>
      <c r="BK750" s="123"/>
      <c r="BP750" s="115"/>
      <c r="BQ750" s="115"/>
      <c r="BR750" s="115"/>
      <c r="BS750" s="115"/>
      <c r="BT750" s="115"/>
      <c r="BU750" s="115"/>
      <c r="BV750" s="115"/>
      <c r="BW750" s="115"/>
      <c r="BX750" s="115"/>
      <c r="BY750" s="115"/>
      <c r="BZ750" s="25"/>
      <c r="CA750" s="13"/>
      <c r="CD750" s="114"/>
    </row>
    <row r="751" spans="1:82" ht="20.100000000000001" customHeight="1" x14ac:dyDescent="0.4">
      <c r="A751" s="117"/>
      <c r="B751" s="123"/>
      <c r="C751" s="123"/>
      <c r="D751" s="123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115"/>
      <c r="AO751" s="115"/>
      <c r="AP751" s="115"/>
      <c r="AQ751" s="127"/>
      <c r="AR751" s="29"/>
      <c r="AT751" s="115"/>
      <c r="AU751" s="115"/>
      <c r="AV751" s="115"/>
      <c r="AW751" s="115"/>
      <c r="AX751" s="115"/>
      <c r="AY751" s="115"/>
      <c r="AZ751" s="115"/>
      <c r="BA751" s="115"/>
      <c r="BB751" s="25"/>
      <c r="BC751" s="13"/>
      <c r="BH751" s="116"/>
      <c r="BI751" s="123"/>
      <c r="BJ751" s="123"/>
      <c r="BK751" s="123"/>
      <c r="BP751" s="115"/>
      <c r="BQ751" s="115"/>
      <c r="BR751" s="115"/>
      <c r="BS751" s="115"/>
      <c r="BT751" s="115"/>
      <c r="BU751" s="115"/>
      <c r="BV751" s="115"/>
      <c r="BW751" s="115"/>
      <c r="BX751" s="115"/>
      <c r="BY751" s="115"/>
      <c r="BZ751" s="25"/>
      <c r="CA751" s="13"/>
      <c r="CD751" s="114"/>
    </row>
    <row r="752" spans="1:82" ht="20.100000000000001" customHeight="1" x14ac:dyDescent="0.4">
      <c r="A752" s="117"/>
      <c r="B752" s="123"/>
      <c r="C752" s="123"/>
      <c r="D752" s="123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127"/>
      <c r="AR752" s="29"/>
      <c r="AT752" s="115"/>
      <c r="AU752" s="115"/>
      <c r="AV752" s="115"/>
      <c r="AW752" s="115"/>
      <c r="AX752" s="115"/>
      <c r="AY752" s="115"/>
      <c r="AZ752" s="115"/>
      <c r="BA752" s="115"/>
      <c r="BB752" s="25"/>
      <c r="BC752" s="13"/>
      <c r="BH752" s="116"/>
      <c r="BI752" s="123"/>
      <c r="BJ752" s="123"/>
      <c r="BK752" s="123"/>
      <c r="BP752" s="115"/>
      <c r="BQ752" s="115"/>
      <c r="BR752" s="115"/>
      <c r="BS752" s="115"/>
      <c r="BT752" s="115"/>
      <c r="BU752" s="115"/>
      <c r="BV752" s="115"/>
      <c r="BW752" s="115"/>
      <c r="BX752" s="115"/>
      <c r="BY752" s="115"/>
      <c r="BZ752" s="25"/>
      <c r="CA752" s="13"/>
      <c r="CD752" s="114"/>
    </row>
    <row r="753" spans="1:82" ht="20.100000000000001" customHeight="1" x14ac:dyDescent="0.4">
      <c r="A753" s="117"/>
      <c r="B753" s="123"/>
      <c r="C753" s="123"/>
      <c r="D753" s="123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127"/>
      <c r="AR753" s="29"/>
      <c r="AT753" s="115"/>
      <c r="AU753" s="115"/>
      <c r="AV753" s="115"/>
      <c r="AW753" s="115"/>
      <c r="AX753" s="115"/>
      <c r="AY753" s="115"/>
      <c r="AZ753" s="115"/>
      <c r="BA753" s="115"/>
      <c r="BB753" s="25"/>
      <c r="BC753" s="13"/>
      <c r="BH753" s="116"/>
      <c r="BI753" s="123"/>
      <c r="BJ753" s="123"/>
      <c r="BK753" s="123"/>
      <c r="BP753" s="115"/>
      <c r="BQ753" s="115"/>
      <c r="BR753" s="115"/>
      <c r="BS753" s="115"/>
      <c r="BT753" s="115"/>
      <c r="BU753" s="115"/>
      <c r="BV753" s="115"/>
      <c r="BW753" s="115"/>
      <c r="BX753" s="115"/>
      <c r="BY753" s="115"/>
      <c r="BZ753" s="25"/>
      <c r="CA753" s="13"/>
      <c r="CD753" s="114"/>
    </row>
    <row r="754" spans="1:82" ht="20.100000000000001" customHeight="1" x14ac:dyDescent="0.4">
      <c r="A754" s="117"/>
      <c r="B754" s="123"/>
      <c r="C754" s="123"/>
      <c r="D754" s="123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115"/>
      <c r="AQ754" s="127"/>
      <c r="AR754" s="29"/>
      <c r="AT754" s="115"/>
      <c r="AU754" s="115"/>
      <c r="AV754" s="115"/>
      <c r="AW754" s="115"/>
      <c r="AX754" s="115"/>
      <c r="AY754" s="115"/>
      <c r="AZ754" s="115"/>
      <c r="BA754" s="115"/>
      <c r="BB754" s="25"/>
      <c r="BC754" s="13"/>
      <c r="BH754" s="116"/>
      <c r="BI754" s="123"/>
      <c r="BJ754" s="123"/>
      <c r="BK754" s="123"/>
      <c r="BP754" s="115"/>
      <c r="BQ754" s="115"/>
      <c r="BR754" s="115"/>
      <c r="BS754" s="115"/>
      <c r="BT754" s="115"/>
      <c r="BU754" s="115"/>
      <c r="BV754" s="115"/>
      <c r="BW754" s="115"/>
      <c r="BX754" s="115"/>
      <c r="BY754" s="115"/>
      <c r="BZ754" s="25"/>
      <c r="CA754" s="13"/>
      <c r="CD754" s="114"/>
    </row>
    <row r="755" spans="1:82" ht="20.100000000000001" customHeight="1" x14ac:dyDescent="0.4">
      <c r="A755" s="117"/>
      <c r="B755" s="123"/>
      <c r="C755" s="123"/>
      <c r="D755" s="123"/>
      <c r="AQ755" s="127"/>
      <c r="AR755" s="29"/>
      <c r="AT755" s="115"/>
      <c r="AU755" s="115"/>
      <c r="AV755" s="115"/>
      <c r="AW755" s="115"/>
      <c r="AX755" s="115"/>
      <c r="AY755" s="115"/>
      <c r="AZ755" s="115"/>
      <c r="BA755" s="115"/>
      <c r="BB755" s="25">
        <v>45673</v>
      </c>
      <c r="BC755" s="13" t="s">
        <v>147</v>
      </c>
      <c r="BH755" s="116"/>
      <c r="BI755" s="123"/>
      <c r="BJ755" s="123"/>
      <c r="BK755" s="123"/>
      <c r="BP755" s="115"/>
      <c r="BQ755" s="115"/>
      <c r="BR755" s="115"/>
      <c r="BS755" s="115"/>
      <c r="BT755" s="115"/>
      <c r="BU755" s="115"/>
      <c r="BV755" s="115"/>
      <c r="BW755" s="115"/>
      <c r="BX755" s="115"/>
      <c r="BY755" s="115"/>
      <c r="BZ755" s="25"/>
      <c r="CA755" s="13"/>
      <c r="CD755" s="114"/>
    </row>
    <row r="756" spans="1:82" ht="20.100000000000001" customHeight="1" x14ac:dyDescent="0.4">
      <c r="A756" s="117"/>
      <c r="B756" s="123"/>
      <c r="C756" s="123"/>
      <c r="D756" s="123"/>
      <c r="AQ756" s="127"/>
      <c r="AR756" s="29"/>
      <c r="AT756" s="115"/>
      <c r="AU756" s="115"/>
      <c r="AV756" s="115"/>
      <c r="AW756" s="115"/>
      <c r="AX756" s="115"/>
      <c r="AY756" s="115"/>
      <c r="AZ756" s="115"/>
      <c r="BA756" s="115"/>
      <c r="BB756" s="25">
        <v>45673</v>
      </c>
      <c r="BC756" s="13" t="s">
        <v>147</v>
      </c>
      <c r="BH756" s="116"/>
      <c r="BI756" s="123"/>
      <c r="BJ756" s="123"/>
      <c r="BK756" s="123"/>
      <c r="BP756" s="115"/>
      <c r="BQ756" s="115"/>
      <c r="BR756" s="115"/>
      <c r="BS756" s="115"/>
      <c r="BT756" s="115"/>
      <c r="BU756" s="115"/>
      <c r="BV756" s="115"/>
      <c r="BW756" s="115"/>
      <c r="BX756" s="115"/>
      <c r="BY756" s="115"/>
      <c r="BZ756" s="25"/>
      <c r="CA756" s="13"/>
      <c r="CD756" s="114"/>
    </row>
    <row r="757" spans="1:82" ht="20.100000000000001" customHeight="1" x14ac:dyDescent="0.4">
      <c r="A757" s="117"/>
      <c r="B757" s="123"/>
      <c r="C757" s="123"/>
      <c r="D757" s="123"/>
      <c r="AQ757" s="127"/>
      <c r="AR757" s="29"/>
      <c r="AT757" s="115"/>
      <c r="AU757" s="115"/>
      <c r="AV757" s="115"/>
      <c r="AW757" s="115"/>
      <c r="AX757" s="115"/>
      <c r="AY757" s="115"/>
      <c r="AZ757" s="115"/>
      <c r="BA757" s="115"/>
      <c r="BB757" s="25">
        <v>45675</v>
      </c>
      <c r="BC757" s="13" t="s">
        <v>147</v>
      </c>
      <c r="BH757" s="116"/>
      <c r="BI757" s="123"/>
      <c r="BJ757" s="123"/>
      <c r="BK757" s="123"/>
      <c r="BP757" s="115"/>
      <c r="BQ757" s="115"/>
      <c r="BR757" s="115"/>
      <c r="BS757" s="115"/>
      <c r="BT757" s="115"/>
      <c r="BU757" s="115"/>
      <c r="BV757" s="115"/>
      <c r="BW757" s="115"/>
      <c r="BX757" s="115"/>
      <c r="BY757" s="115"/>
      <c r="BZ757" s="25"/>
      <c r="CA757" s="13"/>
      <c r="CD757" s="114"/>
    </row>
    <row r="758" spans="1:82" ht="20.100000000000001" customHeight="1" x14ac:dyDescent="0.4">
      <c r="A758" s="117"/>
      <c r="B758" s="123"/>
      <c r="C758" s="123"/>
      <c r="D758" s="123"/>
      <c r="AQ758" s="127"/>
      <c r="AR758" s="29"/>
      <c r="AT758" s="115"/>
      <c r="AU758" s="115"/>
      <c r="AV758" s="115"/>
      <c r="AW758" s="115"/>
      <c r="AX758" s="115"/>
      <c r="AY758" s="115"/>
      <c r="AZ758" s="115"/>
      <c r="BA758" s="115"/>
      <c r="BB758" s="25"/>
      <c r="BC758" s="13"/>
      <c r="BH758" s="116"/>
      <c r="BI758" s="123"/>
      <c r="BJ758" s="123"/>
      <c r="BK758" s="123"/>
      <c r="BP758" s="115"/>
      <c r="BQ758" s="115"/>
      <c r="BR758" s="115"/>
      <c r="BS758" s="115"/>
      <c r="BT758" s="115"/>
      <c r="BU758" s="115"/>
      <c r="BV758" s="115"/>
      <c r="BW758" s="115"/>
      <c r="BX758" s="115"/>
      <c r="BY758" s="115"/>
      <c r="BZ758" s="25"/>
      <c r="CA758" s="13"/>
      <c r="CD758" s="114"/>
    </row>
    <row r="759" spans="1:82" ht="20.100000000000001" customHeight="1" x14ac:dyDescent="0.4">
      <c r="A759" s="117"/>
      <c r="B759" s="123"/>
      <c r="C759" s="123"/>
      <c r="D759" s="123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27"/>
      <c r="AR759" s="29"/>
      <c r="AT759" s="115"/>
      <c r="AU759" s="115"/>
      <c r="AV759" s="115"/>
      <c r="AW759" s="115"/>
      <c r="AX759" s="115"/>
      <c r="AY759" s="115"/>
      <c r="AZ759" s="115"/>
      <c r="BA759" s="115"/>
      <c r="BB759" s="25"/>
      <c r="BC759" s="13"/>
      <c r="BH759" s="116"/>
      <c r="BI759" s="123"/>
      <c r="BJ759" s="123"/>
      <c r="BK759" s="123"/>
      <c r="BP759" s="115"/>
      <c r="BQ759" s="115"/>
      <c r="BR759" s="115"/>
      <c r="BS759" s="115"/>
      <c r="BT759" s="115"/>
      <c r="BU759" s="115"/>
      <c r="BV759" s="115"/>
      <c r="BW759" s="115"/>
      <c r="BX759" s="115"/>
      <c r="BY759" s="115"/>
      <c r="BZ759" s="25"/>
      <c r="CA759" s="13"/>
      <c r="CD759" s="114"/>
    </row>
    <row r="760" spans="1:82" ht="20.100000000000001" customHeight="1" x14ac:dyDescent="0.4">
      <c r="A760" s="117"/>
      <c r="B760" s="123"/>
      <c r="C760" s="123"/>
      <c r="D760" s="123"/>
      <c r="AQ760" s="127"/>
      <c r="AR760" s="29"/>
      <c r="AT760" s="115"/>
      <c r="AU760" s="115"/>
      <c r="AV760" s="115"/>
      <c r="AW760" s="115"/>
      <c r="AX760" s="115"/>
      <c r="AY760" s="115"/>
      <c r="AZ760" s="115"/>
      <c r="BA760" s="115"/>
      <c r="BB760" s="25">
        <v>45675</v>
      </c>
      <c r="BC760" s="15" t="s">
        <v>147</v>
      </c>
      <c r="BH760" s="116"/>
      <c r="BI760" s="123"/>
      <c r="BJ760" s="123"/>
      <c r="BK760" s="123"/>
      <c r="BP760" s="115"/>
      <c r="BQ760" s="115"/>
      <c r="BR760" s="115"/>
      <c r="BS760" s="115"/>
      <c r="BT760" s="115"/>
      <c r="BU760" s="115"/>
      <c r="BV760" s="115"/>
      <c r="BW760" s="115"/>
      <c r="BX760" s="115"/>
      <c r="BY760" s="115"/>
      <c r="BZ760" s="25"/>
      <c r="CA760" s="13"/>
      <c r="CD760" s="114"/>
    </row>
    <row r="761" spans="1:82" ht="20.100000000000001" customHeight="1" x14ac:dyDescent="0.4">
      <c r="A761" s="117"/>
      <c r="B761" s="123"/>
      <c r="C761" s="123"/>
      <c r="D761" s="123"/>
      <c r="AQ761" s="127"/>
      <c r="AR761" s="29"/>
      <c r="AT761" s="115"/>
      <c r="AU761" s="115"/>
      <c r="AV761" s="115"/>
      <c r="AW761" s="115"/>
      <c r="AX761" s="115"/>
      <c r="AY761" s="115"/>
      <c r="AZ761" s="115"/>
      <c r="BA761" s="115"/>
      <c r="BB761" s="25"/>
      <c r="BC761" s="13"/>
      <c r="BH761" s="116"/>
      <c r="BI761" s="123"/>
      <c r="BJ761" s="123"/>
      <c r="BK761" s="123"/>
      <c r="BP761" s="115"/>
      <c r="BQ761" s="115"/>
      <c r="BR761" s="115"/>
      <c r="BS761" s="115"/>
      <c r="BT761" s="115"/>
      <c r="BU761" s="115"/>
      <c r="BV761" s="115"/>
      <c r="BW761" s="115"/>
      <c r="BX761" s="115"/>
      <c r="BY761" s="115"/>
      <c r="BZ761" s="25"/>
      <c r="CA761" s="13"/>
      <c r="CD761" s="114"/>
    </row>
    <row r="762" spans="1:82" ht="20.100000000000001" customHeight="1" x14ac:dyDescent="0.4">
      <c r="A762" s="117"/>
      <c r="B762" s="123"/>
      <c r="C762" s="123"/>
      <c r="D762" s="123"/>
      <c r="AQ762" s="127"/>
      <c r="AR762" s="29"/>
      <c r="AT762" s="115"/>
      <c r="AU762" s="115"/>
      <c r="AV762" s="115"/>
      <c r="AW762" s="115"/>
      <c r="AX762" s="115"/>
      <c r="AY762" s="115"/>
      <c r="AZ762" s="115"/>
      <c r="BA762" s="115"/>
      <c r="BB762" s="25">
        <v>45675</v>
      </c>
      <c r="BC762" s="13" t="s">
        <v>147</v>
      </c>
      <c r="BH762" s="116"/>
      <c r="BI762" s="123"/>
      <c r="BJ762" s="123"/>
      <c r="BK762" s="123"/>
      <c r="BP762" s="115"/>
      <c r="BQ762" s="115"/>
      <c r="BR762" s="115"/>
      <c r="BS762" s="115"/>
      <c r="BT762" s="115"/>
      <c r="BU762" s="115"/>
      <c r="BV762" s="115"/>
      <c r="BW762" s="115"/>
      <c r="BX762" s="115"/>
      <c r="BY762" s="115"/>
      <c r="BZ762" s="25"/>
      <c r="CA762" s="13"/>
      <c r="CD762" s="114"/>
    </row>
    <row r="763" spans="1:82" ht="20.100000000000001" customHeight="1" x14ac:dyDescent="0.4">
      <c r="A763" s="117"/>
      <c r="B763" s="123"/>
      <c r="C763" s="123"/>
      <c r="D763" s="123"/>
      <c r="AE763" s="115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27"/>
      <c r="AR763" s="29"/>
      <c r="AT763" s="115"/>
      <c r="AU763" s="115"/>
      <c r="AV763" s="115"/>
      <c r="AW763" s="115"/>
      <c r="AX763" s="115"/>
      <c r="AY763" s="115"/>
      <c r="AZ763" s="115"/>
      <c r="BA763" s="115"/>
      <c r="BB763" s="25"/>
      <c r="BC763" s="13"/>
      <c r="BH763" s="116"/>
      <c r="BI763" s="123"/>
      <c r="BJ763" s="123"/>
      <c r="BK763" s="123"/>
      <c r="BP763" s="115"/>
      <c r="BQ763" s="115"/>
      <c r="BR763" s="115"/>
      <c r="BS763" s="115"/>
      <c r="BT763" s="115"/>
      <c r="BU763" s="115"/>
      <c r="BV763" s="115"/>
      <c r="BW763" s="115"/>
      <c r="BX763" s="115"/>
      <c r="BY763" s="115"/>
      <c r="BZ763" s="25"/>
      <c r="CA763" s="13"/>
      <c r="CD763" s="114"/>
    </row>
    <row r="764" spans="1:82" ht="20.100000000000001" customHeight="1" x14ac:dyDescent="0.4">
      <c r="A764" s="117"/>
      <c r="B764" s="123"/>
      <c r="C764" s="123"/>
      <c r="D764" s="123"/>
      <c r="AQ764" s="127"/>
      <c r="AR764" s="29"/>
      <c r="AT764" s="115"/>
      <c r="AU764" s="115"/>
      <c r="AV764" s="115"/>
      <c r="AW764" s="115"/>
      <c r="AX764" s="115"/>
      <c r="AY764" s="115"/>
      <c r="AZ764" s="115"/>
      <c r="BA764" s="115"/>
      <c r="BB764" s="25"/>
      <c r="BC764" s="13"/>
      <c r="BH764" s="116"/>
      <c r="BI764" s="123"/>
      <c r="BJ764" s="123"/>
      <c r="BK764" s="123"/>
      <c r="BP764" s="115"/>
      <c r="BQ764" s="115"/>
      <c r="BR764" s="115"/>
      <c r="BS764" s="115"/>
      <c r="BT764" s="115"/>
      <c r="BU764" s="115"/>
      <c r="BV764" s="115"/>
      <c r="BW764" s="115"/>
      <c r="BX764" s="115"/>
      <c r="BY764" s="115"/>
      <c r="BZ764" s="25"/>
      <c r="CA764" s="13"/>
      <c r="CD764" s="114"/>
    </row>
    <row r="765" spans="1:82" ht="20.100000000000001" customHeight="1" x14ac:dyDescent="0.4">
      <c r="A765" s="117"/>
      <c r="B765" s="123"/>
      <c r="C765" s="123"/>
      <c r="D765" s="123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27"/>
      <c r="AR765" s="29"/>
      <c r="AT765" s="115"/>
      <c r="AU765" s="115"/>
      <c r="AV765" s="115"/>
      <c r="AW765" s="115"/>
      <c r="AX765" s="115"/>
      <c r="AY765" s="115"/>
      <c r="AZ765" s="115"/>
      <c r="BA765" s="115"/>
      <c r="BB765" s="25"/>
      <c r="BC765" s="13"/>
      <c r="BH765" s="116"/>
      <c r="BI765" s="123"/>
      <c r="BJ765" s="123"/>
      <c r="BK765" s="123"/>
      <c r="BP765" s="115"/>
      <c r="BQ765" s="115"/>
      <c r="BR765" s="115"/>
      <c r="BS765" s="115"/>
      <c r="BT765" s="115"/>
      <c r="BU765" s="115"/>
      <c r="BV765" s="115"/>
      <c r="BW765" s="115"/>
      <c r="BX765" s="115"/>
      <c r="BY765" s="115"/>
      <c r="BZ765" s="25"/>
      <c r="CA765" s="13"/>
      <c r="CD765" s="114"/>
    </row>
    <row r="766" spans="1:82" ht="20.100000000000001" customHeight="1" x14ac:dyDescent="0.4">
      <c r="A766" s="117"/>
      <c r="B766" s="123"/>
      <c r="C766" s="123"/>
      <c r="D766" s="123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29"/>
      <c r="AR766" s="29"/>
      <c r="AT766" s="115"/>
      <c r="AU766" s="115"/>
      <c r="AV766" s="115"/>
      <c r="AW766" s="115"/>
      <c r="AX766" s="115"/>
      <c r="AY766" s="115"/>
      <c r="AZ766" s="115"/>
      <c r="BA766" s="115"/>
      <c r="BB766" s="25"/>
      <c r="BC766" s="13"/>
      <c r="BH766" s="116"/>
      <c r="BI766" s="123"/>
      <c r="BJ766" s="123"/>
      <c r="BK766" s="123"/>
      <c r="BP766" s="115"/>
      <c r="BQ766" s="115"/>
      <c r="BR766" s="115"/>
      <c r="BS766" s="115"/>
      <c r="BT766" s="115"/>
      <c r="BU766" s="115"/>
      <c r="BV766" s="115"/>
      <c r="BW766" s="115"/>
      <c r="BX766" s="115"/>
      <c r="BY766" s="115"/>
      <c r="BZ766" s="25"/>
      <c r="CA766" s="13"/>
      <c r="CD766" s="114"/>
    </row>
    <row r="767" spans="1:82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27"/>
      <c r="AR767" s="127"/>
      <c r="AT767" s="115"/>
      <c r="AU767" s="115"/>
      <c r="AV767" s="115"/>
      <c r="AW767" s="115"/>
      <c r="AX767" s="115"/>
      <c r="AY767" s="115"/>
      <c r="AZ767" s="115"/>
      <c r="BA767" s="115"/>
      <c r="BB767" s="25"/>
      <c r="BC767" s="13"/>
      <c r="BH767" s="116"/>
      <c r="BI767" s="123"/>
      <c r="BJ767" s="123"/>
      <c r="BK767" s="123"/>
      <c r="BP767" s="115"/>
      <c r="BQ767" s="115"/>
      <c r="BR767" s="115"/>
      <c r="BS767" s="115"/>
      <c r="BT767" s="115"/>
      <c r="BU767" s="115"/>
      <c r="BV767" s="115"/>
      <c r="BW767" s="115"/>
      <c r="BX767" s="115"/>
      <c r="BY767" s="115"/>
      <c r="BZ767" s="25"/>
      <c r="CA767" s="13"/>
      <c r="CD767" s="114"/>
    </row>
    <row r="768" spans="1:82" ht="20.100000000000001" customHeight="1" x14ac:dyDescent="0.4">
      <c r="A768" s="117"/>
      <c r="B768" s="123"/>
      <c r="C768" s="123"/>
      <c r="D768" s="123"/>
      <c r="AQ768" s="127"/>
      <c r="AR768" s="127"/>
      <c r="AT768" s="115"/>
      <c r="AU768" s="115"/>
      <c r="AV768" s="115"/>
      <c r="AW768" s="115"/>
      <c r="AX768" s="115"/>
      <c r="AY768" s="115"/>
      <c r="AZ768" s="115"/>
      <c r="BA768" s="115"/>
      <c r="BB768" s="25"/>
      <c r="BC768" s="13"/>
      <c r="BH768" s="116"/>
      <c r="BI768" s="123"/>
      <c r="BJ768" s="123"/>
      <c r="BK768" s="123"/>
      <c r="BP768" s="115"/>
      <c r="BQ768" s="115"/>
      <c r="BR768" s="115"/>
      <c r="BS768" s="115"/>
      <c r="BT768" s="115"/>
      <c r="BU768" s="115"/>
      <c r="BV768" s="115"/>
      <c r="BW768" s="115"/>
      <c r="BX768" s="115"/>
      <c r="BY768" s="115"/>
      <c r="BZ768" s="25"/>
      <c r="CA768" s="13"/>
      <c r="CD768" s="114"/>
    </row>
    <row r="769" spans="1:82" ht="20.100000000000001" customHeight="1" x14ac:dyDescent="0.4">
      <c r="A769" s="117"/>
      <c r="B769" s="123"/>
      <c r="C769" s="123"/>
      <c r="D769" s="123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27"/>
      <c r="AR769" s="127"/>
      <c r="AT769" s="115"/>
      <c r="AU769" s="115"/>
      <c r="AV769" s="115"/>
      <c r="AW769" s="115"/>
      <c r="AX769" s="115"/>
      <c r="AY769" s="115"/>
      <c r="AZ769" s="115"/>
      <c r="BA769" s="115"/>
      <c r="BB769" s="25"/>
      <c r="BC769" s="13"/>
      <c r="BH769" s="116"/>
      <c r="BI769" s="123"/>
      <c r="BJ769" s="123"/>
      <c r="BK769" s="123"/>
      <c r="BP769" s="115"/>
      <c r="BQ769" s="115"/>
      <c r="BR769" s="115"/>
      <c r="BS769" s="115"/>
      <c r="BT769" s="115"/>
      <c r="BU769" s="115"/>
      <c r="BV769" s="115"/>
      <c r="BW769" s="115"/>
      <c r="BX769" s="115"/>
      <c r="BY769" s="115"/>
      <c r="BZ769" s="25"/>
      <c r="CA769" s="13"/>
      <c r="CD769" s="114"/>
    </row>
    <row r="770" spans="1:82" ht="20.100000000000001" customHeight="1" x14ac:dyDescent="0.4">
      <c r="A770" s="117"/>
      <c r="B770" s="123"/>
      <c r="C770" s="123"/>
      <c r="D770" s="123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27"/>
      <c r="AR770" s="29"/>
      <c r="AT770" s="115"/>
      <c r="AU770" s="115"/>
      <c r="AV770" s="115"/>
      <c r="AW770" s="115"/>
      <c r="AX770" s="115"/>
      <c r="AY770" s="115"/>
      <c r="AZ770" s="115"/>
      <c r="BA770" s="115"/>
      <c r="BB770" s="25"/>
      <c r="BC770" s="13"/>
      <c r="BH770" s="116"/>
      <c r="BI770" s="123"/>
      <c r="BJ770" s="123"/>
      <c r="BK770" s="123"/>
      <c r="BP770" s="115"/>
      <c r="BQ770" s="115"/>
      <c r="BR770" s="115"/>
      <c r="BS770" s="115"/>
      <c r="BT770" s="115"/>
      <c r="BU770" s="115"/>
      <c r="BV770" s="115"/>
      <c r="BW770" s="115"/>
      <c r="BX770" s="115"/>
      <c r="BY770" s="115"/>
      <c r="BZ770" s="25"/>
      <c r="CA770" s="13"/>
      <c r="CD770" s="114"/>
    </row>
    <row r="771" spans="1:82" ht="20.100000000000001" customHeight="1" x14ac:dyDescent="0.4">
      <c r="A771" s="117"/>
      <c r="B771" s="123"/>
      <c r="C771" s="123"/>
      <c r="D771" s="123"/>
      <c r="AQ771" s="127"/>
      <c r="AR771" s="29"/>
      <c r="AS771" s="115"/>
      <c r="AT771" s="115"/>
      <c r="AU771" s="115"/>
      <c r="AV771" s="115"/>
      <c r="AW771" s="115"/>
      <c r="AX771" s="115"/>
      <c r="AY771" s="115"/>
      <c r="AZ771" s="115"/>
      <c r="BA771" s="115"/>
      <c r="BB771" s="25">
        <v>45675</v>
      </c>
      <c r="BC771" s="13" t="s">
        <v>146</v>
      </c>
      <c r="BH771" s="116"/>
      <c r="BI771" s="123"/>
      <c r="BJ771" s="123"/>
      <c r="BK771" s="123"/>
      <c r="BP771" s="115"/>
      <c r="BQ771" s="115"/>
      <c r="BR771" s="115"/>
      <c r="BS771" s="115"/>
      <c r="BT771" s="115"/>
      <c r="BU771" s="115"/>
      <c r="BV771" s="115"/>
      <c r="BW771" s="115"/>
      <c r="BX771" s="115"/>
      <c r="BY771" s="115"/>
      <c r="BZ771" s="25"/>
      <c r="CA771" s="13"/>
      <c r="CD771" s="114"/>
    </row>
    <row r="772" spans="1:82" ht="20.100000000000001" customHeight="1" x14ac:dyDescent="0.4">
      <c r="A772" s="117"/>
      <c r="B772" s="123"/>
      <c r="C772" s="123"/>
      <c r="D772" s="123"/>
      <c r="AI772" s="115"/>
      <c r="AJ772" s="115"/>
      <c r="AK772" s="115"/>
      <c r="AL772" s="115"/>
      <c r="AM772" s="115"/>
      <c r="AN772" s="115"/>
      <c r="AO772" s="115"/>
      <c r="AP772" s="115"/>
      <c r="AQ772" s="29"/>
      <c r="AR772" s="29"/>
      <c r="AS772" s="115"/>
      <c r="AT772" s="115"/>
      <c r="AU772" s="115"/>
      <c r="AV772" s="115"/>
      <c r="AW772" s="115"/>
      <c r="AX772" s="115"/>
      <c r="AY772" s="115"/>
      <c r="AZ772" s="115"/>
      <c r="BA772" s="115"/>
      <c r="BB772" s="25"/>
      <c r="BC772" s="13"/>
      <c r="BH772" s="116"/>
      <c r="BI772" s="123"/>
      <c r="BJ772" s="123"/>
      <c r="BK772" s="123"/>
      <c r="BP772" s="115"/>
      <c r="BQ772" s="115"/>
      <c r="BR772" s="115"/>
      <c r="BS772" s="115"/>
      <c r="BT772" s="115"/>
      <c r="BU772" s="115"/>
      <c r="BV772" s="115"/>
      <c r="BW772" s="115"/>
      <c r="BX772" s="115"/>
      <c r="BY772" s="115"/>
      <c r="BZ772" s="25"/>
      <c r="CA772" s="13"/>
      <c r="CD772" s="114"/>
    </row>
    <row r="773" spans="1:82" ht="20.100000000000001" customHeight="1" x14ac:dyDescent="0.4">
      <c r="A773" s="117"/>
      <c r="B773" s="123"/>
      <c r="C773" s="123"/>
      <c r="D773" s="123"/>
      <c r="AQ773" s="127"/>
      <c r="AR773" s="29"/>
      <c r="AS773" s="115"/>
      <c r="AT773" s="115"/>
      <c r="AU773" s="115"/>
      <c r="AV773" s="115"/>
      <c r="AW773" s="115"/>
      <c r="AX773" s="115"/>
      <c r="AY773" s="115"/>
      <c r="AZ773" s="115"/>
      <c r="BA773" s="115"/>
      <c r="BB773" s="25">
        <v>45676</v>
      </c>
      <c r="BC773" s="13" t="s">
        <v>148</v>
      </c>
      <c r="BH773" s="116"/>
      <c r="BI773" s="123"/>
      <c r="BJ773" s="123"/>
      <c r="BK773" s="123"/>
      <c r="BP773" s="115"/>
      <c r="BQ773" s="115"/>
      <c r="BR773" s="115"/>
      <c r="BS773" s="115"/>
      <c r="BT773" s="115"/>
      <c r="BU773" s="115"/>
      <c r="BV773" s="115"/>
      <c r="BW773" s="115"/>
      <c r="BX773" s="115"/>
      <c r="BY773" s="115"/>
      <c r="BZ773" s="25"/>
      <c r="CA773" s="13"/>
      <c r="CD773" s="114"/>
    </row>
    <row r="774" spans="1:82" ht="20.100000000000001" customHeight="1" x14ac:dyDescent="0.4">
      <c r="A774" s="117"/>
      <c r="B774" s="123"/>
      <c r="C774" s="123"/>
      <c r="D774" s="123"/>
      <c r="AI774" s="115"/>
      <c r="AJ774" s="115"/>
      <c r="AK774" s="115"/>
      <c r="AL774" s="115"/>
      <c r="AM774" s="115"/>
      <c r="AN774" s="115"/>
      <c r="AO774" s="115"/>
      <c r="AP774" s="115"/>
      <c r="AQ774" s="29"/>
      <c r="AR774" s="29"/>
      <c r="AS774" s="115"/>
      <c r="AT774" s="115"/>
      <c r="AU774" s="115"/>
      <c r="AV774" s="115"/>
      <c r="AW774" s="115"/>
      <c r="AX774" s="115"/>
      <c r="AY774" s="115"/>
      <c r="AZ774" s="115"/>
      <c r="BA774" s="115"/>
      <c r="BB774" s="25"/>
      <c r="BC774" s="13"/>
      <c r="BH774" s="116"/>
      <c r="BI774" s="123"/>
      <c r="BJ774" s="123"/>
      <c r="BK774" s="123"/>
      <c r="BP774" s="115"/>
      <c r="BQ774" s="115"/>
      <c r="BR774" s="115"/>
      <c r="BS774" s="115"/>
      <c r="BT774" s="115"/>
      <c r="BU774" s="115"/>
      <c r="BV774" s="115"/>
      <c r="BW774" s="115"/>
      <c r="BX774" s="115"/>
      <c r="BY774" s="115"/>
      <c r="BZ774" s="25"/>
      <c r="CA774" s="13"/>
      <c r="CD774" s="114"/>
    </row>
    <row r="775" spans="1:82" ht="20.100000000000001" customHeight="1" x14ac:dyDescent="0.4">
      <c r="A775" s="117"/>
      <c r="B775" s="123"/>
      <c r="C775" s="123"/>
      <c r="D775" s="123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127"/>
      <c r="AR775" s="29"/>
      <c r="AS775" s="115"/>
      <c r="AT775" s="115"/>
      <c r="AU775" s="115"/>
      <c r="AV775" s="115"/>
      <c r="AW775" s="115"/>
      <c r="AX775" s="115"/>
      <c r="AY775" s="115"/>
      <c r="AZ775" s="115"/>
      <c r="BA775" s="115"/>
      <c r="BB775" s="25"/>
      <c r="BC775" s="13"/>
      <c r="BH775" s="116"/>
      <c r="BI775" s="123"/>
      <c r="BJ775" s="123"/>
      <c r="BK775" s="123"/>
      <c r="BP775" s="115"/>
      <c r="BQ775" s="115"/>
      <c r="BR775" s="115"/>
      <c r="BS775" s="115"/>
      <c r="BT775" s="115"/>
      <c r="BU775" s="115"/>
      <c r="BV775" s="115"/>
      <c r="BW775" s="115"/>
      <c r="BX775" s="115"/>
      <c r="BY775" s="115"/>
      <c r="BZ775" s="25"/>
      <c r="CA775" s="13"/>
      <c r="CD775" s="114"/>
    </row>
    <row r="776" spans="1:82" ht="20.100000000000001" customHeight="1" x14ac:dyDescent="0.4">
      <c r="A776" s="117"/>
      <c r="B776" s="123"/>
      <c r="C776" s="123"/>
      <c r="D776" s="123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29"/>
      <c r="AR776" s="29"/>
      <c r="AS776" s="115"/>
      <c r="AT776" s="115"/>
      <c r="AU776" s="115"/>
      <c r="AV776" s="115"/>
      <c r="AW776" s="115"/>
      <c r="AX776" s="115"/>
      <c r="AY776" s="115"/>
      <c r="AZ776" s="115"/>
      <c r="BA776" s="115"/>
      <c r="BB776" s="25"/>
      <c r="BC776" s="13"/>
      <c r="BH776" s="116"/>
      <c r="BI776" s="123"/>
      <c r="BJ776" s="123"/>
      <c r="BK776" s="123"/>
      <c r="BP776" s="115"/>
      <c r="BQ776" s="115"/>
      <c r="BR776" s="115"/>
      <c r="BS776" s="115"/>
      <c r="BT776" s="115"/>
      <c r="BU776" s="115"/>
      <c r="BV776" s="115"/>
      <c r="BW776" s="115"/>
      <c r="BX776" s="115"/>
      <c r="BY776" s="115"/>
      <c r="BZ776" s="25"/>
      <c r="CA776" s="13"/>
      <c r="CD776" s="114"/>
    </row>
    <row r="777" spans="1:82" ht="20.100000000000001" customHeight="1" x14ac:dyDescent="0.4">
      <c r="A777" s="117"/>
      <c r="B777" s="123"/>
      <c r="C777" s="123"/>
      <c r="D777" s="123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27"/>
      <c r="AR777" s="29"/>
      <c r="AS777" s="115"/>
      <c r="AT777" s="115"/>
      <c r="AU777" s="115"/>
      <c r="AV777" s="115"/>
      <c r="AW777" s="115"/>
      <c r="AX777" s="115"/>
      <c r="AY777" s="115"/>
      <c r="AZ777" s="115"/>
      <c r="BA777" s="115"/>
      <c r="BB777" s="25"/>
      <c r="BC777" s="13"/>
      <c r="BH777" s="116"/>
      <c r="BI777" s="123"/>
      <c r="BJ777" s="123"/>
      <c r="BK777" s="123"/>
      <c r="BP777" s="115"/>
      <c r="BQ777" s="115"/>
      <c r="BR777" s="115"/>
      <c r="BS777" s="115"/>
      <c r="BT777" s="115"/>
      <c r="BU777" s="115"/>
      <c r="BV777" s="115"/>
      <c r="BW777" s="115"/>
      <c r="BX777" s="115"/>
      <c r="BY777" s="115"/>
      <c r="BZ777" s="25"/>
      <c r="CA777" s="13"/>
      <c r="CD777" s="114"/>
    </row>
    <row r="778" spans="1:82" ht="20.100000000000001" customHeight="1" x14ac:dyDescent="0.4">
      <c r="A778" s="117"/>
      <c r="B778" s="123"/>
      <c r="C778" s="123"/>
      <c r="D778" s="123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27"/>
      <c r="AR778" s="29"/>
      <c r="AS778" s="115"/>
      <c r="AT778" s="115"/>
      <c r="AU778" s="115"/>
      <c r="AV778" s="115"/>
      <c r="AW778" s="115"/>
      <c r="AX778" s="115"/>
      <c r="AY778" s="115"/>
      <c r="AZ778" s="115"/>
      <c r="BA778" s="115"/>
      <c r="BB778" s="25"/>
      <c r="BC778" s="13"/>
      <c r="BH778" s="116"/>
      <c r="BI778" s="123"/>
      <c r="BJ778" s="123"/>
      <c r="BK778" s="123"/>
      <c r="BP778" s="115"/>
      <c r="BQ778" s="115"/>
      <c r="BR778" s="115"/>
      <c r="BS778" s="115"/>
      <c r="BT778" s="115"/>
      <c r="BU778" s="115"/>
      <c r="BV778" s="115"/>
      <c r="BW778" s="115"/>
      <c r="BX778" s="115"/>
      <c r="BY778" s="115"/>
      <c r="BZ778" s="25"/>
      <c r="CA778" s="13"/>
      <c r="CD778" s="114"/>
    </row>
    <row r="779" spans="1:82" ht="20.100000000000001" customHeight="1" x14ac:dyDescent="0.4">
      <c r="A779" s="117"/>
      <c r="B779" s="123"/>
      <c r="C779" s="123"/>
      <c r="D779" s="123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27"/>
      <c r="AR779" s="29"/>
      <c r="AS779" s="115"/>
      <c r="AT779" s="115"/>
      <c r="AU779" s="115"/>
      <c r="AV779" s="115"/>
      <c r="AW779" s="115"/>
      <c r="AX779" s="115"/>
      <c r="AY779" s="115"/>
      <c r="AZ779" s="115"/>
      <c r="BA779" s="115"/>
      <c r="BB779" s="25"/>
      <c r="BC779" s="13"/>
      <c r="BH779" s="116"/>
      <c r="BI779" s="123"/>
      <c r="BJ779" s="123"/>
      <c r="BK779" s="123"/>
      <c r="BP779" s="115"/>
      <c r="BQ779" s="115"/>
      <c r="BR779" s="115"/>
      <c r="BS779" s="115"/>
      <c r="BT779" s="115"/>
      <c r="BU779" s="115"/>
      <c r="BV779" s="115"/>
      <c r="BW779" s="115"/>
      <c r="BX779" s="115"/>
      <c r="BY779" s="115"/>
      <c r="BZ779" s="25"/>
      <c r="CA779" s="13"/>
      <c r="CD779" s="114"/>
    </row>
    <row r="780" spans="1:82" ht="20.100000000000001" customHeight="1" x14ac:dyDescent="0.4">
      <c r="A780" s="117"/>
      <c r="B780" s="123"/>
      <c r="C780" s="123"/>
      <c r="D780" s="123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27"/>
      <c r="AR780" s="29"/>
      <c r="AS780" s="115"/>
      <c r="AT780" s="115"/>
      <c r="AU780" s="115"/>
      <c r="AV780" s="115"/>
      <c r="AW780" s="115"/>
      <c r="AX780" s="115"/>
      <c r="AY780" s="115"/>
      <c r="AZ780" s="115"/>
      <c r="BA780" s="115"/>
      <c r="BB780" s="25"/>
      <c r="BC780" s="13"/>
      <c r="BH780" s="116"/>
      <c r="BI780" s="123"/>
      <c r="BJ780" s="123"/>
      <c r="BK780" s="123"/>
      <c r="BP780" s="115"/>
      <c r="BQ780" s="115"/>
      <c r="BR780" s="115"/>
      <c r="BS780" s="115"/>
      <c r="BT780" s="115"/>
      <c r="BU780" s="115"/>
      <c r="BV780" s="115"/>
      <c r="BW780" s="115"/>
      <c r="BX780" s="115"/>
      <c r="BY780" s="115"/>
      <c r="BZ780" s="25"/>
      <c r="CA780" s="13"/>
      <c r="CD780" s="114"/>
    </row>
    <row r="781" spans="1:82" ht="20.100000000000001" customHeight="1" x14ac:dyDescent="0.4">
      <c r="A781" s="117"/>
      <c r="B781" s="123"/>
      <c r="C781" s="123"/>
      <c r="D781" s="123"/>
      <c r="AQ781" s="127"/>
      <c r="AR781" s="29"/>
      <c r="AS781" s="115"/>
      <c r="AT781" s="115"/>
      <c r="AU781" s="115"/>
      <c r="AV781" s="115"/>
      <c r="AW781" s="115"/>
      <c r="AX781" s="115"/>
      <c r="AY781" s="115"/>
      <c r="AZ781" s="115"/>
      <c r="BA781" s="115"/>
      <c r="BB781" s="25">
        <v>45677</v>
      </c>
      <c r="BC781" s="13" t="s">
        <v>146</v>
      </c>
      <c r="BH781" s="116"/>
      <c r="BI781" s="123"/>
      <c r="BJ781" s="123"/>
      <c r="BK781" s="123"/>
      <c r="BP781" s="115"/>
      <c r="BQ781" s="115"/>
      <c r="BR781" s="115"/>
      <c r="BS781" s="115"/>
      <c r="BT781" s="115"/>
      <c r="BU781" s="115"/>
      <c r="BV781" s="115"/>
      <c r="BW781" s="115"/>
      <c r="BX781" s="115"/>
      <c r="BY781" s="115"/>
      <c r="BZ781" s="25"/>
      <c r="CA781" s="13"/>
      <c r="CD781" s="114"/>
    </row>
    <row r="782" spans="1:82" ht="20.100000000000001" customHeight="1" x14ac:dyDescent="0.4">
      <c r="A782" s="117"/>
      <c r="B782" s="123"/>
      <c r="C782" s="123"/>
      <c r="D782" s="123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127"/>
      <c r="AR782" s="29"/>
      <c r="AS782" s="115"/>
      <c r="AT782" s="115"/>
      <c r="AU782" s="115"/>
      <c r="AV782" s="115"/>
      <c r="AW782" s="115"/>
      <c r="AX782" s="115"/>
      <c r="AY782" s="115"/>
      <c r="AZ782" s="115"/>
      <c r="BA782" s="115"/>
      <c r="BB782" s="25"/>
      <c r="BC782" s="13"/>
      <c r="BH782" s="116"/>
      <c r="BI782" s="123"/>
      <c r="BJ782" s="123"/>
      <c r="BK782" s="123"/>
      <c r="BP782" s="115"/>
      <c r="BQ782" s="115"/>
      <c r="BR782" s="115"/>
      <c r="BS782" s="115"/>
      <c r="BT782" s="115"/>
      <c r="BU782" s="115"/>
      <c r="BV782" s="115"/>
      <c r="BW782" s="115"/>
      <c r="BX782" s="115"/>
      <c r="BY782" s="115"/>
      <c r="BZ782" s="25"/>
      <c r="CA782" s="13"/>
      <c r="CD782" s="114"/>
    </row>
    <row r="783" spans="1:82" ht="20.100000000000001" customHeight="1" x14ac:dyDescent="0.4">
      <c r="A783" s="117"/>
      <c r="B783" s="123"/>
      <c r="C783" s="123"/>
      <c r="D783" s="123"/>
      <c r="AQ783" s="127"/>
      <c r="AR783" s="29"/>
      <c r="AS783" s="115"/>
      <c r="AT783" s="115"/>
      <c r="AU783" s="115"/>
      <c r="AV783" s="115"/>
      <c r="AW783" s="115"/>
      <c r="AX783" s="115"/>
      <c r="AY783" s="115"/>
      <c r="AZ783" s="115"/>
      <c r="BA783" s="115"/>
      <c r="BB783" s="25"/>
      <c r="BC783" s="13"/>
      <c r="BH783" s="116"/>
      <c r="BI783" s="123"/>
      <c r="BJ783" s="123"/>
      <c r="BK783" s="123"/>
      <c r="BP783" s="115"/>
      <c r="BQ783" s="115"/>
      <c r="BR783" s="115"/>
      <c r="BS783" s="115"/>
      <c r="BT783" s="115"/>
      <c r="BU783" s="115"/>
      <c r="BV783" s="115"/>
      <c r="BW783" s="115"/>
      <c r="BX783" s="115"/>
      <c r="BY783" s="115"/>
      <c r="BZ783" s="25"/>
      <c r="CA783" s="13"/>
      <c r="CD783" s="114"/>
    </row>
    <row r="784" spans="1:82" ht="20.100000000000001" customHeight="1" x14ac:dyDescent="0.4">
      <c r="A784" s="117"/>
      <c r="B784" s="123"/>
      <c r="C784" s="123"/>
      <c r="D784" s="123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27"/>
      <c r="AR784" s="29"/>
      <c r="AS784" s="115"/>
      <c r="AT784" s="115"/>
      <c r="AU784" s="115"/>
      <c r="AV784" s="115"/>
      <c r="AW784" s="115"/>
      <c r="AX784" s="115"/>
      <c r="AY784" s="115"/>
      <c r="AZ784" s="115"/>
      <c r="BA784" s="115"/>
      <c r="BB784" s="25"/>
      <c r="BC784" s="13"/>
      <c r="BH784" s="116"/>
      <c r="BI784" s="123"/>
      <c r="BJ784" s="123"/>
      <c r="BK784" s="123"/>
      <c r="BP784" s="115"/>
      <c r="BQ784" s="115"/>
      <c r="BR784" s="115"/>
      <c r="BS784" s="115"/>
      <c r="BT784" s="115"/>
      <c r="BU784" s="115"/>
      <c r="BV784" s="115"/>
      <c r="BW784" s="115"/>
      <c r="BX784" s="115"/>
      <c r="BY784" s="115"/>
      <c r="BZ784" s="25"/>
      <c r="CA784" s="13"/>
      <c r="CD784" s="114"/>
    </row>
    <row r="785" spans="1:82" ht="20.100000000000001" customHeight="1" x14ac:dyDescent="0.4">
      <c r="A785" s="117"/>
      <c r="B785" s="123"/>
      <c r="C785" s="123"/>
      <c r="D785" s="123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127"/>
      <c r="AR785" s="29"/>
      <c r="AS785" s="115"/>
      <c r="AT785" s="115"/>
      <c r="AU785" s="115"/>
      <c r="AV785" s="115"/>
      <c r="AW785" s="115"/>
      <c r="AX785" s="115"/>
      <c r="AY785" s="115"/>
      <c r="AZ785" s="115"/>
      <c r="BA785" s="115"/>
      <c r="BB785" s="25"/>
      <c r="BC785" s="13"/>
      <c r="BH785" s="116"/>
      <c r="BI785" s="123"/>
      <c r="BJ785" s="123"/>
      <c r="BK785" s="123"/>
      <c r="BP785" s="115"/>
      <c r="BQ785" s="115"/>
      <c r="BR785" s="115"/>
      <c r="BS785" s="115"/>
      <c r="BT785" s="115"/>
      <c r="BU785" s="115"/>
      <c r="BV785" s="115"/>
      <c r="BW785" s="115"/>
      <c r="BX785" s="115"/>
      <c r="BY785" s="115"/>
      <c r="BZ785" s="25"/>
      <c r="CA785" s="13"/>
      <c r="CD785" s="114"/>
    </row>
    <row r="786" spans="1:82" ht="20.100000000000001" customHeight="1" x14ac:dyDescent="0.4">
      <c r="A786" s="117"/>
      <c r="B786" s="123"/>
      <c r="C786" s="123"/>
      <c r="D786" s="123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27"/>
      <c r="AR786" s="29"/>
      <c r="AS786" s="115"/>
      <c r="AT786" s="115"/>
      <c r="AU786" s="115"/>
      <c r="AV786" s="115"/>
      <c r="AW786" s="115"/>
      <c r="AX786" s="115"/>
      <c r="AY786" s="115"/>
      <c r="AZ786" s="115"/>
      <c r="BA786" s="115"/>
      <c r="BB786" s="25"/>
      <c r="BC786" s="13"/>
      <c r="BH786" s="116"/>
      <c r="BI786" s="123"/>
      <c r="BJ786" s="123"/>
      <c r="BK786" s="123"/>
      <c r="BP786" s="115"/>
      <c r="BQ786" s="115"/>
      <c r="BR786" s="115"/>
      <c r="BS786" s="115"/>
      <c r="BT786" s="115"/>
      <c r="BU786" s="115"/>
      <c r="BV786" s="115"/>
      <c r="BW786" s="115"/>
      <c r="BX786" s="115"/>
      <c r="BY786" s="115"/>
      <c r="BZ786" s="25"/>
      <c r="CA786" s="13"/>
      <c r="CD786" s="114"/>
    </row>
    <row r="787" spans="1:82" ht="20.100000000000001" customHeight="1" x14ac:dyDescent="0.4">
      <c r="A787" s="117"/>
      <c r="B787" s="123"/>
      <c r="C787" s="123"/>
      <c r="D787" s="123"/>
      <c r="AQ787" s="127"/>
      <c r="AR787" s="29"/>
      <c r="AS787" s="115"/>
      <c r="AT787" s="115"/>
      <c r="AU787" s="115"/>
      <c r="AV787" s="115"/>
      <c r="AW787" s="115"/>
      <c r="AX787" s="115"/>
      <c r="AY787" s="115"/>
      <c r="AZ787" s="115"/>
      <c r="BA787" s="115"/>
      <c r="BB787" s="25">
        <v>45677</v>
      </c>
      <c r="BC787" s="13" t="s">
        <v>146</v>
      </c>
      <c r="BH787" s="116"/>
      <c r="BI787" s="123"/>
      <c r="BJ787" s="123"/>
      <c r="BK787" s="123"/>
      <c r="BP787" s="115"/>
      <c r="BQ787" s="115"/>
      <c r="BR787" s="115"/>
      <c r="BS787" s="115"/>
      <c r="BT787" s="115"/>
      <c r="BU787" s="115"/>
      <c r="BV787" s="115"/>
      <c r="BW787" s="115"/>
      <c r="BX787" s="115"/>
      <c r="BY787" s="115"/>
      <c r="BZ787" s="25"/>
      <c r="CA787" s="13"/>
      <c r="CD787" s="114"/>
    </row>
    <row r="788" spans="1:82" ht="20.100000000000001" customHeight="1" x14ac:dyDescent="0.4">
      <c r="A788" s="117"/>
      <c r="B788" s="123"/>
      <c r="C788" s="123"/>
      <c r="D788" s="123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27"/>
      <c r="AR788" s="29"/>
      <c r="AS788" s="115"/>
      <c r="AT788" s="115"/>
      <c r="AU788" s="115"/>
      <c r="AV788" s="115"/>
      <c r="AW788" s="115"/>
      <c r="AX788" s="115"/>
      <c r="AY788" s="115"/>
      <c r="AZ788" s="115"/>
      <c r="BA788" s="115"/>
      <c r="BB788" s="25"/>
      <c r="BC788" s="13"/>
      <c r="BH788" s="116"/>
      <c r="BI788" s="123"/>
      <c r="BJ788" s="123"/>
      <c r="BK788" s="123"/>
      <c r="BP788" s="115"/>
      <c r="BQ788" s="115"/>
      <c r="BR788" s="115"/>
      <c r="BS788" s="115"/>
      <c r="BT788" s="115"/>
      <c r="BU788" s="115"/>
      <c r="BV788" s="115"/>
      <c r="BW788" s="115"/>
      <c r="BX788" s="115"/>
      <c r="BY788" s="115"/>
      <c r="BZ788" s="25"/>
      <c r="CA788" s="13"/>
      <c r="CD788" s="114"/>
    </row>
    <row r="789" spans="1:82" ht="20.100000000000001" customHeight="1" x14ac:dyDescent="0.4">
      <c r="A789" s="117"/>
      <c r="B789" s="123"/>
      <c r="C789" s="123"/>
      <c r="D789" s="123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27"/>
      <c r="AR789" s="29"/>
      <c r="AS789" s="115"/>
      <c r="AT789" s="115"/>
      <c r="AU789" s="115"/>
      <c r="AV789" s="115"/>
      <c r="AW789" s="115"/>
      <c r="AX789" s="115"/>
      <c r="AY789" s="115"/>
      <c r="AZ789" s="115"/>
      <c r="BA789" s="115"/>
      <c r="BB789" s="25"/>
      <c r="BC789" s="13"/>
      <c r="BH789" s="116"/>
      <c r="BI789" s="123"/>
      <c r="BJ789" s="123"/>
      <c r="BK789" s="123"/>
      <c r="BP789" s="115"/>
      <c r="BQ789" s="115"/>
      <c r="BR789" s="115"/>
      <c r="BS789" s="115"/>
      <c r="BT789" s="115"/>
      <c r="BU789" s="115"/>
      <c r="BV789" s="115"/>
      <c r="BW789" s="115"/>
      <c r="BX789" s="115"/>
      <c r="BY789" s="115"/>
      <c r="BZ789" s="25"/>
      <c r="CA789" s="13"/>
      <c r="CD789" s="114"/>
    </row>
    <row r="790" spans="1:82" ht="20.100000000000001" customHeight="1" x14ac:dyDescent="0.4">
      <c r="A790" s="117"/>
      <c r="B790" s="123"/>
      <c r="C790" s="123"/>
      <c r="D790" s="123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29"/>
      <c r="AR790" s="29"/>
      <c r="AS790" s="115"/>
      <c r="AT790" s="115"/>
      <c r="AU790" s="115"/>
      <c r="AV790" s="115"/>
      <c r="AW790" s="115"/>
      <c r="AX790" s="115"/>
      <c r="AY790" s="115"/>
      <c r="AZ790" s="115"/>
      <c r="BA790" s="115"/>
      <c r="BB790" s="25"/>
      <c r="BC790" s="13"/>
      <c r="BH790" s="116"/>
      <c r="BI790" s="123"/>
      <c r="BJ790" s="123"/>
      <c r="BK790" s="123"/>
      <c r="BP790" s="115"/>
      <c r="BQ790" s="115"/>
      <c r="BR790" s="115"/>
      <c r="BS790" s="115"/>
      <c r="BT790" s="115"/>
      <c r="BU790" s="115"/>
      <c r="BV790" s="115"/>
      <c r="BW790" s="115"/>
      <c r="BX790" s="115"/>
      <c r="BY790" s="115"/>
      <c r="BZ790" s="25"/>
      <c r="CA790" s="13"/>
      <c r="CD790" s="114"/>
    </row>
    <row r="791" spans="1:82" ht="20.100000000000001" customHeight="1" x14ac:dyDescent="0.4">
      <c r="A791" s="117"/>
      <c r="B791" s="123"/>
      <c r="C791" s="123"/>
      <c r="D791" s="123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27"/>
      <c r="AR791" s="29"/>
      <c r="AS791" s="115"/>
      <c r="AT791" s="115"/>
      <c r="AU791" s="115"/>
      <c r="AV791" s="115"/>
      <c r="AW791" s="115"/>
      <c r="AX791" s="115"/>
      <c r="AY791" s="115"/>
      <c r="AZ791" s="115"/>
      <c r="BA791" s="115"/>
      <c r="BB791" s="25"/>
      <c r="BC791" s="13"/>
      <c r="BH791" s="116"/>
      <c r="BI791" s="123"/>
      <c r="BJ791" s="123"/>
      <c r="BK791" s="123"/>
      <c r="BP791" s="115"/>
      <c r="BQ791" s="115"/>
      <c r="BR791" s="115"/>
      <c r="BS791" s="115"/>
      <c r="BT791" s="115"/>
      <c r="BU791" s="115"/>
      <c r="BV791" s="115"/>
      <c r="BW791" s="115"/>
      <c r="BX791" s="115"/>
      <c r="BY791" s="115"/>
      <c r="BZ791" s="25"/>
      <c r="CA791" s="13"/>
      <c r="CD791" s="114"/>
    </row>
    <row r="792" spans="1:82" ht="20.100000000000001" customHeight="1" x14ac:dyDescent="0.4">
      <c r="A792" s="117"/>
      <c r="B792" s="123"/>
      <c r="C792" s="123"/>
      <c r="D792" s="123"/>
      <c r="AQ792" s="127"/>
      <c r="AR792" s="29"/>
      <c r="AS792" s="115"/>
      <c r="AT792" s="115"/>
      <c r="AU792" s="115"/>
      <c r="AV792" s="115"/>
      <c r="AW792" s="115"/>
      <c r="AX792" s="115"/>
      <c r="AY792" s="115"/>
      <c r="AZ792" s="115"/>
      <c r="BA792" s="115"/>
      <c r="BB792" s="25">
        <v>45677</v>
      </c>
      <c r="BC792" s="13" t="s">
        <v>148</v>
      </c>
      <c r="BH792" s="116"/>
      <c r="BI792" s="123"/>
      <c r="BJ792" s="123"/>
      <c r="BK792" s="123"/>
      <c r="BP792" s="115"/>
      <c r="BQ792" s="115"/>
      <c r="BR792" s="115"/>
      <c r="BS792" s="115"/>
      <c r="BT792" s="115"/>
      <c r="BU792" s="115"/>
      <c r="BV792" s="115"/>
      <c r="BW792" s="115"/>
      <c r="BX792" s="115"/>
      <c r="BY792" s="115"/>
      <c r="BZ792" s="25"/>
      <c r="CA792" s="13"/>
      <c r="CD792" s="114"/>
    </row>
    <row r="793" spans="1:82" ht="19.5" x14ac:dyDescent="0.4">
      <c r="A793" s="117"/>
      <c r="B793" s="123"/>
      <c r="C793" s="123"/>
      <c r="D793" s="123"/>
      <c r="AQ793" s="127"/>
      <c r="AR793" s="29"/>
      <c r="AS793" s="115"/>
      <c r="AT793" s="115"/>
      <c r="AU793" s="115"/>
      <c r="AV793" s="115"/>
      <c r="AW793" s="115"/>
      <c r="AX793" s="115"/>
      <c r="AY793" s="115"/>
      <c r="AZ793" s="115"/>
      <c r="BA793" s="115"/>
      <c r="BB793" s="25"/>
      <c r="BC793" s="13"/>
      <c r="BH793" s="116"/>
      <c r="BI793" s="123"/>
      <c r="BJ793" s="123"/>
      <c r="BK793" s="123"/>
      <c r="BP793" s="115"/>
      <c r="BQ793" s="115"/>
      <c r="BR793" s="115"/>
      <c r="BS793" s="115"/>
      <c r="BT793" s="115"/>
      <c r="BU793" s="115"/>
      <c r="BV793" s="115"/>
      <c r="BW793" s="115"/>
      <c r="BX793" s="115"/>
      <c r="BY793" s="115"/>
      <c r="BZ793" s="25"/>
      <c r="CA793" s="13"/>
      <c r="CD793" s="114"/>
    </row>
    <row r="794" spans="1:82" ht="19.5" x14ac:dyDescent="0.4">
      <c r="A794" s="117"/>
      <c r="B794" s="123"/>
      <c r="C794" s="123"/>
      <c r="D794" s="123"/>
      <c r="AI794" s="115"/>
      <c r="AJ794" s="115"/>
      <c r="AK794" s="115"/>
      <c r="AL794" s="115"/>
      <c r="AM794" s="115"/>
      <c r="AN794" s="115"/>
      <c r="AO794" s="115"/>
      <c r="AP794" s="115"/>
      <c r="AQ794" s="29"/>
      <c r="AR794" s="29"/>
      <c r="AS794" s="115"/>
      <c r="AT794" s="115"/>
      <c r="AU794" s="115"/>
      <c r="AV794" s="115"/>
      <c r="AW794" s="115"/>
      <c r="AX794" s="115"/>
      <c r="AY794" s="115"/>
      <c r="AZ794" s="115"/>
      <c r="BA794" s="115"/>
      <c r="BB794" s="25"/>
      <c r="BC794" s="13"/>
      <c r="BH794" s="116"/>
      <c r="BI794" s="123"/>
      <c r="BJ794" s="123"/>
      <c r="BK794" s="123"/>
      <c r="BP794" s="115"/>
      <c r="BQ794" s="115"/>
      <c r="BR794" s="115"/>
      <c r="BS794" s="115"/>
      <c r="BT794" s="115"/>
      <c r="BU794" s="115"/>
      <c r="BV794" s="115"/>
      <c r="BW794" s="115"/>
      <c r="BX794" s="115"/>
      <c r="BY794" s="115"/>
      <c r="BZ794" s="25"/>
      <c r="CA794" s="13"/>
      <c r="CD794" s="114"/>
    </row>
    <row r="795" spans="1:82" ht="19.5" x14ac:dyDescent="0.4">
      <c r="A795" s="117"/>
      <c r="B795" s="123"/>
      <c r="C795" s="123"/>
      <c r="D795" s="123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27"/>
      <c r="AR795" s="29"/>
      <c r="AS795" s="115"/>
      <c r="AT795" s="115"/>
      <c r="AU795" s="115"/>
      <c r="AV795" s="115"/>
      <c r="AW795" s="115"/>
      <c r="AX795" s="115"/>
      <c r="AY795" s="115"/>
      <c r="AZ795" s="115"/>
      <c r="BA795" s="115"/>
      <c r="BB795" s="25"/>
      <c r="BC795" s="13"/>
      <c r="BH795" s="116"/>
      <c r="BI795" s="123"/>
      <c r="BJ795" s="123"/>
      <c r="BK795" s="123"/>
      <c r="BP795" s="115"/>
      <c r="BQ795" s="115"/>
      <c r="BR795" s="115"/>
      <c r="BS795" s="115"/>
      <c r="BT795" s="115"/>
      <c r="BU795" s="115"/>
      <c r="BV795" s="115"/>
      <c r="BW795" s="115"/>
      <c r="BX795" s="115"/>
      <c r="BY795" s="115"/>
      <c r="BZ795" s="25"/>
      <c r="CA795" s="13"/>
      <c r="CD795" s="114"/>
    </row>
    <row r="796" spans="1:82" ht="19.5" x14ac:dyDescent="0.4">
      <c r="A796" s="117"/>
      <c r="B796" s="123"/>
      <c r="C796" s="123"/>
      <c r="D796" s="123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29"/>
      <c r="AR796" s="29"/>
      <c r="AS796" s="115"/>
      <c r="AT796" s="115"/>
      <c r="AU796" s="115"/>
      <c r="AV796" s="115"/>
      <c r="AW796" s="115"/>
      <c r="AX796" s="115"/>
      <c r="AY796" s="115"/>
      <c r="AZ796" s="115"/>
      <c r="BA796" s="115"/>
      <c r="BB796" s="25"/>
      <c r="BC796" s="13"/>
      <c r="BH796" s="116"/>
      <c r="BI796" s="123"/>
      <c r="BJ796" s="123"/>
      <c r="BK796" s="123"/>
      <c r="BP796" s="115"/>
      <c r="BQ796" s="115"/>
      <c r="BR796" s="115"/>
      <c r="BS796" s="115"/>
      <c r="BT796" s="115"/>
      <c r="BU796" s="115"/>
      <c r="BV796" s="115"/>
      <c r="BW796" s="115"/>
      <c r="BX796" s="115"/>
      <c r="BY796" s="115"/>
      <c r="BZ796" s="25"/>
      <c r="CA796" s="13"/>
      <c r="CD796" s="114"/>
    </row>
    <row r="797" spans="1:82" ht="19.5" x14ac:dyDescent="0.4">
      <c r="A797" s="117"/>
      <c r="B797" s="123"/>
      <c r="C797" s="123"/>
      <c r="D797" s="123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27"/>
      <c r="AR797" s="29"/>
      <c r="AS797" s="115"/>
      <c r="AT797" s="115"/>
      <c r="AU797" s="115"/>
      <c r="AV797" s="115"/>
      <c r="AW797" s="115"/>
      <c r="AX797" s="115"/>
      <c r="AY797" s="115"/>
      <c r="AZ797" s="115"/>
      <c r="BA797" s="115"/>
      <c r="BB797" s="25"/>
      <c r="BC797" s="13"/>
      <c r="BH797" s="116"/>
      <c r="BI797" s="123"/>
      <c r="BJ797" s="123"/>
      <c r="BK797" s="123"/>
      <c r="BP797" s="115"/>
      <c r="BQ797" s="115"/>
      <c r="BR797" s="115"/>
      <c r="BS797" s="115"/>
      <c r="BT797" s="115"/>
      <c r="BU797" s="115"/>
      <c r="BV797" s="115"/>
      <c r="BW797" s="115"/>
      <c r="BX797" s="115"/>
      <c r="BY797" s="115"/>
      <c r="BZ797" s="25"/>
      <c r="CA797" s="13"/>
      <c r="CD797" s="114"/>
    </row>
    <row r="798" spans="1:82" ht="19.5" x14ac:dyDescent="0.4">
      <c r="A798" s="117"/>
      <c r="B798" s="123"/>
      <c r="C798" s="123"/>
      <c r="D798" s="123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29"/>
      <c r="AR798" s="29"/>
      <c r="AS798" s="115"/>
      <c r="AT798" s="115"/>
      <c r="AU798" s="115"/>
      <c r="AV798" s="115"/>
      <c r="AW798" s="115"/>
      <c r="AX798" s="115"/>
      <c r="AY798" s="115"/>
      <c r="AZ798" s="115"/>
      <c r="BA798" s="115"/>
      <c r="BB798" s="25"/>
      <c r="BC798" s="13"/>
      <c r="BH798" s="116"/>
      <c r="BI798" s="123"/>
      <c r="BJ798" s="123"/>
      <c r="BK798" s="123"/>
      <c r="BP798" s="115"/>
      <c r="BQ798" s="115"/>
      <c r="BR798" s="115"/>
      <c r="BS798" s="115"/>
      <c r="BT798" s="115"/>
      <c r="BU798" s="115"/>
      <c r="BV798" s="115"/>
      <c r="BW798" s="115"/>
      <c r="BX798" s="115"/>
      <c r="BY798" s="115"/>
      <c r="BZ798" s="25"/>
      <c r="CA798" s="13"/>
      <c r="CD798" s="114"/>
    </row>
    <row r="799" spans="1:82" ht="19.5" x14ac:dyDescent="0.4">
      <c r="A799" s="117"/>
      <c r="B799" s="123"/>
      <c r="C799" s="123"/>
      <c r="D799" s="123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27"/>
      <c r="AR799" s="29"/>
      <c r="AS799" s="115"/>
      <c r="AT799" s="115"/>
      <c r="AU799" s="115"/>
      <c r="AV799" s="115"/>
      <c r="AW799" s="115"/>
      <c r="AX799" s="115"/>
      <c r="AY799" s="115"/>
      <c r="AZ799" s="115"/>
      <c r="BA799" s="115"/>
      <c r="BB799" s="25"/>
      <c r="BC799" s="13"/>
      <c r="BH799" s="116"/>
      <c r="BI799" s="123"/>
      <c r="BJ799" s="123"/>
      <c r="BK799" s="123"/>
      <c r="BP799" s="115"/>
      <c r="BQ799" s="115"/>
      <c r="BR799" s="115"/>
      <c r="BS799" s="115"/>
      <c r="BT799" s="115"/>
      <c r="BU799" s="115"/>
      <c r="BV799" s="115"/>
      <c r="BW799" s="115"/>
      <c r="BX799" s="115"/>
      <c r="BY799" s="115"/>
      <c r="BZ799" s="25"/>
      <c r="CA799" s="13"/>
      <c r="CD799" s="114"/>
    </row>
    <row r="800" spans="1:82" ht="19.5" x14ac:dyDescent="0.4">
      <c r="A800" s="117"/>
      <c r="B800" s="123"/>
      <c r="C800" s="123"/>
      <c r="D800" s="123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27"/>
      <c r="AR800" s="29"/>
      <c r="AS800" s="115"/>
      <c r="AT800" s="115"/>
      <c r="AU800" s="115"/>
      <c r="AV800" s="115"/>
      <c r="AW800" s="115"/>
      <c r="AX800" s="115"/>
      <c r="AY800" s="115"/>
      <c r="AZ800" s="115"/>
      <c r="BA800" s="115"/>
      <c r="BB800" s="25"/>
      <c r="BC800" s="13"/>
      <c r="BH800" s="116"/>
      <c r="BI800" s="123"/>
      <c r="BJ800" s="123"/>
      <c r="BK800" s="123"/>
      <c r="BP800" s="115"/>
      <c r="BQ800" s="115"/>
      <c r="BR800" s="115"/>
      <c r="BS800" s="115"/>
      <c r="BT800" s="115"/>
      <c r="BU800" s="115"/>
      <c r="BV800" s="115"/>
      <c r="BW800" s="115"/>
      <c r="BX800" s="115"/>
      <c r="BY800" s="115"/>
      <c r="BZ800" s="25"/>
      <c r="CA800" s="13"/>
      <c r="CD800" s="114"/>
    </row>
    <row r="801" spans="1:82" ht="19.5" x14ac:dyDescent="0.4">
      <c r="A801" s="117"/>
      <c r="B801" s="123"/>
      <c r="C801" s="123"/>
      <c r="D801" s="123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27"/>
      <c r="AR801" s="29"/>
      <c r="AS801" s="115"/>
      <c r="AT801" s="115"/>
      <c r="AU801" s="115"/>
      <c r="AV801" s="115"/>
      <c r="AW801" s="115"/>
      <c r="AX801" s="115"/>
      <c r="AY801" s="115"/>
      <c r="AZ801" s="115"/>
      <c r="BA801" s="115"/>
      <c r="BB801" s="25"/>
      <c r="BC801" s="13"/>
      <c r="BH801" s="116"/>
      <c r="BI801" s="123"/>
      <c r="BJ801" s="123"/>
      <c r="BK801" s="123"/>
      <c r="BP801" s="115"/>
      <c r="BQ801" s="115"/>
      <c r="BR801" s="115"/>
      <c r="BS801" s="115"/>
      <c r="BT801" s="115"/>
      <c r="BU801" s="115"/>
      <c r="BV801" s="115"/>
      <c r="BW801" s="115"/>
      <c r="BX801" s="115"/>
      <c r="BY801" s="115"/>
      <c r="BZ801" s="25"/>
      <c r="CA801" s="13"/>
      <c r="CD801" s="114"/>
    </row>
    <row r="802" spans="1:82" ht="19.5" x14ac:dyDescent="0.4">
      <c r="A802" s="117"/>
      <c r="B802" s="123"/>
      <c r="C802" s="123"/>
      <c r="D802" s="123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29"/>
      <c r="AR802" s="29"/>
      <c r="AS802" s="115"/>
      <c r="AT802" s="115"/>
      <c r="AU802" s="115"/>
      <c r="AV802" s="115"/>
      <c r="AW802" s="115"/>
      <c r="AX802" s="115"/>
      <c r="AY802" s="115"/>
      <c r="AZ802" s="115"/>
      <c r="BA802" s="115"/>
      <c r="BB802" s="25"/>
      <c r="BC802" s="13"/>
      <c r="BH802" s="116"/>
      <c r="BI802" s="123"/>
      <c r="BJ802" s="123"/>
      <c r="BK802" s="123"/>
      <c r="BP802" s="115"/>
      <c r="BQ802" s="115"/>
      <c r="BR802" s="115"/>
      <c r="BS802" s="115"/>
      <c r="BT802" s="115"/>
      <c r="BU802" s="115"/>
      <c r="BV802" s="115"/>
      <c r="BW802" s="115"/>
      <c r="BX802" s="115"/>
      <c r="BY802" s="115"/>
      <c r="BZ802" s="25"/>
      <c r="CA802" s="13"/>
      <c r="CD802" s="114"/>
    </row>
    <row r="803" spans="1:82" ht="19.5" x14ac:dyDescent="0.4">
      <c r="A803" s="117"/>
      <c r="B803" s="123"/>
      <c r="C803" s="123"/>
      <c r="D803" s="123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27"/>
      <c r="AR803" s="29"/>
      <c r="AS803" s="115"/>
      <c r="AT803" s="115"/>
      <c r="AU803" s="115"/>
      <c r="AV803" s="115"/>
      <c r="AW803" s="115"/>
      <c r="AX803" s="115"/>
      <c r="AY803" s="115"/>
      <c r="AZ803" s="115"/>
      <c r="BA803" s="115"/>
      <c r="BB803" s="25"/>
      <c r="BC803" s="13"/>
      <c r="BH803" s="116"/>
      <c r="BI803" s="123"/>
      <c r="BJ803" s="123"/>
      <c r="BK803" s="123"/>
      <c r="BP803" s="115"/>
      <c r="BQ803" s="115"/>
      <c r="BR803" s="115"/>
      <c r="BS803" s="115"/>
      <c r="BT803" s="115"/>
      <c r="BU803" s="115"/>
      <c r="BV803" s="115"/>
      <c r="BW803" s="115"/>
      <c r="BX803" s="115"/>
      <c r="BY803" s="115"/>
      <c r="BZ803" s="25"/>
      <c r="CA803" s="13"/>
      <c r="CD803" s="114"/>
    </row>
    <row r="804" spans="1:82" ht="19.5" x14ac:dyDescent="0.4">
      <c r="A804" s="117"/>
      <c r="B804" s="123"/>
      <c r="C804" s="123"/>
      <c r="D804" s="123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29"/>
      <c r="AR804" s="29"/>
      <c r="AS804" s="115"/>
      <c r="AT804" s="115"/>
      <c r="AU804" s="115"/>
      <c r="AV804" s="115"/>
      <c r="AW804" s="115"/>
      <c r="AX804" s="115"/>
      <c r="AY804" s="115"/>
      <c r="AZ804" s="115"/>
      <c r="BA804" s="115"/>
      <c r="BB804" s="25"/>
      <c r="BC804" s="13"/>
      <c r="BH804" s="116"/>
      <c r="BI804" s="123"/>
      <c r="BJ804" s="123"/>
      <c r="BK804" s="123"/>
      <c r="BP804" s="115"/>
      <c r="BQ804" s="115"/>
      <c r="BR804" s="115"/>
      <c r="BS804" s="115"/>
      <c r="BT804" s="115"/>
      <c r="BU804" s="115"/>
      <c r="BV804" s="115"/>
      <c r="BW804" s="115"/>
      <c r="BX804" s="115"/>
      <c r="BY804" s="115"/>
      <c r="BZ804" s="25"/>
      <c r="CA804" s="13"/>
      <c r="CD804" s="114"/>
    </row>
    <row r="805" spans="1:82" ht="19.5" x14ac:dyDescent="0.4">
      <c r="A805" s="117"/>
      <c r="B805" s="123"/>
      <c r="C805" s="123"/>
      <c r="D805" s="123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27"/>
      <c r="AR805" s="29"/>
      <c r="AS805" s="115"/>
      <c r="AT805" s="115"/>
      <c r="AU805" s="115"/>
      <c r="AV805" s="115"/>
      <c r="AW805" s="115"/>
      <c r="AX805" s="115"/>
      <c r="AY805" s="115"/>
      <c r="AZ805" s="115"/>
      <c r="BA805" s="115"/>
      <c r="BB805" s="25"/>
      <c r="BC805" s="13"/>
      <c r="BH805" s="116"/>
      <c r="BI805" s="123"/>
      <c r="BJ805" s="123"/>
      <c r="BK805" s="123"/>
      <c r="BP805" s="115"/>
      <c r="BQ805" s="115"/>
      <c r="BR805" s="115"/>
      <c r="BS805" s="115"/>
      <c r="BT805" s="115"/>
      <c r="BU805" s="115"/>
      <c r="BV805" s="115"/>
      <c r="BW805" s="115"/>
      <c r="BX805" s="115"/>
      <c r="BY805" s="115"/>
      <c r="BZ805" s="25"/>
      <c r="CA805" s="13"/>
      <c r="CD805" s="114"/>
    </row>
    <row r="806" spans="1:82" ht="19.5" x14ac:dyDescent="0.4">
      <c r="A806" s="117"/>
      <c r="B806" s="123"/>
      <c r="C806" s="123"/>
      <c r="D806" s="123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29"/>
      <c r="AR806" s="29"/>
      <c r="AS806" s="115"/>
      <c r="AT806" s="115"/>
      <c r="AU806" s="115"/>
      <c r="AV806" s="115"/>
      <c r="AW806" s="115"/>
      <c r="AX806" s="115"/>
      <c r="AY806" s="115"/>
      <c r="AZ806" s="115"/>
      <c r="BA806" s="115"/>
      <c r="BB806" s="25"/>
      <c r="BC806" s="13"/>
      <c r="BH806" s="116"/>
      <c r="BI806" s="123"/>
      <c r="BJ806" s="123"/>
      <c r="BK806" s="123"/>
      <c r="BP806" s="115"/>
      <c r="BQ806" s="115"/>
      <c r="BR806" s="115"/>
      <c r="BS806" s="115"/>
      <c r="BT806" s="115"/>
      <c r="BU806" s="115"/>
      <c r="BV806" s="115"/>
      <c r="BW806" s="115"/>
      <c r="BX806" s="115"/>
      <c r="BY806" s="115"/>
      <c r="BZ806" s="25"/>
      <c r="CA806" s="13"/>
      <c r="CD806" s="114"/>
    </row>
    <row r="807" spans="1:82" ht="19.5" x14ac:dyDescent="0.4">
      <c r="A807" s="117"/>
      <c r="B807" s="123"/>
      <c r="C807" s="123"/>
      <c r="D807" s="123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29"/>
      <c r="AR807" s="29"/>
      <c r="AS807" s="115"/>
      <c r="AT807" s="115"/>
      <c r="AU807" s="115"/>
      <c r="AV807" s="115"/>
      <c r="AW807" s="115"/>
      <c r="AX807" s="115"/>
      <c r="AY807" s="115"/>
      <c r="AZ807" s="115"/>
      <c r="BA807" s="115"/>
      <c r="BB807" s="25"/>
      <c r="BC807" s="13"/>
      <c r="BH807" s="116"/>
      <c r="BI807" s="123"/>
      <c r="BJ807" s="123"/>
      <c r="BK807" s="123"/>
      <c r="BP807" s="115"/>
      <c r="BQ807" s="115"/>
      <c r="BR807" s="115"/>
      <c r="BS807" s="115"/>
      <c r="BT807" s="115"/>
      <c r="BU807" s="115"/>
      <c r="BV807" s="115"/>
      <c r="BW807" s="115"/>
      <c r="BX807" s="115"/>
      <c r="BY807" s="115"/>
      <c r="BZ807" s="25"/>
      <c r="CA807" s="13"/>
      <c r="CD807" s="114"/>
    </row>
    <row r="808" spans="1:82" ht="19.5" x14ac:dyDescent="0.4">
      <c r="A808" s="117"/>
      <c r="B808" s="123"/>
      <c r="C808" s="123"/>
      <c r="D808" s="123"/>
      <c r="AQ808" s="127"/>
      <c r="AR808" s="29"/>
      <c r="AS808" s="115"/>
      <c r="AT808" s="115"/>
      <c r="AU808" s="115"/>
      <c r="AV808" s="115"/>
      <c r="AW808" s="115"/>
      <c r="AX808" s="115"/>
      <c r="AY808" s="115"/>
      <c r="AZ808" s="115"/>
      <c r="BA808" s="115"/>
      <c r="BB808" s="25">
        <v>45677</v>
      </c>
      <c r="BC808" s="13" t="s">
        <v>146</v>
      </c>
      <c r="BH808" s="116"/>
      <c r="BI808" s="123"/>
      <c r="BJ808" s="123"/>
      <c r="BK808" s="123"/>
      <c r="BP808" s="115"/>
      <c r="BQ808" s="115"/>
      <c r="BR808" s="115"/>
      <c r="BS808" s="115"/>
      <c r="BT808" s="115"/>
      <c r="BU808" s="115"/>
      <c r="BV808" s="115"/>
      <c r="BW808" s="115"/>
      <c r="BX808" s="115"/>
      <c r="BY808" s="115"/>
      <c r="BZ808" s="25"/>
      <c r="CA808" s="13"/>
      <c r="CD808" s="114"/>
    </row>
    <row r="809" spans="1:82" ht="19.5" x14ac:dyDescent="0.4">
      <c r="A809" s="117"/>
      <c r="B809" s="123"/>
      <c r="C809" s="123"/>
      <c r="D809" s="123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27"/>
      <c r="AR809" s="29"/>
      <c r="AS809" s="115"/>
      <c r="AT809" s="115"/>
      <c r="AU809" s="115"/>
      <c r="AV809" s="115"/>
      <c r="AW809" s="115"/>
      <c r="AX809" s="115"/>
      <c r="AY809" s="115"/>
      <c r="AZ809" s="115"/>
      <c r="BA809" s="115"/>
      <c r="BB809" s="25"/>
      <c r="BC809" s="13"/>
      <c r="BH809" s="116"/>
      <c r="BI809" s="123"/>
      <c r="BJ809" s="123"/>
      <c r="BK809" s="123"/>
      <c r="BP809" s="115"/>
      <c r="BQ809" s="115"/>
      <c r="BR809" s="115"/>
      <c r="BS809" s="115"/>
      <c r="BT809" s="115"/>
      <c r="BU809" s="115"/>
      <c r="BV809" s="115"/>
      <c r="BW809" s="115"/>
      <c r="BX809" s="115"/>
      <c r="BY809" s="115"/>
      <c r="BZ809" s="25"/>
      <c r="CA809" s="13"/>
      <c r="CD809" s="114"/>
    </row>
    <row r="810" spans="1:82" ht="19.5" x14ac:dyDescent="0.4">
      <c r="A810" s="117"/>
      <c r="B810" s="123"/>
      <c r="C810" s="123"/>
      <c r="D810" s="123"/>
      <c r="AQ810" s="127"/>
      <c r="AR810" s="29"/>
      <c r="AS810" s="115"/>
      <c r="AT810" s="115"/>
      <c r="AU810" s="115"/>
      <c r="AV810" s="115"/>
      <c r="AW810" s="115"/>
      <c r="AX810" s="115"/>
      <c r="AY810" s="115"/>
      <c r="AZ810" s="115"/>
      <c r="BA810" s="115"/>
      <c r="BB810" s="25"/>
      <c r="BC810" s="13"/>
      <c r="BH810" s="116"/>
      <c r="BI810" s="123"/>
      <c r="BJ810" s="123"/>
      <c r="BK810" s="123"/>
      <c r="BP810" s="115"/>
      <c r="BQ810" s="115"/>
      <c r="BR810" s="115"/>
      <c r="BS810" s="115"/>
      <c r="BT810" s="115"/>
      <c r="BU810" s="115"/>
      <c r="BV810" s="115"/>
      <c r="BW810" s="115"/>
      <c r="BX810" s="115"/>
      <c r="BY810" s="115"/>
      <c r="BZ810" s="25"/>
      <c r="CA810" s="13"/>
      <c r="CD810" s="114"/>
    </row>
    <row r="811" spans="1:82" ht="19.5" x14ac:dyDescent="0.4">
      <c r="A811" s="117"/>
      <c r="B811" s="123"/>
      <c r="C811" s="123"/>
      <c r="D811" s="123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27"/>
      <c r="AR811" s="29"/>
      <c r="AS811" s="115"/>
      <c r="AT811" s="115"/>
      <c r="AU811" s="115"/>
      <c r="AV811" s="115"/>
      <c r="AW811" s="115"/>
      <c r="AX811" s="115"/>
      <c r="AY811" s="115"/>
      <c r="AZ811" s="115"/>
      <c r="BA811" s="115"/>
      <c r="BB811" s="25"/>
      <c r="BC811" s="13"/>
      <c r="BH811" s="116"/>
      <c r="BI811" s="123"/>
      <c r="BJ811" s="123"/>
      <c r="BK811" s="123"/>
      <c r="BP811" s="115"/>
      <c r="BQ811" s="115"/>
      <c r="BR811" s="115"/>
      <c r="BS811" s="115"/>
      <c r="BT811" s="115"/>
      <c r="BU811" s="115"/>
      <c r="BV811" s="115"/>
      <c r="BW811" s="115"/>
      <c r="BX811" s="115"/>
      <c r="BY811" s="115"/>
      <c r="BZ811" s="25"/>
      <c r="CA811" s="13"/>
      <c r="CD811" s="114"/>
    </row>
    <row r="812" spans="1:82" ht="19.5" x14ac:dyDescent="0.4">
      <c r="A812" s="117"/>
      <c r="B812" s="123"/>
      <c r="C812" s="123"/>
      <c r="D812" s="123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27"/>
      <c r="AR812" s="29"/>
      <c r="AS812" s="115"/>
      <c r="AT812" s="115"/>
      <c r="AU812" s="115"/>
      <c r="AV812" s="115"/>
      <c r="AW812" s="115"/>
      <c r="AX812" s="115"/>
      <c r="AY812" s="115"/>
      <c r="AZ812" s="115"/>
      <c r="BA812" s="115"/>
      <c r="BB812" s="25"/>
      <c r="BC812" s="13"/>
      <c r="BH812" s="116"/>
      <c r="BI812" s="123"/>
      <c r="BJ812" s="123"/>
      <c r="BK812" s="123"/>
      <c r="BP812" s="115"/>
      <c r="BQ812" s="115"/>
      <c r="BR812" s="115"/>
      <c r="BS812" s="115"/>
      <c r="BT812" s="115"/>
      <c r="BU812" s="115"/>
      <c r="BV812" s="115"/>
      <c r="BW812" s="115"/>
      <c r="BX812" s="115"/>
      <c r="BY812" s="115"/>
      <c r="BZ812" s="25"/>
      <c r="CA812" s="13"/>
      <c r="CD812" s="114"/>
    </row>
    <row r="813" spans="1:82" ht="19.5" x14ac:dyDescent="0.4">
      <c r="A813" s="117"/>
      <c r="B813" s="123"/>
      <c r="C813" s="123"/>
      <c r="D813" s="123"/>
      <c r="AQ813" s="127"/>
      <c r="AR813" s="29"/>
      <c r="AS813" s="115"/>
      <c r="AT813" s="115"/>
      <c r="AU813" s="115"/>
      <c r="AV813" s="115"/>
      <c r="AW813" s="115"/>
      <c r="AX813" s="115"/>
      <c r="AY813" s="115"/>
      <c r="AZ813" s="115"/>
      <c r="BA813" s="115"/>
      <c r="BB813" s="25"/>
      <c r="BC813" s="13"/>
      <c r="BH813" s="116"/>
      <c r="BI813" s="123"/>
      <c r="BJ813" s="123"/>
      <c r="BK813" s="123"/>
      <c r="BP813" s="115"/>
      <c r="BQ813" s="115"/>
      <c r="BR813" s="115"/>
      <c r="BS813" s="115"/>
      <c r="BT813" s="115"/>
      <c r="BU813" s="115"/>
      <c r="BV813" s="115"/>
      <c r="BW813" s="115"/>
      <c r="BX813" s="115"/>
      <c r="BY813" s="115"/>
      <c r="BZ813" s="25"/>
      <c r="CA813" s="13"/>
      <c r="CD813" s="114"/>
    </row>
    <row r="814" spans="1:82" ht="19.5" x14ac:dyDescent="0.4">
      <c r="A814" s="117"/>
      <c r="B814" s="123"/>
      <c r="C814" s="123"/>
      <c r="D814" s="123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27"/>
      <c r="AR814" s="29"/>
      <c r="AS814" s="115"/>
      <c r="AT814" s="115"/>
      <c r="AU814" s="115"/>
      <c r="AV814" s="115"/>
      <c r="AW814" s="115"/>
      <c r="AX814" s="115"/>
      <c r="AY814" s="115"/>
      <c r="AZ814" s="115"/>
      <c r="BA814" s="115"/>
      <c r="BB814" s="25"/>
      <c r="BC814" s="13"/>
      <c r="BH814" s="116"/>
      <c r="BI814" s="123"/>
      <c r="BJ814" s="123"/>
      <c r="BK814" s="123"/>
      <c r="BP814" s="115"/>
      <c r="BQ814" s="115"/>
      <c r="BR814" s="115"/>
      <c r="BS814" s="115"/>
      <c r="BT814" s="115"/>
      <c r="BU814" s="115"/>
      <c r="BV814" s="115"/>
      <c r="BW814" s="115"/>
      <c r="BX814" s="115"/>
      <c r="BY814" s="115"/>
      <c r="BZ814" s="25"/>
      <c r="CA814" s="13"/>
      <c r="CD814" s="114"/>
    </row>
    <row r="815" spans="1:82" ht="19.5" x14ac:dyDescent="0.4">
      <c r="A815" s="117"/>
      <c r="B815" s="123"/>
      <c r="C815" s="123"/>
      <c r="D815" s="123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27"/>
      <c r="AR815" s="29"/>
      <c r="AS815" s="115"/>
      <c r="AT815" s="115"/>
      <c r="AU815" s="115"/>
      <c r="AV815" s="115"/>
      <c r="AW815" s="115"/>
      <c r="AX815" s="115"/>
      <c r="AY815" s="115"/>
      <c r="AZ815" s="115"/>
      <c r="BA815" s="115"/>
      <c r="BB815" s="25"/>
      <c r="BC815" s="13"/>
      <c r="BH815" s="116"/>
      <c r="BI815" s="123"/>
      <c r="BJ815" s="123"/>
      <c r="BK815" s="123"/>
      <c r="BP815" s="115"/>
      <c r="BQ815" s="115"/>
      <c r="BR815" s="115"/>
      <c r="BS815" s="115"/>
      <c r="BT815" s="115"/>
      <c r="BU815" s="115"/>
      <c r="BV815" s="115"/>
      <c r="BW815" s="115"/>
      <c r="BX815" s="115"/>
      <c r="BY815" s="115"/>
      <c r="BZ815" s="25"/>
      <c r="CA815" s="13"/>
      <c r="CD815" s="114"/>
    </row>
    <row r="816" spans="1:82" ht="19.5" x14ac:dyDescent="0.4">
      <c r="A816" s="117"/>
      <c r="B816" s="123"/>
      <c r="C816" s="123"/>
      <c r="D816" s="123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27"/>
      <c r="AR816" s="29"/>
      <c r="AS816" s="115"/>
      <c r="AT816" s="115"/>
      <c r="AU816" s="115"/>
      <c r="AV816" s="115"/>
      <c r="AW816" s="115"/>
      <c r="AX816" s="115"/>
      <c r="AY816" s="115"/>
      <c r="AZ816" s="115"/>
      <c r="BA816" s="115"/>
      <c r="BB816" s="25"/>
      <c r="BC816" s="13"/>
      <c r="BH816" s="116"/>
      <c r="BI816" s="123"/>
      <c r="BJ816" s="123"/>
      <c r="BK816" s="123"/>
      <c r="BP816" s="115"/>
      <c r="BQ816" s="115"/>
      <c r="BR816" s="115"/>
      <c r="BS816" s="115"/>
      <c r="BT816" s="115"/>
      <c r="BU816" s="115"/>
      <c r="BV816" s="115"/>
      <c r="BW816" s="115"/>
      <c r="BX816" s="115"/>
      <c r="BY816" s="115"/>
      <c r="BZ816" s="25"/>
      <c r="CA816" s="13"/>
      <c r="CD816" s="114"/>
    </row>
    <row r="817" spans="1:82" ht="19.5" x14ac:dyDescent="0.4">
      <c r="A817" s="117"/>
      <c r="B817" s="123"/>
      <c r="C817" s="123"/>
      <c r="D817" s="123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115"/>
      <c r="AM817" s="115"/>
      <c r="AN817" s="115"/>
      <c r="AO817" s="115"/>
      <c r="AP817" s="115"/>
      <c r="AQ817" s="29"/>
      <c r="AR817" s="29"/>
      <c r="AS817" s="115"/>
      <c r="AT817" s="115"/>
      <c r="AU817" s="115"/>
      <c r="AV817" s="115"/>
      <c r="AW817" s="115"/>
      <c r="AX817" s="115"/>
      <c r="AY817" s="115"/>
      <c r="AZ817" s="115"/>
      <c r="BA817" s="115"/>
      <c r="BB817" s="25"/>
      <c r="BC817" s="13"/>
      <c r="BH817" s="116"/>
      <c r="BI817" s="123"/>
      <c r="BJ817" s="123"/>
      <c r="BK817" s="123"/>
      <c r="BP817" s="115"/>
      <c r="BQ817" s="115"/>
      <c r="BR817" s="115"/>
      <c r="BS817" s="115"/>
      <c r="BT817" s="115"/>
      <c r="BU817" s="115"/>
      <c r="BV817" s="115"/>
      <c r="BW817" s="115"/>
      <c r="BX817" s="115"/>
      <c r="BY817" s="115"/>
      <c r="BZ817" s="25"/>
      <c r="CA817" s="13"/>
      <c r="CD817" s="114"/>
    </row>
    <row r="818" spans="1:82" ht="19.5" x14ac:dyDescent="0.4">
      <c r="A818" s="117"/>
      <c r="B818" s="123"/>
      <c r="C818" s="123"/>
      <c r="D818" s="123"/>
      <c r="AQ818" s="127"/>
      <c r="AR818" s="29"/>
      <c r="AS818" s="115"/>
      <c r="AT818" s="115"/>
      <c r="AU818" s="115"/>
      <c r="AV818" s="115"/>
      <c r="AW818" s="115"/>
      <c r="AX818" s="115"/>
      <c r="AY818" s="115"/>
      <c r="AZ818" s="115"/>
      <c r="BA818" s="115"/>
      <c r="BB818" s="25">
        <v>45677</v>
      </c>
      <c r="BC818" s="13" t="s">
        <v>147</v>
      </c>
      <c r="BH818" s="116"/>
      <c r="BI818" s="123"/>
      <c r="BJ818" s="123"/>
      <c r="BK818" s="123"/>
      <c r="BP818" s="115"/>
      <c r="BQ818" s="115"/>
      <c r="BR818" s="115"/>
      <c r="BS818" s="115"/>
      <c r="BT818" s="115"/>
      <c r="BU818" s="115"/>
      <c r="BV818" s="115"/>
      <c r="BW818" s="115"/>
      <c r="BX818" s="115"/>
      <c r="BY818" s="115"/>
      <c r="BZ818" s="25"/>
      <c r="CA818" s="13"/>
      <c r="CD818" s="114"/>
    </row>
    <row r="819" spans="1:82" ht="19.5" x14ac:dyDescent="0.4">
      <c r="A819" s="117"/>
      <c r="B819" s="123"/>
      <c r="C819" s="123"/>
      <c r="D819" s="123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15"/>
      <c r="AQ819" s="127"/>
      <c r="AR819" s="29"/>
      <c r="AS819" s="115"/>
      <c r="AT819" s="115"/>
      <c r="AU819" s="115"/>
      <c r="AV819" s="115"/>
      <c r="AW819" s="115"/>
      <c r="AX819" s="115"/>
      <c r="AY819" s="115"/>
      <c r="AZ819" s="115"/>
      <c r="BA819" s="115"/>
      <c r="BB819" s="25"/>
      <c r="BC819" s="13"/>
      <c r="BH819" s="116"/>
      <c r="BI819" s="123"/>
      <c r="BJ819" s="123"/>
      <c r="BK819" s="123"/>
      <c r="BP819" s="115"/>
      <c r="BQ819" s="115"/>
      <c r="BR819" s="115"/>
      <c r="BS819" s="115"/>
      <c r="BT819" s="115"/>
      <c r="BU819" s="115"/>
      <c r="BV819" s="115"/>
      <c r="BW819" s="115"/>
      <c r="BX819" s="115"/>
      <c r="BY819" s="115"/>
      <c r="BZ819" s="25"/>
      <c r="CA819" s="13"/>
      <c r="CD819" s="114"/>
    </row>
    <row r="820" spans="1:82" ht="19.5" x14ac:dyDescent="0.4">
      <c r="A820" s="117"/>
      <c r="B820" s="123"/>
      <c r="C820" s="123"/>
      <c r="D820" s="123"/>
      <c r="AQ820" s="127"/>
      <c r="AR820" s="29"/>
      <c r="AS820" s="115"/>
      <c r="AT820" s="115"/>
      <c r="AU820" s="115"/>
      <c r="AV820" s="115"/>
      <c r="AW820" s="115"/>
      <c r="AX820" s="115"/>
      <c r="AY820" s="115"/>
      <c r="AZ820" s="115"/>
      <c r="BA820" s="115"/>
      <c r="BB820" s="25">
        <v>45677</v>
      </c>
      <c r="BC820" s="25" t="s">
        <v>147</v>
      </c>
      <c r="BH820" s="116"/>
      <c r="BI820" s="123"/>
      <c r="BJ820" s="123"/>
      <c r="BK820" s="123"/>
      <c r="BP820" s="115"/>
      <c r="BQ820" s="115"/>
      <c r="BR820" s="115"/>
      <c r="BS820" s="115"/>
      <c r="BT820" s="115"/>
      <c r="BU820" s="115"/>
      <c r="BV820" s="115"/>
      <c r="BW820" s="115"/>
      <c r="BX820" s="115"/>
      <c r="BY820" s="115"/>
      <c r="BZ820" s="25"/>
      <c r="CA820" s="13"/>
      <c r="CD820" s="114"/>
    </row>
    <row r="821" spans="1:82" ht="19.5" x14ac:dyDescent="0.4">
      <c r="A821" s="117"/>
      <c r="B821" s="123"/>
      <c r="C821" s="123"/>
      <c r="D821" s="123"/>
      <c r="AQ821" s="127"/>
      <c r="AR821" s="29"/>
      <c r="AS821" s="115"/>
      <c r="AT821" s="115"/>
      <c r="AU821" s="115"/>
      <c r="AV821" s="115"/>
      <c r="AW821" s="115"/>
      <c r="AX821" s="115"/>
      <c r="AY821" s="115"/>
      <c r="AZ821" s="115"/>
      <c r="BA821" s="115"/>
      <c r="BB821" s="25"/>
      <c r="BC821" s="25"/>
      <c r="BH821" s="116"/>
      <c r="BI821" s="123"/>
      <c r="BJ821" s="123"/>
      <c r="BK821" s="123"/>
      <c r="BP821" s="115"/>
      <c r="BQ821" s="115"/>
      <c r="BR821" s="115"/>
      <c r="BS821" s="115"/>
      <c r="BT821" s="115"/>
      <c r="BU821" s="115"/>
      <c r="BV821" s="115"/>
      <c r="BW821" s="115"/>
      <c r="BX821" s="115"/>
      <c r="BY821" s="115"/>
      <c r="BZ821" s="25"/>
      <c r="CA821" s="13"/>
      <c r="CD821" s="114"/>
    </row>
    <row r="822" spans="1:82" ht="19.5" x14ac:dyDescent="0.4">
      <c r="A822" s="117"/>
      <c r="B822" s="123"/>
      <c r="C822" s="123"/>
      <c r="D822" s="123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27"/>
      <c r="AR822" s="29"/>
      <c r="AS822" s="115"/>
      <c r="AT822" s="115"/>
      <c r="AU822" s="115"/>
      <c r="AV822" s="115"/>
      <c r="AW822" s="115"/>
      <c r="AX822" s="115"/>
      <c r="AY822" s="115"/>
      <c r="AZ822" s="115"/>
      <c r="BA822" s="115"/>
      <c r="BB822" s="25"/>
      <c r="BC822" s="25"/>
      <c r="BH822" s="116"/>
      <c r="BI822" s="123"/>
      <c r="BJ822" s="123"/>
      <c r="BK822" s="123"/>
      <c r="BP822" s="115"/>
      <c r="BQ822" s="115"/>
      <c r="BR822" s="115"/>
      <c r="BS822" s="115"/>
      <c r="BT822" s="115"/>
      <c r="BU822" s="115"/>
      <c r="BV822" s="115"/>
      <c r="BW822" s="115"/>
      <c r="BX822" s="115"/>
      <c r="BY822" s="115"/>
      <c r="BZ822" s="25"/>
      <c r="CA822" s="13"/>
      <c r="CD822" s="114"/>
    </row>
    <row r="823" spans="1:82" ht="19.5" x14ac:dyDescent="0.4">
      <c r="A823" s="117"/>
      <c r="B823" s="123"/>
      <c r="C823" s="123"/>
      <c r="D823" s="123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27"/>
      <c r="AR823" s="29"/>
      <c r="AS823" s="115"/>
      <c r="AT823" s="115"/>
      <c r="AU823" s="115"/>
      <c r="AV823" s="115"/>
      <c r="AW823" s="115"/>
      <c r="AX823" s="115"/>
      <c r="AY823" s="115"/>
      <c r="AZ823" s="115"/>
      <c r="BA823" s="115"/>
      <c r="BB823" s="25"/>
      <c r="BC823" s="25"/>
      <c r="BH823" s="116"/>
      <c r="BI823" s="123"/>
      <c r="BJ823" s="123"/>
      <c r="BK823" s="123"/>
      <c r="BP823" s="115"/>
      <c r="BQ823" s="115"/>
      <c r="BR823" s="115"/>
      <c r="BS823" s="115"/>
      <c r="BT823" s="115"/>
      <c r="BU823" s="115"/>
      <c r="BV823" s="115"/>
      <c r="BW823" s="115"/>
      <c r="BX823" s="115"/>
      <c r="BY823" s="115"/>
      <c r="BZ823" s="25"/>
      <c r="CA823" s="13"/>
      <c r="CD823" s="114"/>
    </row>
    <row r="824" spans="1:82" ht="19.5" x14ac:dyDescent="0.4">
      <c r="A824" s="117"/>
      <c r="B824" s="123"/>
      <c r="C824" s="123"/>
      <c r="D824" s="123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27"/>
      <c r="AR824" s="29"/>
      <c r="AS824" s="115"/>
      <c r="AT824" s="115"/>
      <c r="AU824" s="115"/>
      <c r="AV824" s="115"/>
      <c r="AW824" s="115"/>
      <c r="AX824" s="115"/>
      <c r="AY824" s="115"/>
      <c r="AZ824" s="115"/>
      <c r="BA824" s="115"/>
      <c r="BB824" s="25"/>
      <c r="BC824" s="25"/>
      <c r="BH824" s="116"/>
      <c r="BI824" s="123"/>
      <c r="BJ824" s="123"/>
      <c r="BK824" s="123"/>
      <c r="BP824" s="115"/>
      <c r="BQ824" s="115"/>
      <c r="BR824" s="115"/>
      <c r="BS824" s="115"/>
      <c r="BT824" s="115"/>
      <c r="BU824" s="115"/>
      <c r="BV824" s="115"/>
      <c r="BW824" s="115"/>
      <c r="BX824" s="115"/>
      <c r="BY824" s="115"/>
      <c r="BZ824" s="25"/>
      <c r="CA824" s="13"/>
      <c r="CD824" s="114"/>
    </row>
    <row r="825" spans="1:82" ht="19.5" x14ac:dyDescent="0.4">
      <c r="A825" s="117"/>
      <c r="B825" s="123"/>
      <c r="C825" s="123"/>
      <c r="D825" s="123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29"/>
      <c r="AR825" s="29"/>
      <c r="AS825" s="115"/>
      <c r="AT825" s="115"/>
      <c r="AU825" s="115"/>
      <c r="AV825" s="115"/>
      <c r="AW825" s="115"/>
      <c r="AX825" s="115"/>
      <c r="AY825" s="115"/>
      <c r="AZ825" s="115"/>
      <c r="BA825" s="115"/>
      <c r="BB825" s="25"/>
      <c r="BC825" s="25"/>
      <c r="BH825" s="116"/>
      <c r="BI825" s="123"/>
      <c r="BJ825" s="123"/>
      <c r="BK825" s="123"/>
      <c r="BP825" s="115"/>
      <c r="BQ825" s="115"/>
      <c r="BR825" s="115"/>
      <c r="BS825" s="115"/>
      <c r="BT825" s="115"/>
      <c r="BU825" s="115"/>
      <c r="BV825" s="115"/>
      <c r="BW825" s="115"/>
      <c r="BX825" s="115"/>
      <c r="BY825" s="115"/>
      <c r="BZ825" s="25"/>
      <c r="CA825" s="13"/>
      <c r="CD825" s="114"/>
    </row>
    <row r="826" spans="1:82" ht="19.5" x14ac:dyDescent="0.4">
      <c r="A826" s="117"/>
      <c r="B826" s="123"/>
      <c r="C826" s="123"/>
      <c r="D826" s="123"/>
      <c r="AQ826" s="127"/>
      <c r="AR826" s="29"/>
      <c r="AS826" s="115"/>
      <c r="AT826" s="115"/>
      <c r="AU826" s="115"/>
      <c r="AV826" s="115"/>
      <c r="AW826" s="115"/>
      <c r="AX826" s="115"/>
      <c r="AY826" s="115"/>
      <c r="AZ826" s="115"/>
      <c r="BA826" s="115"/>
      <c r="BB826" s="25">
        <v>45678</v>
      </c>
      <c r="BC826" s="13" t="s">
        <v>147</v>
      </c>
      <c r="BH826" s="116"/>
      <c r="BI826" s="123"/>
      <c r="BJ826" s="123"/>
      <c r="BK826" s="123"/>
      <c r="BP826" s="115"/>
      <c r="BQ826" s="115"/>
      <c r="BR826" s="115"/>
      <c r="BS826" s="115"/>
      <c r="BT826" s="115"/>
      <c r="BU826" s="115"/>
      <c r="BV826" s="115"/>
      <c r="BW826" s="115"/>
      <c r="BX826" s="115"/>
      <c r="BY826" s="115"/>
      <c r="BZ826" s="25"/>
      <c r="CA826" s="13"/>
      <c r="CD826" s="114"/>
    </row>
    <row r="827" spans="1:82" ht="19.5" x14ac:dyDescent="0.4">
      <c r="A827" s="117"/>
      <c r="B827" s="123"/>
      <c r="C827" s="123"/>
      <c r="D827" s="123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27"/>
      <c r="AR827" s="29"/>
      <c r="AS827" s="115"/>
      <c r="AT827" s="115"/>
      <c r="AU827" s="115"/>
      <c r="AV827" s="115"/>
      <c r="AW827" s="115"/>
      <c r="AX827" s="115"/>
      <c r="AY827" s="115"/>
      <c r="AZ827" s="115"/>
      <c r="BA827" s="115"/>
      <c r="BB827" s="25"/>
      <c r="BC827" s="13"/>
      <c r="BH827" s="116"/>
      <c r="BI827" s="123"/>
      <c r="BJ827" s="123"/>
      <c r="BK827" s="123"/>
      <c r="BP827" s="115"/>
      <c r="BQ827" s="115"/>
      <c r="BR827" s="115"/>
      <c r="BS827" s="115"/>
      <c r="BT827" s="115"/>
      <c r="BU827" s="115"/>
      <c r="BV827" s="115"/>
      <c r="BW827" s="115"/>
      <c r="BX827" s="115"/>
      <c r="BY827" s="115"/>
      <c r="BZ827" s="25"/>
      <c r="CA827" s="13"/>
      <c r="CD827" s="114"/>
    </row>
    <row r="828" spans="1:82" ht="19.5" x14ac:dyDescent="0.4">
      <c r="A828" s="117"/>
      <c r="B828" s="123"/>
      <c r="C828" s="123"/>
      <c r="D828" s="123"/>
      <c r="AQ828" s="127"/>
      <c r="AR828" s="29"/>
      <c r="AS828" s="115"/>
      <c r="AT828" s="115"/>
      <c r="AU828" s="115"/>
      <c r="AV828" s="115"/>
      <c r="AW828" s="115"/>
      <c r="AX828" s="115"/>
      <c r="AY828" s="115"/>
      <c r="AZ828" s="115"/>
      <c r="BA828" s="115"/>
      <c r="BB828" s="25">
        <v>45678</v>
      </c>
      <c r="BC828" s="13" t="s">
        <v>146</v>
      </c>
      <c r="BH828" s="116"/>
      <c r="BI828" s="123"/>
      <c r="BJ828" s="123"/>
      <c r="BK828" s="123"/>
      <c r="BP828" s="115"/>
      <c r="BQ828" s="115"/>
      <c r="BR828" s="115"/>
      <c r="BS828" s="115"/>
      <c r="BT828" s="115"/>
      <c r="BU828" s="115"/>
      <c r="BV828" s="115"/>
      <c r="BW828" s="115"/>
      <c r="BX828" s="115"/>
      <c r="BY828" s="115"/>
      <c r="BZ828" s="25"/>
      <c r="CA828" s="13"/>
      <c r="CD828" s="114"/>
    </row>
    <row r="829" spans="1:82" ht="19.5" x14ac:dyDescent="0.4">
      <c r="A829" s="117"/>
      <c r="B829" s="123"/>
      <c r="C829" s="123"/>
      <c r="D829" s="123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27"/>
      <c r="AR829" s="29"/>
      <c r="AS829" s="115"/>
      <c r="AT829" s="115"/>
      <c r="AU829" s="115"/>
      <c r="AV829" s="115"/>
      <c r="AW829" s="115"/>
      <c r="AX829" s="115"/>
      <c r="AY829" s="115"/>
      <c r="AZ829" s="115"/>
      <c r="BA829" s="115"/>
      <c r="BB829" s="25"/>
      <c r="BC829" s="13"/>
      <c r="BH829" s="116"/>
      <c r="BI829" s="123"/>
      <c r="BJ829" s="123"/>
      <c r="BK829" s="123"/>
      <c r="BP829" s="115"/>
      <c r="BQ829" s="115"/>
      <c r="BR829" s="115"/>
      <c r="BS829" s="115"/>
      <c r="BT829" s="115"/>
      <c r="BU829" s="115"/>
      <c r="BV829" s="115"/>
      <c r="BW829" s="115"/>
      <c r="BX829" s="115"/>
      <c r="BY829" s="115"/>
      <c r="BZ829" s="25"/>
      <c r="CA829" s="13"/>
      <c r="CD829" s="114"/>
    </row>
    <row r="830" spans="1:82" ht="19.5" x14ac:dyDescent="0.4">
      <c r="A830" s="117"/>
      <c r="B830" s="123"/>
      <c r="C830" s="123"/>
      <c r="D830" s="123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27"/>
      <c r="AR830" s="29"/>
      <c r="AS830" s="115"/>
      <c r="AT830" s="115"/>
      <c r="AU830" s="115"/>
      <c r="AV830" s="115"/>
      <c r="AW830" s="115"/>
      <c r="AX830" s="115"/>
      <c r="AY830" s="115"/>
      <c r="AZ830" s="115"/>
      <c r="BA830" s="115"/>
      <c r="BB830" s="25"/>
      <c r="BC830" s="13"/>
      <c r="BH830" s="116"/>
      <c r="BI830" s="123"/>
      <c r="BJ830" s="123"/>
      <c r="BK830" s="123"/>
      <c r="BP830" s="115"/>
      <c r="BQ830" s="115"/>
      <c r="BR830" s="115"/>
      <c r="BS830" s="115"/>
      <c r="BT830" s="115"/>
      <c r="BU830" s="115"/>
      <c r="BV830" s="115"/>
      <c r="BW830" s="115"/>
      <c r="BX830" s="115"/>
      <c r="BY830" s="115"/>
      <c r="BZ830" s="25"/>
      <c r="CA830" s="13"/>
      <c r="CD830" s="114"/>
    </row>
    <row r="831" spans="1:82" ht="19.5" x14ac:dyDescent="0.4">
      <c r="A831" s="117"/>
      <c r="B831" s="123"/>
      <c r="C831" s="123"/>
      <c r="D831" s="123"/>
      <c r="AC831" s="115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27"/>
      <c r="AR831" s="29"/>
      <c r="AS831" s="115"/>
      <c r="AT831" s="115"/>
      <c r="AU831" s="115"/>
      <c r="AV831" s="115"/>
      <c r="AW831" s="115"/>
      <c r="AX831" s="115"/>
      <c r="AY831" s="115"/>
      <c r="AZ831" s="115"/>
      <c r="BA831" s="115"/>
      <c r="BB831" s="25"/>
      <c r="BC831" s="13"/>
      <c r="BH831" s="116"/>
      <c r="BI831" s="123"/>
      <c r="BJ831" s="123"/>
      <c r="BK831" s="123"/>
      <c r="BP831" s="115"/>
      <c r="BQ831" s="115"/>
      <c r="BR831" s="115"/>
      <c r="BS831" s="115"/>
      <c r="BT831" s="115"/>
      <c r="BU831" s="115"/>
      <c r="BV831" s="115"/>
      <c r="BW831" s="115"/>
      <c r="BX831" s="115"/>
      <c r="BY831" s="115"/>
      <c r="BZ831" s="25"/>
      <c r="CA831" s="13"/>
      <c r="CD831" s="114"/>
    </row>
    <row r="832" spans="1:82" ht="19.5" x14ac:dyDescent="0.4">
      <c r="A832" s="117"/>
      <c r="B832" s="123"/>
      <c r="C832" s="123"/>
      <c r="D832" s="123"/>
      <c r="AC832" s="115"/>
      <c r="AD832" s="115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127"/>
      <c r="AR832" s="29"/>
      <c r="AS832" s="115"/>
      <c r="AT832" s="115"/>
      <c r="AU832" s="115"/>
      <c r="AV832" s="115"/>
      <c r="AW832" s="115"/>
      <c r="AX832" s="115"/>
      <c r="AY832" s="115"/>
      <c r="AZ832" s="115"/>
      <c r="BA832" s="115"/>
      <c r="BB832" s="25"/>
      <c r="BC832" s="13"/>
      <c r="BH832" s="116"/>
      <c r="BI832" s="123"/>
      <c r="BJ832" s="123"/>
      <c r="BK832" s="123"/>
      <c r="BP832" s="115"/>
      <c r="BQ832" s="115"/>
      <c r="BR832" s="115"/>
      <c r="BS832" s="115"/>
      <c r="BT832" s="115"/>
      <c r="BU832" s="115"/>
      <c r="BV832" s="115"/>
      <c r="BW832" s="115"/>
      <c r="BX832" s="115"/>
      <c r="BY832" s="115"/>
      <c r="BZ832" s="25"/>
      <c r="CA832" s="13"/>
      <c r="CD832" s="114"/>
    </row>
    <row r="833" spans="1:82" ht="19.5" x14ac:dyDescent="0.4">
      <c r="A833" s="117"/>
      <c r="B833" s="123"/>
      <c r="C833" s="123"/>
      <c r="D833" s="123"/>
      <c r="AQ833" s="127"/>
      <c r="AR833" s="29"/>
      <c r="AS833" s="115"/>
      <c r="AT833" s="115"/>
      <c r="AU833" s="115"/>
      <c r="AV833" s="115"/>
      <c r="AW833" s="115"/>
      <c r="AX833" s="115"/>
      <c r="AY833" s="115"/>
      <c r="AZ833" s="115"/>
      <c r="BA833" s="115"/>
      <c r="BB833" s="25">
        <v>45678</v>
      </c>
      <c r="BC833" s="13" t="s">
        <v>148</v>
      </c>
      <c r="BH833" s="116"/>
      <c r="BI833" s="123"/>
      <c r="BJ833" s="123"/>
      <c r="BK833" s="123"/>
      <c r="BP833" s="115"/>
      <c r="BQ833" s="115"/>
      <c r="BR833" s="115"/>
      <c r="BS833" s="115"/>
      <c r="BT833" s="115"/>
      <c r="BU833" s="115"/>
      <c r="BV833" s="115"/>
      <c r="BW833" s="115"/>
      <c r="BX833" s="115"/>
      <c r="BY833" s="115"/>
      <c r="BZ833" s="25"/>
      <c r="CA833" s="13"/>
      <c r="CD833" s="114"/>
    </row>
    <row r="834" spans="1:82" ht="19.5" x14ac:dyDescent="0.4">
      <c r="A834" s="117"/>
      <c r="B834" s="123"/>
      <c r="C834" s="123"/>
      <c r="D834" s="123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127"/>
      <c r="AR834" s="29"/>
      <c r="AS834" s="115"/>
      <c r="AT834" s="115"/>
      <c r="AU834" s="115"/>
      <c r="AV834" s="115"/>
      <c r="AW834" s="115"/>
      <c r="AX834" s="115"/>
      <c r="AY834" s="115"/>
      <c r="AZ834" s="115"/>
      <c r="BA834" s="115"/>
      <c r="BB834" s="25"/>
      <c r="BC834" s="13"/>
      <c r="BH834" s="116"/>
      <c r="BI834" s="123"/>
      <c r="BJ834" s="123"/>
      <c r="BK834" s="123"/>
      <c r="BP834" s="115"/>
      <c r="BQ834" s="115"/>
      <c r="BR834" s="115"/>
      <c r="BS834" s="115"/>
      <c r="BT834" s="115"/>
      <c r="BU834" s="115"/>
      <c r="BV834" s="115"/>
      <c r="BW834" s="115"/>
      <c r="BX834" s="115"/>
      <c r="BY834" s="115"/>
      <c r="BZ834" s="25"/>
      <c r="CA834" s="13"/>
      <c r="CD834" s="114"/>
    </row>
    <row r="835" spans="1:82" ht="19.5" x14ac:dyDescent="0.4">
      <c r="A835" s="117"/>
      <c r="B835" s="123"/>
      <c r="C835" s="123"/>
      <c r="D835" s="123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29"/>
      <c r="AR835" s="29"/>
      <c r="AS835" s="115"/>
      <c r="AT835" s="115"/>
      <c r="AU835" s="115"/>
      <c r="AV835" s="115"/>
      <c r="AW835" s="115"/>
      <c r="AX835" s="115"/>
      <c r="AY835" s="115"/>
      <c r="AZ835" s="115"/>
      <c r="BA835" s="115"/>
      <c r="BB835" s="25"/>
      <c r="BC835" s="13"/>
      <c r="BH835" s="116"/>
      <c r="BI835" s="123"/>
      <c r="BJ835" s="123"/>
      <c r="BK835" s="123"/>
      <c r="BP835" s="115"/>
      <c r="BQ835" s="115"/>
      <c r="BR835" s="115"/>
      <c r="BS835" s="115"/>
      <c r="BT835" s="115"/>
      <c r="BU835" s="115"/>
      <c r="BV835" s="115"/>
      <c r="BW835" s="115"/>
      <c r="BX835" s="115"/>
      <c r="BY835" s="115"/>
      <c r="BZ835" s="25"/>
      <c r="CA835" s="13"/>
      <c r="CD835" s="114"/>
    </row>
    <row r="836" spans="1:82" ht="19.5" x14ac:dyDescent="0.4">
      <c r="A836" s="117"/>
      <c r="B836" s="123"/>
      <c r="C836" s="123"/>
      <c r="D836" s="123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27"/>
      <c r="AR836" s="134"/>
      <c r="AS836" s="115"/>
      <c r="AT836" s="115"/>
      <c r="AU836" s="115"/>
      <c r="AV836" s="115"/>
      <c r="AW836" s="115"/>
      <c r="AX836" s="115"/>
      <c r="AY836" s="115"/>
      <c r="AZ836" s="115"/>
      <c r="BA836" s="115"/>
      <c r="BB836" s="25"/>
      <c r="BC836" s="13"/>
      <c r="BH836" s="116"/>
      <c r="BI836" s="123"/>
      <c r="BJ836" s="123"/>
      <c r="BK836" s="123"/>
      <c r="BP836" s="115"/>
      <c r="BQ836" s="115"/>
      <c r="BR836" s="115"/>
      <c r="BS836" s="115"/>
      <c r="BT836" s="115"/>
      <c r="BU836" s="115"/>
      <c r="BV836" s="115"/>
      <c r="BW836" s="115"/>
      <c r="BX836" s="115"/>
      <c r="BY836" s="115"/>
      <c r="BZ836" s="25"/>
      <c r="CA836" s="13"/>
      <c r="CD836" s="114"/>
    </row>
    <row r="837" spans="1:82" ht="19.5" x14ac:dyDescent="0.4">
      <c r="A837" s="117"/>
      <c r="B837" s="123"/>
      <c r="C837" s="123"/>
      <c r="D837" s="123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27"/>
      <c r="AR837" s="29"/>
      <c r="AS837" s="115"/>
      <c r="AT837" s="115"/>
      <c r="AU837" s="115"/>
      <c r="AV837" s="115"/>
      <c r="AW837" s="115"/>
      <c r="AX837" s="115"/>
      <c r="AY837" s="115"/>
      <c r="AZ837" s="115"/>
      <c r="BA837" s="115"/>
      <c r="BB837" s="25"/>
      <c r="BC837" s="13"/>
      <c r="BH837" s="116"/>
      <c r="BI837" s="123"/>
      <c r="BJ837" s="123"/>
      <c r="BK837" s="123"/>
      <c r="BP837" s="115"/>
      <c r="BQ837" s="115"/>
      <c r="BR837" s="115"/>
      <c r="BS837" s="115"/>
      <c r="BT837" s="115"/>
      <c r="BU837" s="115"/>
      <c r="BV837" s="115"/>
      <c r="BW837" s="115"/>
      <c r="BX837" s="115"/>
      <c r="BY837" s="115"/>
      <c r="BZ837" s="25"/>
      <c r="CA837" s="13"/>
      <c r="CD837" s="114"/>
    </row>
    <row r="838" spans="1:82" ht="19.5" x14ac:dyDescent="0.4">
      <c r="A838" s="117"/>
      <c r="B838" s="123"/>
      <c r="C838" s="123"/>
      <c r="D838" s="123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127"/>
      <c r="AR838" s="29"/>
      <c r="AS838" s="115"/>
      <c r="AT838" s="115"/>
      <c r="AU838" s="115"/>
      <c r="AV838" s="115"/>
      <c r="AW838" s="115"/>
      <c r="AX838" s="115"/>
      <c r="AY838" s="115"/>
      <c r="AZ838" s="115"/>
      <c r="BA838" s="115"/>
      <c r="BB838" s="25"/>
      <c r="BC838" s="13"/>
      <c r="BH838" s="116"/>
      <c r="BI838" s="123"/>
      <c r="BJ838" s="123"/>
      <c r="BK838" s="123"/>
      <c r="BP838" s="115"/>
      <c r="BQ838" s="115"/>
      <c r="BR838" s="115"/>
      <c r="BS838" s="115"/>
      <c r="BT838" s="115"/>
      <c r="BU838" s="115"/>
      <c r="BV838" s="115"/>
      <c r="BW838" s="115"/>
      <c r="BX838" s="115"/>
      <c r="BY838" s="115"/>
      <c r="BZ838" s="25"/>
      <c r="CA838" s="13"/>
      <c r="CD838" s="114"/>
    </row>
    <row r="839" spans="1:82" ht="19.5" x14ac:dyDescent="0.4">
      <c r="A839" s="117"/>
      <c r="B839" s="123"/>
      <c r="C839" s="123"/>
      <c r="D839" s="123"/>
      <c r="AQ839" s="127"/>
      <c r="AR839" s="29"/>
      <c r="AS839" s="115"/>
      <c r="AT839" s="115"/>
      <c r="AU839" s="115"/>
      <c r="AV839" s="115"/>
      <c r="AW839" s="115"/>
      <c r="AX839" s="115"/>
      <c r="AY839" s="115"/>
      <c r="AZ839" s="115"/>
      <c r="BA839" s="115"/>
      <c r="BB839" s="25">
        <v>45678</v>
      </c>
      <c r="BC839" s="13" t="s">
        <v>148</v>
      </c>
      <c r="BH839" s="116"/>
      <c r="BI839" s="123"/>
      <c r="BJ839" s="123"/>
      <c r="BK839" s="123"/>
      <c r="BP839" s="115"/>
      <c r="BQ839" s="115"/>
      <c r="BR839" s="115"/>
      <c r="BS839" s="115"/>
      <c r="BT839" s="115"/>
      <c r="BU839" s="115"/>
      <c r="BV839" s="115"/>
      <c r="BW839" s="115"/>
      <c r="BX839" s="115"/>
      <c r="BY839" s="115"/>
      <c r="BZ839" s="25"/>
      <c r="CA839" s="13"/>
      <c r="CD839" s="114"/>
    </row>
    <row r="840" spans="1:82" ht="19.5" x14ac:dyDescent="0.4">
      <c r="A840" s="117"/>
      <c r="B840" s="123"/>
      <c r="C840" s="123"/>
      <c r="D840" s="123"/>
      <c r="AQ840" s="127"/>
      <c r="AR840" s="29"/>
      <c r="AS840" s="115"/>
      <c r="AT840" s="115"/>
      <c r="AU840" s="115"/>
      <c r="AV840" s="115"/>
      <c r="AW840" s="115"/>
      <c r="AX840" s="115"/>
      <c r="AY840" s="115"/>
      <c r="AZ840" s="115"/>
      <c r="BA840" s="115"/>
      <c r="BB840" s="25">
        <v>45678</v>
      </c>
      <c r="BC840" s="13" t="s">
        <v>148</v>
      </c>
      <c r="BH840" s="116"/>
      <c r="BI840" s="123"/>
      <c r="BJ840" s="123"/>
      <c r="BK840" s="123"/>
      <c r="BP840" s="115"/>
      <c r="BQ840" s="115"/>
      <c r="BR840" s="115"/>
      <c r="BS840" s="115"/>
      <c r="BT840" s="115"/>
      <c r="BU840" s="115"/>
      <c r="BV840" s="115"/>
      <c r="BW840" s="115"/>
      <c r="BX840" s="115"/>
      <c r="BY840" s="115"/>
      <c r="BZ840" s="25"/>
      <c r="CA840" s="13"/>
      <c r="CD840" s="114"/>
    </row>
    <row r="841" spans="1:82" ht="19.5" x14ac:dyDescent="0.4">
      <c r="A841" s="117"/>
      <c r="B841" s="123"/>
      <c r="C841" s="123"/>
      <c r="D841" s="123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27"/>
      <c r="AR841" s="29"/>
      <c r="AS841" s="115"/>
      <c r="AT841" s="115"/>
      <c r="AU841" s="115"/>
      <c r="AV841" s="115"/>
      <c r="AW841" s="115"/>
      <c r="AX841" s="115"/>
      <c r="AY841" s="115"/>
      <c r="AZ841" s="115"/>
      <c r="BA841" s="115"/>
      <c r="BB841" s="25"/>
      <c r="BC841" s="13"/>
      <c r="BH841" s="116"/>
      <c r="BI841" s="123"/>
      <c r="BJ841" s="123"/>
      <c r="BK841" s="123"/>
      <c r="BP841" s="115"/>
      <c r="BQ841" s="115"/>
      <c r="BR841" s="115"/>
      <c r="BS841" s="115"/>
      <c r="BT841" s="115"/>
      <c r="BU841" s="115"/>
      <c r="BV841" s="115"/>
      <c r="BW841" s="115"/>
      <c r="BX841" s="115"/>
      <c r="BY841" s="115"/>
      <c r="BZ841" s="25"/>
      <c r="CA841" s="13"/>
      <c r="CD841" s="114"/>
    </row>
    <row r="842" spans="1:82" ht="19.5" x14ac:dyDescent="0.4">
      <c r="A842" s="117"/>
      <c r="B842" s="123"/>
      <c r="C842" s="123"/>
      <c r="D842" s="123"/>
      <c r="AF842" s="115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115"/>
      <c r="AQ842" s="127"/>
      <c r="AR842" s="29"/>
      <c r="AS842" s="115"/>
      <c r="AT842" s="115"/>
      <c r="AU842" s="115"/>
      <c r="AV842" s="115"/>
      <c r="AW842" s="115"/>
      <c r="AX842" s="115"/>
      <c r="AY842" s="115"/>
      <c r="AZ842" s="115"/>
      <c r="BA842" s="115"/>
      <c r="BB842" s="25"/>
      <c r="BC842" s="13"/>
      <c r="BH842" s="116"/>
      <c r="BI842" s="123"/>
      <c r="BJ842" s="123"/>
      <c r="BK842" s="123"/>
      <c r="BP842" s="115"/>
      <c r="BQ842" s="115"/>
      <c r="BR842" s="115"/>
      <c r="BS842" s="115"/>
      <c r="BT842" s="115"/>
      <c r="BU842" s="115"/>
      <c r="BV842" s="115"/>
      <c r="BW842" s="115"/>
      <c r="BX842" s="115"/>
      <c r="BY842" s="115"/>
      <c r="BZ842" s="25"/>
      <c r="CA842" s="13"/>
      <c r="CD842" s="114"/>
    </row>
    <row r="843" spans="1:82" ht="19.5" x14ac:dyDescent="0.4">
      <c r="A843" s="117"/>
      <c r="B843" s="123"/>
      <c r="C843" s="123"/>
      <c r="D843" s="123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127"/>
      <c r="AR843" s="29"/>
      <c r="AS843" s="115"/>
      <c r="AT843" s="115"/>
      <c r="AU843" s="115"/>
      <c r="AV843" s="115"/>
      <c r="AW843" s="115"/>
      <c r="AX843" s="115"/>
      <c r="AY843" s="115"/>
      <c r="AZ843" s="115"/>
      <c r="BA843" s="115"/>
      <c r="BB843" s="25"/>
      <c r="BC843" s="13"/>
      <c r="BH843" s="116"/>
      <c r="BI843" s="123"/>
      <c r="BJ843" s="123"/>
      <c r="BK843" s="123"/>
      <c r="BP843" s="115"/>
      <c r="BQ843" s="115"/>
      <c r="BR843" s="115"/>
      <c r="BS843" s="115"/>
      <c r="BT843" s="115"/>
      <c r="BU843" s="115"/>
      <c r="BV843" s="115"/>
      <c r="BW843" s="115"/>
      <c r="BX843" s="115"/>
      <c r="BY843" s="115"/>
      <c r="BZ843" s="25"/>
      <c r="CA843" s="13"/>
      <c r="CD843" s="114"/>
    </row>
    <row r="844" spans="1:82" ht="19.5" x14ac:dyDescent="0.4">
      <c r="A844" s="117"/>
      <c r="B844" s="123"/>
      <c r="C844" s="123"/>
      <c r="D844" s="123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115"/>
      <c r="AQ844" s="127"/>
      <c r="AR844" s="29"/>
      <c r="AS844" s="115"/>
      <c r="AT844" s="115"/>
      <c r="AU844" s="115"/>
      <c r="AV844" s="115"/>
      <c r="AW844" s="115"/>
      <c r="AX844" s="115"/>
      <c r="AY844" s="115"/>
      <c r="AZ844" s="115"/>
      <c r="BA844" s="115"/>
      <c r="BB844" s="25"/>
      <c r="BC844" s="13"/>
      <c r="BH844" s="116"/>
      <c r="BI844" s="123"/>
      <c r="BJ844" s="123"/>
      <c r="BK844" s="123"/>
      <c r="BP844" s="115"/>
      <c r="BQ844" s="115"/>
      <c r="BR844" s="115"/>
      <c r="BS844" s="115"/>
      <c r="BT844" s="115"/>
      <c r="BU844" s="115"/>
      <c r="BV844" s="115"/>
      <c r="BW844" s="115"/>
      <c r="BX844" s="115"/>
      <c r="BY844" s="115"/>
      <c r="BZ844" s="25"/>
      <c r="CA844" s="13"/>
      <c r="CD844" s="114"/>
    </row>
    <row r="845" spans="1:82" ht="19.5" x14ac:dyDescent="0.4">
      <c r="A845" s="117"/>
      <c r="B845" s="123"/>
      <c r="C845" s="123"/>
      <c r="D845" s="123"/>
      <c r="AQ845" s="127"/>
      <c r="AR845" s="29"/>
      <c r="AS845" s="115"/>
      <c r="AT845" s="115"/>
      <c r="AU845" s="115"/>
      <c r="AV845" s="115"/>
      <c r="AW845" s="115"/>
      <c r="AX845" s="115"/>
      <c r="AY845" s="115"/>
      <c r="AZ845" s="115"/>
      <c r="BA845" s="115"/>
      <c r="BB845" s="25">
        <v>45679</v>
      </c>
      <c r="BC845" s="15" t="s">
        <v>146</v>
      </c>
      <c r="BH845" s="116"/>
      <c r="BI845" s="123"/>
      <c r="BJ845" s="123"/>
      <c r="BK845" s="123"/>
      <c r="BP845" s="115"/>
      <c r="BQ845" s="115"/>
      <c r="BR845" s="115"/>
      <c r="BS845" s="115"/>
      <c r="BT845" s="115"/>
      <c r="BU845" s="115"/>
      <c r="BV845" s="115"/>
      <c r="BW845" s="115"/>
      <c r="BX845" s="115"/>
      <c r="BY845" s="115"/>
      <c r="BZ845" s="25"/>
      <c r="CA845" s="13"/>
      <c r="CD845" s="114"/>
    </row>
    <row r="846" spans="1:82" ht="19.5" x14ac:dyDescent="0.4">
      <c r="A846" s="117"/>
      <c r="B846" s="123"/>
      <c r="C846" s="123"/>
      <c r="D846" s="123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27"/>
      <c r="AR846" s="29"/>
      <c r="AS846" s="115"/>
      <c r="AT846" s="115"/>
      <c r="AU846" s="115"/>
      <c r="AV846" s="115"/>
      <c r="AW846" s="115"/>
      <c r="AX846" s="115"/>
      <c r="AY846" s="115"/>
      <c r="AZ846" s="115"/>
      <c r="BA846" s="115"/>
      <c r="BB846" s="25"/>
      <c r="BC846" s="15"/>
      <c r="BH846" s="116"/>
      <c r="BI846" s="123"/>
      <c r="BJ846" s="123"/>
      <c r="BK846" s="123"/>
      <c r="BP846" s="115"/>
      <c r="BQ846" s="115"/>
      <c r="BR846" s="115"/>
      <c r="BS846" s="115"/>
      <c r="BT846" s="115"/>
      <c r="BU846" s="115"/>
      <c r="BV846" s="115"/>
      <c r="BW846" s="115"/>
      <c r="BX846" s="115"/>
      <c r="BY846" s="115"/>
      <c r="BZ846" s="25"/>
      <c r="CA846" s="13"/>
      <c r="CD846" s="114"/>
    </row>
    <row r="847" spans="1:82" ht="19.5" x14ac:dyDescent="0.4">
      <c r="A847" s="117"/>
      <c r="B847" s="123"/>
      <c r="C847" s="123"/>
      <c r="D847" s="123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29"/>
      <c r="AR847" s="29"/>
      <c r="AS847" s="115"/>
      <c r="AT847" s="115"/>
      <c r="AU847" s="115"/>
      <c r="AV847" s="115"/>
      <c r="AW847" s="115"/>
      <c r="AX847" s="115"/>
      <c r="AY847" s="115"/>
      <c r="AZ847" s="115"/>
      <c r="BA847" s="115"/>
      <c r="BB847" s="25"/>
      <c r="BC847" s="15"/>
      <c r="BH847" s="116"/>
      <c r="BI847" s="123"/>
      <c r="BJ847" s="123"/>
      <c r="BK847" s="123"/>
      <c r="BP847" s="115"/>
      <c r="BQ847" s="115"/>
      <c r="BR847" s="115"/>
      <c r="BS847" s="115"/>
      <c r="BT847" s="115"/>
      <c r="BU847" s="115"/>
      <c r="BV847" s="115"/>
      <c r="BW847" s="115"/>
      <c r="BX847" s="115"/>
      <c r="BY847" s="115"/>
      <c r="BZ847" s="25"/>
      <c r="CA847" s="13"/>
      <c r="CD847" s="114"/>
    </row>
    <row r="848" spans="1:82" ht="19.5" x14ac:dyDescent="0.4">
      <c r="A848" s="117"/>
      <c r="B848" s="123"/>
      <c r="C848" s="123"/>
      <c r="D848" s="123"/>
      <c r="AQ848" s="127"/>
      <c r="AR848" s="29"/>
      <c r="AS848" s="115"/>
      <c r="AT848" s="115"/>
      <c r="AU848" s="115"/>
      <c r="AV848" s="115"/>
      <c r="AW848" s="115"/>
      <c r="AX848" s="115"/>
      <c r="AY848" s="115"/>
      <c r="AZ848" s="115"/>
      <c r="BA848" s="115"/>
      <c r="BB848" s="25"/>
      <c r="BC848" s="15"/>
      <c r="BH848" s="116"/>
      <c r="BI848" s="123"/>
      <c r="BJ848" s="123"/>
      <c r="BK848" s="123"/>
      <c r="BP848" s="115"/>
      <c r="BQ848" s="115"/>
      <c r="BR848" s="115"/>
      <c r="BS848" s="115"/>
      <c r="BT848" s="115"/>
      <c r="BU848" s="115"/>
      <c r="BV848" s="115"/>
      <c r="BW848" s="115"/>
      <c r="BX848" s="115"/>
      <c r="BY848" s="115"/>
      <c r="BZ848" s="25"/>
      <c r="CA848" s="13"/>
      <c r="CD848" s="114"/>
    </row>
    <row r="849" spans="1:82" ht="19.5" x14ac:dyDescent="0.4">
      <c r="A849" s="117"/>
      <c r="B849" s="123"/>
      <c r="C849" s="123"/>
      <c r="D849" s="123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115"/>
      <c r="AQ849" s="127"/>
      <c r="AR849" s="29"/>
      <c r="AS849" s="115"/>
      <c r="AT849" s="115"/>
      <c r="AU849" s="115"/>
      <c r="AV849" s="115"/>
      <c r="AW849" s="115"/>
      <c r="AX849" s="115"/>
      <c r="AY849" s="115"/>
      <c r="AZ849" s="115"/>
      <c r="BA849" s="115"/>
      <c r="BB849" s="25"/>
      <c r="BC849" s="15"/>
      <c r="BH849" s="116"/>
      <c r="BI849" s="123"/>
      <c r="BJ849" s="123"/>
      <c r="BK849" s="123"/>
      <c r="BP849" s="115"/>
      <c r="BQ849" s="115"/>
      <c r="BR849" s="115"/>
      <c r="BS849" s="115"/>
      <c r="BT849" s="115"/>
      <c r="BU849" s="115"/>
      <c r="BV849" s="115"/>
      <c r="BW849" s="115"/>
      <c r="BX849" s="115"/>
      <c r="BY849" s="115"/>
      <c r="BZ849" s="25"/>
      <c r="CA849" s="13"/>
      <c r="CD849" s="114"/>
    </row>
    <row r="850" spans="1:82" ht="19.5" x14ac:dyDescent="0.4">
      <c r="A850" s="117"/>
      <c r="B850" s="123"/>
      <c r="C850" s="123"/>
      <c r="D850" s="123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29"/>
      <c r="AR850" s="29"/>
      <c r="AS850" s="115"/>
      <c r="AT850" s="115"/>
      <c r="AU850" s="115"/>
      <c r="AV850" s="115"/>
      <c r="AW850" s="115"/>
      <c r="AX850" s="115"/>
      <c r="AY850" s="115"/>
      <c r="AZ850" s="115"/>
      <c r="BA850" s="115"/>
      <c r="BB850" s="25"/>
      <c r="BC850" s="15"/>
      <c r="BH850" s="116"/>
      <c r="BI850" s="123"/>
      <c r="BJ850" s="123"/>
      <c r="BK850" s="123"/>
      <c r="BP850" s="115"/>
      <c r="BQ850" s="115"/>
      <c r="BR850" s="115"/>
      <c r="BS850" s="115"/>
      <c r="BT850" s="115"/>
      <c r="BU850" s="115"/>
      <c r="BV850" s="115"/>
      <c r="BW850" s="115"/>
      <c r="BX850" s="115"/>
      <c r="BY850" s="115"/>
      <c r="BZ850" s="25"/>
      <c r="CA850" s="13"/>
      <c r="CD850" s="114"/>
    </row>
    <row r="851" spans="1:82" ht="19.5" x14ac:dyDescent="0.4">
      <c r="A851" s="117"/>
      <c r="B851" s="123"/>
      <c r="C851" s="123"/>
      <c r="D851" s="123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127"/>
      <c r="AR851" s="29"/>
      <c r="AS851" s="115"/>
      <c r="AT851" s="115"/>
      <c r="AU851" s="115"/>
      <c r="AV851" s="115"/>
      <c r="AW851" s="115"/>
      <c r="AX851" s="115"/>
      <c r="AY851" s="115"/>
      <c r="AZ851" s="115"/>
      <c r="BA851" s="115"/>
      <c r="BB851" s="25"/>
      <c r="BC851" s="15"/>
      <c r="BH851" s="116"/>
      <c r="BI851" s="123"/>
      <c r="BJ851" s="123"/>
      <c r="BK851" s="123"/>
      <c r="BP851" s="115"/>
      <c r="BQ851" s="115"/>
      <c r="BR851" s="115"/>
      <c r="BS851" s="115"/>
      <c r="BT851" s="115"/>
      <c r="BU851" s="115"/>
      <c r="BV851" s="115"/>
      <c r="BW851" s="115"/>
      <c r="BX851" s="115"/>
      <c r="BY851" s="115"/>
      <c r="BZ851" s="25"/>
      <c r="CA851" s="13"/>
      <c r="CD851" s="114"/>
    </row>
    <row r="852" spans="1:82" ht="19.5" x14ac:dyDescent="0.4">
      <c r="A852" s="117"/>
      <c r="B852" s="123"/>
      <c r="C852" s="123"/>
      <c r="D852" s="123"/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27"/>
      <c r="AR852" s="29"/>
      <c r="AS852" s="115"/>
      <c r="AT852" s="115"/>
      <c r="AU852" s="115"/>
      <c r="AV852" s="115"/>
      <c r="AW852" s="115"/>
      <c r="AX852" s="115"/>
      <c r="AY852" s="115"/>
      <c r="AZ852" s="115"/>
      <c r="BA852" s="115"/>
      <c r="BB852" s="25"/>
      <c r="BC852" s="15"/>
      <c r="BH852" s="116"/>
      <c r="BI852" s="123"/>
      <c r="BJ852" s="123"/>
      <c r="BK852" s="123"/>
      <c r="BP852" s="115"/>
      <c r="BQ852" s="115"/>
      <c r="BR852" s="115"/>
      <c r="BS852" s="115"/>
      <c r="BT852" s="115"/>
      <c r="BU852" s="115"/>
      <c r="BV852" s="115"/>
      <c r="BW852" s="115"/>
      <c r="BX852" s="115"/>
      <c r="BY852" s="115"/>
      <c r="BZ852" s="25"/>
      <c r="CA852" s="13"/>
      <c r="CD852" s="114"/>
    </row>
    <row r="853" spans="1:82" ht="19.5" x14ac:dyDescent="0.4">
      <c r="A853" s="117"/>
      <c r="B853" s="123"/>
      <c r="C853" s="123"/>
      <c r="D853" s="123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27"/>
      <c r="AR853" s="29"/>
      <c r="AS853" s="115"/>
      <c r="AT853" s="115"/>
      <c r="AU853" s="115"/>
      <c r="AV853" s="115"/>
      <c r="AW853" s="115"/>
      <c r="AX853" s="115"/>
      <c r="AY853" s="115"/>
      <c r="AZ853" s="115"/>
      <c r="BA853" s="115"/>
      <c r="BB853" s="25"/>
      <c r="BC853" s="15"/>
      <c r="BH853" s="116"/>
      <c r="BI853" s="123"/>
      <c r="BJ853" s="123"/>
      <c r="BK853" s="123"/>
      <c r="BP853" s="115"/>
      <c r="BQ853" s="115"/>
      <c r="BR853" s="115"/>
      <c r="BS853" s="115"/>
      <c r="BT853" s="115"/>
      <c r="BU853" s="115"/>
      <c r="BV853" s="115"/>
      <c r="BW853" s="115"/>
      <c r="BX853" s="115"/>
      <c r="BY853" s="115"/>
      <c r="BZ853" s="25"/>
      <c r="CA853" s="13"/>
      <c r="CD853" s="114"/>
    </row>
    <row r="854" spans="1:82" ht="19.5" x14ac:dyDescent="0.4">
      <c r="A854" s="117"/>
      <c r="B854" s="123"/>
      <c r="C854" s="123"/>
      <c r="D854" s="123"/>
      <c r="AQ854" s="127"/>
      <c r="AR854" s="29"/>
      <c r="AS854" s="115"/>
      <c r="AT854" s="115"/>
      <c r="AU854" s="115"/>
      <c r="AV854" s="115"/>
      <c r="AW854" s="115"/>
      <c r="AX854" s="115"/>
      <c r="AY854" s="115"/>
      <c r="AZ854" s="115"/>
      <c r="BA854" s="115"/>
      <c r="BB854" s="25">
        <v>45679</v>
      </c>
      <c r="BC854" s="15" t="s">
        <v>148</v>
      </c>
      <c r="BH854" s="116"/>
      <c r="BI854" s="123"/>
      <c r="BJ854" s="123"/>
      <c r="BK854" s="123"/>
      <c r="BP854" s="115"/>
      <c r="BQ854" s="115"/>
      <c r="BR854" s="115"/>
      <c r="BS854" s="115"/>
      <c r="BT854" s="115"/>
      <c r="BU854" s="115"/>
      <c r="BV854" s="115"/>
      <c r="BW854" s="115"/>
      <c r="BX854" s="115"/>
      <c r="BY854" s="115"/>
      <c r="BZ854" s="25"/>
      <c r="CA854" s="13"/>
      <c r="CD854" s="114"/>
    </row>
    <row r="855" spans="1:82" ht="19.5" x14ac:dyDescent="0.4">
      <c r="A855" s="117"/>
      <c r="B855" s="123"/>
      <c r="C855" s="123"/>
      <c r="D855" s="123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27"/>
      <c r="AR855" s="29"/>
      <c r="AS855" s="115"/>
      <c r="AT855" s="115"/>
      <c r="AU855" s="115"/>
      <c r="AV855" s="115"/>
      <c r="AW855" s="115"/>
      <c r="AX855" s="115"/>
      <c r="AY855" s="115"/>
      <c r="AZ855" s="115"/>
      <c r="BA855" s="115"/>
      <c r="BB855" s="25"/>
      <c r="BC855" s="13"/>
      <c r="BH855" s="116"/>
      <c r="BI855" s="123"/>
      <c r="BJ855" s="123"/>
      <c r="BK855" s="123"/>
      <c r="BP855" s="115"/>
      <c r="BQ855" s="115"/>
      <c r="BR855" s="115"/>
      <c r="BS855" s="115"/>
      <c r="BT855" s="115"/>
      <c r="BU855" s="115"/>
      <c r="BV855" s="115"/>
      <c r="BW855" s="115"/>
      <c r="BX855" s="115"/>
      <c r="BY855" s="115"/>
      <c r="BZ855" s="25"/>
      <c r="CA855" s="13"/>
      <c r="CD855" s="114"/>
    </row>
    <row r="856" spans="1:82" ht="19.5" x14ac:dyDescent="0.4">
      <c r="A856" s="117"/>
      <c r="B856" s="123"/>
      <c r="C856" s="123"/>
      <c r="D856" s="123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27"/>
      <c r="AR856" s="29"/>
      <c r="AS856" s="115"/>
      <c r="AT856" s="115"/>
      <c r="AU856" s="115"/>
      <c r="AV856" s="115"/>
      <c r="AW856" s="115"/>
      <c r="AX856" s="115"/>
      <c r="AY856" s="115"/>
      <c r="AZ856" s="115"/>
      <c r="BA856" s="115"/>
      <c r="BB856" s="25"/>
      <c r="BC856" s="13"/>
      <c r="BH856" s="116"/>
      <c r="BI856" s="123"/>
      <c r="BJ856" s="123"/>
      <c r="BK856" s="123"/>
      <c r="BP856" s="115"/>
      <c r="BQ856" s="115"/>
      <c r="BR856" s="115"/>
      <c r="BS856" s="115"/>
      <c r="BT856" s="115"/>
      <c r="BU856" s="115"/>
      <c r="BV856" s="115"/>
      <c r="BW856" s="115"/>
      <c r="BX856" s="115"/>
      <c r="BY856" s="115"/>
      <c r="BZ856" s="25"/>
      <c r="CA856" s="13"/>
      <c r="CD856" s="114"/>
    </row>
    <row r="857" spans="1:82" ht="19.5" x14ac:dyDescent="0.4">
      <c r="A857" s="117"/>
      <c r="B857" s="123"/>
      <c r="C857" s="123"/>
      <c r="D857" s="123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27"/>
      <c r="AR857" s="29"/>
      <c r="AS857" s="115"/>
      <c r="AT857" s="115"/>
      <c r="AU857" s="115"/>
      <c r="AV857" s="115"/>
      <c r="AW857" s="115"/>
      <c r="AX857" s="115"/>
      <c r="AY857" s="115"/>
      <c r="AZ857" s="115"/>
      <c r="BA857" s="115"/>
      <c r="BB857" s="25"/>
      <c r="BC857" s="13"/>
      <c r="BH857" s="116"/>
      <c r="BI857" s="123"/>
      <c r="BJ857" s="123"/>
      <c r="BK857" s="123"/>
      <c r="BP857" s="115"/>
      <c r="BQ857" s="115"/>
      <c r="BR857" s="115"/>
      <c r="BS857" s="115"/>
      <c r="BT857" s="115"/>
      <c r="BU857" s="115"/>
      <c r="BV857" s="115"/>
      <c r="BW857" s="115"/>
      <c r="BX857" s="115"/>
      <c r="BY857" s="115"/>
      <c r="BZ857" s="25"/>
      <c r="CA857" s="13"/>
      <c r="CD857" s="114"/>
    </row>
    <row r="858" spans="1:82" ht="19.5" x14ac:dyDescent="0.4">
      <c r="A858" s="117"/>
      <c r="B858" s="123"/>
      <c r="C858" s="123"/>
      <c r="D858" s="123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29"/>
      <c r="AR858" s="29"/>
      <c r="AS858" s="115"/>
      <c r="AT858" s="115"/>
      <c r="AU858" s="115"/>
      <c r="AV858" s="115"/>
      <c r="AW858" s="115"/>
      <c r="AX858" s="115"/>
      <c r="AY858" s="115"/>
      <c r="AZ858" s="115"/>
      <c r="BA858" s="115"/>
      <c r="BB858" s="25"/>
      <c r="BC858" s="13"/>
      <c r="BH858" s="116"/>
      <c r="BI858" s="123"/>
      <c r="BJ858" s="123"/>
      <c r="BK858" s="123"/>
      <c r="BP858" s="115"/>
      <c r="BQ858" s="115"/>
      <c r="BR858" s="115"/>
      <c r="BS858" s="115"/>
      <c r="BT858" s="115"/>
      <c r="BU858" s="115"/>
      <c r="BV858" s="115"/>
      <c r="BW858" s="115"/>
      <c r="BX858" s="115"/>
      <c r="BY858" s="115"/>
      <c r="BZ858" s="25"/>
      <c r="CA858" s="13"/>
      <c r="CD858" s="114"/>
    </row>
    <row r="859" spans="1:82" ht="19.5" x14ac:dyDescent="0.4">
      <c r="A859" s="117"/>
      <c r="B859" s="123"/>
      <c r="C859" s="123"/>
      <c r="D859" s="123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27"/>
      <c r="AR859" s="29"/>
      <c r="AS859" s="115"/>
      <c r="AT859" s="115"/>
      <c r="AU859" s="115"/>
      <c r="AV859" s="115"/>
      <c r="AW859" s="115"/>
      <c r="AX859" s="115"/>
      <c r="AY859" s="115"/>
      <c r="AZ859" s="115"/>
      <c r="BA859" s="115"/>
      <c r="BB859" s="25"/>
      <c r="BC859" s="13"/>
      <c r="BH859" s="116"/>
      <c r="BI859" s="123"/>
      <c r="BJ859" s="123"/>
      <c r="BK859" s="123"/>
      <c r="BP859" s="115"/>
      <c r="BQ859" s="115"/>
      <c r="BR859" s="115"/>
      <c r="BS859" s="115"/>
      <c r="BT859" s="115"/>
      <c r="BU859" s="115"/>
      <c r="BV859" s="115"/>
      <c r="BW859" s="115"/>
      <c r="BX859" s="115"/>
      <c r="BY859" s="115"/>
      <c r="BZ859" s="25"/>
      <c r="CA859" s="13"/>
      <c r="CD859" s="114"/>
    </row>
    <row r="860" spans="1:82" ht="19.5" x14ac:dyDescent="0.4">
      <c r="A860" s="117"/>
      <c r="B860" s="123"/>
      <c r="C860" s="123"/>
      <c r="D860" s="123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115"/>
      <c r="AO860" s="115"/>
      <c r="AP860" s="115"/>
      <c r="AQ860" s="29"/>
      <c r="AR860" s="29"/>
      <c r="AS860" s="115"/>
      <c r="AT860" s="115"/>
      <c r="AU860" s="115"/>
      <c r="AV860" s="115"/>
      <c r="AW860" s="115"/>
      <c r="AX860" s="115"/>
      <c r="AY860" s="115"/>
      <c r="AZ860" s="115"/>
      <c r="BA860" s="115"/>
      <c r="BB860" s="25"/>
      <c r="BC860" s="13"/>
      <c r="BH860" s="116"/>
      <c r="BI860" s="123"/>
      <c r="BJ860" s="123"/>
      <c r="BK860" s="123"/>
      <c r="BP860" s="115"/>
      <c r="BQ860" s="115"/>
      <c r="BR860" s="115"/>
      <c r="BS860" s="115"/>
      <c r="BT860" s="115"/>
      <c r="BU860" s="115"/>
      <c r="BV860" s="115"/>
      <c r="BW860" s="115"/>
      <c r="BX860" s="115"/>
      <c r="BY860" s="115"/>
      <c r="BZ860" s="25"/>
      <c r="CA860" s="13"/>
      <c r="CD860" s="114"/>
    </row>
    <row r="861" spans="1:82" ht="19.5" x14ac:dyDescent="0.4">
      <c r="A861" s="117"/>
      <c r="B861" s="123"/>
      <c r="C861" s="123"/>
      <c r="D861" s="123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27"/>
      <c r="AR861" s="29"/>
      <c r="AS861" s="115"/>
      <c r="AT861" s="115"/>
      <c r="AU861" s="115"/>
      <c r="AV861" s="115"/>
      <c r="AW861" s="115"/>
      <c r="AX861" s="115"/>
      <c r="AY861" s="115"/>
      <c r="AZ861" s="115"/>
      <c r="BA861" s="115"/>
      <c r="BB861" s="25"/>
      <c r="BC861" s="13"/>
      <c r="BH861" s="116"/>
      <c r="BI861" s="123"/>
      <c r="BJ861" s="123"/>
      <c r="BK861" s="123"/>
      <c r="BP861" s="115"/>
      <c r="BQ861" s="115"/>
      <c r="BR861" s="115"/>
      <c r="BS861" s="115"/>
      <c r="BT861" s="115"/>
      <c r="BU861" s="115"/>
      <c r="BV861" s="115"/>
      <c r="BW861" s="115"/>
      <c r="BX861" s="115"/>
      <c r="BY861" s="115"/>
      <c r="BZ861" s="25"/>
      <c r="CA861" s="13"/>
      <c r="CD861" s="114"/>
    </row>
    <row r="862" spans="1:82" ht="19.5" x14ac:dyDescent="0.4">
      <c r="A862" s="117"/>
      <c r="B862" s="123"/>
      <c r="C862" s="123"/>
      <c r="D862" s="123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29"/>
      <c r="AR862" s="29"/>
      <c r="AS862" s="115"/>
      <c r="AT862" s="115"/>
      <c r="AU862" s="115"/>
      <c r="AV862" s="115"/>
      <c r="AW862" s="115"/>
      <c r="AX862" s="115"/>
      <c r="AY862" s="115"/>
      <c r="AZ862" s="115"/>
      <c r="BA862" s="115"/>
      <c r="BB862" s="25"/>
      <c r="BC862" s="13"/>
      <c r="BH862" s="116"/>
      <c r="BI862" s="123"/>
      <c r="BJ862" s="123"/>
      <c r="BK862" s="123"/>
      <c r="BP862" s="115"/>
      <c r="BQ862" s="115"/>
      <c r="BR862" s="115"/>
      <c r="BS862" s="115"/>
      <c r="BT862" s="115"/>
      <c r="BU862" s="115"/>
      <c r="BV862" s="115"/>
      <c r="BW862" s="115"/>
      <c r="BX862" s="115"/>
      <c r="BY862" s="115"/>
      <c r="BZ862" s="25"/>
      <c r="CA862" s="13"/>
      <c r="CD862" s="114"/>
    </row>
    <row r="863" spans="1:82" ht="19.5" x14ac:dyDescent="0.4">
      <c r="A863" s="117"/>
      <c r="B863" s="123"/>
      <c r="C863" s="123"/>
      <c r="D863" s="123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27"/>
      <c r="AR863" s="29"/>
      <c r="AS863" s="115"/>
      <c r="AT863" s="115"/>
      <c r="AU863" s="115"/>
      <c r="AV863" s="115"/>
      <c r="AW863" s="115"/>
      <c r="AX863" s="115"/>
      <c r="AY863" s="115"/>
      <c r="AZ863" s="115"/>
      <c r="BA863" s="115"/>
      <c r="BB863" s="25"/>
      <c r="BC863" s="13"/>
      <c r="BH863" s="116"/>
      <c r="BI863" s="123"/>
      <c r="BJ863" s="123"/>
      <c r="BK863" s="123"/>
      <c r="BP863" s="115"/>
      <c r="BQ863" s="115"/>
      <c r="BR863" s="115"/>
      <c r="BS863" s="115"/>
      <c r="BT863" s="115"/>
      <c r="BU863" s="115"/>
      <c r="BV863" s="115"/>
      <c r="BW863" s="115"/>
      <c r="BX863" s="115"/>
      <c r="BY863" s="115"/>
      <c r="BZ863" s="25"/>
      <c r="CA863" s="13"/>
      <c r="CD863" s="114"/>
    </row>
    <row r="864" spans="1:82" ht="19.5" x14ac:dyDescent="0.4">
      <c r="A864" s="117"/>
      <c r="B864" s="123"/>
      <c r="C864" s="123"/>
      <c r="D864" s="123"/>
      <c r="AQ864" s="127"/>
      <c r="AR864" s="29"/>
      <c r="AS864" s="115"/>
      <c r="AT864" s="115"/>
      <c r="AU864" s="115"/>
      <c r="AV864" s="115"/>
      <c r="AW864" s="115"/>
      <c r="AX864" s="115"/>
      <c r="AY864" s="115"/>
      <c r="AZ864" s="115"/>
      <c r="BA864" s="115"/>
      <c r="BB864" s="25">
        <v>45679</v>
      </c>
      <c r="BC864" s="13" t="s">
        <v>147</v>
      </c>
      <c r="BH864" s="116"/>
      <c r="BI864" s="123"/>
      <c r="BJ864" s="123"/>
      <c r="BK864" s="123"/>
      <c r="BP864" s="115"/>
      <c r="BQ864" s="115"/>
      <c r="BR864" s="115"/>
      <c r="BS864" s="115"/>
      <c r="BT864" s="115"/>
      <c r="BU864" s="115"/>
      <c r="BV864" s="115"/>
      <c r="BW864" s="115"/>
      <c r="BX864" s="115"/>
      <c r="BY864" s="115"/>
      <c r="BZ864" s="25"/>
      <c r="CA864" s="13"/>
      <c r="CD864" s="114"/>
    </row>
    <row r="865" spans="1:82" ht="19.5" x14ac:dyDescent="0.4">
      <c r="A865" s="117"/>
      <c r="B865" s="123"/>
      <c r="C865" s="123"/>
      <c r="D865" s="123"/>
      <c r="AH865" s="115"/>
      <c r="AI865" s="115"/>
      <c r="AJ865" s="115"/>
      <c r="AK865" s="115"/>
      <c r="AL865" s="115"/>
      <c r="AM865" s="115"/>
      <c r="AN865" s="115"/>
      <c r="AO865" s="115"/>
      <c r="AP865" s="115"/>
      <c r="AQ865" s="29"/>
      <c r="AR865" s="29"/>
      <c r="AS865" s="115"/>
      <c r="AT865" s="115"/>
      <c r="AU865" s="115"/>
      <c r="AV865" s="115"/>
      <c r="AW865" s="115"/>
      <c r="AX865" s="115"/>
      <c r="AY865" s="115"/>
      <c r="AZ865" s="115"/>
      <c r="BA865" s="115"/>
      <c r="BB865" s="25"/>
      <c r="BC865" s="13"/>
      <c r="BH865" s="116"/>
      <c r="BI865" s="123"/>
      <c r="BJ865" s="123"/>
      <c r="BK865" s="123"/>
      <c r="BP865" s="115"/>
      <c r="BQ865" s="115"/>
      <c r="BR865" s="115"/>
      <c r="BS865" s="115"/>
      <c r="BT865" s="115"/>
      <c r="BU865" s="115"/>
      <c r="BV865" s="115"/>
      <c r="BW865" s="115"/>
      <c r="BX865" s="115"/>
      <c r="BY865" s="115"/>
      <c r="BZ865" s="25"/>
      <c r="CA865" s="13"/>
      <c r="CD865" s="114"/>
    </row>
    <row r="866" spans="1:82" ht="19.5" x14ac:dyDescent="0.4">
      <c r="A866" s="117"/>
      <c r="B866" s="123"/>
      <c r="C866" s="123"/>
      <c r="D866" s="123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27"/>
      <c r="AR866" s="29"/>
      <c r="AS866" s="115"/>
      <c r="AT866" s="115"/>
      <c r="AU866" s="115"/>
      <c r="AV866" s="115"/>
      <c r="AW866" s="115"/>
      <c r="AX866" s="115"/>
      <c r="AY866" s="115"/>
      <c r="AZ866" s="115"/>
      <c r="BA866" s="115"/>
      <c r="BB866" s="25"/>
      <c r="BC866" s="13"/>
      <c r="BH866" s="116"/>
      <c r="BI866" s="123"/>
      <c r="BJ866" s="123"/>
      <c r="BK866" s="123"/>
      <c r="BP866" s="115"/>
      <c r="BQ866" s="115"/>
      <c r="BR866" s="115"/>
      <c r="BS866" s="115"/>
      <c r="BT866" s="115"/>
      <c r="BU866" s="115"/>
      <c r="BV866" s="115"/>
      <c r="BW866" s="115"/>
      <c r="BX866" s="115"/>
      <c r="BY866" s="115"/>
      <c r="BZ866" s="25"/>
      <c r="CA866" s="13"/>
      <c r="CD866" s="114"/>
    </row>
    <row r="867" spans="1:82" ht="19.5" x14ac:dyDescent="0.4">
      <c r="A867" s="117"/>
      <c r="B867" s="123"/>
      <c r="C867" s="123"/>
      <c r="D867" s="123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27"/>
      <c r="AR867" s="29"/>
      <c r="AS867" s="115"/>
      <c r="AT867" s="115"/>
      <c r="AU867" s="115"/>
      <c r="AV867" s="115"/>
      <c r="AW867" s="115"/>
      <c r="AX867" s="115"/>
      <c r="AY867" s="115"/>
      <c r="AZ867" s="115"/>
      <c r="BA867" s="115"/>
      <c r="BB867" s="25"/>
      <c r="BC867" s="13"/>
      <c r="BH867" s="116"/>
      <c r="BI867" s="123"/>
      <c r="BJ867" s="123"/>
      <c r="BK867" s="123"/>
      <c r="BP867" s="115"/>
      <c r="BQ867" s="115"/>
      <c r="BR867" s="115"/>
      <c r="BS867" s="115"/>
      <c r="BT867" s="115"/>
      <c r="BU867" s="115"/>
      <c r="BV867" s="115"/>
      <c r="BW867" s="115"/>
      <c r="BX867" s="115"/>
      <c r="BY867" s="115"/>
      <c r="BZ867" s="25"/>
      <c r="CA867" s="13"/>
      <c r="CD867" s="114"/>
    </row>
    <row r="868" spans="1:82" ht="19.5" x14ac:dyDescent="0.4">
      <c r="A868" s="117"/>
      <c r="B868" s="123"/>
      <c r="C868" s="123"/>
      <c r="D868" s="123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29"/>
      <c r="AR868" s="29"/>
      <c r="AS868" s="115"/>
      <c r="AT868" s="115"/>
      <c r="AU868" s="115"/>
      <c r="AV868" s="115"/>
      <c r="AW868" s="115"/>
      <c r="AX868" s="115"/>
      <c r="AY868" s="115"/>
      <c r="AZ868" s="115"/>
      <c r="BA868" s="115"/>
      <c r="BB868" s="25"/>
      <c r="BC868" s="13"/>
      <c r="BH868" s="116"/>
      <c r="BI868" s="123"/>
      <c r="BJ868" s="123"/>
      <c r="BK868" s="123"/>
      <c r="BP868" s="115"/>
      <c r="BQ868" s="115"/>
      <c r="BR868" s="115"/>
      <c r="BS868" s="115"/>
      <c r="BT868" s="115"/>
      <c r="BU868" s="115"/>
      <c r="BV868" s="115"/>
      <c r="BW868" s="115"/>
      <c r="BX868" s="115"/>
      <c r="BY868" s="115"/>
      <c r="BZ868" s="25"/>
      <c r="CA868" s="13"/>
      <c r="CD868" s="114"/>
    </row>
    <row r="869" spans="1:82" ht="19.5" x14ac:dyDescent="0.4">
      <c r="A869" s="117"/>
      <c r="B869" s="123"/>
      <c r="C869" s="123"/>
      <c r="D869" s="123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  <c r="AO869" s="115"/>
      <c r="AP869" s="115"/>
      <c r="AQ869" s="29"/>
      <c r="AR869" s="29"/>
      <c r="AS869" s="115"/>
      <c r="AT869" s="115"/>
      <c r="AU869" s="115"/>
      <c r="AV869" s="115"/>
      <c r="AW869" s="115"/>
      <c r="AX869" s="115"/>
      <c r="AY869" s="115"/>
      <c r="AZ869" s="115"/>
      <c r="BA869" s="115"/>
      <c r="BB869" s="25"/>
      <c r="BC869" s="13"/>
      <c r="BH869" s="116"/>
      <c r="BI869" s="123"/>
      <c r="BJ869" s="123"/>
      <c r="BK869" s="123"/>
      <c r="BP869" s="115"/>
      <c r="BQ869" s="115"/>
      <c r="BR869" s="115"/>
      <c r="BS869" s="115"/>
      <c r="BT869" s="115"/>
      <c r="BU869" s="115"/>
      <c r="BV869" s="115"/>
      <c r="BW869" s="115"/>
      <c r="BX869" s="115"/>
      <c r="BY869" s="115"/>
      <c r="BZ869" s="25"/>
      <c r="CA869" s="13"/>
      <c r="CD869" s="114"/>
    </row>
    <row r="870" spans="1:82" ht="19.5" x14ac:dyDescent="0.4">
      <c r="A870" s="117"/>
      <c r="B870" s="123"/>
      <c r="C870" s="123"/>
      <c r="D870" s="123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27"/>
      <c r="AR870" s="29"/>
      <c r="AS870" s="115"/>
      <c r="AT870" s="115"/>
      <c r="AU870" s="115"/>
      <c r="AV870" s="115"/>
      <c r="AW870" s="115"/>
      <c r="AX870" s="115"/>
      <c r="AY870" s="115"/>
      <c r="AZ870" s="115"/>
      <c r="BA870" s="115"/>
      <c r="BB870" s="25"/>
      <c r="BC870" s="13"/>
      <c r="BH870" s="116"/>
      <c r="BI870" s="123"/>
      <c r="BJ870" s="123"/>
      <c r="BK870" s="123"/>
      <c r="BP870" s="115"/>
      <c r="BQ870" s="115"/>
      <c r="BR870" s="115"/>
      <c r="BS870" s="115"/>
      <c r="BT870" s="115"/>
      <c r="BU870" s="115"/>
      <c r="BV870" s="115"/>
      <c r="BW870" s="115"/>
      <c r="BX870" s="115"/>
      <c r="BY870" s="115"/>
      <c r="BZ870" s="25"/>
      <c r="CA870" s="13"/>
      <c r="CD870" s="114"/>
    </row>
    <row r="871" spans="1:82" ht="19.5" x14ac:dyDescent="0.4">
      <c r="A871" s="117"/>
      <c r="B871" s="123"/>
      <c r="C871" s="123"/>
      <c r="D871" s="123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29"/>
      <c r="AR871" s="29"/>
      <c r="AS871" s="115"/>
      <c r="AT871" s="115"/>
      <c r="AU871" s="115"/>
      <c r="AV871" s="115"/>
      <c r="AW871" s="115"/>
      <c r="AX871" s="115"/>
      <c r="AY871" s="115"/>
      <c r="AZ871" s="115"/>
      <c r="BA871" s="115"/>
      <c r="BB871" s="25"/>
      <c r="BC871" s="13"/>
      <c r="BH871" s="116"/>
      <c r="BI871" s="123"/>
      <c r="BJ871" s="123"/>
      <c r="BK871" s="123"/>
      <c r="BP871" s="115"/>
      <c r="BQ871" s="115"/>
      <c r="BR871" s="115"/>
      <c r="BS871" s="115"/>
      <c r="BT871" s="115"/>
      <c r="BU871" s="115"/>
      <c r="BV871" s="115"/>
      <c r="BW871" s="115"/>
      <c r="BX871" s="115"/>
      <c r="BY871" s="115"/>
      <c r="BZ871" s="25"/>
      <c r="CA871" s="13"/>
      <c r="CD871" s="114"/>
    </row>
    <row r="872" spans="1:82" ht="19.5" x14ac:dyDescent="0.4">
      <c r="A872" s="117"/>
      <c r="B872" s="123"/>
      <c r="C872" s="123"/>
      <c r="D872" s="123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27"/>
      <c r="AR872" s="29"/>
      <c r="AS872" s="115"/>
      <c r="AT872" s="115"/>
      <c r="AU872" s="115"/>
      <c r="AV872" s="115"/>
      <c r="AW872" s="115"/>
      <c r="AX872" s="115"/>
      <c r="AY872" s="115"/>
      <c r="AZ872" s="115"/>
      <c r="BA872" s="115"/>
      <c r="BB872" s="25"/>
      <c r="BC872" s="13"/>
      <c r="BH872" s="116"/>
      <c r="BI872" s="123"/>
      <c r="BJ872" s="123"/>
      <c r="BK872" s="123"/>
      <c r="BP872" s="115"/>
      <c r="BQ872" s="115"/>
      <c r="BR872" s="115"/>
      <c r="BS872" s="115"/>
      <c r="BT872" s="115"/>
      <c r="BU872" s="115"/>
      <c r="BV872" s="115"/>
      <c r="BW872" s="115"/>
      <c r="BX872" s="115"/>
      <c r="BY872" s="115"/>
      <c r="BZ872" s="25"/>
      <c r="CA872" s="13"/>
      <c r="CD872" s="114"/>
    </row>
    <row r="873" spans="1:82" ht="19.5" x14ac:dyDescent="0.4">
      <c r="A873" s="117"/>
      <c r="B873" s="123"/>
      <c r="C873" s="123"/>
      <c r="D873" s="123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27"/>
      <c r="AR873" s="29"/>
      <c r="AS873" s="115"/>
      <c r="AT873" s="115"/>
      <c r="AU873" s="115"/>
      <c r="AV873" s="115"/>
      <c r="AW873" s="115"/>
      <c r="AX873" s="115"/>
      <c r="AY873" s="115"/>
      <c r="AZ873" s="115"/>
      <c r="BA873" s="115"/>
      <c r="BB873" s="25"/>
      <c r="BC873" s="13"/>
      <c r="BH873" s="116"/>
      <c r="BI873" s="123"/>
      <c r="BJ873" s="123"/>
      <c r="BK873" s="123"/>
      <c r="BP873" s="115"/>
      <c r="BQ873" s="115"/>
      <c r="BR873" s="115"/>
      <c r="BS873" s="115"/>
      <c r="BT873" s="115"/>
      <c r="BU873" s="115"/>
      <c r="BV873" s="115"/>
      <c r="BW873" s="115"/>
      <c r="BX873" s="115"/>
      <c r="BY873" s="115"/>
      <c r="BZ873" s="25"/>
      <c r="CA873" s="13"/>
      <c r="CD873" s="114"/>
    </row>
    <row r="874" spans="1:82" ht="19.5" x14ac:dyDescent="0.4">
      <c r="A874" s="117"/>
      <c r="B874" s="123"/>
      <c r="C874" s="123"/>
      <c r="D874" s="123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27"/>
      <c r="AR874" s="29"/>
      <c r="AS874" s="115"/>
      <c r="AT874" s="115"/>
      <c r="AU874" s="115"/>
      <c r="AV874" s="115"/>
      <c r="AW874" s="115"/>
      <c r="AX874" s="115"/>
      <c r="AY874" s="115"/>
      <c r="AZ874" s="115"/>
      <c r="BA874" s="115"/>
      <c r="BB874" s="25"/>
      <c r="BC874" s="13"/>
      <c r="BH874" s="116"/>
      <c r="BI874" s="123"/>
      <c r="BJ874" s="123"/>
      <c r="BK874" s="123"/>
      <c r="BP874" s="115"/>
      <c r="BQ874" s="115"/>
      <c r="BR874" s="115"/>
      <c r="BS874" s="115"/>
      <c r="BT874" s="115"/>
      <c r="BU874" s="115"/>
      <c r="BV874" s="115"/>
      <c r="BW874" s="115"/>
      <c r="BX874" s="115"/>
      <c r="BY874" s="115"/>
      <c r="BZ874" s="25"/>
      <c r="CA874" s="13"/>
      <c r="CD874" s="114"/>
    </row>
    <row r="875" spans="1:82" ht="19.5" x14ac:dyDescent="0.4">
      <c r="A875" s="117"/>
      <c r="B875" s="123"/>
      <c r="C875" s="123"/>
      <c r="D875" s="123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27"/>
      <c r="AR875" s="29"/>
      <c r="AS875" s="115"/>
      <c r="AT875" s="115"/>
      <c r="AU875" s="115"/>
      <c r="AV875" s="115"/>
      <c r="AW875" s="115"/>
      <c r="AX875" s="115"/>
      <c r="AY875" s="115"/>
      <c r="AZ875" s="115"/>
      <c r="BA875" s="115"/>
      <c r="BB875" s="25"/>
      <c r="BC875" s="13"/>
      <c r="BH875" s="116"/>
      <c r="BI875" s="123"/>
      <c r="BJ875" s="123"/>
      <c r="BK875" s="123"/>
      <c r="BP875" s="115"/>
      <c r="BQ875" s="115"/>
      <c r="BR875" s="115"/>
      <c r="BS875" s="115"/>
      <c r="BT875" s="115"/>
      <c r="BU875" s="115"/>
      <c r="BV875" s="115"/>
      <c r="BW875" s="115"/>
      <c r="BX875" s="115"/>
      <c r="BY875" s="115"/>
      <c r="BZ875" s="25"/>
      <c r="CA875" s="13"/>
      <c r="CD875" s="114"/>
    </row>
    <row r="876" spans="1:82" ht="19.5" x14ac:dyDescent="0.4">
      <c r="A876" s="117"/>
      <c r="B876" s="123"/>
      <c r="C876" s="123"/>
      <c r="D876" s="123"/>
      <c r="AQ876" s="127"/>
      <c r="AR876" s="29"/>
      <c r="BB876" s="25">
        <v>45679</v>
      </c>
      <c r="BC876" s="13" t="s">
        <v>147</v>
      </c>
      <c r="BH876" s="116"/>
      <c r="BI876" s="123"/>
      <c r="BJ876" s="123"/>
      <c r="BK876" s="123"/>
      <c r="BP876" s="115"/>
      <c r="BQ876" s="115"/>
      <c r="BR876" s="115"/>
      <c r="BS876" s="115"/>
      <c r="BT876" s="115"/>
      <c r="BU876" s="115"/>
      <c r="BV876" s="115"/>
      <c r="BW876" s="115"/>
      <c r="BX876" s="115"/>
      <c r="BY876" s="115"/>
      <c r="BZ876" s="25"/>
      <c r="CA876" s="13"/>
      <c r="CD876" s="114"/>
    </row>
    <row r="877" spans="1:82" ht="19.5" x14ac:dyDescent="0.4">
      <c r="A877" s="117"/>
      <c r="B877" s="123"/>
      <c r="C877" s="123"/>
      <c r="D877" s="123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27"/>
      <c r="AR877" s="29"/>
      <c r="BB877" s="25"/>
      <c r="BC877" s="13"/>
      <c r="BH877" s="116"/>
      <c r="BI877" s="123"/>
      <c r="BJ877" s="123"/>
      <c r="BK877" s="123"/>
      <c r="BP877" s="115"/>
      <c r="BQ877" s="115"/>
      <c r="BR877" s="115"/>
      <c r="BS877" s="115"/>
      <c r="BT877" s="115"/>
      <c r="BU877" s="115"/>
      <c r="BV877" s="115"/>
      <c r="BW877" s="115"/>
      <c r="BX877" s="115"/>
      <c r="BY877" s="115"/>
      <c r="BZ877" s="25"/>
      <c r="CA877" s="13"/>
      <c r="CD877" s="114"/>
    </row>
    <row r="878" spans="1:82" ht="19.5" x14ac:dyDescent="0.4">
      <c r="A878" s="117"/>
      <c r="B878" s="123"/>
      <c r="C878" s="123"/>
      <c r="D878" s="123"/>
      <c r="AQ878" s="127"/>
      <c r="AR878" s="29"/>
      <c r="BB878" s="25"/>
      <c r="BC878" s="13"/>
      <c r="BH878" s="116"/>
      <c r="BI878" s="123"/>
      <c r="BJ878" s="123"/>
      <c r="BK878" s="123"/>
      <c r="BP878" s="115"/>
      <c r="BQ878" s="115"/>
      <c r="BR878" s="115"/>
      <c r="BS878" s="115"/>
      <c r="BT878" s="115"/>
      <c r="BU878" s="115"/>
      <c r="BV878" s="115"/>
      <c r="BW878" s="115"/>
      <c r="BX878" s="115"/>
      <c r="BY878" s="115"/>
      <c r="BZ878" s="25"/>
      <c r="CA878" s="13"/>
      <c r="CD878" s="114"/>
    </row>
    <row r="879" spans="1:82" ht="19.5" x14ac:dyDescent="0.4">
      <c r="A879" s="117"/>
      <c r="B879" s="123"/>
      <c r="C879" s="123"/>
      <c r="D879" s="123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27"/>
      <c r="AR879" s="29"/>
      <c r="BB879" s="25"/>
      <c r="BC879" s="13"/>
      <c r="BH879" s="116"/>
      <c r="BI879" s="123"/>
      <c r="BJ879" s="123"/>
      <c r="BK879" s="123"/>
      <c r="BP879" s="115"/>
      <c r="BQ879" s="115"/>
      <c r="BR879" s="115"/>
      <c r="BS879" s="115"/>
      <c r="BT879" s="115"/>
      <c r="BU879" s="115"/>
      <c r="BV879" s="115"/>
      <c r="BW879" s="115"/>
      <c r="BX879" s="115"/>
      <c r="BY879" s="115"/>
      <c r="BZ879" s="25"/>
      <c r="CA879" s="13"/>
      <c r="CD879" s="114"/>
    </row>
    <row r="880" spans="1:82" ht="19.5" x14ac:dyDescent="0.4">
      <c r="A880" s="117"/>
      <c r="B880" s="123"/>
      <c r="C880" s="123"/>
      <c r="D880" s="123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29"/>
      <c r="AR880" s="29"/>
      <c r="BB880" s="25"/>
      <c r="BC880" s="13"/>
      <c r="BH880" s="116"/>
      <c r="BI880" s="123"/>
      <c r="BJ880" s="123"/>
      <c r="BK880" s="123"/>
      <c r="BP880" s="115"/>
      <c r="BQ880" s="115"/>
      <c r="BR880" s="115"/>
      <c r="BS880" s="115"/>
      <c r="BT880" s="115"/>
      <c r="BU880" s="115"/>
      <c r="BV880" s="115"/>
      <c r="BW880" s="115"/>
      <c r="BX880" s="115"/>
      <c r="BY880" s="115"/>
      <c r="BZ880" s="25"/>
      <c r="CA880" s="13"/>
      <c r="CD880" s="114"/>
    </row>
    <row r="881" spans="1:82" ht="19.5" x14ac:dyDescent="0.4">
      <c r="A881" s="117"/>
      <c r="B881" s="123"/>
      <c r="C881" s="123"/>
      <c r="D881" s="123"/>
      <c r="AQ881" s="127"/>
      <c r="AR881" s="29"/>
      <c r="AS881" s="115"/>
      <c r="AT881" s="115"/>
      <c r="AU881" s="115"/>
      <c r="AV881" s="115"/>
      <c r="AW881" s="115"/>
      <c r="AX881" s="115"/>
      <c r="AY881" s="115"/>
      <c r="AZ881" s="115"/>
      <c r="BA881" s="115"/>
      <c r="BB881" s="25">
        <v>45679</v>
      </c>
      <c r="BC881" s="13" t="s">
        <v>146</v>
      </c>
      <c r="BH881" s="116"/>
      <c r="BI881" s="123"/>
      <c r="BJ881" s="123"/>
      <c r="BK881" s="123"/>
      <c r="BP881" s="115"/>
      <c r="BQ881" s="115"/>
      <c r="BR881" s="115"/>
      <c r="BS881" s="115"/>
      <c r="BT881" s="115"/>
      <c r="BU881" s="115"/>
      <c r="BV881" s="115"/>
      <c r="BW881" s="115"/>
      <c r="BX881" s="115"/>
      <c r="BY881" s="115"/>
      <c r="BZ881" s="25"/>
      <c r="CA881" s="13"/>
      <c r="CD881" s="114"/>
    </row>
    <row r="882" spans="1:82" ht="19.5" x14ac:dyDescent="0.4">
      <c r="A882" s="117"/>
      <c r="B882" s="123"/>
      <c r="C882" s="123"/>
      <c r="D882" s="123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27"/>
      <c r="AR882" s="29"/>
      <c r="AS882" s="115"/>
      <c r="AT882" s="115"/>
      <c r="AU882" s="115"/>
      <c r="AV882" s="115"/>
      <c r="AW882" s="115"/>
      <c r="AX882" s="115"/>
      <c r="AY882" s="115"/>
      <c r="AZ882" s="115"/>
      <c r="BA882" s="115"/>
      <c r="BB882" s="25"/>
      <c r="BC882" s="13"/>
      <c r="BH882" s="116"/>
      <c r="BI882" s="123"/>
      <c r="BJ882" s="123"/>
      <c r="BK882" s="123"/>
      <c r="BP882" s="115"/>
      <c r="BQ882" s="115"/>
      <c r="BR882" s="115"/>
      <c r="BS882" s="115"/>
      <c r="BT882" s="115"/>
      <c r="BU882" s="115"/>
      <c r="BV882" s="115"/>
      <c r="BW882" s="115"/>
      <c r="BX882" s="115"/>
      <c r="BY882" s="115"/>
      <c r="BZ882" s="25"/>
      <c r="CA882" s="13"/>
      <c r="CD882" s="114"/>
    </row>
    <row r="883" spans="1:82" ht="19.5" x14ac:dyDescent="0.4">
      <c r="A883" s="117"/>
      <c r="B883" s="123"/>
      <c r="C883" s="123"/>
      <c r="D883" s="123"/>
      <c r="AQ883" s="127"/>
      <c r="AR883" s="29"/>
      <c r="AS883" s="115"/>
      <c r="AT883" s="115"/>
      <c r="AU883" s="115"/>
      <c r="AV883" s="115"/>
      <c r="AW883" s="115"/>
      <c r="AX883" s="115"/>
      <c r="AY883" s="115"/>
      <c r="AZ883" s="115"/>
      <c r="BA883" s="115"/>
      <c r="BB883" s="25"/>
      <c r="BC883" s="13"/>
      <c r="BH883" s="116"/>
      <c r="BI883" s="123"/>
      <c r="BJ883" s="123"/>
      <c r="BK883" s="123"/>
      <c r="BP883" s="115"/>
      <c r="BQ883" s="115"/>
      <c r="BR883" s="115"/>
      <c r="BS883" s="115"/>
      <c r="BT883" s="115"/>
      <c r="BU883" s="115"/>
      <c r="BV883" s="115"/>
      <c r="BW883" s="115"/>
      <c r="BX883" s="115"/>
      <c r="BY883" s="115"/>
      <c r="BZ883" s="25"/>
      <c r="CA883" s="13"/>
      <c r="CD883" s="114"/>
    </row>
    <row r="884" spans="1:82" ht="19.5" x14ac:dyDescent="0.4">
      <c r="A884" s="117"/>
      <c r="B884" s="123"/>
      <c r="C884" s="123"/>
      <c r="D884" s="123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27"/>
      <c r="AR884" s="29"/>
      <c r="AS884" s="115"/>
      <c r="AT884" s="115"/>
      <c r="AU884" s="115"/>
      <c r="AV884" s="115"/>
      <c r="AW884" s="115"/>
      <c r="AX884" s="115"/>
      <c r="AY884" s="115"/>
      <c r="AZ884" s="115"/>
      <c r="BA884" s="115"/>
      <c r="BB884" s="25"/>
      <c r="BC884" s="13"/>
      <c r="BH884" s="116"/>
      <c r="BI884" s="123"/>
      <c r="BJ884" s="123"/>
      <c r="BK884" s="123"/>
      <c r="BP884" s="115"/>
      <c r="BQ884" s="115"/>
      <c r="BR884" s="115"/>
      <c r="BS884" s="115"/>
      <c r="BT884" s="115"/>
      <c r="BU884" s="115"/>
      <c r="BV884" s="115"/>
      <c r="BW884" s="115"/>
      <c r="BX884" s="115"/>
      <c r="BY884" s="115"/>
      <c r="BZ884" s="25"/>
      <c r="CA884" s="13"/>
      <c r="CD884" s="114"/>
    </row>
    <row r="885" spans="1:82" ht="19.5" x14ac:dyDescent="0.4">
      <c r="A885" s="117"/>
      <c r="B885" s="123"/>
      <c r="C885" s="123"/>
      <c r="D885" s="123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27"/>
      <c r="AR885" s="29"/>
      <c r="AS885" s="115"/>
      <c r="AT885" s="115"/>
      <c r="AU885" s="115"/>
      <c r="AV885" s="115"/>
      <c r="AW885" s="115"/>
      <c r="AX885" s="115"/>
      <c r="AY885" s="115"/>
      <c r="AZ885" s="115"/>
      <c r="BA885" s="115"/>
      <c r="BB885" s="25"/>
      <c r="BC885" s="13"/>
      <c r="BH885" s="116"/>
      <c r="BI885" s="123"/>
      <c r="BJ885" s="123"/>
      <c r="BK885" s="123"/>
      <c r="BP885" s="115"/>
      <c r="BQ885" s="115"/>
      <c r="BR885" s="115"/>
      <c r="BS885" s="115"/>
      <c r="BT885" s="115"/>
      <c r="BU885" s="115"/>
      <c r="BV885" s="115"/>
      <c r="BW885" s="115"/>
      <c r="BX885" s="115"/>
      <c r="BY885" s="115"/>
      <c r="BZ885" s="25"/>
      <c r="CA885" s="13"/>
      <c r="CD885" s="114"/>
    </row>
    <row r="886" spans="1:82" ht="19.5" x14ac:dyDescent="0.4">
      <c r="A886" s="117"/>
      <c r="B886" s="123"/>
      <c r="C886" s="123"/>
      <c r="D886" s="123"/>
      <c r="AQ886" s="127"/>
      <c r="AR886" s="29"/>
      <c r="AS886" s="115"/>
      <c r="AT886" s="115"/>
      <c r="AU886" s="115"/>
      <c r="AV886" s="115"/>
      <c r="AW886" s="115"/>
      <c r="AX886" s="115"/>
      <c r="AY886" s="115"/>
      <c r="AZ886" s="115"/>
      <c r="BA886" s="115"/>
      <c r="BB886" s="25">
        <v>45679</v>
      </c>
      <c r="BC886" s="13" t="s">
        <v>147</v>
      </c>
      <c r="BH886" s="116"/>
      <c r="BI886" s="123"/>
      <c r="BJ886" s="123"/>
      <c r="BK886" s="123"/>
      <c r="BP886" s="115"/>
      <c r="BQ886" s="115"/>
      <c r="BR886" s="115"/>
      <c r="BS886" s="115"/>
      <c r="BT886" s="115"/>
      <c r="BU886" s="115"/>
      <c r="BV886" s="115"/>
      <c r="BW886" s="115"/>
      <c r="BX886" s="115"/>
      <c r="BY886" s="115"/>
      <c r="BZ886" s="25"/>
      <c r="CA886" s="13"/>
      <c r="CD886" s="114"/>
    </row>
    <row r="887" spans="1:82" ht="19.5" x14ac:dyDescent="0.4">
      <c r="A887" s="117"/>
      <c r="B887" s="123"/>
      <c r="C887" s="123"/>
      <c r="D887" s="123"/>
      <c r="AQ887" s="127"/>
      <c r="AR887" s="29"/>
      <c r="AS887" s="115"/>
      <c r="AT887" s="115"/>
      <c r="AU887" s="115"/>
      <c r="AV887" s="115"/>
      <c r="AW887" s="115"/>
      <c r="AX887" s="115"/>
      <c r="AY887" s="115"/>
      <c r="AZ887" s="115"/>
      <c r="BA887" s="115"/>
      <c r="BB887" s="25">
        <v>45680</v>
      </c>
      <c r="BC887" s="13" t="s">
        <v>148</v>
      </c>
      <c r="BH887" s="116"/>
      <c r="BI887" s="123"/>
      <c r="BJ887" s="123"/>
      <c r="BK887" s="123"/>
      <c r="BP887" s="115"/>
      <c r="BQ887" s="115"/>
      <c r="BR887" s="115"/>
      <c r="BS887" s="115"/>
      <c r="BT887" s="115"/>
      <c r="BU887" s="115"/>
      <c r="BV887" s="115"/>
      <c r="BW887" s="115"/>
      <c r="BX887" s="115"/>
      <c r="BY887" s="115"/>
      <c r="BZ887" s="25"/>
      <c r="CA887" s="13"/>
      <c r="CD887" s="114"/>
    </row>
    <row r="888" spans="1:82" ht="19.5" x14ac:dyDescent="0.4">
      <c r="A888" s="117"/>
      <c r="B888" s="123"/>
      <c r="C888" s="123"/>
      <c r="D888" s="123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29"/>
      <c r="AR888" s="29"/>
      <c r="AS888" s="115"/>
      <c r="AT888" s="115"/>
      <c r="AU888" s="115"/>
      <c r="AV888" s="115"/>
      <c r="AW888" s="115"/>
      <c r="AX888" s="115"/>
      <c r="AY888" s="115"/>
      <c r="AZ888" s="115"/>
      <c r="BA888" s="115"/>
      <c r="BB888" s="25"/>
      <c r="BC888" s="13"/>
      <c r="BH888" s="116"/>
      <c r="BI888" s="123"/>
      <c r="BJ888" s="123"/>
      <c r="BK888" s="123"/>
      <c r="BP888" s="115"/>
      <c r="BQ888" s="115"/>
      <c r="BR888" s="115"/>
      <c r="BS888" s="115"/>
      <c r="BT888" s="115"/>
      <c r="BU888" s="115"/>
      <c r="BV888" s="115"/>
      <c r="BW888" s="115"/>
      <c r="BX888" s="115"/>
      <c r="BY888" s="115"/>
      <c r="BZ888" s="25"/>
      <c r="CA888" s="13"/>
      <c r="CD888" s="114"/>
    </row>
    <row r="889" spans="1:82" ht="19.5" x14ac:dyDescent="0.4">
      <c r="A889" s="117"/>
      <c r="B889" s="123"/>
      <c r="C889" s="123"/>
      <c r="D889" s="123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27"/>
      <c r="AR889" s="29"/>
      <c r="AS889" s="115"/>
      <c r="AT889" s="115"/>
      <c r="AU889" s="115"/>
      <c r="AV889" s="115"/>
      <c r="AW889" s="115"/>
      <c r="AX889" s="115"/>
      <c r="AY889" s="115"/>
      <c r="AZ889" s="115"/>
      <c r="BA889" s="115"/>
      <c r="BB889" s="25"/>
      <c r="BC889" s="13"/>
      <c r="BH889" s="116"/>
      <c r="BI889" s="123"/>
      <c r="BJ889" s="123"/>
      <c r="BK889" s="123"/>
      <c r="BP889" s="115"/>
      <c r="BQ889" s="115"/>
      <c r="BR889" s="115"/>
      <c r="BS889" s="115"/>
      <c r="BT889" s="115"/>
      <c r="BU889" s="115"/>
      <c r="BV889" s="115"/>
      <c r="BW889" s="115"/>
      <c r="BX889" s="115"/>
      <c r="BY889" s="115"/>
      <c r="BZ889" s="25"/>
      <c r="CA889" s="13"/>
      <c r="CD889" s="114"/>
    </row>
    <row r="890" spans="1:82" ht="19.5" x14ac:dyDescent="0.4">
      <c r="A890" s="117"/>
      <c r="B890" s="123"/>
      <c r="C890" s="123"/>
      <c r="D890" s="123"/>
      <c r="AQ890" s="127"/>
      <c r="AR890" s="29"/>
      <c r="AS890" s="115"/>
      <c r="AT890" s="115"/>
      <c r="AU890" s="115"/>
      <c r="AV890" s="115"/>
      <c r="AW890" s="115"/>
      <c r="AX890" s="115"/>
      <c r="AY890" s="115"/>
      <c r="AZ890" s="115"/>
      <c r="BA890" s="115"/>
      <c r="BB890" s="25">
        <v>45680</v>
      </c>
      <c r="BC890" s="13" t="s">
        <v>147</v>
      </c>
      <c r="BH890" s="116"/>
      <c r="BI890" s="123"/>
      <c r="BJ890" s="123"/>
      <c r="BK890" s="123"/>
      <c r="BP890" s="115"/>
      <c r="BQ890" s="115"/>
      <c r="BR890" s="115"/>
      <c r="BS890" s="115"/>
      <c r="BT890" s="115"/>
      <c r="BU890" s="115"/>
      <c r="BV890" s="115"/>
      <c r="BW890" s="115"/>
      <c r="BX890" s="115"/>
      <c r="BY890" s="115"/>
      <c r="BZ890" s="25"/>
      <c r="CA890" s="13"/>
      <c r="CD890" s="114"/>
    </row>
    <row r="891" spans="1:82" ht="19.5" x14ac:dyDescent="0.4">
      <c r="A891" s="117"/>
      <c r="B891" s="123"/>
      <c r="C891" s="123"/>
      <c r="D891" s="123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115"/>
      <c r="AP891" s="115"/>
      <c r="AQ891" s="127"/>
      <c r="AR891" s="29"/>
      <c r="AS891" s="115"/>
      <c r="AT891" s="115"/>
      <c r="AU891" s="115"/>
      <c r="AV891" s="115"/>
      <c r="AW891" s="115"/>
      <c r="AX891" s="115"/>
      <c r="AY891" s="115"/>
      <c r="AZ891" s="115"/>
      <c r="BA891" s="115"/>
      <c r="BB891" s="25"/>
      <c r="BC891" s="13"/>
      <c r="BH891" s="116"/>
      <c r="BI891" s="123"/>
      <c r="BJ891" s="123"/>
      <c r="BK891" s="123"/>
      <c r="BP891" s="115"/>
      <c r="BQ891" s="115"/>
      <c r="BR891" s="115"/>
      <c r="BS891" s="115"/>
      <c r="BT891" s="115"/>
      <c r="BU891" s="115"/>
      <c r="BV891" s="115"/>
      <c r="BW891" s="115"/>
      <c r="BX891" s="115"/>
      <c r="BY891" s="115"/>
      <c r="BZ891" s="25"/>
      <c r="CA891" s="13"/>
      <c r="CD891" s="114"/>
    </row>
    <row r="892" spans="1:82" ht="19.5" x14ac:dyDescent="0.4">
      <c r="A892" s="117"/>
      <c r="B892" s="123"/>
      <c r="C892" s="123"/>
      <c r="D892" s="123"/>
      <c r="AC892" s="115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27"/>
      <c r="AR892" s="29"/>
      <c r="AS892" s="115"/>
      <c r="AT892" s="115"/>
      <c r="AU892" s="115"/>
      <c r="AV892" s="115"/>
      <c r="AW892" s="115"/>
      <c r="AX892" s="115"/>
      <c r="AY892" s="115"/>
      <c r="AZ892" s="115"/>
      <c r="BA892" s="115"/>
      <c r="BB892" s="25"/>
      <c r="BC892" s="13"/>
      <c r="BH892" s="116"/>
      <c r="BI892" s="123"/>
      <c r="BJ892" s="123"/>
      <c r="BK892" s="123"/>
      <c r="BP892" s="115"/>
      <c r="BQ892" s="115"/>
      <c r="BR892" s="115"/>
      <c r="BS892" s="115"/>
      <c r="BT892" s="115"/>
      <c r="BU892" s="115"/>
      <c r="BV892" s="115"/>
      <c r="BW892" s="115"/>
      <c r="BX892" s="115"/>
      <c r="BY892" s="115"/>
      <c r="BZ892" s="25"/>
      <c r="CA892" s="13"/>
      <c r="CD892" s="114"/>
    </row>
    <row r="893" spans="1:82" ht="19.5" x14ac:dyDescent="0.4">
      <c r="A893" s="117"/>
      <c r="B893" s="123"/>
      <c r="C893" s="123"/>
      <c r="D893" s="123"/>
      <c r="AQ893" s="127"/>
      <c r="AR893" s="29"/>
      <c r="AS893" s="115"/>
      <c r="AT893" s="115"/>
      <c r="AU893" s="115"/>
      <c r="AV893" s="115"/>
      <c r="AW893" s="115"/>
      <c r="AX893" s="115"/>
      <c r="AY893" s="115"/>
      <c r="AZ893" s="115"/>
      <c r="BA893" s="115"/>
      <c r="BB893" s="25">
        <v>45680</v>
      </c>
      <c r="BC893" s="13" t="s">
        <v>147</v>
      </c>
      <c r="BH893" s="116"/>
      <c r="BI893" s="123"/>
      <c r="BJ893" s="123"/>
      <c r="BK893" s="123"/>
      <c r="BP893" s="115"/>
      <c r="BQ893" s="115"/>
      <c r="BR893" s="115"/>
      <c r="BS893" s="115"/>
      <c r="BT893" s="115"/>
      <c r="BU893" s="115"/>
      <c r="BV893" s="115"/>
      <c r="BW893" s="115"/>
      <c r="BX893" s="115"/>
      <c r="BY893" s="115"/>
      <c r="BZ893" s="25"/>
      <c r="CA893" s="13"/>
      <c r="CD893" s="114"/>
    </row>
    <row r="894" spans="1:82" ht="19.5" x14ac:dyDescent="0.4">
      <c r="A894" s="117"/>
      <c r="B894" s="123"/>
      <c r="C894" s="123"/>
      <c r="D894" s="123"/>
      <c r="AQ894" s="127"/>
      <c r="AR894" s="29"/>
      <c r="AS894" s="115"/>
      <c r="AT894" s="115"/>
      <c r="AU894" s="115"/>
      <c r="AV894" s="115"/>
      <c r="AW894" s="115"/>
      <c r="AX894" s="115"/>
      <c r="AY894" s="115"/>
      <c r="AZ894" s="115"/>
      <c r="BA894" s="115"/>
      <c r="BB894" s="25"/>
      <c r="BC894" s="13"/>
      <c r="BH894" s="116"/>
      <c r="BI894" s="123"/>
      <c r="BJ894" s="123"/>
      <c r="BK894" s="123"/>
      <c r="BP894" s="115"/>
      <c r="BQ894" s="115"/>
      <c r="BR894" s="115"/>
      <c r="BS894" s="115"/>
      <c r="BT894" s="115"/>
      <c r="BU894" s="115"/>
      <c r="BV894" s="115"/>
      <c r="BW894" s="115"/>
      <c r="BX894" s="115"/>
      <c r="BY894" s="115"/>
      <c r="BZ894" s="25"/>
      <c r="CA894" s="13"/>
      <c r="CD894" s="114"/>
    </row>
    <row r="895" spans="1:82" ht="19.5" x14ac:dyDescent="0.4">
      <c r="A895" s="117"/>
      <c r="B895" s="123"/>
      <c r="C895" s="123"/>
      <c r="D895" s="123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27"/>
      <c r="AR895" s="29"/>
      <c r="AS895" s="115"/>
      <c r="AT895" s="115"/>
      <c r="AU895" s="115"/>
      <c r="AV895" s="115"/>
      <c r="AW895" s="115"/>
      <c r="AX895" s="115"/>
      <c r="AY895" s="115"/>
      <c r="AZ895" s="115"/>
      <c r="BA895" s="115"/>
      <c r="BB895" s="25"/>
      <c r="BC895" s="13"/>
      <c r="BH895" s="116"/>
      <c r="BI895" s="123"/>
      <c r="BJ895" s="123"/>
      <c r="BK895" s="123"/>
      <c r="BP895" s="115"/>
      <c r="BQ895" s="115"/>
      <c r="BR895" s="115"/>
      <c r="BS895" s="115"/>
      <c r="BT895" s="115"/>
      <c r="BU895" s="115"/>
      <c r="BV895" s="115"/>
      <c r="BW895" s="115"/>
      <c r="BX895" s="115"/>
      <c r="BY895" s="115"/>
      <c r="BZ895" s="25"/>
      <c r="CA895" s="13"/>
      <c r="CD895" s="114"/>
    </row>
    <row r="896" spans="1:82" ht="19.5" x14ac:dyDescent="0.4">
      <c r="A896" s="117"/>
      <c r="B896" s="123"/>
      <c r="C896" s="123"/>
      <c r="D896" s="123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27"/>
      <c r="AR896" s="29"/>
      <c r="AS896" s="115"/>
      <c r="AT896" s="115"/>
      <c r="AU896" s="115"/>
      <c r="AV896" s="115"/>
      <c r="AW896" s="115"/>
      <c r="AX896" s="115"/>
      <c r="AY896" s="115"/>
      <c r="AZ896" s="115"/>
      <c r="BA896" s="115"/>
      <c r="BB896" s="25"/>
      <c r="BC896" s="13"/>
      <c r="BH896" s="116"/>
      <c r="BI896" s="123"/>
      <c r="BJ896" s="123"/>
      <c r="BK896" s="123"/>
      <c r="BP896" s="115"/>
      <c r="BQ896" s="115"/>
      <c r="BR896" s="115"/>
      <c r="BS896" s="115"/>
      <c r="BT896" s="115"/>
      <c r="BU896" s="115"/>
      <c r="BV896" s="115"/>
      <c r="BW896" s="115"/>
      <c r="BX896" s="115"/>
      <c r="BY896" s="115"/>
      <c r="BZ896" s="25"/>
      <c r="CA896" s="13"/>
      <c r="CD896" s="114"/>
    </row>
    <row r="897" spans="1:82" ht="19.5" x14ac:dyDescent="0.4">
      <c r="A897" s="117"/>
      <c r="B897" s="123"/>
      <c r="C897" s="123"/>
      <c r="D897" s="123"/>
      <c r="AQ897" s="127"/>
      <c r="AR897" s="29"/>
      <c r="AS897" s="115"/>
      <c r="AT897" s="115"/>
      <c r="AU897" s="115"/>
      <c r="AV897" s="115"/>
      <c r="AW897" s="115"/>
      <c r="AX897" s="115"/>
      <c r="AY897" s="115"/>
      <c r="AZ897" s="115"/>
      <c r="BA897" s="115"/>
      <c r="BB897" s="25">
        <v>45680</v>
      </c>
      <c r="BC897" s="13" t="s">
        <v>146</v>
      </c>
      <c r="BH897" s="116"/>
      <c r="BI897" s="123"/>
      <c r="BJ897" s="123"/>
      <c r="BK897" s="123"/>
      <c r="BP897" s="115"/>
      <c r="BQ897" s="115"/>
      <c r="BR897" s="115"/>
      <c r="BS897" s="115"/>
      <c r="BT897" s="115"/>
      <c r="BU897" s="115"/>
      <c r="BV897" s="115"/>
      <c r="BW897" s="115"/>
      <c r="BX897" s="115"/>
      <c r="BY897" s="115"/>
      <c r="BZ897" s="25"/>
      <c r="CA897" s="13"/>
      <c r="CD897" s="114"/>
    </row>
    <row r="898" spans="1:82" ht="19.5" x14ac:dyDescent="0.4">
      <c r="A898" s="117"/>
      <c r="B898" s="123"/>
      <c r="C898" s="123"/>
      <c r="D898" s="123"/>
      <c r="AQ898" s="127"/>
      <c r="AR898" s="29"/>
      <c r="AS898" s="115"/>
      <c r="AT898" s="115"/>
      <c r="AU898" s="115"/>
      <c r="AV898" s="115"/>
      <c r="AW898" s="115"/>
      <c r="AX898" s="115"/>
      <c r="AY898" s="115"/>
      <c r="AZ898" s="115"/>
      <c r="BA898" s="115"/>
      <c r="BB898" s="25">
        <v>45680</v>
      </c>
      <c r="BC898" s="13" t="s">
        <v>146</v>
      </c>
      <c r="BH898" s="116"/>
      <c r="BI898" s="123"/>
      <c r="BJ898" s="123"/>
      <c r="BK898" s="123"/>
      <c r="BP898" s="115"/>
      <c r="BQ898" s="115"/>
      <c r="BR898" s="115"/>
      <c r="BS898" s="115"/>
      <c r="BT898" s="115"/>
      <c r="BU898" s="115"/>
      <c r="BV898" s="115"/>
      <c r="BW898" s="115"/>
      <c r="BX898" s="115"/>
      <c r="BY898" s="115"/>
      <c r="BZ898" s="25"/>
      <c r="CA898" s="13"/>
      <c r="CD898" s="114"/>
    </row>
    <row r="899" spans="1:82" ht="19.5" x14ac:dyDescent="0.4">
      <c r="A899" s="117"/>
      <c r="B899" s="123"/>
      <c r="C899" s="123"/>
      <c r="D899" s="123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27"/>
      <c r="AR899" s="29"/>
      <c r="AS899" s="115"/>
      <c r="AT899" s="115"/>
      <c r="AU899" s="115"/>
      <c r="AV899" s="115"/>
      <c r="AW899" s="115"/>
      <c r="AX899" s="115"/>
      <c r="AY899" s="115"/>
      <c r="AZ899" s="115"/>
      <c r="BA899" s="115"/>
      <c r="BB899" s="25">
        <v>45680</v>
      </c>
      <c r="BC899" s="13" t="s">
        <v>147</v>
      </c>
      <c r="BH899" s="116"/>
      <c r="BI899" s="123"/>
      <c r="BJ899" s="123"/>
      <c r="BK899" s="123"/>
      <c r="BP899" s="115"/>
      <c r="BQ899" s="115"/>
      <c r="BR899" s="115"/>
      <c r="BS899" s="115"/>
      <c r="BT899" s="115"/>
      <c r="BU899" s="115"/>
      <c r="BV899" s="115"/>
      <c r="BW899" s="115"/>
      <c r="BX899" s="115"/>
      <c r="BY899" s="115"/>
      <c r="BZ899" s="25"/>
      <c r="CA899" s="13"/>
      <c r="CD899" s="114"/>
    </row>
    <row r="900" spans="1:82" ht="19.5" x14ac:dyDescent="0.4">
      <c r="A900" s="117"/>
      <c r="B900" s="123"/>
      <c r="C900" s="123"/>
      <c r="D900" s="123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27"/>
      <c r="AR900" s="29"/>
      <c r="AS900" s="115"/>
      <c r="AT900" s="115"/>
      <c r="AU900" s="115"/>
      <c r="AV900" s="115"/>
      <c r="AW900" s="115"/>
      <c r="AX900" s="115"/>
      <c r="AY900" s="115"/>
      <c r="AZ900" s="115"/>
      <c r="BA900" s="115"/>
      <c r="BB900" s="25"/>
      <c r="BC900" s="13"/>
      <c r="BH900" s="116"/>
      <c r="BI900" s="123"/>
      <c r="BJ900" s="123"/>
      <c r="BK900" s="123"/>
      <c r="BP900" s="115"/>
      <c r="BQ900" s="115"/>
      <c r="BR900" s="115"/>
      <c r="BS900" s="115"/>
      <c r="BT900" s="115"/>
      <c r="BU900" s="115"/>
      <c r="BV900" s="115"/>
      <c r="BW900" s="115"/>
      <c r="BX900" s="115"/>
      <c r="BY900" s="115"/>
      <c r="BZ900" s="25"/>
      <c r="CA900" s="13"/>
      <c r="CD900" s="114"/>
    </row>
    <row r="901" spans="1:82" ht="19.5" x14ac:dyDescent="0.4">
      <c r="A901" s="117"/>
      <c r="B901" s="123"/>
      <c r="C901" s="123"/>
      <c r="D901" s="123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29"/>
      <c r="AR901" s="29"/>
      <c r="AS901" s="115"/>
      <c r="AT901" s="115"/>
      <c r="AU901" s="115"/>
      <c r="AV901" s="115"/>
      <c r="AW901" s="115"/>
      <c r="AX901" s="115"/>
      <c r="AY901" s="115"/>
      <c r="AZ901" s="115"/>
      <c r="BA901" s="115"/>
      <c r="BB901" s="25"/>
      <c r="BC901" s="13"/>
      <c r="BH901" s="116"/>
      <c r="BI901" s="123"/>
      <c r="BJ901" s="123"/>
      <c r="BK901" s="123"/>
      <c r="BP901" s="115"/>
      <c r="BQ901" s="115"/>
      <c r="BR901" s="115"/>
      <c r="BS901" s="115"/>
      <c r="BT901" s="115"/>
      <c r="BU901" s="115"/>
      <c r="BV901" s="115"/>
      <c r="BW901" s="115"/>
      <c r="BX901" s="115"/>
      <c r="BY901" s="115"/>
      <c r="BZ901" s="25"/>
      <c r="CA901" s="13"/>
      <c r="CD901" s="114"/>
    </row>
    <row r="902" spans="1:82" ht="19.5" x14ac:dyDescent="0.4">
      <c r="A902" s="117"/>
      <c r="B902" s="123"/>
      <c r="C902" s="123"/>
      <c r="D902" s="123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27"/>
      <c r="AR902" s="29"/>
      <c r="AS902" s="115"/>
      <c r="AT902" s="115"/>
      <c r="AU902" s="115"/>
      <c r="AV902" s="115"/>
      <c r="AW902" s="115"/>
      <c r="AX902" s="115"/>
      <c r="AY902" s="115"/>
      <c r="AZ902" s="115"/>
      <c r="BA902" s="115"/>
      <c r="BB902" s="25"/>
      <c r="BC902" s="13"/>
      <c r="BH902" s="116"/>
      <c r="BI902" s="123"/>
      <c r="BJ902" s="123"/>
      <c r="BK902" s="123"/>
      <c r="BP902" s="115"/>
      <c r="BQ902" s="115"/>
      <c r="BR902" s="115"/>
      <c r="BS902" s="115"/>
      <c r="BT902" s="115"/>
      <c r="BU902" s="115"/>
      <c r="BV902" s="115"/>
      <c r="BW902" s="115"/>
      <c r="BX902" s="115"/>
      <c r="BY902" s="115"/>
      <c r="BZ902" s="25"/>
      <c r="CA902" s="13"/>
      <c r="CD902" s="114"/>
    </row>
    <row r="903" spans="1:82" ht="19.5" x14ac:dyDescent="0.4">
      <c r="A903" s="117"/>
      <c r="B903" s="123"/>
      <c r="C903" s="123"/>
      <c r="D903" s="123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29"/>
      <c r="AR903" s="29"/>
      <c r="AS903" s="115"/>
      <c r="AT903" s="115"/>
      <c r="AU903" s="115"/>
      <c r="AV903" s="115"/>
      <c r="AW903" s="115"/>
      <c r="AX903" s="115"/>
      <c r="AY903" s="115"/>
      <c r="AZ903" s="115"/>
      <c r="BA903" s="115"/>
      <c r="BB903" s="25"/>
      <c r="BC903" s="13"/>
      <c r="BH903" s="116"/>
      <c r="BI903" s="123"/>
      <c r="BJ903" s="123"/>
      <c r="BK903" s="123"/>
      <c r="BP903" s="115"/>
      <c r="BQ903" s="115"/>
      <c r="BR903" s="115"/>
      <c r="BS903" s="115"/>
      <c r="BT903" s="115"/>
      <c r="BU903" s="115"/>
      <c r="BV903" s="115"/>
      <c r="BW903" s="115"/>
      <c r="BX903" s="115"/>
      <c r="BY903" s="115"/>
      <c r="BZ903" s="25"/>
      <c r="CA903" s="13"/>
      <c r="CD903" s="114"/>
    </row>
    <row r="904" spans="1:82" ht="19.5" x14ac:dyDescent="0.4">
      <c r="A904" s="117"/>
      <c r="B904" s="123"/>
      <c r="C904" s="123"/>
      <c r="D904" s="123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27"/>
      <c r="AR904" s="29"/>
      <c r="AS904" s="115"/>
      <c r="AT904" s="115"/>
      <c r="AU904" s="115"/>
      <c r="AV904" s="115"/>
      <c r="AW904" s="115"/>
      <c r="AX904" s="115"/>
      <c r="AY904" s="115"/>
      <c r="AZ904" s="115"/>
      <c r="BA904" s="115"/>
      <c r="BB904" s="25">
        <v>45680</v>
      </c>
      <c r="BC904" s="15" t="s">
        <v>142</v>
      </c>
      <c r="BH904" s="116"/>
      <c r="BI904" s="123"/>
      <c r="BJ904" s="123"/>
      <c r="BK904" s="123"/>
      <c r="BP904" s="115"/>
      <c r="BQ904" s="115"/>
      <c r="BR904" s="115"/>
      <c r="BS904" s="115"/>
      <c r="BT904" s="115"/>
      <c r="BU904" s="115"/>
      <c r="BV904" s="115"/>
      <c r="BW904" s="115"/>
      <c r="BX904" s="115"/>
      <c r="BY904" s="115"/>
      <c r="BZ904" s="25"/>
      <c r="CA904" s="13"/>
      <c r="CD904" s="114"/>
    </row>
    <row r="905" spans="1:82" ht="19.5" x14ac:dyDescent="0.4">
      <c r="A905" s="117"/>
      <c r="B905" s="123"/>
      <c r="C905" s="123"/>
      <c r="D905" s="123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115"/>
      <c r="AQ905" s="29"/>
      <c r="AR905" s="29"/>
      <c r="AS905" s="115"/>
      <c r="AT905" s="115"/>
      <c r="AU905" s="115"/>
      <c r="AV905" s="115"/>
      <c r="AW905" s="115"/>
      <c r="AX905" s="115"/>
      <c r="AY905" s="115"/>
      <c r="AZ905" s="115"/>
      <c r="BA905" s="115"/>
      <c r="BB905" s="25"/>
      <c r="BC905" s="15"/>
      <c r="BH905" s="116"/>
      <c r="BI905" s="123"/>
      <c r="BJ905" s="123"/>
      <c r="BK905" s="123"/>
      <c r="BP905" s="115"/>
      <c r="BQ905" s="115"/>
      <c r="BR905" s="115"/>
      <c r="BS905" s="115"/>
      <c r="BT905" s="115"/>
      <c r="BU905" s="115"/>
      <c r="BV905" s="115"/>
      <c r="BW905" s="115"/>
      <c r="BX905" s="115"/>
      <c r="BY905" s="115"/>
      <c r="BZ905" s="25"/>
      <c r="CA905" s="13"/>
      <c r="CD905" s="114"/>
    </row>
    <row r="906" spans="1:82" ht="19.5" x14ac:dyDescent="0.4">
      <c r="A906" s="117"/>
      <c r="B906" s="123"/>
      <c r="C906" s="123"/>
      <c r="D906" s="123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27"/>
      <c r="AR906" s="29"/>
      <c r="AS906" s="115"/>
      <c r="AT906" s="115"/>
      <c r="AU906" s="115"/>
      <c r="AV906" s="115"/>
      <c r="AW906" s="115"/>
      <c r="AX906" s="115"/>
      <c r="AY906" s="115"/>
      <c r="AZ906" s="115"/>
      <c r="BA906" s="115"/>
      <c r="BB906" s="25"/>
      <c r="BC906" s="15"/>
      <c r="BH906" s="116"/>
      <c r="BI906" s="123"/>
      <c r="BJ906" s="123"/>
      <c r="BK906" s="123"/>
      <c r="BP906" s="115"/>
      <c r="BQ906" s="115"/>
      <c r="BR906" s="115"/>
      <c r="BS906" s="115"/>
      <c r="BT906" s="115"/>
      <c r="BU906" s="115"/>
      <c r="BV906" s="115"/>
      <c r="BW906" s="115"/>
      <c r="BX906" s="115"/>
      <c r="BY906" s="115"/>
      <c r="BZ906" s="25"/>
      <c r="CA906" s="13"/>
      <c r="CD906" s="114"/>
    </row>
    <row r="907" spans="1:82" ht="19.5" x14ac:dyDescent="0.4">
      <c r="A907" s="117"/>
      <c r="B907" s="123"/>
      <c r="C907" s="123"/>
      <c r="D907" s="123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27"/>
      <c r="AR907" s="29"/>
      <c r="AS907" s="115"/>
      <c r="AT907" s="115"/>
      <c r="AU907" s="115"/>
      <c r="AV907" s="115"/>
      <c r="AW907" s="115"/>
      <c r="AX907" s="115"/>
      <c r="AY907" s="115"/>
      <c r="AZ907" s="115"/>
      <c r="BA907" s="115"/>
      <c r="BB907" s="25">
        <v>45680</v>
      </c>
      <c r="BC907" s="15" t="s">
        <v>146</v>
      </c>
      <c r="BH907" s="116"/>
      <c r="BI907" s="123"/>
      <c r="BJ907" s="123"/>
      <c r="BK907" s="123"/>
      <c r="BP907" s="115"/>
      <c r="BQ907" s="115"/>
      <c r="BR907" s="115"/>
      <c r="BS907" s="115"/>
      <c r="BT907" s="115"/>
      <c r="BU907" s="115"/>
      <c r="BV907" s="115"/>
      <c r="BW907" s="115"/>
      <c r="BX907" s="115"/>
      <c r="BY907" s="115"/>
      <c r="BZ907" s="25"/>
      <c r="CA907" s="13"/>
      <c r="CD907" s="114"/>
    </row>
    <row r="908" spans="1:82" ht="19.5" x14ac:dyDescent="0.4">
      <c r="A908" s="117"/>
      <c r="B908" s="123"/>
      <c r="C908" s="123"/>
      <c r="D908" s="123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27"/>
      <c r="AR908" s="29"/>
      <c r="AS908" s="115"/>
      <c r="AT908" s="115"/>
      <c r="AU908" s="115"/>
      <c r="AV908" s="115"/>
      <c r="AW908" s="115"/>
      <c r="AX908" s="115"/>
      <c r="AY908" s="115"/>
      <c r="AZ908" s="115"/>
      <c r="BA908" s="115"/>
      <c r="BB908" s="25"/>
      <c r="BC908" s="15"/>
      <c r="BH908" s="116"/>
      <c r="BI908" s="123"/>
      <c r="BJ908" s="123"/>
      <c r="BK908" s="123"/>
      <c r="BP908" s="115"/>
      <c r="BQ908" s="115"/>
      <c r="BR908" s="115"/>
      <c r="BS908" s="115"/>
      <c r="BT908" s="115"/>
      <c r="BU908" s="115"/>
      <c r="BV908" s="115"/>
      <c r="BW908" s="115"/>
      <c r="BX908" s="115"/>
      <c r="BY908" s="115"/>
      <c r="BZ908" s="25"/>
      <c r="CA908" s="13"/>
      <c r="CD908" s="114"/>
    </row>
    <row r="909" spans="1:82" ht="19.5" x14ac:dyDescent="0.4">
      <c r="A909" s="117"/>
      <c r="B909" s="123"/>
      <c r="C909" s="123"/>
      <c r="D909" s="123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27"/>
      <c r="AR909" s="29"/>
      <c r="AS909" s="115"/>
      <c r="AT909" s="115"/>
      <c r="AU909" s="115"/>
      <c r="AV909" s="115"/>
      <c r="AW909" s="115"/>
      <c r="AX909" s="115"/>
      <c r="AY909" s="115"/>
      <c r="AZ909" s="115"/>
      <c r="BA909" s="115"/>
      <c r="BB909" s="25">
        <v>45680</v>
      </c>
      <c r="BC909" s="15" t="s">
        <v>146</v>
      </c>
      <c r="BH909" s="116"/>
      <c r="BI909" s="123"/>
      <c r="BJ909" s="123"/>
      <c r="BK909" s="123"/>
      <c r="BP909" s="115"/>
      <c r="BQ909" s="115"/>
      <c r="BR909" s="115"/>
      <c r="BS909" s="115"/>
      <c r="BT909" s="115"/>
      <c r="BU909" s="115"/>
      <c r="BV909" s="115"/>
      <c r="BW909" s="115"/>
      <c r="BX909" s="115"/>
      <c r="BY909" s="115"/>
      <c r="BZ909" s="25"/>
      <c r="CA909" s="13"/>
      <c r="CD909" s="114"/>
    </row>
    <row r="910" spans="1:82" ht="19.5" x14ac:dyDescent="0.4">
      <c r="A910" s="117"/>
      <c r="B910" s="123"/>
      <c r="C910" s="123"/>
      <c r="D910" s="123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27"/>
      <c r="AR910" s="29"/>
      <c r="AS910" s="115"/>
      <c r="AT910" s="115"/>
      <c r="AU910" s="115"/>
      <c r="AV910" s="115"/>
      <c r="AW910" s="115"/>
      <c r="AX910" s="115"/>
      <c r="AY910" s="115"/>
      <c r="AZ910" s="115"/>
      <c r="BA910" s="115"/>
      <c r="BB910" s="25"/>
      <c r="BC910" s="15"/>
      <c r="BH910" s="116"/>
      <c r="BI910" s="123"/>
      <c r="BJ910" s="123"/>
      <c r="BK910" s="123"/>
      <c r="BP910" s="115"/>
      <c r="BQ910" s="115"/>
      <c r="BR910" s="115"/>
      <c r="BS910" s="115"/>
      <c r="BT910" s="115"/>
      <c r="BU910" s="115"/>
      <c r="BV910" s="115"/>
      <c r="BW910" s="115"/>
      <c r="BX910" s="115"/>
      <c r="BY910" s="115"/>
      <c r="BZ910" s="25"/>
      <c r="CA910" s="13"/>
      <c r="CD910" s="114"/>
    </row>
    <row r="911" spans="1:82" ht="19.5" x14ac:dyDescent="0.4">
      <c r="A911" s="117"/>
      <c r="B911" s="123"/>
      <c r="C911" s="123"/>
      <c r="D911" s="123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27"/>
      <c r="AR911" s="29"/>
      <c r="AS911" s="115"/>
      <c r="AT911" s="115"/>
      <c r="AU911" s="115"/>
      <c r="AV911" s="115"/>
      <c r="AW911" s="115"/>
      <c r="AX911" s="115"/>
      <c r="AY911" s="115"/>
      <c r="AZ911" s="115"/>
      <c r="BA911" s="115"/>
      <c r="BB911" s="25"/>
      <c r="BC911" s="15"/>
      <c r="BH911" s="116"/>
      <c r="BI911" s="123"/>
      <c r="BJ911" s="123"/>
      <c r="BK911" s="123"/>
      <c r="BP911" s="115"/>
      <c r="BQ911" s="115"/>
      <c r="BR911" s="115"/>
      <c r="BS911" s="115"/>
      <c r="BT911" s="115"/>
      <c r="BU911" s="115"/>
      <c r="BV911" s="115"/>
      <c r="BW911" s="115"/>
      <c r="BX911" s="115"/>
      <c r="BY911" s="115"/>
      <c r="BZ911" s="25"/>
      <c r="CA911" s="13"/>
      <c r="CD911" s="114"/>
    </row>
    <row r="912" spans="1:82" ht="19.5" x14ac:dyDescent="0.4">
      <c r="A912" s="117"/>
      <c r="B912" s="123"/>
      <c r="C912" s="123"/>
      <c r="D912" s="123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27"/>
      <c r="AR912" s="29"/>
      <c r="AS912" s="115"/>
      <c r="AT912" s="115"/>
      <c r="AU912" s="115"/>
      <c r="AV912" s="115"/>
      <c r="AW912" s="115"/>
      <c r="AX912" s="115"/>
      <c r="AY912" s="115"/>
      <c r="AZ912" s="115"/>
      <c r="BA912" s="115"/>
      <c r="BB912" s="25"/>
      <c r="BC912" s="15"/>
      <c r="BH912" s="116"/>
      <c r="BI912" s="123"/>
      <c r="BJ912" s="123"/>
      <c r="BK912" s="123"/>
      <c r="BP912" s="115"/>
      <c r="BQ912" s="115"/>
      <c r="BR912" s="115"/>
      <c r="BS912" s="115"/>
      <c r="BT912" s="115"/>
      <c r="BU912" s="115"/>
      <c r="BV912" s="115"/>
      <c r="BW912" s="115"/>
      <c r="BX912" s="115"/>
      <c r="BY912" s="115"/>
      <c r="BZ912" s="25"/>
      <c r="CA912" s="13"/>
      <c r="CD912" s="114"/>
    </row>
    <row r="913" spans="1:82" ht="19.5" x14ac:dyDescent="0.4">
      <c r="A913" s="117"/>
      <c r="B913" s="123"/>
      <c r="C913" s="123"/>
      <c r="D913" s="123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27"/>
      <c r="AR913" s="29"/>
      <c r="AS913" s="115"/>
      <c r="AT913" s="115"/>
      <c r="AU913" s="115"/>
      <c r="AV913" s="115"/>
      <c r="AW913" s="115"/>
      <c r="AX913" s="115"/>
      <c r="AY913" s="115"/>
      <c r="AZ913" s="115"/>
      <c r="BA913" s="115"/>
      <c r="BB913" s="25">
        <v>45680</v>
      </c>
      <c r="BC913" s="15" t="s">
        <v>146</v>
      </c>
      <c r="BH913" s="116"/>
      <c r="BI913" s="123"/>
      <c r="BJ913" s="123"/>
      <c r="BK913" s="123"/>
      <c r="BP913" s="115"/>
      <c r="BQ913" s="115"/>
      <c r="BR913" s="115"/>
      <c r="BS913" s="115"/>
      <c r="BT913" s="115"/>
      <c r="BU913" s="115"/>
      <c r="BV913" s="115"/>
      <c r="BW913" s="115"/>
      <c r="BX913" s="115"/>
      <c r="BY913" s="115"/>
      <c r="BZ913" s="25"/>
      <c r="CA913" s="13"/>
      <c r="CD913" s="114"/>
    </row>
    <row r="914" spans="1:82" ht="19.5" x14ac:dyDescent="0.4">
      <c r="A914" s="117"/>
      <c r="B914" s="123"/>
      <c r="C914" s="123"/>
      <c r="D914" s="123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27"/>
      <c r="AR914" s="29"/>
      <c r="AS914" s="115"/>
      <c r="AT914" s="115"/>
      <c r="AU914" s="115"/>
      <c r="AV914" s="115"/>
      <c r="AW914" s="115"/>
      <c r="AX914" s="115"/>
      <c r="AY914" s="115"/>
      <c r="AZ914" s="115"/>
      <c r="BA914" s="115"/>
      <c r="BB914" s="25"/>
      <c r="BC914" s="15"/>
      <c r="BH914" s="116"/>
      <c r="BI914" s="123"/>
      <c r="BJ914" s="123"/>
      <c r="BK914" s="123"/>
      <c r="BP914" s="115"/>
      <c r="BQ914" s="115"/>
      <c r="BR914" s="115"/>
      <c r="BS914" s="115"/>
      <c r="BT914" s="115"/>
      <c r="BU914" s="115"/>
      <c r="BV914" s="115"/>
      <c r="BW914" s="115"/>
      <c r="BX914" s="115"/>
      <c r="BY914" s="115"/>
      <c r="BZ914" s="25"/>
      <c r="CA914" s="13"/>
      <c r="CD914" s="114"/>
    </row>
    <row r="915" spans="1:82" ht="19.5" x14ac:dyDescent="0.4">
      <c r="A915" s="117"/>
      <c r="B915" s="123"/>
      <c r="C915" s="123"/>
      <c r="D915" s="123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29"/>
      <c r="AR915" s="29"/>
      <c r="AS915" s="115"/>
      <c r="AT915" s="115"/>
      <c r="AU915" s="115"/>
      <c r="AV915" s="115"/>
      <c r="AW915" s="115"/>
      <c r="AX915" s="115"/>
      <c r="AY915" s="115"/>
      <c r="AZ915" s="115"/>
      <c r="BA915" s="115"/>
      <c r="BB915" s="25"/>
      <c r="BC915" s="15"/>
      <c r="BH915" s="116"/>
      <c r="BI915" s="123"/>
      <c r="BJ915" s="123"/>
      <c r="BK915" s="123"/>
      <c r="BP915" s="115"/>
      <c r="BQ915" s="115"/>
      <c r="BR915" s="115"/>
      <c r="BS915" s="115"/>
      <c r="BT915" s="115"/>
      <c r="BU915" s="115"/>
      <c r="BV915" s="115"/>
      <c r="BW915" s="115"/>
      <c r="BX915" s="115"/>
      <c r="BY915" s="115"/>
      <c r="BZ915" s="25"/>
      <c r="CA915" s="13"/>
      <c r="CD915" s="114"/>
    </row>
    <row r="916" spans="1:82" ht="19.5" x14ac:dyDescent="0.4">
      <c r="A916" s="117"/>
      <c r="B916" s="123"/>
      <c r="C916" s="123"/>
      <c r="D916" s="123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127"/>
      <c r="AR916" s="29"/>
      <c r="AS916" s="115"/>
      <c r="AT916" s="115"/>
      <c r="AU916" s="115"/>
      <c r="AV916" s="115"/>
      <c r="AW916" s="115"/>
      <c r="AX916" s="115"/>
      <c r="AY916" s="115"/>
      <c r="AZ916" s="115"/>
      <c r="BA916" s="115"/>
      <c r="BB916" s="25">
        <v>45680</v>
      </c>
      <c r="BC916" s="15" t="s">
        <v>147</v>
      </c>
      <c r="BH916" s="116"/>
      <c r="BI916" s="123"/>
      <c r="BJ916" s="123"/>
      <c r="BK916" s="123"/>
      <c r="BP916" s="115"/>
      <c r="BQ916" s="115"/>
      <c r="BR916" s="115"/>
      <c r="BS916" s="115"/>
      <c r="BT916" s="115"/>
      <c r="BU916" s="115"/>
      <c r="BV916" s="115"/>
      <c r="BW916" s="115"/>
      <c r="BX916" s="115"/>
      <c r="BY916" s="115"/>
      <c r="BZ916" s="25"/>
      <c r="CA916" s="13"/>
      <c r="CD916" s="114"/>
    </row>
    <row r="917" spans="1:82" ht="19.5" x14ac:dyDescent="0.4">
      <c r="A917" s="117"/>
      <c r="B917" s="123"/>
      <c r="C917" s="123"/>
      <c r="D917" s="123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29"/>
      <c r="AR917" s="29"/>
      <c r="AS917" s="115"/>
      <c r="AT917" s="115"/>
      <c r="AU917" s="115"/>
      <c r="AV917" s="115"/>
      <c r="AW917" s="115"/>
      <c r="AX917" s="115"/>
      <c r="AY917" s="115"/>
      <c r="AZ917" s="115"/>
      <c r="BA917" s="115"/>
      <c r="BB917" s="25"/>
      <c r="BC917" s="13"/>
      <c r="BH917" s="116"/>
      <c r="BI917" s="123"/>
      <c r="BJ917" s="123"/>
      <c r="BK917" s="123"/>
      <c r="BP917" s="115"/>
      <c r="BQ917" s="115"/>
      <c r="BR917" s="115"/>
      <c r="BS917" s="115"/>
      <c r="BT917" s="115"/>
      <c r="BU917" s="115"/>
      <c r="BV917" s="115"/>
      <c r="BW917" s="115"/>
      <c r="BX917" s="115"/>
      <c r="BY917" s="115"/>
      <c r="BZ917" s="25"/>
      <c r="CA917" s="13"/>
      <c r="CD917" s="114"/>
    </row>
    <row r="918" spans="1:82" ht="19.5" x14ac:dyDescent="0.4">
      <c r="A918" s="117"/>
      <c r="B918" s="123"/>
      <c r="C918" s="123"/>
      <c r="D918" s="123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127"/>
      <c r="AR918" s="29"/>
      <c r="AS918" s="115"/>
      <c r="AT918" s="115"/>
      <c r="AU918" s="115"/>
      <c r="AV918" s="115"/>
      <c r="AW918" s="115"/>
      <c r="AX918" s="115"/>
      <c r="AY918" s="115"/>
      <c r="AZ918" s="115"/>
      <c r="BA918" s="115"/>
      <c r="BB918" s="25"/>
      <c r="BC918" s="13"/>
      <c r="BH918" s="116"/>
      <c r="BI918" s="123"/>
      <c r="BJ918" s="123"/>
      <c r="BK918" s="123"/>
      <c r="BP918" s="115"/>
      <c r="BQ918" s="115"/>
      <c r="BR918" s="115"/>
      <c r="BS918" s="115"/>
      <c r="BT918" s="115"/>
      <c r="BU918" s="115"/>
      <c r="BV918" s="115"/>
      <c r="BW918" s="115"/>
      <c r="BX918" s="115"/>
      <c r="BY918" s="115"/>
      <c r="BZ918" s="25"/>
      <c r="CA918" s="13"/>
      <c r="CD918" s="114"/>
    </row>
    <row r="919" spans="1:82" ht="19.5" x14ac:dyDescent="0.4">
      <c r="A919" s="117"/>
      <c r="B919" s="123"/>
      <c r="C919" s="123"/>
      <c r="D919" s="123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27"/>
      <c r="AR919" s="29"/>
      <c r="AS919" s="115"/>
      <c r="AT919" s="115"/>
      <c r="AU919" s="115"/>
      <c r="AV919" s="115"/>
      <c r="AW919" s="115"/>
      <c r="AX919" s="115"/>
      <c r="AY919" s="115"/>
      <c r="AZ919" s="115"/>
      <c r="BA919" s="115"/>
      <c r="BB919" s="25"/>
      <c r="BC919" s="13"/>
      <c r="BH919" s="116"/>
      <c r="BI919" s="123"/>
      <c r="BJ919" s="123"/>
      <c r="BK919" s="123"/>
      <c r="BP919" s="115"/>
      <c r="BQ919" s="115"/>
      <c r="BR919" s="115"/>
      <c r="BS919" s="115"/>
      <c r="BT919" s="115"/>
      <c r="BU919" s="115"/>
      <c r="BV919" s="115"/>
      <c r="BW919" s="115"/>
      <c r="BX919" s="115"/>
      <c r="BY919" s="115"/>
      <c r="BZ919" s="25"/>
      <c r="CA919" s="13"/>
      <c r="CD919" s="114"/>
    </row>
    <row r="920" spans="1:82" ht="19.5" x14ac:dyDescent="0.4">
      <c r="A920" s="117"/>
      <c r="B920" s="123"/>
      <c r="C920" s="123"/>
      <c r="D920" s="123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29"/>
      <c r="AR920" s="29"/>
      <c r="AS920" s="115"/>
      <c r="AT920" s="115"/>
      <c r="AU920" s="115"/>
      <c r="AV920" s="115"/>
      <c r="AW920" s="115"/>
      <c r="AX920" s="115"/>
      <c r="AY920" s="115"/>
      <c r="AZ920" s="115"/>
      <c r="BA920" s="115"/>
      <c r="BB920" s="25"/>
      <c r="BC920" s="13"/>
      <c r="BH920" s="116"/>
      <c r="BI920" s="123"/>
      <c r="BJ920" s="123"/>
      <c r="BK920" s="123"/>
      <c r="BP920" s="115"/>
      <c r="BQ920" s="115"/>
      <c r="BR920" s="115"/>
      <c r="BS920" s="115"/>
      <c r="BT920" s="115"/>
      <c r="BU920" s="115"/>
      <c r="BV920" s="115"/>
      <c r="BW920" s="115"/>
      <c r="BX920" s="115"/>
      <c r="BY920" s="115"/>
      <c r="BZ920" s="25"/>
      <c r="CA920" s="13"/>
      <c r="CD920" s="114"/>
    </row>
    <row r="921" spans="1:82" ht="19.5" x14ac:dyDescent="0.4">
      <c r="A921" s="117"/>
      <c r="B921" s="123"/>
      <c r="C921" s="123"/>
      <c r="D921" s="123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29"/>
      <c r="AR921" s="29"/>
      <c r="AS921" s="115"/>
      <c r="AT921" s="115"/>
      <c r="AU921" s="115"/>
      <c r="AV921" s="115"/>
      <c r="AW921" s="115"/>
      <c r="AX921" s="115"/>
      <c r="AY921" s="115"/>
      <c r="AZ921" s="115"/>
      <c r="BA921" s="115"/>
      <c r="BB921" s="25"/>
      <c r="BC921" s="13"/>
      <c r="BH921" s="116"/>
      <c r="BI921" s="123"/>
      <c r="BJ921" s="123"/>
      <c r="BK921" s="123"/>
      <c r="BP921" s="115"/>
      <c r="BQ921" s="115"/>
      <c r="BR921" s="115"/>
      <c r="BS921" s="115"/>
      <c r="BT921" s="115"/>
      <c r="BU921" s="115"/>
      <c r="BV921" s="115"/>
      <c r="BW921" s="115"/>
      <c r="BX921" s="115"/>
      <c r="BY921" s="115"/>
      <c r="BZ921" s="25"/>
      <c r="CA921" s="13"/>
      <c r="CD921" s="114"/>
    </row>
    <row r="922" spans="1:82" ht="19.5" x14ac:dyDescent="0.4">
      <c r="A922" s="117"/>
      <c r="B922" s="123"/>
      <c r="C922" s="123"/>
      <c r="D922" s="123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27"/>
      <c r="AR922" s="29"/>
      <c r="AS922" s="115"/>
      <c r="AT922" s="115"/>
      <c r="AU922" s="115"/>
      <c r="AV922" s="115"/>
      <c r="AW922" s="115"/>
      <c r="AX922" s="115"/>
      <c r="AY922" s="115"/>
      <c r="AZ922" s="115"/>
      <c r="BA922" s="115"/>
      <c r="BB922" s="25"/>
      <c r="BC922" s="13"/>
      <c r="BH922" s="116"/>
      <c r="BI922" s="123"/>
      <c r="BJ922" s="123"/>
      <c r="BK922" s="123"/>
      <c r="BP922" s="115"/>
      <c r="BQ922" s="115"/>
      <c r="BR922" s="115"/>
      <c r="BS922" s="115"/>
      <c r="BT922" s="115"/>
      <c r="BU922" s="115"/>
      <c r="BV922" s="115"/>
      <c r="BW922" s="115"/>
      <c r="BX922" s="115"/>
      <c r="BY922" s="115"/>
      <c r="BZ922" s="25"/>
      <c r="CA922" s="13"/>
      <c r="CD922" s="114"/>
    </row>
    <row r="923" spans="1:82" ht="19.5" x14ac:dyDescent="0.4">
      <c r="A923" s="117"/>
      <c r="B923" s="123"/>
      <c r="C923" s="123"/>
      <c r="D923" s="123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27"/>
      <c r="AR923" s="29"/>
      <c r="AS923" s="115"/>
      <c r="AT923" s="115"/>
      <c r="AU923" s="115"/>
      <c r="AV923" s="115"/>
      <c r="AW923" s="115"/>
      <c r="AX923" s="115"/>
      <c r="AY923" s="115"/>
      <c r="AZ923" s="115"/>
      <c r="BA923" s="115"/>
      <c r="BB923" s="25"/>
      <c r="BC923" s="13"/>
      <c r="BH923" s="116"/>
      <c r="BI923" s="123"/>
      <c r="BJ923" s="123"/>
      <c r="BK923" s="123"/>
      <c r="BP923" s="115"/>
      <c r="BQ923" s="115"/>
      <c r="BR923" s="115"/>
      <c r="BS923" s="115"/>
      <c r="BT923" s="115"/>
      <c r="BU923" s="115"/>
      <c r="BV923" s="115"/>
      <c r="BW923" s="115"/>
      <c r="BX923" s="115"/>
      <c r="BY923" s="115"/>
      <c r="BZ923" s="25"/>
      <c r="CA923" s="13"/>
      <c r="CD923" s="114"/>
    </row>
    <row r="924" spans="1:82" ht="19.5" x14ac:dyDescent="0.4">
      <c r="A924" s="117"/>
      <c r="B924" s="123"/>
      <c r="C924" s="123"/>
      <c r="D924" s="123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27"/>
      <c r="AR924" s="29"/>
      <c r="AS924" s="115"/>
      <c r="AT924" s="115"/>
      <c r="AU924" s="115"/>
      <c r="AV924" s="115"/>
      <c r="AW924" s="115"/>
      <c r="AX924" s="115"/>
      <c r="AY924" s="115"/>
      <c r="AZ924" s="115"/>
      <c r="BA924" s="115"/>
      <c r="BB924" s="25"/>
      <c r="BC924" s="13"/>
      <c r="BH924" s="116"/>
      <c r="BI924" s="123"/>
      <c r="BJ924" s="123"/>
      <c r="BK924" s="123"/>
      <c r="BP924" s="115"/>
      <c r="BQ924" s="115"/>
      <c r="BR924" s="115"/>
      <c r="BS924" s="115"/>
      <c r="BT924" s="115"/>
      <c r="BU924" s="115"/>
      <c r="BV924" s="115"/>
      <c r="BW924" s="115"/>
      <c r="BX924" s="115"/>
      <c r="BY924" s="115"/>
      <c r="BZ924" s="25"/>
      <c r="CA924" s="13"/>
      <c r="CD924" s="114"/>
    </row>
    <row r="925" spans="1:82" ht="19.5" x14ac:dyDescent="0.4">
      <c r="A925" s="117"/>
      <c r="B925" s="123"/>
      <c r="C925" s="123"/>
      <c r="D925" s="123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  <c r="AK925" s="115"/>
      <c r="AL925" s="115"/>
      <c r="AM925" s="115"/>
      <c r="AN925" s="115"/>
      <c r="AO925" s="115"/>
      <c r="AP925" s="115"/>
      <c r="AQ925" s="127"/>
      <c r="AR925" s="29"/>
      <c r="AS925" s="115"/>
      <c r="AT925" s="115"/>
      <c r="AU925" s="115"/>
      <c r="AV925" s="115"/>
      <c r="AW925" s="115"/>
      <c r="AX925" s="115"/>
      <c r="AY925" s="115"/>
      <c r="AZ925" s="115"/>
      <c r="BA925" s="115"/>
      <c r="BB925" s="25"/>
      <c r="BC925" s="13"/>
      <c r="BH925" s="116"/>
      <c r="BI925" s="123"/>
      <c r="BJ925" s="123"/>
      <c r="BK925" s="123"/>
      <c r="BP925" s="115"/>
      <c r="BQ925" s="115"/>
      <c r="BR925" s="115"/>
      <c r="BS925" s="115"/>
      <c r="BT925" s="115"/>
      <c r="BU925" s="115"/>
      <c r="BV925" s="115"/>
      <c r="BW925" s="115"/>
      <c r="BX925" s="115"/>
      <c r="BY925" s="115"/>
      <c r="BZ925" s="25"/>
      <c r="CA925" s="13"/>
      <c r="CD925" s="114"/>
    </row>
    <row r="926" spans="1:82" ht="19.5" x14ac:dyDescent="0.4">
      <c r="A926" s="117"/>
      <c r="B926" s="123"/>
      <c r="C926" s="123"/>
      <c r="D926" s="123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27"/>
      <c r="AR926" s="29"/>
      <c r="AS926" s="115"/>
      <c r="AT926" s="115"/>
      <c r="AU926" s="115"/>
      <c r="AV926" s="115"/>
      <c r="AW926" s="115"/>
      <c r="AX926" s="115"/>
      <c r="AY926" s="115"/>
      <c r="AZ926" s="115"/>
      <c r="BA926" s="115"/>
      <c r="BB926" s="25">
        <v>45680</v>
      </c>
      <c r="BC926" s="13" t="s">
        <v>146</v>
      </c>
      <c r="BH926" s="116"/>
      <c r="BI926" s="123"/>
      <c r="BJ926" s="123"/>
      <c r="BK926" s="123"/>
      <c r="BP926" s="115"/>
      <c r="BQ926" s="115"/>
      <c r="BR926" s="115"/>
      <c r="BS926" s="115"/>
      <c r="BT926" s="115"/>
      <c r="BU926" s="115"/>
      <c r="BV926" s="115"/>
      <c r="BW926" s="115"/>
      <c r="BX926" s="115"/>
      <c r="BY926" s="115"/>
      <c r="BZ926" s="25"/>
      <c r="CA926" s="13"/>
      <c r="CD926" s="114"/>
    </row>
    <row r="927" spans="1:82" ht="19.5" x14ac:dyDescent="0.4">
      <c r="A927" s="117"/>
      <c r="B927" s="123"/>
      <c r="C927" s="123"/>
      <c r="D927" s="123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115"/>
      <c r="AO927" s="115"/>
      <c r="AP927" s="115"/>
      <c r="AQ927" s="29"/>
      <c r="AR927" s="29"/>
      <c r="AS927" s="115"/>
      <c r="AT927" s="115"/>
      <c r="AU927" s="115"/>
      <c r="AV927" s="115"/>
      <c r="AW927" s="115"/>
      <c r="AX927" s="115"/>
      <c r="AY927" s="115"/>
      <c r="AZ927" s="115"/>
      <c r="BA927" s="115"/>
      <c r="BB927" s="25"/>
      <c r="BC927" s="13"/>
      <c r="BH927" s="116"/>
      <c r="BI927" s="123"/>
      <c r="BJ927" s="123"/>
      <c r="BK927" s="123"/>
      <c r="BP927" s="115"/>
      <c r="BQ927" s="115"/>
      <c r="BR927" s="115"/>
      <c r="BS927" s="115"/>
      <c r="BT927" s="115"/>
      <c r="BU927" s="115"/>
      <c r="BV927" s="115"/>
      <c r="BW927" s="115"/>
      <c r="BX927" s="115"/>
      <c r="BY927" s="115"/>
      <c r="BZ927" s="25"/>
      <c r="CA927" s="13"/>
      <c r="CD927" s="114"/>
    </row>
    <row r="928" spans="1:82" ht="19.5" x14ac:dyDescent="0.4">
      <c r="A928" s="117"/>
      <c r="B928" s="123"/>
      <c r="C928" s="123"/>
      <c r="D928" s="123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15"/>
      <c r="AQ928" s="127"/>
      <c r="AR928" s="29"/>
      <c r="AS928" s="115"/>
      <c r="AT928" s="115"/>
      <c r="AU928" s="115"/>
      <c r="AV928" s="115"/>
      <c r="AW928" s="115"/>
      <c r="AX928" s="115"/>
      <c r="AY928" s="115"/>
      <c r="AZ928" s="115"/>
      <c r="BA928" s="115"/>
      <c r="BB928" s="25">
        <v>45680</v>
      </c>
      <c r="BC928" s="13" t="s">
        <v>147</v>
      </c>
      <c r="BH928" s="116"/>
      <c r="BI928" s="123"/>
      <c r="BJ928" s="123"/>
      <c r="BK928" s="123"/>
      <c r="BP928" s="115"/>
      <c r="BQ928" s="115"/>
      <c r="BR928" s="115"/>
      <c r="BS928" s="115"/>
      <c r="BT928" s="115"/>
      <c r="BU928" s="115"/>
      <c r="BV928" s="115"/>
      <c r="BW928" s="115"/>
      <c r="BX928" s="115"/>
      <c r="BY928" s="115"/>
      <c r="BZ928" s="25"/>
      <c r="CA928" s="13"/>
      <c r="CD928" s="114"/>
    </row>
    <row r="929" spans="1:82" ht="19.5" x14ac:dyDescent="0.4">
      <c r="A929" s="117"/>
      <c r="B929" s="123"/>
      <c r="C929" s="123"/>
      <c r="D929" s="123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27"/>
      <c r="AR929" s="29"/>
      <c r="AS929" s="115"/>
      <c r="AT929" s="115"/>
      <c r="AU929" s="115"/>
      <c r="AV929" s="115"/>
      <c r="AW929" s="115"/>
      <c r="AX929" s="115"/>
      <c r="AY929" s="115"/>
      <c r="AZ929" s="115"/>
      <c r="BA929" s="115"/>
      <c r="BB929" s="25">
        <v>45680</v>
      </c>
      <c r="BC929" s="13" t="s">
        <v>146</v>
      </c>
      <c r="BH929" s="116"/>
      <c r="BI929" s="123"/>
      <c r="BJ929" s="123"/>
      <c r="BK929" s="123"/>
      <c r="BP929" s="115"/>
      <c r="BQ929" s="115"/>
      <c r="BR929" s="115"/>
      <c r="BS929" s="115"/>
      <c r="BT929" s="115"/>
      <c r="BU929" s="115"/>
      <c r="BV929" s="115"/>
      <c r="BW929" s="115"/>
      <c r="BX929" s="115"/>
      <c r="BY929" s="115"/>
      <c r="BZ929" s="25"/>
      <c r="CA929" s="13"/>
      <c r="CD929" s="114"/>
    </row>
    <row r="930" spans="1:82" ht="19.5" x14ac:dyDescent="0.4">
      <c r="A930" s="117"/>
      <c r="B930" s="123"/>
      <c r="C930" s="123"/>
      <c r="D930" s="123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29"/>
      <c r="AR930" s="29"/>
      <c r="AS930" s="115"/>
      <c r="AT930" s="115"/>
      <c r="AU930" s="115"/>
      <c r="AV930" s="115"/>
      <c r="AW930" s="115"/>
      <c r="AX930" s="115"/>
      <c r="AY930" s="115"/>
      <c r="AZ930" s="115"/>
      <c r="BA930" s="115"/>
      <c r="BB930" s="25"/>
      <c r="BC930" s="13"/>
      <c r="BH930" s="116"/>
      <c r="BI930" s="123"/>
      <c r="BJ930" s="123"/>
      <c r="BK930" s="123"/>
      <c r="BP930" s="115"/>
      <c r="BQ930" s="115"/>
      <c r="BR930" s="115"/>
      <c r="BS930" s="115"/>
      <c r="BT930" s="115"/>
      <c r="BU930" s="115"/>
      <c r="BV930" s="115"/>
      <c r="BW930" s="115"/>
      <c r="BX930" s="115"/>
      <c r="BY930" s="115"/>
      <c r="BZ930" s="25"/>
      <c r="CA930" s="13"/>
      <c r="CD930" s="114"/>
    </row>
    <row r="931" spans="1:82" ht="19.5" x14ac:dyDescent="0.4">
      <c r="A931" s="117"/>
      <c r="B931" s="123"/>
      <c r="C931" s="123"/>
      <c r="D931" s="123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27"/>
      <c r="AR931" s="29"/>
      <c r="AS931" s="115"/>
      <c r="AT931" s="115"/>
      <c r="AU931" s="115"/>
      <c r="AV931" s="115"/>
      <c r="AW931" s="115"/>
      <c r="AX931" s="115"/>
      <c r="AY931" s="115"/>
      <c r="AZ931" s="115"/>
      <c r="BA931" s="115"/>
      <c r="BB931" s="25"/>
      <c r="BC931" s="13"/>
      <c r="BH931" s="116"/>
      <c r="BI931" s="123"/>
      <c r="BJ931" s="123"/>
      <c r="BK931" s="123"/>
      <c r="BP931" s="115"/>
      <c r="BQ931" s="115"/>
      <c r="BR931" s="115"/>
      <c r="BS931" s="115"/>
      <c r="BT931" s="115"/>
      <c r="BU931" s="115"/>
      <c r="BV931" s="115"/>
      <c r="BW931" s="115"/>
      <c r="BX931" s="115"/>
      <c r="BY931" s="115"/>
      <c r="BZ931" s="25"/>
      <c r="CA931" s="13"/>
      <c r="CD931" s="114"/>
    </row>
    <row r="932" spans="1:82" ht="19.5" x14ac:dyDescent="0.4">
      <c r="A932" s="117"/>
      <c r="B932" s="123"/>
      <c r="C932" s="123"/>
      <c r="D932" s="123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29"/>
      <c r="AR932" s="29"/>
      <c r="AS932" s="115"/>
      <c r="AT932" s="115"/>
      <c r="AU932" s="115"/>
      <c r="AV932" s="115"/>
      <c r="AW932" s="115"/>
      <c r="AX932" s="115"/>
      <c r="AY932" s="115"/>
      <c r="AZ932" s="115"/>
      <c r="BA932" s="115"/>
      <c r="BB932" s="25"/>
      <c r="BC932" s="13"/>
      <c r="BH932" s="116"/>
      <c r="BI932" s="123"/>
      <c r="BJ932" s="123"/>
      <c r="BK932" s="123"/>
      <c r="BP932" s="115"/>
      <c r="BQ932" s="115"/>
      <c r="BR932" s="115"/>
      <c r="BS932" s="115"/>
      <c r="BT932" s="115"/>
      <c r="BU932" s="115"/>
      <c r="BV932" s="115"/>
      <c r="BW932" s="115"/>
      <c r="BX932" s="115"/>
      <c r="BY932" s="115"/>
      <c r="BZ932" s="25"/>
      <c r="CA932" s="13"/>
      <c r="CD932" s="114"/>
    </row>
    <row r="933" spans="1:82" ht="19.5" x14ac:dyDescent="0.4">
      <c r="A933" s="117"/>
      <c r="B933" s="123"/>
      <c r="C933" s="123"/>
      <c r="D933" s="123"/>
      <c r="AQ933" s="127"/>
      <c r="AR933" s="29"/>
      <c r="BB933" s="25">
        <v>45680</v>
      </c>
      <c r="BC933" s="13" t="s">
        <v>146</v>
      </c>
      <c r="BH933" s="117"/>
      <c r="BI933" s="123"/>
      <c r="BJ933" s="123"/>
      <c r="BK933" s="123"/>
      <c r="BP933" s="115"/>
      <c r="BQ933" s="115"/>
      <c r="BR933" s="115"/>
      <c r="BS933" s="115"/>
      <c r="BT933" s="115"/>
      <c r="BU933" s="115"/>
      <c r="BV933" s="115"/>
      <c r="BW933" s="115"/>
      <c r="BX933" s="115"/>
      <c r="BY933" s="115" t="s">
        <v>149</v>
      </c>
      <c r="BZ933" s="13">
        <f>SUBTOTAL(3,BZ2:BZ2)</f>
        <v>1</v>
      </c>
      <c r="CA933" s="13">
        <f>SUBTOTAL(3,CA2:CA2)</f>
        <v>1</v>
      </c>
      <c r="CD933" s="114"/>
    </row>
    <row r="934" spans="1:82" ht="19.5" x14ac:dyDescent="0.4">
      <c r="A934" s="117"/>
      <c r="B934" s="123"/>
      <c r="C934" s="123"/>
      <c r="D934" s="123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29"/>
      <c r="AR934" s="29"/>
      <c r="BB934" s="25"/>
      <c r="BC934" s="13"/>
      <c r="BH934" s="117"/>
      <c r="BI934" s="123"/>
      <c r="BJ934" s="123"/>
      <c r="BK934" s="123"/>
      <c r="BP934" s="115"/>
      <c r="BQ934" s="115"/>
      <c r="BR934" s="115"/>
      <c r="BS934" s="115"/>
      <c r="BT934" s="115"/>
      <c r="BU934" s="115"/>
      <c r="BV934" s="115"/>
      <c r="BW934" s="115"/>
      <c r="BX934" s="115"/>
      <c r="BY934" s="115"/>
      <c r="BZ934" s="13"/>
      <c r="CA934" s="13"/>
      <c r="CD934" s="114"/>
    </row>
    <row r="935" spans="1:82" ht="19.5" x14ac:dyDescent="0.4">
      <c r="A935" s="117"/>
      <c r="B935" s="123"/>
      <c r="C935" s="123"/>
      <c r="D935" s="123"/>
      <c r="AQ935" s="127"/>
      <c r="AR935" s="29"/>
      <c r="BB935" s="25"/>
      <c r="BC935" s="13"/>
      <c r="BH935" s="117"/>
      <c r="BI935" s="123"/>
      <c r="BJ935" s="123"/>
      <c r="BK935" s="123"/>
      <c r="BP935" s="115"/>
      <c r="BQ935" s="115"/>
      <c r="BR935" s="115"/>
      <c r="BS935" s="115"/>
      <c r="BT935" s="115"/>
      <c r="BU935" s="115"/>
      <c r="BV935" s="115"/>
      <c r="BW935" s="115"/>
      <c r="BX935" s="115"/>
      <c r="BY935" s="115"/>
      <c r="BZ935" s="13"/>
      <c r="CA935" s="13"/>
      <c r="CD935" s="114"/>
    </row>
    <row r="936" spans="1:82" ht="19.5" x14ac:dyDescent="0.4">
      <c r="A936" s="117"/>
      <c r="B936" s="123"/>
      <c r="C936" s="123"/>
      <c r="D936" s="123"/>
      <c r="AQ936" s="127"/>
      <c r="AR936" s="29"/>
      <c r="AS936" s="115"/>
      <c r="AT936" s="115"/>
      <c r="AU936" s="115"/>
      <c r="AV936" s="115"/>
      <c r="AW936" s="115"/>
      <c r="AX936" s="115"/>
      <c r="AY936" s="115"/>
      <c r="AZ936" s="115"/>
      <c r="BA936" s="115"/>
      <c r="BB936" s="25">
        <v>45682</v>
      </c>
      <c r="BC936" s="13" t="s">
        <v>147</v>
      </c>
      <c r="BH936" s="117"/>
      <c r="BI936" s="123"/>
      <c r="BJ936" s="123"/>
      <c r="BK936" s="123"/>
      <c r="BP936" s="115"/>
      <c r="BQ936" s="115"/>
      <c r="BR936" s="115"/>
      <c r="BS936" s="115"/>
      <c r="BT936" s="115"/>
      <c r="BU936" s="115"/>
      <c r="BV936" s="115"/>
      <c r="BW936" s="115"/>
      <c r="BX936" s="115"/>
      <c r="BY936" s="115"/>
      <c r="BZ936" s="13"/>
      <c r="CA936" s="13"/>
      <c r="CD936" s="114"/>
    </row>
    <row r="937" spans="1:82" ht="19.5" x14ac:dyDescent="0.4">
      <c r="A937" s="117"/>
      <c r="B937" s="123"/>
      <c r="C937" s="123"/>
      <c r="D937" s="123"/>
      <c r="AQ937" s="127"/>
      <c r="AR937" s="29"/>
      <c r="AS937" s="115"/>
      <c r="AT937" s="115"/>
      <c r="AU937" s="115"/>
      <c r="AV937" s="115"/>
      <c r="AW937" s="115"/>
      <c r="AX937" s="115"/>
      <c r="AY937" s="115"/>
      <c r="AZ937" s="115"/>
      <c r="BA937" s="115"/>
      <c r="BB937" s="25">
        <v>45682</v>
      </c>
      <c r="BC937" s="13" t="s">
        <v>146</v>
      </c>
      <c r="BH937" s="117"/>
      <c r="BI937" s="123"/>
      <c r="BJ937" s="123"/>
      <c r="BK937" s="123"/>
      <c r="BP937" s="115"/>
      <c r="BQ937" s="115"/>
      <c r="BR937" s="115"/>
      <c r="BS937" s="115"/>
      <c r="BT937" s="115"/>
      <c r="BU937" s="115"/>
      <c r="BV937" s="115"/>
      <c r="BW937" s="115"/>
      <c r="BX937" s="115"/>
      <c r="BY937" s="115"/>
      <c r="BZ937" s="13"/>
      <c r="CA937" s="13"/>
      <c r="CD937" s="114"/>
    </row>
    <row r="938" spans="1:82" ht="19.5" x14ac:dyDescent="0.4">
      <c r="A938" s="117"/>
      <c r="B938" s="123"/>
      <c r="C938" s="123"/>
      <c r="D938" s="123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27"/>
      <c r="AR938" s="29"/>
      <c r="AS938" s="115"/>
      <c r="AT938" s="115"/>
      <c r="AU938" s="115"/>
      <c r="AV938" s="115"/>
      <c r="AW938" s="115"/>
      <c r="AX938" s="115"/>
      <c r="AY938" s="115"/>
      <c r="AZ938" s="115"/>
      <c r="BA938" s="115"/>
      <c r="BB938" s="25"/>
      <c r="BC938" s="13"/>
      <c r="BH938" s="117"/>
      <c r="BI938" s="123"/>
      <c r="BJ938" s="123"/>
      <c r="BK938" s="123"/>
      <c r="BP938" s="115"/>
      <c r="BQ938" s="115"/>
      <c r="BR938" s="115"/>
      <c r="BS938" s="115"/>
      <c r="BT938" s="115"/>
      <c r="BU938" s="115"/>
      <c r="BV938" s="115"/>
      <c r="BW938" s="115"/>
      <c r="BX938" s="115"/>
      <c r="BY938" s="115"/>
      <c r="BZ938" s="13"/>
      <c r="CA938" s="13"/>
      <c r="CD938" s="114"/>
    </row>
    <row r="939" spans="1:82" ht="19.5" x14ac:dyDescent="0.4">
      <c r="A939" s="117"/>
      <c r="B939" s="123"/>
      <c r="C939" s="123"/>
      <c r="D939" s="123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27"/>
      <c r="AR939" s="29"/>
      <c r="AS939" s="115"/>
      <c r="AT939" s="115"/>
      <c r="AU939" s="115"/>
      <c r="AV939" s="115"/>
      <c r="AW939" s="115"/>
      <c r="AX939" s="115"/>
      <c r="AY939" s="115"/>
      <c r="AZ939" s="115"/>
      <c r="BA939" s="115"/>
      <c r="BB939" s="25"/>
      <c r="BC939" s="13"/>
      <c r="BH939" s="117"/>
      <c r="BI939" s="123"/>
      <c r="BJ939" s="123"/>
      <c r="BK939" s="123"/>
      <c r="BP939" s="115"/>
      <c r="BQ939" s="115"/>
      <c r="BR939" s="115"/>
      <c r="BS939" s="115"/>
      <c r="BT939" s="115"/>
      <c r="BU939" s="115"/>
      <c r="BV939" s="115"/>
      <c r="BW939" s="115"/>
      <c r="BX939" s="115"/>
      <c r="BY939" s="115"/>
      <c r="BZ939" s="13"/>
      <c r="CA939" s="13"/>
      <c r="CD939" s="114"/>
    </row>
    <row r="940" spans="1:82" ht="19.5" x14ac:dyDescent="0.4">
      <c r="A940" s="117"/>
      <c r="B940" s="123"/>
      <c r="C940" s="123"/>
      <c r="D940" s="123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29"/>
      <c r="AR940" s="29"/>
      <c r="AS940" s="115"/>
      <c r="AT940" s="115"/>
      <c r="AU940" s="115"/>
      <c r="AV940" s="115"/>
      <c r="AW940" s="115"/>
      <c r="AX940" s="115"/>
      <c r="AY940" s="115"/>
      <c r="AZ940" s="115"/>
      <c r="BA940" s="115"/>
      <c r="BB940" s="25"/>
      <c r="BC940" s="13"/>
      <c r="BH940" s="117"/>
      <c r="BI940" s="123"/>
      <c r="BJ940" s="123"/>
      <c r="BK940" s="123"/>
      <c r="BP940" s="115"/>
      <c r="BQ940" s="115"/>
      <c r="BR940" s="115"/>
      <c r="BS940" s="115"/>
      <c r="BT940" s="115"/>
      <c r="BU940" s="115"/>
      <c r="BV940" s="115"/>
      <c r="BW940" s="115"/>
      <c r="BX940" s="115"/>
      <c r="BY940" s="115"/>
      <c r="BZ940" s="13"/>
      <c r="CA940" s="13"/>
      <c r="CD940" s="114"/>
    </row>
    <row r="941" spans="1:82" ht="19.5" x14ac:dyDescent="0.4">
      <c r="A941" s="117"/>
      <c r="B941" s="123"/>
      <c r="C941" s="123"/>
      <c r="D941" s="123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27"/>
      <c r="AR941" s="29"/>
      <c r="AS941" s="115"/>
      <c r="AT941" s="115"/>
      <c r="AU941" s="115"/>
      <c r="AV941" s="115"/>
      <c r="AW941" s="115"/>
      <c r="AX941" s="115"/>
      <c r="AY941" s="115"/>
      <c r="AZ941" s="115"/>
      <c r="BA941" s="115"/>
      <c r="BB941" s="25"/>
      <c r="BC941" s="13"/>
      <c r="BH941" s="117"/>
      <c r="BI941" s="123"/>
      <c r="BJ941" s="123"/>
      <c r="BK941" s="123"/>
      <c r="BP941" s="115"/>
      <c r="BQ941" s="115"/>
      <c r="BR941" s="115"/>
      <c r="BS941" s="115"/>
      <c r="BT941" s="115"/>
      <c r="BU941" s="115"/>
      <c r="BV941" s="115"/>
      <c r="BW941" s="115"/>
      <c r="BX941" s="115"/>
      <c r="BY941" s="115"/>
      <c r="BZ941" s="13"/>
      <c r="CA941" s="13"/>
      <c r="CD941" s="114"/>
    </row>
    <row r="942" spans="1:82" ht="19.5" x14ac:dyDescent="0.4">
      <c r="A942" s="117"/>
      <c r="B942" s="123"/>
      <c r="C942" s="123"/>
      <c r="D942" s="123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29"/>
      <c r="AR942" s="29"/>
      <c r="AS942" s="115"/>
      <c r="AT942" s="115"/>
      <c r="AU942" s="115"/>
      <c r="AV942" s="115"/>
      <c r="AW942" s="115"/>
      <c r="AX942" s="115"/>
      <c r="AY942" s="115"/>
      <c r="AZ942" s="115"/>
      <c r="BA942" s="115"/>
      <c r="BB942" s="25"/>
      <c r="BC942" s="13"/>
      <c r="BH942" s="117"/>
      <c r="BI942" s="123"/>
      <c r="BJ942" s="123"/>
      <c r="BK942" s="123"/>
      <c r="BP942" s="115"/>
      <c r="BQ942" s="115"/>
      <c r="BR942" s="115"/>
      <c r="BS942" s="115"/>
      <c r="BT942" s="115"/>
      <c r="BU942" s="115"/>
      <c r="BV942" s="115"/>
      <c r="BW942" s="115"/>
      <c r="BX942" s="115"/>
      <c r="BY942" s="115"/>
      <c r="BZ942" s="13"/>
      <c r="CA942" s="13"/>
      <c r="CD942" s="114"/>
    </row>
    <row r="943" spans="1:82" ht="19.5" x14ac:dyDescent="0.4">
      <c r="A943" s="117"/>
      <c r="B943" s="123"/>
      <c r="C943" s="123"/>
      <c r="D943" s="123"/>
      <c r="AQ943" s="127"/>
      <c r="AR943" s="29"/>
      <c r="AS943" s="115"/>
      <c r="AT943" s="115"/>
      <c r="AU943" s="115"/>
      <c r="AV943" s="115"/>
      <c r="AW943" s="115"/>
      <c r="AX943" s="115"/>
      <c r="AY943" s="115"/>
      <c r="AZ943" s="115"/>
      <c r="BA943" s="115"/>
      <c r="BB943" s="25">
        <v>45682</v>
      </c>
      <c r="BC943" s="13" t="s">
        <v>147</v>
      </c>
      <c r="BH943" s="117"/>
      <c r="BI943" s="123"/>
      <c r="BJ943" s="123"/>
      <c r="BK943" s="123"/>
      <c r="BP943" s="115"/>
      <c r="BQ943" s="115"/>
      <c r="BR943" s="115"/>
      <c r="BS943" s="115"/>
      <c r="BT943" s="115"/>
      <c r="BU943" s="115"/>
      <c r="BV943" s="115"/>
      <c r="BW943" s="115"/>
      <c r="BX943" s="115"/>
      <c r="BY943" s="115"/>
      <c r="BZ943" s="13"/>
      <c r="CA943" s="13"/>
      <c r="CD943" s="114"/>
    </row>
    <row r="944" spans="1:82" ht="19.5" x14ac:dyDescent="0.4">
      <c r="A944" s="117"/>
      <c r="B944" s="123"/>
      <c r="C944" s="123"/>
      <c r="D944" s="123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29"/>
      <c r="AR944" s="29"/>
      <c r="AS944" s="115"/>
      <c r="AT944" s="115"/>
      <c r="AU944" s="115"/>
      <c r="AV944" s="115"/>
      <c r="AW944" s="115"/>
      <c r="AX944" s="115"/>
      <c r="AY944" s="115"/>
      <c r="AZ944" s="115"/>
      <c r="BA944" s="115"/>
      <c r="BB944" s="25"/>
      <c r="BC944" s="13"/>
      <c r="BH944" s="117"/>
      <c r="BI944" s="123"/>
      <c r="BJ944" s="123"/>
      <c r="BK944" s="123"/>
      <c r="BP944" s="115"/>
      <c r="BQ944" s="115"/>
      <c r="BR944" s="115"/>
      <c r="BS944" s="115"/>
      <c r="BT944" s="115"/>
      <c r="BU944" s="115"/>
      <c r="BV944" s="115"/>
      <c r="BW944" s="115"/>
      <c r="BX944" s="115"/>
      <c r="BY944" s="115"/>
      <c r="BZ944" s="13"/>
      <c r="CA944" s="13"/>
      <c r="CD944" s="114"/>
    </row>
    <row r="945" spans="1:82" ht="19.5" x14ac:dyDescent="0.4">
      <c r="A945" s="117"/>
      <c r="B945" s="123"/>
      <c r="C945" s="123"/>
      <c r="D945" s="123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29"/>
      <c r="AR945" s="29"/>
      <c r="AS945" s="115"/>
      <c r="AT945" s="115"/>
      <c r="AU945" s="115"/>
      <c r="AV945" s="115"/>
      <c r="AW945" s="115"/>
      <c r="AX945" s="115"/>
      <c r="AY945" s="115"/>
      <c r="AZ945" s="115"/>
      <c r="BA945" s="115"/>
      <c r="BB945" s="25"/>
      <c r="BC945" s="13"/>
      <c r="BH945" s="117"/>
      <c r="BI945" s="123"/>
      <c r="BJ945" s="123"/>
      <c r="BK945" s="123"/>
      <c r="BP945" s="115"/>
      <c r="BQ945" s="115"/>
      <c r="BR945" s="115"/>
      <c r="BS945" s="115"/>
      <c r="BT945" s="115"/>
      <c r="BU945" s="115"/>
      <c r="BV945" s="115"/>
      <c r="BW945" s="115"/>
      <c r="BX945" s="115"/>
      <c r="BY945" s="115"/>
      <c r="BZ945" s="13"/>
      <c r="CA945" s="13"/>
      <c r="CD945" s="114"/>
    </row>
    <row r="946" spans="1:82" ht="19.5" x14ac:dyDescent="0.4">
      <c r="A946" s="117"/>
      <c r="B946" s="123"/>
      <c r="C946" s="123"/>
      <c r="D946" s="123"/>
      <c r="AQ946" s="128"/>
      <c r="AR946" s="29"/>
      <c r="AS946" s="115"/>
      <c r="AT946" s="115"/>
      <c r="AU946" s="115"/>
      <c r="AV946" s="115"/>
      <c r="AW946" s="115"/>
      <c r="AX946" s="115"/>
      <c r="AY946" s="115"/>
      <c r="AZ946" s="115"/>
      <c r="BA946" s="115"/>
      <c r="BB946" s="25"/>
      <c r="BC946" s="13"/>
      <c r="BH946" s="117"/>
      <c r="BI946" s="123"/>
      <c r="BJ946" s="123"/>
      <c r="BK946" s="123"/>
      <c r="BP946" s="115"/>
      <c r="BQ946" s="115"/>
      <c r="BR946" s="115"/>
      <c r="BS946" s="115"/>
      <c r="BT946" s="115"/>
      <c r="BU946" s="115"/>
      <c r="BV946" s="115"/>
      <c r="BW946" s="115"/>
      <c r="BX946" s="115"/>
      <c r="BY946" s="115"/>
      <c r="BZ946" s="13"/>
      <c r="CA946" s="13"/>
      <c r="CD946" s="114"/>
    </row>
    <row r="947" spans="1:82" ht="19.5" x14ac:dyDescent="0.4">
      <c r="A947" s="117"/>
      <c r="B947" s="123"/>
      <c r="C947" s="123"/>
      <c r="D947" s="123"/>
      <c r="AQ947" s="127"/>
      <c r="AR947" s="29"/>
      <c r="AS947" s="115"/>
      <c r="AT947" s="115"/>
      <c r="AU947" s="115"/>
      <c r="AV947" s="115"/>
      <c r="AW947" s="115"/>
      <c r="AX947" s="115"/>
      <c r="AY947" s="115"/>
      <c r="AZ947" s="115"/>
      <c r="BA947" s="115"/>
      <c r="BB947" s="25"/>
      <c r="BC947" s="13"/>
      <c r="BH947" s="117"/>
      <c r="BI947" s="123"/>
      <c r="BJ947" s="123"/>
      <c r="BK947" s="123"/>
      <c r="BP947" s="115"/>
      <c r="BQ947" s="115"/>
      <c r="BR947" s="115"/>
      <c r="BS947" s="115"/>
      <c r="BT947" s="115"/>
      <c r="BU947" s="115"/>
      <c r="BV947" s="115"/>
      <c r="BW947" s="115"/>
      <c r="BX947" s="115"/>
      <c r="BY947" s="115"/>
      <c r="BZ947" s="13"/>
      <c r="CA947" s="13"/>
      <c r="CD947" s="114"/>
    </row>
    <row r="948" spans="1:82" ht="19.5" x14ac:dyDescent="0.4">
      <c r="A948" s="117"/>
      <c r="B948" s="123"/>
      <c r="C948" s="123"/>
      <c r="D948" s="123"/>
      <c r="AQ948" s="127"/>
      <c r="AR948" s="29"/>
      <c r="BB948" s="25">
        <v>45682</v>
      </c>
      <c r="BC948" s="15" t="s">
        <v>146</v>
      </c>
      <c r="BH948" s="117"/>
      <c r="BI948" s="123"/>
      <c r="BJ948" s="123"/>
      <c r="BK948" s="123"/>
      <c r="BP948" s="115"/>
      <c r="BQ948" s="115"/>
      <c r="BR948" s="115"/>
      <c r="BS948" s="115"/>
      <c r="BT948" s="115"/>
      <c r="BU948" s="115"/>
      <c r="BV948" s="115"/>
      <c r="BW948" s="115"/>
      <c r="BX948" s="115"/>
      <c r="BY948" s="115"/>
      <c r="BZ948" s="13"/>
      <c r="CA948" s="13"/>
      <c r="CD948" s="114"/>
    </row>
    <row r="949" spans="1:82" ht="19.5" x14ac:dyDescent="0.4">
      <c r="A949" s="117"/>
      <c r="B949" s="123"/>
      <c r="C949" s="123"/>
      <c r="D949" s="123"/>
      <c r="AQ949" s="128"/>
      <c r="AR949" s="29"/>
      <c r="BB949" s="25"/>
      <c r="BC949" s="15"/>
      <c r="BH949" s="117"/>
      <c r="BI949" s="123"/>
      <c r="BJ949" s="123"/>
      <c r="BK949" s="123"/>
      <c r="BP949" s="115"/>
      <c r="BQ949" s="115"/>
      <c r="BR949" s="115"/>
      <c r="BS949" s="115"/>
      <c r="BT949" s="115"/>
      <c r="BU949" s="115"/>
      <c r="BV949" s="115"/>
      <c r="BW949" s="115"/>
      <c r="BX949" s="115"/>
      <c r="BY949" s="115"/>
      <c r="BZ949" s="13"/>
      <c r="CA949" s="13"/>
      <c r="CD949" s="114"/>
    </row>
    <row r="950" spans="1:82" ht="19.5" x14ac:dyDescent="0.4">
      <c r="A950" s="117"/>
      <c r="B950" s="123"/>
      <c r="C950" s="123"/>
      <c r="D950" s="123"/>
      <c r="AQ950" s="127"/>
      <c r="AR950" s="29"/>
      <c r="BB950" s="25"/>
      <c r="BC950" s="15"/>
      <c r="BH950" s="117"/>
      <c r="BI950" s="123"/>
      <c r="BJ950" s="123"/>
      <c r="BK950" s="123"/>
      <c r="BP950" s="115"/>
      <c r="BQ950" s="115"/>
      <c r="BR950" s="115"/>
      <c r="BS950" s="115"/>
      <c r="BT950" s="115"/>
      <c r="BU950" s="115"/>
      <c r="BV950" s="115"/>
      <c r="BW950" s="115"/>
      <c r="BX950" s="115"/>
      <c r="BY950" s="115"/>
      <c r="BZ950" s="13"/>
      <c r="CA950" s="13"/>
      <c r="CD950" s="114"/>
    </row>
    <row r="951" spans="1:82" ht="19.5" x14ac:dyDescent="0.4">
      <c r="A951" s="117"/>
      <c r="B951" s="123"/>
      <c r="C951" s="123"/>
      <c r="D951" s="123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27"/>
      <c r="AR951" s="29"/>
      <c r="BB951" s="25"/>
      <c r="BC951" s="15"/>
      <c r="BH951" s="117"/>
      <c r="BI951" s="123"/>
      <c r="BJ951" s="123"/>
      <c r="BK951" s="123"/>
      <c r="BP951" s="115"/>
      <c r="BQ951" s="115"/>
      <c r="BR951" s="115"/>
      <c r="BS951" s="115"/>
      <c r="BT951" s="115"/>
      <c r="BU951" s="115"/>
      <c r="BV951" s="115"/>
      <c r="BW951" s="115"/>
      <c r="BX951" s="115"/>
      <c r="BY951" s="115"/>
      <c r="BZ951" s="13"/>
      <c r="CA951" s="13"/>
      <c r="CD951" s="114"/>
    </row>
    <row r="952" spans="1:82" ht="19.5" x14ac:dyDescent="0.4">
      <c r="A952" s="117"/>
      <c r="B952" s="123"/>
      <c r="C952" s="123"/>
      <c r="D952" s="123"/>
      <c r="AQ952" s="127"/>
      <c r="AR952" s="29"/>
      <c r="AS952" s="115"/>
      <c r="AT952" s="115"/>
      <c r="AU952" s="115"/>
      <c r="AV952" s="115"/>
      <c r="AW952" s="115"/>
      <c r="AX952" s="115"/>
      <c r="AY952" s="115"/>
      <c r="AZ952" s="115"/>
      <c r="BA952" s="115"/>
      <c r="BB952" s="25">
        <v>45682</v>
      </c>
      <c r="BC952" s="15" t="s">
        <v>146</v>
      </c>
      <c r="BH952" s="117"/>
      <c r="BI952" s="123"/>
      <c r="BJ952" s="123"/>
      <c r="BK952" s="123"/>
      <c r="BP952" s="115"/>
      <c r="BQ952" s="115"/>
      <c r="BR952" s="115"/>
      <c r="BS952" s="115"/>
      <c r="BT952" s="115"/>
      <c r="BU952" s="115"/>
      <c r="BV952" s="115"/>
      <c r="BW952" s="115"/>
      <c r="BX952" s="115"/>
      <c r="BY952" s="115"/>
      <c r="BZ952" s="13"/>
      <c r="CA952" s="13"/>
      <c r="CD952" s="114"/>
    </row>
    <row r="953" spans="1:82" ht="19.5" x14ac:dyDescent="0.4">
      <c r="A953" s="117"/>
      <c r="B953" s="123"/>
      <c r="C953" s="123"/>
      <c r="D953" s="123"/>
      <c r="AQ953" s="128"/>
      <c r="AR953" s="29"/>
      <c r="AS953" s="115"/>
      <c r="AT953" s="115"/>
      <c r="AU953" s="115"/>
      <c r="AV953" s="115"/>
      <c r="AW953" s="115"/>
      <c r="AX953" s="115"/>
      <c r="AY953" s="115"/>
      <c r="AZ953" s="115"/>
      <c r="BA953" s="115"/>
      <c r="BB953" s="25"/>
      <c r="BC953" s="15"/>
      <c r="BH953" s="117"/>
      <c r="BI953" s="123"/>
      <c r="BJ953" s="123"/>
      <c r="BK953" s="123"/>
      <c r="BP953" s="115"/>
      <c r="BQ953" s="115"/>
      <c r="BR953" s="115"/>
      <c r="BS953" s="115"/>
      <c r="BT953" s="115"/>
      <c r="BU953" s="115"/>
      <c r="BV953" s="115"/>
      <c r="BW953" s="115"/>
      <c r="BX953" s="115"/>
      <c r="BY953" s="115"/>
      <c r="BZ953" s="13"/>
      <c r="CA953" s="13"/>
      <c r="CD953" s="114"/>
    </row>
    <row r="954" spans="1:82" ht="19.5" x14ac:dyDescent="0.4">
      <c r="A954" s="117"/>
      <c r="B954" s="123"/>
      <c r="C954" s="123"/>
      <c r="D954" s="123"/>
      <c r="AQ954" s="127"/>
      <c r="AR954" s="29"/>
      <c r="AS954" s="115"/>
      <c r="AT954" s="115"/>
      <c r="AU954" s="115"/>
      <c r="AV954" s="115"/>
      <c r="AW954" s="115"/>
      <c r="AX954" s="115"/>
      <c r="AY954" s="115"/>
      <c r="AZ954" s="115"/>
      <c r="BA954" s="115"/>
      <c r="BB954" s="25">
        <v>45682</v>
      </c>
      <c r="BC954" s="15" t="s">
        <v>148</v>
      </c>
      <c r="BH954" s="117"/>
      <c r="BI954" s="123"/>
      <c r="BJ954" s="123"/>
      <c r="BK954" s="123"/>
      <c r="BP954" s="115"/>
      <c r="BQ954" s="115"/>
      <c r="BR954" s="115"/>
      <c r="BS954" s="115"/>
      <c r="BT954" s="115"/>
      <c r="BU954" s="115"/>
      <c r="BV954" s="115"/>
      <c r="BW954" s="115"/>
      <c r="BX954" s="115"/>
      <c r="BY954" s="115"/>
      <c r="BZ954" s="13"/>
      <c r="CA954" s="13"/>
      <c r="CD954" s="114"/>
    </row>
    <row r="955" spans="1:82" ht="19.5" x14ac:dyDescent="0.4">
      <c r="A955" s="117"/>
      <c r="B955" s="123"/>
      <c r="C955" s="123"/>
      <c r="D955" s="123"/>
      <c r="AQ955" s="127"/>
      <c r="AR955" s="29"/>
      <c r="AS955" s="115"/>
      <c r="AT955" s="115"/>
      <c r="AU955" s="115"/>
      <c r="AV955" s="115"/>
      <c r="AW955" s="115"/>
      <c r="AX955" s="115"/>
      <c r="AY955" s="115"/>
      <c r="AZ955" s="115"/>
      <c r="BA955" s="115"/>
      <c r="BB955" s="25">
        <v>45682</v>
      </c>
      <c r="BC955" s="15" t="s">
        <v>146</v>
      </c>
      <c r="BH955" s="117"/>
      <c r="BI955" s="123"/>
      <c r="BJ955" s="123"/>
      <c r="BK955" s="123"/>
      <c r="BP955" s="115"/>
      <c r="BQ955" s="115"/>
      <c r="BR955" s="115"/>
      <c r="BS955" s="115"/>
      <c r="BT955" s="115"/>
      <c r="BU955" s="115"/>
      <c r="BV955" s="115"/>
      <c r="BW955" s="115"/>
      <c r="BX955" s="115"/>
      <c r="BY955" s="115"/>
      <c r="BZ955" s="13"/>
      <c r="CA955" s="13"/>
      <c r="CD955" s="114"/>
    </row>
    <row r="956" spans="1:82" ht="19.5" x14ac:dyDescent="0.4">
      <c r="A956" s="117"/>
      <c r="B956" s="123"/>
      <c r="C956" s="123"/>
      <c r="D956" s="123"/>
      <c r="AQ956" s="127"/>
      <c r="AR956" s="29"/>
      <c r="AS956" s="115"/>
      <c r="AT956" s="115"/>
      <c r="AU956" s="115"/>
      <c r="AV956" s="115"/>
      <c r="AW956" s="115"/>
      <c r="AX956" s="115"/>
      <c r="AY956" s="115"/>
      <c r="AZ956" s="115"/>
      <c r="BA956" s="115"/>
      <c r="BB956" s="25">
        <v>45682</v>
      </c>
      <c r="BC956" s="15" t="s">
        <v>148</v>
      </c>
      <c r="BH956" s="117"/>
      <c r="BI956" s="123"/>
      <c r="BJ956" s="123"/>
      <c r="BK956" s="123"/>
      <c r="BP956" s="115"/>
      <c r="BQ956" s="115"/>
      <c r="BR956" s="115"/>
      <c r="BS956" s="115"/>
      <c r="BT956" s="115"/>
      <c r="BU956" s="115"/>
      <c r="BV956" s="115"/>
      <c r="BW956" s="115"/>
      <c r="BX956" s="115"/>
      <c r="BY956" s="115"/>
      <c r="BZ956" s="13"/>
      <c r="CA956" s="13"/>
      <c r="CD956" s="114"/>
    </row>
    <row r="957" spans="1:82" ht="19.5" x14ac:dyDescent="0.4">
      <c r="A957" s="117"/>
      <c r="B957" s="123"/>
      <c r="C957" s="123"/>
      <c r="D957" s="123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27"/>
      <c r="AR957" s="29"/>
      <c r="AS957" s="115"/>
      <c r="AT957" s="115"/>
      <c r="AU957" s="115"/>
      <c r="AV957" s="115"/>
      <c r="AW957" s="115"/>
      <c r="AX957" s="115"/>
      <c r="AY957" s="115"/>
      <c r="AZ957" s="115"/>
      <c r="BA957" s="115"/>
      <c r="BB957" s="25"/>
      <c r="BC957" s="15"/>
      <c r="BH957" s="117"/>
      <c r="BI957" s="123"/>
      <c r="BJ957" s="123"/>
      <c r="BK957" s="123"/>
      <c r="BP957" s="115"/>
      <c r="BQ957" s="115"/>
      <c r="BR957" s="115"/>
      <c r="BS957" s="115"/>
      <c r="BT957" s="115"/>
      <c r="BU957" s="115"/>
      <c r="BV957" s="115"/>
      <c r="BW957" s="115"/>
      <c r="BX957" s="115"/>
      <c r="BY957" s="115"/>
      <c r="BZ957" s="13"/>
      <c r="CA957" s="13"/>
      <c r="CD957" s="114"/>
    </row>
    <row r="958" spans="1:82" ht="19.5" x14ac:dyDescent="0.4">
      <c r="A958" s="117"/>
      <c r="B958" s="123"/>
      <c r="C958" s="123"/>
      <c r="D958" s="123"/>
      <c r="AQ958" s="127"/>
      <c r="AR958" s="29"/>
      <c r="AS958" s="115"/>
      <c r="AT958" s="115"/>
      <c r="AU958" s="115"/>
      <c r="AV958" s="115"/>
      <c r="AW958" s="115"/>
      <c r="AX958" s="115"/>
      <c r="AY958" s="115"/>
      <c r="AZ958" s="115"/>
      <c r="BA958" s="115"/>
      <c r="BB958" s="25">
        <v>45682</v>
      </c>
      <c r="BC958" s="15" t="s">
        <v>148</v>
      </c>
      <c r="BH958" s="117"/>
      <c r="BI958" s="123"/>
      <c r="BJ958" s="123"/>
      <c r="BK958" s="123"/>
      <c r="BP958" s="115"/>
      <c r="BQ958" s="115"/>
      <c r="BR958" s="115"/>
      <c r="BS958" s="115"/>
      <c r="BT958" s="115"/>
      <c r="BU958" s="115"/>
      <c r="BV958" s="115"/>
      <c r="BW958" s="115"/>
      <c r="BX958" s="115"/>
      <c r="BY958" s="115"/>
      <c r="BZ958" s="13"/>
      <c r="CA958" s="13"/>
      <c r="CD958" s="114"/>
    </row>
    <row r="959" spans="1:82" ht="19.5" x14ac:dyDescent="0.4">
      <c r="A959" s="117"/>
      <c r="B959" s="123"/>
      <c r="C959" s="123"/>
      <c r="D959" s="123"/>
      <c r="AQ959" s="127"/>
      <c r="AR959" s="29"/>
      <c r="AS959" s="115"/>
      <c r="AT959" s="115"/>
      <c r="AU959" s="115"/>
      <c r="AV959" s="115"/>
      <c r="AW959" s="115"/>
      <c r="AX959" s="115"/>
      <c r="AY959" s="115"/>
      <c r="AZ959" s="115"/>
      <c r="BA959" s="115"/>
      <c r="BB959" s="25">
        <v>45682</v>
      </c>
      <c r="BC959" s="105" t="s">
        <v>148</v>
      </c>
      <c r="BH959" s="117"/>
      <c r="BI959" s="123"/>
      <c r="BJ959" s="123"/>
      <c r="BK959" s="123"/>
      <c r="BP959" s="115"/>
      <c r="BQ959" s="115"/>
      <c r="BR959" s="115"/>
      <c r="BS959" s="115"/>
      <c r="BT959" s="115"/>
      <c r="BU959" s="115"/>
      <c r="BV959" s="115"/>
      <c r="BW959" s="115"/>
      <c r="BX959" s="115"/>
      <c r="BY959" s="115"/>
      <c r="BZ959" s="13"/>
      <c r="CA959" s="13"/>
      <c r="CD959" s="114"/>
    </row>
    <row r="960" spans="1:82" ht="19.5" x14ac:dyDescent="0.4">
      <c r="A960" s="117"/>
      <c r="B960" s="123"/>
      <c r="C960" s="123"/>
      <c r="D960" s="123"/>
      <c r="AQ960" s="127"/>
      <c r="AR960" s="29"/>
      <c r="AS960" s="115"/>
      <c r="AT960" s="115"/>
      <c r="AU960" s="115"/>
      <c r="AV960" s="115"/>
      <c r="AW960" s="115"/>
      <c r="AX960" s="115"/>
      <c r="AY960" s="115"/>
      <c r="AZ960" s="115"/>
      <c r="BA960" s="115"/>
      <c r="BB960" s="25">
        <v>45682</v>
      </c>
      <c r="BC960" s="105" t="s">
        <v>146</v>
      </c>
      <c r="BH960" s="117"/>
      <c r="BI960" s="123"/>
      <c r="BJ960" s="123"/>
      <c r="BK960" s="123"/>
      <c r="BP960" s="115"/>
      <c r="BQ960" s="115"/>
      <c r="BR960" s="115"/>
      <c r="BS960" s="115"/>
      <c r="BT960" s="115"/>
      <c r="BU960" s="115"/>
      <c r="BV960" s="115"/>
      <c r="BW960" s="115"/>
      <c r="BX960" s="115"/>
      <c r="BY960" s="115"/>
      <c r="BZ960" s="13"/>
      <c r="CA960" s="13"/>
      <c r="CD960" s="114"/>
    </row>
    <row r="961" spans="1:82" ht="19.5" x14ac:dyDescent="0.4">
      <c r="A961" s="117"/>
      <c r="B961" s="123"/>
      <c r="C961" s="123"/>
      <c r="D961" s="123"/>
      <c r="AQ961" s="128"/>
      <c r="AR961" s="29"/>
      <c r="AS961" s="115"/>
      <c r="AT961" s="115"/>
      <c r="AU961" s="115"/>
      <c r="AV961" s="115"/>
      <c r="AW961" s="115"/>
      <c r="AX961" s="115"/>
      <c r="AY961" s="115"/>
      <c r="AZ961" s="115"/>
      <c r="BA961" s="115"/>
      <c r="BB961" s="25"/>
      <c r="BC961" s="105"/>
      <c r="BH961" s="117"/>
      <c r="BI961" s="123"/>
      <c r="BJ961" s="123"/>
      <c r="BK961" s="123"/>
      <c r="BP961" s="115"/>
      <c r="BQ961" s="115"/>
      <c r="BR961" s="115"/>
      <c r="BS961" s="115"/>
      <c r="BT961" s="115"/>
      <c r="BU961" s="115"/>
      <c r="BV961" s="115"/>
      <c r="BW961" s="115"/>
      <c r="BX961" s="115"/>
      <c r="BY961" s="115"/>
      <c r="BZ961" s="13"/>
      <c r="CA961" s="13"/>
      <c r="CD961" s="114"/>
    </row>
    <row r="962" spans="1:82" ht="19.5" x14ac:dyDescent="0.4">
      <c r="A962" s="117"/>
      <c r="B962" s="123"/>
      <c r="C962" s="123"/>
      <c r="D962" s="123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27"/>
      <c r="AR962" s="29"/>
      <c r="AS962" s="115"/>
      <c r="AT962" s="115"/>
      <c r="AU962" s="115"/>
      <c r="AV962" s="115"/>
      <c r="AW962" s="115"/>
      <c r="AX962" s="115"/>
      <c r="AY962" s="115"/>
      <c r="AZ962" s="115"/>
      <c r="BA962" s="115"/>
      <c r="BB962" s="25">
        <v>45682</v>
      </c>
      <c r="BC962" s="15" t="s">
        <v>146</v>
      </c>
      <c r="BH962" s="117"/>
      <c r="BI962" s="123"/>
      <c r="BJ962" s="123"/>
      <c r="BK962" s="123"/>
      <c r="BP962" s="115"/>
      <c r="BQ962" s="115"/>
      <c r="BR962" s="115"/>
      <c r="BS962" s="115"/>
      <c r="BT962" s="115"/>
      <c r="BU962" s="115"/>
      <c r="BV962" s="115"/>
      <c r="BW962" s="115"/>
      <c r="BX962" s="115"/>
      <c r="BY962" s="115"/>
      <c r="BZ962" s="13"/>
      <c r="CA962" s="13"/>
      <c r="CD962" s="114"/>
    </row>
    <row r="963" spans="1:82" ht="19.5" x14ac:dyDescent="0.4">
      <c r="A963" s="117"/>
      <c r="B963" s="123"/>
      <c r="C963" s="123"/>
      <c r="D963" s="123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27"/>
      <c r="AR963" s="29"/>
      <c r="AS963" s="115"/>
      <c r="AT963" s="115"/>
      <c r="AU963" s="115"/>
      <c r="AV963" s="115"/>
      <c r="AW963" s="115"/>
      <c r="AX963" s="115"/>
      <c r="AY963" s="115"/>
      <c r="AZ963" s="115"/>
      <c r="BA963" s="115"/>
      <c r="BB963" s="25">
        <v>45683</v>
      </c>
      <c r="BC963" s="13" t="s">
        <v>147</v>
      </c>
      <c r="BH963" s="117"/>
      <c r="BI963" s="123"/>
      <c r="BJ963" s="123"/>
      <c r="BK963" s="123"/>
      <c r="BP963" s="115"/>
      <c r="BQ963" s="115"/>
      <c r="BR963" s="115"/>
      <c r="BS963" s="115"/>
      <c r="BT963" s="115"/>
      <c r="BU963" s="115"/>
      <c r="BV963" s="115"/>
      <c r="BW963" s="115"/>
      <c r="BX963" s="115"/>
      <c r="BY963" s="115"/>
      <c r="BZ963" s="13"/>
      <c r="CA963" s="13"/>
      <c r="CD963" s="114"/>
    </row>
    <row r="964" spans="1:82" ht="19.5" x14ac:dyDescent="0.4">
      <c r="A964" s="117"/>
      <c r="B964" s="123"/>
      <c r="C964" s="123"/>
      <c r="D964" s="123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127"/>
      <c r="AR964" s="29"/>
      <c r="AS964" s="115"/>
      <c r="AT964" s="115"/>
      <c r="AU964" s="115"/>
      <c r="AV964" s="115"/>
      <c r="AW964" s="115"/>
      <c r="AX964" s="115"/>
      <c r="AY964" s="115"/>
      <c r="AZ964" s="115"/>
      <c r="BA964" s="115"/>
      <c r="BB964" s="25">
        <v>45683</v>
      </c>
      <c r="BC964" s="13" t="s">
        <v>147</v>
      </c>
      <c r="BH964" s="117"/>
      <c r="BI964" s="123"/>
      <c r="BJ964" s="123"/>
      <c r="BK964" s="123"/>
      <c r="BP964" s="115"/>
      <c r="BQ964" s="115"/>
      <c r="BR964" s="115"/>
      <c r="BS964" s="115"/>
      <c r="BT964" s="115"/>
      <c r="BU964" s="115"/>
      <c r="BV964" s="115"/>
      <c r="BW964" s="115"/>
      <c r="BX964" s="115"/>
      <c r="BY964" s="115"/>
      <c r="BZ964" s="13"/>
      <c r="CA964" s="13"/>
      <c r="CD964" s="114"/>
    </row>
    <row r="965" spans="1:82" ht="19.5" x14ac:dyDescent="0.4">
      <c r="A965" s="117"/>
      <c r="B965" s="123"/>
      <c r="C965" s="123"/>
      <c r="D965" s="123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115"/>
      <c r="AQ965" s="127"/>
      <c r="AR965" s="29"/>
      <c r="AS965" s="115"/>
      <c r="AT965" s="115"/>
      <c r="AU965" s="115"/>
      <c r="AV965" s="115"/>
      <c r="AW965" s="115"/>
      <c r="AX965" s="115"/>
      <c r="AY965" s="115"/>
      <c r="AZ965" s="115"/>
      <c r="BA965" s="115"/>
      <c r="BB965" s="25"/>
      <c r="BC965" s="13"/>
      <c r="BH965" s="117"/>
      <c r="BI965" s="123"/>
      <c r="BJ965" s="123"/>
      <c r="BK965" s="123"/>
      <c r="BP965" s="115"/>
      <c r="BQ965" s="115"/>
      <c r="BR965" s="115"/>
      <c r="BS965" s="115"/>
      <c r="BT965" s="115"/>
      <c r="BU965" s="115"/>
      <c r="BV965" s="115"/>
      <c r="BW965" s="115"/>
      <c r="BX965" s="115"/>
      <c r="BY965" s="115"/>
      <c r="BZ965" s="13"/>
      <c r="CA965" s="13"/>
      <c r="CD965" s="114"/>
    </row>
    <row r="966" spans="1:82" ht="19.5" x14ac:dyDescent="0.4">
      <c r="A966" s="117"/>
      <c r="B966" s="123"/>
      <c r="C966" s="123"/>
      <c r="D966" s="123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27"/>
      <c r="AR966" s="29"/>
      <c r="AS966" s="115"/>
      <c r="AT966" s="115"/>
      <c r="AU966" s="115"/>
      <c r="AV966" s="115"/>
      <c r="AW966" s="115"/>
      <c r="AX966" s="115"/>
      <c r="AY966" s="115"/>
      <c r="AZ966" s="115"/>
      <c r="BA966" s="115"/>
      <c r="BB966" s="25">
        <v>45684</v>
      </c>
      <c r="BC966" s="13" t="s">
        <v>146</v>
      </c>
      <c r="BH966" s="117"/>
      <c r="BI966" s="123"/>
      <c r="BJ966" s="123"/>
      <c r="BK966" s="123"/>
      <c r="BP966" s="115"/>
      <c r="BQ966" s="115"/>
      <c r="BR966" s="115"/>
      <c r="BS966" s="115"/>
      <c r="BT966" s="115"/>
      <c r="BU966" s="115"/>
      <c r="BV966" s="115"/>
      <c r="BW966" s="115"/>
      <c r="BX966" s="115"/>
      <c r="BY966" s="115"/>
      <c r="BZ966" s="13"/>
      <c r="CA966" s="13"/>
      <c r="CD966" s="114"/>
    </row>
    <row r="967" spans="1:82" ht="19.5" x14ac:dyDescent="0.4">
      <c r="A967" s="117"/>
      <c r="B967" s="123"/>
      <c r="C967" s="123"/>
      <c r="D967" s="123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115"/>
      <c r="AQ967" s="127"/>
      <c r="AR967" s="29"/>
      <c r="AS967" s="115"/>
      <c r="AT967" s="115"/>
      <c r="AU967" s="115"/>
      <c r="AV967" s="115"/>
      <c r="AW967" s="115"/>
      <c r="AX967" s="115"/>
      <c r="AY967" s="115"/>
      <c r="AZ967" s="115"/>
      <c r="BA967" s="115"/>
      <c r="BB967" s="25"/>
      <c r="BC967" s="13"/>
      <c r="BH967" s="117"/>
      <c r="BI967" s="123"/>
      <c r="BJ967" s="123"/>
      <c r="BK967" s="123"/>
      <c r="BP967" s="115"/>
      <c r="BQ967" s="115"/>
      <c r="BR967" s="115"/>
      <c r="BS967" s="115"/>
      <c r="BT967" s="115"/>
      <c r="BU967" s="115"/>
      <c r="BV967" s="115"/>
      <c r="BW967" s="115"/>
      <c r="BX967" s="115"/>
      <c r="BY967" s="115"/>
      <c r="BZ967" s="13"/>
      <c r="CA967" s="13"/>
      <c r="CD967" s="114"/>
    </row>
    <row r="968" spans="1:82" ht="19.5" x14ac:dyDescent="0.4">
      <c r="A968" s="117"/>
      <c r="B968" s="123"/>
      <c r="C968" s="123"/>
      <c r="D968" s="123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28"/>
      <c r="AR968" s="29"/>
      <c r="AS968" s="115"/>
      <c r="AT968" s="115"/>
      <c r="AU968" s="115"/>
      <c r="AV968" s="115"/>
      <c r="AW968" s="115"/>
      <c r="AX968" s="115"/>
      <c r="AY968" s="115"/>
      <c r="AZ968" s="115"/>
      <c r="BA968" s="115"/>
      <c r="BB968" s="25"/>
      <c r="BC968" s="13"/>
      <c r="BH968" s="117"/>
      <c r="BI968" s="123"/>
      <c r="BJ968" s="123"/>
      <c r="BK968" s="123"/>
      <c r="BP968" s="115"/>
      <c r="BQ968" s="115"/>
      <c r="BR968" s="115"/>
      <c r="BS968" s="115"/>
      <c r="BT968" s="115"/>
      <c r="BU968" s="115"/>
      <c r="BV968" s="115"/>
      <c r="BW968" s="115"/>
      <c r="BX968" s="115"/>
      <c r="BY968" s="115"/>
      <c r="BZ968" s="13"/>
      <c r="CA968" s="13"/>
      <c r="CD968" s="114"/>
    </row>
    <row r="969" spans="1:82" ht="19.5" x14ac:dyDescent="0.4">
      <c r="A969" s="117"/>
      <c r="B969" s="123"/>
      <c r="C969" s="123"/>
      <c r="D969" s="123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27"/>
      <c r="AR969" s="29"/>
      <c r="AS969" s="115"/>
      <c r="AT969" s="115"/>
      <c r="AU969" s="115"/>
      <c r="AV969" s="115"/>
      <c r="AW969" s="115"/>
      <c r="AX969" s="115"/>
      <c r="AY969" s="115"/>
      <c r="AZ969" s="115"/>
      <c r="BA969" s="115"/>
      <c r="BB969" s="25">
        <v>45684</v>
      </c>
      <c r="BC969" s="13" t="s">
        <v>148</v>
      </c>
      <c r="BH969" s="117"/>
      <c r="BI969" s="123"/>
      <c r="BJ969" s="123"/>
      <c r="BK969" s="123"/>
      <c r="BP969" s="115"/>
      <c r="BQ969" s="115"/>
      <c r="BR969" s="115"/>
      <c r="BS969" s="115"/>
      <c r="BT969" s="115"/>
      <c r="BU969" s="115"/>
      <c r="BV969" s="115"/>
      <c r="BW969" s="115"/>
      <c r="BX969" s="115"/>
      <c r="BY969" s="115"/>
      <c r="BZ969" s="13"/>
      <c r="CA969" s="13"/>
      <c r="CD969" s="114"/>
    </row>
    <row r="970" spans="1:82" ht="19.5" x14ac:dyDescent="0.4">
      <c r="A970" s="117"/>
      <c r="B970" s="123"/>
      <c r="C970" s="123"/>
      <c r="D970" s="123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15"/>
      <c r="AQ970" s="127"/>
      <c r="AR970" s="29"/>
      <c r="AS970" s="115"/>
      <c r="AT970" s="115"/>
      <c r="AU970" s="115"/>
      <c r="AV970" s="115"/>
      <c r="AW970" s="115"/>
      <c r="AX970" s="115"/>
      <c r="AY970" s="115"/>
      <c r="AZ970" s="115"/>
      <c r="BA970" s="115"/>
      <c r="BB970" s="25"/>
      <c r="BC970" s="13"/>
      <c r="BH970" s="117"/>
      <c r="BI970" s="123"/>
      <c r="BJ970" s="123"/>
      <c r="BK970" s="123"/>
      <c r="BP970" s="115"/>
      <c r="BQ970" s="115"/>
      <c r="BR970" s="115"/>
      <c r="BS970" s="115"/>
      <c r="BT970" s="115"/>
      <c r="BU970" s="115"/>
      <c r="BV970" s="115"/>
      <c r="BW970" s="115"/>
      <c r="BX970" s="115"/>
      <c r="BY970" s="115"/>
      <c r="BZ970" s="13"/>
      <c r="CA970" s="13"/>
      <c r="CD970" s="114"/>
    </row>
    <row r="971" spans="1:82" ht="19.5" x14ac:dyDescent="0.4">
      <c r="A971" s="117"/>
      <c r="B971" s="123"/>
      <c r="C971" s="123"/>
      <c r="D971" s="123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27"/>
      <c r="AR971" s="29"/>
      <c r="AS971" s="115"/>
      <c r="AT971" s="115"/>
      <c r="AU971" s="115"/>
      <c r="AV971" s="115"/>
      <c r="AW971" s="115"/>
      <c r="AX971" s="115"/>
      <c r="AY971" s="115"/>
      <c r="AZ971" s="115"/>
      <c r="BA971" s="115"/>
      <c r="BB971" s="25"/>
      <c r="BC971" s="13"/>
      <c r="BH971" s="117"/>
      <c r="BI971" s="123"/>
      <c r="BJ971" s="123"/>
      <c r="BK971" s="123"/>
      <c r="BP971" s="115"/>
      <c r="BQ971" s="115"/>
      <c r="BR971" s="115"/>
      <c r="BS971" s="115"/>
      <c r="BT971" s="115"/>
      <c r="BU971" s="115"/>
      <c r="BV971" s="115"/>
      <c r="BW971" s="115"/>
      <c r="BX971" s="115"/>
      <c r="BY971" s="115"/>
      <c r="BZ971" s="13"/>
      <c r="CA971" s="13"/>
      <c r="CD971" s="114"/>
    </row>
    <row r="972" spans="1:82" ht="19.5" x14ac:dyDescent="0.4">
      <c r="A972" s="117"/>
      <c r="B972" s="123"/>
      <c r="C972" s="123"/>
      <c r="D972" s="123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28"/>
      <c r="AR972" s="29"/>
      <c r="AS972" s="115"/>
      <c r="AT972" s="115"/>
      <c r="AU972" s="115"/>
      <c r="AV972" s="115"/>
      <c r="AW972" s="115"/>
      <c r="AX972" s="115"/>
      <c r="AY972" s="115"/>
      <c r="AZ972" s="115"/>
      <c r="BA972" s="115"/>
      <c r="BB972" s="25"/>
      <c r="BC972" s="13"/>
      <c r="BH972" s="117"/>
      <c r="BI972" s="123"/>
      <c r="BJ972" s="123"/>
      <c r="BK972" s="123"/>
      <c r="BP972" s="115"/>
      <c r="BQ972" s="115"/>
      <c r="BR972" s="115"/>
      <c r="BS972" s="115"/>
      <c r="BT972" s="115"/>
      <c r="BU972" s="115"/>
      <c r="BV972" s="115"/>
      <c r="BW972" s="115"/>
      <c r="BX972" s="115"/>
      <c r="BY972" s="115"/>
      <c r="BZ972" s="13"/>
      <c r="CA972" s="13"/>
      <c r="CD972" s="114"/>
    </row>
    <row r="973" spans="1:82" ht="19.5" x14ac:dyDescent="0.4">
      <c r="A973" s="117"/>
      <c r="B973" s="123"/>
      <c r="C973" s="123"/>
      <c r="D973" s="123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27"/>
      <c r="AR973" s="127"/>
      <c r="AS973" s="115"/>
      <c r="AT973" s="115"/>
      <c r="AU973" s="115"/>
      <c r="AV973" s="115"/>
      <c r="AW973" s="115"/>
      <c r="AX973" s="115"/>
      <c r="AY973" s="115"/>
      <c r="AZ973" s="115"/>
      <c r="BA973" s="115"/>
      <c r="BB973" s="25"/>
      <c r="BC973" s="13"/>
      <c r="BH973" s="117"/>
      <c r="BI973" s="123"/>
      <c r="BJ973" s="123"/>
      <c r="BK973" s="123"/>
      <c r="BP973" s="115"/>
      <c r="BQ973" s="115"/>
      <c r="BR973" s="115"/>
      <c r="BS973" s="115"/>
      <c r="BT973" s="115"/>
      <c r="BU973" s="115"/>
      <c r="BV973" s="115"/>
      <c r="BW973" s="115"/>
      <c r="BX973" s="115"/>
      <c r="BY973" s="115"/>
      <c r="BZ973" s="13"/>
      <c r="CA973" s="13"/>
      <c r="CD973" s="114"/>
    </row>
    <row r="974" spans="1:82" ht="19.5" x14ac:dyDescent="0.4">
      <c r="A974" s="117"/>
      <c r="B974" s="123"/>
      <c r="C974" s="123"/>
      <c r="D974" s="123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115"/>
      <c r="AL974" s="115"/>
      <c r="AM974" s="115"/>
      <c r="AN974" s="115"/>
      <c r="AO974" s="115"/>
      <c r="AP974" s="115"/>
      <c r="AQ974" s="127"/>
      <c r="AR974" s="29"/>
      <c r="AS974" s="115"/>
      <c r="AT974" s="115"/>
      <c r="AU974" s="115"/>
      <c r="AV974" s="115"/>
      <c r="AW974" s="115"/>
      <c r="AX974" s="115"/>
      <c r="AY974" s="115"/>
      <c r="AZ974" s="115"/>
      <c r="BA974" s="115"/>
      <c r="BB974" s="25"/>
      <c r="BC974" s="13"/>
      <c r="BH974" s="117"/>
      <c r="BI974" s="123"/>
      <c r="BJ974" s="123"/>
      <c r="BK974" s="123"/>
      <c r="BP974" s="115"/>
      <c r="BQ974" s="115"/>
      <c r="BR974" s="115"/>
      <c r="BS974" s="115"/>
      <c r="BT974" s="115"/>
      <c r="BU974" s="115"/>
      <c r="BV974" s="115"/>
      <c r="BW974" s="115"/>
      <c r="BX974" s="115"/>
      <c r="BY974" s="115"/>
      <c r="BZ974" s="13"/>
      <c r="CA974" s="13"/>
      <c r="CD974" s="114"/>
    </row>
    <row r="975" spans="1:82" ht="19.5" x14ac:dyDescent="0.4">
      <c r="A975" s="117"/>
      <c r="B975" s="123"/>
      <c r="C975" s="123"/>
      <c r="D975" s="123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115"/>
      <c r="AL975" s="115"/>
      <c r="AM975" s="115"/>
      <c r="AN975" s="115"/>
      <c r="AO975" s="115"/>
      <c r="AP975" s="115"/>
      <c r="AQ975" s="127"/>
      <c r="AR975" s="29"/>
      <c r="AS975" s="115"/>
      <c r="AT975" s="115"/>
      <c r="AU975" s="115"/>
      <c r="AV975" s="115"/>
      <c r="AW975" s="115"/>
      <c r="AX975" s="115"/>
      <c r="AY975" s="115"/>
      <c r="AZ975" s="115"/>
      <c r="BA975" s="115"/>
      <c r="BB975" s="25"/>
      <c r="BC975" s="13"/>
      <c r="BH975" s="117"/>
      <c r="BI975" s="123"/>
      <c r="BJ975" s="123"/>
      <c r="BK975" s="123"/>
      <c r="BP975" s="115"/>
      <c r="BQ975" s="115"/>
      <c r="BR975" s="115"/>
      <c r="BS975" s="115"/>
      <c r="BT975" s="115"/>
      <c r="BU975" s="115"/>
      <c r="BV975" s="115"/>
      <c r="BW975" s="115"/>
      <c r="BX975" s="115"/>
      <c r="BY975" s="115"/>
      <c r="BZ975" s="13"/>
      <c r="CA975" s="13"/>
      <c r="CD975" s="114"/>
    </row>
    <row r="976" spans="1:82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28"/>
      <c r="AR976" s="29"/>
      <c r="AS976" s="115"/>
      <c r="AT976" s="115"/>
      <c r="AU976" s="115"/>
      <c r="AV976" s="115"/>
      <c r="AW976" s="115"/>
      <c r="AX976" s="115"/>
      <c r="AY976" s="115"/>
      <c r="AZ976" s="115"/>
      <c r="BA976" s="115"/>
      <c r="BB976" s="25"/>
      <c r="BC976" s="13"/>
      <c r="BH976" s="117"/>
      <c r="BI976" s="123"/>
      <c r="BJ976" s="123"/>
      <c r="BK976" s="123"/>
      <c r="BP976" s="115"/>
      <c r="BQ976" s="115"/>
      <c r="BR976" s="115"/>
      <c r="BS976" s="115"/>
      <c r="BT976" s="115"/>
      <c r="BU976" s="115"/>
      <c r="BV976" s="115"/>
      <c r="BW976" s="115"/>
      <c r="BX976" s="115"/>
      <c r="BY976" s="115"/>
      <c r="BZ976" s="13"/>
      <c r="CA976" s="13"/>
      <c r="CD976" s="114"/>
    </row>
    <row r="977" spans="1:82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27"/>
      <c r="AR977" s="134"/>
      <c r="AS977" s="115"/>
      <c r="AT977" s="115"/>
      <c r="AU977" s="115"/>
      <c r="AV977" s="115"/>
      <c r="AW977" s="115"/>
      <c r="AX977" s="115"/>
      <c r="AY977" s="115"/>
      <c r="AZ977" s="115"/>
      <c r="BA977" s="115"/>
      <c r="BB977" s="25"/>
      <c r="BC977" s="13"/>
      <c r="BH977" s="117"/>
      <c r="BI977" s="123"/>
      <c r="BJ977" s="123"/>
      <c r="BK977" s="123"/>
      <c r="BP977" s="115"/>
      <c r="BQ977" s="115"/>
      <c r="BR977" s="115"/>
      <c r="BS977" s="115"/>
      <c r="BT977" s="115"/>
      <c r="BU977" s="115"/>
      <c r="BV977" s="115"/>
      <c r="BW977" s="115"/>
      <c r="BX977" s="115"/>
      <c r="BY977" s="115"/>
      <c r="BZ977" s="13"/>
      <c r="CA977" s="13"/>
      <c r="CD977" s="114"/>
    </row>
    <row r="978" spans="1:82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27"/>
      <c r="AR978" s="29"/>
      <c r="AS978" s="115"/>
      <c r="AT978" s="115"/>
      <c r="AU978" s="115"/>
      <c r="AV978" s="115"/>
      <c r="AW978" s="115"/>
      <c r="AX978" s="115"/>
      <c r="AY978" s="115"/>
      <c r="AZ978" s="115"/>
      <c r="BA978" s="115"/>
      <c r="BB978" s="25">
        <v>45684</v>
      </c>
      <c r="BC978" s="13" t="s">
        <v>147</v>
      </c>
      <c r="BH978" s="117"/>
      <c r="BI978" s="123"/>
      <c r="BJ978" s="123"/>
      <c r="BK978" s="123"/>
      <c r="BP978" s="115"/>
      <c r="BQ978" s="115"/>
      <c r="BR978" s="115"/>
      <c r="BS978" s="115"/>
      <c r="BT978" s="115"/>
      <c r="BU978" s="115"/>
      <c r="BV978" s="115"/>
      <c r="BW978" s="115"/>
      <c r="BX978" s="115"/>
      <c r="BY978" s="115"/>
      <c r="BZ978" s="13"/>
      <c r="CA978" s="13"/>
      <c r="CD978" s="114"/>
    </row>
    <row r="979" spans="1:82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28"/>
      <c r="AR979" s="29"/>
      <c r="AS979" s="115"/>
      <c r="AT979" s="115"/>
      <c r="AU979" s="115"/>
      <c r="AV979" s="115"/>
      <c r="AW979" s="115"/>
      <c r="AX979" s="115"/>
      <c r="AY979" s="115"/>
      <c r="AZ979" s="115"/>
      <c r="BA979" s="115"/>
      <c r="BB979" s="25"/>
      <c r="BC979" s="13"/>
      <c r="BH979" s="117"/>
      <c r="BI979" s="123"/>
      <c r="BJ979" s="123"/>
      <c r="BK979" s="123"/>
      <c r="BP979" s="115"/>
      <c r="BQ979" s="115"/>
      <c r="BR979" s="115"/>
      <c r="BS979" s="115"/>
      <c r="BT979" s="115"/>
      <c r="BU979" s="115"/>
      <c r="BV979" s="115"/>
      <c r="BW979" s="115"/>
      <c r="BX979" s="115"/>
      <c r="BY979" s="115"/>
      <c r="BZ979" s="13"/>
      <c r="CA979" s="13"/>
      <c r="CD979" s="114"/>
    </row>
    <row r="980" spans="1:82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27"/>
      <c r="AR980" s="29"/>
      <c r="AS980" s="115"/>
      <c r="AT980" s="115"/>
      <c r="AU980" s="115"/>
      <c r="AV980" s="115"/>
      <c r="AW980" s="115"/>
      <c r="AX980" s="115"/>
      <c r="AY980" s="115"/>
      <c r="AZ980" s="115"/>
      <c r="BA980" s="115"/>
      <c r="BB980" s="25"/>
      <c r="BC980" s="13"/>
      <c r="BH980" s="117"/>
      <c r="BI980" s="123"/>
      <c r="BJ980" s="123"/>
      <c r="BK980" s="123"/>
      <c r="BP980" s="115"/>
      <c r="BQ980" s="115"/>
      <c r="BR980" s="115"/>
      <c r="BS980" s="115"/>
      <c r="BT980" s="115"/>
      <c r="BU980" s="115"/>
      <c r="BV980" s="115"/>
      <c r="BW980" s="115"/>
      <c r="BX980" s="115"/>
      <c r="BY980" s="115"/>
      <c r="BZ980" s="13"/>
      <c r="CA980" s="13"/>
      <c r="CD980" s="114"/>
    </row>
    <row r="981" spans="1:82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27"/>
      <c r="AR981" s="29"/>
      <c r="AS981" s="115"/>
      <c r="AT981" s="115"/>
      <c r="AU981" s="115"/>
      <c r="AV981" s="115"/>
      <c r="AW981" s="115"/>
      <c r="AX981" s="115"/>
      <c r="AY981" s="115"/>
      <c r="AZ981" s="115"/>
      <c r="BA981" s="115"/>
      <c r="BB981" s="25">
        <v>45684</v>
      </c>
      <c r="BC981" s="13" t="s">
        <v>146</v>
      </c>
      <c r="BH981" s="117"/>
      <c r="BI981" s="123"/>
      <c r="BJ981" s="123"/>
      <c r="BK981" s="123"/>
      <c r="BP981" s="115"/>
      <c r="BQ981" s="115"/>
      <c r="BR981" s="115"/>
      <c r="BS981" s="115"/>
      <c r="BT981" s="115"/>
      <c r="BU981" s="115"/>
      <c r="BV981" s="115"/>
      <c r="BW981" s="115"/>
      <c r="BX981" s="115"/>
      <c r="BY981" s="115"/>
      <c r="BZ981" s="13"/>
      <c r="CA981" s="13"/>
      <c r="CD981" s="114"/>
    </row>
    <row r="982" spans="1:82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28"/>
      <c r="AR982" s="29"/>
      <c r="AS982" s="115"/>
      <c r="AT982" s="115"/>
      <c r="AU982" s="115"/>
      <c r="AV982" s="115"/>
      <c r="AW982" s="115"/>
      <c r="AX982" s="115"/>
      <c r="AY982" s="115"/>
      <c r="AZ982" s="115"/>
      <c r="BA982" s="115"/>
      <c r="BB982" s="25"/>
      <c r="BC982" s="13"/>
      <c r="BH982" s="117"/>
      <c r="BI982" s="123"/>
      <c r="BJ982" s="123"/>
      <c r="BK982" s="123"/>
      <c r="BP982" s="115"/>
      <c r="BQ982" s="115"/>
      <c r="BR982" s="115"/>
      <c r="BS982" s="115"/>
      <c r="BT982" s="115"/>
      <c r="BU982" s="115"/>
      <c r="BV982" s="115"/>
      <c r="BW982" s="115"/>
      <c r="BX982" s="115"/>
      <c r="BY982" s="115"/>
      <c r="BZ982" s="13"/>
      <c r="CA982" s="13"/>
      <c r="CD982" s="114"/>
    </row>
    <row r="983" spans="1:82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27"/>
      <c r="AR983" s="29"/>
      <c r="AS983" s="115"/>
      <c r="AT983" s="115"/>
      <c r="AU983" s="115"/>
      <c r="AV983" s="115"/>
      <c r="AW983" s="115"/>
      <c r="AX983" s="115"/>
      <c r="AY983" s="115"/>
      <c r="AZ983" s="115"/>
      <c r="BA983" s="115"/>
      <c r="BB983" s="25"/>
      <c r="BC983" s="13"/>
      <c r="BH983" s="117"/>
      <c r="BI983" s="123"/>
      <c r="BJ983" s="123"/>
      <c r="BK983" s="123"/>
      <c r="BP983" s="115"/>
      <c r="BQ983" s="115"/>
      <c r="BR983" s="115"/>
      <c r="BS983" s="115"/>
      <c r="BT983" s="115"/>
      <c r="BU983" s="115"/>
      <c r="BV983" s="115"/>
      <c r="BW983" s="115"/>
      <c r="BX983" s="115"/>
      <c r="BY983" s="115"/>
      <c r="BZ983" s="13"/>
      <c r="CA983" s="13"/>
      <c r="CD983" s="114"/>
    </row>
    <row r="984" spans="1:82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28"/>
      <c r="AR984" s="29"/>
      <c r="AS984" s="115"/>
      <c r="AT984" s="115"/>
      <c r="AU984" s="115"/>
      <c r="AV984" s="115"/>
      <c r="AW984" s="115"/>
      <c r="AX984" s="115"/>
      <c r="AY984" s="115"/>
      <c r="AZ984" s="115"/>
      <c r="BA984" s="115"/>
      <c r="BB984" s="25"/>
      <c r="BC984" s="13"/>
      <c r="BH984" s="117"/>
      <c r="BI984" s="123"/>
      <c r="BJ984" s="123"/>
      <c r="BK984" s="123"/>
      <c r="BP984" s="115"/>
      <c r="BQ984" s="115"/>
      <c r="BR984" s="115"/>
      <c r="BS984" s="115"/>
      <c r="BT984" s="115"/>
      <c r="BU984" s="115"/>
      <c r="BV984" s="115"/>
      <c r="BW984" s="115"/>
      <c r="BX984" s="115"/>
      <c r="BY984" s="115"/>
      <c r="BZ984" s="13"/>
      <c r="CA984" s="13"/>
      <c r="CD984" s="114"/>
    </row>
    <row r="985" spans="1:82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27"/>
      <c r="AR985" s="29"/>
      <c r="AS985" s="115"/>
      <c r="AT985" s="115"/>
      <c r="AU985" s="115"/>
      <c r="AV985" s="115"/>
      <c r="AW985" s="115"/>
      <c r="AX985" s="115"/>
      <c r="AY985" s="115"/>
      <c r="AZ985" s="115"/>
      <c r="BA985" s="115"/>
      <c r="BB985" s="25"/>
      <c r="BC985" s="13"/>
      <c r="BH985" s="117"/>
      <c r="BI985" s="123"/>
      <c r="BJ985" s="123"/>
      <c r="BK985" s="123"/>
      <c r="BP985" s="115"/>
      <c r="BQ985" s="115"/>
      <c r="BR985" s="115"/>
      <c r="BS985" s="115"/>
      <c r="BT985" s="115"/>
      <c r="BU985" s="115"/>
      <c r="BV985" s="115"/>
      <c r="BW985" s="115"/>
      <c r="BX985" s="115"/>
      <c r="BY985" s="115"/>
      <c r="BZ985" s="13"/>
      <c r="CA985" s="13"/>
      <c r="CD985" s="114"/>
    </row>
    <row r="986" spans="1:82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28"/>
      <c r="AR986" s="29"/>
      <c r="AS986" s="115"/>
      <c r="AT986" s="115"/>
      <c r="AU986" s="115"/>
      <c r="AV986" s="115"/>
      <c r="AW986" s="115"/>
      <c r="AX986" s="115"/>
      <c r="AY986" s="115"/>
      <c r="AZ986" s="115"/>
      <c r="BA986" s="115"/>
      <c r="BB986" s="25"/>
      <c r="BC986" s="13"/>
      <c r="BH986" s="117"/>
      <c r="BI986" s="123"/>
      <c r="BJ986" s="123"/>
      <c r="BK986" s="123"/>
      <c r="BP986" s="115"/>
      <c r="BQ986" s="115"/>
      <c r="BR986" s="115"/>
      <c r="BS986" s="115"/>
      <c r="BT986" s="115"/>
      <c r="BU986" s="115"/>
      <c r="BV986" s="115"/>
      <c r="BW986" s="115"/>
      <c r="BX986" s="115"/>
      <c r="BY986" s="115"/>
      <c r="BZ986" s="13"/>
      <c r="CA986" s="13"/>
      <c r="CD986" s="114"/>
    </row>
    <row r="987" spans="1:82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28"/>
      <c r="AR987" s="29"/>
      <c r="AS987" s="115"/>
      <c r="AT987" s="115"/>
      <c r="AU987" s="115"/>
      <c r="AV987" s="115"/>
      <c r="AW987" s="115"/>
      <c r="AX987" s="115"/>
      <c r="AY987" s="115"/>
      <c r="AZ987" s="115"/>
      <c r="BA987" s="115"/>
      <c r="BB987" s="25"/>
      <c r="BC987" s="13"/>
      <c r="BH987" s="117"/>
      <c r="BI987" s="123"/>
      <c r="BJ987" s="123"/>
      <c r="BK987" s="123"/>
      <c r="BP987" s="115"/>
      <c r="BQ987" s="115"/>
      <c r="BR987" s="115"/>
      <c r="BS987" s="115"/>
      <c r="BT987" s="115"/>
      <c r="BU987" s="115"/>
      <c r="BV987" s="115"/>
      <c r="BW987" s="115"/>
      <c r="BX987" s="115"/>
      <c r="BY987" s="115"/>
      <c r="BZ987" s="13"/>
      <c r="CA987" s="13"/>
      <c r="CD987" s="114"/>
    </row>
    <row r="988" spans="1:82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27"/>
      <c r="AR988" s="29"/>
      <c r="AS988" s="115"/>
      <c r="AT988" s="115"/>
      <c r="AU988" s="115"/>
      <c r="AV988" s="115"/>
      <c r="AW988" s="115"/>
      <c r="AX988" s="115"/>
      <c r="AY988" s="115"/>
      <c r="AZ988" s="115"/>
      <c r="BA988" s="115"/>
      <c r="BB988" s="25">
        <v>45684</v>
      </c>
      <c r="BC988" s="13" t="s">
        <v>147</v>
      </c>
      <c r="BH988" s="117"/>
      <c r="BI988" s="123"/>
      <c r="BJ988" s="123"/>
      <c r="BK988" s="123"/>
      <c r="BP988" s="115"/>
      <c r="BQ988" s="115"/>
      <c r="BR988" s="115"/>
      <c r="BS988" s="115"/>
      <c r="BT988" s="115"/>
      <c r="BU988" s="115"/>
      <c r="BV988" s="115"/>
      <c r="BW988" s="115"/>
      <c r="BX988" s="115"/>
      <c r="BY988" s="115"/>
      <c r="BZ988" s="13"/>
      <c r="CA988" s="13"/>
      <c r="CD988" s="114"/>
    </row>
    <row r="989" spans="1:82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27"/>
      <c r="AR989" s="29"/>
      <c r="AS989" s="115"/>
      <c r="AT989" s="115"/>
      <c r="AU989" s="115"/>
      <c r="AV989" s="115"/>
      <c r="AW989" s="115"/>
      <c r="AX989" s="115"/>
      <c r="AY989" s="115"/>
      <c r="AZ989" s="115"/>
      <c r="BA989" s="115"/>
      <c r="BB989" s="25">
        <v>45684</v>
      </c>
      <c r="BC989" s="13" t="s">
        <v>146</v>
      </c>
      <c r="BH989" s="117"/>
      <c r="BI989" s="123"/>
      <c r="BJ989" s="123"/>
      <c r="BK989" s="123"/>
      <c r="BP989" s="115"/>
      <c r="BQ989" s="115"/>
      <c r="BR989" s="115"/>
      <c r="BS989" s="115"/>
      <c r="BT989" s="115"/>
      <c r="BU989" s="115"/>
      <c r="BV989" s="115"/>
      <c r="BW989" s="115"/>
      <c r="BX989" s="115"/>
      <c r="BY989" s="115"/>
      <c r="BZ989" s="13"/>
      <c r="CA989" s="13"/>
      <c r="CD989" s="114"/>
    </row>
    <row r="990" spans="1:82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27"/>
      <c r="AR990" s="29"/>
      <c r="AS990" s="115"/>
      <c r="AT990" s="115"/>
      <c r="AU990" s="115"/>
      <c r="AV990" s="115"/>
      <c r="AW990" s="115"/>
      <c r="AX990" s="115"/>
      <c r="AY990" s="115"/>
      <c r="AZ990" s="115"/>
      <c r="BA990" s="115"/>
      <c r="BB990" s="25">
        <v>45684</v>
      </c>
      <c r="BC990" s="13" t="s">
        <v>146</v>
      </c>
      <c r="BH990" s="117"/>
      <c r="BI990" s="123"/>
      <c r="BJ990" s="123"/>
      <c r="BK990" s="123"/>
      <c r="BP990" s="115"/>
      <c r="BQ990" s="115"/>
      <c r="BR990" s="115"/>
      <c r="BS990" s="115"/>
      <c r="BT990" s="115"/>
      <c r="BU990" s="115"/>
      <c r="BV990" s="115"/>
      <c r="BW990" s="115"/>
      <c r="BX990" s="115"/>
      <c r="BY990" s="115"/>
      <c r="BZ990" s="13"/>
      <c r="CA990" s="13"/>
      <c r="CD990" s="114"/>
    </row>
    <row r="991" spans="1:82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29"/>
      <c r="AR991" s="29"/>
      <c r="AS991" s="115"/>
      <c r="AT991" s="115"/>
      <c r="AU991" s="115"/>
      <c r="AV991" s="115"/>
      <c r="AW991" s="115"/>
      <c r="AX991" s="115"/>
      <c r="AY991" s="115"/>
      <c r="AZ991" s="115"/>
      <c r="BA991" s="115"/>
      <c r="BB991" s="25"/>
      <c r="BC991" s="13"/>
      <c r="BH991" s="117"/>
      <c r="BI991" s="123"/>
      <c r="BJ991" s="123"/>
      <c r="BK991" s="123"/>
      <c r="BP991" s="115"/>
      <c r="BQ991" s="115"/>
      <c r="BR991" s="115"/>
      <c r="BS991" s="115"/>
      <c r="BT991" s="115"/>
      <c r="BU991" s="115"/>
      <c r="BV991" s="115"/>
      <c r="BW991" s="115"/>
      <c r="BX991" s="115"/>
      <c r="BY991" s="115"/>
      <c r="BZ991" s="13"/>
      <c r="CA991" s="13"/>
      <c r="CD991" s="114"/>
    </row>
    <row r="992" spans="1:82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29"/>
      <c r="AR992" s="29"/>
      <c r="AS992" s="115"/>
      <c r="AT992" s="115"/>
      <c r="AU992" s="115"/>
      <c r="AV992" s="115"/>
      <c r="AW992" s="115"/>
      <c r="AX992" s="115"/>
      <c r="AY992" s="115"/>
      <c r="AZ992" s="115"/>
      <c r="BA992" s="115"/>
      <c r="BB992" s="25"/>
      <c r="BC992" s="13"/>
      <c r="BH992" s="117"/>
      <c r="BI992" s="123"/>
      <c r="BJ992" s="123"/>
      <c r="BK992" s="123"/>
      <c r="BP992" s="115"/>
      <c r="BQ992" s="115"/>
      <c r="BR992" s="115"/>
      <c r="BS992" s="115"/>
      <c r="BT992" s="115"/>
      <c r="BU992" s="115"/>
      <c r="BV992" s="115"/>
      <c r="BW992" s="115"/>
      <c r="BX992" s="115"/>
      <c r="BY992" s="115"/>
      <c r="BZ992" s="13"/>
      <c r="CA992" s="13"/>
      <c r="CD992" s="114"/>
    </row>
    <row r="993" spans="1:82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27"/>
      <c r="AR993" s="29"/>
      <c r="AS993" s="115"/>
      <c r="AT993" s="115"/>
      <c r="AU993" s="115"/>
      <c r="AV993" s="115"/>
      <c r="AW993" s="115"/>
      <c r="AX993" s="115"/>
      <c r="AY993" s="115"/>
      <c r="AZ993" s="115"/>
      <c r="BA993" s="115"/>
      <c r="BB993" s="25">
        <v>45684</v>
      </c>
      <c r="BC993" s="13" t="s">
        <v>147</v>
      </c>
      <c r="BH993" s="117"/>
      <c r="BI993" s="123"/>
      <c r="BJ993" s="123"/>
      <c r="BK993" s="123"/>
      <c r="BP993" s="115"/>
      <c r="BQ993" s="115"/>
      <c r="BR993" s="115"/>
      <c r="BS993" s="115"/>
      <c r="BT993" s="115"/>
      <c r="BU993" s="115"/>
      <c r="BV993" s="115"/>
      <c r="BW993" s="115"/>
      <c r="BX993" s="115"/>
      <c r="BY993" s="115"/>
      <c r="BZ993" s="13"/>
      <c r="CA993" s="13"/>
      <c r="CD993" s="114"/>
    </row>
    <row r="994" spans="1:82" ht="19.5" x14ac:dyDescent="0.4">
      <c r="A994" s="117"/>
      <c r="B994" s="123"/>
      <c r="C994" s="123"/>
      <c r="D994" s="123"/>
      <c r="AQ994" s="127"/>
      <c r="AR994" s="29"/>
      <c r="BB994" s="25">
        <v>45685</v>
      </c>
      <c r="BC994" s="13" t="s">
        <v>146</v>
      </c>
      <c r="BH994" s="117"/>
      <c r="BI994" s="123"/>
      <c r="BJ994" s="123"/>
      <c r="BK994" s="123"/>
      <c r="BP994" s="115"/>
      <c r="BQ994" s="115"/>
      <c r="BR994" s="115"/>
      <c r="BS994" s="115"/>
      <c r="BT994" s="115"/>
      <c r="BU994" s="115"/>
      <c r="BV994" s="115"/>
      <c r="BW994" s="115"/>
      <c r="BX994" s="115"/>
      <c r="BY994" s="115"/>
      <c r="BZ994" s="25">
        <v>45263</v>
      </c>
      <c r="CA994" s="13" t="s">
        <v>162</v>
      </c>
      <c r="CD994" s="114"/>
    </row>
    <row r="995" spans="1:82" ht="19.5" x14ac:dyDescent="0.4">
      <c r="A995" s="117"/>
      <c r="B995" s="123"/>
      <c r="C995" s="123"/>
      <c r="D995" s="123"/>
      <c r="AQ995" s="127"/>
      <c r="AR995" s="29"/>
      <c r="AY995" s="115"/>
      <c r="AZ995" s="115"/>
      <c r="BA995" s="115"/>
      <c r="BB995" s="25">
        <v>45685</v>
      </c>
      <c r="BC995" s="13" t="s">
        <v>147</v>
      </c>
      <c r="BH995" s="117"/>
      <c r="BI995" s="123"/>
      <c r="BJ995" s="123"/>
      <c r="BK995" s="123"/>
      <c r="BP995" s="115"/>
      <c r="BQ995" s="115"/>
      <c r="BR995" s="115"/>
      <c r="BS995" s="115"/>
      <c r="BT995" s="115"/>
      <c r="BU995" s="115"/>
      <c r="BV995" s="115"/>
      <c r="BW995" s="115"/>
      <c r="BX995" s="115"/>
      <c r="BY995" s="115"/>
      <c r="BZ995" s="25"/>
      <c r="CA995" s="13"/>
      <c r="CD995" s="114"/>
    </row>
    <row r="996" spans="1:82" ht="19.5" x14ac:dyDescent="0.4">
      <c r="A996" s="117"/>
      <c r="B996" s="123"/>
      <c r="C996" s="123"/>
      <c r="D996" s="123"/>
      <c r="AQ996" s="128"/>
      <c r="AR996" s="29"/>
      <c r="AY996" s="115"/>
      <c r="AZ996" s="115"/>
      <c r="BA996" s="115"/>
      <c r="BB996" s="25"/>
      <c r="BC996" s="13"/>
      <c r="BH996" s="117"/>
      <c r="BI996" s="123"/>
      <c r="BJ996" s="123"/>
      <c r="BK996" s="123"/>
      <c r="BP996" s="115"/>
      <c r="BQ996" s="115"/>
      <c r="BR996" s="115"/>
      <c r="BS996" s="115"/>
      <c r="BT996" s="115"/>
      <c r="BU996" s="115"/>
      <c r="BV996" s="115"/>
      <c r="BW996" s="115"/>
      <c r="BX996" s="115"/>
      <c r="BY996" s="115"/>
      <c r="BZ996" s="25"/>
      <c r="CA996" s="13"/>
      <c r="CD996" s="114"/>
    </row>
    <row r="997" spans="1:82" ht="19.5" x14ac:dyDescent="0.4">
      <c r="A997" s="117"/>
      <c r="B997" s="123"/>
      <c r="C997" s="123"/>
      <c r="D997" s="123"/>
      <c r="AQ997" s="127"/>
      <c r="AR997" s="29"/>
      <c r="AS997" s="115"/>
      <c r="AT997" s="115"/>
      <c r="AU997" s="115"/>
      <c r="AV997" s="115"/>
      <c r="AW997" s="115"/>
      <c r="AX997" s="115"/>
      <c r="AY997" s="115"/>
      <c r="AZ997" s="115"/>
      <c r="BA997" s="115"/>
      <c r="BB997" s="25">
        <v>45685</v>
      </c>
      <c r="BC997" s="13" t="s">
        <v>147</v>
      </c>
      <c r="BH997" s="117"/>
      <c r="BI997" s="123"/>
      <c r="BJ997" s="123"/>
      <c r="BK997" s="123"/>
      <c r="BP997" s="115"/>
      <c r="BQ997" s="115"/>
      <c r="BR997" s="115"/>
      <c r="BS997" s="115"/>
      <c r="BT997" s="115"/>
      <c r="BU997" s="115"/>
      <c r="BV997" s="115"/>
      <c r="BW997" s="115"/>
      <c r="BX997" s="115"/>
      <c r="BY997" s="115"/>
      <c r="BZ997" s="25"/>
      <c r="CA997" s="13"/>
      <c r="CD997" s="114"/>
    </row>
    <row r="998" spans="1:82" ht="19.5" x14ac:dyDescent="0.4">
      <c r="A998" s="117"/>
      <c r="B998" s="123"/>
      <c r="C998" s="123"/>
      <c r="D998" s="123"/>
      <c r="AQ998" s="127"/>
      <c r="AR998" s="29"/>
      <c r="AS998" s="115"/>
      <c r="AT998" s="115"/>
      <c r="AU998" s="115"/>
      <c r="AV998" s="115"/>
      <c r="AW998" s="115"/>
      <c r="AX998" s="115"/>
      <c r="AY998" s="115"/>
      <c r="AZ998" s="115"/>
      <c r="BA998" s="115"/>
      <c r="BB998" s="25">
        <v>45685</v>
      </c>
      <c r="BC998" s="13" t="s">
        <v>148</v>
      </c>
      <c r="BH998" s="117"/>
      <c r="BI998" s="123"/>
      <c r="BJ998" s="123"/>
      <c r="BK998" s="123"/>
      <c r="BP998" s="115"/>
      <c r="BQ998" s="115"/>
      <c r="BR998" s="115"/>
      <c r="BS998" s="115"/>
      <c r="BT998" s="115"/>
      <c r="BU998" s="115"/>
      <c r="BV998" s="115"/>
      <c r="BW998" s="115"/>
      <c r="BX998" s="115"/>
      <c r="BY998" s="115"/>
      <c r="BZ998" s="25"/>
      <c r="CA998" s="13"/>
      <c r="CD998" s="114"/>
    </row>
    <row r="999" spans="1:82" ht="19.5" x14ac:dyDescent="0.4">
      <c r="A999" s="117"/>
      <c r="B999" s="123"/>
      <c r="C999" s="123"/>
      <c r="D999" s="123"/>
      <c r="AQ999" s="127"/>
      <c r="AR999" s="29"/>
      <c r="AS999" s="115"/>
      <c r="AT999" s="115"/>
      <c r="AU999" s="115"/>
      <c r="AV999" s="115"/>
      <c r="AW999" s="115"/>
      <c r="AX999" s="115"/>
      <c r="AY999" s="115"/>
      <c r="AZ999" s="115"/>
      <c r="BA999" s="115"/>
      <c r="BB999" s="25">
        <v>45685</v>
      </c>
      <c r="BC999" s="13" t="s">
        <v>148</v>
      </c>
      <c r="BH999" s="117"/>
      <c r="BI999" s="123"/>
      <c r="BJ999" s="123"/>
      <c r="BK999" s="123"/>
      <c r="BP999" s="115"/>
      <c r="BQ999" s="115"/>
      <c r="BR999" s="115"/>
      <c r="BS999" s="115"/>
      <c r="BT999" s="115"/>
      <c r="BU999" s="115"/>
      <c r="BV999" s="115"/>
      <c r="BW999" s="115"/>
      <c r="BX999" s="115"/>
      <c r="BY999" s="115"/>
      <c r="BZ999" s="25"/>
      <c r="CA999" s="13"/>
      <c r="CD999" s="114"/>
    </row>
    <row r="1000" spans="1:82" ht="19.5" x14ac:dyDescent="0.4">
      <c r="A1000" s="117"/>
      <c r="B1000" s="123"/>
      <c r="C1000" s="123"/>
      <c r="D1000" s="123"/>
      <c r="AQ1000" s="128"/>
      <c r="AR1000" s="29"/>
      <c r="AS1000" s="115"/>
      <c r="AT1000" s="115"/>
      <c r="AU1000" s="115"/>
      <c r="AV1000" s="115"/>
      <c r="AW1000" s="115"/>
      <c r="AX1000" s="115"/>
      <c r="AY1000" s="115"/>
      <c r="AZ1000" s="115"/>
      <c r="BA1000" s="115"/>
      <c r="BB1000" s="25"/>
      <c r="BC1000" s="13"/>
      <c r="BH1000" s="117"/>
      <c r="BI1000" s="123"/>
      <c r="BJ1000" s="123"/>
      <c r="BK1000" s="123"/>
      <c r="BP1000" s="115"/>
      <c r="BQ1000" s="115"/>
      <c r="BR1000" s="115"/>
      <c r="BS1000" s="115"/>
      <c r="BT1000" s="115"/>
      <c r="BU1000" s="115"/>
      <c r="BV1000" s="115"/>
      <c r="BW1000" s="115"/>
      <c r="BX1000" s="115"/>
      <c r="BY1000" s="115"/>
      <c r="BZ1000" s="25"/>
      <c r="CA1000" s="13"/>
      <c r="CD1000" s="114"/>
    </row>
    <row r="1001" spans="1:82" ht="19.5" x14ac:dyDescent="0.4">
      <c r="A1001" s="117"/>
      <c r="B1001" s="123"/>
      <c r="C1001" s="123"/>
      <c r="D1001" s="123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27"/>
      <c r="AR1001" s="29"/>
      <c r="AS1001" s="115"/>
      <c r="AT1001" s="115"/>
      <c r="AU1001" s="115"/>
      <c r="AV1001" s="115"/>
      <c r="AW1001" s="115"/>
      <c r="AX1001" s="115"/>
      <c r="AY1001" s="115"/>
      <c r="AZ1001" s="115"/>
      <c r="BA1001" s="115"/>
      <c r="BB1001" s="25"/>
      <c r="BC1001" s="13"/>
      <c r="BH1001" s="117"/>
      <c r="BI1001" s="123"/>
      <c r="BJ1001" s="123"/>
      <c r="BK1001" s="123"/>
      <c r="BP1001" s="115"/>
      <c r="BQ1001" s="115"/>
      <c r="BR1001" s="115"/>
      <c r="BS1001" s="115"/>
      <c r="BT1001" s="115"/>
      <c r="BU1001" s="115"/>
      <c r="BV1001" s="115"/>
      <c r="BW1001" s="115"/>
      <c r="BX1001" s="115"/>
      <c r="BY1001" s="115"/>
      <c r="BZ1001" s="25"/>
      <c r="CA1001" s="13"/>
      <c r="CD1001" s="114"/>
    </row>
    <row r="1002" spans="1:82" ht="19.5" x14ac:dyDescent="0.4">
      <c r="A1002" s="117"/>
      <c r="B1002" s="123"/>
      <c r="C1002" s="123"/>
      <c r="D1002" s="123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28"/>
      <c r="AR1002" s="29"/>
      <c r="AS1002" s="115"/>
      <c r="AT1002" s="115"/>
      <c r="AU1002" s="115"/>
      <c r="AV1002" s="115"/>
      <c r="AW1002" s="115"/>
      <c r="AX1002" s="115"/>
      <c r="AY1002" s="115"/>
      <c r="AZ1002" s="115"/>
      <c r="BA1002" s="115"/>
      <c r="BB1002" s="25"/>
      <c r="BC1002" s="13"/>
      <c r="BH1002" s="117"/>
      <c r="BI1002" s="123"/>
      <c r="BJ1002" s="123"/>
      <c r="BK1002" s="123"/>
      <c r="BP1002" s="115"/>
      <c r="BQ1002" s="115"/>
      <c r="BR1002" s="115"/>
      <c r="BS1002" s="115"/>
      <c r="BT1002" s="115"/>
      <c r="BU1002" s="115"/>
      <c r="BV1002" s="115"/>
      <c r="BW1002" s="115"/>
      <c r="BX1002" s="115"/>
      <c r="BY1002" s="115"/>
      <c r="BZ1002" s="25"/>
      <c r="CA1002" s="13"/>
      <c r="CD1002" s="114"/>
    </row>
    <row r="1003" spans="1:82" ht="19.5" x14ac:dyDescent="0.4">
      <c r="A1003" s="117"/>
      <c r="B1003" s="123"/>
      <c r="C1003" s="123"/>
      <c r="D1003" s="123"/>
      <c r="AQ1003" s="127"/>
      <c r="AR1003" s="29"/>
      <c r="AS1003" s="115"/>
      <c r="AT1003" s="115"/>
      <c r="AU1003" s="115"/>
      <c r="AV1003" s="115"/>
      <c r="AW1003" s="115"/>
      <c r="AX1003" s="115"/>
      <c r="AY1003" s="115"/>
      <c r="AZ1003" s="115"/>
      <c r="BA1003" s="115"/>
      <c r="BB1003" s="25">
        <v>45685</v>
      </c>
      <c r="BC1003" s="13" t="s">
        <v>148</v>
      </c>
      <c r="BH1003" s="117"/>
      <c r="BI1003" s="123"/>
      <c r="BJ1003" s="123"/>
      <c r="BK1003" s="123"/>
      <c r="BP1003" s="115"/>
      <c r="BQ1003" s="115"/>
      <c r="BR1003" s="115"/>
      <c r="BS1003" s="115"/>
      <c r="BT1003" s="115"/>
      <c r="BU1003" s="115"/>
      <c r="BV1003" s="115"/>
      <c r="BW1003" s="115"/>
      <c r="BX1003" s="115"/>
      <c r="BY1003" s="115"/>
      <c r="BZ1003" s="25"/>
      <c r="CA1003" s="13"/>
      <c r="CD1003" s="114"/>
    </row>
    <row r="1004" spans="1:82" ht="19.5" x14ac:dyDescent="0.4">
      <c r="A1004" s="117"/>
      <c r="B1004" s="123"/>
      <c r="C1004" s="123"/>
      <c r="D1004" s="123"/>
      <c r="AQ1004" s="127"/>
      <c r="AR1004" s="29"/>
      <c r="AS1004" s="115"/>
      <c r="AT1004" s="115"/>
      <c r="AU1004" s="115"/>
      <c r="AV1004" s="115"/>
      <c r="AW1004" s="115"/>
      <c r="AX1004" s="115"/>
      <c r="AY1004" s="115"/>
      <c r="AZ1004" s="115"/>
      <c r="BA1004" s="115"/>
      <c r="BB1004" s="25">
        <v>45685</v>
      </c>
      <c r="BC1004" s="13" t="s">
        <v>148</v>
      </c>
      <c r="BH1004" s="117"/>
      <c r="BI1004" s="123"/>
      <c r="BJ1004" s="123"/>
      <c r="BK1004" s="123"/>
      <c r="BP1004" s="115"/>
      <c r="BQ1004" s="115"/>
      <c r="BR1004" s="115"/>
      <c r="BS1004" s="115"/>
      <c r="BT1004" s="115"/>
      <c r="BU1004" s="115"/>
      <c r="BV1004" s="115"/>
      <c r="BW1004" s="115"/>
      <c r="BX1004" s="115"/>
      <c r="BY1004" s="115"/>
      <c r="BZ1004" s="25"/>
      <c r="CA1004" s="13"/>
      <c r="CD1004" s="114"/>
    </row>
    <row r="1005" spans="1:82" ht="19.5" x14ac:dyDescent="0.4">
      <c r="A1005" s="117"/>
      <c r="B1005" s="123"/>
      <c r="C1005" s="123"/>
      <c r="D1005" s="123"/>
      <c r="AQ1005" s="127"/>
      <c r="AR1005" s="29"/>
      <c r="AS1005" s="115"/>
      <c r="AT1005" s="115"/>
      <c r="AU1005" s="115"/>
      <c r="AV1005" s="115"/>
      <c r="AW1005" s="115"/>
      <c r="AX1005" s="115"/>
      <c r="AY1005" s="115"/>
      <c r="AZ1005" s="115"/>
      <c r="BA1005" s="115"/>
      <c r="BB1005" s="25">
        <v>45685</v>
      </c>
      <c r="BC1005" s="13" t="s">
        <v>146</v>
      </c>
      <c r="BH1005" s="117"/>
      <c r="BI1005" s="123"/>
      <c r="BJ1005" s="123"/>
      <c r="BK1005" s="123"/>
      <c r="BP1005" s="115"/>
      <c r="BQ1005" s="115"/>
      <c r="BR1005" s="115"/>
      <c r="BS1005" s="115"/>
      <c r="BT1005" s="115"/>
      <c r="BU1005" s="115"/>
      <c r="BV1005" s="115"/>
      <c r="BW1005" s="115"/>
      <c r="BX1005" s="115"/>
      <c r="BY1005" s="115"/>
      <c r="BZ1005" s="25"/>
      <c r="CA1005" s="13"/>
      <c r="CD1005" s="114"/>
    </row>
    <row r="1006" spans="1:82" ht="19.5" x14ac:dyDescent="0.4">
      <c r="A1006" s="117"/>
      <c r="B1006" s="123"/>
      <c r="C1006" s="123"/>
      <c r="D1006" s="123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27"/>
      <c r="AR1006" s="29"/>
      <c r="AS1006" s="115"/>
      <c r="AT1006" s="115"/>
      <c r="AU1006" s="115"/>
      <c r="AV1006" s="115"/>
      <c r="AW1006" s="115"/>
      <c r="AX1006" s="115"/>
      <c r="AY1006" s="115"/>
      <c r="AZ1006" s="115"/>
      <c r="BA1006" s="115"/>
      <c r="BB1006" s="25"/>
      <c r="BC1006" s="13"/>
      <c r="BH1006" s="117"/>
      <c r="BI1006" s="123"/>
      <c r="BJ1006" s="123"/>
      <c r="BK1006" s="123"/>
      <c r="BP1006" s="115"/>
      <c r="BQ1006" s="115"/>
      <c r="BR1006" s="115"/>
      <c r="BS1006" s="115"/>
      <c r="BT1006" s="115"/>
      <c r="BU1006" s="115"/>
      <c r="BV1006" s="115"/>
      <c r="BW1006" s="115"/>
      <c r="BX1006" s="115"/>
      <c r="BY1006" s="115"/>
      <c r="BZ1006" s="25"/>
      <c r="CA1006" s="13"/>
      <c r="CD1006" s="114"/>
    </row>
    <row r="1007" spans="1:82" ht="19.5" x14ac:dyDescent="0.4">
      <c r="A1007" s="117"/>
      <c r="B1007" s="123"/>
      <c r="C1007" s="123"/>
      <c r="D1007" s="123"/>
      <c r="AQ1007" s="127"/>
      <c r="AR1007" s="29"/>
      <c r="BB1007" s="25">
        <v>45685</v>
      </c>
      <c r="BC1007" s="13" t="s">
        <v>148</v>
      </c>
      <c r="BH1007" s="117"/>
      <c r="BI1007" s="123"/>
      <c r="BJ1007" s="123"/>
      <c r="BK1007" s="123"/>
      <c r="BP1007" s="115"/>
      <c r="BQ1007" s="115"/>
      <c r="BR1007" s="115"/>
      <c r="BS1007" s="115"/>
      <c r="BT1007" s="115"/>
      <c r="BU1007" s="115"/>
      <c r="BV1007" s="115"/>
      <c r="BW1007" s="115"/>
      <c r="BX1007" s="115"/>
      <c r="BY1007" s="115" t="s">
        <v>150</v>
      </c>
      <c r="BZ1007" s="13">
        <f>SUBTOTAL(3,BZ994:BZ994)</f>
        <v>1</v>
      </c>
      <c r="CA1007" s="13">
        <f>SUBTOTAL(3,CA994:CA994)</f>
        <v>1</v>
      </c>
      <c r="CD1007" s="114"/>
    </row>
    <row r="1008" spans="1:82" ht="19.5" x14ac:dyDescent="0.4">
      <c r="A1008" s="117"/>
      <c r="B1008" s="123"/>
      <c r="C1008" s="123"/>
      <c r="D1008" s="123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27"/>
      <c r="AR1008" s="29"/>
      <c r="BB1008" s="25"/>
      <c r="BC1008" s="13"/>
      <c r="BH1008" s="117"/>
      <c r="BI1008" s="123"/>
      <c r="BJ1008" s="123"/>
      <c r="BK1008" s="123"/>
      <c r="BP1008" s="115"/>
      <c r="BQ1008" s="115"/>
      <c r="BR1008" s="115"/>
      <c r="BS1008" s="115"/>
      <c r="BT1008" s="115"/>
      <c r="BU1008" s="115"/>
      <c r="BV1008" s="115"/>
      <c r="BW1008" s="115"/>
      <c r="BX1008" s="115"/>
      <c r="BY1008" s="115"/>
      <c r="BZ1008" s="13"/>
      <c r="CA1008" s="13"/>
      <c r="CD1008" s="114"/>
    </row>
    <row r="1009" spans="1:82" ht="19.5" x14ac:dyDescent="0.4">
      <c r="A1009" s="117"/>
      <c r="B1009" s="123"/>
      <c r="C1009" s="123"/>
      <c r="D1009" s="123"/>
      <c r="AQ1009" s="127"/>
      <c r="AR1009" s="29"/>
      <c r="AS1009" s="115"/>
      <c r="AT1009" s="115"/>
      <c r="AU1009" s="115"/>
      <c r="AV1009" s="115"/>
      <c r="AW1009" s="115"/>
      <c r="AX1009" s="115"/>
      <c r="AY1009" s="115"/>
      <c r="AZ1009" s="115"/>
      <c r="BA1009" s="115"/>
      <c r="BB1009" s="25">
        <v>45685</v>
      </c>
      <c r="BC1009" s="15" t="s">
        <v>146</v>
      </c>
      <c r="BH1009" s="117"/>
      <c r="BI1009" s="123"/>
      <c r="BJ1009" s="123"/>
      <c r="BK1009" s="123"/>
      <c r="BP1009" s="115"/>
      <c r="BQ1009" s="115"/>
      <c r="BR1009" s="115"/>
      <c r="BS1009" s="115"/>
      <c r="BT1009" s="115"/>
      <c r="BU1009" s="115"/>
      <c r="BV1009" s="115"/>
      <c r="BW1009" s="115"/>
      <c r="BX1009" s="115"/>
      <c r="BY1009" s="115"/>
      <c r="BZ1009" s="13"/>
      <c r="CA1009" s="13"/>
      <c r="CD1009" s="114"/>
    </row>
    <row r="1010" spans="1:82" ht="19.5" x14ac:dyDescent="0.4">
      <c r="A1010" s="117"/>
      <c r="B1010" s="123"/>
      <c r="C1010" s="123"/>
      <c r="D1010" s="123"/>
      <c r="AQ1010" s="127"/>
      <c r="AR1010" s="29"/>
      <c r="BB1010" s="25">
        <v>45685</v>
      </c>
      <c r="BC1010" s="15" t="s">
        <v>146</v>
      </c>
      <c r="BH1010" s="117"/>
      <c r="BI1010" s="123"/>
      <c r="BJ1010" s="123"/>
      <c r="BK1010" s="123"/>
      <c r="BP1010" s="115"/>
      <c r="BQ1010" s="115"/>
      <c r="BR1010" s="115"/>
      <c r="BS1010" s="115"/>
      <c r="BT1010" s="115"/>
      <c r="BU1010" s="115"/>
      <c r="BV1010" s="115"/>
      <c r="BW1010" s="115"/>
      <c r="BX1010" s="115"/>
      <c r="BY1010" s="115"/>
      <c r="BZ1010" s="25">
        <v>45264</v>
      </c>
      <c r="CA1010" s="13" t="s">
        <v>162</v>
      </c>
      <c r="CD1010" s="114"/>
    </row>
    <row r="1011" spans="1:82" ht="19.5" x14ac:dyDescent="0.4">
      <c r="A1011" s="117"/>
      <c r="B1011" s="123"/>
      <c r="C1011" s="123"/>
      <c r="D1011" s="123"/>
      <c r="AQ1011" s="127"/>
      <c r="AR1011" s="29"/>
      <c r="AX1011" s="115"/>
      <c r="AY1011" s="115"/>
      <c r="AZ1011" s="115"/>
      <c r="BA1011" s="115"/>
      <c r="BB1011" s="25">
        <v>45686</v>
      </c>
      <c r="BC1011" s="15" t="s">
        <v>148</v>
      </c>
      <c r="BH1011" s="117"/>
      <c r="BI1011" s="123"/>
      <c r="BJ1011" s="123"/>
      <c r="BK1011" s="123"/>
      <c r="BP1011" s="115"/>
      <c r="BQ1011" s="115"/>
      <c r="BR1011" s="115"/>
      <c r="BS1011" s="115"/>
      <c r="BT1011" s="115"/>
      <c r="BU1011" s="115"/>
      <c r="BV1011" s="115"/>
      <c r="BW1011" s="115"/>
      <c r="BX1011" s="115"/>
      <c r="BY1011" s="115"/>
      <c r="BZ1011" s="25"/>
      <c r="CA1011" s="13"/>
      <c r="CD1011" s="114"/>
    </row>
    <row r="1012" spans="1:82" ht="19.5" x14ac:dyDescent="0.4">
      <c r="A1012" s="117"/>
      <c r="B1012" s="123"/>
      <c r="C1012" s="123"/>
      <c r="D1012" s="123"/>
      <c r="AQ1012" s="127"/>
      <c r="AR1012" s="29"/>
      <c r="AV1012" s="115"/>
      <c r="AW1012" s="115"/>
      <c r="AX1012" s="115"/>
      <c r="AY1012" s="115"/>
      <c r="AZ1012" s="115"/>
      <c r="BA1012" s="115"/>
      <c r="BB1012" s="25">
        <v>45686</v>
      </c>
      <c r="BC1012" s="15" t="s">
        <v>146</v>
      </c>
      <c r="BH1012" s="117"/>
      <c r="BI1012" s="123"/>
      <c r="BJ1012" s="123"/>
      <c r="BK1012" s="123"/>
      <c r="BP1012" s="115"/>
      <c r="BQ1012" s="115"/>
      <c r="BR1012" s="115"/>
      <c r="BS1012" s="115"/>
      <c r="BT1012" s="115"/>
      <c r="BU1012" s="115"/>
      <c r="BV1012" s="115"/>
      <c r="BW1012" s="115"/>
      <c r="BX1012" s="115"/>
      <c r="BY1012" s="115"/>
      <c r="BZ1012" s="25"/>
      <c r="CA1012" s="13"/>
      <c r="CD1012" s="114"/>
    </row>
    <row r="1013" spans="1:82" ht="19.5" x14ac:dyDescent="0.4">
      <c r="A1013" s="117"/>
      <c r="B1013" s="123"/>
      <c r="C1013" s="123"/>
      <c r="D1013" s="123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27"/>
      <c r="AR1013" s="29"/>
      <c r="AV1013" s="115"/>
      <c r="AW1013" s="115"/>
      <c r="AX1013" s="115"/>
      <c r="AY1013" s="115"/>
      <c r="AZ1013" s="115"/>
      <c r="BA1013" s="115"/>
      <c r="BB1013" s="25"/>
      <c r="BC1013" s="15"/>
      <c r="BH1013" s="117"/>
      <c r="BI1013" s="123"/>
      <c r="BJ1013" s="123"/>
      <c r="BK1013" s="123"/>
      <c r="BP1013" s="115"/>
      <c r="BQ1013" s="115"/>
      <c r="BR1013" s="115"/>
      <c r="BS1013" s="115"/>
      <c r="BT1013" s="115"/>
      <c r="BU1013" s="115"/>
      <c r="BV1013" s="115"/>
      <c r="BW1013" s="115"/>
      <c r="BX1013" s="115"/>
      <c r="BY1013" s="115"/>
      <c r="BZ1013" s="25"/>
      <c r="CA1013" s="13"/>
      <c r="CD1013" s="114"/>
    </row>
    <row r="1014" spans="1:82" ht="19.5" x14ac:dyDescent="0.4">
      <c r="A1014" s="117"/>
      <c r="B1014" s="123"/>
      <c r="C1014" s="123"/>
      <c r="D1014" s="123"/>
      <c r="AQ1014" s="127"/>
      <c r="AR1014" s="29"/>
      <c r="AV1014" s="115"/>
      <c r="AW1014" s="115"/>
      <c r="AX1014" s="115"/>
      <c r="AY1014" s="115"/>
      <c r="AZ1014" s="115"/>
      <c r="BA1014" s="115"/>
      <c r="BB1014" s="25">
        <v>45686</v>
      </c>
      <c r="BC1014" s="15" t="s">
        <v>148</v>
      </c>
      <c r="BH1014" s="117"/>
      <c r="BI1014" s="123"/>
      <c r="BJ1014" s="123"/>
      <c r="BK1014" s="123"/>
      <c r="BP1014" s="115"/>
      <c r="BQ1014" s="115"/>
      <c r="BR1014" s="115"/>
      <c r="BS1014" s="115"/>
      <c r="BT1014" s="115"/>
      <c r="BU1014" s="115"/>
      <c r="BV1014" s="115"/>
      <c r="BW1014" s="115"/>
      <c r="BX1014" s="115"/>
      <c r="BY1014" s="115"/>
      <c r="BZ1014" s="25"/>
      <c r="CA1014" s="13"/>
      <c r="CD1014" s="114"/>
    </row>
    <row r="1015" spans="1:82" ht="19.5" x14ac:dyDescent="0.4">
      <c r="A1015" s="117"/>
      <c r="B1015" s="123"/>
      <c r="C1015" s="123"/>
      <c r="D1015" s="123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27"/>
      <c r="AR1015" s="29"/>
      <c r="AV1015" s="115"/>
      <c r="AW1015" s="115"/>
      <c r="AX1015" s="115"/>
      <c r="AY1015" s="115"/>
      <c r="AZ1015" s="115"/>
      <c r="BA1015" s="115"/>
      <c r="BB1015" s="25"/>
      <c r="BC1015" s="15"/>
      <c r="BH1015" s="117"/>
      <c r="BI1015" s="123"/>
      <c r="BJ1015" s="123"/>
      <c r="BK1015" s="123"/>
      <c r="BP1015" s="115"/>
      <c r="BQ1015" s="115"/>
      <c r="BR1015" s="115"/>
      <c r="BS1015" s="115"/>
      <c r="BT1015" s="115"/>
      <c r="BU1015" s="115"/>
      <c r="BV1015" s="115"/>
      <c r="BW1015" s="115"/>
      <c r="BX1015" s="115"/>
      <c r="BY1015" s="115"/>
      <c r="BZ1015" s="25"/>
      <c r="CA1015" s="13"/>
      <c r="CD1015" s="114"/>
    </row>
    <row r="1016" spans="1:82" ht="19.5" x14ac:dyDescent="0.4">
      <c r="A1016" s="117"/>
      <c r="B1016" s="123"/>
      <c r="C1016" s="123"/>
      <c r="D1016" s="123"/>
      <c r="AQ1016" s="127"/>
      <c r="AR1016" s="29"/>
      <c r="BB1016" s="25">
        <v>45686</v>
      </c>
      <c r="BC1016" s="15" t="s">
        <v>146</v>
      </c>
      <c r="BH1016" s="117"/>
      <c r="BI1016" s="123"/>
      <c r="BJ1016" s="123"/>
      <c r="BK1016" s="123"/>
      <c r="BP1016" s="115"/>
      <c r="BQ1016" s="115"/>
      <c r="BR1016" s="115"/>
      <c r="BS1016" s="115"/>
      <c r="BT1016" s="115"/>
      <c r="BU1016" s="115"/>
      <c r="BV1016" s="115"/>
      <c r="BW1016" s="115"/>
      <c r="BX1016" s="115"/>
      <c r="BY1016" s="115" t="s">
        <v>154</v>
      </c>
      <c r="BZ1016" s="13">
        <f>SUBTOTAL(3,BZ1010:BZ1010)</f>
        <v>1</v>
      </c>
      <c r="CA1016" s="13">
        <f>SUBTOTAL(3,CA1010:CA1010)</f>
        <v>1</v>
      </c>
      <c r="CD1016" s="114"/>
    </row>
    <row r="1017" spans="1:82" ht="19.5" x14ac:dyDescent="0.4">
      <c r="A1017" s="117"/>
      <c r="B1017" s="123"/>
      <c r="C1017" s="123"/>
      <c r="D1017" s="123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27"/>
      <c r="AR1017" s="29"/>
      <c r="BB1017" s="25"/>
      <c r="BC1017" s="15"/>
      <c r="BH1017" s="117"/>
      <c r="BI1017" s="123"/>
      <c r="BJ1017" s="123"/>
      <c r="BK1017" s="123"/>
      <c r="BP1017" s="115"/>
      <c r="BQ1017" s="115"/>
      <c r="BR1017" s="115"/>
      <c r="BS1017" s="115"/>
      <c r="BT1017" s="115"/>
      <c r="BU1017" s="115"/>
      <c r="BV1017" s="115"/>
      <c r="BW1017" s="115"/>
      <c r="BX1017" s="115"/>
      <c r="BY1017" s="115"/>
      <c r="BZ1017" s="13"/>
      <c r="CA1017" s="13"/>
      <c r="CD1017" s="114"/>
    </row>
    <row r="1018" spans="1:82" ht="19.5" x14ac:dyDescent="0.4">
      <c r="A1018" s="117"/>
      <c r="B1018" s="123"/>
      <c r="C1018" s="123"/>
      <c r="D1018" s="123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27"/>
      <c r="AR1018" s="29"/>
      <c r="BB1018" s="25"/>
      <c r="BC1018" s="15"/>
      <c r="BH1018" s="117"/>
      <c r="BI1018" s="123"/>
      <c r="BJ1018" s="123"/>
      <c r="BK1018" s="123"/>
      <c r="BP1018" s="115"/>
      <c r="BQ1018" s="115"/>
      <c r="BR1018" s="115"/>
      <c r="BS1018" s="115"/>
      <c r="BT1018" s="115"/>
      <c r="BU1018" s="115"/>
      <c r="BV1018" s="115"/>
      <c r="BW1018" s="115"/>
      <c r="BX1018" s="115"/>
      <c r="BY1018" s="115"/>
      <c r="BZ1018" s="13"/>
      <c r="CA1018" s="13"/>
      <c r="CD1018" s="114"/>
    </row>
    <row r="1019" spans="1:82" ht="19.5" x14ac:dyDescent="0.4">
      <c r="A1019" s="117"/>
      <c r="B1019" s="123"/>
      <c r="C1019" s="123"/>
      <c r="D1019" s="123"/>
      <c r="AQ1019" s="127"/>
      <c r="AR1019" s="29"/>
      <c r="BB1019" s="25">
        <v>45686</v>
      </c>
      <c r="BC1019" s="15" t="s">
        <v>146</v>
      </c>
      <c r="BH1019" s="117"/>
      <c r="BI1019" s="123"/>
      <c r="BJ1019" s="123"/>
      <c r="BK1019" s="123"/>
      <c r="BP1019" s="115"/>
      <c r="BQ1019" s="115"/>
      <c r="BR1019" s="115"/>
      <c r="BS1019" s="115"/>
      <c r="BT1019" s="115"/>
      <c r="BU1019" s="115"/>
      <c r="BV1019" s="115"/>
      <c r="BW1019" s="115"/>
      <c r="BX1019" s="115"/>
      <c r="BY1019" s="115"/>
      <c r="BZ1019" s="25">
        <v>45265</v>
      </c>
      <c r="CA1019" s="13" t="s">
        <v>162</v>
      </c>
      <c r="CD1019" s="114"/>
    </row>
    <row r="1020" spans="1:82" ht="19.5" x14ac:dyDescent="0.4">
      <c r="A1020" s="117"/>
      <c r="B1020" s="123"/>
      <c r="C1020" s="123"/>
      <c r="D1020" s="123"/>
      <c r="AQ1020" s="127"/>
      <c r="AR1020" s="29"/>
      <c r="BB1020" s="25">
        <v>45686</v>
      </c>
      <c r="BC1020" s="15" t="s">
        <v>146</v>
      </c>
      <c r="BH1020" s="117"/>
      <c r="BI1020" s="123"/>
      <c r="BJ1020" s="123"/>
      <c r="BK1020" s="123"/>
      <c r="BP1020" s="115"/>
      <c r="BQ1020" s="115"/>
      <c r="BR1020" s="115"/>
      <c r="BS1020" s="115"/>
      <c r="BT1020" s="115"/>
      <c r="BU1020" s="115"/>
      <c r="BV1020" s="115"/>
      <c r="BW1020" s="115"/>
      <c r="BX1020" s="115"/>
      <c r="BY1020" s="115"/>
      <c r="BZ1020" s="25">
        <v>45265</v>
      </c>
      <c r="CA1020" s="25" t="s">
        <v>162</v>
      </c>
      <c r="CD1020" s="114"/>
    </row>
    <row r="1021" spans="1:82" ht="19.5" x14ac:dyDescent="0.4">
      <c r="A1021" s="117"/>
      <c r="B1021" s="123"/>
      <c r="C1021" s="123"/>
      <c r="D1021" s="123"/>
      <c r="AQ1021" s="127"/>
      <c r="AR1021" s="29"/>
      <c r="AS1021" s="115"/>
      <c r="AT1021" s="115"/>
      <c r="AU1021" s="115"/>
      <c r="AV1021" s="115"/>
      <c r="AW1021" s="115"/>
      <c r="AX1021" s="115"/>
      <c r="AY1021" s="115"/>
      <c r="AZ1021" s="115"/>
      <c r="BA1021" s="115"/>
      <c r="BB1021" s="25">
        <v>45686</v>
      </c>
      <c r="BC1021" s="15" t="s">
        <v>146</v>
      </c>
      <c r="BH1021" s="117"/>
      <c r="BI1021" s="123"/>
      <c r="BJ1021" s="123"/>
      <c r="BK1021" s="123"/>
      <c r="BP1021" s="115"/>
      <c r="BQ1021" s="115"/>
      <c r="BR1021" s="115"/>
      <c r="BS1021" s="115"/>
      <c r="BT1021" s="115"/>
      <c r="BU1021" s="115"/>
      <c r="BV1021" s="115"/>
      <c r="BW1021" s="115"/>
      <c r="BX1021" s="115"/>
      <c r="BY1021" s="115"/>
      <c r="BZ1021" s="25"/>
      <c r="CA1021" s="25"/>
      <c r="CD1021" s="114"/>
    </row>
    <row r="1022" spans="1:82" ht="19.5" x14ac:dyDescent="0.4">
      <c r="A1022" s="117"/>
      <c r="B1022" s="123"/>
      <c r="C1022" s="123"/>
      <c r="D1022" s="123"/>
      <c r="AQ1022" s="128"/>
      <c r="AR1022" s="29"/>
      <c r="AS1022" s="115"/>
      <c r="AT1022" s="115"/>
      <c r="AU1022" s="115"/>
      <c r="AV1022" s="115"/>
      <c r="AW1022" s="115"/>
      <c r="AX1022" s="115"/>
      <c r="AY1022" s="115"/>
      <c r="AZ1022" s="115"/>
      <c r="BA1022" s="115"/>
      <c r="BB1022" s="25"/>
      <c r="BC1022" s="13"/>
      <c r="BH1022" s="117"/>
      <c r="BI1022" s="123"/>
      <c r="BJ1022" s="123"/>
      <c r="BK1022" s="123"/>
      <c r="BP1022" s="115"/>
      <c r="BQ1022" s="115"/>
      <c r="BR1022" s="115"/>
      <c r="BS1022" s="115"/>
      <c r="BT1022" s="115"/>
      <c r="BU1022" s="115"/>
      <c r="BV1022" s="115"/>
      <c r="BW1022" s="115"/>
      <c r="BX1022" s="115"/>
      <c r="BY1022" s="115"/>
      <c r="BZ1022" s="25"/>
      <c r="CA1022" s="25"/>
      <c r="CD1022" s="114"/>
    </row>
    <row r="1023" spans="1:82" ht="19.5" x14ac:dyDescent="0.4">
      <c r="A1023" s="117"/>
      <c r="B1023" s="123"/>
      <c r="C1023" s="123"/>
      <c r="D1023" s="123"/>
      <c r="AQ1023" s="127"/>
      <c r="AR1023" s="29"/>
      <c r="BB1023" s="25">
        <v>45686</v>
      </c>
      <c r="BC1023" s="13" t="s">
        <v>146</v>
      </c>
      <c r="BH1023" s="117"/>
      <c r="BI1023" s="123"/>
      <c r="BJ1023" s="123"/>
      <c r="BK1023" s="123"/>
      <c r="BP1023" s="115"/>
      <c r="BQ1023" s="115"/>
      <c r="BR1023" s="115"/>
      <c r="BS1023" s="115"/>
      <c r="BT1023" s="115"/>
      <c r="BU1023" s="115"/>
      <c r="BV1023" s="115"/>
      <c r="BW1023" s="115"/>
      <c r="BX1023" s="115"/>
      <c r="BY1023" s="115"/>
      <c r="BZ1023" s="25">
        <v>45265</v>
      </c>
      <c r="CA1023" s="13" t="s">
        <v>162</v>
      </c>
      <c r="CD1023" s="114"/>
    </row>
    <row r="1024" spans="1:82" ht="19.5" x14ac:dyDescent="0.4">
      <c r="A1024" s="117"/>
      <c r="B1024" s="123"/>
      <c r="C1024" s="123"/>
      <c r="D1024" s="123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27"/>
      <c r="AR1024" s="29"/>
      <c r="BB1024" s="25"/>
      <c r="BC1024" s="13"/>
      <c r="BH1024" s="117"/>
      <c r="BI1024" s="123"/>
      <c r="BJ1024" s="123"/>
      <c r="BK1024" s="123"/>
      <c r="BP1024" s="115"/>
      <c r="BQ1024" s="115"/>
      <c r="BR1024" s="115"/>
      <c r="BS1024" s="115"/>
      <c r="BT1024" s="115"/>
      <c r="BU1024" s="115"/>
      <c r="BV1024" s="115"/>
      <c r="BW1024" s="115"/>
      <c r="BX1024" s="115"/>
      <c r="BY1024" s="115"/>
      <c r="BZ1024" s="25"/>
      <c r="CA1024" s="13"/>
      <c r="CD1024" s="114"/>
    </row>
    <row r="1025" spans="1:82" ht="19.5" x14ac:dyDescent="0.4">
      <c r="A1025" s="117"/>
      <c r="B1025" s="123"/>
      <c r="C1025" s="123"/>
      <c r="D1025" s="123"/>
      <c r="AQ1025" s="127"/>
      <c r="AR1025" s="29"/>
      <c r="AX1025" s="115"/>
      <c r="AY1025" s="115"/>
      <c r="AZ1025" s="115"/>
      <c r="BA1025" s="115"/>
      <c r="BB1025" s="25">
        <v>45686</v>
      </c>
      <c r="BC1025" s="15" t="s">
        <v>146</v>
      </c>
      <c r="BH1025" s="117"/>
      <c r="BI1025" s="123"/>
      <c r="BJ1025" s="123"/>
      <c r="BK1025" s="123"/>
      <c r="BP1025" s="115"/>
      <c r="BQ1025" s="115"/>
      <c r="BR1025" s="115"/>
      <c r="BS1025" s="115"/>
      <c r="BT1025" s="115"/>
      <c r="BU1025" s="115"/>
      <c r="BV1025" s="115"/>
      <c r="BW1025" s="115"/>
      <c r="BX1025" s="115"/>
      <c r="BY1025" s="115"/>
      <c r="BZ1025" s="25"/>
      <c r="CA1025" s="13"/>
      <c r="CD1025" s="114"/>
    </row>
    <row r="1026" spans="1:82" ht="19.5" x14ac:dyDescent="0.4">
      <c r="A1026" s="117"/>
      <c r="B1026" s="123"/>
      <c r="C1026" s="123"/>
      <c r="D1026" s="123"/>
      <c r="AQ1026" s="127"/>
      <c r="AR1026" s="29"/>
      <c r="BB1026" s="25">
        <v>45686</v>
      </c>
      <c r="BC1026" s="15" t="s">
        <v>147</v>
      </c>
      <c r="BH1026" s="117"/>
      <c r="BI1026" s="123"/>
      <c r="BJ1026" s="123"/>
      <c r="BK1026" s="123"/>
      <c r="BP1026" s="115"/>
      <c r="BQ1026" s="115"/>
      <c r="BR1026" s="115"/>
      <c r="BS1026" s="115"/>
      <c r="BT1026" s="115"/>
      <c r="BU1026" s="115"/>
      <c r="BV1026" s="115"/>
      <c r="BW1026" s="115"/>
      <c r="BX1026" s="115"/>
      <c r="BY1026" s="115"/>
      <c r="BZ1026" s="25">
        <v>45265</v>
      </c>
      <c r="CA1026" s="13" t="s">
        <v>162</v>
      </c>
      <c r="CD1026" s="114"/>
    </row>
    <row r="1027" spans="1:82" ht="19.5" x14ac:dyDescent="0.4">
      <c r="A1027" s="117"/>
      <c r="B1027" s="123"/>
      <c r="C1027" s="123"/>
      <c r="D1027" s="123"/>
      <c r="AQ1027" s="127"/>
      <c r="AR1027" s="29"/>
      <c r="AY1027" s="115"/>
      <c r="AZ1027" s="115"/>
      <c r="BA1027" s="115"/>
      <c r="BB1027" s="25">
        <v>45686</v>
      </c>
      <c r="BC1027" s="15" t="s">
        <v>147</v>
      </c>
      <c r="BH1027" s="117"/>
      <c r="BI1027" s="123"/>
      <c r="BJ1027" s="123"/>
      <c r="BK1027" s="123"/>
      <c r="BP1027" s="115"/>
      <c r="BQ1027" s="115"/>
      <c r="BR1027" s="115"/>
      <c r="BS1027" s="115"/>
      <c r="BT1027" s="115"/>
      <c r="BU1027" s="115"/>
      <c r="BV1027" s="115"/>
      <c r="BW1027" s="115"/>
      <c r="BX1027" s="115"/>
      <c r="BY1027" s="115"/>
      <c r="BZ1027" s="25"/>
      <c r="CA1027" s="13"/>
      <c r="CD1027" s="114"/>
    </row>
    <row r="1028" spans="1:82" ht="19.5" x14ac:dyDescent="0.4">
      <c r="A1028" s="117"/>
      <c r="B1028" s="123"/>
      <c r="C1028" s="123"/>
      <c r="D1028" s="123"/>
      <c r="AQ1028" s="127"/>
      <c r="AR1028" s="29"/>
      <c r="AS1028" s="115"/>
      <c r="AT1028" s="115"/>
      <c r="AU1028" s="115"/>
      <c r="AV1028" s="115"/>
      <c r="AW1028" s="115"/>
      <c r="AX1028" s="115"/>
      <c r="AY1028" s="115"/>
      <c r="AZ1028" s="115"/>
      <c r="BA1028" s="115"/>
      <c r="BB1028" s="25">
        <v>45686</v>
      </c>
      <c r="BC1028" s="13" t="s">
        <v>146</v>
      </c>
      <c r="BH1028" s="117"/>
      <c r="BI1028" s="123"/>
      <c r="BJ1028" s="123"/>
      <c r="BK1028" s="123"/>
      <c r="BP1028" s="115"/>
      <c r="BQ1028" s="115"/>
      <c r="BR1028" s="115"/>
      <c r="BS1028" s="115"/>
      <c r="BT1028" s="115"/>
      <c r="BU1028" s="115"/>
      <c r="BV1028" s="115"/>
      <c r="BW1028" s="115"/>
      <c r="BX1028" s="115"/>
      <c r="BY1028" s="115"/>
      <c r="BZ1028" s="25"/>
      <c r="CA1028" s="13"/>
      <c r="CD1028" s="114"/>
    </row>
    <row r="1029" spans="1:82" ht="19.5" x14ac:dyDescent="0.4">
      <c r="A1029" s="117"/>
      <c r="B1029" s="123"/>
      <c r="C1029" s="123"/>
      <c r="D1029" s="123"/>
      <c r="AQ1029" s="127"/>
      <c r="AR1029" s="29"/>
      <c r="BB1029" s="25">
        <v>45686</v>
      </c>
      <c r="BC1029" s="25" t="s">
        <v>146</v>
      </c>
      <c r="BH1029" s="117"/>
      <c r="BI1029" s="123"/>
      <c r="BJ1029" s="123"/>
      <c r="BK1029" s="123"/>
      <c r="BP1029" s="115"/>
      <c r="BQ1029" s="115"/>
      <c r="BR1029" s="115"/>
      <c r="BS1029" s="115"/>
      <c r="BT1029" s="115"/>
      <c r="BU1029" s="115"/>
      <c r="BV1029" s="115"/>
      <c r="BW1029" s="115"/>
      <c r="BX1029" s="115"/>
      <c r="BY1029" s="115"/>
      <c r="BZ1029" s="25">
        <v>45265</v>
      </c>
      <c r="CA1029" s="13" t="s">
        <v>163</v>
      </c>
      <c r="CD1029" s="114"/>
    </row>
    <row r="1030" spans="1:82" ht="19.5" x14ac:dyDescent="0.4">
      <c r="A1030" s="117"/>
      <c r="B1030" s="123"/>
      <c r="C1030" s="123"/>
      <c r="D1030" s="123"/>
      <c r="AQ1030" s="127"/>
      <c r="AR1030" s="29"/>
      <c r="BB1030" s="25">
        <v>45686</v>
      </c>
      <c r="BC1030" s="25" t="s">
        <v>147</v>
      </c>
      <c r="BH1030" s="117"/>
      <c r="BI1030" s="123"/>
      <c r="BJ1030" s="123"/>
      <c r="BK1030" s="123"/>
      <c r="BP1030" s="115"/>
      <c r="BQ1030" s="115"/>
      <c r="BR1030" s="115"/>
      <c r="BS1030" s="115"/>
      <c r="BT1030" s="115"/>
      <c r="BU1030" s="115"/>
      <c r="BV1030" s="115"/>
      <c r="BW1030" s="115"/>
      <c r="BX1030" s="115"/>
      <c r="BY1030" s="115" t="s">
        <v>155</v>
      </c>
      <c r="BZ1030" s="13">
        <f>SUBTOTAL(3,BZ1019:BZ1029)</f>
        <v>5</v>
      </c>
      <c r="CA1030" s="13">
        <f>SUBTOTAL(3,CA1019:CA1029)</f>
        <v>5</v>
      </c>
      <c r="CD1030" s="114"/>
    </row>
    <row r="1031" spans="1:82" ht="19.5" x14ac:dyDescent="0.4">
      <c r="A1031" s="117"/>
      <c r="B1031" s="123"/>
      <c r="C1031" s="123"/>
      <c r="D1031" s="123"/>
      <c r="AQ1031" s="127"/>
      <c r="AR1031" s="29"/>
      <c r="AS1031" s="115"/>
      <c r="AT1031" s="115"/>
      <c r="AU1031" s="115"/>
      <c r="AV1031" s="115"/>
      <c r="AW1031" s="115"/>
      <c r="AX1031" s="115"/>
      <c r="AY1031" s="115"/>
      <c r="AZ1031" s="115"/>
      <c r="BA1031" s="115"/>
      <c r="BB1031" s="25">
        <v>45686</v>
      </c>
      <c r="BC1031" s="25" t="s">
        <v>148</v>
      </c>
      <c r="BH1031" s="117"/>
      <c r="BI1031" s="123"/>
      <c r="BJ1031" s="123"/>
      <c r="BK1031" s="123"/>
      <c r="BP1031" s="115"/>
      <c r="BQ1031" s="115"/>
      <c r="BR1031" s="115"/>
      <c r="BS1031" s="115"/>
      <c r="BT1031" s="115"/>
      <c r="BU1031" s="115"/>
      <c r="BV1031" s="115"/>
      <c r="BW1031" s="115"/>
      <c r="BX1031" s="115"/>
      <c r="BY1031" s="115"/>
      <c r="BZ1031" s="13"/>
      <c r="CA1031" s="13"/>
      <c r="CD1031" s="114"/>
    </row>
    <row r="1032" spans="1:82" ht="19.5" x14ac:dyDescent="0.4">
      <c r="A1032" s="117"/>
      <c r="B1032" s="123"/>
      <c r="C1032" s="123"/>
      <c r="D1032" s="123"/>
      <c r="AQ1032" s="127"/>
      <c r="AR1032" s="29"/>
      <c r="AS1032" s="115"/>
      <c r="AT1032" s="115"/>
      <c r="AU1032" s="115"/>
      <c r="AV1032" s="115"/>
      <c r="AW1032" s="115"/>
      <c r="AX1032" s="115"/>
      <c r="AY1032" s="115"/>
      <c r="AZ1032" s="115"/>
      <c r="BA1032" s="115"/>
      <c r="BB1032" s="25">
        <v>45686</v>
      </c>
      <c r="BC1032" s="13" t="s">
        <v>146</v>
      </c>
      <c r="BH1032" s="117"/>
      <c r="BI1032" s="123"/>
      <c r="BJ1032" s="123"/>
      <c r="BK1032" s="123"/>
      <c r="BP1032" s="115"/>
      <c r="BQ1032" s="115"/>
      <c r="BR1032" s="115"/>
      <c r="BS1032" s="115"/>
      <c r="BT1032" s="115"/>
      <c r="BU1032" s="115"/>
      <c r="BV1032" s="115"/>
      <c r="BW1032" s="115"/>
      <c r="BX1032" s="115"/>
      <c r="BY1032" s="115"/>
      <c r="BZ1032" s="13"/>
      <c r="CA1032" s="13"/>
      <c r="CD1032" s="114"/>
    </row>
    <row r="1033" spans="1:82" ht="19.5" x14ac:dyDescent="0.4">
      <c r="A1033" s="117"/>
      <c r="B1033" s="123"/>
      <c r="C1033" s="123"/>
      <c r="D1033" s="123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  <c r="AK1033" s="115"/>
      <c r="AL1033" s="115"/>
      <c r="AM1033" s="115"/>
      <c r="AN1033" s="115"/>
      <c r="AO1033" s="115"/>
      <c r="AP1033" s="115"/>
      <c r="AQ1033" s="127"/>
      <c r="AR1033" s="29"/>
      <c r="AS1033" s="115"/>
      <c r="AT1033" s="115"/>
      <c r="AU1033" s="115"/>
      <c r="AV1033" s="115"/>
      <c r="AW1033" s="115"/>
      <c r="AX1033" s="115"/>
      <c r="AY1033" s="115"/>
      <c r="AZ1033" s="115"/>
      <c r="BA1033" s="115"/>
      <c r="BB1033" s="25">
        <v>45686</v>
      </c>
      <c r="BC1033" s="13" t="s">
        <v>146</v>
      </c>
      <c r="BH1033" s="117"/>
      <c r="BI1033" s="123"/>
      <c r="BJ1033" s="123"/>
      <c r="BK1033" s="123"/>
      <c r="BP1033" s="115"/>
      <c r="BQ1033" s="115"/>
      <c r="BR1033" s="115"/>
      <c r="BS1033" s="115"/>
      <c r="BT1033" s="115"/>
      <c r="BU1033" s="115"/>
      <c r="BV1033" s="115"/>
      <c r="BW1033" s="115"/>
      <c r="BX1033" s="115"/>
      <c r="BY1033" s="115"/>
      <c r="BZ1033" s="13"/>
      <c r="CA1033" s="13"/>
      <c r="CD1033" s="114"/>
    </row>
    <row r="1034" spans="1:82" ht="19.5" x14ac:dyDescent="0.4">
      <c r="A1034" s="117"/>
      <c r="B1034" s="123"/>
      <c r="C1034" s="123"/>
      <c r="D1034" s="123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27"/>
      <c r="AR1034" s="29"/>
      <c r="AS1034" s="115"/>
      <c r="AT1034" s="115"/>
      <c r="AU1034" s="115"/>
      <c r="AV1034" s="115"/>
      <c r="AW1034" s="115"/>
      <c r="AX1034" s="115"/>
      <c r="AY1034" s="115"/>
      <c r="AZ1034" s="115"/>
      <c r="BA1034" s="115"/>
      <c r="BB1034" s="25">
        <v>45686</v>
      </c>
      <c r="BC1034" s="15" t="s">
        <v>148</v>
      </c>
      <c r="BH1034" s="117"/>
      <c r="BI1034" s="123"/>
      <c r="BJ1034" s="123"/>
      <c r="BK1034" s="123"/>
      <c r="BP1034" s="115"/>
      <c r="BQ1034" s="115"/>
      <c r="BR1034" s="115"/>
      <c r="BS1034" s="115"/>
      <c r="BT1034" s="115"/>
      <c r="BU1034" s="115"/>
      <c r="BV1034" s="115"/>
      <c r="BW1034" s="115"/>
      <c r="BX1034" s="115"/>
      <c r="BY1034" s="115"/>
      <c r="BZ1034" s="13"/>
      <c r="CA1034" s="13"/>
      <c r="CD1034" s="114"/>
    </row>
    <row r="1035" spans="1:82" ht="19.5" x14ac:dyDescent="0.4">
      <c r="A1035" s="117"/>
      <c r="B1035" s="123"/>
      <c r="C1035" s="123"/>
      <c r="D1035" s="123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127"/>
      <c r="AR1035" s="29"/>
      <c r="AS1035" s="115"/>
      <c r="AT1035" s="115"/>
      <c r="AU1035" s="115"/>
      <c r="AV1035" s="115"/>
      <c r="AW1035" s="115"/>
      <c r="AX1035" s="115"/>
      <c r="AY1035" s="115"/>
      <c r="AZ1035" s="115"/>
      <c r="BA1035" s="115"/>
      <c r="BB1035" s="25">
        <v>45686</v>
      </c>
      <c r="BC1035" s="15" t="s">
        <v>148</v>
      </c>
      <c r="BH1035" s="117"/>
      <c r="BI1035" s="123"/>
      <c r="BJ1035" s="123"/>
      <c r="BK1035" s="123"/>
      <c r="BP1035" s="115"/>
      <c r="BQ1035" s="115"/>
      <c r="BR1035" s="115"/>
      <c r="BS1035" s="115"/>
      <c r="BT1035" s="115"/>
      <c r="BU1035" s="115"/>
      <c r="BV1035" s="115"/>
      <c r="BW1035" s="115"/>
      <c r="BX1035" s="115"/>
      <c r="BY1035" s="115"/>
      <c r="BZ1035" s="13"/>
      <c r="CA1035" s="13"/>
      <c r="CD1035" s="114"/>
    </row>
    <row r="1036" spans="1:82" ht="19.5" x14ac:dyDescent="0.4">
      <c r="A1036" s="117"/>
      <c r="B1036" s="123"/>
      <c r="C1036" s="123"/>
      <c r="D1036" s="123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27"/>
      <c r="AR1036" s="29"/>
      <c r="AS1036" s="115"/>
      <c r="AT1036" s="115"/>
      <c r="AU1036" s="115"/>
      <c r="AV1036" s="115"/>
      <c r="AW1036" s="115"/>
      <c r="AX1036" s="115"/>
      <c r="AY1036" s="115"/>
      <c r="AZ1036" s="115"/>
      <c r="BA1036" s="115"/>
      <c r="BB1036" s="25">
        <v>45686</v>
      </c>
      <c r="BC1036" s="15" t="s">
        <v>148</v>
      </c>
      <c r="BH1036" s="117"/>
      <c r="BI1036" s="123"/>
      <c r="BJ1036" s="123"/>
      <c r="BK1036" s="123"/>
      <c r="BP1036" s="115"/>
      <c r="BQ1036" s="115"/>
      <c r="BR1036" s="115"/>
      <c r="BS1036" s="115"/>
      <c r="BT1036" s="115"/>
      <c r="BU1036" s="115"/>
      <c r="BV1036" s="115"/>
      <c r="BW1036" s="115"/>
      <c r="BX1036" s="115"/>
      <c r="BY1036" s="115"/>
      <c r="BZ1036" s="13"/>
      <c r="CA1036" s="13"/>
      <c r="CD1036" s="114"/>
    </row>
    <row r="1037" spans="1:82" ht="19.5" x14ac:dyDescent="0.4">
      <c r="A1037" s="117"/>
      <c r="B1037" s="123"/>
      <c r="C1037" s="123"/>
      <c r="D1037" s="123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115"/>
      <c r="AP1037" s="115"/>
      <c r="AQ1037" s="127"/>
      <c r="AR1037" s="29"/>
      <c r="AS1037" s="115"/>
      <c r="AT1037" s="115"/>
      <c r="AU1037" s="115"/>
      <c r="AV1037" s="115"/>
      <c r="AW1037" s="115"/>
      <c r="AX1037" s="115"/>
      <c r="AY1037" s="115"/>
      <c r="AZ1037" s="115"/>
      <c r="BA1037" s="115"/>
      <c r="BB1037" s="25">
        <v>45686</v>
      </c>
      <c r="BC1037" s="15" t="s">
        <v>146</v>
      </c>
      <c r="BH1037" s="117"/>
      <c r="BI1037" s="123"/>
      <c r="BJ1037" s="123"/>
      <c r="BK1037" s="123"/>
      <c r="BP1037" s="115"/>
      <c r="BQ1037" s="115"/>
      <c r="BR1037" s="115"/>
      <c r="BS1037" s="115"/>
      <c r="BT1037" s="115"/>
      <c r="BU1037" s="115"/>
      <c r="BV1037" s="115"/>
      <c r="BW1037" s="115"/>
      <c r="BX1037" s="115"/>
      <c r="BY1037" s="115"/>
      <c r="BZ1037" s="13"/>
      <c r="CA1037" s="13"/>
      <c r="CD1037" s="114"/>
    </row>
    <row r="1038" spans="1:82" ht="19.5" x14ac:dyDescent="0.4">
      <c r="A1038" s="117"/>
      <c r="B1038" s="123"/>
      <c r="C1038" s="123"/>
      <c r="D1038" s="123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27"/>
      <c r="AR1038" s="29"/>
      <c r="AS1038" s="115"/>
      <c r="AT1038" s="115"/>
      <c r="AU1038" s="115"/>
      <c r="AV1038" s="115"/>
      <c r="AW1038" s="115"/>
      <c r="AX1038" s="115"/>
      <c r="AY1038" s="115"/>
      <c r="AZ1038" s="115"/>
      <c r="BA1038" s="115"/>
      <c r="BB1038" s="25">
        <v>45686</v>
      </c>
      <c r="BC1038" s="15" t="s">
        <v>148</v>
      </c>
      <c r="BH1038" s="117"/>
      <c r="BI1038" s="123"/>
      <c r="BJ1038" s="123"/>
      <c r="BK1038" s="123"/>
      <c r="BP1038" s="115"/>
      <c r="BQ1038" s="115"/>
      <c r="BR1038" s="115"/>
      <c r="BS1038" s="115"/>
      <c r="BT1038" s="115"/>
      <c r="BU1038" s="115"/>
      <c r="BV1038" s="115"/>
      <c r="BW1038" s="115"/>
      <c r="BX1038" s="115"/>
      <c r="BY1038" s="115"/>
      <c r="BZ1038" s="13"/>
      <c r="CA1038" s="13"/>
      <c r="CD1038" s="114"/>
    </row>
    <row r="1039" spans="1:82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27"/>
      <c r="AR1039" s="29"/>
      <c r="AS1039" s="115"/>
      <c r="AT1039" s="115"/>
      <c r="AU1039" s="115"/>
      <c r="AV1039" s="115"/>
      <c r="AW1039" s="115"/>
      <c r="AX1039" s="115"/>
      <c r="AY1039" s="115"/>
      <c r="AZ1039" s="115"/>
      <c r="BA1039" s="115"/>
      <c r="BB1039" s="25">
        <v>45689</v>
      </c>
      <c r="BC1039" s="15" t="s">
        <v>147</v>
      </c>
      <c r="BH1039" s="117"/>
      <c r="BI1039" s="123"/>
      <c r="BJ1039" s="123"/>
      <c r="BK1039" s="123"/>
      <c r="BP1039" s="115"/>
      <c r="BQ1039" s="115"/>
      <c r="BR1039" s="115"/>
      <c r="BS1039" s="115"/>
      <c r="BT1039" s="115"/>
      <c r="BU1039" s="115"/>
      <c r="BV1039" s="115"/>
      <c r="BW1039" s="115"/>
      <c r="BX1039" s="115"/>
      <c r="BY1039" s="115"/>
      <c r="BZ1039" s="13"/>
      <c r="CA1039" s="13"/>
      <c r="CD1039" s="114"/>
    </row>
    <row r="1040" spans="1:82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27"/>
      <c r="AR1040" s="29"/>
      <c r="AS1040" s="115"/>
      <c r="AT1040" s="115"/>
      <c r="AU1040" s="115"/>
      <c r="AV1040" s="115"/>
      <c r="AW1040" s="115"/>
      <c r="AX1040" s="115"/>
      <c r="AY1040" s="115"/>
      <c r="AZ1040" s="115"/>
      <c r="BA1040" s="115"/>
      <c r="BB1040" s="25"/>
      <c r="BC1040" s="15"/>
      <c r="BH1040" s="117"/>
      <c r="BI1040" s="123"/>
      <c r="BJ1040" s="123"/>
      <c r="BK1040" s="123"/>
      <c r="BP1040" s="115"/>
      <c r="BQ1040" s="115"/>
      <c r="BR1040" s="115"/>
      <c r="BS1040" s="115"/>
      <c r="BT1040" s="115"/>
      <c r="BU1040" s="115"/>
      <c r="BV1040" s="115"/>
      <c r="BW1040" s="115"/>
      <c r="BX1040" s="115"/>
      <c r="BY1040" s="115"/>
      <c r="BZ1040" s="13"/>
      <c r="CA1040" s="13"/>
      <c r="CD1040" s="114"/>
    </row>
    <row r="1041" spans="1:82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27"/>
      <c r="AR1041" s="29"/>
      <c r="AS1041" s="115"/>
      <c r="AT1041" s="115"/>
      <c r="AU1041" s="115"/>
      <c r="AV1041" s="115"/>
      <c r="AW1041" s="115"/>
      <c r="AX1041" s="115"/>
      <c r="AY1041" s="115"/>
      <c r="AZ1041" s="115"/>
      <c r="BA1041" s="115"/>
      <c r="BB1041" s="25">
        <v>45689</v>
      </c>
      <c r="BC1041" s="15" t="s">
        <v>147</v>
      </c>
      <c r="BH1041" s="117"/>
      <c r="BI1041" s="123"/>
      <c r="BJ1041" s="123"/>
      <c r="BK1041" s="123"/>
      <c r="BP1041" s="115"/>
      <c r="BQ1041" s="115"/>
      <c r="BR1041" s="115"/>
      <c r="BS1041" s="115"/>
      <c r="BT1041" s="115"/>
      <c r="BU1041" s="115"/>
      <c r="BV1041" s="115"/>
      <c r="BW1041" s="115"/>
      <c r="BX1041" s="115"/>
      <c r="BY1041" s="115"/>
      <c r="BZ1041" s="13"/>
      <c r="CA1041" s="13"/>
      <c r="CD1041" s="114"/>
    </row>
    <row r="1042" spans="1:82" ht="19.5" x14ac:dyDescent="0.4">
      <c r="A1042" s="117"/>
      <c r="B1042" s="123"/>
      <c r="C1042" s="123"/>
      <c r="D1042" s="123"/>
      <c r="AQ1042" s="127"/>
      <c r="AR1042" s="29"/>
      <c r="BB1042" s="25">
        <v>45689</v>
      </c>
      <c r="BC1042" s="15" t="s">
        <v>146</v>
      </c>
      <c r="BH1042" s="117"/>
      <c r="BI1042" s="123"/>
      <c r="BJ1042" s="123"/>
      <c r="BK1042" s="123"/>
      <c r="BM1042" s="115"/>
      <c r="BN1042" s="115"/>
      <c r="BO1042" s="115"/>
      <c r="BP1042" s="115"/>
      <c r="BQ1042" s="115"/>
      <c r="BR1042" s="115"/>
      <c r="BS1042" s="115"/>
      <c r="BT1042" s="115"/>
      <c r="BU1042" s="115"/>
      <c r="BV1042" s="115"/>
      <c r="BW1042" s="115"/>
      <c r="BX1042" s="115"/>
      <c r="BY1042" s="115"/>
      <c r="BZ1042" s="25">
        <v>45266</v>
      </c>
      <c r="CA1042" s="25" t="s">
        <v>162</v>
      </c>
      <c r="CD1042" s="114"/>
    </row>
    <row r="1043" spans="1:82" ht="19.5" x14ac:dyDescent="0.4">
      <c r="A1043" s="117"/>
      <c r="B1043" s="123"/>
      <c r="C1043" s="123"/>
      <c r="D1043" s="123"/>
      <c r="AQ1043" s="128"/>
      <c r="AR1043" s="29"/>
      <c r="BB1043" s="25"/>
      <c r="BC1043" s="15"/>
      <c r="BH1043" s="117"/>
      <c r="BI1043" s="123"/>
      <c r="BJ1043" s="123"/>
      <c r="BK1043" s="123"/>
      <c r="BM1043" s="115"/>
      <c r="BN1043" s="115"/>
      <c r="BO1043" s="115"/>
      <c r="BP1043" s="115"/>
      <c r="BQ1043" s="115"/>
      <c r="BR1043" s="115"/>
      <c r="BS1043" s="115"/>
      <c r="BT1043" s="115"/>
      <c r="BU1043" s="115"/>
      <c r="BV1043" s="115"/>
      <c r="BW1043" s="115"/>
      <c r="BX1043" s="115"/>
      <c r="BY1043" s="115"/>
      <c r="BZ1043" s="25"/>
      <c r="CA1043" s="25"/>
      <c r="CD1043" s="114"/>
    </row>
    <row r="1044" spans="1:82" ht="19.5" x14ac:dyDescent="0.4">
      <c r="A1044" s="117"/>
      <c r="B1044" s="123"/>
      <c r="C1044" s="123"/>
      <c r="D1044" s="123"/>
      <c r="AQ1044" s="127"/>
      <c r="AR1044" s="29"/>
      <c r="AS1044" s="115"/>
      <c r="AT1044" s="115"/>
      <c r="AU1044" s="115"/>
      <c r="AV1044" s="115"/>
      <c r="AW1044" s="115"/>
      <c r="AX1044" s="115"/>
      <c r="AY1044" s="115"/>
      <c r="AZ1044" s="115"/>
      <c r="BA1044" s="115"/>
      <c r="BB1044" s="25">
        <v>45689</v>
      </c>
      <c r="BC1044" s="15" t="s">
        <v>146</v>
      </c>
      <c r="BH1044" s="117"/>
      <c r="BI1044" s="123"/>
      <c r="BJ1044" s="123"/>
      <c r="BK1044" s="123"/>
      <c r="BM1044" s="115"/>
      <c r="BN1044" s="115"/>
      <c r="BO1044" s="115"/>
      <c r="BP1044" s="115"/>
      <c r="BQ1044" s="115"/>
      <c r="BR1044" s="115"/>
      <c r="BS1044" s="115"/>
      <c r="BT1044" s="115"/>
      <c r="BU1044" s="115"/>
      <c r="BV1044" s="115"/>
      <c r="BW1044" s="115"/>
      <c r="BX1044" s="115"/>
      <c r="BY1044" s="115"/>
      <c r="BZ1044" s="25"/>
      <c r="CA1044" s="25"/>
      <c r="CD1044" s="114"/>
    </row>
    <row r="1045" spans="1:82" ht="19.5" x14ac:dyDescent="0.4">
      <c r="A1045" s="117"/>
      <c r="B1045" s="123"/>
      <c r="C1045" s="123"/>
      <c r="D1045" s="123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27"/>
      <c r="AR1045" s="29"/>
      <c r="AS1045" s="115"/>
      <c r="AT1045" s="115"/>
      <c r="AU1045" s="115"/>
      <c r="AV1045" s="115"/>
      <c r="AW1045" s="115"/>
      <c r="AX1045" s="115"/>
      <c r="AY1045" s="115"/>
      <c r="AZ1045" s="115"/>
      <c r="BA1045" s="115"/>
      <c r="BB1045" s="25"/>
      <c r="BC1045" s="15"/>
      <c r="BH1045" s="117"/>
      <c r="BI1045" s="123"/>
      <c r="BJ1045" s="123"/>
      <c r="BK1045" s="123"/>
      <c r="BM1045" s="115"/>
      <c r="BN1045" s="115"/>
      <c r="BO1045" s="115"/>
      <c r="BP1045" s="115"/>
      <c r="BQ1045" s="115"/>
      <c r="BR1045" s="115"/>
      <c r="BS1045" s="115"/>
      <c r="BT1045" s="115"/>
      <c r="BU1045" s="115"/>
      <c r="BV1045" s="115"/>
      <c r="BW1045" s="115"/>
      <c r="BX1045" s="115"/>
      <c r="BY1045" s="115"/>
      <c r="BZ1045" s="25"/>
      <c r="CA1045" s="25"/>
      <c r="CD1045" s="114"/>
    </row>
    <row r="1046" spans="1:82" ht="19.5" x14ac:dyDescent="0.4">
      <c r="A1046" s="117"/>
      <c r="B1046" s="123"/>
      <c r="C1046" s="123"/>
      <c r="D1046" s="123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27"/>
      <c r="AR1046" s="29"/>
      <c r="AS1046" s="115"/>
      <c r="AT1046" s="115"/>
      <c r="AU1046" s="115"/>
      <c r="AV1046" s="115"/>
      <c r="AW1046" s="115"/>
      <c r="AX1046" s="115"/>
      <c r="AY1046" s="115"/>
      <c r="AZ1046" s="115"/>
      <c r="BA1046" s="115"/>
      <c r="BB1046" s="25"/>
      <c r="BC1046" s="15"/>
      <c r="BH1046" s="117"/>
      <c r="BI1046" s="123"/>
      <c r="BJ1046" s="123"/>
      <c r="BK1046" s="123"/>
      <c r="BM1046" s="115"/>
      <c r="BN1046" s="115"/>
      <c r="BO1046" s="115"/>
      <c r="BP1046" s="115"/>
      <c r="BQ1046" s="115"/>
      <c r="BR1046" s="115"/>
      <c r="BS1046" s="115"/>
      <c r="BT1046" s="115"/>
      <c r="BU1046" s="115"/>
      <c r="BV1046" s="115"/>
      <c r="BW1046" s="115"/>
      <c r="BX1046" s="115"/>
      <c r="BY1046" s="115"/>
      <c r="BZ1046" s="25"/>
      <c r="CA1046" s="25"/>
      <c r="CD1046" s="114"/>
    </row>
    <row r="1047" spans="1:82" ht="19.5" x14ac:dyDescent="0.4">
      <c r="A1047" s="117"/>
      <c r="B1047" s="123"/>
      <c r="C1047" s="123"/>
      <c r="D1047" s="123"/>
      <c r="AQ1047" s="127"/>
      <c r="AR1047" s="29"/>
      <c r="AS1047" s="115"/>
      <c r="AT1047" s="115"/>
      <c r="AU1047" s="115"/>
      <c r="AV1047" s="115"/>
      <c r="AW1047" s="115"/>
      <c r="AX1047" s="115"/>
      <c r="AY1047" s="115"/>
      <c r="AZ1047" s="115"/>
      <c r="BA1047" s="115"/>
      <c r="BB1047" s="25">
        <v>45690</v>
      </c>
      <c r="BC1047" s="15" t="s">
        <v>146</v>
      </c>
      <c r="BH1047" s="117"/>
      <c r="BI1047" s="123"/>
      <c r="BJ1047" s="123"/>
      <c r="BK1047" s="123"/>
      <c r="BM1047" s="115"/>
      <c r="BN1047" s="115"/>
      <c r="BO1047" s="115"/>
      <c r="BP1047" s="115"/>
      <c r="BQ1047" s="115"/>
      <c r="BR1047" s="115"/>
      <c r="BS1047" s="115"/>
      <c r="BT1047" s="115"/>
      <c r="BU1047" s="115"/>
      <c r="BV1047" s="115"/>
      <c r="BW1047" s="115"/>
      <c r="BX1047" s="115"/>
      <c r="BY1047" s="115"/>
      <c r="BZ1047" s="25"/>
      <c r="CA1047" s="25"/>
      <c r="CD1047" s="114"/>
    </row>
    <row r="1048" spans="1:82" ht="19.5" x14ac:dyDescent="0.4">
      <c r="A1048" s="117"/>
      <c r="B1048" s="123"/>
      <c r="C1048" s="123"/>
      <c r="D1048" s="123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27"/>
      <c r="AR1048" s="29"/>
      <c r="AS1048" s="115"/>
      <c r="AT1048" s="115"/>
      <c r="AU1048" s="115"/>
      <c r="AV1048" s="115"/>
      <c r="AW1048" s="115"/>
      <c r="AX1048" s="115"/>
      <c r="AY1048" s="115"/>
      <c r="AZ1048" s="115"/>
      <c r="BA1048" s="115"/>
      <c r="BB1048" s="25"/>
      <c r="BC1048" s="15"/>
      <c r="BH1048" s="117"/>
      <c r="BI1048" s="123"/>
      <c r="BJ1048" s="123"/>
      <c r="BK1048" s="123"/>
      <c r="BM1048" s="115"/>
      <c r="BN1048" s="115"/>
      <c r="BO1048" s="115"/>
      <c r="BP1048" s="115"/>
      <c r="BQ1048" s="115"/>
      <c r="BR1048" s="115"/>
      <c r="BS1048" s="115"/>
      <c r="BT1048" s="115"/>
      <c r="BU1048" s="115"/>
      <c r="BV1048" s="115"/>
      <c r="BW1048" s="115"/>
      <c r="BX1048" s="115"/>
      <c r="BY1048" s="115"/>
      <c r="BZ1048" s="25"/>
      <c r="CA1048" s="25"/>
      <c r="CD1048" s="114"/>
    </row>
    <row r="1049" spans="1:82" ht="19.5" x14ac:dyDescent="0.4">
      <c r="A1049" s="117"/>
      <c r="B1049" s="123"/>
      <c r="C1049" s="123"/>
      <c r="D1049" s="123"/>
      <c r="AQ1049" s="127"/>
      <c r="AR1049" s="29"/>
      <c r="AS1049" s="115"/>
      <c r="AT1049" s="115"/>
      <c r="AU1049" s="115"/>
      <c r="AV1049" s="115"/>
      <c r="AW1049" s="115"/>
      <c r="AX1049" s="115"/>
      <c r="AY1049" s="115"/>
      <c r="AZ1049" s="115"/>
      <c r="BA1049" s="115"/>
      <c r="BB1049" s="25">
        <v>45691</v>
      </c>
      <c r="BC1049" s="15" t="s">
        <v>146</v>
      </c>
      <c r="BH1049" s="117"/>
      <c r="BI1049" s="123"/>
      <c r="BJ1049" s="123"/>
      <c r="BK1049" s="123"/>
      <c r="BM1049" s="115"/>
      <c r="BN1049" s="115"/>
      <c r="BO1049" s="115"/>
      <c r="BP1049" s="115"/>
      <c r="BQ1049" s="115"/>
      <c r="BR1049" s="115"/>
      <c r="BS1049" s="115"/>
      <c r="BT1049" s="115"/>
      <c r="BU1049" s="115"/>
      <c r="BV1049" s="115"/>
      <c r="BW1049" s="115"/>
      <c r="BX1049" s="115"/>
      <c r="BY1049" s="115"/>
      <c r="BZ1049" s="25"/>
      <c r="CA1049" s="25"/>
      <c r="CD1049" s="114"/>
    </row>
    <row r="1050" spans="1:82" ht="19.5" x14ac:dyDescent="0.4">
      <c r="A1050" s="117"/>
      <c r="B1050" s="123"/>
      <c r="C1050" s="123"/>
      <c r="D1050" s="123"/>
      <c r="AQ1050" s="127"/>
      <c r="AR1050" s="29"/>
      <c r="BB1050" s="25">
        <v>45691</v>
      </c>
      <c r="BC1050" s="15" t="s">
        <v>146</v>
      </c>
      <c r="BH1050" s="117"/>
      <c r="BI1050" s="123"/>
      <c r="BJ1050" s="123"/>
      <c r="BK1050" s="123"/>
      <c r="BM1050" s="115"/>
      <c r="BN1050" s="115"/>
      <c r="BO1050" s="115"/>
      <c r="BP1050" s="115"/>
      <c r="BQ1050" s="115"/>
      <c r="BR1050" s="115"/>
      <c r="BS1050" s="115"/>
      <c r="BT1050" s="115"/>
      <c r="BU1050" s="115"/>
      <c r="BV1050" s="115"/>
      <c r="BW1050" s="115"/>
      <c r="BX1050" s="115"/>
      <c r="BY1050" s="115" t="s">
        <v>156</v>
      </c>
      <c r="BZ1050" s="13">
        <f>SUBTOTAL(3,BZ1042:BZ1042)</f>
        <v>1</v>
      </c>
      <c r="CA1050" s="13">
        <f>SUBTOTAL(3,CA1042:CA1042)</f>
        <v>1</v>
      </c>
      <c r="CD1050" s="114"/>
    </row>
    <row r="1051" spans="1:82" ht="19.5" x14ac:dyDescent="0.4">
      <c r="A1051" s="117"/>
      <c r="B1051" s="123"/>
      <c r="C1051" s="123"/>
      <c r="D1051" s="123"/>
      <c r="AQ1051" s="127"/>
      <c r="AR1051" s="29"/>
      <c r="AX1051" s="115"/>
      <c r="AY1051" s="115"/>
      <c r="AZ1051" s="115"/>
      <c r="BA1051" s="115"/>
      <c r="BB1051" s="25">
        <v>45691</v>
      </c>
      <c r="BC1051" s="15" t="s">
        <v>146</v>
      </c>
      <c r="BH1051" s="117"/>
      <c r="BI1051" s="123"/>
      <c r="BJ1051" s="123"/>
      <c r="BK1051" s="123"/>
      <c r="BM1051" s="115"/>
      <c r="BN1051" s="115"/>
      <c r="BO1051" s="115"/>
      <c r="BP1051" s="115"/>
      <c r="BQ1051" s="115"/>
      <c r="BR1051" s="115"/>
      <c r="BS1051" s="115"/>
      <c r="BT1051" s="115"/>
      <c r="BU1051" s="115"/>
      <c r="BV1051" s="115"/>
      <c r="BW1051" s="115"/>
      <c r="BX1051" s="115"/>
      <c r="BY1051" s="115"/>
      <c r="BZ1051" s="13"/>
      <c r="CA1051" s="13"/>
      <c r="CD1051" s="114"/>
    </row>
    <row r="1052" spans="1:82" ht="19.5" x14ac:dyDescent="0.4">
      <c r="A1052" s="117"/>
      <c r="B1052" s="123"/>
      <c r="C1052" s="123"/>
      <c r="D1052" s="123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27"/>
      <c r="AR1052" s="29"/>
      <c r="AX1052" s="115"/>
      <c r="AY1052" s="115"/>
      <c r="AZ1052" s="115"/>
      <c r="BA1052" s="115"/>
      <c r="BB1052" s="25"/>
      <c r="BC1052" s="15"/>
      <c r="BH1052" s="117"/>
      <c r="BI1052" s="123"/>
      <c r="BJ1052" s="123"/>
      <c r="BK1052" s="123"/>
      <c r="BM1052" s="115"/>
      <c r="BN1052" s="115"/>
      <c r="BO1052" s="115"/>
      <c r="BP1052" s="115"/>
      <c r="BQ1052" s="115"/>
      <c r="BR1052" s="115"/>
      <c r="BS1052" s="115"/>
      <c r="BT1052" s="115"/>
      <c r="BU1052" s="115"/>
      <c r="BV1052" s="115"/>
      <c r="BW1052" s="115"/>
      <c r="BX1052" s="115"/>
      <c r="BY1052" s="115"/>
      <c r="BZ1052" s="13"/>
      <c r="CA1052" s="13"/>
      <c r="CD1052" s="114"/>
    </row>
    <row r="1053" spans="1:82" ht="19.5" x14ac:dyDescent="0.4">
      <c r="A1053" s="117"/>
      <c r="B1053" s="123"/>
      <c r="C1053" s="123"/>
      <c r="D1053" s="123"/>
      <c r="AQ1053" s="127"/>
      <c r="AR1053" s="29"/>
      <c r="AS1053" s="115"/>
      <c r="AT1053" s="115"/>
      <c r="AU1053" s="115"/>
      <c r="AV1053" s="115"/>
      <c r="AW1053" s="115"/>
      <c r="AX1053" s="115"/>
      <c r="AY1053" s="115"/>
      <c r="AZ1053" s="115"/>
      <c r="BA1053" s="115"/>
      <c r="BB1053" s="25">
        <v>45691</v>
      </c>
      <c r="BC1053" s="15" t="s">
        <v>146</v>
      </c>
      <c r="BH1053" s="117"/>
      <c r="BI1053" s="123"/>
      <c r="BJ1053" s="123"/>
      <c r="BK1053" s="123"/>
      <c r="BM1053" s="115"/>
      <c r="BN1053" s="115"/>
      <c r="BO1053" s="115"/>
      <c r="BP1053" s="115"/>
      <c r="BQ1053" s="115"/>
      <c r="BR1053" s="115"/>
      <c r="BS1053" s="115"/>
      <c r="BT1053" s="115"/>
      <c r="BU1053" s="115"/>
      <c r="BV1053" s="115"/>
      <c r="BW1053" s="115"/>
      <c r="BX1053" s="115"/>
      <c r="BY1053" s="115"/>
      <c r="BZ1053" s="13"/>
      <c r="CA1053" s="13"/>
      <c r="CD1053" s="114"/>
    </row>
    <row r="1054" spans="1:82" ht="19.5" x14ac:dyDescent="0.4">
      <c r="A1054" s="117"/>
      <c r="B1054" s="123"/>
      <c r="C1054" s="123"/>
      <c r="D1054" s="123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27"/>
      <c r="AR1054" s="29"/>
      <c r="AS1054" s="115"/>
      <c r="AT1054" s="115"/>
      <c r="AU1054" s="115"/>
      <c r="AV1054" s="115"/>
      <c r="AW1054" s="115"/>
      <c r="AX1054" s="115"/>
      <c r="AY1054" s="115"/>
      <c r="AZ1054" s="115"/>
      <c r="BA1054" s="115"/>
      <c r="BB1054" s="25"/>
      <c r="BC1054" s="15"/>
      <c r="BH1054" s="117"/>
      <c r="BI1054" s="123"/>
      <c r="BJ1054" s="123"/>
      <c r="BK1054" s="123"/>
      <c r="BM1054" s="115"/>
      <c r="BN1054" s="115"/>
      <c r="BO1054" s="115"/>
      <c r="BP1054" s="115"/>
      <c r="BQ1054" s="115"/>
      <c r="BR1054" s="115"/>
      <c r="BS1054" s="115"/>
      <c r="BT1054" s="115"/>
      <c r="BU1054" s="115"/>
      <c r="BV1054" s="115"/>
      <c r="BW1054" s="115"/>
      <c r="BX1054" s="115"/>
      <c r="BY1054" s="115"/>
      <c r="BZ1054" s="13"/>
      <c r="CA1054" s="13"/>
      <c r="CD1054" s="114"/>
    </row>
    <row r="1055" spans="1:82" ht="19.5" x14ac:dyDescent="0.4">
      <c r="A1055" s="117"/>
      <c r="B1055" s="123"/>
      <c r="C1055" s="123"/>
      <c r="D1055" s="123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27"/>
      <c r="AR1055" s="29"/>
      <c r="AS1055" s="115"/>
      <c r="AT1055" s="115"/>
      <c r="AU1055" s="115"/>
      <c r="AV1055" s="115"/>
      <c r="AW1055" s="115"/>
      <c r="AX1055" s="115"/>
      <c r="AY1055" s="115"/>
      <c r="AZ1055" s="115"/>
      <c r="BA1055" s="115"/>
      <c r="BB1055" s="25"/>
      <c r="BC1055" s="15"/>
      <c r="BH1055" s="117"/>
      <c r="BI1055" s="123"/>
      <c r="BJ1055" s="123"/>
      <c r="BK1055" s="123"/>
      <c r="BM1055" s="115"/>
      <c r="BN1055" s="115"/>
      <c r="BO1055" s="115"/>
      <c r="BP1055" s="115"/>
      <c r="BQ1055" s="115"/>
      <c r="BR1055" s="115"/>
      <c r="BS1055" s="115"/>
      <c r="BT1055" s="115"/>
      <c r="BU1055" s="115"/>
      <c r="BV1055" s="115"/>
      <c r="BW1055" s="115"/>
      <c r="BX1055" s="115"/>
      <c r="BY1055" s="115"/>
      <c r="BZ1055" s="13"/>
      <c r="CA1055" s="13"/>
      <c r="CD1055" s="114"/>
    </row>
    <row r="1056" spans="1:82" ht="19.5" x14ac:dyDescent="0.4">
      <c r="A1056" s="117"/>
      <c r="B1056" s="123"/>
      <c r="C1056" s="123"/>
      <c r="D1056" s="123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27"/>
      <c r="AR1056" s="29"/>
      <c r="AS1056" s="115"/>
      <c r="AT1056" s="115"/>
      <c r="AU1056" s="115"/>
      <c r="AV1056" s="115"/>
      <c r="AW1056" s="115"/>
      <c r="AX1056" s="115"/>
      <c r="AY1056" s="115"/>
      <c r="AZ1056" s="115"/>
      <c r="BA1056" s="115"/>
      <c r="BB1056" s="25"/>
      <c r="BC1056" s="15"/>
      <c r="BH1056" s="117"/>
      <c r="BI1056" s="123"/>
      <c r="BJ1056" s="123"/>
      <c r="BK1056" s="123"/>
      <c r="BM1056" s="115"/>
      <c r="BN1056" s="115"/>
      <c r="BO1056" s="115"/>
      <c r="BP1056" s="115"/>
      <c r="BQ1056" s="115"/>
      <c r="BR1056" s="115"/>
      <c r="BS1056" s="115"/>
      <c r="BT1056" s="115"/>
      <c r="BU1056" s="115"/>
      <c r="BV1056" s="115"/>
      <c r="BW1056" s="115"/>
      <c r="BX1056" s="115"/>
      <c r="BY1056" s="115"/>
      <c r="BZ1056" s="13"/>
      <c r="CA1056" s="13"/>
      <c r="CD1056" s="114"/>
    </row>
    <row r="1057" spans="1:82" ht="19.5" x14ac:dyDescent="0.4">
      <c r="A1057" s="117"/>
      <c r="B1057" s="123"/>
      <c r="C1057" s="123"/>
      <c r="D1057" s="123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28"/>
      <c r="AR1057" s="29"/>
      <c r="AS1057" s="115"/>
      <c r="AT1057" s="115"/>
      <c r="AU1057" s="115"/>
      <c r="AV1057" s="115"/>
      <c r="AW1057" s="115"/>
      <c r="AX1057" s="115"/>
      <c r="AY1057" s="115"/>
      <c r="AZ1057" s="115"/>
      <c r="BA1057" s="115"/>
      <c r="BB1057" s="25"/>
      <c r="BC1057" s="15"/>
      <c r="BH1057" s="117"/>
      <c r="BI1057" s="123"/>
      <c r="BJ1057" s="123"/>
      <c r="BK1057" s="123"/>
      <c r="BM1057" s="115"/>
      <c r="BN1057" s="115"/>
      <c r="BO1057" s="115"/>
      <c r="BP1057" s="115"/>
      <c r="BQ1057" s="115"/>
      <c r="BR1057" s="115"/>
      <c r="BS1057" s="115"/>
      <c r="BT1057" s="115"/>
      <c r="BU1057" s="115"/>
      <c r="BV1057" s="115"/>
      <c r="BW1057" s="115"/>
      <c r="BX1057" s="115"/>
      <c r="BY1057" s="115"/>
      <c r="BZ1057" s="13"/>
      <c r="CA1057" s="13"/>
      <c r="CD1057" s="114"/>
    </row>
    <row r="1058" spans="1:82" ht="19.5" x14ac:dyDescent="0.4">
      <c r="A1058" s="117"/>
      <c r="B1058" s="123"/>
      <c r="C1058" s="123"/>
      <c r="D1058" s="123"/>
      <c r="AQ1058" s="127"/>
      <c r="AR1058" s="29"/>
      <c r="AS1058" s="115"/>
      <c r="AT1058" s="115"/>
      <c r="AU1058" s="115"/>
      <c r="AV1058" s="115"/>
      <c r="AW1058" s="115"/>
      <c r="AX1058" s="115"/>
      <c r="AY1058" s="115"/>
      <c r="AZ1058" s="115"/>
      <c r="BA1058" s="115"/>
      <c r="BB1058" s="25">
        <v>45692</v>
      </c>
      <c r="BC1058" s="15" t="s">
        <v>146</v>
      </c>
      <c r="BH1058" s="117"/>
      <c r="BI1058" s="123"/>
      <c r="BJ1058" s="123"/>
      <c r="BK1058" s="123"/>
      <c r="BM1058" s="115"/>
      <c r="BN1058" s="115"/>
      <c r="BO1058" s="115"/>
      <c r="BP1058" s="115"/>
      <c r="BQ1058" s="115"/>
      <c r="BR1058" s="115"/>
      <c r="BS1058" s="115"/>
      <c r="BT1058" s="115"/>
      <c r="BU1058" s="115"/>
      <c r="BV1058" s="115"/>
      <c r="BW1058" s="115"/>
      <c r="BX1058" s="115"/>
      <c r="BY1058" s="115"/>
      <c r="BZ1058" s="13"/>
      <c r="CA1058" s="13"/>
      <c r="CD1058" s="114"/>
    </row>
    <row r="1059" spans="1:82" ht="19.5" x14ac:dyDescent="0.4">
      <c r="A1059" s="117"/>
      <c r="B1059" s="123"/>
      <c r="C1059" s="123"/>
      <c r="D1059" s="123"/>
      <c r="AQ1059" s="128"/>
      <c r="AR1059" s="29"/>
      <c r="AS1059" s="115"/>
      <c r="AT1059" s="115"/>
      <c r="AU1059" s="115"/>
      <c r="AV1059" s="115"/>
      <c r="AW1059" s="115"/>
      <c r="AX1059" s="115"/>
      <c r="AY1059" s="115"/>
      <c r="AZ1059" s="115"/>
      <c r="BA1059" s="115"/>
      <c r="BB1059" s="25"/>
      <c r="BC1059" s="15"/>
      <c r="BH1059" s="117"/>
      <c r="BI1059" s="123"/>
      <c r="BJ1059" s="123"/>
      <c r="BK1059" s="123"/>
      <c r="BM1059" s="115"/>
      <c r="BN1059" s="115"/>
      <c r="BO1059" s="115"/>
      <c r="BP1059" s="115"/>
      <c r="BQ1059" s="115"/>
      <c r="BR1059" s="115"/>
      <c r="BS1059" s="115"/>
      <c r="BT1059" s="115"/>
      <c r="BU1059" s="115"/>
      <c r="BV1059" s="115"/>
      <c r="BW1059" s="115"/>
      <c r="BX1059" s="115"/>
      <c r="BY1059" s="115"/>
      <c r="BZ1059" s="13"/>
      <c r="CA1059" s="13"/>
      <c r="CD1059" s="114"/>
    </row>
    <row r="1060" spans="1:82" ht="19.5" x14ac:dyDescent="0.4">
      <c r="A1060" s="117"/>
      <c r="B1060" s="123"/>
      <c r="C1060" s="123"/>
      <c r="D1060" s="123"/>
      <c r="AQ1060" s="127"/>
      <c r="AR1060" s="29"/>
      <c r="BB1060" s="25">
        <v>45692</v>
      </c>
      <c r="BC1060" s="15" t="s">
        <v>146</v>
      </c>
      <c r="BH1060" s="117"/>
      <c r="BI1060" s="123"/>
      <c r="BJ1060" s="123"/>
      <c r="BK1060" s="123"/>
      <c r="BM1060" s="115"/>
      <c r="BN1060" s="115"/>
      <c r="BO1060" s="115"/>
      <c r="BP1060" s="115"/>
      <c r="BQ1060" s="115"/>
      <c r="BR1060" s="115"/>
      <c r="BS1060" s="115"/>
      <c r="BT1060" s="115"/>
      <c r="BU1060" s="115"/>
      <c r="BV1060" s="115"/>
      <c r="BW1060" s="115"/>
      <c r="BX1060" s="115"/>
      <c r="BY1060" s="115"/>
      <c r="BZ1060" s="25">
        <v>45267</v>
      </c>
      <c r="CA1060" s="13" t="s">
        <v>142</v>
      </c>
      <c r="CD1060" s="114"/>
    </row>
    <row r="1061" spans="1:82" ht="19.5" x14ac:dyDescent="0.4">
      <c r="A1061" s="117"/>
      <c r="B1061" s="123"/>
      <c r="C1061" s="123"/>
      <c r="D1061" s="123"/>
      <c r="AQ1061" s="127"/>
      <c r="AR1061" s="29"/>
      <c r="AX1061" s="115"/>
      <c r="AY1061" s="115"/>
      <c r="AZ1061" s="115"/>
      <c r="BA1061" s="115"/>
      <c r="BB1061" s="25">
        <v>45692</v>
      </c>
      <c r="BC1061" s="15" t="s">
        <v>146</v>
      </c>
      <c r="BH1061" s="117"/>
      <c r="BI1061" s="123"/>
      <c r="BJ1061" s="123"/>
      <c r="BK1061" s="123"/>
      <c r="BM1061" s="115"/>
      <c r="BN1061" s="115"/>
      <c r="BO1061" s="115"/>
      <c r="BP1061" s="115"/>
      <c r="BQ1061" s="115"/>
      <c r="BR1061" s="115"/>
      <c r="BS1061" s="115"/>
      <c r="BT1061" s="115"/>
      <c r="BU1061" s="115"/>
      <c r="BV1061" s="115"/>
      <c r="BW1061" s="115"/>
      <c r="BX1061" s="115"/>
      <c r="BY1061" s="115"/>
      <c r="BZ1061" s="25"/>
      <c r="CA1061" s="13"/>
      <c r="CD1061" s="114"/>
    </row>
    <row r="1062" spans="1:82" ht="19.5" x14ac:dyDescent="0.4">
      <c r="A1062" s="117"/>
      <c r="B1062" s="123"/>
      <c r="C1062" s="123"/>
      <c r="D1062" s="123"/>
      <c r="AQ1062" s="127"/>
      <c r="AR1062" s="29"/>
      <c r="AT1062" s="115"/>
      <c r="AU1062" s="115"/>
      <c r="AV1062" s="115"/>
      <c r="AW1062" s="115"/>
      <c r="AX1062" s="115"/>
      <c r="AY1062" s="115"/>
      <c r="AZ1062" s="115"/>
      <c r="BA1062" s="115"/>
      <c r="BB1062" s="25">
        <v>45692</v>
      </c>
      <c r="BC1062" s="15" t="s">
        <v>146</v>
      </c>
      <c r="BH1062" s="117"/>
      <c r="BI1062" s="123"/>
      <c r="BJ1062" s="123"/>
      <c r="BK1062" s="123"/>
      <c r="BM1062" s="115"/>
      <c r="BN1062" s="115"/>
      <c r="BO1062" s="115"/>
      <c r="BP1062" s="115"/>
      <c r="BQ1062" s="115"/>
      <c r="BR1062" s="115"/>
      <c r="BS1062" s="115"/>
      <c r="BT1062" s="115"/>
      <c r="BU1062" s="115"/>
      <c r="BV1062" s="115"/>
      <c r="BW1062" s="115"/>
      <c r="BX1062" s="115"/>
      <c r="BY1062" s="115"/>
      <c r="BZ1062" s="25"/>
      <c r="CA1062" s="13"/>
      <c r="CD1062" s="114"/>
    </row>
    <row r="1063" spans="1:82" ht="19.5" x14ac:dyDescent="0.4">
      <c r="A1063" s="117"/>
      <c r="B1063" s="123"/>
      <c r="C1063" s="123"/>
      <c r="D1063" s="123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27"/>
      <c r="AR1063" s="29"/>
      <c r="AT1063" s="115"/>
      <c r="AU1063" s="115"/>
      <c r="AV1063" s="115"/>
      <c r="AW1063" s="115"/>
      <c r="AX1063" s="115"/>
      <c r="AY1063" s="115"/>
      <c r="AZ1063" s="115"/>
      <c r="BA1063" s="115"/>
      <c r="BB1063" s="25"/>
      <c r="BC1063" s="15"/>
      <c r="BH1063" s="117"/>
      <c r="BI1063" s="123"/>
      <c r="BJ1063" s="123"/>
      <c r="BK1063" s="123"/>
      <c r="BM1063" s="115"/>
      <c r="BN1063" s="115"/>
      <c r="BO1063" s="115"/>
      <c r="BP1063" s="115"/>
      <c r="BQ1063" s="115"/>
      <c r="BR1063" s="115"/>
      <c r="BS1063" s="115"/>
      <c r="BT1063" s="115"/>
      <c r="BU1063" s="115"/>
      <c r="BV1063" s="115"/>
      <c r="BW1063" s="115"/>
      <c r="BX1063" s="115"/>
      <c r="BY1063" s="115"/>
      <c r="BZ1063" s="25"/>
      <c r="CA1063" s="13"/>
      <c r="CD1063" s="114"/>
    </row>
    <row r="1064" spans="1:82" ht="19.5" x14ac:dyDescent="0.4">
      <c r="A1064" s="117"/>
      <c r="B1064" s="123"/>
      <c r="C1064" s="123"/>
      <c r="D1064" s="123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28"/>
      <c r="AR1064" s="29"/>
      <c r="AT1064" s="115"/>
      <c r="AU1064" s="115"/>
      <c r="AV1064" s="115"/>
      <c r="AW1064" s="115"/>
      <c r="AX1064" s="115"/>
      <c r="AY1064" s="115"/>
      <c r="AZ1064" s="115"/>
      <c r="BA1064" s="115"/>
      <c r="BB1064" s="25"/>
      <c r="BC1064" s="15"/>
      <c r="BH1064" s="117"/>
      <c r="BI1064" s="123"/>
      <c r="BJ1064" s="123"/>
      <c r="BK1064" s="123"/>
      <c r="BM1064" s="115"/>
      <c r="BN1064" s="115"/>
      <c r="BO1064" s="115"/>
      <c r="BP1064" s="115"/>
      <c r="BQ1064" s="115"/>
      <c r="BR1064" s="115"/>
      <c r="BS1064" s="115"/>
      <c r="BT1064" s="115"/>
      <c r="BU1064" s="115"/>
      <c r="BV1064" s="115"/>
      <c r="BW1064" s="115"/>
      <c r="BX1064" s="115"/>
      <c r="BY1064" s="115"/>
      <c r="BZ1064" s="25"/>
      <c r="CA1064" s="13"/>
      <c r="CD1064" s="114"/>
    </row>
    <row r="1065" spans="1:82" ht="19.5" x14ac:dyDescent="0.4">
      <c r="A1065" s="117"/>
      <c r="B1065" s="123"/>
      <c r="C1065" s="123"/>
      <c r="D1065" s="123"/>
      <c r="AQ1065" s="127"/>
      <c r="AR1065" s="29"/>
      <c r="AS1065" s="115"/>
      <c r="AT1065" s="115"/>
      <c r="AU1065" s="115"/>
      <c r="AV1065" s="115"/>
      <c r="AW1065" s="115"/>
      <c r="AX1065" s="115"/>
      <c r="AY1065" s="115"/>
      <c r="AZ1065" s="115"/>
      <c r="BA1065" s="115"/>
      <c r="BB1065" s="25">
        <v>45693</v>
      </c>
      <c r="BC1065" s="15" t="s">
        <v>146</v>
      </c>
      <c r="BH1065" s="117"/>
      <c r="BI1065" s="123"/>
      <c r="BJ1065" s="123"/>
      <c r="BK1065" s="123"/>
      <c r="BM1065" s="115"/>
      <c r="BN1065" s="115"/>
      <c r="BO1065" s="115"/>
      <c r="BP1065" s="115"/>
      <c r="BQ1065" s="115"/>
      <c r="BR1065" s="115"/>
      <c r="BS1065" s="115"/>
      <c r="BT1065" s="115"/>
      <c r="BU1065" s="115"/>
      <c r="BV1065" s="115"/>
      <c r="BW1065" s="115"/>
      <c r="BX1065" s="115"/>
      <c r="BY1065" s="115"/>
      <c r="BZ1065" s="25"/>
      <c r="CA1065" s="13"/>
      <c r="CD1065" s="114"/>
    </row>
    <row r="1066" spans="1:82" ht="19.5" x14ac:dyDescent="0.4">
      <c r="A1066" s="117"/>
      <c r="B1066" s="123"/>
      <c r="C1066" s="123"/>
      <c r="D1066" s="123"/>
      <c r="AQ1066" s="128"/>
      <c r="AR1066" s="29"/>
      <c r="AS1066" s="115"/>
      <c r="AT1066" s="115"/>
      <c r="AU1066" s="115"/>
      <c r="AV1066" s="115"/>
      <c r="AW1066" s="115"/>
      <c r="AX1066" s="115"/>
      <c r="AY1066" s="115"/>
      <c r="AZ1066" s="115"/>
      <c r="BA1066" s="115"/>
      <c r="BB1066" s="25"/>
      <c r="BC1066" s="15"/>
      <c r="BH1066" s="117"/>
      <c r="BI1066" s="123"/>
      <c r="BJ1066" s="123"/>
      <c r="BK1066" s="123"/>
      <c r="BM1066" s="115"/>
      <c r="BN1066" s="115"/>
      <c r="BO1066" s="115"/>
      <c r="BP1066" s="115"/>
      <c r="BQ1066" s="115"/>
      <c r="BR1066" s="115"/>
      <c r="BS1066" s="115"/>
      <c r="BT1066" s="115"/>
      <c r="BU1066" s="115"/>
      <c r="BV1066" s="115"/>
      <c r="BW1066" s="115"/>
      <c r="BX1066" s="115"/>
      <c r="BY1066" s="115"/>
      <c r="BZ1066" s="25"/>
      <c r="CA1066" s="13"/>
      <c r="CD1066" s="114"/>
    </row>
    <row r="1067" spans="1:82" ht="19.5" x14ac:dyDescent="0.4">
      <c r="A1067" s="117"/>
      <c r="B1067" s="123"/>
      <c r="C1067" s="123"/>
      <c r="D1067" s="123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27"/>
      <c r="AR1067" s="29"/>
      <c r="AS1067" s="115"/>
      <c r="AT1067" s="115"/>
      <c r="AU1067" s="115"/>
      <c r="AV1067" s="115"/>
      <c r="AW1067" s="115"/>
      <c r="AX1067" s="115"/>
      <c r="AY1067" s="115"/>
      <c r="AZ1067" s="115"/>
      <c r="BA1067" s="115"/>
      <c r="BB1067" s="25"/>
      <c r="BC1067" s="15"/>
      <c r="BH1067" s="117"/>
      <c r="BI1067" s="123"/>
      <c r="BJ1067" s="123"/>
      <c r="BK1067" s="123"/>
      <c r="BM1067" s="115"/>
      <c r="BN1067" s="115"/>
      <c r="BO1067" s="115"/>
      <c r="BP1067" s="115"/>
      <c r="BQ1067" s="115"/>
      <c r="BR1067" s="115"/>
      <c r="BS1067" s="115"/>
      <c r="BT1067" s="115"/>
      <c r="BU1067" s="115"/>
      <c r="BV1067" s="115"/>
      <c r="BW1067" s="115"/>
      <c r="BX1067" s="115"/>
      <c r="BY1067" s="115"/>
      <c r="BZ1067" s="25"/>
      <c r="CA1067" s="13"/>
      <c r="CD1067" s="114"/>
    </row>
    <row r="1068" spans="1:82" ht="19.5" x14ac:dyDescent="0.4">
      <c r="A1068" s="117"/>
      <c r="B1068" s="123"/>
      <c r="C1068" s="123"/>
      <c r="D1068" s="123"/>
      <c r="AQ1068" s="127"/>
      <c r="AR1068" s="29"/>
      <c r="BB1068" s="25">
        <v>45693</v>
      </c>
      <c r="BC1068" s="15" t="s">
        <v>146</v>
      </c>
      <c r="BH1068" s="117"/>
      <c r="BI1068" s="123"/>
      <c r="BJ1068" s="123"/>
      <c r="BK1068" s="123"/>
      <c r="BM1068" s="115"/>
      <c r="BN1068" s="115"/>
      <c r="BO1068" s="115"/>
      <c r="BP1068" s="115"/>
      <c r="BQ1068" s="115"/>
      <c r="BR1068" s="115"/>
      <c r="BS1068" s="115"/>
      <c r="BT1068" s="115"/>
      <c r="BU1068" s="115"/>
      <c r="BV1068" s="115"/>
      <c r="BW1068" s="115"/>
      <c r="BX1068" s="115"/>
      <c r="BY1068" s="115" t="s">
        <v>157</v>
      </c>
      <c r="BZ1068" s="13">
        <f>SUBTOTAL(3,BZ1060:BZ1060)</f>
        <v>1</v>
      </c>
      <c r="CA1068" s="13">
        <f>SUBTOTAL(3,CA1060:CA1060)</f>
        <v>1</v>
      </c>
      <c r="CD1068" s="114"/>
    </row>
    <row r="1069" spans="1:82" ht="19.5" x14ac:dyDescent="0.4">
      <c r="A1069" s="117"/>
      <c r="B1069" s="123"/>
      <c r="C1069" s="123"/>
      <c r="D1069" s="123"/>
      <c r="AQ1069" s="127"/>
      <c r="AR1069" s="29"/>
      <c r="AT1069" s="115"/>
      <c r="AU1069" s="115"/>
      <c r="AV1069" s="115"/>
      <c r="AW1069" s="115"/>
      <c r="AX1069" s="115"/>
      <c r="AY1069" s="115"/>
      <c r="AZ1069" s="115"/>
      <c r="BA1069" s="115"/>
      <c r="BB1069" s="25">
        <v>45693</v>
      </c>
      <c r="BC1069" s="15" t="s">
        <v>146</v>
      </c>
      <c r="BH1069" s="117"/>
      <c r="BI1069" s="123"/>
      <c r="BJ1069" s="123"/>
      <c r="BK1069" s="123"/>
      <c r="BM1069" s="115"/>
      <c r="BN1069" s="115"/>
      <c r="BO1069" s="115"/>
      <c r="BP1069" s="115"/>
      <c r="BQ1069" s="115"/>
      <c r="BR1069" s="115"/>
      <c r="BS1069" s="115"/>
      <c r="BT1069" s="115"/>
      <c r="BU1069" s="115"/>
      <c r="BV1069" s="115"/>
      <c r="BW1069" s="115"/>
      <c r="BX1069" s="115"/>
      <c r="BY1069" s="115"/>
      <c r="BZ1069" s="13"/>
      <c r="CA1069" s="13"/>
      <c r="CD1069" s="114"/>
    </row>
    <row r="1070" spans="1:82" ht="19.5" x14ac:dyDescent="0.4">
      <c r="A1070" s="117"/>
      <c r="B1070" s="123"/>
      <c r="C1070" s="123"/>
      <c r="D1070" s="123"/>
      <c r="AQ1070" s="128"/>
      <c r="AR1070" s="29"/>
      <c r="AT1070" s="115"/>
      <c r="AU1070" s="115"/>
      <c r="AV1070" s="115"/>
      <c r="AW1070" s="115"/>
      <c r="AX1070" s="115"/>
      <c r="AY1070" s="115"/>
      <c r="AZ1070" s="115"/>
      <c r="BA1070" s="115"/>
      <c r="BB1070" s="25"/>
      <c r="BC1070" s="15"/>
      <c r="BH1070" s="117"/>
      <c r="BI1070" s="123"/>
      <c r="BJ1070" s="123"/>
      <c r="BK1070" s="123"/>
      <c r="BM1070" s="115"/>
      <c r="BN1070" s="115"/>
      <c r="BO1070" s="115"/>
      <c r="BP1070" s="115"/>
      <c r="BQ1070" s="115"/>
      <c r="BR1070" s="115"/>
      <c r="BS1070" s="115"/>
      <c r="BT1070" s="115"/>
      <c r="BU1070" s="115"/>
      <c r="BV1070" s="115"/>
      <c r="BW1070" s="115"/>
      <c r="BX1070" s="115"/>
      <c r="BY1070" s="115"/>
      <c r="BZ1070" s="13"/>
      <c r="CA1070" s="13"/>
      <c r="CD1070" s="114"/>
    </row>
    <row r="1071" spans="1:82" ht="19.5" x14ac:dyDescent="0.4">
      <c r="A1071" s="117"/>
      <c r="B1071" s="123"/>
      <c r="C1071" s="123"/>
      <c r="D1071" s="123"/>
      <c r="AQ1071" s="128"/>
      <c r="AR1071" s="29"/>
      <c r="AT1071" s="115"/>
      <c r="AU1071" s="115"/>
      <c r="AV1071" s="115"/>
      <c r="AW1071" s="115"/>
      <c r="AX1071" s="115"/>
      <c r="AY1071" s="115"/>
      <c r="AZ1071" s="115"/>
      <c r="BA1071" s="115"/>
      <c r="BB1071" s="25"/>
      <c r="BC1071" s="15"/>
      <c r="BH1071" s="117"/>
      <c r="BI1071" s="123"/>
      <c r="BJ1071" s="123"/>
      <c r="BK1071" s="123"/>
      <c r="BM1071" s="115"/>
      <c r="BN1071" s="115"/>
      <c r="BO1071" s="115"/>
      <c r="BP1071" s="115"/>
      <c r="BQ1071" s="115"/>
      <c r="BR1071" s="115"/>
      <c r="BS1071" s="115"/>
      <c r="BT1071" s="115"/>
      <c r="BU1071" s="115"/>
      <c r="BV1071" s="115"/>
      <c r="BW1071" s="115"/>
      <c r="BX1071" s="115"/>
      <c r="BY1071" s="115"/>
      <c r="BZ1071" s="13"/>
      <c r="CA1071" s="13"/>
      <c r="CD1071" s="114"/>
    </row>
    <row r="1072" spans="1:82" ht="19.5" x14ac:dyDescent="0.4">
      <c r="A1072" s="117"/>
      <c r="B1072" s="123"/>
      <c r="C1072" s="123"/>
      <c r="D1072" s="123"/>
      <c r="AQ1072" s="127"/>
      <c r="AR1072" s="29"/>
      <c r="AT1072" s="115"/>
      <c r="AU1072" s="115"/>
      <c r="AV1072" s="115"/>
      <c r="AW1072" s="115"/>
      <c r="AX1072" s="115"/>
      <c r="AY1072" s="115"/>
      <c r="AZ1072" s="115"/>
      <c r="BA1072" s="115"/>
      <c r="BB1072" s="25">
        <v>45694</v>
      </c>
      <c r="BC1072" s="15" t="s">
        <v>147</v>
      </c>
      <c r="BH1072" s="117"/>
      <c r="BI1072" s="123"/>
      <c r="BJ1072" s="123"/>
      <c r="BK1072" s="123"/>
      <c r="BM1072" s="115"/>
      <c r="BN1072" s="115"/>
      <c r="BO1072" s="115"/>
      <c r="BP1072" s="115"/>
      <c r="BQ1072" s="115"/>
      <c r="BR1072" s="115"/>
      <c r="BS1072" s="115"/>
      <c r="BT1072" s="115"/>
      <c r="BU1072" s="115"/>
      <c r="BV1072" s="115"/>
      <c r="BW1072" s="115"/>
      <c r="BX1072" s="115"/>
      <c r="BY1072" s="115"/>
      <c r="BZ1072" s="13"/>
      <c r="CA1072" s="13"/>
      <c r="CD1072" s="114"/>
    </row>
    <row r="1073" spans="1:82" ht="19.5" x14ac:dyDescent="0.4">
      <c r="A1073" s="117"/>
      <c r="B1073" s="123"/>
      <c r="C1073" s="123"/>
      <c r="D1073" s="123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29"/>
      <c r="AR1073" s="29"/>
      <c r="AT1073" s="115"/>
      <c r="AU1073" s="115"/>
      <c r="AV1073" s="115"/>
      <c r="AW1073" s="115"/>
      <c r="AX1073" s="115"/>
      <c r="AY1073" s="115"/>
      <c r="AZ1073" s="115"/>
      <c r="BA1073" s="115"/>
      <c r="BB1073" s="25"/>
      <c r="BC1073" s="15"/>
      <c r="BH1073" s="117"/>
      <c r="BI1073" s="123"/>
      <c r="BJ1073" s="123"/>
      <c r="BK1073" s="123"/>
      <c r="BM1073" s="115"/>
      <c r="BN1073" s="115"/>
      <c r="BO1073" s="115"/>
      <c r="BP1073" s="115"/>
      <c r="BQ1073" s="115"/>
      <c r="BR1073" s="115"/>
      <c r="BS1073" s="115"/>
      <c r="BT1073" s="115"/>
      <c r="BU1073" s="115"/>
      <c r="BV1073" s="115"/>
      <c r="BW1073" s="115"/>
      <c r="BX1073" s="115"/>
      <c r="BY1073" s="115"/>
      <c r="BZ1073" s="13"/>
      <c r="CA1073" s="13"/>
      <c r="CD1073" s="114"/>
    </row>
    <row r="1074" spans="1:82" ht="19.5" x14ac:dyDescent="0.4">
      <c r="A1074" s="117"/>
      <c r="B1074" s="123"/>
      <c r="C1074" s="123"/>
      <c r="D1074" s="123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115"/>
      <c r="AQ1074" s="29"/>
      <c r="AR1074" s="29"/>
      <c r="AT1074" s="115"/>
      <c r="AU1074" s="115"/>
      <c r="AV1074" s="115"/>
      <c r="AW1074" s="115"/>
      <c r="AX1074" s="115"/>
      <c r="AY1074" s="115"/>
      <c r="AZ1074" s="115"/>
      <c r="BA1074" s="115"/>
      <c r="BB1074" s="25"/>
      <c r="BC1074" s="15"/>
      <c r="BH1074" s="117"/>
      <c r="BI1074" s="123"/>
      <c r="BJ1074" s="123"/>
      <c r="BK1074" s="123"/>
      <c r="BM1074" s="115"/>
      <c r="BN1074" s="115"/>
      <c r="BO1074" s="115"/>
      <c r="BP1074" s="115"/>
      <c r="BQ1074" s="115"/>
      <c r="BR1074" s="115"/>
      <c r="BS1074" s="115"/>
      <c r="BT1074" s="115"/>
      <c r="BU1074" s="115"/>
      <c r="BV1074" s="115"/>
      <c r="BW1074" s="115"/>
      <c r="BX1074" s="115"/>
      <c r="BY1074" s="115"/>
      <c r="BZ1074" s="13"/>
      <c r="CA1074" s="13"/>
      <c r="CD1074" s="114"/>
    </row>
    <row r="1075" spans="1:82" ht="19.5" x14ac:dyDescent="0.4">
      <c r="A1075" s="117"/>
      <c r="B1075" s="123"/>
      <c r="C1075" s="123"/>
      <c r="D1075" s="123"/>
      <c r="AQ1075" s="127"/>
      <c r="AR1075" s="29"/>
      <c r="AT1075" s="115"/>
      <c r="AU1075" s="115"/>
      <c r="AV1075" s="115"/>
      <c r="AW1075" s="115"/>
      <c r="AX1075" s="115"/>
      <c r="AY1075" s="115"/>
      <c r="AZ1075" s="115"/>
      <c r="BA1075" s="115"/>
      <c r="BB1075" s="25">
        <v>45694</v>
      </c>
      <c r="BC1075" s="105" t="s">
        <v>147</v>
      </c>
      <c r="BH1075" s="117"/>
      <c r="BI1075" s="123"/>
      <c r="BJ1075" s="123"/>
      <c r="BK1075" s="123"/>
      <c r="BM1075" s="115"/>
      <c r="BN1075" s="115"/>
      <c r="BO1075" s="115"/>
      <c r="BP1075" s="115"/>
      <c r="BQ1075" s="115"/>
      <c r="BR1075" s="115"/>
      <c r="BS1075" s="115"/>
      <c r="BT1075" s="115"/>
      <c r="BU1075" s="115"/>
      <c r="BV1075" s="115"/>
      <c r="BW1075" s="115"/>
      <c r="BX1075" s="115"/>
      <c r="BY1075" s="115"/>
      <c r="BZ1075" s="13"/>
      <c r="CA1075" s="13"/>
      <c r="CD1075" s="114"/>
    </row>
    <row r="1076" spans="1:82" ht="19.5" x14ac:dyDescent="0.4">
      <c r="A1076" s="117"/>
      <c r="B1076" s="123"/>
      <c r="C1076" s="123"/>
      <c r="D1076" s="123"/>
      <c r="AQ1076" s="127"/>
      <c r="AR1076" s="29"/>
      <c r="AS1076" s="115"/>
      <c r="AT1076" s="115"/>
      <c r="AU1076" s="115"/>
      <c r="AV1076" s="115"/>
      <c r="AW1076" s="115"/>
      <c r="AX1076" s="115"/>
      <c r="AY1076" s="115"/>
      <c r="AZ1076" s="115"/>
      <c r="BA1076" s="115"/>
      <c r="BB1076" s="25">
        <v>45694</v>
      </c>
      <c r="BC1076" s="15" t="s">
        <v>147</v>
      </c>
      <c r="BH1076" s="117"/>
      <c r="BI1076" s="123"/>
      <c r="BJ1076" s="123"/>
      <c r="BK1076" s="123"/>
      <c r="BM1076" s="115"/>
      <c r="BN1076" s="115"/>
      <c r="BO1076" s="115"/>
      <c r="BP1076" s="115"/>
      <c r="BQ1076" s="115"/>
      <c r="BR1076" s="115"/>
      <c r="BS1076" s="115"/>
      <c r="BT1076" s="115"/>
      <c r="BU1076" s="115"/>
      <c r="BV1076" s="115"/>
      <c r="BW1076" s="115"/>
      <c r="BX1076" s="115"/>
      <c r="BY1076" s="115"/>
      <c r="BZ1076" s="13"/>
      <c r="CA1076" s="13"/>
      <c r="CD1076" s="114"/>
    </row>
    <row r="1077" spans="1:82" ht="19.5" x14ac:dyDescent="0.4">
      <c r="A1077" s="117"/>
      <c r="B1077" s="123"/>
      <c r="C1077" s="123"/>
      <c r="D1077" s="123"/>
      <c r="AQ1077" s="127"/>
      <c r="AR1077" s="29"/>
      <c r="AS1077" s="115"/>
      <c r="AT1077" s="115"/>
      <c r="AU1077" s="115"/>
      <c r="AV1077" s="115"/>
      <c r="AW1077" s="115"/>
      <c r="AX1077" s="115"/>
      <c r="AY1077" s="115"/>
      <c r="AZ1077" s="115"/>
      <c r="BA1077" s="115"/>
      <c r="BB1077" s="26">
        <v>45694</v>
      </c>
      <c r="BC1077" s="15" t="s">
        <v>148</v>
      </c>
      <c r="BH1077" s="117"/>
      <c r="BI1077" s="123"/>
      <c r="BJ1077" s="123"/>
      <c r="BK1077" s="123"/>
      <c r="BM1077" s="115"/>
      <c r="BN1077" s="115"/>
      <c r="BO1077" s="115"/>
      <c r="BP1077" s="115"/>
      <c r="BQ1077" s="115"/>
      <c r="BR1077" s="115"/>
      <c r="BS1077" s="115"/>
      <c r="BT1077" s="115"/>
      <c r="BU1077" s="115"/>
      <c r="BV1077" s="115"/>
      <c r="BW1077" s="115"/>
      <c r="BX1077" s="115"/>
      <c r="BY1077" s="115"/>
      <c r="BZ1077" s="13"/>
      <c r="CA1077" s="13"/>
      <c r="CD1077" s="114"/>
    </row>
    <row r="1078" spans="1:82" ht="19.5" x14ac:dyDescent="0.4">
      <c r="A1078" s="117"/>
      <c r="B1078" s="123"/>
      <c r="C1078" s="123"/>
      <c r="D1078" s="123"/>
      <c r="AQ1078" s="127"/>
      <c r="AR1078" s="29"/>
      <c r="BB1078" s="26">
        <v>45694</v>
      </c>
      <c r="BC1078" s="13" t="s">
        <v>147</v>
      </c>
      <c r="BH1078" s="117"/>
      <c r="BI1078" s="123"/>
      <c r="BJ1078" s="123"/>
      <c r="BK1078" s="123"/>
      <c r="BM1078" s="115"/>
      <c r="BN1078" s="115"/>
      <c r="BO1078" s="115"/>
      <c r="BP1078" s="115"/>
      <c r="BQ1078" s="115"/>
      <c r="BR1078" s="115"/>
      <c r="BS1078" s="115"/>
      <c r="BT1078" s="115"/>
      <c r="BU1078" s="115"/>
      <c r="BV1078" s="115"/>
      <c r="BW1078" s="115"/>
      <c r="BX1078" s="115"/>
      <c r="BY1078" s="115"/>
      <c r="BZ1078" s="25">
        <v>45268</v>
      </c>
      <c r="CA1078" s="13" t="s">
        <v>162</v>
      </c>
      <c r="CD1078" s="114"/>
    </row>
    <row r="1079" spans="1:82" ht="19.5" x14ac:dyDescent="0.4">
      <c r="A1079" s="117"/>
      <c r="B1079" s="123"/>
      <c r="C1079" s="123"/>
      <c r="D1079" s="123"/>
      <c r="AQ1079" s="127"/>
      <c r="AR1079" s="29"/>
      <c r="AT1079" s="115"/>
      <c r="AU1079" s="115"/>
      <c r="AV1079" s="115"/>
      <c r="AW1079" s="115"/>
      <c r="AX1079" s="115"/>
      <c r="AY1079" s="115"/>
      <c r="AZ1079" s="115"/>
      <c r="BA1079" s="115"/>
      <c r="BB1079" s="26">
        <v>45694</v>
      </c>
      <c r="BC1079" s="13" t="s">
        <v>147</v>
      </c>
      <c r="BH1079" s="117"/>
      <c r="BI1079" s="123"/>
      <c r="BJ1079" s="123"/>
      <c r="BK1079" s="123"/>
      <c r="BM1079" s="115"/>
      <c r="BN1079" s="115"/>
      <c r="BO1079" s="115"/>
      <c r="BP1079" s="115"/>
      <c r="BQ1079" s="115"/>
      <c r="BR1079" s="115"/>
      <c r="BS1079" s="115"/>
      <c r="BT1079" s="115"/>
      <c r="BU1079" s="115"/>
      <c r="BV1079" s="115"/>
      <c r="BW1079" s="115"/>
      <c r="BX1079" s="115"/>
      <c r="BY1079" s="115"/>
      <c r="BZ1079" s="25"/>
      <c r="CA1079" s="13"/>
      <c r="CD1079" s="114"/>
    </row>
    <row r="1080" spans="1:82" ht="19.5" x14ac:dyDescent="0.4">
      <c r="A1080" s="117"/>
      <c r="B1080" s="123"/>
      <c r="C1080" s="123"/>
      <c r="D1080" s="123"/>
      <c r="AQ1080" s="127"/>
      <c r="AR1080" s="29"/>
      <c r="BB1080" s="26">
        <v>45694</v>
      </c>
      <c r="BC1080" s="13" t="s">
        <v>147</v>
      </c>
      <c r="BH1080" s="117"/>
      <c r="BI1080" s="123"/>
      <c r="BJ1080" s="123"/>
      <c r="BK1080" s="123"/>
      <c r="BM1080" s="115"/>
      <c r="BN1080" s="115"/>
      <c r="BO1080" s="115"/>
      <c r="BP1080" s="115"/>
      <c r="BQ1080" s="115"/>
      <c r="BR1080" s="115"/>
      <c r="BS1080" s="115"/>
      <c r="BT1080" s="115"/>
      <c r="BU1080" s="115"/>
      <c r="BV1080" s="115"/>
      <c r="BW1080" s="115"/>
      <c r="BX1080" s="115"/>
      <c r="BY1080" s="115"/>
      <c r="BZ1080" s="25">
        <v>45268</v>
      </c>
      <c r="CA1080" s="13" t="s">
        <v>162</v>
      </c>
      <c r="CD1080" s="114"/>
    </row>
    <row r="1081" spans="1:82" ht="19.5" x14ac:dyDescent="0.4">
      <c r="A1081" s="117"/>
      <c r="B1081" s="123"/>
      <c r="C1081" s="123"/>
      <c r="D1081" s="123"/>
      <c r="AQ1081" s="127"/>
      <c r="AR1081" s="29"/>
      <c r="AY1081" s="115"/>
      <c r="AZ1081" s="115"/>
      <c r="BA1081" s="115"/>
      <c r="BB1081" s="26">
        <v>45696</v>
      </c>
      <c r="BC1081" s="13" t="s">
        <v>147</v>
      </c>
      <c r="BH1081" s="117"/>
      <c r="BI1081" s="123"/>
      <c r="BJ1081" s="123"/>
      <c r="BK1081" s="123"/>
      <c r="BM1081" s="115"/>
      <c r="BN1081" s="115"/>
      <c r="BO1081" s="115"/>
      <c r="BP1081" s="115"/>
      <c r="BQ1081" s="115"/>
      <c r="BR1081" s="115"/>
      <c r="BS1081" s="115"/>
      <c r="BT1081" s="115"/>
      <c r="BU1081" s="115"/>
      <c r="BV1081" s="115"/>
      <c r="BW1081" s="115"/>
      <c r="BX1081" s="115"/>
      <c r="BY1081" s="115"/>
      <c r="BZ1081" s="25"/>
      <c r="CA1081" s="13"/>
      <c r="CD1081" s="114"/>
    </row>
    <row r="1082" spans="1:82" ht="19.5" x14ac:dyDescent="0.4">
      <c r="A1082" s="117"/>
      <c r="B1082" s="123"/>
      <c r="C1082" s="123"/>
      <c r="D1082" s="123"/>
      <c r="AQ1082" s="127"/>
      <c r="AR1082" s="29"/>
      <c r="BB1082" s="26">
        <v>45698</v>
      </c>
      <c r="BC1082" s="13" t="s">
        <v>147</v>
      </c>
      <c r="BH1082" s="117"/>
      <c r="BI1082" s="123"/>
      <c r="BJ1082" s="123"/>
      <c r="BK1082" s="123"/>
      <c r="BM1082" s="115"/>
      <c r="BN1082" s="115"/>
      <c r="BO1082" s="115"/>
      <c r="BP1082" s="115"/>
      <c r="BQ1082" s="115"/>
      <c r="BR1082" s="115"/>
      <c r="BS1082" s="115"/>
      <c r="BT1082" s="115"/>
      <c r="BU1082" s="115"/>
      <c r="BV1082" s="115"/>
      <c r="BW1082" s="115"/>
      <c r="BX1082" s="115"/>
      <c r="BY1082" s="115"/>
      <c r="BZ1082" s="25">
        <v>45268</v>
      </c>
      <c r="CA1082" s="13" t="s">
        <v>163</v>
      </c>
      <c r="CD1082" s="114"/>
    </row>
    <row r="1083" spans="1:82" ht="19.5" x14ac:dyDescent="0.4">
      <c r="A1083" s="117"/>
      <c r="B1083" s="123"/>
      <c r="C1083" s="123"/>
      <c r="D1083" s="123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29"/>
      <c r="AR1083" s="29"/>
      <c r="BB1083" s="26"/>
      <c r="BC1083" s="13"/>
      <c r="BH1083" s="117"/>
      <c r="BI1083" s="123"/>
      <c r="BJ1083" s="123"/>
      <c r="BK1083" s="123"/>
      <c r="BM1083" s="115"/>
      <c r="BN1083" s="115"/>
      <c r="BO1083" s="115"/>
      <c r="BP1083" s="115"/>
      <c r="BQ1083" s="115"/>
      <c r="BR1083" s="115"/>
      <c r="BS1083" s="115"/>
      <c r="BT1083" s="115"/>
      <c r="BU1083" s="115"/>
      <c r="BV1083" s="115"/>
      <c r="BW1083" s="115"/>
      <c r="BX1083" s="115"/>
      <c r="BY1083" s="115"/>
      <c r="BZ1083" s="25"/>
      <c r="CA1083" s="13"/>
      <c r="CD1083" s="114"/>
    </row>
    <row r="1084" spans="1:82" ht="19.5" x14ac:dyDescent="0.4">
      <c r="A1084" s="117"/>
      <c r="B1084" s="123"/>
      <c r="C1084" s="123"/>
      <c r="D1084" s="123"/>
      <c r="AQ1084" s="127"/>
      <c r="AR1084" s="29"/>
      <c r="AY1084" s="115"/>
      <c r="AZ1084" s="115"/>
      <c r="BA1084" s="115"/>
      <c r="BB1084" s="26">
        <v>45698</v>
      </c>
      <c r="BC1084" s="13" t="s">
        <v>147</v>
      </c>
      <c r="BH1084" s="117"/>
      <c r="BI1084" s="123"/>
      <c r="BJ1084" s="123"/>
      <c r="BK1084" s="123"/>
      <c r="BM1084" s="115"/>
      <c r="BN1084" s="115"/>
      <c r="BO1084" s="115"/>
      <c r="BP1084" s="115"/>
      <c r="BQ1084" s="115"/>
      <c r="BR1084" s="115"/>
      <c r="BS1084" s="115"/>
      <c r="BT1084" s="115"/>
      <c r="BU1084" s="115"/>
      <c r="BV1084" s="115"/>
      <c r="BW1084" s="115"/>
      <c r="BX1084" s="115"/>
      <c r="BY1084" s="115"/>
      <c r="BZ1084" s="25"/>
      <c r="CA1084" s="13"/>
      <c r="CD1084" s="114"/>
    </row>
    <row r="1085" spans="1:82" ht="19.5" x14ac:dyDescent="0.4">
      <c r="A1085" s="117"/>
      <c r="B1085" s="123"/>
      <c r="C1085" s="123"/>
      <c r="D1085" s="123"/>
      <c r="AQ1085" s="127"/>
      <c r="AR1085" s="29"/>
      <c r="AS1085" s="115"/>
      <c r="AT1085" s="115"/>
      <c r="AU1085" s="115"/>
      <c r="AV1085" s="115"/>
      <c r="AW1085" s="115"/>
      <c r="AX1085" s="115"/>
      <c r="AY1085" s="115"/>
      <c r="AZ1085" s="115"/>
      <c r="BA1085" s="115"/>
      <c r="BB1085" s="26">
        <v>45699</v>
      </c>
      <c r="BC1085" s="13" t="s">
        <v>148</v>
      </c>
      <c r="BH1085" s="117"/>
      <c r="BI1085" s="123"/>
      <c r="BJ1085" s="123"/>
      <c r="BK1085" s="123"/>
      <c r="BM1085" s="115"/>
      <c r="BN1085" s="115"/>
      <c r="BO1085" s="115"/>
      <c r="BP1085" s="115"/>
      <c r="BQ1085" s="115"/>
      <c r="BR1085" s="115"/>
      <c r="BS1085" s="115"/>
      <c r="BT1085" s="115"/>
      <c r="BU1085" s="115"/>
      <c r="BV1085" s="115"/>
      <c r="BW1085" s="115"/>
      <c r="BX1085" s="115"/>
      <c r="BY1085" s="115"/>
      <c r="BZ1085" s="25"/>
      <c r="CA1085" s="13"/>
      <c r="CD1085" s="114"/>
    </row>
    <row r="1086" spans="1:82" ht="19.5" x14ac:dyDescent="0.4">
      <c r="A1086" s="117"/>
      <c r="B1086" s="123"/>
      <c r="C1086" s="123"/>
      <c r="D1086" s="123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15"/>
      <c r="AP1086" s="115"/>
      <c r="AQ1086" s="29"/>
      <c r="AR1086" s="29"/>
      <c r="AS1086" s="115"/>
      <c r="AT1086" s="115"/>
      <c r="AU1086" s="115"/>
      <c r="AV1086" s="115"/>
      <c r="AW1086" s="115"/>
      <c r="AX1086" s="115"/>
      <c r="AY1086" s="115"/>
      <c r="AZ1086" s="115"/>
      <c r="BA1086" s="115"/>
      <c r="BB1086" s="26"/>
      <c r="BC1086" s="13"/>
      <c r="BH1086" s="117"/>
      <c r="BI1086" s="123"/>
      <c r="BJ1086" s="123"/>
      <c r="BK1086" s="123"/>
      <c r="BM1086" s="115"/>
      <c r="BN1086" s="115"/>
      <c r="BO1086" s="115"/>
      <c r="BP1086" s="115"/>
      <c r="BQ1086" s="115"/>
      <c r="BR1086" s="115"/>
      <c r="BS1086" s="115"/>
      <c r="BT1086" s="115"/>
      <c r="BU1086" s="115"/>
      <c r="BV1086" s="115"/>
      <c r="BW1086" s="115"/>
      <c r="BX1086" s="115"/>
      <c r="BY1086" s="115"/>
      <c r="BZ1086" s="25"/>
      <c r="CA1086" s="13"/>
      <c r="CD1086" s="114"/>
    </row>
    <row r="1087" spans="1:82" ht="19.5" x14ac:dyDescent="0.4">
      <c r="A1087" s="117"/>
      <c r="B1087" s="123"/>
      <c r="C1087" s="123"/>
      <c r="D1087" s="123"/>
      <c r="AQ1087" s="127"/>
      <c r="AR1087" s="29"/>
      <c r="BB1087" s="26">
        <v>45699</v>
      </c>
      <c r="BC1087" s="13" t="s">
        <v>148</v>
      </c>
      <c r="BH1087" s="117"/>
      <c r="BI1087" s="123"/>
      <c r="BJ1087" s="123"/>
      <c r="BK1087" s="123"/>
      <c r="BL1087" s="115"/>
      <c r="BM1087" s="115"/>
      <c r="BN1087" s="115"/>
      <c r="BO1087" s="115"/>
      <c r="BP1087" s="115"/>
      <c r="BQ1087" s="115"/>
      <c r="BR1087" s="115"/>
      <c r="BS1087" s="115"/>
      <c r="BT1087" s="115"/>
      <c r="BU1087" s="115"/>
      <c r="BV1087" s="115"/>
      <c r="BW1087" s="115"/>
      <c r="BX1087" s="115"/>
      <c r="BY1087" s="115"/>
      <c r="BZ1087" s="25">
        <v>45268</v>
      </c>
      <c r="CA1087" s="13" t="s">
        <v>163</v>
      </c>
      <c r="CD1087" s="114"/>
    </row>
    <row r="1088" spans="1:82" ht="19.5" x14ac:dyDescent="0.4">
      <c r="A1088" s="117"/>
      <c r="B1088" s="123"/>
      <c r="C1088" s="123"/>
      <c r="D1088" s="123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15"/>
      <c r="AP1088" s="115"/>
      <c r="AQ1088" s="29"/>
      <c r="AR1088" s="29"/>
      <c r="BB1088" s="26"/>
      <c r="BC1088" s="13"/>
      <c r="BH1088" s="117"/>
      <c r="BI1088" s="123"/>
      <c r="BJ1088" s="123"/>
      <c r="BK1088" s="123"/>
      <c r="BL1088" s="115"/>
      <c r="BM1088" s="115"/>
      <c r="BN1088" s="115"/>
      <c r="BO1088" s="115"/>
      <c r="BP1088" s="115"/>
      <c r="BQ1088" s="115"/>
      <c r="BR1088" s="115"/>
      <c r="BS1088" s="115"/>
      <c r="BT1088" s="115"/>
      <c r="BU1088" s="115"/>
      <c r="BV1088" s="115"/>
      <c r="BW1088" s="115"/>
      <c r="BX1088" s="115"/>
      <c r="BY1088" s="115"/>
      <c r="BZ1088" s="25"/>
      <c r="CA1088" s="13"/>
      <c r="CD1088" s="114"/>
    </row>
    <row r="1089" spans="1:82" ht="19.5" x14ac:dyDescent="0.4">
      <c r="A1089" s="117"/>
      <c r="B1089" s="123"/>
      <c r="C1089" s="123"/>
      <c r="D1089" s="123"/>
      <c r="AQ1089" s="127"/>
      <c r="AR1089" s="29"/>
      <c r="AU1089" s="115"/>
      <c r="AV1089" s="115"/>
      <c r="AW1089" s="115"/>
      <c r="AX1089" s="115"/>
      <c r="AY1089" s="115"/>
      <c r="AZ1089" s="115"/>
      <c r="BA1089" s="115"/>
      <c r="BB1089" s="26">
        <v>45699</v>
      </c>
      <c r="BC1089" s="13" t="s">
        <v>148</v>
      </c>
      <c r="BH1089" s="117"/>
      <c r="BI1089" s="123"/>
      <c r="BJ1089" s="123"/>
      <c r="BK1089" s="123"/>
      <c r="BL1089" s="115"/>
      <c r="BM1089" s="115"/>
      <c r="BN1089" s="115"/>
      <c r="BO1089" s="115"/>
      <c r="BP1089" s="115"/>
      <c r="BQ1089" s="115"/>
      <c r="BR1089" s="115"/>
      <c r="BS1089" s="115"/>
      <c r="BT1089" s="115"/>
      <c r="BU1089" s="115"/>
      <c r="BV1089" s="115"/>
      <c r="BW1089" s="115"/>
      <c r="BX1089" s="115"/>
      <c r="BY1089" s="115"/>
      <c r="BZ1089" s="25"/>
      <c r="CA1089" s="13"/>
      <c r="CD1089" s="114"/>
    </row>
    <row r="1090" spans="1:82" ht="19.5" x14ac:dyDescent="0.4">
      <c r="A1090" s="117"/>
      <c r="B1090" s="123"/>
      <c r="C1090" s="123"/>
      <c r="D1090" s="123"/>
      <c r="AQ1090" s="127"/>
      <c r="AR1090" s="29"/>
      <c r="AU1090" s="115"/>
      <c r="AV1090" s="115"/>
      <c r="AW1090" s="115"/>
      <c r="AX1090" s="115"/>
      <c r="AY1090" s="115"/>
      <c r="AZ1090" s="115"/>
      <c r="BA1090" s="115"/>
      <c r="BB1090" s="26">
        <v>45699</v>
      </c>
      <c r="BC1090" s="13" t="s">
        <v>148</v>
      </c>
      <c r="BH1090" s="117"/>
      <c r="BI1090" s="123"/>
      <c r="BJ1090" s="123"/>
      <c r="BK1090" s="123"/>
      <c r="BL1090" s="115"/>
      <c r="BM1090" s="115"/>
      <c r="BN1090" s="115"/>
      <c r="BO1090" s="115"/>
      <c r="BP1090" s="115"/>
      <c r="BQ1090" s="115"/>
      <c r="BR1090" s="115"/>
      <c r="BS1090" s="115"/>
      <c r="BT1090" s="115"/>
      <c r="BU1090" s="115"/>
      <c r="BV1090" s="115"/>
      <c r="BW1090" s="115"/>
      <c r="BX1090" s="115"/>
      <c r="BY1090" s="115"/>
      <c r="BZ1090" s="25"/>
      <c r="CA1090" s="13"/>
      <c r="CD1090" s="114"/>
    </row>
    <row r="1091" spans="1:82" ht="19.5" x14ac:dyDescent="0.4">
      <c r="A1091" s="117"/>
      <c r="B1091" s="123"/>
      <c r="C1091" s="123"/>
      <c r="D1091" s="123"/>
      <c r="AQ1091" s="127"/>
      <c r="AR1091" s="29"/>
      <c r="AU1091" s="115"/>
      <c r="AV1091" s="115"/>
      <c r="AW1091" s="115"/>
      <c r="AX1091" s="115"/>
      <c r="AY1091" s="115"/>
      <c r="AZ1091" s="115"/>
      <c r="BA1091" s="115"/>
      <c r="BB1091" s="26">
        <v>45699</v>
      </c>
      <c r="BC1091" s="13" t="s">
        <v>148</v>
      </c>
      <c r="BH1091" s="117"/>
      <c r="BI1091" s="123"/>
      <c r="BJ1091" s="123"/>
      <c r="BK1091" s="123"/>
      <c r="BL1091" s="115"/>
      <c r="BM1091" s="115"/>
      <c r="BN1091" s="115"/>
      <c r="BO1091" s="115"/>
      <c r="BP1091" s="115"/>
      <c r="BQ1091" s="115"/>
      <c r="BR1091" s="115"/>
      <c r="BS1091" s="115"/>
      <c r="BT1091" s="115"/>
      <c r="BU1091" s="115"/>
      <c r="BV1091" s="115"/>
      <c r="BW1091" s="115"/>
      <c r="BX1091" s="115"/>
      <c r="BY1091" s="115"/>
      <c r="BZ1091" s="25"/>
      <c r="CA1091" s="13"/>
      <c r="CD1091" s="114"/>
    </row>
    <row r="1092" spans="1:82" ht="19.5" x14ac:dyDescent="0.4">
      <c r="A1092" s="117"/>
      <c r="B1092" s="123"/>
      <c r="C1092" s="123"/>
      <c r="D1092" s="123"/>
      <c r="AQ1092" s="127"/>
      <c r="AR1092" s="29"/>
      <c r="BB1092" s="26">
        <v>45699</v>
      </c>
      <c r="BC1092" s="13" t="s">
        <v>148</v>
      </c>
      <c r="BH1092" s="117"/>
      <c r="BI1092" s="123"/>
      <c r="BJ1092" s="123"/>
      <c r="BK1092" s="123"/>
      <c r="BL1092" s="115"/>
      <c r="BM1092" s="115"/>
      <c r="BN1092" s="115"/>
      <c r="BO1092" s="115"/>
      <c r="BP1092" s="115"/>
      <c r="BQ1092" s="115"/>
      <c r="BR1092" s="115"/>
      <c r="BS1092" s="115"/>
      <c r="BT1092" s="115"/>
      <c r="BU1092" s="115"/>
      <c r="BV1092" s="115"/>
      <c r="BW1092" s="115"/>
      <c r="BX1092" s="115"/>
      <c r="BY1092" s="115" t="s">
        <v>158</v>
      </c>
      <c r="BZ1092" s="13">
        <f>SUBTOTAL(3,BZ1078:BZ1087)</f>
        <v>4</v>
      </c>
      <c r="CA1092" s="13">
        <f>SUBTOTAL(3,CA1078:CA1087)</f>
        <v>4</v>
      </c>
      <c r="CD1092" s="114"/>
    </row>
    <row r="1093" spans="1:82" ht="19.5" x14ac:dyDescent="0.4">
      <c r="A1093" s="117"/>
      <c r="B1093" s="123"/>
      <c r="C1093" s="123"/>
      <c r="D1093" s="123"/>
      <c r="AQ1093" s="127"/>
      <c r="AR1093" s="29"/>
      <c r="AY1093" s="115"/>
      <c r="AZ1093" s="115"/>
      <c r="BA1093" s="115"/>
      <c r="BB1093" s="26">
        <v>45706</v>
      </c>
      <c r="BC1093" s="13" t="s">
        <v>146</v>
      </c>
      <c r="BH1093" s="117"/>
      <c r="BI1093" s="123"/>
      <c r="BJ1093" s="123"/>
      <c r="BK1093" s="123"/>
      <c r="BL1093" s="115"/>
      <c r="BM1093" s="115"/>
      <c r="BN1093" s="115"/>
      <c r="BO1093" s="115"/>
      <c r="BP1093" s="115"/>
      <c r="BQ1093" s="115"/>
      <c r="BR1093" s="115"/>
      <c r="BS1093" s="115"/>
      <c r="BT1093" s="115"/>
      <c r="BU1093" s="115"/>
      <c r="BV1093" s="115"/>
      <c r="BW1093" s="115"/>
      <c r="BX1093" s="115"/>
      <c r="BY1093" s="115"/>
      <c r="BZ1093" s="13"/>
      <c r="CA1093" s="13"/>
      <c r="CD1093" s="114"/>
    </row>
    <row r="1094" spans="1:82" ht="19.5" x14ac:dyDescent="0.4">
      <c r="A1094" s="117"/>
      <c r="B1094" s="123"/>
      <c r="C1094" s="123"/>
      <c r="D1094" s="123"/>
      <c r="AQ1094" s="127"/>
      <c r="AR1094" s="29"/>
      <c r="AX1094" s="115"/>
      <c r="AY1094" s="115"/>
      <c r="AZ1094" s="115"/>
      <c r="BA1094" s="115"/>
      <c r="BB1094" s="26">
        <v>45709</v>
      </c>
      <c r="BC1094" s="13" t="s">
        <v>148</v>
      </c>
      <c r="BH1094" s="117"/>
      <c r="BI1094" s="123"/>
      <c r="BJ1094" s="123"/>
      <c r="BK1094" s="123"/>
      <c r="BL1094" s="115"/>
      <c r="BM1094" s="115"/>
      <c r="BN1094" s="115"/>
      <c r="BO1094" s="115"/>
      <c r="BP1094" s="115"/>
      <c r="BQ1094" s="115"/>
      <c r="BR1094" s="115"/>
      <c r="BS1094" s="115"/>
      <c r="BT1094" s="115"/>
      <c r="BU1094" s="115"/>
      <c r="BV1094" s="115"/>
      <c r="BW1094" s="115"/>
      <c r="BX1094" s="115"/>
      <c r="BY1094" s="115"/>
      <c r="BZ1094" s="13"/>
      <c r="CA1094" s="13"/>
      <c r="CD1094" s="114"/>
    </row>
    <row r="1095" spans="1:82" ht="19.5" x14ac:dyDescent="0.4">
      <c r="A1095" s="117"/>
      <c r="B1095" s="123"/>
      <c r="C1095" s="123"/>
      <c r="D1095" s="123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29"/>
      <c r="AR1095" s="29"/>
      <c r="AX1095" s="115"/>
      <c r="AY1095" s="115"/>
      <c r="AZ1095" s="115"/>
      <c r="BA1095" s="115"/>
      <c r="BB1095" s="26"/>
      <c r="BC1095" s="13"/>
      <c r="BH1095" s="117"/>
      <c r="BI1095" s="123"/>
      <c r="BJ1095" s="123"/>
      <c r="BK1095" s="123"/>
      <c r="BL1095" s="115"/>
      <c r="BM1095" s="115"/>
      <c r="BN1095" s="115"/>
      <c r="BO1095" s="115"/>
      <c r="BP1095" s="115"/>
      <c r="BQ1095" s="115"/>
      <c r="BR1095" s="115"/>
      <c r="BS1095" s="115"/>
      <c r="BT1095" s="115"/>
      <c r="BU1095" s="115"/>
      <c r="BV1095" s="115"/>
      <c r="BW1095" s="115"/>
      <c r="BX1095" s="115"/>
      <c r="BY1095" s="115"/>
      <c r="BZ1095" s="13"/>
      <c r="CA1095" s="13"/>
      <c r="CD1095" s="114"/>
    </row>
    <row r="1096" spans="1:82" ht="19.5" x14ac:dyDescent="0.4">
      <c r="A1096" s="117"/>
      <c r="B1096" s="123"/>
      <c r="C1096" s="123"/>
      <c r="D1096" s="123"/>
      <c r="AQ1096" s="127"/>
      <c r="AR1096" s="29"/>
      <c r="AX1096" s="115"/>
      <c r="AY1096" s="115"/>
      <c r="AZ1096" s="115"/>
      <c r="BA1096" s="115"/>
      <c r="BB1096" s="26">
        <v>45709</v>
      </c>
      <c r="BC1096" s="13" t="s">
        <v>147</v>
      </c>
      <c r="BH1096" s="117"/>
      <c r="BI1096" s="123"/>
      <c r="BJ1096" s="123"/>
      <c r="BK1096" s="123"/>
      <c r="BL1096" s="115"/>
      <c r="BM1096" s="115"/>
      <c r="BN1096" s="115"/>
      <c r="BO1096" s="115"/>
      <c r="BP1096" s="115"/>
      <c r="BQ1096" s="115"/>
      <c r="BR1096" s="115"/>
      <c r="BS1096" s="115"/>
      <c r="BT1096" s="115"/>
      <c r="BU1096" s="115"/>
      <c r="BV1096" s="115"/>
      <c r="BW1096" s="115"/>
      <c r="BX1096" s="115"/>
      <c r="BY1096" s="115"/>
      <c r="BZ1096" s="13"/>
      <c r="CA1096" s="13"/>
      <c r="CD1096" s="114"/>
    </row>
    <row r="1097" spans="1:82" ht="19.5" x14ac:dyDescent="0.4">
      <c r="A1097" s="117"/>
      <c r="B1097" s="123"/>
      <c r="C1097" s="123"/>
      <c r="D1097" s="123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29"/>
      <c r="AR1097" s="29"/>
      <c r="AX1097" s="115"/>
      <c r="AY1097" s="115"/>
      <c r="AZ1097" s="115"/>
      <c r="BA1097" s="115"/>
      <c r="BB1097" s="26"/>
      <c r="BC1097" s="13"/>
      <c r="BH1097" s="117"/>
      <c r="BI1097" s="123"/>
      <c r="BJ1097" s="123"/>
      <c r="BK1097" s="123"/>
      <c r="BL1097" s="115"/>
      <c r="BM1097" s="115"/>
      <c r="BN1097" s="115"/>
      <c r="BO1097" s="115"/>
      <c r="BP1097" s="115"/>
      <c r="BQ1097" s="115"/>
      <c r="BR1097" s="115"/>
      <c r="BS1097" s="115"/>
      <c r="BT1097" s="115"/>
      <c r="BU1097" s="115"/>
      <c r="BV1097" s="115"/>
      <c r="BW1097" s="115"/>
      <c r="BX1097" s="115"/>
      <c r="BY1097" s="115"/>
      <c r="BZ1097" s="13"/>
      <c r="CA1097" s="13"/>
      <c r="CD1097" s="114"/>
    </row>
    <row r="1098" spans="1:82" ht="19.5" x14ac:dyDescent="0.4">
      <c r="A1098" s="117"/>
      <c r="B1098" s="123"/>
      <c r="C1098" s="123"/>
      <c r="D1098" s="123"/>
      <c r="AQ1098" s="127"/>
      <c r="AR1098" s="29"/>
      <c r="AX1098" s="115"/>
      <c r="AY1098" s="115"/>
      <c r="AZ1098" s="115"/>
      <c r="BA1098" s="115"/>
      <c r="BB1098" s="26">
        <v>45712</v>
      </c>
      <c r="BC1098" s="13" t="s">
        <v>146</v>
      </c>
      <c r="BH1098" s="117"/>
      <c r="BI1098" s="123"/>
      <c r="BJ1098" s="123"/>
      <c r="BK1098" s="123"/>
      <c r="BL1098" s="115"/>
      <c r="BM1098" s="115"/>
      <c r="BN1098" s="115"/>
      <c r="BO1098" s="115"/>
      <c r="BP1098" s="115"/>
      <c r="BQ1098" s="115"/>
      <c r="BR1098" s="115"/>
      <c r="BS1098" s="115"/>
      <c r="BT1098" s="115"/>
      <c r="BU1098" s="115"/>
      <c r="BV1098" s="115"/>
      <c r="BW1098" s="115"/>
      <c r="BX1098" s="115"/>
      <c r="BY1098" s="115"/>
      <c r="BZ1098" s="13"/>
      <c r="CA1098" s="13"/>
      <c r="CD1098" s="114"/>
    </row>
    <row r="1099" spans="1:82" ht="19.5" x14ac:dyDescent="0.4">
      <c r="A1099" s="117"/>
      <c r="B1099" s="123"/>
      <c r="C1099" s="123"/>
      <c r="D1099" s="123"/>
      <c r="AQ1099" s="127"/>
      <c r="AR1099" s="29"/>
      <c r="AX1099" s="115"/>
      <c r="AY1099" s="115"/>
      <c r="AZ1099" s="115"/>
      <c r="BA1099" s="115"/>
      <c r="BB1099" s="26">
        <v>45712</v>
      </c>
      <c r="BC1099" s="13" t="s">
        <v>148</v>
      </c>
      <c r="BH1099" s="117"/>
      <c r="BI1099" s="123"/>
      <c r="BJ1099" s="123"/>
      <c r="BK1099" s="123"/>
      <c r="BL1099" s="115"/>
      <c r="BM1099" s="115"/>
      <c r="BN1099" s="115"/>
      <c r="BO1099" s="115"/>
      <c r="BP1099" s="115"/>
      <c r="BQ1099" s="115"/>
      <c r="BR1099" s="115"/>
      <c r="BS1099" s="115"/>
      <c r="BT1099" s="115"/>
      <c r="BU1099" s="115"/>
      <c r="BV1099" s="115"/>
      <c r="BW1099" s="115"/>
      <c r="BX1099" s="115"/>
      <c r="BY1099" s="115"/>
      <c r="BZ1099" s="13"/>
      <c r="CA1099" s="13"/>
      <c r="CD1099" s="114"/>
    </row>
    <row r="1100" spans="1:82" ht="19.5" x14ac:dyDescent="0.4">
      <c r="A1100" s="117"/>
      <c r="B1100" s="123"/>
      <c r="C1100" s="123"/>
      <c r="D1100" s="123"/>
      <c r="AA1100" s="115"/>
      <c r="AB1100" s="115"/>
      <c r="AC1100" s="115"/>
      <c r="AD1100" s="115"/>
      <c r="AE1100" s="115"/>
      <c r="AF1100" s="115"/>
      <c r="AG1100" s="115"/>
      <c r="AH1100" s="115"/>
      <c r="AI1100" s="115"/>
      <c r="AJ1100" s="115"/>
      <c r="AK1100" s="115"/>
      <c r="AL1100" s="115"/>
      <c r="AM1100" s="115"/>
      <c r="AN1100" s="115"/>
      <c r="AO1100" s="115"/>
      <c r="AP1100" s="115"/>
      <c r="AQ1100" s="29"/>
      <c r="AR1100" s="29"/>
      <c r="AX1100" s="115"/>
      <c r="AY1100" s="115"/>
      <c r="AZ1100" s="115"/>
      <c r="BA1100" s="115"/>
      <c r="BB1100" s="26"/>
      <c r="BC1100" s="13"/>
      <c r="BH1100" s="117"/>
      <c r="BI1100" s="123"/>
      <c r="BJ1100" s="123"/>
      <c r="BK1100" s="123"/>
      <c r="BL1100" s="115"/>
      <c r="BM1100" s="115"/>
      <c r="BN1100" s="115"/>
      <c r="BO1100" s="115"/>
      <c r="BP1100" s="115"/>
      <c r="BQ1100" s="115"/>
      <c r="BR1100" s="115"/>
      <c r="BS1100" s="115"/>
      <c r="BT1100" s="115"/>
      <c r="BU1100" s="115"/>
      <c r="BV1100" s="115"/>
      <c r="BW1100" s="115"/>
      <c r="BX1100" s="115"/>
      <c r="BY1100" s="115"/>
      <c r="BZ1100" s="13"/>
      <c r="CA1100" s="13"/>
      <c r="CD1100" s="114"/>
    </row>
    <row r="1101" spans="1:82" ht="19.5" x14ac:dyDescent="0.4">
      <c r="A1101" s="117"/>
      <c r="B1101" s="123"/>
      <c r="C1101" s="123"/>
      <c r="D1101" s="123"/>
      <c r="AQ1101" s="127"/>
      <c r="AR1101" s="29"/>
      <c r="AV1101" s="115"/>
      <c r="AW1101" s="115"/>
      <c r="AX1101" s="115"/>
      <c r="AY1101" s="115"/>
      <c r="AZ1101" s="115"/>
      <c r="BA1101" s="115"/>
      <c r="BB1101" s="26">
        <v>45714</v>
      </c>
      <c r="BC1101" s="13" t="s">
        <v>147</v>
      </c>
      <c r="BH1101" s="117"/>
      <c r="BI1101" s="123"/>
      <c r="BJ1101" s="123"/>
      <c r="BK1101" s="123"/>
      <c r="BL1101" s="115"/>
      <c r="BM1101" s="115"/>
      <c r="BN1101" s="115"/>
      <c r="BO1101" s="115"/>
      <c r="BP1101" s="115"/>
      <c r="BQ1101" s="115"/>
      <c r="BR1101" s="115"/>
      <c r="BS1101" s="115"/>
      <c r="BT1101" s="115"/>
      <c r="BU1101" s="115"/>
      <c r="BV1101" s="115"/>
      <c r="BW1101" s="115"/>
      <c r="BX1101" s="115"/>
      <c r="BY1101" s="115"/>
      <c r="BZ1101" s="13"/>
      <c r="CA1101" s="13"/>
      <c r="CD1101" s="114"/>
    </row>
    <row r="1102" spans="1:82" ht="19.5" x14ac:dyDescent="0.4">
      <c r="A1102" s="117"/>
      <c r="B1102" s="123"/>
      <c r="C1102" s="123"/>
      <c r="D1102" s="123"/>
      <c r="AQ1102" s="127"/>
      <c r="AR1102" s="29"/>
      <c r="BB1102" s="26">
        <v>45714</v>
      </c>
      <c r="BC1102" s="13" t="s">
        <v>147</v>
      </c>
      <c r="BH1102" s="117"/>
      <c r="BI1102" s="123"/>
      <c r="BJ1102" s="123"/>
      <c r="BK1102" s="123"/>
      <c r="BL1102" s="115"/>
      <c r="BM1102" s="115"/>
      <c r="BN1102" s="115"/>
      <c r="BO1102" s="115"/>
      <c r="BP1102" s="115"/>
      <c r="BQ1102" s="115"/>
      <c r="BR1102" s="115"/>
      <c r="BS1102" s="115"/>
      <c r="BT1102" s="115"/>
      <c r="BU1102" s="115"/>
      <c r="BV1102" s="115"/>
      <c r="BW1102" s="115"/>
      <c r="BX1102" s="115"/>
      <c r="BY1102" s="115"/>
      <c r="BZ1102" s="25">
        <v>45269</v>
      </c>
      <c r="CA1102" s="13" t="s">
        <v>163</v>
      </c>
      <c r="CD1102" s="114"/>
    </row>
    <row r="1103" spans="1:82" ht="19.5" x14ac:dyDescent="0.4">
      <c r="A1103" s="117"/>
      <c r="B1103" s="123"/>
      <c r="C1103" s="123"/>
      <c r="D1103" s="123"/>
      <c r="AQ1103" s="127"/>
      <c r="AR1103" s="29"/>
      <c r="AS1103" s="115"/>
      <c r="AT1103" s="115"/>
      <c r="AU1103" s="115"/>
      <c r="AV1103" s="115"/>
      <c r="AW1103" s="115"/>
      <c r="AX1103" s="115"/>
      <c r="AY1103" s="115"/>
      <c r="AZ1103" s="115"/>
      <c r="BA1103" s="115"/>
      <c r="BB1103" s="26">
        <v>45714</v>
      </c>
      <c r="BC1103" s="13" t="s">
        <v>147</v>
      </c>
      <c r="BH1103" s="117"/>
      <c r="BI1103" s="123"/>
      <c r="BJ1103" s="123"/>
      <c r="BK1103" s="123"/>
      <c r="BL1103" s="115"/>
      <c r="BM1103" s="115"/>
      <c r="BN1103" s="115"/>
      <c r="BO1103" s="115"/>
      <c r="BP1103" s="115"/>
      <c r="BQ1103" s="115"/>
      <c r="BR1103" s="115"/>
      <c r="BS1103" s="115"/>
      <c r="BT1103" s="115"/>
      <c r="BU1103" s="115"/>
      <c r="BV1103" s="115"/>
      <c r="BW1103" s="115"/>
      <c r="BX1103" s="115"/>
      <c r="BY1103" s="115"/>
      <c r="BZ1103" s="25"/>
      <c r="CA1103" s="13"/>
      <c r="CD1103" s="114"/>
    </row>
    <row r="1104" spans="1:82" ht="19.5" x14ac:dyDescent="0.4">
      <c r="A1104" s="117"/>
      <c r="B1104" s="123"/>
      <c r="C1104" s="123"/>
      <c r="D1104" s="123"/>
      <c r="AQ1104" s="127"/>
      <c r="AR1104" s="29"/>
      <c r="AS1104" s="115"/>
      <c r="AT1104" s="115"/>
      <c r="AU1104" s="115"/>
      <c r="AV1104" s="115"/>
      <c r="AW1104" s="115"/>
      <c r="AX1104" s="115"/>
      <c r="AY1104" s="115"/>
      <c r="AZ1104" s="115" t="s">
        <v>145</v>
      </c>
      <c r="BA1104" s="115">
        <f>SUBTOTAL(3,BA2:BA1103)</f>
        <v>0</v>
      </c>
      <c r="BB1104" s="26"/>
      <c r="BC1104" s="13">
        <f>SUBTOTAL(3,BC2:BC1103)</f>
        <v>145</v>
      </c>
      <c r="BH1104" s="117"/>
      <c r="BI1104" s="123"/>
      <c r="BJ1104" s="123"/>
      <c r="BK1104" s="123"/>
      <c r="BL1104" s="115"/>
      <c r="BM1104" s="115"/>
      <c r="BN1104" s="115"/>
      <c r="BO1104" s="115"/>
      <c r="BP1104" s="115"/>
      <c r="BQ1104" s="115"/>
      <c r="BR1104" s="115"/>
      <c r="BS1104" s="115"/>
      <c r="BT1104" s="115"/>
      <c r="BU1104" s="115"/>
      <c r="BV1104" s="115"/>
      <c r="BW1104" s="115"/>
      <c r="BX1104" s="115"/>
      <c r="BY1104" s="115"/>
      <c r="BZ1104" s="25"/>
      <c r="CA1104" s="13"/>
      <c r="CD1104" s="114"/>
    </row>
    <row r="1105" spans="1:82" ht="19.5" x14ac:dyDescent="0.4">
      <c r="A1105" s="117"/>
      <c r="B1105" s="123"/>
      <c r="C1105" s="123"/>
      <c r="D1105" s="123"/>
      <c r="AQ1105" s="127"/>
      <c r="AR1105" s="29"/>
      <c r="BB1105" s="26"/>
      <c r="BC1105" s="13"/>
      <c r="BH1105" s="117"/>
      <c r="BI1105" s="123"/>
      <c r="BJ1105" s="123"/>
      <c r="BK1105" s="123"/>
      <c r="BL1105" s="115"/>
      <c r="BM1105" s="115"/>
      <c r="BN1105" s="115"/>
      <c r="BO1105" s="115"/>
      <c r="BP1105" s="115"/>
      <c r="BQ1105" s="115"/>
      <c r="BR1105" s="115"/>
      <c r="BS1105" s="115"/>
      <c r="BT1105" s="115"/>
      <c r="BU1105" s="115"/>
      <c r="BV1105" s="115"/>
      <c r="BW1105" s="115"/>
      <c r="BX1105" s="115"/>
      <c r="BY1105" s="115"/>
      <c r="BZ1105" s="25">
        <v>45269</v>
      </c>
      <c r="CA1105" s="13" t="s">
        <v>163</v>
      </c>
      <c r="CD1105" s="114"/>
    </row>
    <row r="1106" spans="1:82" ht="19.5" x14ac:dyDescent="0.4">
      <c r="A1106" s="117"/>
      <c r="B1106" s="123"/>
      <c r="C1106" s="123"/>
      <c r="D1106" s="123"/>
      <c r="AQ1106" s="127"/>
      <c r="AR1106" s="29"/>
      <c r="AU1106" s="115"/>
      <c r="AV1106" s="115"/>
      <c r="AW1106" s="115"/>
      <c r="AX1106" s="115"/>
      <c r="AY1106" s="115"/>
      <c r="AZ1106" s="115"/>
      <c r="BA1106" s="115"/>
      <c r="BB1106" s="26"/>
      <c r="BC1106" s="13"/>
      <c r="BH1106" s="117"/>
      <c r="BI1106" s="123"/>
      <c r="BJ1106" s="123"/>
      <c r="BK1106" s="123"/>
      <c r="BL1106" s="115"/>
      <c r="BM1106" s="115"/>
      <c r="BN1106" s="115"/>
      <c r="BO1106" s="115"/>
      <c r="BP1106" s="115"/>
      <c r="BQ1106" s="115"/>
      <c r="BR1106" s="115"/>
      <c r="BS1106" s="115"/>
      <c r="BT1106" s="115"/>
      <c r="BU1106" s="115"/>
      <c r="BV1106" s="115"/>
      <c r="BW1106" s="115"/>
      <c r="BX1106" s="115"/>
      <c r="BY1106" s="115"/>
      <c r="BZ1106" s="25"/>
      <c r="CA1106" s="13"/>
      <c r="CD1106" s="114"/>
    </row>
    <row r="1107" spans="1:82" ht="19.5" x14ac:dyDescent="0.4">
      <c r="A1107" s="117"/>
      <c r="B1107" s="123"/>
      <c r="C1107" s="123"/>
      <c r="D1107" s="123"/>
      <c r="AQ1107" s="127"/>
      <c r="AR1107" s="29"/>
      <c r="BB1107" s="26"/>
      <c r="BC1107" s="13"/>
      <c r="BH1107" s="117"/>
      <c r="BI1107" s="123"/>
      <c r="BJ1107" s="123"/>
      <c r="BK1107" s="123"/>
      <c r="BL1107" s="115"/>
      <c r="BM1107" s="115"/>
      <c r="BN1107" s="115"/>
      <c r="BO1107" s="115"/>
      <c r="BP1107" s="115"/>
      <c r="BQ1107" s="115"/>
      <c r="BR1107" s="115"/>
      <c r="BS1107" s="115"/>
      <c r="BT1107" s="115"/>
      <c r="BU1107" s="115"/>
      <c r="BV1107" s="115"/>
      <c r="BW1107" s="115"/>
      <c r="BX1107" s="115"/>
      <c r="BY1107" s="115" t="s">
        <v>159</v>
      </c>
      <c r="BZ1107" s="13">
        <f>SUBTOTAL(3,BZ1102:BZ1105)</f>
        <v>2</v>
      </c>
      <c r="CA1107" s="13">
        <f>SUBTOTAL(3,CA1102:CA1105)</f>
        <v>2</v>
      </c>
      <c r="CD1107" s="114"/>
    </row>
    <row r="1108" spans="1:82" ht="19.5" x14ac:dyDescent="0.4">
      <c r="A1108" s="117"/>
      <c r="B1108" s="123"/>
      <c r="C1108" s="123"/>
      <c r="D1108" s="123"/>
      <c r="AQ1108" s="127"/>
      <c r="AR1108" s="29"/>
      <c r="AS1108" s="115"/>
      <c r="AT1108" s="115"/>
      <c r="AU1108" s="115"/>
      <c r="AV1108" s="115"/>
      <c r="AW1108" s="115"/>
      <c r="AX1108" s="115"/>
      <c r="AY1108" s="115"/>
      <c r="AZ1108" s="115"/>
      <c r="BA1108" s="115"/>
      <c r="BB1108" s="26"/>
      <c r="BC1108" s="13"/>
      <c r="BH1108" s="117"/>
      <c r="BI1108" s="123"/>
      <c r="BJ1108" s="123"/>
      <c r="BK1108" s="123"/>
      <c r="BL1108" s="115"/>
      <c r="BM1108" s="115"/>
      <c r="BN1108" s="115"/>
      <c r="BO1108" s="115"/>
      <c r="BP1108" s="115"/>
      <c r="BQ1108" s="115"/>
      <c r="BR1108" s="115"/>
      <c r="BS1108" s="115"/>
      <c r="BT1108" s="115"/>
      <c r="BU1108" s="115"/>
      <c r="BV1108" s="115"/>
      <c r="BW1108" s="115"/>
      <c r="BX1108" s="115"/>
      <c r="BY1108" s="115"/>
      <c r="BZ1108" s="13"/>
      <c r="CA1108" s="13"/>
      <c r="CD1108" s="114"/>
    </row>
    <row r="1109" spans="1:82" ht="19.5" x14ac:dyDescent="0.4">
      <c r="A1109" s="117"/>
      <c r="B1109" s="123"/>
      <c r="C1109" s="123"/>
      <c r="D1109" s="123"/>
      <c r="AQ1109" s="127"/>
      <c r="AR1109" s="29"/>
      <c r="AS1109" s="115"/>
      <c r="AT1109" s="115"/>
      <c r="AU1109" s="115"/>
      <c r="AV1109" s="115"/>
      <c r="AW1109" s="115"/>
      <c r="AX1109" s="115"/>
      <c r="AY1109" s="115"/>
      <c r="AZ1109" s="115"/>
      <c r="BA1109" s="115"/>
      <c r="BB1109" s="26"/>
      <c r="BC1109" s="13"/>
      <c r="BH1109" s="117"/>
      <c r="BI1109" s="123"/>
      <c r="BJ1109" s="123"/>
      <c r="BK1109" s="123"/>
      <c r="BL1109" s="115"/>
      <c r="BM1109" s="115"/>
      <c r="BN1109" s="115"/>
      <c r="BO1109" s="115"/>
      <c r="BP1109" s="115"/>
      <c r="BQ1109" s="115"/>
      <c r="BR1109" s="115"/>
      <c r="BS1109" s="115"/>
      <c r="BT1109" s="115"/>
      <c r="BU1109" s="115"/>
      <c r="BV1109" s="115"/>
      <c r="BW1109" s="115"/>
      <c r="BX1109" s="115"/>
      <c r="BY1109" s="115"/>
      <c r="BZ1109" s="13"/>
      <c r="CA1109" s="13"/>
      <c r="CD1109" s="114"/>
    </row>
    <row r="1110" spans="1:82" ht="19.5" x14ac:dyDescent="0.4">
      <c r="A1110" s="117"/>
      <c r="B1110" s="123"/>
      <c r="C1110" s="123"/>
      <c r="D1110" s="123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27"/>
      <c r="AR1110" s="29"/>
      <c r="AS1110" s="115"/>
      <c r="AT1110" s="115"/>
      <c r="AU1110" s="115"/>
      <c r="AV1110" s="115"/>
      <c r="AW1110" s="115"/>
      <c r="AX1110" s="115"/>
      <c r="AY1110" s="115"/>
      <c r="AZ1110" s="115"/>
      <c r="BA1110" s="115"/>
      <c r="BB1110" s="26"/>
      <c r="BC1110" s="13"/>
      <c r="BH1110" s="117"/>
      <c r="BI1110" s="123"/>
      <c r="BJ1110" s="123"/>
      <c r="BK1110" s="123"/>
      <c r="BL1110" s="115"/>
      <c r="BM1110" s="115"/>
      <c r="BN1110" s="115"/>
      <c r="BO1110" s="115"/>
      <c r="BP1110" s="115"/>
      <c r="BQ1110" s="115"/>
      <c r="BR1110" s="115"/>
      <c r="BS1110" s="115"/>
      <c r="BT1110" s="115"/>
      <c r="BU1110" s="115"/>
      <c r="BV1110" s="115"/>
      <c r="BW1110" s="115"/>
      <c r="BX1110" s="115"/>
      <c r="BY1110" s="115"/>
      <c r="BZ1110" s="13"/>
      <c r="CA1110" s="13"/>
      <c r="CD1110" s="114"/>
    </row>
    <row r="1111" spans="1:82" ht="19.5" x14ac:dyDescent="0.4">
      <c r="A1111" s="117"/>
      <c r="B1111" s="123"/>
      <c r="C1111" s="123"/>
      <c r="D1111" s="123"/>
      <c r="AQ1111" s="127"/>
      <c r="AR1111" s="29"/>
      <c r="BB1111" s="26"/>
      <c r="BC1111" s="13"/>
      <c r="BH1111" s="117"/>
      <c r="BI1111" s="123"/>
      <c r="BJ1111" s="123"/>
      <c r="BK1111" s="123"/>
      <c r="BL1111" s="115"/>
      <c r="BM1111" s="115"/>
      <c r="BN1111" s="115"/>
      <c r="BO1111" s="115"/>
      <c r="BP1111" s="115"/>
      <c r="BQ1111" s="115"/>
      <c r="BR1111" s="115"/>
      <c r="BS1111" s="115"/>
      <c r="BT1111" s="115"/>
      <c r="BU1111" s="115"/>
      <c r="BV1111" s="115"/>
      <c r="BW1111" s="115"/>
      <c r="BX1111" s="115"/>
      <c r="BY1111" s="115"/>
      <c r="BZ1111" s="25">
        <v>45270</v>
      </c>
      <c r="CA1111" s="13" t="s">
        <v>164</v>
      </c>
      <c r="CD1111" s="114"/>
    </row>
    <row r="1112" spans="1:82" ht="19.5" x14ac:dyDescent="0.4">
      <c r="A1112" s="117"/>
      <c r="B1112" s="123"/>
      <c r="C1112" s="123"/>
      <c r="D1112" s="123"/>
      <c r="AQ1112" s="127"/>
      <c r="AR1112" s="29"/>
      <c r="AW1112" s="115"/>
      <c r="AX1112" s="115"/>
      <c r="AY1112" s="115"/>
      <c r="AZ1112" s="115"/>
      <c r="BA1112" s="115"/>
      <c r="BB1112" s="17"/>
      <c r="BC1112" s="13"/>
      <c r="BH1112" s="117"/>
      <c r="BI1112" s="123"/>
      <c r="BJ1112" s="123"/>
      <c r="BK1112" s="123"/>
      <c r="BL1112" s="115"/>
      <c r="BM1112" s="115"/>
      <c r="BN1112" s="115"/>
      <c r="BO1112" s="115"/>
      <c r="BP1112" s="115"/>
      <c r="BQ1112" s="115"/>
      <c r="BR1112" s="115"/>
      <c r="BS1112" s="115"/>
      <c r="BT1112" s="115"/>
      <c r="BU1112" s="115"/>
      <c r="BV1112" s="115"/>
      <c r="BW1112" s="115"/>
      <c r="BX1112" s="115"/>
      <c r="BY1112" s="115"/>
      <c r="BZ1112" s="25"/>
      <c r="CA1112" s="13"/>
      <c r="CD1112" s="114"/>
    </row>
    <row r="1113" spans="1:82" ht="19.5" x14ac:dyDescent="0.4">
      <c r="A1113" s="117"/>
      <c r="B1113" s="123"/>
      <c r="C1113" s="123"/>
      <c r="D1113" s="123"/>
      <c r="AQ1113" s="127"/>
      <c r="AR1113" s="29"/>
      <c r="BB1113" s="26"/>
      <c r="BC1113" s="13"/>
      <c r="BH1113" s="117"/>
      <c r="BI1113" s="123"/>
      <c r="BJ1113" s="123"/>
      <c r="BK1113" s="123"/>
      <c r="BL1113" s="115"/>
      <c r="BM1113" s="115"/>
      <c r="BN1113" s="115"/>
      <c r="BO1113" s="115"/>
      <c r="BP1113" s="115"/>
      <c r="BQ1113" s="115"/>
      <c r="BR1113" s="115"/>
      <c r="BS1113" s="115"/>
      <c r="BT1113" s="115"/>
      <c r="BU1113" s="115"/>
      <c r="BV1113" s="115"/>
      <c r="BW1113" s="115"/>
      <c r="BX1113" s="115"/>
      <c r="BY1113" s="115"/>
      <c r="BZ1113" s="25"/>
      <c r="CA1113" s="13"/>
      <c r="CD1113" s="114"/>
    </row>
    <row r="1114" spans="1:82" ht="19.5" x14ac:dyDescent="0.4">
      <c r="A1114" s="117"/>
      <c r="B1114" s="123"/>
      <c r="C1114" s="123"/>
      <c r="D1114" s="123"/>
      <c r="AQ1114" s="127"/>
      <c r="AR1114" s="29"/>
      <c r="AT1114" s="115"/>
      <c r="AU1114" s="115"/>
      <c r="AV1114" s="115"/>
      <c r="AW1114" s="115"/>
      <c r="AX1114" s="115"/>
      <c r="AY1114" s="115"/>
      <c r="AZ1114" s="115"/>
      <c r="BA1114" s="115"/>
      <c r="BB1114" s="26"/>
      <c r="BC1114" s="13"/>
      <c r="BH1114" s="117"/>
      <c r="BI1114" s="123"/>
      <c r="BJ1114" s="123"/>
      <c r="BK1114" s="123"/>
      <c r="BL1114" s="115"/>
      <c r="BM1114" s="115"/>
      <c r="BN1114" s="115"/>
      <c r="BO1114" s="115"/>
      <c r="BP1114" s="115"/>
      <c r="BQ1114" s="115"/>
      <c r="BR1114" s="115"/>
      <c r="BS1114" s="115"/>
      <c r="BT1114" s="115"/>
      <c r="BU1114" s="115"/>
      <c r="BV1114" s="115"/>
      <c r="BW1114" s="115"/>
      <c r="BX1114" s="115"/>
      <c r="BY1114" s="115"/>
      <c r="BZ1114" s="25"/>
      <c r="CA1114" s="13"/>
      <c r="CD1114" s="114"/>
    </row>
    <row r="1115" spans="1:82" ht="19.5" x14ac:dyDescent="0.4">
      <c r="A1115" s="117"/>
      <c r="B1115" s="123"/>
      <c r="C1115" s="123"/>
      <c r="D1115" s="123"/>
      <c r="AQ1115" s="127"/>
      <c r="AR1115" s="29"/>
      <c r="BB1115" s="26"/>
      <c r="BC1115" s="13"/>
      <c r="BH1115" s="117"/>
      <c r="BI1115" s="123"/>
      <c r="BJ1115" s="123"/>
      <c r="BK1115" s="123"/>
      <c r="BL1115" s="115"/>
      <c r="BM1115" s="115"/>
      <c r="BN1115" s="115"/>
      <c r="BO1115" s="115"/>
      <c r="BP1115" s="115"/>
      <c r="BQ1115" s="115"/>
      <c r="BR1115" s="115"/>
      <c r="BS1115" s="115"/>
      <c r="BT1115" s="115"/>
      <c r="BU1115" s="115"/>
      <c r="BV1115" s="115"/>
      <c r="BW1115" s="115"/>
      <c r="BX1115" s="115"/>
      <c r="BY1115" s="115"/>
      <c r="BZ1115" s="25">
        <v>45270</v>
      </c>
      <c r="CA1115" s="13" t="s">
        <v>164</v>
      </c>
      <c r="CD1115" s="114"/>
    </row>
    <row r="1116" spans="1:82" ht="19.5" x14ac:dyDescent="0.4">
      <c r="A1116" s="117"/>
      <c r="B1116" s="123"/>
      <c r="C1116" s="123"/>
      <c r="D1116" s="123"/>
      <c r="AQ1116" s="127"/>
      <c r="AR1116" s="29"/>
      <c r="AV1116" s="115"/>
      <c r="AW1116" s="115"/>
      <c r="AX1116" s="115"/>
      <c r="AY1116" s="115"/>
      <c r="AZ1116" s="115"/>
      <c r="BA1116" s="115"/>
      <c r="BB1116" s="26"/>
      <c r="BC1116" s="13"/>
      <c r="BH1116" s="117"/>
      <c r="BI1116" s="123"/>
      <c r="BJ1116" s="123"/>
      <c r="BK1116" s="123"/>
      <c r="BL1116" s="115"/>
      <c r="BM1116" s="115"/>
      <c r="BN1116" s="115"/>
      <c r="BO1116" s="115"/>
      <c r="BP1116" s="115"/>
      <c r="BQ1116" s="115"/>
      <c r="BR1116" s="115"/>
      <c r="BS1116" s="115"/>
      <c r="BT1116" s="115"/>
      <c r="BU1116" s="115"/>
      <c r="BV1116" s="115"/>
      <c r="BW1116" s="115"/>
      <c r="BX1116" s="115"/>
      <c r="BY1116" s="115"/>
      <c r="BZ1116" s="25"/>
      <c r="CA1116" s="13"/>
      <c r="CD1116" s="114"/>
    </row>
    <row r="1117" spans="1:82" ht="19.5" x14ac:dyDescent="0.4">
      <c r="A1117" s="117"/>
      <c r="B1117" s="123"/>
      <c r="C1117" s="123"/>
      <c r="D1117" s="123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27"/>
      <c r="AR1117" s="29"/>
      <c r="AS1117" s="115"/>
      <c r="AT1117" s="115"/>
      <c r="AU1117" s="115"/>
      <c r="AV1117" s="115"/>
      <c r="AW1117" s="115"/>
      <c r="AX1117" s="115"/>
      <c r="AY1117" s="115"/>
      <c r="AZ1117" s="115"/>
      <c r="BA1117" s="115"/>
      <c r="BB1117" s="26"/>
      <c r="BC1117" s="13"/>
      <c r="BH1117" s="117"/>
      <c r="BI1117" s="123"/>
      <c r="BJ1117" s="123"/>
      <c r="BK1117" s="123"/>
      <c r="BL1117" s="115"/>
      <c r="BM1117" s="115"/>
      <c r="BN1117" s="115"/>
      <c r="BO1117" s="115"/>
      <c r="BP1117" s="115"/>
      <c r="BQ1117" s="115"/>
      <c r="BR1117" s="115"/>
      <c r="BS1117" s="115"/>
      <c r="BT1117" s="115"/>
      <c r="BU1117" s="115"/>
      <c r="BV1117" s="115"/>
      <c r="BW1117" s="115"/>
      <c r="BX1117" s="115"/>
      <c r="BY1117" s="115"/>
      <c r="BZ1117" s="25"/>
      <c r="CA1117" s="13"/>
      <c r="CD1117" s="114"/>
    </row>
    <row r="1118" spans="1:82" ht="19.5" x14ac:dyDescent="0.4">
      <c r="A1118" s="117"/>
      <c r="B1118" s="123"/>
      <c r="C1118" s="123"/>
      <c r="D1118" s="123"/>
      <c r="AQ1118" s="127"/>
      <c r="AR1118" s="29"/>
      <c r="BB1118" s="26"/>
      <c r="BC1118" s="13"/>
      <c r="BH1118" s="117"/>
      <c r="BI1118" s="123"/>
      <c r="BJ1118" s="123"/>
      <c r="BK1118" s="123"/>
      <c r="BL1118" s="115"/>
      <c r="BM1118" s="115"/>
      <c r="BN1118" s="115"/>
      <c r="BO1118" s="115"/>
      <c r="BP1118" s="115"/>
      <c r="BQ1118" s="115"/>
      <c r="BR1118" s="115"/>
      <c r="BS1118" s="115"/>
      <c r="BT1118" s="115"/>
      <c r="BU1118" s="115"/>
      <c r="BV1118" s="115"/>
      <c r="BW1118" s="115"/>
      <c r="BX1118" s="115"/>
      <c r="BY1118" s="115"/>
      <c r="BZ1118" s="25">
        <v>45270</v>
      </c>
      <c r="CA1118" s="13" t="s">
        <v>162</v>
      </c>
      <c r="CD1118" s="114"/>
    </row>
    <row r="1119" spans="1:82" ht="19.5" x14ac:dyDescent="0.4">
      <c r="A1119" s="117"/>
      <c r="B1119" s="123"/>
      <c r="C1119" s="123"/>
      <c r="D1119" s="123"/>
      <c r="AQ1119" s="127"/>
      <c r="AR1119" s="29"/>
      <c r="AU1119" s="115"/>
      <c r="AV1119" s="115"/>
      <c r="AW1119" s="115"/>
      <c r="AX1119" s="115"/>
      <c r="AY1119" s="115"/>
      <c r="AZ1119" s="115"/>
      <c r="BA1119" s="115"/>
      <c r="BB1119" s="26"/>
      <c r="BC1119" s="15"/>
      <c r="BH1119" s="117"/>
      <c r="BI1119" s="123"/>
      <c r="BJ1119" s="123"/>
      <c r="BK1119" s="123"/>
      <c r="BL1119" s="115"/>
      <c r="BM1119" s="115"/>
      <c r="BN1119" s="115"/>
      <c r="BO1119" s="115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25"/>
      <c r="CA1119" s="13"/>
      <c r="CD1119" s="114"/>
    </row>
    <row r="1120" spans="1:82" ht="19.5" x14ac:dyDescent="0.4">
      <c r="A1120" s="117"/>
      <c r="B1120" s="123"/>
      <c r="C1120" s="123"/>
      <c r="D1120" s="123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29"/>
      <c r="AR1120" s="29"/>
      <c r="AU1120" s="115"/>
      <c r="AV1120" s="115"/>
      <c r="AW1120" s="115"/>
      <c r="AX1120" s="115"/>
      <c r="AY1120" s="115"/>
      <c r="AZ1120" s="115"/>
      <c r="BA1120" s="115"/>
      <c r="BB1120" s="26"/>
      <c r="BC1120" s="13"/>
      <c r="BH1120" s="117"/>
      <c r="BI1120" s="123"/>
      <c r="BJ1120" s="123"/>
      <c r="BK1120" s="123"/>
      <c r="BL1120" s="115"/>
      <c r="BM1120" s="115"/>
      <c r="BN1120" s="115"/>
      <c r="BO1120" s="115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25"/>
      <c r="CA1120" s="13"/>
      <c r="CD1120" s="114"/>
    </row>
    <row r="1121" spans="1:82" ht="19.5" x14ac:dyDescent="0.4">
      <c r="A1121" s="117"/>
      <c r="B1121" s="123"/>
      <c r="C1121" s="123"/>
      <c r="D1121" s="123"/>
      <c r="AQ1121" s="127"/>
      <c r="AR1121" s="29"/>
      <c r="BB1121" s="26"/>
      <c r="BC1121" s="13"/>
      <c r="BH1121" s="117"/>
      <c r="BI1121" s="123"/>
      <c r="BJ1121" s="123"/>
      <c r="BK1121" s="123"/>
      <c r="BL1121" s="115"/>
      <c r="BM1121" s="115"/>
      <c r="BN1121" s="115"/>
      <c r="BO1121" s="115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25">
        <v>45270</v>
      </c>
      <c r="CA1121" s="13" t="s">
        <v>162</v>
      </c>
      <c r="CD1121" s="114"/>
    </row>
    <row r="1122" spans="1:82" ht="19.5" x14ac:dyDescent="0.4">
      <c r="A1122" s="117"/>
      <c r="B1122" s="123"/>
      <c r="C1122" s="123"/>
      <c r="D1122" s="123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29"/>
      <c r="AR1122" s="29"/>
      <c r="BB1122" s="26"/>
      <c r="BC1122" s="13"/>
      <c r="BH1122" s="117"/>
      <c r="BI1122" s="123"/>
      <c r="BJ1122" s="123"/>
      <c r="BK1122" s="123"/>
      <c r="BL1122" s="115"/>
      <c r="BM1122" s="115"/>
      <c r="BN1122" s="115"/>
      <c r="BO1122" s="115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25"/>
      <c r="CA1122" s="13"/>
      <c r="CD1122" s="114"/>
    </row>
    <row r="1123" spans="1:82" ht="19.5" x14ac:dyDescent="0.4">
      <c r="A1123" s="117"/>
      <c r="B1123" s="123"/>
      <c r="C1123" s="123"/>
      <c r="D1123" s="123"/>
      <c r="AQ1123" s="127"/>
      <c r="AR1123" s="29"/>
      <c r="AW1123" s="115"/>
      <c r="AX1123" s="115"/>
      <c r="AY1123" s="115"/>
      <c r="AZ1123" s="115"/>
      <c r="BA1123" s="115"/>
      <c r="BB1123" s="17"/>
      <c r="BC1123" s="13"/>
      <c r="BH1123" s="117"/>
      <c r="BI1123" s="123"/>
      <c r="BJ1123" s="123"/>
      <c r="BK1123" s="123"/>
      <c r="BL1123" s="115"/>
      <c r="BM1123" s="115"/>
      <c r="BN1123" s="115"/>
      <c r="BO1123" s="115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25"/>
      <c r="CA1123" s="13"/>
      <c r="CD1123" s="114"/>
    </row>
    <row r="1124" spans="1:82" ht="19.5" x14ac:dyDescent="0.4">
      <c r="A1124" s="117"/>
      <c r="B1124" s="123"/>
      <c r="C1124" s="123"/>
      <c r="D1124" s="123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29"/>
      <c r="AR1124" s="29"/>
      <c r="AW1124" s="115"/>
      <c r="AX1124" s="115"/>
      <c r="AY1124" s="115"/>
      <c r="AZ1124" s="115"/>
      <c r="BA1124" s="115"/>
      <c r="BB1124" s="17"/>
      <c r="BC1124" s="13"/>
      <c r="BH1124" s="117"/>
      <c r="BI1124" s="123"/>
      <c r="BJ1124" s="123"/>
      <c r="BK1124" s="123"/>
      <c r="BL1124" s="115"/>
      <c r="BM1124" s="115"/>
      <c r="BN1124" s="115"/>
      <c r="BO1124" s="115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25"/>
      <c r="CA1124" s="13"/>
      <c r="CD1124" s="114"/>
    </row>
    <row r="1125" spans="1:82" ht="19.5" x14ac:dyDescent="0.4">
      <c r="A1125" s="117"/>
      <c r="B1125" s="123"/>
      <c r="C1125" s="123"/>
      <c r="D1125" s="123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29"/>
      <c r="AR1125" s="29"/>
      <c r="AW1125" s="115"/>
      <c r="AX1125" s="115"/>
      <c r="AY1125" s="115"/>
      <c r="AZ1125" s="115"/>
      <c r="BA1125" s="115"/>
      <c r="BB1125" s="17"/>
      <c r="BC1125" s="13"/>
      <c r="BH1125" s="117"/>
      <c r="BI1125" s="123"/>
      <c r="BJ1125" s="123"/>
      <c r="BK1125" s="123"/>
      <c r="BL1125" s="115"/>
      <c r="BM1125" s="115"/>
      <c r="BN1125" s="115"/>
      <c r="BO1125" s="115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25"/>
      <c r="CA1125" s="13"/>
      <c r="CD1125" s="114"/>
    </row>
    <row r="1126" spans="1:82" ht="19.5" x14ac:dyDescent="0.4">
      <c r="A1126" s="117"/>
      <c r="B1126" s="123"/>
      <c r="C1126" s="123"/>
      <c r="D1126" s="123"/>
      <c r="AQ1126" s="115"/>
      <c r="AR1126" s="115"/>
      <c r="AS1126" s="115"/>
      <c r="AT1126" s="115"/>
      <c r="AU1126" s="115"/>
      <c r="AV1126" s="115"/>
      <c r="AW1126" s="115"/>
      <c r="AX1126" s="115"/>
      <c r="AY1126" s="115"/>
      <c r="AZ1126" s="115"/>
      <c r="BA1126" s="115"/>
      <c r="BB1126" s="26"/>
      <c r="BC1126" s="13"/>
      <c r="BH1126" s="117"/>
      <c r="BI1126" s="123"/>
      <c r="BJ1126" s="123"/>
      <c r="BK1126" s="123"/>
      <c r="BL1126" s="115"/>
      <c r="BM1126" s="115"/>
      <c r="BN1126" s="115"/>
      <c r="BO1126" s="115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25"/>
      <c r="CA1126" s="13"/>
      <c r="CD1126" s="114"/>
    </row>
    <row r="1127" spans="1:82" ht="19.5" x14ac:dyDescent="0.4">
      <c r="A1127" s="117"/>
      <c r="B1127" s="123"/>
      <c r="C1127" s="123"/>
      <c r="D1127" s="123"/>
      <c r="BB1127" s="26"/>
      <c r="BC1127" s="13"/>
      <c r="BH1127" s="117"/>
      <c r="BI1127" s="123"/>
      <c r="BJ1127" s="123"/>
      <c r="BK1127" s="123"/>
      <c r="BL1127" s="115"/>
      <c r="BM1127" s="115"/>
      <c r="BN1127" s="115"/>
      <c r="BO1127" s="115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25"/>
      <c r="CA1127" s="13"/>
      <c r="CD1127" s="114"/>
    </row>
    <row r="1128" spans="1:82" ht="19.5" x14ac:dyDescent="0.4">
      <c r="A1128" s="117"/>
      <c r="B1128" s="123"/>
      <c r="C1128" s="123"/>
      <c r="D1128" s="123"/>
      <c r="BB1128" s="26"/>
      <c r="BC1128" s="13"/>
      <c r="BH1128" s="117"/>
      <c r="BI1128" s="123"/>
      <c r="BJ1128" s="123"/>
      <c r="BK1128" s="123"/>
      <c r="BL1128" s="115"/>
      <c r="BM1128" s="115"/>
      <c r="BN1128" s="115"/>
      <c r="BO1128" s="115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25">
        <v>45270</v>
      </c>
      <c r="CA1128" s="13" t="s">
        <v>163</v>
      </c>
      <c r="CD1128" s="114"/>
    </row>
    <row r="1129" spans="1:82" ht="19.5" x14ac:dyDescent="0.4">
      <c r="A1129" s="117"/>
      <c r="B1129" s="123"/>
      <c r="C1129" s="123"/>
      <c r="D1129" s="123"/>
      <c r="AW1129" s="115"/>
      <c r="AX1129" s="115"/>
      <c r="AY1129" s="115"/>
      <c r="AZ1129" s="115"/>
      <c r="BA1129" s="115"/>
      <c r="BB1129" s="17"/>
      <c r="BC1129" s="13"/>
      <c r="BH1129" s="117"/>
      <c r="BI1129" s="123"/>
      <c r="BJ1129" s="123"/>
      <c r="BK1129" s="123"/>
      <c r="BL1129" s="115"/>
      <c r="BM1129" s="115"/>
      <c r="BN1129" s="115"/>
      <c r="BO1129" s="115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25"/>
      <c r="CA1129" s="13"/>
      <c r="CD1129" s="114"/>
    </row>
    <row r="1130" spans="1:82" ht="19.5" x14ac:dyDescent="0.4">
      <c r="A1130" s="117"/>
      <c r="B1130" s="123"/>
      <c r="C1130" s="123"/>
      <c r="D1130" s="123"/>
      <c r="BB1130" s="26"/>
      <c r="BC1130" s="13"/>
      <c r="BH1130" s="117"/>
      <c r="BI1130" s="123"/>
      <c r="BJ1130" s="123"/>
      <c r="BK1130" s="123"/>
      <c r="BL1130" s="115"/>
      <c r="BM1130" s="115"/>
      <c r="BN1130" s="115"/>
      <c r="BO1130" s="115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 t="s">
        <v>151</v>
      </c>
      <c r="BZ1130" s="13">
        <f>SUBTOTAL(3,BZ1111:BZ1128)</f>
        <v>5</v>
      </c>
      <c r="CA1130" s="13">
        <f>SUBTOTAL(3,CA1111:CA1128)</f>
        <v>5</v>
      </c>
      <c r="CD1130" s="114"/>
    </row>
    <row r="1131" spans="1:82" ht="19.5" x14ac:dyDescent="0.4">
      <c r="A1131" s="117"/>
      <c r="B1131" s="123"/>
      <c r="C1131" s="123"/>
      <c r="D1131" s="123"/>
      <c r="AV1131" s="115"/>
      <c r="AW1131" s="115"/>
      <c r="AX1131" s="115"/>
      <c r="AY1131" s="115"/>
      <c r="AZ1131" s="115"/>
      <c r="BA1131" s="115"/>
      <c r="BB1131" s="26"/>
      <c r="BC1131" s="13"/>
      <c r="BH1131" s="117"/>
      <c r="BI1131" s="123"/>
      <c r="BJ1131" s="123"/>
      <c r="BK1131" s="123"/>
      <c r="BL1131" s="115"/>
      <c r="BM1131" s="115"/>
      <c r="BN1131" s="115"/>
      <c r="BO1131" s="115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3"/>
      <c r="CA1131" s="13"/>
      <c r="CD1131" s="114"/>
    </row>
    <row r="1132" spans="1:82" ht="19.5" x14ac:dyDescent="0.4">
      <c r="A1132" s="117"/>
      <c r="B1132" s="123"/>
      <c r="C1132" s="123"/>
      <c r="D1132" s="123"/>
      <c r="BB1132" s="26"/>
      <c r="BC1132" s="13"/>
      <c r="BH1132" s="117"/>
      <c r="BI1132" s="123"/>
      <c r="BJ1132" s="123"/>
      <c r="BK1132" s="123"/>
      <c r="BL1132" s="115"/>
      <c r="BM1132" s="115"/>
      <c r="BN1132" s="115"/>
      <c r="BO1132" s="115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25">
        <v>45271</v>
      </c>
      <c r="CA1132" s="13" t="s">
        <v>162</v>
      </c>
      <c r="CD1132" s="114"/>
    </row>
    <row r="1133" spans="1:82" ht="19.5" x14ac:dyDescent="0.4">
      <c r="A1133" s="117"/>
      <c r="B1133" s="123"/>
      <c r="C1133" s="123"/>
      <c r="D1133" s="123"/>
      <c r="BB1133" s="26"/>
      <c r="BC1133" s="13"/>
      <c r="BH1133" s="117"/>
      <c r="BI1133" s="123"/>
      <c r="BJ1133" s="123"/>
      <c r="BK1133" s="123"/>
      <c r="BL1133" s="115"/>
      <c r="BM1133" s="115"/>
      <c r="BN1133" s="115"/>
      <c r="BO1133" s="115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25">
        <v>45271</v>
      </c>
      <c r="CA1133" s="13" t="s">
        <v>163</v>
      </c>
      <c r="CD1133" s="114"/>
    </row>
    <row r="1134" spans="1:82" ht="19.5" x14ac:dyDescent="0.4">
      <c r="A1134" s="117"/>
      <c r="B1134" s="123"/>
      <c r="C1134" s="123"/>
      <c r="D1134" s="123"/>
      <c r="AV1134" s="115"/>
      <c r="AW1134" s="115"/>
      <c r="AX1134" s="115"/>
      <c r="AY1134" s="115"/>
      <c r="AZ1134" s="115"/>
      <c r="BA1134" s="115"/>
      <c r="BB1134" s="26"/>
      <c r="BC1134" s="13"/>
      <c r="BH1134" s="117"/>
      <c r="BI1134" s="123"/>
      <c r="BJ1134" s="123"/>
      <c r="BK1134" s="123"/>
      <c r="BL1134" s="115"/>
      <c r="BM1134" s="115"/>
      <c r="BN1134" s="115"/>
      <c r="BO1134" s="115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25"/>
      <c r="CA1134" s="13"/>
      <c r="CD1134" s="114"/>
    </row>
    <row r="1135" spans="1:82" ht="19.5" x14ac:dyDescent="0.4">
      <c r="A1135" s="117"/>
      <c r="B1135" s="123"/>
      <c r="C1135" s="123"/>
      <c r="D1135" s="123"/>
      <c r="AU1135" s="115"/>
      <c r="AV1135" s="115"/>
      <c r="AW1135" s="115"/>
      <c r="AX1135" s="115"/>
      <c r="AY1135" s="115"/>
      <c r="AZ1135" s="115"/>
      <c r="BA1135" s="115"/>
      <c r="BB1135" s="26"/>
      <c r="BC1135" s="13"/>
      <c r="BH1135" s="117"/>
      <c r="BI1135" s="123"/>
      <c r="BJ1135" s="123"/>
      <c r="BK1135" s="123"/>
      <c r="BL1135" s="115"/>
      <c r="BM1135" s="115"/>
      <c r="BN1135" s="115"/>
      <c r="BO1135" s="115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25"/>
      <c r="CA1135" s="13"/>
      <c r="CD1135" s="114"/>
    </row>
    <row r="1136" spans="1:82" ht="19.5" x14ac:dyDescent="0.4">
      <c r="A1136" s="117"/>
      <c r="B1136" s="123"/>
      <c r="C1136" s="123"/>
      <c r="D1136" s="123"/>
      <c r="AU1136" s="115"/>
      <c r="AV1136" s="115"/>
      <c r="AW1136" s="115"/>
      <c r="AX1136" s="115"/>
      <c r="AY1136" s="115"/>
      <c r="AZ1136" s="115"/>
      <c r="BA1136" s="115"/>
      <c r="BB1136" s="17"/>
      <c r="BC1136" s="13"/>
      <c r="BH1136" s="117"/>
      <c r="BI1136" s="123"/>
      <c r="BJ1136" s="123"/>
      <c r="BK1136" s="123"/>
      <c r="BL1136" s="115"/>
      <c r="BM1136" s="115"/>
      <c r="BN1136" s="115"/>
      <c r="BO1136" s="115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25"/>
      <c r="CA1136" s="13"/>
      <c r="CD1136" s="114"/>
    </row>
    <row r="1137" spans="1:82" ht="19.5" x14ac:dyDescent="0.4">
      <c r="A1137" s="117"/>
      <c r="B1137" s="123"/>
      <c r="C1137" s="123"/>
      <c r="D1137" s="123"/>
      <c r="AS1137" s="115"/>
      <c r="AT1137" s="115"/>
      <c r="AU1137" s="115"/>
      <c r="AV1137" s="115"/>
      <c r="AW1137" s="115"/>
      <c r="AX1137" s="115"/>
      <c r="AY1137" s="115"/>
      <c r="AZ1137" s="115"/>
      <c r="BA1137" s="115"/>
      <c r="BB1137" s="26"/>
      <c r="BC1137" s="13"/>
      <c r="BH1137" s="117"/>
      <c r="BI1137" s="123"/>
      <c r="BJ1137" s="123"/>
      <c r="BK1137" s="123"/>
      <c r="BL1137" s="115"/>
      <c r="BM1137" s="115"/>
      <c r="BN1137" s="115"/>
      <c r="BO1137" s="115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25"/>
      <c r="CA1137" s="13"/>
      <c r="CD1137" s="114"/>
    </row>
    <row r="1138" spans="1:82" ht="19.5" x14ac:dyDescent="0.4">
      <c r="A1138" s="117"/>
      <c r="B1138" s="123"/>
      <c r="C1138" s="123"/>
      <c r="D1138" s="123"/>
      <c r="BB1138" s="26"/>
      <c r="BC1138" s="13"/>
      <c r="BH1138" s="117"/>
      <c r="BI1138" s="123"/>
      <c r="BJ1138" s="123"/>
      <c r="BK1138" s="123"/>
      <c r="BL1138" s="115"/>
      <c r="BM1138" s="115"/>
      <c r="BN1138" s="115"/>
      <c r="BO1138" s="115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25">
        <v>45271</v>
      </c>
      <c r="CA1138" s="13" t="s">
        <v>163</v>
      </c>
      <c r="CD1138" s="114"/>
    </row>
    <row r="1139" spans="1:82" ht="19.5" x14ac:dyDescent="0.4">
      <c r="A1139" s="117"/>
      <c r="B1139" s="123"/>
      <c r="C1139" s="123"/>
      <c r="D1139" s="123"/>
      <c r="AV1139" s="115"/>
      <c r="AW1139" s="115"/>
      <c r="AX1139" s="115"/>
      <c r="AY1139" s="115"/>
      <c r="AZ1139" s="115"/>
      <c r="BA1139" s="115"/>
      <c r="BB1139" s="26"/>
      <c r="BC1139" s="13"/>
      <c r="BH1139" s="117"/>
      <c r="BI1139" s="123"/>
      <c r="BJ1139" s="123"/>
      <c r="BK1139" s="123"/>
      <c r="BL1139" s="115"/>
      <c r="BM1139" s="115"/>
      <c r="BN1139" s="115"/>
      <c r="BO1139" s="115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25"/>
      <c r="CA1139" s="13"/>
      <c r="CD1139" s="114"/>
    </row>
    <row r="1140" spans="1:82" ht="19.5" x14ac:dyDescent="0.4">
      <c r="A1140" s="117"/>
      <c r="B1140" s="123"/>
      <c r="C1140" s="123"/>
      <c r="D1140" s="123"/>
      <c r="AT1140" s="115"/>
      <c r="AU1140" s="115"/>
      <c r="AV1140" s="115"/>
      <c r="AW1140" s="115"/>
      <c r="AX1140" s="115"/>
      <c r="AY1140" s="115"/>
      <c r="AZ1140" s="115"/>
      <c r="BA1140" s="115"/>
      <c r="BB1140" s="26"/>
      <c r="BC1140" s="13"/>
      <c r="BH1140" s="117"/>
      <c r="BI1140" s="123"/>
      <c r="BJ1140" s="123"/>
      <c r="BK1140" s="123"/>
      <c r="BL1140" s="115"/>
      <c r="BM1140" s="115"/>
      <c r="BN1140" s="115"/>
      <c r="BO1140" s="115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25"/>
      <c r="CA1140" s="13"/>
      <c r="CD1140" s="114"/>
    </row>
    <row r="1141" spans="1:82" ht="19.5" x14ac:dyDescent="0.4">
      <c r="A1141" s="117"/>
      <c r="B1141" s="123"/>
      <c r="C1141" s="123"/>
      <c r="D1141" s="123"/>
      <c r="AT1141" s="115"/>
      <c r="AU1141" s="115"/>
      <c r="AV1141" s="115"/>
      <c r="AW1141" s="115"/>
      <c r="AX1141" s="115"/>
      <c r="AY1141" s="115"/>
      <c r="AZ1141" s="115"/>
      <c r="BA1141" s="115"/>
      <c r="BB1141" s="17"/>
      <c r="BC1141" s="13"/>
      <c r="BH1141" s="117"/>
      <c r="BI1141" s="123"/>
      <c r="BJ1141" s="123"/>
      <c r="BK1141" s="123"/>
      <c r="BL1141" s="115"/>
      <c r="BM1141" s="115"/>
      <c r="BN1141" s="115"/>
      <c r="BO1141" s="115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25"/>
      <c r="CA1141" s="13"/>
      <c r="CD1141" s="114"/>
    </row>
    <row r="1142" spans="1:82" ht="19.5" x14ac:dyDescent="0.4">
      <c r="A1142" s="117"/>
      <c r="B1142" s="123"/>
      <c r="C1142" s="123"/>
      <c r="D1142" s="123"/>
      <c r="BB1142" s="26"/>
      <c r="BC1142" s="13"/>
      <c r="BH1142" s="117"/>
      <c r="BI1142" s="123"/>
      <c r="BJ1142" s="123"/>
      <c r="BK1142" s="123"/>
      <c r="BL1142" s="115"/>
      <c r="BM1142" s="115"/>
      <c r="BN1142" s="115"/>
      <c r="BO1142" s="115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 t="s">
        <v>165</v>
      </c>
      <c r="BZ1142" s="13">
        <f>SUBTOTAL(3,BZ1132:BZ1138)</f>
        <v>3</v>
      </c>
      <c r="CA1142" s="13">
        <f>SUBTOTAL(3,CA1132:CA1138)</f>
        <v>3</v>
      </c>
      <c r="CD1142" s="114"/>
    </row>
    <row r="1143" spans="1:82" ht="19.5" x14ac:dyDescent="0.4">
      <c r="A1143" s="117"/>
      <c r="B1143" s="123"/>
      <c r="C1143" s="123"/>
      <c r="D1143" s="123"/>
      <c r="BB1143" s="26"/>
      <c r="BC1143" s="13"/>
      <c r="BH1143" s="117"/>
      <c r="BI1143" s="123"/>
      <c r="BJ1143" s="123"/>
      <c r="BK1143" s="123"/>
      <c r="BL1143" s="115"/>
      <c r="BM1143" s="115"/>
      <c r="BN1143" s="115"/>
      <c r="BO1143" s="115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25">
        <v>45272</v>
      </c>
      <c r="CA1143" s="13" t="s">
        <v>162</v>
      </c>
      <c r="CD1143" s="114"/>
    </row>
    <row r="1144" spans="1:82" ht="19.5" x14ac:dyDescent="0.4">
      <c r="A1144" s="117"/>
      <c r="B1144" s="123"/>
      <c r="C1144" s="123"/>
      <c r="D1144" s="123"/>
      <c r="AW1144" s="115"/>
      <c r="AX1144" s="115"/>
      <c r="AY1144" s="115"/>
      <c r="AZ1144" s="115"/>
      <c r="BA1144" s="115"/>
      <c r="BB1144" s="17"/>
      <c r="BC1144" s="13"/>
      <c r="BH1144" s="117"/>
      <c r="BI1144" s="123"/>
      <c r="BJ1144" s="123"/>
      <c r="BK1144" s="123"/>
      <c r="BL1144" s="115"/>
      <c r="BM1144" s="115"/>
      <c r="BN1144" s="115"/>
      <c r="BO1144" s="115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25"/>
      <c r="CA1144" s="13"/>
      <c r="CD1144" s="114"/>
    </row>
    <row r="1145" spans="1:82" ht="19.5" x14ac:dyDescent="0.4">
      <c r="A1145" s="117"/>
      <c r="B1145" s="123"/>
      <c r="C1145" s="123"/>
      <c r="D1145" s="123"/>
      <c r="BB1145" s="26"/>
      <c r="BC1145" s="15"/>
      <c r="BH1145" s="117"/>
      <c r="BI1145" s="123"/>
      <c r="BJ1145" s="123"/>
      <c r="BK1145" s="123"/>
      <c r="BL1145" s="115"/>
      <c r="BM1145" s="115"/>
      <c r="BN1145" s="115"/>
      <c r="BO1145" s="115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25">
        <v>45272</v>
      </c>
      <c r="CA1145" s="13" t="s">
        <v>162</v>
      </c>
      <c r="CD1145" s="114"/>
    </row>
    <row r="1146" spans="1:82" ht="19.5" x14ac:dyDescent="0.4">
      <c r="A1146" s="117"/>
      <c r="B1146" s="123"/>
      <c r="C1146" s="123"/>
      <c r="D1146" s="123"/>
      <c r="AW1146" s="115"/>
      <c r="AX1146" s="115"/>
      <c r="AY1146" s="115"/>
      <c r="AZ1146" s="115"/>
      <c r="BA1146" s="115"/>
      <c r="BB1146" s="17"/>
      <c r="BC1146" s="13"/>
      <c r="BH1146" s="117"/>
      <c r="BI1146" s="123"/>
      <c r="BJ1146" s="123"/>
      <c r="BK1146" s="123"/>
      <c r="BL1146" s="115"/>
      <c r="BM1146" s="115"/>
      <c r="BN1146" s="115"/>
      <c r="BO1146" s="115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25"/>
      <c r="CA1146" s="13"/>
      <c r="CD1146" s="114"/>
    </row>
    <row r="1147" spans="1:82" ht="19.5" x14ac:dyDescent="0.4">
      <c r="A1147" s="117"/>
      <c r="B1147" s="123"/>
      <c r="C1147" s="123"/>
      <c r="D1147" s="123"/>
      <c r="AW1147" s="115"/>
      <c r="AX1147" s="115"/>
      <c r="AY1147" s="115"/>
      <c r="AZ1147" s="115"/>
      <c r="BA1147" s="115"/>
      <c r="BB1147" s="17"/>
      <c r="BC1147" s="13"/>
      <c r="BH1147" s="117"/>
      <c r="BI1147" s="123"/>
      <c r="BJ1147" s="123"/>
      <c r="BK1147" s="123"/>
      <c r="BL1147" s="115"/>
      <c r="BM1147" s="115"/>
      <c r="BN1147" s="115"/>
      <c r="BO1147" s="115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25"/>
      <c r="CA1147" s="13"/>
      <c r="CD1147" s="114"/>
    </row>
    <row r="1148" spans="1:82" ht="19.5" x14ac:dyDescent="0.4">
      <c r="A1148" s="117"/>
      <c r="B1148" s="123"/>
      <c r="C1148" s="123"/>
      <c r="D1148" s="123"/>
      <c r="BB1148" s="26"/>
      <c r="BC1148" s="13"/>
      <c r="BH1148" s="117"/>
      <c r="BI1148" s="123"/>
      <c r="BJ1148" s="123"/>
      <c r="BK1148" s="123"/>
      <c r="BL1148" s="115"/>
      <c r="BM1148" s="115"/>
      <c r="BN1148" s="115"/>
      <c r="BO1148" s="115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25">
        <v>45272</v>
      </c>
      <c r="CA1148" s="13" t="s">
        <v>162</v>
      </c>
      <c r="CD1148" s="114"/>
    </row>
    <row r="1149" spans="1:82" ht="19.5" x14ac:dyDescent="0.4">
      <c r="A1149" s="125"/>
      <c r="B1149" s="126"/>
      <c r="C1149" s="126"/>
      <c r="D1149" s="126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15"/>
      <c r="AR1149" s="115"/>
      <c r="AS1149" s="115"/>
      <c r="AT1149" s="115"/>
      <c r="AU1149" s="115"/>
      <c r="AV1149" s="115"/>
      <c r="AW1149" s="115"/>
      <c r="AX1149" s="115"/>
      <c r="AY1149" s="115"/>
      <c r="AZ1149" s="115"/>
      <c r="BA1149" s="115"/>
      <c r="BB1149" s="26"/>
      <c r="BC1149" s="13"/>
      <c r="BH1149" s="117"/>
      <c r="BI1149" s="123"/>
      <c r="BJ1149" s="123"/>
      <c r="BK1149" s="123"/>
      <c r="BL1149" s="115"/>
      <c r="BM1149" s="115"/>
      <c r="BN1149" s="115"/>
      <c r="BO1149" s="115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25"/>
      <c r="CA1149" s="13"/>
      <c r="CD1149" s="114"/>
    </row>
    <row r="1150" spans="1:82" ht="19.5" x14ac:dyDescent="0.4">
      <c r="A1150" s="125"/>
      <c r="B1150" s="126"/>
      <c r="C1150" s="126"/>
      <c r="D1150" s="126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115"/>
      <c r="AU1150" s="115"/>
      <c r="AV1150" s="115"/>
      <c r="AW1150" s="115"/>
      <c r="AX1150" s="115"/>
      <c r="AY1150" s="115"/>
      <c r="AZ1150" s="115"/>
      <c r="BA1150" s="115"/>
      <c r="BB1150" s="26"/>
      <c r="BC1150" s="13"/>
      <c r="BH1150" s="117"/>
      <c r="BI1150" s="123"/>
      <c r="BJ1150" s="123"/>
      <c r="BK1150" s="123"/>
      <c r="BL1150" s="115"/>
      <c r="BM1150" s="115"/>
      <c r="BN1150" s="115"/>
      <c r="BO1150" s="115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25"/>
      <c r="CA1150" s="13"/>
      <c r="CD1150" s="114"/>
    </row>
    <row r="1151" spans="1:82" ht="19.5" x14ac:dyDescent="0.4">
      <c r="A1151" s="125"/>
      <c r="B1151" s="126"/>
      <c r="C1151" s="126"/>
      <c r="D1151" s="126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115"/>
      <c r="AU1151" s="115"/>
      <c r="AV1151" s="115"/>
      <c r="AW1151" s="115"/>
      <c r="AX1151" s="115"/>
      <c r="AY1151" s="115"/>
      <c r="AZ1151" s="115"/>
      <c r="BA1151" s="115"/>
      <c r="BB1151" s="17"/>
      <c r="BC1151" s="13"/>
      <c r="BH1151" s="117"/>
      <c r="BI1151" s="123"/>
      <c r="BJ1151" s="123"/>
      <c r="BK1151" s="123"/>
      <c r="BL1151" s="115"/>
      <c r="BM1151" s="115"/>
      <c r="BN1151" s="115"/>
      <c r="BO1151" s="115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25"/>
      <c r="CA1151" s="13"/>
      <c r="CD1151" s="114"/>
    </row>
    <row r="1152" spans="1:82" ht="19.5" x14ac:dyDescent="0.4">
      <c r="A1152" s="125"/>
      <c r="B1152" s="126"/>
      <c r="C1152" s="126"/>
      <c r="D1152" s="126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115"/>
      <c r="AT1152" s="115"/>
      <c r="AU1152" s="115"/>
      <c r="AV1152" s="115"/>
      <c r="AW1152" s="115"/>
      <c r="AX1152" s="115"/>
      <c r="AY1152" s="115"/>
      <c r="AZ1152" s="115"/>
      <c r="BA1152" s="115"/>
      <c r="BB1152" s="26"/>
      <c r="BC1152" s="13"/>
      <c r="BH1152" s="117"/>
      <c r="BI1152" s="123"/>
      <c r="BJ1152" s="123"/>
      <c r="BK1152" s="123"/>
      <c r="BL1152" s="115"/>
      <c r="BM1152" s="115"/>
      <c r="BN1152" s="115"/>
      <c r="BO1152" s="115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25"/>
      <c r="CA1152" s="13"/>
      <c r="CD1152" s="114"/>
    </row>
    <row r="1153" spans="6:82" ht="19.5" x14ac:dyDescent="0.4">
      <c r="BB1153" s="26"/>
      <c r="BC1153" s="13"/>
      <c r="BH1153" s="117"/>
      <c r="BI1153" s="123"/>
      <c r="BJ1153" s="123"/>
      <c r="BK1153" s="123"/>
      <c r="BL1153" s="115"/>
      <c r="BM1153" s="115"/>
      <c r="BN1153" s="115"/>
      <c r="BO1153" s="115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25">
        <v>45272</v>
      </c>
      <c r="CA1153" s="13" t="s">
        <v>162</v>
      </c>
      <c r="CD1153" s="114"/>
    </row>
    <row r="1154" spans="6:82" ht="19.5" x14ac:dyDescent="0.4">
      <c r="BB1154" s="26"/>
      <c r="BC1154" s="13"/>
      <c r="BH1154" s="117"/>
      <c r="BI1154" s="123"/>
      <c r="BJ1154" s="123"/>
      <c r="BK1154" s="123"/>
      <c r="BL1154" s="115"/>
      <c r="BM1154" s="115"/>
      <c r="BN1154" s="115"/>
      <c r="BO1154" s="115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25"/>
      <c r="CA1154" s="13"/>
      <c r="CD1154" s="114"/>
    </row>
    <row r="1155" spans="6:82" ht="19.5" x14ac:dyDescent="0.4">
      <c r="AR1155" s="115"/>
      <c r="AS1155" s="115"/>
      <c r="AT1155" s="115"/>
      <c r="AU1155" s="115"/>
      <c r="AV1155" s="115"/>
      <c r="AW1155" s="115"/>
      <c r="AX1155" s="115"/>
      <c r="AY1155" s="115"/>
      <c r="AZ1155" s="115"/>
      <c r="BA1155" s="115"/>
      <c r="BB1155" s="26"/>
      <c r="BC1155" s="25"/>
      <c r="BH1155" s="117"/>
      <c r="BI1155" s="123"/>
      <c r="BJ1155" s="123"/>
      <c r="BK1155" s="123"/>
      <c r="BL1155" s="115"/>
      <c r="BM1155" s="115"/>
      <c r="BN1155" s="115"/>
      <c r="BO1155" s="115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25"/>
      <c r="CA1155" s="13"/>
      <c r="CD1155" s="114"/>
    </row>
    <row r="1156" spans="6:82" ht="19.5" x14ac:dyDescent="0.4">
      <c r="BB1156" s="26"/>
      <c r="BC1156" s="25"/>
      <c r="BH1156" s="117"/>
      <c r="BI1156" s="123"/>
      <c r="BJ1156" s="123"/>
      <c r="BK1156" s="123"/>
      <c r="BL1156" s="115"/>
      <c r="BM1156" s="115"/>
      <c r="BN1156" s="115"/>
      <c r="BO1156" s="115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25">
        <v>45272</v>
      </c>
      <c r="CA1156" s="13" t="s">
        <v>162</v>
      </c>
      <c r="CD1156" s="114"/>
    </row>
    <row r="1157" spans="6:82" ht="19.5" x14ac:dyDescent="0.4">
      <c r="BB1157" s="26"/>
      <c r="BC1157" s="13"/>
      <c r="BH1157" s="117"/>
      <c r="BI1157" s="123"/>
      <c r="BJ1157" s="123"/>
      <c r="BK1157" s="123"/>
      <c r="BL1157" s="115"/>
      <c r="BM1157" s="115"/>
      <c r="BN1157" s="115"/>
      <c r="BO1157" s="115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25">
        <v>45272</v>
      </c>
      <c r="CA1157" s="15" t="s">
        <v>162</v>
      </c>
      <c r="CD1157" s="114"/>
    </row>
    <row r="1158" spans="6:82" ht="19.5" x14ac:dyDescent="0.4">
      <c r="BB1158" s="26"/>
      <c r="BC1158" s="13"/>
      <c r="BH1158" s="117"/>
      <c r="BI1158" s="123"/>
      <c r="BJ1158" s="123"/>
      <c r="BK1158" s="123"/>
      <c r="BL1158" s="115"/>
      <c r="BM1158" s="115"/>
      <c r="BN1158" s="115"/>
      <c r="BO1158" s="115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25">
        <v>45272</v>
      </c>
      <c r="CA1158" s="15" t="s">
        <v>162</v>
      </c>
      <c r="CD1158" s="114"/>
    </row>
    <row r="1159" spans="6:82" ht="19.5" x14ac:dyDescent="0.4">
      <c r="AR1159" s="115"/>
      <c r="AS1159" s="115"/>
      <c r="AT1159" s="115"/>
      <c r="AU1159" s="115"/>
      <c r="AV1159" s="115"/>
      <c r="AW1159" s="115"/>
      <c r="AX1159" s="115"/>
      <c r="AY1159" s="115"/>
      <c r="AZ1159" s="115"/>
      <c r="BA1159" s="115"/>
      <c r="BB1159" s="26"/>
      <c r="BC1159" s="13"/>
      <c r="BH1159" s="117"/>
      <c r="BI1159" s="123"/>
      <c r="BJ1159" s="123"/>
      <c r="BK1159" s="123"/>
      <c r="BL1159" s="115"/>
      <c r="BM1159" s="115"/>
      <c r="BN1159" s="115"/>
      <c r="BO1159" s="115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25"/>
      <c r="CA1159" s="15"/>
      <c r="CD1159" s="114"/>
    </row>
    <row r="1160" spans="6:82" ht="19.5" x14ac:dyDescent="0.4">
      <c r="AR1160" s="115"/>
      <c r="AS1160" s="115"/>
      <c r="AT1160" s="115"/>
      <c r="AU1160" s="115"/>
      <c r="AV1160" s="115"/>
      <c r="AW1160" s="115"/>
      <c r="AX1160" s="115"/>
      <c r="AY1160" s="115"/>
      <c r="AZ1160" s="115"/>
      <c r="BA1160" s="115"/>
      <c r="BB1160" s="17"/>
      <c r="BC1160" s="13"/>
      <c r="BH1160" s="117"/>
      <c r="BI1160" s="123"/>
      <c r="BJ1160" s="123"/>
      <c r="BK1160" s="123"/>
      <c r="BL1160" s="115"/>
      <c r="BM1160" s="115"/>
      <c r="BN1160" s="115"/>
      <c r="BO1160" s="115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25"/>
      <c r="CA1160" s="15"/>
      <c r="CD1160" s="114"/>
    </row>
    <row r="1161" spans="6:82" ht="19.5" x14ac:dyDescent="0.4">
      <c r="BB1161" s="26"/>
      <c r="BC1161" s="13"/>
      <c r="BH1161" s="117"/>
      <c r="BI1161" s="123"/>
      <c r="BJ1161" s="123"/>
      <c r="BK1161" s="123"/>
      <c r="BL1161" s="115"/>
      <c r="BM1161" s="115"/>
      <c r="BN1161" s="115"/>
      <c r="BO1161" s="115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25">
        <v>45272</v>
      </c>
      <c r="CA1161" s="15" t="s">
        <v>162</v>
      </c>
      <c r="CD1161" s="114"/>
    </row>
    <row r="1162" spans="6:82" ht="19.5" x14ac:dyDescent="0.4"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115"/>
      <c r="AT1162" s="115"/>
      <c r="AU1162" s="115"/>
      <c r="AV1162" s="115"/>
      <c r="AW1162" s="115"/>
      <c r="AX1162" s="115"/>
      <c r="AY1162" s="115"/>
      <c r="AZ1162" s="115"/>
      <c r="BA1162" s="115"/>
      <c r="BB1162" s="26"/>
      <c r="BC1162" s="13"/>
      <c r="BH1162" s="117"/>
      <c r="BI1162" s="123"/>
      <c r="BJ1162" s="123"/>
      <c r="BK1162" s="123"/>
      <c r="BL1162" s="115"/>
      <c r="BM1162" s="115"/>
      <c r="BN1162" s="115"/>
      <c r="BO1162" s="115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25"/>
      <c r="CA1162" s="15"/>
      <c r="CD1162" s="114"/>
    </row>
    <row r="1163" spans="6:82" ht="19.5" x14ac:dyDescent="0.4"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115"/>
      <c r="AU1163" s="115"/>
      <c r="AV1163" s="115"/>
      <c r="AW1163" s="115"/>
      <c r="AX1163" s="115"/>
      <c r="AY1163" s="115"/>
      <c r="AZ1163" s="115"/>
      <c r="BA1163" s="115"/>
      <c r="BB1163" s="26"/>
      <c r="BC1163" s="13"/>
      <c r="BH1163" s="117"/>
      <c r="BI1163" s="123"/>
      <c r="BJ1163" s="123"/>
      <c r="BK1163" s="123"/>
      <c r="BL1163" s="115"/>
      <c r="BM1163" s="115"/>
      <c r="BN1163" s="115"/>
      <c r="BO1163" s="115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25"/>
      <c r="CA1163" s="15"/>
      <c r="CD1163" s="114"/>
    </row>
    <row r="1164" spans="6:82" ht="19.5" x14ac:dyDescent="0.4"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115"/>
      <c r="AT1164" s="115"/>
      <c r="AU1164" s="115"/>
      <c r="AV1164" s="115"/>
      <c r="AW1164" s="115"/>
      <c r="AX1164" s="115"/>
      <c r="AY1164" s="115"/>
      <c r="AZ1164" s="115"/>
      <c r="BA1164" s="115"/>
      <c r="BB1164" s="17"/>
      <c r="BC1164" s="13"/>
      <c r="BH1164" s="117"/>
      <c r="BI1164" s="123"/>
      <c r="BJ1164" s="123"/>
      <c r="BK1164" s="123"/>
      <c r="BL1164" s="115"/>
      <c r="BM1164" s="115"/>
      <c r="BN1164" s="115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25"/>
      <c r="CA1164" s="15"/>
      <c r="CD1164" s="114"/>
    </row>
    <row r="1165" spans="6:82" ht="19.5" x14ac:dyDescent="0.4"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115"/>
      <c r="AU1165" s="115"/>
      <c r="AV1165" s="115"/>
      <c r="AW1165" s="115"/>
      <c r="AX1165" s="115"/>
      <c r="AY1165" s="115"/>
      <c r="AZ1165" s="115"/>
      <c r="BA1165" s="115"/>
      <c r="BB1165" s="26"/>
      <c r="BC1165" s="13"/>
      <c r="BH1165" s="117"/>
      <c r="BI1165" s="123"/>
      <c r="BJ1165" s="123"/>
      <c r="BK1165" s="123"/>
      <c r="BL1165" s="115"/>
      <c r="BM1165" s="115"/>
      <c r="BN1165" s="115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25"/>
      <c r="CA1165" s="15"/>
      <c r="CD1165" s="114"/>
    </row>
    <row r="1166" spans="6:82" ht="19.5" x14ac:dyDescent="0.4"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115"/>
      <c r="AW1166" s="115"/>
      <c r="AX1166" s="115"/>
      <c r="AY1166" s="115"/>
      <c r="AZ1166" s="115"/>
      <c r="BA1166" s="115"/>
      <c r="BB1166" s="17"/>
      <c r="BC1166" s="13"/>
      <c r="BH1166" s="117"/>
      <c r="BI1166" s="123"/>
      <c r="BJ1166" s="123"/>
      <c r="BK1166" s="123"/>
      <c r="BL1166" s="115"/>
      <c r="BM1166" s="115"/>
      <c r="BN1166" s="115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25"/>
      <c r="CA1166" s="15"/>
      <c r="CD1166" s="114"/>
    </row>
    <row r="1167" spans="6:82" ht="19.5" x14ac:dyDescent="0.4"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15"/>
      <c r="AR1167" s="115"/>
      <c r="AS1167" s="115"/>
      <c r="AT1167" s="115"/>
      <c r="AU1167" s="115"/>
      <c r="AV1167" s="115"/>
      <c r="AW1167" s="115"/>
      <c r="AX1167" s="115"/>
      <c r="AY1167" s="115"/>
      <c r="AZ1167" s="115"/>
      <c r="BA1167" s="115"/>
      <c r="BB1167" s="26"/>
      <c r="BC1167" s="13"/>
      <c r="BH1167" s="117"/>
      <c r="BI1167" s="123"/>
      <c r="BJ1167" s="123"/>
      <c r="BK1167" s="123"/>
      <c r="BL1167" s="115"/>
      <c r="BM1167" s="115"/>
      <c r="BN1167" s="115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25"/>
      <c r="CA1167" s="15"/>
      <c r="CD1167" s="114"/>
    </row>
    <row r="1168" spans="6:82" ht="19.5" x14ac:dyDescent="0.4">
      <c r="BB1168" s="26"/>
      <c r="BC1168" s="13"/>
      <c r="BH1168" s="117"/>
      <c r="BI1168" s="123"/>
      <c r="BJ1168" s="123"/>
      <c r="BK1168" s="123"/>
      <c r="BL1168" s="115"/>
      <c r="BM1168" s="115"/>
      <c r="BN1168" s="115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25">
        <v>45272</v>
      </c>
      <c r="CA1168" s="15" t="s">
        <v>162</v>
      </c>
      <c r="CD1168" s="114"/>
    </row>
    <row r="1169" spans="6:82" ht="19.5" x14ac:dyDescent="0.4">
      <c r="AU1169" s="115"/>
      <c r="AV1169" s="115"/>
      <c r="AW1169" s="115"/>
      <c r="AX1169" s="115"/>
      <c r="AY1169" s="115"/>
      <c r="AZ1169" s="115"/>
      <c r="BA1169" s="115"/>
      <c r="BB1169" s="26"/>
      <c r="BC1169" s="13"/>
      <c r="BH1169" s="117"/>
      <c r="BI1169" s="123"/>
      <c r="BJ1169" s="123"/>
      <c r="BK1169" s="123"/>
      <c r="BL1169" s="115"/>
      <c r="BM1169" s="115"/>
      <c r="BN1169" s="115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25"/>
      <c r="CA1169" s="15"/>
      <c r="CD1169" s="114"/>
    </row>
    <row r="1170" spans="6:82" ht="19.5" x14ac:dyDescent="0.4">
      <c r="AU1170" s="115"/>
      <c r="AV1170" s="115"/>
      <c r="AW1170" s="115"/>
      <c r="AX1170" s="115"/>
      <c r="AY1170" s="115"/>
      <c r="AZ1170" s="115"/>
      <c r="BA1170" s="115"/>
      <c r="BB1170" s="17"/>
      <c r="BC1170" s="13"/>
      <c r="BH1170" s="117"/>
      <c r="BI1170" s="123"/>
      <c r="BJ1170" s="123"/>
      <c r="BK1170" s="123"/>
      <c r="BL1170" s="115"/>
      <c r="BM1170" s="115"/>
      <c r="BN1170" s="115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25"/>
      <c r="CA1170" s="15"/>
      <c r="CD1170" s="114"/>
    </row>
    <row r="1171" spans="6:82" ht="19.5" x14ac:dyDescent="0.4"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115"/>
      <c r="AT1171" s="115"/>
      <c r="AU1171" s="115"/>
      <c r="AV1171" s="115"/>
      <c r="AW1171" s="115"/>
      <c r="AX1171" s="115"/>
      <c r="AY1171" s="115"/>
      <c r="AZ1171" s="115"/>
      <c r="BA1171" s="115"/>
      <c r="BB1171" s="26"/>
      <c r="BC1171" s="13"/>
      <c r="BH1171" s="117"/>
      <c r="BI1171" s="123"/>
      <c r="BJ1171" s="123"/>
      <c r="BK1171" s="123"/>
      <c r="BL1171" s="115"/>
      <c r="BM1171" s="115"/>
      <c r="BN1171" s="115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25"/>
      <c r="CA1171" s="15"/>
      <c r="CD1171" s="114"/>
    </row>
    <row r="1172" spans="6:82" ht="19.5" x14ac:dyDescent="0.4"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115"/>
      <c r="AU1172" s="115"/>
      <c r="AV1172" s="115"/>
      <c r="AW1172" s="115"/>
      <c r="AX1172" s="115"/>
      <c r="AY1172" s="115"/>
      <c r="AZ1172" s="115"/>
      <c r="BA1172" s="115"/>
      <c r="BB1172" s="17"/>
      <c r="BC1172" s="13"/>
      <c r="BH1172" s="117"/>
      <c r="BI1172" s="123"/>
      <c r="BJ1172" s="123"/>
      <c r="BK1172" s="123"/>
      <c r="BL1172" s="115"/>
      <c r="BM1172" s="115"/>
      <c r="BN1172" s="115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25"/>
      <c r="CA1172" s="15"/>
      <c r="CD1172" s="114"/>
    </row>
    <row r="1173" spans="6:82" ht="19.5" x14ac:dyDescent="0.4"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115"/>
      <c r="AS1173" s="115"/>
      <c r="AT1173" s="115"/>
      <c r="AU1173" s="115"/>
      <c r="AV1173" s="115"/>
      <c r="AW1173" s="115"/>
      <c r="AX1173" s="115"/>
      <c r="AY1173" s="115"/>
      <c r="AZ1173" s="115"/>
      <c r="BA1173" s="115"/>
      <c r="BB1173" s="26"/>
      <c r="BC1173" s="25"/>
      <c r="BH1173" s="117"/>
      <c r="BI1173" s="123"/>
      <c r="BJ1173" s="123"/>
      <c r="BK1173" s="123"/>
      <c r="BL1173" s="115"/>
      <c r="BM1173" s="115"/>
      <c r="BN1173" s="115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25"/>
      <c r="CA1173" s="15"/>
      <c r="CD1173" s="114"/>
    </row>
    <row r="1174" spans="6:82" ht="19.5" x14ac:dyDescent="0.4"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115"/>
      <c r="AU1174" s="115"/>
      <c r="AV1174" s="115"/>
      <c r="AW1174" s="115"/>
      <c r="AX1174" s="115"/>
      <c r="AY1174" s="115"/>
      <c r="AZ1174" s="115"/>
      <c r="BA1174" s="115"/>
      <c r="BB1174" s="17"/>
      <c r="BC1174" s="13"/>
      <c r="BH1174" s="117"/>
      <c r="BI1174" s="123"/>
      <c r="BJ1174" s="123"/>
      <c r="BK1174" s="123"/>
      <c r="BL1174" s="115"/>
      <c r="BM1174" s="115"/>
      <c r="BN1174" s="115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25"/>
      <c r="CA1174" s="15"/>
      <c r="CD1174" s="114"/>
    </row>
    <row r="1175" spans="6:82" ht="19.5" x14ac:dyDescent="0.4"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115"/>
      <c r="AV1175" s="115"/>
      <c r="AW1175" s="115"/>
      <c r="AX1175" s="115"/>
      <c r="AY1175" s="115"/>
      <c r="AZ1175" s="115"/>
      <c r="BA1175" s="115"/>
      <c r="BB1175" s="26"/>
      <c r="BC1175" s="13"/>
      <c r="BH1175" s="117"/>
      <c r="BI1175" s="123"/>
      <c r="BJ1175" s="123"/>
      <c r="BK1175" s="123"/>
      <c r="BL1175" s="115"/>
      <c r="BM1175" s="115"/>
      <c r="BN1175" s="115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25"/>
      <c r="CA1175" s="15"/>
      <c r="CD1175" s="114"/>
    </row>
    <row r="1176" spans="6:82" ht="19.5" x14ac:dyDescent="0.4">
      <c r="BB1176" s="26"/>
      <c r="BC1176" s="13"/>
      <c r="BH1176" s="117"/>
      <c r="BI1176" s="123"/>
      <c r="BJ1176" s="123"/>
      <c r="BK1176" s="123"/>
      <c r="BL1176" s="115"/>
      <c r="BM1176" s="115"/>
      <c r="BN1176" s="115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25">
        <v>45272</v>
      </c>
      <c r="CA1176" s="15" t="s">
        <v>162</v>
      </c>
      <c r="CD1176" s="114"/>
    </row>
    <row r="1177" spans="6:82" ht="19.5" x14ac:dyDescent="0.4">
      <c r="AV1177" s="115"/>
      <c r="AW1177" s="115"/>
      <c r="AX1177" s="115"/>
      <c r="AY1177" s="115"/>
      <c r="AZ1177" s="115"/>
      <c r="BA1177" s="115"/>
      <c r="BB1177" s="17"/>
      <c r="BC1177" s="13"/>
      <c r="BH1177" s="117"/>
      <c r="BI1177" s="123"/>
      <c r="BJ1177" s="123"/>
      <c r="BK1177" s="123"/>
      <c r="BL1177" s="115"/>
      <c r="BM1177" s="115"/>
      <c r="BN1177" s="115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25"/>
      <c r="CA1177" s="15"/>
      <c r="CD1177" s="114"/>
    </row>
    <row r="1178" spans="6:82" ht="19.5" x14ac:dyDescent="0.4">
      <c r="AU1178" s="115"/>
      <c r="AV1178" s="115"/>
      <c r="AW1178" s="115"/>
      <c r="AX1178" s="115"/>
      <c r="AY1178" s="115"/>
      <c r="AZ1178" s="115"/>
      <c r="BA1178" s="115"/>
      <c r="BB1178" s="26"/>
      <c r="BC1178" s="13"/>
      <c r="BH1178" s="117"/>
      <c r="BI1178" s="123"/>
      <c r="BJ1178" s="123"/>
      <c r="BK1178" s="123"/>
      <c r="BL1178" s="115"/>
      <c r="BM1178" s="115"/>
      <c r="BN1178" s="115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25"/>
      <c r="CA1178" s="15"/>
      <c r="CD1178" s="114"/>
    </row>
    <row r="1179" spans="6:82" ht="19.5" x14ac:dyDescent="0.4">
      <c r="AU1179" s="115"/>
      <c r="AV1179" s="115"/>
      <c r="AW1179" s="115"/>
      <c r="AX1179" s="115"/>
      <c r="AY1179" s="115"/>
      <c r="AZ1179" s="115"/>
      <c r="BA1179" s="115"/>
      <c r="BB1179" s="17"/>
      <c r="BC1179" s="13"/>
      <c r="BH1179" s="117"/>
      <c r="BI1179" s="123"/>
      <c r="BJ1179" s="123"/>
      <c r="BK1179" s="123"/>
      <c r="BL1179" s="115"/>
      <c r="BM1179" s="115"/>
      <c r="BN1179" s="115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25"/>
      <c r="CA1179" s="15"/>
      <c r="CD1179" s="114"/>
    </row>
    <row r="1180" spans="6:82" ht="19.5" x14ac:dyDescent="0.4">
      <c r="AU1180" s="115"/>
      <c r="AV1180" s="115"/>
      <c r="AW1180" s="115"/>
      <c r="AX1180" s="115"/>
      <c r="AY1180" s="115"/>
      <c r="AZ1180" s="115"/>
      <c r="BA1180" s="115"/>
      <c r="BB1180" s="17"/>
      <c r="BC1180" s="13"/>
      <c r="BH1180" s="117"/>
      <c r="BI1180" s="123"/>
      <c r="BJ1180" s="123"/>
      <c r="BK1180" s="123"/>
      <c r="BL1180" s="115"/>
      <c r="BM1180" s="115"/>
      <c r="BN1180" s="115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25"/>
      <c r="CA1180" s="15"/>
      <c r="CD1180" s="114"/>
    </row>
    <row r="1181" spans="6:82" ht="19.5" x14ac:dyDescent="0.4">
      <c r="AR1181" s="115"/>
      <c r="AS1181" s="115"/>
      <c r="AT1181" s="115"/>
      <c r="AU1181" s="115"/>
      <c r="AV1181" s="115"/>
      <c r="AW1181" s="115"/>
      <c r="AX1181" s="115"/>
      <c r="AY1181" s="115"/>
      <c r="AZ1181" s="115"/>
      <c r="BA1181" s="115"/>
      <c r="BB1181" s="26"/>
      <c r="BC1181" s="13"/>
      <c r="BH1181" s="117"/>
      <c r="BI1181" s="123"/>
      <c r="BJ1181" s="123"/>
      <c r="BK1181" s="123"/>
      <c r="BL1181" s="115"/>
      <c r="BM1181" s="115"/>
      <c r="BN1181" s="115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25"/>
      <c r="CA1181" s="15"/>
      <c r="CD1181" s="114"/>
    </row>
    <row r="1182" spans="6:82" ht="19.5" x14ac:dyDescent="0.4">
      <c r="AR1182" s="115"/>
      <c r="AS1182" s="115"/>
      <c r="AT1182" s="115"/>
      <c r="AU1182" s="115"/>
      <c r="AV1182" s="115"/>
      <c r="AW1182" s="115"/>
      <c r="AX1182" s="115"/>
      <c r="AY1182" s="115"/>
      <c r="AZ1182" s="115"/>
      <c r="BA1182" s="115"/>
      <c r="BB1182" s="20"/>
      <c r="BC1182" s="13"/>
      <c r="BH1182" s="117"/>
      <c r="BI1182" s="123"/>
      <c r="BJ1182" s="123"/>
      <c r="BK1182" s="123"/>
      <c r="BL1182" s="115"/>
      <c r="BM1182" s="115"/>
      <c r="BN1182" s="115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25"/>
      <c r="CA1182" s="15"/>
      <c r="CD1182" s="114"/>
    </row>
    <row r="1183" spans="6:82" ht="19.5" x14ac:dyDescent="0.4">
      <c r="AR1183" s="115"/>
      <c r="AS1183" s="115"/>
      <c r="AT1183" s="115"/>
      <c r="AU1183" s="115"/>
      <c r="AV1183" s="115"/>
      <c r="AW1183" s="115"/>
      <c r="AX1183" s="115"/>
      <c r="AY1183" s="115"/>
      <c r="AZ1183" s="115"/>
      <c r="BA1183" s="115"/>
      <c r="BB1183" s="20"/>
      <c r="BC1183" s="13"/>
      <c r="BH1183" s="117"/>
      <c r="BI1183" s="123"/>
      <c r="BJ1183" s="123"/>
      <c r="BK1183" s="123"/>
      <c r="BL1183" s="115"/>
      <c r="BM1183" s="115"/>
      <c r="BN1183" s="115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25"/>
      <c r="CA1183" s="15"/>
      <c r="CD1183" s="114"/>
    </row>
    <row r="1184" spans="6:82" ht="19.5" x14ac:dyDescent="0.4">
      <c r="AR1184" s="115"/>
      <c r="AS1184" s="115"/>
      <c r="AT1184" s="115"/>
      <c r="AU1184" s="115"/>
      <c r="AV1184" s="115"/>
      <c r="AW1184" s="115"/>
      <c r="AX1184" s="115"/>
      <c r="AY1184" s="115"/>
      <c r="AZ1184" s="115"/>
      <c r="BA1184" s="115"/>
      <c r="BB1184" s="25"/>
      <c r="BC1184" s="15"/>
      <c r="BH1184" s="117"/>
      <c r="BI1184" s="123"/>
      <c r="BJ1184" s="123"/>
      <c r="BK1184" s="123"/>
      <c r="BL1184" s="115"/>
      <c r="BM1184" s="115"/>
      <c r="BN1184" s="115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25"/>
      <c r="CA1184" s="15"/>
      <c r="CD1184" s="114"/>
    </row>
    <row r="1185" spans="6:82" ht="19.5" x14ac:dyDescent="0.4"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15"/>
      <c r="AS1185" s="115"/>
      <c r="AT1185" s="115"/>
      <c r="AU1185" s="115"/>
      <c r="AV1185" s="115"/>
      <c r="AW1185" s="115"/>
      <c r="AX1185" s="115"/>
      <c r="AY1185" s="115"/>
      <c r="AZ1185" s="115"/>
      <c r="BA1185" s="115"/>
      <c r="BB1185" s="25"/>
      <c r="BC1185" s="15"/>
      <c r="BH1185" s="117"/>
      <c r="BI1185" s="123"/>
      <c r="BJ1185" s="123"/>
      <c r="BK1185" s="123"/>
      <c r="BL1185" s="115"/>
      <c r="BM1185" s="115"/>
      <c r="BN1185" s="115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25"/>
      <c r="CA1185" s="15"/>
      <c r="CD1185" s="114"/>
    </row>
    <row r="1186" spans="6:82" ht="19.5" x14ac:dyDescent="0.4"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15"/>
      <c r="AP1186" s="115"/>
      <c r="AQ1186" s="115"/>
      <c r="AR1186" s="115"/>
      <c r="AS1186" s="115"/>
      <c r="AT1186" s="115"/>
      <c r="AU1186" s="115"/>
      <c r="AV1186" s="115"/>
      <c r="AW1186" s="115"/>
      <c r="AX1186" s="115"/>
      <c r="AY1186" s="115"/>
      <c r="AZ1186" s="115"/>
      <c r="BA1186" s="115"/>
      <c r="BB1186" s="25"/>
      <c r="BC1186" s="15"/>
      <c r="BH1186" s="117"/>
      <c r="BI1186" s="123"/>
      <c r="BJ1186" s="123"/>
      <c r="BK1186" s="123"/>
      <c r="BL1186" s="115"/>
      <c r="BM1186" s="115"/>
      <c r="BN1186" s="115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25"/>
      <c r="CA1186" s="15"/>
      <c r="CD1186" s="114"/>
    </row>
    <row r="1187" spans="6:82" ht="19.5" x14ac:dyDescent="0.4">
      <c r="BB1187" s="26"/>
      <c r="BC1187" s="15"/>
      <c r="BH1187" s="117"/>
      <c r="BI1187" s="123"/>
      <c r="BJ1187" s="123"/>
      <c r="BK1187" s="123"/>
      <c r="BL1187" s="115"/>
      <c r="BM1187" s="115"/>
      <c r="BN1187" s="115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25">
        <v>45272</v>
      </c>
      <c r="CA1187" s="15" t="s">
        <v>162</v>
      </c>
      <c r="CD1187" s="114"/>
    </row>
    <row r="1188" spans="6:82" ht="19.5" x14ac:dyDescent="0.4">
      <c r="BB1188" s="26"/>
      <c r="BC1188" s="13"/>
      <c r="BH1188" s="117"/>
      <c r="BI1188" s="123"/>
      <c r="BJ1188" s="123"/>
      <c r="BK1188" s="123"/>
      <c r="BL1188" s="115"/>
      <c r="BM1188" s="115"/>
      <c r="BN1188" s="115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25"/>
      <c r="CA1188" s="15"/>
      <c r="CD1188" s="114"/>
    </row>
    <row r="1189" spans="6:82" ht="19.5" x14ac:dyDescent="0.4">
      <c r="AQ1189" s="115"/>
      <c r="AR1189" s="115"/>
      <c r="AS1189" s="115"/>
      <c r="AT1189" s="115"/>
      <c r="AU1189" s="115"/>
      <c r="AV1189" s="115"/>
      <c r="AW1189" s="115"/>
      <c r="AX1189" s="115"/>
      <c r="AY1189" s="115"/>
      <c r="AZ1189" s="115"/>
      <c r="BA1189" s="115"/>
      <c r="BB1189" s="26"/>
      <c r="BC1189" s="13"/>
      <c r="BH1189" s="117"/>
      <c r="BI1189" s="123"/>
      <c r="BJ1189" s="123"/>
      <c r="BK1189" s="123"/>
      <c r="BL1189" s="115"/>
      <c r="BM1189" s="115"/>
      <c r="BN1189" s="115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25"/>
      <c r="CA1189" s="15"/>
      <c r="CD1189" s="114"/>
    </row>
    <row r="1190" spans="6:82" ht="19.5" x14ac:dyDescent="0.4">
      <c r="BB1190" s="26"/>
      <c r="BC1190" s="13"/>
      <c r="BH1190" s="117"/>
      <c r="BI1190" s="123"/>
      <c r="BJ1190" s="123"/>
      <c r="BK1190" s="123"/>
      <c r="BL1190" s="115"/>
      <c r="BM1190" s="115"/>
      <c r="BN1190" s="115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25">
        <v>45272</v>
      </c>
      <c r="CA1190" s="15" t="s">
        <v>162</v>
      </c>
      <c r="CD1190" s="114"/>
    </row>
    <row r="1191" spans="6:82" ht="19.5" x14ac:dyDescent="0.4">
      <c r="AT1191" s="115"/>
      <c r="AU1191" s="115"/>
      <c r="AV1191" s="115"/>
      <c r="AW1191" s="115"/>
      <c r="AX1191" s="115"/>
      <c r="AY1191" s="115"/>
      <c r="AZ1191" s="115"/>
      <c r="BA1191" s="115"/>
      <c r="BB1191" s="17"/>
      <c r="BC1191" s="13"/>
      <c r="BH1191" s="117"/>
      <c r="BI1191" s="123"/>
      <c r="BJ1191" s="123"/>
      <c r="BK1191" s="123"/>
      <c r="BL1191" s="115"/>
      <c r="BM1191" s="115"/>
      <c r="BN1191" s="115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25"/>
      <c r="CA1191" s="15"/>
      <c r="CD1191" s="114"/>
    </row>
    <row r="1192" spans="6:82" ht="19.5" x14ac:dyDescent="0.4">
      <c r="BB1192" s="26"/>
      <c r="BC1192" s="13"/>
      <c r="BH1192" s="117"/>
      <c r="BI1192" s="123"/>
      <c r="BJ1192" s="123"/>
      <c r="BK1192" s="123"/>
      <c r="BL1192" s="115"/>
      <c r="BM1192" s="115"/>
      <c r="BN1192" s="115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25"/>
      <c r="CA1192" s="15"/>
      <c r="CD1192" s="114"/>
    </row>
    <row r="1193" spans="6:82" ht="19.5" x14ac:dyDescent="0.4">
      <c r="AR1193" s="115"/>
      <c r="AS1193" s="115"/>
      <c r="AT1193" s="115"/>
      <c r="AU1193" s="115"/>
      <c r="AV1193" s="115"/>
      <c r="AW1193" s="115"/>
      <c r="AX1193" s="115"/>
      <c r="AY1193" s="115"/>
      <c r="AZ1193" s="115"/>
      <c r="BA1193" s="115"/>
      <c r="BB1193" s="26"/>
      <c r="BC1193" s="13"/>
      <c r="BH1193" s="117"/>
      <c r="BI1193" s="123"/>
      <c r="BJ1193" s="123"/>
      <c r="BK1193" s="123"/>
      <c r="BL1193" s="115"/>
      <c r="BM1193" s="115"/>
      <c r="BN1193" s="115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25"/>
      <c r="CA1193" s="15"/>
      <c r="CD1193" s="114"/>
    </row>
    <row r="1194" spans="6:82" ht="19.5" x14ac:dyDescent="0.4">
      <c r="BB1194" s="26"/>
      <c r="BC1194" s="13"/>
      <c r="BH1194" s="117"/>
      <c r="BI1194" s="123"/>
      <c r="BJ1194" s="123"/>
      <c r="BK1194" s="123"/>
      <c r="BL1194" s="115"/>
      <c r="BM1194" s="115"/>
      <c r="BN1194" s="115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25">
        <v>45272</v>
      </c>
      <c r="CA1194" s="15" t="s">
        <v>162</v>
      </c>
      <c r="CD1194" s="114"/>
    </row>
    <row r="1195" spans="6:82" ht="19.5" x14ac:dyDescent="0.4">
      <c r="BB1195" s="26"/>
      <c r="BC1195" s="13"/>
      <c r="BH1195" s="117"/>
      <c r="BI1195" s="123"/>
      <c r="BJ1195" s="123"/>
      <c r="BK1195" s="123"/>
      <c r="BL1195" s="115"/>
      <c r="BM1195" s="115"/>
      <c r="BN1195" s="115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 t="s">
        <v>166</v>
      </c>
      <c r="BZ1195" s="13">
        <f>SUBTOTAL(3,BZ1143:BZ1194)</f>
        <v>13</v>
      </c>
      <c r="CA1195" s="15">
        <f>SUBTOTAL(3,CA1143:CA1194)</f>
        <v>13</v>
      </c>
      <c r="CD1195" s="114"/>
    </row>
    <row r="1196" spans="6:82" ht="19.5" x14ac:dyDescent="0.4">
      <c r="AT1196" s="115"/>
      <c r="AU1196" s="115"/>
      <c r="AV1196" s="115"/>
      <c r="AW1196" s="115"/>
      <c r="AX1196" s="115"/>
      <c r="AY1196" s="115"/>
      <c r="AZ1196" s="115"/>
      <c r="BA1196" s="115"/>
      <c r="BB1196" s="17"/>
      <c r="BC1196" s="13"/>
      <c r="BH1196" s="117"/>
      <c r="BI1196" s="123"/>
      <c r="BJ1196" s="123"/>
      <c r="BK1196" s="123"/>
      <c r="BL1196" s="115"/>
      <c r="BM1196" s="115"/>
      <c r="BN1196" s="115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3"/>
      <c r="CA1196" s="15"/>
      <c r="CD1196" s="114"/>
    </row>
    <row r="1197" spans="6:82" ht="19.5" x14ac:dyDescent="0.4">
      <c r="BB1197" s="26"/>
      <c r="BC1197" s="13"/>
      <c r="BH1197" s="117"/>
      <c r="BI1197" s="123"/>
      <c r="BJ1197" s="123"/>
      <c r="BK1197" s="123"/>
      <c r="BL1197" s="115"/>
      <c r="BM1197" s="115"/>
      <c r="BN1197" s="115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25">
        <v>45273</v>
      </c>
      <c r="CA1197" s="105" t="s">
        <v>164</v>
      </c>
      <c r="CD1197" s="114"/>
    </row>
    <row r="1198" spans="6:82" ht="19.5" x14ac:dyDescent="0.4">
      <c r="BB1198" s="26"/>
      <c r="BC1198" s="13"/>
      <c r="BH1198" s="117"/>
      <c r="BI1198" s="123"/>
      <c r="BJ1198" s="123"/>
      <c r="BK1198" s="123"/>
      <c r="BL1198" s="115"/>
      <c r="BM1198" s="115"/>
      <c r="BN1198" s="115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25">
        <v>45273</v>
      </c>
      <c r="CA1198" s="15" t="s">
        <v>164</v>
      </c>
      <c r="CD1198" s="114"/>
    </row>
    <row r="1199" spans="6:82" ht="19.5" x14ac:dyDescent="0.4">
      <c r="AQ1199" s="115"/>
      <c r="AR1199" s="115"/>
      <c r="AS1199" s="115"/>
      <c r="AT1199" s="115"/>
      <c r="AU1199" s="115"/>
      <c r="AV1199" s="115"/>
      <c r="AW1199" s="115"/>
      <c r="AX1199" s="115"/>
      <c r="AY1199" s="115"/>
      <c r="AZ1199" s="115"/>
      <c r="BA1199" s="115"/>
      <c r="BB1199" s="26"/>
      <c r="BC1199" s="13"/>
      <c r="BH1199" s="117"/>
      <c r="BI1199" s="123"/>
      <c r="BJ1199" s="123"/>
      <c r="BK1199" s="123"/>
      <c r="BL1199" s="115"/>
      <c r="BM1199" s="115"/>
      <c r="BN1199" s="115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25"/>
      <c r="CA1199" s="13"/>
      <c r="CD1199" s="114"/>
    </row>
    <row r="1200" spans="6:82" ht="19.5" x14ac:dyDescent="0.4">
      <c r="BB1200" s="26"/>
      <c r="BC1200" s="13"/>
      <c r="BH1200" s="117"/>
      <c r="BI1200" s="123"/>
      <c r="BJ1200" s="123"/>
      <c r="BK1200" s="123"/>
      <c r="BL1200" s="115"/>
      <c r="BM1200" s="115"/>
      <c r="BN1200" s="115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25">
        <v>45273</v>
      </c>
      <c r="CA1200" s="13" t="s">
        <v>164</v>
      </c>
      <c r="CD1200" s="114"/>
    </row>
    <row r="1201" spans="44:82" ht="19.5" x14ac:dyDescent="0.4">
      <c r="BB1201" s="26"/>
      <c r="BC1201" s="13"/>
      <c r="BH1201" s="117"/>
      <c r="BI1201" s="123"/>
      <c r="BJ1201" s="123"/>
      <c r="BK1201" s="123"/>
      <c r="BL1201" s="115"/>
      <c r="BM1201" s="115"/>
      <c r="BN1201" s="115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25">
        <v>45273</v>
      </c>
      <c r="CA1201" s="15" t="s">
        <v>164</v>
      </c>
      <c r="CD1201" s="114"/>
    </row>
    <row r="1202" spans="44:82" ht="19.5" x14ac:dyDescent="0.4">
      <c r="BB1202" s="26"/>
      <c r="BC1202" s="13"/>
      <c r="BH1202" s="117"/>
      <c r="BI1202" s="123"/>
      <c r="BJ1202" s="123"/>
      <c r="BK1202" s="123"/>
      <c r="BL1202" s="115"/>
      <c r="BM1202" s="115"/>
      <c r="BN1202" s="115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25">
        <v>45273</v>
      </c>
      <c r="CA1202" s="15" t="s">
        <v>162</v>
      </c>
      <c r="CD1202" s="114"/>
    </row>
    <row r="1203" spans="44:82" ht="19.5" x14ac:dyDescent="0.4">
      <c r="AS1203" s="115"/>
      <c r="AT1203" s="115"/>
      <c r="AU1203" s="115"/>
      <c r="AV1203" s="115"/>
      <c r="AW1203" s="115"/>
      <c r="AX1203" s="115"/>
      <c r="AY1203" s="115"/>
      <c r="AZ1203" s="115"/>
      <c r="BA1203" s="115"/>
      <c r="BB1203" s="26"/>
      <c r="BC1203" s="13"/>
      <c r="BH1203" s="117"/>
      <c r="BI1203" s="123"/>
      <c r="BJ1203" s="123"/>
      <c r="BK1203" s="123"/>
      <c r="BL1203" s="115"/>
      <c r="BM1203" s="115"/>
      <c r="BN1203" s="115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25"/>
      <c r="CA1203" s="15"/>
      <c r="CD1203" s="114"/>
    </row>
    <row r="1204" spans="44:82" ht="19.5" x14ac:dyDescent="0.4">
      <c r="BB1204" s="26"/>
      <c r="BC1204" s="13"/>
      <c r="BH1204" s="117"/>
      <c r="BI1204" s="123"/>
      <c r="BJ1204" s="123"/>
      <c r="BK1204" s="123"/>
      <c r="BL1204" s="115"/>
      <c r="BM1204" s="115"/>
      <c r="BN1204" s="115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25">
        <v>45273</v>
      </c>
      <c r="CA1204" s="15" t="s">
        <v>162</v>
      </c>
      <c r="CD1204" s="114"/>
    </row>
    <row r="1205" spans="44:82" ht="19.5" x14ac:dyDescent="0.4">
      <c r="BB1205" s="26"/>
      <c r="BC1205" s="13"/>
      <c r="BH1205" s="117"/>
      <c r="BI1205" s="123"/>
      <c r="BJ1205" s="123"/>
      <c r="BK1205" s="123"/>
      <c r="BL1205" s="115"/>
      <c r="BM1205" s="115"/>
      <c r="BN1205" s="115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25">
        <v>45273</v>
      </c>
      <c r="CA1205" s="15" t="s">
        <v>162</v>
      </c>
      <c r="CD1205" s="114"/>
    </row>
    <row r="1206" spans="44:82" ht="19.5" x14ac:dyDescent="0.4">
      <c r="BB1206" s="26"/>
      <c r="BC1206" s="13"/>
      <c r="BH1206" s="117"/>
      <c r="BI1206" s="123"/>
      <c r="BJ1206" s="123"/>
      <c r="BK1206" s="123"/>
      <c r="BL1206" s="115"/>
      <c r="BM1206" s="115"/>
      <c r="BN1206" s="115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25">
        <v>45273</v>
      </c>
      <c r="CA1206" s="15" t="s">
        <v>162</v>
      </c>
      <c r="CD1206" s="114"/>
    </row>
    <row r="1207" spans="44:82" ht="19.5" x14ac:dyDescent="0.4">
      <c r="AR1207" s="115"/>
      <c r="AS1207" s="115"/>
      <c r="AT1207" s="115"/>
      <c r="AU1207" s="115"/>
      <c r="AV1207" s="115"/>
      <c r="AW1207" s="115"/>
      <c r="AX1207" s="115"/>
      <c r="AY1207" s="115"/>
      <c r="AZ1207" s="115"/>
      <c r="BA1207" s="115"/>
      <c r="BB1207" s="26"/>
      <c r="BC1207" s="13"/>
      <c r="BH1207" s="117"/>
      <c r="BI1207" s="123"/>
      <c r="BJ1207" s="123"/>
      <c r="BK1207" s="123"/>
      <c r="BL1207" s="115"/>
      <c r="BM1207" s="115"/>
      <c r="BN1207" s="115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25"/>
      <c r="CA1207" s="15"/>
      <c r="CD1207" s="114"/>
    </row>
    <row r="1208" spans="44:82" ht="19.5" x14ac:dyDescent="0.4">
      <c r="BB1208" s="26"/>
      <c r="BC1208" s="13"/>
      <c r="BH1208" s="117"/>
      <c r="BI1208" s="123"/>
      <c r="BJ1208" s="123"/>
      <c r="BK1208" s="123"/>
      <c r="BL1208" s="115"/>
      <c r="BM1208" s="115"/>
      <c r="BN1208" s="115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25">
        <v>45273</v>
      </c>
      <c r="CA1208" s="15" t="s">
        <v>162</v>
      </c>
      <c r="CD1208" s="114"/>
    </row>
    <row r="1209" spans="44:82" ht="19.5" x14ac:dyDescent="0.4">
      <c r="BB1209" s="26"/>
      <c r="BC1209" s="13"/>
      <c r="BH1209" s="117"/>
      <c r="BI1209" s="123"/>
      <c r="BJ1209" s="123"/>
      <c r="BK1209" s="123"/>
      <c r="BL1209" s="115"/>
      <c r="BM1209" s="115"/>
      <c r="BN1209" s="115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25">
        <v>45273</v>
      </c>
      <c r="CA1209" s="15" t="s">
        <v>162</v>
      </c>
      <c r="CD1209" s="114"/>
    </row>
    <row r="1210" spans="44:82" ht="19.5" x14ac:dyDescent="0.4">
      <c r="BB1210" s="26"/>
      <c r="BC1210" s="13"/>
      <c r="BH1210" s="117"/>
      <c r="BI1210" s="123"/>
      <c r="BJ1210" s="123"/>
      <c r="BK1210" s="123"/>
      <c r="BL1210" s="115"/>
      <c r="BM1210" s="115"/>
      <c r="BN1210" s="115"/>
      <c r="BO1210" s="115"/>
      <c r="BP1210" s="124"/>
      <c r="BQ1210" s="124"/>
      <c r="BR1210" s="124"/>
      <c r="BS1210" s="124"/>
      <c r="BT1210" s="124"/>
      <c r="BU1210" s="124"/>
      <c r="BV1210" s="124"/>
      <c r="BW1210" s="124"/>
      <c r="BX1210" s="124"/>
      <c r="BY1210" s="124"/>
      <c r="BZ1210" s="25">
        <v>45273</v>
      </c>
      <c r="CA1210" s="15" t="s">
        <v>162</v>
      </c>
      <c r="CD1210" s="114"/>
    </row>
    <row r="1211" spans="44:82" ht="19.5" x14ac:dyDescent="0.4">
      <c r="BB1211" s="26"/>
      <c r="BC1211" s="13"/>
      <c r="BH1211" s="117"/>
      <c r="BI1211" s="123"/>
      <c r="BJ1211" s="123"/>
      <c r="BK1211" s="123"/>
      <c r="BL1211" s="115"/>
      <c r="BM1211" s="115"/>
      <c r="BN1211" s="115"/>
      <c r="BO1211" s="115"/>
      <c r="BP1211" s="124"/>
      <c r="BQ1211" s="124"/>
      <c r="BR1211" s="124"/>
      <c r="BS1211" s="124"/>
      <c r="BT1211" s="124"/>
      <c r="BU1211" s="124"/>
      <c r="BV1211" s="124"/>
      <c r="BW1211" s="124"/>
      <c r="BX1211" s="124"/>
      <c r="BY1211" s="124"/>
      <c r="BZ1211" s="25">
        <v>45273</v>
      </c>
      <c r="CA1211" s="15" t="s">
        <v>162</v>
      </c>
      <c r="CD1211" s="114"/>
    </row>
    <row r="1212" spans="44:82" ht="19.5" x14ac:dyDescent="0.4">
      <c r="AT1212" s="115"/>
      <c r="AU1212" s="115"/>
      <c r="AV1212" s="115"/>
      <c r="AW1212" s="115"/>
      <c r="AX1212" s="115"/>
      <c r="AY1212" s="115"/>
      <c r="AZ1212" s="115"/>
      <c r="BA1212" s="115"/>
      <c r="BB1212" s="17"/>
      <c r="BC1212" s="13"/>
      <c r="BH1212" s="117"/>
      <c r="BI1212" s="123"/>
      <c r="BJ1212" s="123"/>
      <c r="BK1212" s="123"/>
      <c r="BL1212" s="115"/>
      <c r="BM1212" s="115"/>
      <c r="BN1212" s="115"/>
      <c r="BO1212" s="115"/>
      <c r="BP1212" s="124"/>
      <c r="BQ1212" s="124"/>
      <c r="BR1212" s="124"/>
      <c r="BS1212" s="124"/>
      <c r="BT1212" s="124"/>
      <c r="BU1212" s="124"/>
      <c r="BV1212" s="124"/>
      <c r="BW1212" s="124"/>
      <c r="BX1212" s="124"/>
      <c r="BY1212" s="124"/>
      <c r="BZ1212" s="25"/>
      <c r="CA1212" s="15"/>
      <c r="CD1212" s="114"/>
    </row>
    <row r="1213" spans="44:82" ht="19.5" x14ac:dyDescent="0.4">
      <c r="BB1213" s="26"/>
      <c r="BC1213" s="13"/>
      <c r="BH1213" s="117"/>
      <c r="BI1213" s="123"/>
      <c r="BJ1213" s="123"/>
      <c r="BK1213" s="123"/>
      <c r="BL1213" s="115"/>
      <c r="BM1213" s="115"/>
      <c r="BN1213" s="115"/>
      <c r="BO1213" s="115"/>
      <c r="BP1213" s="124"/>
      <c r="BQ1213" s="124"/>
      <c r="BR1213" s="124"/>
      <c r="BS1213" s="124"/>
      <c r="BT1213" s="124"/>
      <c r="BU1213" s="124"/>
      <c r="BV1213" s="124"/>
      <c r="BW1213" s="124"/>
      <c r="BX1213" s="124"/>
      <c r="BY1213" s="124"/>
      <c r="BZ1213" s="25">
        <v>45273</v>
      </c>
      <c r="CA1213" s="15" t="s">
        <v>162</v>
      </c>
      <c r="CD1213" s="114"/>
    </row>
    <row r="1214" spans="44:82" ht="19.5" x14ac:dyDescent="0.4">
      <c r="AT1214" s="115"/>
      <c r="AU1214" s="115"/>
      <c r="AV1214" s="115"/>
      <c r="AW1214" s="115"/>
      <c r="AX1214" s="115"/>
      <c r="AY1214" s="115"/>
      <c r="AZ1214" s="115"/>
      <c r="BA1214" s="115"/>
      <c r="BB1214" s="17"/>
      <c r="BC1214" s="13"/>
      <c r="BH1214" s="117"/>
      <c r="BI1214" s="123"/>
      <c r="BJ1214" s="123"/>
      <c r="BK1214" s="123"/>
      <c r="BL1214" s="115"/>
      <c r="BM1214" s="115"/>
      <c r="BN1214" s="115"/>
      <c r="BO1214" s="115"/>
      <c r="BP1214" s="124"/>
      <c r="BQ1214" s="124"/>
      <c r="BR1214" s="124"/>
      <c r="BS1214" s="124"/>
      <c r="BT1214" s="124"/>
      <c r="BU1214" s="124"/>
      <c r="BV1214" s="124"/>
      <c r="BW1214" s="124"/>
      <c r="BX1214" s="124"/>
      <c r="BY1214" s="124"/>
      <c r="BZ1214" s="25"/>
      <c r="CA1214" s="15"/>
      <c r="CD1214" s="114"/>
    </row>
    <row r="1215" spans="44:82" ht="19.5" x14ac:dyDescent="0.4">
      <c r="BB1215" s="26"/>
      <c r="BC1215" s="13"/>
      <c r="BH1215" s="117"/>
      <c r="BI1215" s="123"/>
      <c r="BJ1215" s="123"/>
      <c r="BK1215" s="123"/>
      <c r="BL1215" s="115"/>
      <c r="BM1215" s="115"/>
      <c r="BN1215" s="115"/>
      <c r="BO1215" s="115"/>
      <c r="BP1215" s="124"/>
      <c r="BQ1215" s="124"/>
      <c r="BR1215" s="124"/>
      <c r="BS1215" s="124"/>
      <c r="BT1215" s="124"/>
      <c r="BU1215" s="124"/>
      <c r="BV1215" s="124"/>
      <c r="BW1215" s="124"/>
      <c r="BX1215" s="124"/>
      <c r="BY1215" s="124"/>
      <c r="BZ1215" s="25">
        <v>45273</v>
      </c>
      <c r="CA1215" s="15" t="s">
        <v>162</v>
      </c>
      <c r="CD1215" s="114"/>
    </row>
    <row r="1216" spans="44:82" ht="19.5" x14ac:dyDescent="0.4">
      <c r="BB1216" s="26"/>
      <c r="BC1216" s="13"/>
      <c r="BH1216" s="117"/>
      <c r="BI1216" s="123"/>
      <c r="BJ1216" s="123"/>
      <c r="BK1216" s="123"/>
      <c r="BL1216" s="115"/>
      <c r="BM1216" s="115"/>
      <c r="BN1216" s="115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25">
        <v>45273</v>
      </c>
      <c r="CA1216" s="13" t="s">
        <v>162</v>
      </c>
      <c r="CD1216" s="114"/>
    </row>
    <row r="1217" spans="6:82" ht="19.5" x14ac:dyDescent="0.4">
      <c r="BB1217" s="26"/>
      <c r="BC1217" s="13"/>
      <c r="BH1217" s="117"/>
      <c r="BI1217" s="123"/>
      <c r="BJ1217" s="123"/>
      <c r="BK1217" s="123"/>
      <c r="BL1217" s="115"/>
      <c r="BM1217" s="115"/>
      <c r="BN1217" s="115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25">
        <v>45273</v>
      </c>
      <c r="CA1217" s="15" t="s">
        <v>162</v>
      </c>
      <c r="CD1217" s="114"/>
    </row>
    <row r="1218" spans="6:82" ht="19.5" x14ac:dyDescent="0.4">
      <c r="BB1218" s="26"/>
      <c r="BC1218" s="13"/>
      <c r="BH1218" s="117"/>
      <c r="BI1218" s="123"/>
      <c r="BJ1218" s="123"/>
      <c r="BK1218" s="123"/>
      <c r="BL1218" s="115"/>
      <c r="BM1218" s="115"/>
      <c r="BN1218" s="115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25">
        <v>45273</v>
      </c>
      <c r="CA1218" s="15" t="s">
        <v>162</v>
      </c>
      <c r="CD1218" s="114"/>
    </row>
    <row r="1219" spans="6:82" ht="19.5" x14ac:dyDescent="0.4">
      <c r="AQ1219" s="115"/>
      <c r="AR1219" s="115"/>
      <c r="AS1219" s="115"/>
      <c r="AT1219" s="115"/>
      <c r="AU1219" s="115"/>
      <c r="AV1219" s="115"/>
      <c r="AW1219" s="115"/>
      <c r="AX1219" s="115"/>
      <c r="AY1219" s="115"/>
      <c r="AZ1219" s="115"/>
      <c r="BA1219" s="115"/>
      <c r="BB1219" s="26"/>
      <c r="BC1219" s="25"/>
      <c r="BH1219" s="117"/>
      <c r="BI1219" s="123"/>
      <c r="BJ1219" s="123"/>
      <c r="BK1219" s="123"/>
      <c r="BL1219" s="115"/>
      <c r="BM1219" s="115"/>
      <c r="BN1219" s="115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25"/>
      <c r="CA1219" s="15"/>
      <c r="CD1219" s="114"/>
    </row>
    <row r="1220" spans="6:82" ht="19.5" x14ac:dyDescent="0.4">
      <c r="BB1220" s="26"/>
      <c r="BC1220" s="25"/>
      <c r="BH1220" s="117"/>
      <c r="BI1220" s="123"/>
      <c r="BJ1220" s="123"/>
      <c r="BK1220" s="123"/>
      <c r="BL1220" s="115"/>
      <c r="BM1220" s="115"/>
      <c r="BN1220" s="115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25">
        <v>45273</v>
      </c>
      <c r="CA1220" s="15" t="s">
        <v>162</v>
      </c>
      <c r="CD1220" s="114"/>
    </row>
    <row r="1221" spans="6:82" ht="19.5" x14ac:dyDescent="0.4">
      <c r="BB1221" s="26"/>
      <c r="BC1221" s="13"/>
      <c r="BH1221" s="117"/>
      <c r="BI1221" s="123"/>
      <c r="BJ1221" s="123"/>
      <c r="BK1221" s="123"/>
      <c r="BL1221" s="115"/>
      <c r="BM1221" s="115"/>
      <c r="BN1221" s="115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25">
        <v>45273</v>
      </c>
      <c r="CA1221" s="15" t="s">
        <v>162</v>
      </c>
      <c r="CD1221" s="114"/>
    </row>
    <row r="1222" spans="6:82" ht="19.5" x14ac:dyDescent="0.4"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115"/>
      <c r="AV1222" s="115"/>
      <c r="AW1222" s="115"/>
      <c r="AX1222" s="115"/>
      <c r="AY1222" s="115"/>
      <c r="AZ1222" s="115"/>
      <c r="BA1222" s="115"/>
      <c r="BB1222" s="26"/>
      <c r="BC1222" s="13"/>
      <c r="BH1222" s="117"/>
      <c r="BI1222" s="123"/>
      <c r="BJ1222" s="123"/>
      <c r="BK1222" s="123"/>
      <c r="BL1222" s="115"/>
      <c r="BM1222" s="115"/>
      <c r="BN1222" s="115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25"/>
      <c r="CA1222" s="15"/>
      <c r="CD1222" s="114"/>
    </row>
    <row r="1223" spans="6:82" ht="19.5" x14ac:dyDescent="0.4"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15"/>
      <c r="AW1223" s="115"/>
      <c r="AX1223" s="115"/>
      <c r="AY1223" s="115"/>
      <c r="AZ1223" s="115"/>
      <c r="BA1223" s="115"/>
      <c r="BB1223" s="26"/>
      <c r="BC1223" s="13"/>
      <c r="BH1223" s="117"/>
      <c r="BI1223" s="123"/>
      <c r="BJ1223" s="123"/>
      <c r="BK1223" s="123"/>
      <c r="BL1223" s="115"/>
      <c r="BM1223" s="115"/>
      <c r="BN1223" s="115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25"/>
      <c r="CA1223" s="15"/>
      <c r="CD1223" s="114"/>
    </row>
    <row r="1224" spans="6:82" ht="19.5" x14ac:dyDescent="0.4">
      <c r="BB1224" s="26"/>
      <c r="BC1224" s="13"/>
      <c r="BH1224" s="117"/>
      <c r="BI1224" s="123"/>
      <c r="BJ1224" s="123"/>
      <c r="BK1224" s="123"/>
      <c r="BL1224" s="115"/>
      <c r="BM1224" s="115"/>
      <c r="BN1224" s="115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25">
        <v>45273</v>
      </c>
      <c r="CA1224" s="15" t="s">
        <v>162</v>
      </c>
      <c r="CD1224" s="114"/>
    </row>
    <row r="1225" spans="6:82" ht="19.5" x14ac:dyDescent="0.4">
      <c r="BB1225" s="26"/>
      <c r="BC1225" s="13"/>
      <c r="BH1225" s="117"/>
      <c r="BI1225" s="123"/>
      <c r="BJ1225" s="123"/>
      <c r="BK1225" s="123"/>
      <c r="BL1225" s="115"/>
      <c r="BM1225" s="115"/>
      <c r="BN1225" s="115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25">
        <v>45273</v>
      </c>
      <c r="CA1225" s="15" t="s">
        <v>162</v>
      </c>
      <c r="CD1225" s="114"/>
    </row>
    <row r="1226" spans="6:82" ht="19.5" x14ac:dyDescent="0.4">
      <c r="BB1226" s="26"/>
      <c r="BC1226" s="13"/>
      <c r="BH1226" s="117"/>
      <c r="BI1226" s="123"/>
      <c r="BJ1226" s="123"/>
      <c r="BK1226" s="123"/>
      <c r="BL1226" s="115"/>
      <c r="BM1226" s="115"/>
      <c r="BN1226" s="115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25">
        <v>45273</v>
      </c>
      <c r="CA1226" s="13" t="s">
        <v>163</v>
      </c>
      <c r="CD1226" s="114"/>
    </row>
    <row r="1227" spans="6:82" ht="19.5" x14ac:dyDescent="0.4">
      <c r="BB1227" s="26"/>
      <c r="BC1227" s="13"/>
      <c r="BH1227" s="117"/>
      <c r="BI1227" s="123"/>
      <c r="BJ1227" s="123"/>
      <c r="BK1227" s="123"/>
      <c r="BL1227" s="115"/>
      <c r="BM1227" s="115"/>
      <c r="BN1227" s="115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25"/>
      <c r="CA1227" s="13"/>
      <c r="CD1227" s="114"/>
    </row>
    <row r="1228" spans="6:82" ht="19.5" x14ac:dyDescent="0.4">
      <c r="BB1228" s="26"/>
      <c r="BC1228" s="13"/>
      <c r="BH1228" s="117"/>
      <c r="BI1228" s="123"/>
      <c r="BJ1228" s="123"/>
      <c r="BK1228" s="123"/>
      <c r="BL1228" s="115"/>
      <c r="BM1228" s="115"/>
      <c r="BN1228" s="115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 t="s">
        <v>152</v>
      </c>
      <c r="BZ1228" s="13">
        <f>SUBTOTAL(3,BZ1197:BZ1226)</f>
        <v>22</v>
      </c>
      <c r="CA1228" s="13">
        <f>SUBTOTAL(3,CA1197:CA1226)</f>
        <v>22</v>
      </c>
      <c r="CD1228" s="114"/>
    </row>
    <row r="1229" spans="6:82" ht="19.5" x14ac:dyDescent="0.4">
      <c r="BB1229" s="26"/>
      <c r="BC1229" s="13"/>
      <c r="BH1229" s="117"/>
      <c r="BI1229" s="123"/>
      <c r="BJ1229" s="123"/>
      <c r="BK1229" s="123"/>
      <c r="BL1229" s="115"/>
      <c r="BM1229" s="115"/>
      <c r="BN1229" s="115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25">
        <v>45274</v>
      </c>
      <c r="CA1229" s="15" t="s">
        <v>162</v>
      </c>
      <c r="CD1229" s="114"/>
    </row>
    <row r="1230" spans="6:82" ht="19.5" x14ac:dyDescent="0.4">
      <c r="AR1230" s="115"/>
      <c r="AS1230" s="115"/>
      <c r="AT1230" s="115"/>
      <c r="AU1230" s="115"/>
      <c r="AV1230" s="115"/>
      <c r="AW1230" s="115"/>
      <c r="AX1230" s="115"/>
      <c r="AY1230" s="115"/>
      <c r="AZ1230" s="115"/>
      <c r="BA1230" s="115"/>
      <c r="BB1230" s="26"/>
      <c r="BC1230" s="13"/>
      <c r="BH1230" s="117"/>
      <c r="BI1230" s="123"/>
      <c r="BJ1230" s="123"/>
      <c r="BK1230" s="123"/>
      <c r="BL1230" s="115"/>
      <c r="BM1230" s="115"/>
      <c r="BN1230" s="115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25"/>
      <c r="CA1230" s="15"/>
      <c r="CD1230" s="114"/>
    </row>
    <row r="1231" spans="6:82" ht="19.5" x14ac:dyDescent="0.4">
      <c r="AR1231" s="115"/>
      <c r="AS1231" s="115"/>
      <c r="AT1231" s="115"/>
      <c r="AU1231" s="115"/>
      <c r="AV1231" s="115"/>
      <c r="AW1231" s="115"/>
      <c r="AX1231" s="115"/>
      <c r="AY1231" s="115"/>
      <c r="AZ1231" s="115"/>
      <c r="BA1231" s="115"/>
      <c r="BB1231" s="26"/>
      <c r="BC1231" s="13"/>
      <c r="BH1231" s="117"/>
      <c r="BI1231" s="123"/>
      <c r="BJ1231" s="123"/>
      <c r="BK1231" s="123"/>
      <c r="BL1231" s="115"/>
      <c r="BM1231" s="115"/>
      <c r="BN1231" s="115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25"/>
      <c r="CA1231" s="15"/>
      <c r="CD1231" s="114"/>
    </row>
    <row r="1232" spans="6:82" ht="19.5" x14ac:dyDescent="0.4">
      <c r="BB1232" s="26"/>
      <c r="BC1232" s="13"/>
      <c r="BH1232" s="117"/>
      <c r="BI1232" s="123"/>
      <c r="BJ1232" s="123"/>
      <c r="BK1232" s="123"/>
      <c r="BL1232" s="115"/>
      <c r="BM1232" s="115"/>
      <c r="BN1232" s="115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25">
        <v>45274</v>
      </c>
      <c r="CA1232" s="15" t="s">
        <v>162</v>
      </c>
      <c r="CD1232" s="114"/>
    </row>
    <row r="1233" spans="6:82" ht="19.5" x14ac:dyDescent="0.4">
      <c r="AS1233" s="115"/>
      <c r="AT1233" s="115"/>
      <c r="AU1233" s="115"/>
      <c r="AV1233" s="115"/>
      <c r="AW1233" s="115"/>
      <c r="AX1233" s="115"/>
      <c r="AY1233" s="115"/>
      <c r="AZ1233" s="115"/>
      <c r="BA1233" s="115"/>
      <c r="BB1233" s="26"/>
      <c r="BC1233" s="13"/>
      <c r="BH1233" s="117"/>
      <c r="BI1233" s="123"/>
      <c r="BJ1233" s="123"/>
      <c r="BK1233" s="123"/>
      <c r="BL1233" s="115"/>
      <c r="BM1233" s="115"/>
      <c r="BN1233" s="115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25"/>
      <c r="CA1233" s="15"/>
      <c r="CD1233" s="114"/>
    </row>
    <row r="1234" spans="6:82" ht="19.5" x14ac:dyDescent="0.4">
      <c r="AR1234" s="115"/>
      <c r="AS1234" s="115"/>
      <c r="AT1234" s="115"/>
      <c r="AU1234" s="115"/>
      <c r="AV1234" s="115"/>
      <c r="AW1234" s="115"/>
      <c r="AX1234" s="115"/>
      <c r="AY1234" s="115"/>
      <c r="AZ1234" s="115"/>
      <c r="BA1234" s="115"/>
      <c r="BB1234" s="26"/>
      <c r="BC1234" s="13"/>
      <c r="BH1234" s="117"/>
      <c r="BI1234" s="123"/>
      <c r="BJ1234" s="123"/>
      <c r="BK1234" s="123"/>
      <c r="BL1234" s="115"/>
      <c r="BM1234" s="115"/>
      <c r="BN1234" s="115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25"/>
      <c r="CA1234" s="15"/>
      <c r="CD1234" s="114"/>
    </row>
    <row r="1235" spans="6:82" ht="19.5" x14ac:dyDescent="0.4"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15"/>
      <c r="AW1235" s="115"/>
      <c r="AX1235" s="115"/>
      <c r="AY1235" s="115"/>
      <c r="AZ1235" s="115"/>
      <c r="BA1235" s="115"/>
      <c r="BB1235" s="26"/>
      <c r="BC1235" s="13"/>
      <c r="BH1235" s="117"/>
      <c r="BI1235" s="123"/>
      <c r="BJ1235" s="123"/>
      <c r="BK1235" s="123"/>
      <c r="BL1235" s="115"/>
      <c r="BM1235" s="115"/>
      <c r="BN1235" s="115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25"/>
      <c r="CA1235" s="15"/>
      <c r="CD1235" s="114"/>
    </row>
    <row r="1236" spans="6:82" ht="19.5" x14ac:dyDescent="0.4">
      <c r="BB1236" s="26"/>
      <c r="BC1236" s="13"/>
      <c r="BH1236" s="117"/>
      <c r="BI1236" s="123"/>
      <c r="BJ1236" s="123"/>
      <c r="BK1236" s="123"/>
      <c r="BL1236" s="115"/>
      <c r="BM1236" s="115"/>
      <c r="BN1236" s="115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25">
        <v>45274</v>
      </c>
      <c r="CA1236" s="15" t="s">
        <v>162</v>
      </c>
      <c r="CD1236" s="114"/>
    </row>
    <row r="1237" spans="6:82" ht="19.5" x14ac:dyDescent="0.4">
      <c r="AQ1237" s="115"/>
      <c r="AR1237" s="115"/>
      <c r="AS1237" s="115"/>
      <c r="AT1237" s="115"/>
      <c r="AU1237" s="115"/>
      <c r="AV1237" s="115"/>
      <c r="AW1237" s="115"/>
      <c r="AX1237" s="115"/>
      <c r="AY1237" s="115"/>
      <c r="AZ1237" s="115"/>
      <c r="BA1237" s="115"/>
      <c r="BB1237" s="26"/>
      <c r="BC1237" s="13"/>
      <c r="BH1237" s="117"/>
      <c r="BI1237" s="123"/>
      <c r="BJ1237" s="123"/>
      <c r="BK1237" s="123"/>
      <c r="BL1237" s="115"/>
      <c r="BM1237" s="115"/>
      <c r="BN1237" s="115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25"/>
      <c r="CA1237" s="15"/>
      <c r="CD1237" s="114"/>
    </row>
    <row r="1238" spans="6:82" ht="19.5" x14ac:dyDescent="0.4">
      <c r="BB1238" s="26"/>
      <c r="BC1238" s="13"/>
      <c r="BH1238" s="117"/>
      <c r="BI1238" s="123"/>
      <c r="BJ1238" s="123"/>
      <c r="BK1238" s="123"/>
      <c r="BL1238" s="115"/>
      <c r="BM1238" s="115"/>
      <c r="BN1238" s="115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25">
        <v>45274</v>
      </c>
      <c r="CA1238" s="15" t="s">
        <v>162</v>
      </c>
      <c r="CD1238" s="114"/>
    </row>
    <row r="1239" spans="6:82" ht="19.5" x14ac:dyDescent="0.4">
      <c r="BB1239" s="26"/>
      <c r="BC1239" s="13"/>
      <c r="BH1239" s="117"/>
      <c r="BI1239" s="123"/>
      <c r="BJ1239" s="123"/>
      <c r="BK1239" s="123"/>
      <c r="BL1239" s="115"/>
      <c r="BM1239" s="115"/>
      <c r="BN1239" s="115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25">
        <v>45274</v>
      </c>
      <c r="CA1239" s="15" t="s">
        <v>163</v>
      </c>
      <c r="CD1239" s="114"/>
    </row>
    <row r="1240" spans="6:82" ht="19.5" x14ac:dyDescent="0.4">
      <c r="AT1240" s="115"/>
      <c r="AU1240" s="115"/>
      <c r="AV1240" s="115"/>
      <c r="AW1240" s="115"/>
      <c r="AX1240" s="115"/>
      <c r="AY1240" s="115"/>
      <c r="AZ1240" s="115"/>
      <c r="BA1240" s="115"/>
      <c r="BB1240" s="17"/>
      <c r="BC1240" s="13"/>
      <c r="BH1240" s="117"/>
      <c r="BI1240" s="123"/>
      <c r="BJ1240" s="123"/>
      <c r="BK1240" s="123"/>
      <c r="BL1240" s="115"/>
      <c r="BM1240" s="115"/>
      <c r="BN1240" s="115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25"/>
      <c r="CA1240" s="15"/>
      <c r="CD1240" s="114"/>
    </row>
    <row r="1241" spans="6:82" ht="19.5" x14ac:dyDescent="0.4"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26"/>
      <c r="BC1241" s="13"/>
      <c r="BH1241" s="117"/>
      <c r="BI1241" s="123"/>
      <c r="BJ1241" s="123"/>
      <c r="BK1241" s="123"/>
      <c r="BL1241" s="115"/>
      <c r="BM1241" s="115"/>
      <c r="BN1241" s="115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25"/>
      <c r="CA1241" s="15"/>
      <c r="CD1241" s="114"/>
    </row>
    <row r="1242" spans="6:82" ht="19.5" x14ac:dyDescent="0.4">
      <c r="BB1242" s="26"/>
      <c r="BC1242" s="25"/>
      <c r="BH1242" s="117"/>
      <c r="BI1242" s="123"/>
      <c r="BJ1242" s="123"/>
      <c r="BK1242" s="123"/>
      <c r="BL1242" s="115"/>
      <c r="BM1242" s="115"/>
      <c r="BN1242" s="115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 t="s">
        <v>167</v>
      </c>
      <c r="BZ1242" s="13">
        <f>SUBTOTAL(3,BZ1229:BZ1239)</f>
        <v>5</v>
      </c>
      <c r="CA1242" s="15">
        <f>SUBTOTAL(3,CA1229:CA1239)</f>
        <v>5</v>
      </c>
      <c r="CD1242" s="114"/>
    </row>
    <row r="1243" spans="6:82" ht="19.5" x14ac:dyDescent="0.4"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26"/>
      <c r="BC1243" s="105"/>
      <c r="BH1243" s="117"/>
      <c r="BI1243" s="123"/>
      <c r="BJ1243" s="123"/>
      <c r="BK1243" s="123"/>
      <c r="BL1243" s="115"/>
      <c r="BM1243" s="115"/>
      <c r="BN1243" s="115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3"/>
      <c r="CA1243" s="15"/>
      <c r="CD1243" s="114"/>
    </row>
    <row r="1244" spans="6:82" ht="19.5" x14ac:dyDescent="0.4">
      <c r="BB1244" s="26"/>
      <c r="BC1244" s="105"/>
      <c r="BH1244" s="117"/>
      <c r="BI1244" s="123"/>
      <c r="BJ1244" s="123"/>
      <c r="BK1244" s="123"/>
      <c r="BL1244" s="115"/>
      <c r="BM1244" s="115"/>
      <c r="BN1244" s="115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3"/>
      <c r="CA1244" s="15"/>
      <c r="CD1244" s="114"/>
    </row>
    <row r="1245" spans="6:82" ht="19.5" x14ac:dyDescent="0.4">
      <c r="AT1245" s="115"/>
      <c r="AU1245" s="115"/>
      <c r="AV1245" s="115"/>
      <c r="AW1245" s="115"/>
      <c r="AX1245" s="115"/>
      <c r="AY1245" s="115"/>
      <c r="AZ1245" s="115"/>
      <c r="BA1245" s="115"/>
      <c r="BB1245" s="17"/>
      <c r="BC1245" s="15"/>
      <c r="BH1245" s="117"/>
      <c r="BI1245" s="123"/>
      <c r="BJ1245" s="123"/>
      <c r="BK1245" s="123"/>
      <c r="BL1245" s="115"/>
      <c r="BM1245" s="115"/>
      <c r="BN1245" s="115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3"/>
      <c r="CA1245" s="15"/>
      <c r="CD1245" s="114"/>
    </row>
    <row r="1246" spans="6:82" ht="19.5" x14ac:dyDescent="0.4">
      <c r="AR1246" s="115"/>
      <c r="AS1246" s="115"/>
      <c r="AT1246" s="115"/>
      <c r="AU1246" s="115"/>
      <c r="AV1246" s="115"/>
      <c r="AW1246" s="115"/>
      <c r="AX1246" s="115"/>
      <c r="AY1246" s="115"/>
      <c r="AZ1246" s="115"/>
      <c r="BA1246" s="115"/>
      <c r="BB1246" s="26"/>
      <c r="BC1246" s="15"/>
      <c r="BH1246" s="117"/>
      <c r="BI1246" s="123"/>
      <c r="BJ1246" s="123"/>
      <c r="BK1246" s="123"/>
      <c r="BL1246" s="115"/>
      <c r="BM1246" s="115"/>
      <c r="BN1246" s="115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3"/>
      <c r="CA1246" s="15"/>
      <c r="CD1246" s="114"/>
    </row>
    <row r="1247" spans="6:82" ht="19.5" x14ac:dyDescent="0.4">
      <c r="AR1247" s="115"/>
      <c r="AS1247" s="115"/>
      <c r="AT1247" s="115"/>
      <c r="AU1247" s="115"/>
      <c r="AV1247" s="115"/>
      <c r="AW1247" s="115"/>
      <c r="AX1247" s="115"/>
      <c r="AY1247" s="115"/>
      <c r="AZ1247" s="115"/>
      <c r="BA1247" s="115"/>
      <c r="BB1247" s="26"/>
      <c r="BC1247" s="15"/>
      <c r="BH1247" s="117"/>
      <c r="BI1247" s="123"/>
      <c r="BJ1247" s="123"/>
      <c r="BK1247" s="123"/>
      <c r="BL1247" s="115"/>
      <c r="BM1247" s="115"/>
      <c r="BN1247" s="115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3"/>
      <c r="CA1247" s="15"/>
      <c r="CD1247" s="114"/>
    </row>
    <row r="1248" spans="6:82" ht="19.5" x14ac:dyDescent="0.4"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26"/>
      <c r="BC1248" s="15"/>
      <c r="BH1248" s="117"/>
      <c r="BI1248" s="123"/>
      <c r="BJ1248" s="123"/>
      <c r="BK1248" s="123"/>
      <c r="BL1248" s="115"/>
      <c r="BM1248" s="115"/>
      <c r="BN1248" s="115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3"/>
      <c r="CA1248" s="15"/>
      <c r="CD1248" s="114"/>
    </row>
    <row r="1249" spans="6:82" ht="19.5" x14ac:dyDescent="0.4"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26"/>
      <c r="BC1249" s="15"/>
      <c r="BH1249" s="117"/>
      <c r="BI1249" s="123"/>
      <c r="BJ1249" s="123"/>
      <c r="BK1249" s="123"/>
      <c r="BL1249" s="115"/>
      <c r="BM1249" s="115"/>
      <c r="BN1249" s="115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3"/>
      <c r="CA1249" s="15"/>
      <c r="CD1249" s="114"/>
    </row>
    <row r="1250" spans="6:82" ht="19.5" x14ac:dyDescent="0.4">
      <c r="BB1250" s="26"/>
      <c r="BC1250" s="15"/>
      <c r="BH1250" s="117"/>
      <c r="BI1250" s="123"/>
      <c r="BJ1250" s="123"/>
      <c r="BK1250" s="123"/>
      <c r="BL1250" s="115"/>
      <c r="BM1250" s="115"/>
      <c r="BN1250" s="115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25">
        <v>45275</v>
      </c>
      <c r="CA1250" s="15" t="s">
        <v>163</v>
      </c>
      <c r="CD1250" s="114"/>
    </row>
    <row r="1251" spans="6:82" ht="19.5" x14ac:dyDescent="0.4">
      <c r="BB1251" s="26"/>
      <c r="BC1251" s="15"/>
      <c r="BH1251" s="117"/>
      <c r="BI1251" s="123"/>
      <c r="BJ1251" s="123"/>
      <c r="BK1251" s="123"/>
      <c r="BL1251" s="115"/>
      <c r="BM1251" s="115"/>
      <c r="BN1251" s="115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 t="s">
        <v>168</v>
      </c>
      <c r="BZ1251" s="13">
        <f>SUBTOTAL(3,BZ1250:BZ1250)</f>
        <v>1</v>
      </c>
      <c r="CA1251" s="15">
        <f>SUBTOTAL(3,CA1250:CA1250)</f>
        <v>1</v>
      </c>
      <c r="CD1251" s="114"/>
    </row>
    <row r="1252" spans="6:82" ht="19.5" x14ac:dyDescent="0.4">
      <c r="BB1252" s="26"/>
      <c r="BC1252" s="15"/>
      <c r="BH1252" s="117"/>
      <c r="BI1252" s="123"/>
      <c r="BJ1252" s="123"/>
      <c r="BK1252" s="123"/>
      <c r="BL1252" s="115"/>
      <c r="BM1252" s="115"/>
      <c r="BN1252" s="115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25">
        <v>45276</v>
      </c>
      <c r="CA1252" s="15" t="s">
        <v>164</v>
      </c>
      <c r="CD1252" s="114"/>
    </row>
    <row r="1253" spans="6:82" ht="19.5" x14ac:dyDescent="0.4">
      <c r="BB1253" s="26"/>
      <c r="BC1253" s="15"/>
      <c r="BH1253" s="117"/>
      <c r="BI1253" s="123"/>
      <c r="BJ1253" s="123"/>
      <c r="BK1253" s="123"/>
      <c r="BL1253" s="115"/>
      <c r="BM1253" s="115"/>
      <c r="BN1253" s="115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25">
        <v>45276</v>
      </c>
      <c r="CA1253" s="15" t="s">
        <v>162</v>
      </c>
      <c r="CD1253" s="114"/>
    </row>
    <row r="1254" spans="6:82" ht="19.5" x14ac:dyDescent="0.4">
      <c r="BB1254" s="26"/>
      <c r="BC1254" s="15"/>
      <c r="BH1254" s="117"/>
      <c r="BI1254" s="123"/>
      <c r="BJ1254" s="123"/>
      <c r="BK1254" s="123"/>
      <c r="BL1254" s="115"/>
      <c r="BM1254" s="115"/>
      <c r="BN1254" s="115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25">
        <v>45276</v>
      </c>
      <c r="CA1254" s="15" t="s">
        <v>162</v>
      </c>
      <c r="CD1254" s="114"/>
    </row>
    <row r="1255" spans="6:82" ht="19.5" x14ac:dyDescent="0.4">
      <c r="BB1255" s="26"/>
      <c r="BC1255" s="15"/>
      <c r="BH1255" s="117"/>
      <c r="BI1255" s="123"/>
      <c r="BJ1255" s="123"/>
      <c r="BK1255" s="123"/>
      <c r="BL1255" s="115"/>
      <c r="BM1255" s="115"/>
      <c r="BN1255" s="115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25">
        <v>45276</v>
      </c>
      <c r="CA1255" s="15" t="s">
        <v>162</v>
      </c>
      <c r="CD1255" s="114"/>
    </row>
    <row r="1256" spans="6:82" ht="19.5" x14ac:dyDescent="0.4">
      <c r="BB1256" s="26"/>
      <c r="BC1256" s="15"/>
      <c r="BH1256" s="117"/>
      <c r="BI1256" s="123"/>
      <c r="BJ1256" s="123"/>
      <c r="BK1256" s="123"/>
      <c r="BL1256" s="115"/>
      <c r="BM1256" s="115"/>
      <c r="BN1256" s="115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25">
        <v>45276</v>
      </c>
      <c r="CA1256" s="15" t="s">
        <v>162</v>
      </c>
      <c r="CD1256" s="114"/>
    </row>
    <row r="1257" spans="6:82" ht="19.5" x14ac:dyDescent="0.4"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15"/>
      <c r="AT1257" s="115"/>
      <c r="AU1257" s="115"/>
      <c r="AV1257" s="115"/>
      <c r="AW1257" s="115"/>
      <c r="AX1257" s="115"/>
      <c r="AY1257" s="115"/>
      <c r="AZ1257" s="115"/>
      <c r="BA1257" s="115"/>
      <c r="BB1257" s="26"/>
      <c r="BC1257" s="15"/>
      <c r="BH1257" s="117"/>
      <c r="BI1257" s="123"/>
      <c r="BJ1257" s="123"/>
      <c r="BK1257" s="123"/>
      <c r="BL1257" s="115"/>
      <c r="BM1257" s="115"/>
      <c r="BN1257" s="115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25"/>
      <c r="CA1257" s="15"/>
      <c r="CD1257" s="114"/>
    </row>
    <row r="1258" spans="6:82" ht="19.5" x14ac:dyDescent="0.4">
      <c r="BB1258" s="26"/>
      <c r="BC1258" s="15"/>
      <c r="BH1258" s="117"/>
      <c r="BI1258" s="123"/>
      <c r="BJ1258" s="123"/>
      <c r="BK1258" s="123"/>
      <c r="BL1258" s="115"/>
      <c r="BM1258" s="115"/>
      <c r="BN1258" s="115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25">
        <v>45276</v>
      </c>
      <c r="CA1258" s="15" t="s">
        <v>162</v>
      </c>
      <c r="CD1258" s="114"/>
    </row>
    <row r="1259" spans="6:82" ht="19.5" x14ac:dyDescent="0.4">
      <c r="BB1259" s="26"/>
      <c r="BC1259" s="15"/>
      <c r="BH1259" s="117"/>
      <c r="BI1259" s="123"/>
      <c r="BJ1259" s="123"/>
      <c r="BK1259" s="123"/>
      <c r="BL1259" s="115"/>
      <c r="BM1259" s="115"/>
      <c r="BN1259" s="115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25">
        <v>45276</v>
      </c>
      <c r="CA1259" s="15" t="s">
        <v>162</v>
      </c>
      <c r="CD1259" s="114"/>
    </row>
    <row r="1260" spans="6:82" ht="19.5" x14ac:dyDescent="0.4">
      <c r="AT1260" s="115"/>
      <c r="AU1260" s="115"/>
      <c r="AV1260" s="115"/>
      <c r="AW1260" s="115"/>
      <c r="AX1260" s="115"/>
      <c r="AY1260" s="115"/>
      <c r="AZ1260" s="115"/>
      <c r="BA1260" s="115"/>
      <c r="BB1260" s="17"/>
      <c r="BC1260" s="15"/>
      <c r="BH1260" s="117"/>
      <c r="BI1260" s="123"/>
      <c r="BJ1260" s="123"/>
      <c r="BK1260" s="123"/>
      <c r="BL1260" s="115"/>
      <c r="BM1260" s="115"/>
      <c r="BN1260" s="115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25"/>
      <c r="CA1260" s="15"/>
      <c r="CD1260" s="114"/>
    </row>
    <row r="1261" spans="6:82" ht="19.5" x14ac:dyDescent="0.4"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115"/>
      <c r="AX1261" s="115"/>
      <c r="AY1261" s="115"/>
      <c r="AZ1261" s="115"/>
      <c r="BA1261" s="115"/>
      <c r="BB1261" s="26"/>
      <c r="BC1261" s="15"/>
      <c r="BH1261" s="117"/>
      <c r="BI1261" s="123"/>
      <c r="BJ1261" s="123"/>
      <c r="BK1261" s="123"/>
      <c r="BL1261" s="115"/>
      <c r="BM1261" s="115"/>
      <c r="BN1261" s="115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25"/>
      <c r="CA1261" s="15"/>
      <c r="CD1261" s="114"/>
    </row>
    <row r="1262" spans="6:82" ht="19.5" x14ac:dyDescent="0.4"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26"/>
      <c r="BC1262" s="15"/>
      <c r="BH1262" s="117"/>
      <c r="BI1262" s="123"/>
      <c r="BJ1262" s="123"/>
      <c r="BK1262" s="123"/>
      <c r="BL1262" s="115"/>
      <c r="BM1262" s="115"/>
      <c r="BN1262" s="115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25"/>
      <c r="CA1262" s="15"/>
      <c r="CD1262" s="114"/>
    </row>
    <row r="1263" spans="6:82" ht="19.5" x14ac:dyDescent="0.4"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26"/>
      <c r="BC1263" s="15"/>
      <c r="BH1263" s="117"/>
      <c r="BI1263" s="123"/>
      <c r="BJ1263" s="123"/>
      <c r="BK1263" s="123"/>
      <c r="BL1263" s="115"/>
      <c r="BM1263" s="115"/>
      <c r="BN1263" s="115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25"/>
      <c r="CA1263" s="15"/>
      <c r="CD1263" s="114"/>
    </row>
    <row r="1264" spans="6:82" ht="19.5" x14ac:dyDescent="0.4">
      <c r="BB1264" s="26"/>
      <c r="BC1264" s="15"/>
      <c r="BG1264" s="115"/>
      <c r="BH1264" s="117"/>
      <c r="BI1264" s="123"/>
      <c r="BJ1264" s="123"/>
      <c r="BK1264" s="123"/>
      <c r="BL1264" s="115"/>
      <c r="BM1264" s="115"/>
      <c r="BN1264" s="115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25">
        <v>45276</v>
      </c>
      <c r="CA1264" s="15" t="s">
        <v>162</v>
      </c>
      <c r="CD1264" s="114"/>
    </row>
    <row r="1265" spans="6:82" ht="19.5" x14ac:dyDescent="0.4">
      <c r="BB1265" s="26"/>
      <c r="BC1265" s="15"/>
      <c r="BG1265" s="115"/>
      <c r="BH1265" s="117"/>
      <c r="BI1265" s="123"/>
      <c r="BJ1265" s="123"/>
      <c r="BK1265" s="123"/>
      <c r="BL1265" s="115"/>
      <c r="BM1265" s="115"/>
      <c r="BN1265" s="115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25">
        <v>45276</v>
      </c>
      <c r="CA1265" s="15" t="s">
        <v>162</v>
      </c>
      <c r="CD1265" s="114"/>
    </row>
    <row r="1266" spans="6:82" ht="19.5" x14ac:dyDescent="0.4">
      <c r="BB1266" s="26"/>
      <c r="BC1266" s="15"/>
      <c r="BG1266" s="115"/>
      <c r="BH1266" s="117"/>
      <c r="BI1266" s="123"/>
      <c r="BJ1266" s="123"/>
      <c r="BK1266" s="123"/>
      <c r="BL1266" s="115"/>
      <c r="BM1266" s="115"/>
      <c r="BN1266" s="115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25">
        <v>45276</v>
      </c>
      <c r="CA1266" s="15" t="s">
        <v>162</v>
      </c>
      <c r="CD1266" s="114"/>
    </row>
    <row r="1267" spans="6:82" ht="19.5" x14ac:dyDescent="0.4">
      <c r="AT1267" s="115"/>
      <c r="AU1267" s="115"/>
      <c r="AV1267" s="115"/>
      <c r="AW1267" s="115"/>
      <c r="AX1267" s="115"/>
      <c r="AY1267" s="115"/>
      <c r="AZ1267" s="115"/>
      <c r="BA1267" s="115"/>
      <c r="BB1267" s="17"/>
      <c r="BC1267" s="15"/>
      <c r="BG1267" s="115"/>
      <c r="BH1267" s="117"/>
      <c r="BI1267" s="123"/>
      <c r="BJ1267" s="123"/>
      <c r="BK1267" s="123"/>
      <c r="BL1267" s="115"/>
      <c r="BM1267" s="115"/>
      <c r="BN1267" s="115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25"/>
      <c r="CA1267" s="15"/>
      <c r="CD1267" s="114"/>
    </row>
    <row r="1268" spans="6:82" ht="19.5" x14ac:dyDescent="0.4">
      <c r="AQ1268" s="115"/>
      <c r="AR1268" s="115"/>
      <c r="AS1268" s="115"/>
      <c r="AT1268" s="115"/>
      <c r="AU1268" s="115"/>
      <c r="AV1268" s="115"/>
      <c r="AW1268" s="115"/>
      <c r="AX1268" s="115"/>
      <c r="AY1268" s="115"/>
      <c r="AZ1268" s="115"/>
      <c r="BA1268" s="115"/>
      <c r="BB1268" s="26"/>
      <c r="BC1268" s="15"/>
      <c r="BG1268" s="115"/>
      <c r="BH1268" s="117"/>
      <c r="BI1268" s="123"/>
      <c r="BJ1268" s="123"/>
      <c r="BK1268" s="123"/>
      <c r="BL1268" s="115"/>
      <c r="BM1268" s="115"/>
      <c r="BN1268" s="115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25"/>
      <c r="CA1268" s="15"/>
      <c r="CD1268" s="114"/>
    </row>
    <row r="1269" spans="6:82" ht="19.5" x14ac:dyDescent="0.4">
      <c r="AQ1269" s="115"/>
      <c r="AR1269" s="115"/>
      <c r="AS1269" s="115"/>
      <c r="AT1269" s="115"/>
      <c r="AU1269" s="115"/>
      <c r="AV1269" s="115"/>
      <c r="AW1269" s="115"/>
      <c r="AX1269" s="115"/>
      <c r="AY1269" s="115"/>
      <c r="AZ1269" s="115"/>
      <c r="BA1269" s="115"/>
      <c r="BB1269" s="17"/>
      <c r="BC1269" s="15"/>
      <c r="BG1269" s="115"/>
      <c r="BH1269" s="117"/>
      <c r="BI1269" s="123"/>
      <c r="BJ1269" s="123"/>
      <c r="BK1269" s="123"/>
      <c r="BL1269" s="115"/>
      <c r="BM1269" s="115"/>
      <c r="BN1269" s="115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25"/>
      <c r="CA1269" s="15"/>
      <c r="CD1269" s="114"/>
    </row>
    <row r="1270" spans="6:82" ht="19.5" x14ac:dyDescent="0.4">
      <c r="BB1270" s="26"/>
      <c r="BC1270" s="15"/>
      <c r="BG1270" s="115"/>
      <c r="BH1270" s="117"/>
      <c r="BI1270" s="123"/>
      <c r="BJ1270" s="123"/>
      <c r="BK1270" s="123"/>
      <c r="BL1270" s="115"/>
      <c r="BM1270" s="115"/>
      <c r="BN1270" s="115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25"/>
      <c r="CA1270" s="15"/>
      <c r="CD1270" s="114"/>
    </row>
    <row r="1271" spans="6:82" ht="19.5" x14ac:dyDescent="0.4"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115"/>
      <c r="AZ1271" s="115"/>
      <c r="BA1271" s="115"/>
      <c r="BB1271" s="26"/>
      <c r="BC1271" s="15"/>
      <c r="BG1271" s="115"/>
      <c r="BH1271" s="117"/>
      <c r="BI1271" s="123"/>
      <c r="BJ1271" s="123"/>
      <c r="BK1271" s="123"/>
      <c r="BL1271" s="115"/>
      <c r="BM1271" s="115"/>
      <c r="BN1271" s="115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25"/>
      <c r="CA1271" s="15"/>
      <c r="CD1271" s="114"/>
    </row>
    <row r="1272" spans="6:82" ht="19.5" x14ac:dyDescent="0.4">
      <c r="BB1272" s="26"/>
      <c r="BC1272" s="15"/>
      <c r="BG1272" s="115"/>
      <c r="BH1272" s="117"/>
      <c r="BI1272" s="123"/>
      <c r="BJ1272" s="123"/>
      <c r="BK1272" s="123"/>
      <c r="BL1272" s="115"/>
      <c r="BM1272" s="115"/>
      <c r="BN1272" s="115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25">
        <v>45276</v>
      </c>
      <c r="CA1272" s="15" t="s">
        <v>162</v>
      </c>
      <c r="CD1272" s="114"/>
    </row>
    <row r="1273" spans="6:82" ht="19.5" x14ac:dyDescent="0.4">
      <c r="AT1273" s="115"/>
      <c r="AU1273" s="115"/>
      <c r="AV1273" s="115"/>
      <c r="AW1273" s="115"/>
      <c r="AX1273" s="115"/>
      <c r="AY1273" s="115"/>
      <c r="AZ1273" s="115"/>
      <c r="BA1273" s="115"/>
      <c r="BB1273" s="17"/>
      <c r="BC1273" s="15"/>
      <c r="BG1273" s="115"/>
      <c r="BH1273" s="117"/>
      <c r="BI1273" s="123"/>
      <c r="BJ1273" s="123"/>
      <c r="BK1273" s="123"/>
      <c r="BL1273" s="115"/>
      <c r="BM1273" s="115"/>
      <c r="BN1273" s="115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25"/>
      <c r="CA1273" s="15"/>
      <c r="CD1273" s="114"/>
    </row>
    <row r="1274" spans="6:82" ht="19.5" x14ac:dyDescent="0.4">
      <c r="BB1274" s="26"/>
      <c r="BC1274" s="15"/>
      <c r="BG1274" s="115"/>
      <c r="BH1274" s="117"/>
      <c r="BI1274" s="123"/>
      <c r="BJ1274" s="123"/>
      <c r="BK1274" s="123"/>
      <c r="BL1274" s="115"/>
      <c r="BM1274" s="115"/>
      <c r="BN1274" s="115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25">
        <v>45276</v>
      </c>
      <c r="CA1274" s="15" t="s">
        <v>162</v>
      </c>
      <c r="CD1274" s="114"/>
    </row>
    <row r="1275" spans="6:82" ht="19.5" x14ac:dyDescent="0.4">
      <c r="AT1275" s="115"/>
      <c r="AU1275" s="115"/>
      <c r="AV1275" s="115"/>
      <c r="AW1275" s="115"/>
      <c r="AX1275" s="115"/>
      <c r="AY1275" s="115"/>
      <c r="AZ1275" s="115"/>
      <c r="BA1275" s="115"/>
      <c r="BB1275" s="17"/>
      <c r="BC1275" s="15"/>
      <c r="BG1275" s="115"/>
      <c r="BH1275" s="117"/>
      <c r="BI1275" s="123"/>
      <c r="BJ1275" s="123"/>
      <c r="BK1275" s="123"/>
      <c r="BL1275" s="115"/>
      <c r="BM1275" s="115"/>
      <c r="BN1275" s="115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25"/>
      <c r="CA1275" s="15"/>
      <c r="CD1275" s="114"/>
    </row>
    <row r="1276" spans="6:82" ht="19.5" x14ac:dyDescent="0.4">
      <c r="AS1276" s="115"/>
      <c r="AT1276" s="115"/>
      <c r="AU1276" s="115"/>
      <c r="AV1276" s="115"/>
      <c r="AW1276" s="115"/>
      <c r="AX1276" s="115"/>
      <c r="AY1276" s="115"/>
      <c r="AZ1276" s="115"/>
      <c r="BA1276" s="115"/>
      <c r="BB1276" s="26"/>
      <c r="BC1276" s="15"/>
      <c r="BG1276" s="115"/>
      <c r="BH1276" s="117"/>
      <c r="BI1276" s="123"/>
      <c r="BJ1276" s="123"/>
      <c r="BK1276" s="123"/>
      <c r="BL1276" s="115"/>
      <c r="BM1276" s="115"/>
      <c r="BN1276" s="115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25"/>
      <c r="CA1276" s="15"/>
      <c r="CD1276" s="114"/>
    </row>
    <row r="1277" spans="6:82" ht="19.5" x14ac:dyDescent="0.4">
      <c r="AS1277" s="115"/>
      <c r="AT1277" s="115"/>
      <c r="AU1277" s="115"/>
      <c r="AV1277" s="115"/>
      <c r="AW1277" s="115"/>
      <c r="AX1277" s="115"/>
      <c r="AY1277" s="115"/>
      <c r="AZ1277" s="115"/>
      <c r="BA1277" s="115"/>
      <c r="BB1277" s="17"/>
      <c r="BC1277" s="15"/>
      <c r="BG1277" s="115"/>
      <c r="BH1277" s="117"/>
      <c r="BI1277" s="123"/>
      <c r="BJ1277" s="123"/>
      <c r="BK1277" s="123"/>
      <c r="BL1277" s="115"/>
      <c r="BM1277" s="115"/>
      <c r="BN1277" s="115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25"/>
      <c r="CA1277" s="15"/>
      <c r="CD1277" s="114"/>
    </row>
    <row r="1278" spans="6:82" ht="19.5" x14ac:dyDescent="0.4">
      <c r="BB1278" s="26"/>
      <c r="BC1278" s="15"/>
      <c r="BG1278" s="115"/>
      <c r="BH1278" s="117"/>
      <c r="BI1278" s="123"/>
      <c r="BJ1278" s="123"/>
      <c r="BK1278" s="123"/>
      <c r="BL1278" s="115"/>
      <c r="BM1278" s="115"/>
      <c r="BN1278" s="115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25">
        <v>45276</v>
      </c>
      <c r="CA1278" s="15" t="s">
        <v>162</v>
      </c>
      <c r="CD1278" s="114"/>
    </row>
    <row r="1279" spans="6:82" ht="19.5" x14ac:dyDescent="0.4">
      <c r="BB1279" s="26"/>
      <c r="BC1279" s="15"/>
      <c r="BG1279" s="115"/>
      <c r="BH1279" s="117"/>
      <c r="BI1279" s="123"/>
      <c r="BJ1279" s="123"/>
      <c r="BK1279" s="123"/>
      <c r="BL1279" s="115"/>
      <c r="BM1279" s="115"/>
      <c r="BN1279" s="115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25">
        <v>45276</v>
      </c>
      <c r="CA1279" s="15" t="s">
        <v>162</v>
      </c>
      <c r="CD1279" s="114"/>
    </row>
    <row r="1280" spans="6:82" ht="19.5" x14ac:dyDescent="0.4">
      <c r="BB1280" s="26"/>
      <c r="BC1280" s="15"/>
      <c r="BG1280" s="115"/>
      <c r="BH1280" s="117"/>
      <c r="BI1280" s="123"/>
      <c r="BJ1280" s="123"/>
      <c r="BK1280" s="123"/>
      <c r="BL1280" s="115"/>
      <c r="BM1280" s="115"/>
      <c r="BN1280" s="115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25">
        <v>45276</v>
      </c>
      <c r="CA1280" s="15" t="s">
        <v>162</v>
      </c>
      <c r="CD1280" s="114"/>
    </row>
    <row r="1281" spans="43:82" ht="19.5" x14ac:dyDescent="0.4">
      <c r="BB1281" s="26"/>
      <c r="BC1281" s="15"/>
      <c r="BG1281" s="115"/>
      <c r="BH1281" s="117"/>
      <c r="BI1281" s="123"/>
      <c r="BJ1281" s="123"/>
      <c r="BK1281" s="123"/>
      <c r="BL1281" s="115"/>
      <c r="BM1281" s="115"/>
      <c r="BN1281" s="115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25"/>
      <c r="CA1281" s="15"/>
      <c r="CD1281" s="114"/>
    </row>
    <row r="1282" spans="43:82" ht="19.5" x14ac:dyDescent="0.4">
      <c r="AT1282" s="115"/>
      <c r="AU1282" s="115"/>
      <c r="AV1282" s="115"/>
      <c r="AW1282" s="115"/>
      <c r="AX1282" s="115"/>
      <c r="AY1282" s="115"/>
      <c r="AZ1282" s="115"/>
      <c r="BA1282" s="115"/>
      <c r="BB1282" s="17"/>
      <c r="BC1282" s="15"/>
      <c r="BG1282" s="115"/>
      <c r="BH1282" s="117"/>
      <c r="BI1282" s="123"/>
      <c r="BJ1282" s="123"/>
      <c r="BK1282" s="123"/>
      <c r="BL1282" s="115"/>
      <c r="BM1282" s="115"/>
      <c r="BN1282" s="115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25"/>
      <c r="CA1282" s="15"/>
      <c r="CD1282" s="114"/>
    </row>
    <row r="1283" spans="43:82" ht="19.5" x14ac:dyDescent="0.4">
      <c r="BB1283" s="26"/>
      <c r="BC1283" s="15"/>
      <c r="BG1283" s="115"/>
      <c r="BH1283" s="117"/>
      <c r="BI1283" s="123"/>
      <c r="BJ1283" s="123"/>
      <c r="BK1283" s="123"/>
      <c r="BL1283" s="115"/>
      <c r="BM1283" s="115"/>
      <c r="BN1283" s="115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25">
        <v>45276</v>
      </c>
      <c r="CA1283" s="15" t="s">
        <v>162</v>
      </c>
      <c r="CD1283" s="114"/>
    </row>
    <row r="1284" spans="43:82" ht="19.5" x14ac:dyDescent="0.4">
      <c r="BB1284" s="26"/>
      <c r="BC1284" s="15"/>
      <c r="BG1284" s="115"/>
      <c r="BH1284" s="117"/>
      <c r="BI1284" s="123"/>
      <c r="BJ1284" s="123"/>
      <c r="BK1284" s="123"/>
      <c r="BL1284" s="115"/>
      <c r="BM1284" s="115"/>
      <c r="BN1284" s="115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25">
        <v>45276</v>
      </c>
      <c r="CA1284" s="15" t="s">
        <v>162</v>
      </c>
      <c r="CD1284" s="114"/>
    </row>
    <row r="1285" spans="43:82" ht="19.5" x14ac:dyDescent="0.4">
      <c r="AT1285" s="115"/>
      <c r="AU1285" s="115"/>
      <c r="AV1285" s="115"/>
      <c r="AW1285" s="115"/>
      <c r="AX1285" s="115"/>
      <c r="AY1285" s="115"/>
      <c r="AZ1285" s="115"/>
      <c r="BA1285" s="115"/>
      <c r="BB1285" s="17"/>
      <c r="BC1285" s="15"/>
      <c r="BG1285" s="115"/>
      <c r="BH1285" s="117"/>
      <c r="BI1285" s="123"/>
      <c r="BJ1285" s="123"/>
      <c r="BK1285" s="123"/>
      <c r="BL1285" s="115"/>
      <c r="BM1285" s="115"/>
      <c r="BN1285" s="115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25"/>
      <c r="CA1285" s="15"/>
      <c r="CD1285" s="114"/>
    </row>
    <row r="1286" spans="43:82" ht="19.5" x14ac:dyDescent="0.4">
      <c r="AQ1286" s="115"/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115"/>
      <c r="BB1286" s="26"/>
      <c r="BC1286" s="15"/>
      <c r="BG1286" s="115"/>
      <c r="BH1286" s="117"/>
      <c r="BI1286" s="123"/>
      <c r="BJ1286" s="123"/>
      <c r="BK1286" s="123"/>
      <c r="BL1286" s="115"/>
      <c r="BM1286" s="115"/>
      <c r="BN1286" s="115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25"/>
      <c r="CA1286" s="15"/>
      <c r="CD1286" s="114"/>
    </row>
    <row r="1287" spans="43:82" ht="19.5" x14ac:dyDescent="0.4">
      <c r="AQ1287" s="115"/>
      <c r="AR1287" s="115"/>
      <c r="AS1287" s="115"/>
      <c r="AT1287" s="115"/>
      <c r="AU1287" s="115"/>
      <c r="AV1287" s="115"/>
      <c r="AW1287" s="115"/>
      <c r="AX1287" s="115"/>
      <c r="AY1287" s="115"/>
      <c r="AZ1287" s="115"/>
      <c r="BA1287" s="115"/>
      <c r="BB1287" s="17"/>
      <c r="BC1287" s="15"/>
      <c r="BG1287" s="115"/>
      <c r="BH1287" s="117"/>
      <c r="BI1287" s="123"/>
      <c r="BJ1287" s="123"/>
      <c r="BK1287" s="123"/>
      <c r="BL1287" s="115"/>
      <c r="BM1287" s="115"/>
      <c r="BN1287" s="115"/>
      <c r="BO1287" s="115"/>
      <c r="BP1287" s="115"/>
      <c r="BQ1287" s="115"/>
      <c r="BR1287" s="115"/>
      <c r="BS1287" s="115"/>
      <c r="BT1287" s="115"/>
      <c r="BU1287" s="115"/>
      <c r="BV1287" s="115"/>
      <c r="BW1287" s="115"/>
      <c r="BX1287" s="115"/>
      <c r="BY1287" s="115"/>
      <c r="BZ1287" s="25"/>
      <c r="CA1287" s="15"/>
      <c r="CD1287" s="114"/>
    </row>
    <row r="1288" spans="43:82" ht="19.5" x14ac:dyDescent="0.4">
      <c r="AQ1288" s="115"/>
      <c r="AR1288" s="115"/>
      <c r="AS1288" s="115"/>
      <c r="AT1288" s="115"/>
      <c r="AU1288" s="115"/>
      <c r="AV1288" s="115"/>
      <c r="AW1288" s="115"/>
      <c r="AX1288" s="115"/>
      <c r="AY1288" s="115"/>
      <c r="AZ1288" s="115"/>
      <c r="BA1288" s="115"/>
      <c r="BB1288" s="26"/>
      <c r="BC1288" s="15"/>
      <c r="BG1288" s="115"/>
      <c r="BH1288" s="117"/>
      <c r="BI1288" s="123"/>
      <c r="BJ1288" s="123"/>
      <c r="BK1288" s="123"/>
      <c r="BL1288" s="115"/>
      <c r="BM1288" s="115"/>
      <c r="BN1288" s="115"/>
      <c r="BO1288" s="115"/>
      <c r="BP1288" s="115"/>
      <c r="BQ1288" s="115"/>
      <c r="BR1288" s="115"/>
      <c r="BS1288" s="115"/>
      <c r="BT1288" s="115"/>
      <c r="BU1288" s="115"/>
      <c r="BV1288" s="115"/>
      <c r="BW1288" s="115"/>
      <c r="BX1288" s="115"/>
      <c r="BY1288" s="115"/>
      <c r="BZ1288" s="25"/>
      <c r="CA1288" s="15"/>
      <c r="CD1288" s="114"/>
    </row>
    <row r="1289" spans="43:82" ht="19.5" x14ac:dyDescent="0.4">
      <c r="BB1289" s="26"/>
      <c r="BC1289" s="15"/>
      <c r="BG1289" s="115"/>
      <c r="BH1289" s="117"/>
      <c r="BI1289" s="123"/>
      <c r="BJ1289" s="123"/>
      <c r="BK1289" s="123"/>
      <c r="BL1289" s="115"/>
      <c r="BM1289" s="115"/>
      <c r="BN1289" s="115"/>
      <c r="BO1289" s="115"/>
      <c r="BP1289" s="115"/>
      <c r="BQ1289" s="115"/>
      <c r="BR1289" s="115"/>
      <c r="BS1289" s="115"/>
      <c r="BT1289" s="115"/>
      <c r="BU1289" s="115"/>
      <c r="BV1289" s="115"/>
      <c r="BW1289" s="115"/>
      <c r="BX1289" s="115"/>
      <c r="BY1289" s="115" t="s">
        <v>169</v>
      </c>
      <c r="BZ1289" s="13">
        <f>SUBTOTAL(3,BZ1252:BZ1284)</f>
        <v>17</v>
      </c>
      <c r="CA1289" s="15">
        <f>SUBTOTAL(3,CA1252:CA1284)</f>
        <v>17</v>
      </c>
      <c r="CD1289" s="114"/>
    </row>
    <row r="1290" spans="43:82" ht="19.5" x14ac:dyDescent="0.4">
      <c r="AQ1290" s="115"/>
      <c r="AR1290" s="115"/>
      <c r="AS1290" s="115"/>
      <c r="AT1290" s="115"/>
      <c r="AU1290" s="115"/>
      <c r="AV1290" s="115"/>
      <c r="AW1290" s="115"/>
      <c r="AX1290" s="115"/>
      <c r="AY1290" s="115"/>
      <c r="AZ1290" s="115"/>
      <c r="BA1290" s="115"/>
      <c r="BB1290" s="26"/>
      <c r="BC1290" s="15"/>
      <c r="BG1290" s="115"/>
      <c r="BH1290" s="117"/>
      <c r="BI1290" s="123"/>
      <c r="BJ1290" s="123"/>
      <c r="BK1290" s="123"/>
      <c r="BL1290" s="115"/>
      <c r="BM1290" s="115"/>
      <c r="BN1290" s="115"/>
      <c r="BO1290" s="115"/>
      <c r="BP1290" s="115"/>
      <c r="BQ1290" s="115"/>
      <c r="BR1290" s="115"/>
      <c r="BS1290" s="115"/>
      <c r="BT1290" s="115"/>
      <c r="BU1290" s="115"/>
      <c r="BV1290" s="115"/>
      <c r="BW1290" s="115"/>
      <c r="BX1290" s="115"/>
      <c r="BY1290" s="115"/>
      <c r="BZ1290" s="13"/>
      <c r="CA1290" s="15"/>
      <c r="CD1290" s="114"/>
    </row>
    <row r="1291" spans="43:82" ht="19.5" x14ac:dyDescent="0.4">
      <c r="BB1291" s="26"/>
      <c r="BC1291" s="15"/>
      <c r="BG1291" s="115"/>
      <c r="BH1291" s="117"/>
      <c r="BI1291" s="123"/>
      <c r="BJ1291" s="123"/>
      <c r="BK1291" s="123"/>
      <c r="BL1291" s="115"/>
      <c r="BM1291" s="115"/>
      <c r="BN1291" s="115"/>
      <c r="BO1291" s="115"/>
      <c r="BP1291" s="115"/>
      <c r="BQ1291" s="115"/>
      <c r="BR1291" s="115"/>
      <c r="BS1291" s="115"/>
      <c r="BT1291" s="115"/>
      <c r="BU1291" s="115"/>
      <c r="BV1291" s="115"/>
      <c r="BW1291" s="115"/>
      <c r="BX1291" s="115"/>
      <c r="BY1291" s="115"/>
      <c r="BZ1291" s="25">
        <v>45277</v>
      </c>
      <c r="CA1291" s="15" t="s">
        <v>162</v>
      </c>
      <c r="CD1291" s="114"/>
    </row>
    <row r="1292" spans="43:82" ht="19.5" x14ac:dyDescent="0.4">
      <c r="AT1292" s="115"/>
      <c r="AU1292" s="115"/>
      <c r="AV1292" s="115"/>
      <c r="AW1292" s="115"/>
      <c r="AX1292" s="115"/>
      <c r="AY1292" s="115"/>
      <c r="AZ1292" s="115"/>
      <c r="BA1292" s="115"/>
      <c r="BB1292" s="17"/>
      <c r="BC1292" s="15"/>
      <c r="BG1292" s="115"/>
      <c r="BH1292" s="117"/>
      <c r="BI1292" s="123"/>
      <c r="BJ1292" s="123"/>
      <c r="BK1292" s="123"/>
      <c r="BL1292" s="115"/>
      <c r="BM1292" s="115"/>
      <c r="BN1292" s="115"/>
      <c r="BO1292" s="115"/>
      <c r="BP1292" s="115"/>
      <c r="BQ1292" s="115"/>
      <c r="BR1292" s="115"/>
      <c r="BS1292" s="115"/>
      <c r="BT1292" s="115"/>
      <c r="BU1292" s="115"/>
      <c r="BV1292" s="115"/>
      <c r="BW1292" s="115"/>
      <c r="BX1292" s="115"/>
      <c r="BY1292" s="115"/>
      <c r="BZ1292" s="25"/>
      <c r="CA1292" s="15"/>
      <c r="CD1292" s="114"/>
    </row>
    <row r="1293" spans="43:82" ht="19.5" x14ac:dyDescent="0.4">
      <c r="AQ1293" s="115"/>
      <c r="AR1293" s="115"/>
      <c r="AS1293" s="115"/>
      <c r="AT1293" s="115"/>
      <c r="AU1293" s="115"/>
      <c r="AV1293" s="115"/>
      <c r="AW1293" s="115"/>
      <c r="AX1293" s="115"/>
      <c r="AY1293" s="115"/>
      <c r="AZ1293" s="115"/>
      <c r="BA1293" s="115"/>
      <c r="BB1293" s="26"/>
      <c r="BC1293" s="15"/>
      <c r="BG1293" s="115"/>
      <c r="BH1293" s="117"/>
      <c r="BI1293" s="123"/>
      <c r="BJ1293" s="123"/>
      <c r="BK1293" s="123"/>
      <c r="BL1293" s="115"/>
      <c r="BM1293" s="115"/>
      <c r="BN1293" s="115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25"/>
      <c r="CA1293" s="15"/>
      <c r="CD1293" s="114"/>
    </row>
    <row r="1294" spans="43:82" ht="19.5" x14ac:dyDescent="0.4">
      <c r="AQ1294" s="115"/>
      <c r="AR1294" s="115"/>
      <c r="AS1294" s="115"/>
      <c r="AT1294" s="115"/>
      <c r="AU1294" s="115"/>
      <c r="AV1294" s="115"/>
      <c r="AW1294" s="115"/>
      <c r="AX1294" s="115"/>
      <c r="AY1294" s="115"/>
      <c r="AZ1294" s="115"/>
      <c r="BA1294" s="115"/>
      <c r="BB1294" s="17"/>
      <c r="BC1294" s="15"/>
      <c r="BG1294" s="115"/>
      <c r="BH1294" s="117"/>
      <c r="BI1294" s="123"/>
      <c r="BJ1294" s="123"/>
      <c r="BK1294" s="123"/>
      <c r="BL1294" s="115"/>
      <c r="BM1294" s="115"/>
      <c r="BN1294" s="115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25"/>
      <c r="CA1294" s="15"/>
      <c r="CD1294" s="114"/>
    </row>
    <row r="1295" spans="43:82" ht="19.5" x14ac:dyDescent="0.4">
      <c r="AQ1295" s="115"/>
      <c r="AR1295" s="115"/>
      <c r="AS1295" s="115"/>
      <c r="AT1295" s="115"/>
      <c r="AU1295" s="115"/>
      <c r="AV1295" s="115"/>
      <c r="AW1295" s="115"/>
      <c r="AX1295" s="115"/>
      <c r="AY1295" s="115"/>
      <c r="AZ1295" s="115"/>
      <c r="BA1295" s="115"/>
      <c r="BB1295" s="17"/>
      <c r="BC1295" s="15"/>
      <c r="BG1295" s="115"/>
      <c r="BH1295" s="117"/>
      <c r="BI1295" s="123"/>
      <c r="BJ1295" s="123"/>
      <c r="BK1295" s="123"/>
      <c r="BL1295" s="115"/>
      <c r="BM1295" s="115"/>
      <c r="BN1295" s="115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25"/>
      <c r="CA1295" s="15"/>
      <c r="CD1295" s="114"/>
    </row>
    <row r="1296" spans="43:82" ht="19.5" x14ac:dyDescent="0.4">
      <c r="BB1296" s="26"/>
      <c r="BC1296" s="15"/>
      <c r="BG1296" s="115"/>
      <c r="BH1296" s="117"/>
      <c r="BI1296" s="123"/>
      <c r="BJ1296" s="123"/>
      <c r="BK1296" s="123"/>
      <c r="BL1296" s="115"/>
      <c r="BM1296" s="115"/>
      <c r="BN1296" s="115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25">
        <v>45277</v>
      </c>
      <c r="CA1296" s="15" t="s">
        <v>162</v>
      </c>
      <c r="CD1296" s="114"/>
    </row>
    <row r="1297" spans="6:82" ht="19.5" x14ac:dyDescent="0.4">
      <c r="AS1297" s="115"/>
      <c r="AT1297" s="115"/>
      <c r="AU1297" s="115"/>
      <c r="AV1297" s="115"/>
      <c r="AW1297" s="115"/>
      <c r="AX1297" s="115"/>
      <c r="AY1297" s="115"/>
      <c r="AZ1297" s="115"/>
      <c r="BA1297" s="115"/>
      <c r="BB1297" s="17"/>
      <c r="BC1297" s="15"/>
      <c r="BG1297" s="115"/>
      <c r="BH1297" s="117"/>
      <c r="BI1297" s="123"/>
      <c r="BJ1297" s="123"/>
      <c r="BK1297" s="123"/>
      <c r="BL1297" s="115"/>
      <c r="BM1297" s="115"/>
      <c r="BN1297" s="115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31"/>
      <c r="CA1297" s="13"/>
      <c r="CD1297" s="114"/>
    </row>
    <row r="1298" spans="6:82" ht="19.5" x14ac:dyDescent="0.4">
      <c r="BB1298" s="26"/>
      <c r="BC1298" s="15"/>
      <c r="BG1298" s="115"/>
      <c r="BH1298" s="117"/>
      <c r="BI1298" s="123"/>
      <c r="BJ1298" s="123"/>
      <c r="BK1298" s="123"/>
      <c r="BL1298" s="115"/>
      <c r="BM1298" s="115"/>
      <c r="BN1298" s="115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26">
        <v>45277</v>
      </c>
      <c r="CA1298" s="13" t="s">
        <v>162</v>
      </c>
      <c r="CD1298" s="114"/>
    </row>
    <row r="1299" spans="6:82" ht="19.5" x14ac:dyDescent="0.4">
      <c r="BB1299" s="26"/>
      <c r="BC1299" s="15"/>
      <c r="BG1299" s="115"/>
      <c r="BH1299" s="117"/>
      <c r="BI1299" s="123"/>
      <c r="BJ1299" s="123"/>
      <c r="BK1299" s="123"/>
      <c r="BL1299" s="115"/>
      <c r="BM1299" s="115"/>
      <c r="BN1299" s="115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26">
        <v>45277</v>
      </c>
      <c r="CA1299" s="15" t="s">
        <v>162</v>
      </c>
      <c r="CD1299" s="114"/>
    </row>
    <row r="1300" spans="6:82" ht="19.5" x14ac:dyDescent="0.4"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26"/>
      <c r="BC1300" s="15"/>
      <c r="BG1300" s="115"/>
      <c r="BH1300" s="117"/>
      <c r="BI1300" s="123"/>
      <c r="BJ1300" s="123"/>
      <c r="BK1300" s="123"/>
      <c r="BL1300" s="115"/>
      <c r="BM1300" s="115"/>
      <c r="BN1300" s="115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26"/>
      <c r="CA1300" s="15"/>
      <c r="CD1300" s="114"/>
    </row>
    <row r="1301" spans="6:82" ht="19.5" x14ac:dyDescent="0.4">
      <c r="BB1301" s="26"/>
      <c r="BC1301" s="15"/>
      <c r="BG1301" s="115"/>
      <c r="BH1301" s="117"/>
      <c r="BI1301" s="123"/>
      <c r="BJ1301" s="123"/>
      <c r="BK1301" s="123"/>
      <c r="BL1301" s="115"/>
      <c r="BM1301" s="115"/>
      <c r="BN1301" s="115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26">
        <v>45277</v>
      </c>
      <c r="CA1301" s="15" t="s">
        <v>162</v>
      </c>
      <c r="CD1301" s="114"/>
    </row>
    <row r="1302" spans="6:82" ht="19.5" x14ac:dyDescent="0.4">
      <c r="BB1302" s="26"/>
      <c r="BC1302" s="15"/>
      <c r="BG1302" s="115"/>
      <c r="BH1302" s="117"/>
      <c r="BI1302" s="123"/>
      <c r="BJ1302" s="123"/>
      <c r="BK1302" s="123"/>
      <c r="BL1302" s="115"/>
      <c r="BM1302" s="115"/>
      <c r="BN1302" s="115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 t="s">
        <v>160</v>
      </c>
      <c r="BZ1302" s="17">
        <f>SUBTOTAL(3,BZ1291:BZ1301)</f>
        <v>5</v>
      </c>
      <c r="CA1302" s="15">
        <f>SUBTOTAL(3,CA1291:CA1301)</f>
        <v>5</v>
      </c>
      <c r="CD1302" s="114"/>
    </row>
    <row r="1303" spans="6:82" ht="19.5" x14ac:dyDescent="0.4"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115"/>
      <c r="AZ1303" s="115"/>
      <c r="BA1303" s="115"/>
      <c r="BB1303" s="26"/>
      <c r="BC1303" s="15"/>
      <c r="BG1303" s="115"/>
      <c r="BH1303" s="117"/>
      <c r="BI1303" s="123"/>
      <c r="BJ1303" s="123"/>
      <c r="BK1303" s="123"/>
      <c r="BL1303" s="115"/>
      <c r="BM1303" s="115"/>
      <c r="BN1303" s="115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7"/>
      <c r="CA1303" s="15"/>
      <c r="CD1303" s="114"/>
    </row>
    <row r="1304" spans="6:82" ht="19.5" x14ac:dyDescent="0.4"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115"/>
      <c r="AY1304" s="115"/>
      <c r="AZ1304" s="115"/>
      <c r="BA1304" s="115"/>
      <c r="BB1304" s="26"/>
      <c r="BC1304" s="15"/>
      <c r="BG1304" s="115"/>
      <c r="BH1304" s="117"/>
      <c r="BI1304" s="123"/>
      <c r="BJ1304" s="123"/>
      <c r="BK1304" s="123"/>
      <c r="BL1304" s="115"/>
      <c r="BM1304" s="115"/>
      <c r="BN1304" s="115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7"/>
      <c r="CA1304" s="15"/>
      <c r="CD1304" s="114"/>
    </row>
    <row r="1305" spans="6:82" ht="19.5" x14ac:dyDescent="0.4">
      <c r="BB1305" s="26"/>
      <c r="BC1305" s="15"/>
      <c r="BG1305" s="115"/>
      <c r="BH1305" s="117"/>
      <c r="BI1305" s="123"/>
      <c r="BJ1305" s="123"/>
      <c r="BK1305" s="123"/>
      <c r="BL1305" s="115"/>
      <c r="BM1305" s="115"/>
      <c r="BN1305" s="115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26">
        <v>45278</v>
      </c>
      <c r="CA1305" s="15" t="s">
        <v>164</v>
      </c>
      <c r="CD1305" s="114"/>
    </row>
    <row r="1306" spans="6:82" ht="19.5" x14ac:dyDescent="0.4">
      <c r="BB1306" s="26"/>
      <c r="BC1306" s="15"/>
      <c r="BG1306" s="115"/>
      <c r="BH1306" s="117"/>
      <c r="BI1306" s="123"/>
      <c r="BJ1306" s="123"/>
      <c r="BK1306" s="123"/>
      <c r="BL1306" s="115"/>
      <c r="BM1306" s="115"/>
      <c r="BN1306" s="115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26">
        <v>45278</v>
      </c>
      <c r="CA1306" s="15" t="s">
        <v>164</v>
      </c>
      <c r="CD1306" s="114"/>
    </row>
    <row r="1307" spans="6:82" ht="19.5" x14ac:dyDescent="0.4">
      <c r="AQ1307" s="115"/>
      <c r="AR1307" s="115"/>
      <c r="AS1307" s="115"/>
      <c r="AT1307" s="115"/>
      <c r="AU1307" s="115"/>
      <c r="AV1307" s="115"/>
      <c r="AW1307" s="115"/>
      <c r="AX1307" s="115"/>
      <c r="AY1307" s="115"/>
      <c r="AZ1307" s="115"/>
      <c r="BA1307" s="115"/>
      <c r="BB1307" s="26"/>
      <c r="BC1307" s="15"/>
      <c r="BG1307" s="115"/>
      <c r="BH1307" s="117"/>
      <c r="BI1307" s="123"/>
      <c r="BJ1307" s="123"/>
      <c r="BK1307" s="123"/>
      <c r="BL1307" s="115"/>
      <c r="BM1307" s="115"/>
      <c r="BN1307" s="115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26"/>
      <c r="CA1307" s="15"/>
      <c r="CD1307" s="114"/>
    </row>
    <row r="1308" spans="6:82" ht="19.5" x14ac:dyDescent="0.4">
      <c r="BB1308" s="26"/>
      <c r="BC1308" s="15"/>
      <c r="BG1308" s="115"/>
      <c r="BH1308" s="117"/>
      <c r="BI1308" s="123"/>
      <c r="BJ1308" s="123"/>
      <c r="BK1308" s="123"/>
      <c r="BL1308" s="115"/>
      <c r="BM1308" s="115"/>
      <c r="BN1308" s="115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26">
        <v>45278</v>
      </c>
      <c r="CA1308" s="15" t="s">
        <v>162</v>
      </c>
      <c r="CD1308" s="114"/>
    </row>
    <row r="1309" spans="6:82" ht="19.5" x14ac:dyDescent="0.4">
      <c r="AS1309" s="115"/>
      <c r="AT1309" s="115"/>
      <c r="AU1309" s="115"/>
      <c r="AV1309" s="115"/>
      <c r="AW1309" s="115"/>
      <c r="AX1309" s="115"/>
      <c r="AY1309" s="115"/>
      <c r="AZ1309" s="115"/>
      <c r="BA1309" s="115"/>
      <c r="BB1309" s="17"/>
      <c r="BC1309" s="15"/>
      <c r="BG1309" s="115"/>
      <c r="BH1309" s="117"/>
      <c r="BI1309" s="123"/>
      <c r="BJ1309" s="123"/>
      <c r="BK1309" s="123"/>
      <c r="BL1309" s="115"/>
      <c r="BM1309" s="115"/>
      <c r="BN1309" s="115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26"/>
      <c r="CA1309" s="15"/>
      <c r="CD1309" s="114"/>
    </row>
    <row r="1310" spans="6:82" ht="19.5" x14ac:dyDescent="0.4">
      <c r="AQ1310" s="115"/>
      <c r="AR1310" s="115"/>
      <c r="AS1310" s="115"/>
      <c r="AT1310" s="115"/>
      <c r="AU1310" s="115"/>
      <c r="AV1310" s="115"/>
      <c r="AW1310" s="115"/>
      <c r="AX1310" s="115"/>
      <c r="AY1310" s="115"/>
      <c r="AZ1310" s="115"/>
      <c r="BA1310" s="115"/>
      <c r="BB1310" s="26"/>
      <c r="BC1310" s="15"/>
      <c r="BG1310" s="115"/>
      <c r="BH1310" s="117"/>
      <c r="BI1310" s="123"/>
      <c r="BJ1310" s="123"/>
      <c r="BK1310" s="123"/>
      <c r="BL1310" s="115"/>
      <c r="BM1310" s="115"/>
      <c r="BN1310" s="115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26"/>
      <c r="CA1310" s="15"/>
      <c r="CD1310" s="114"/>
    </row>
    <row r="1311" spans="6:82" ht="19.5" x14ac:dyDescent="0.4">
      <c r="AQ1311" s="115"/>
      <c r="AR1311" s="115"/>
      <c r="AS1311" s="115"/>
      <c r="AT1311" s="115"/>
      <c r="AU1311" s="115"/>
      <c r="AV1311" s="115"/>
      <c r="AW1311" s="115"/>
      <c r="AX1311" s="115"/>
      <c r="AY1311" s="115"/>
      <c r="AZ1311" s="115"/>
      <c r="BA1311" s="115"/>
      <c r="BB1311" s="17"/>
      <c r="BC1311" s="15"/>
      <c r="BG1311" s="115"/>
      <c r="BH1311" s="117"/>
      <c r="BI1311" s="123"/>
      <c r="BJ1311" s="123"/>
      <c r="BK1311" s="123"/>
      <c r="BL1311" s="115"/>
      <c r="BM1311" s="115"/>
      <c r="BN1311" s="115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26"/>
      <c r="CA1311" s="15"/>
      <c r="CD1311" s="114"/>
    </row>
    <row r="1312" spans="6:82" ht="19.5" x14ac:dyDescent="0.4">
      <c r="BB1312" s="26"/>
      <c r="BC1312" s="15"/>
      <c r="BG1312" s="115"/>
      <c r="BH1312" s="117"/>
      <c r="BI1312" s="123"/>
      <c r="BJ1312" s="123"/>
      <c r="BK1312" s="123"/>
      <c r="BL1312" s="115"/>
      <c r="BM1312" s="115"/>
      <c r="BN1312" s="115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26">
        <v>45278</v>
      </c>
      <c r="CA1312" s="15" t="s">
        <v>142</v>
      </c>
      <c r="CD1312" s="114"/>
    </row>
    <row r="1313" spans="6:82" ht="19.5" x14ac:dyDescent="0.4">
      <c r="BB1313" s="26"/>
      <c r="BC1313" s="15"/>
      <c r="BG1313" s="115"/>
      <c r="BH1313" s="117"/>
      <c r="BI1313" s="123"/>
      <c r="BJ1313" s="123"/>
      <c r="BK1313" s="123"/>
      <c r="BL1313" s="115"/>
      <c r="BM1313" s="115"/>
      <c r="BN1313" s="115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26">
        <v>45278</v>
      </c>
      <c r="CA1313" s="15" t="s">
        <v>162</v>
      </c>
      <c r="CD1313" s="114"/>
    </row>
    <row r="1314" spans="6:82" ht="19.5" x14ac:dyDescent="0.4">
      <c r="BB1314" s="26"/>
      <c r="BC1314" s="15"/>
      <c r="BG1314" s="115"/>
      <c r="BH1314" s="117"/>
      <c r="BI1314" s="123"/>
      <c r="BJ1314" s="123"/>
      <c r="BK1314" s="123"/>
      <c r="BL1314" s="115"/>
      <c r="BM1314" s="115"/>
      <c r="BN1314" s="115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26">
        <v>45278</v>
      </c>
      <c r="CA1314" s="15" t="s">
        <v>162</v>
      </c>
      <c r="CD1314" s="114"/>
    </row>
    <row r="1315" spans="6:82" ht="19.5" x14ac:dyDescent="0.4">
      <c r="AS1315" s="115"/>
      <c r="AT1315" s="115"/>
      <c r="AU1315" s="115"/>
      <c r="AV1315" s="115"/>
      <c r="AW1315" s="115"/>
      <c r="AX1315" s="115"/>
      <c r="AY1315" s="115"/>
      <c r="AZ1315" s="115"/>
      <c r="BA1315" s="115"/>
      <c r="BB1315" s="17"/>
      <c r="BC1315" s="15"/>
      <c r="BG1315" s="115"/>
      <c r="BH1315" s="117"/>
      <c r="BI1315" s="123"/>
      <c r="BJ1315" s="123"/>
      <c r="BK1315" s="123"/>
      <c r="BL1315" s="115"/>
      <c r="BM1315" s="115"/>
      <c r="BN1315" s="115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26"/>
      <c r="CA1315" s="15"/>
      <c r="CD1315" s="114"/>
    </row>
    <row r="1316" spans="6:82" ht="19.5" x14ac:dyDescent="0.4">
      <c r="AQ1316" s="115"/>
      <c r="AR1316" s="115"/>
      <c r="AS1316" s="115"/>
      <c r="AT1316" s="115"/>
      <c r="AU1316" s="115"/>
      <c r="AV1316" s="115"/>
      <c r="AW1316" s="115"/>
      <c r="AX1316" s="115"/>
      <c r="AY1316" s="115"/>
      <c r="AZ1316" s="115"/>
      <c r="BA1316" s="115"/>
      <c r="BB1316" s="26"/>
      <c r="BC1316" s="15"/>
      <c r="BG1316" s="115"/>
      <c r="BH1316" s="117"/>
      <c r="BI1316" s="123"/>
      <c r="BJ1316" s="123"/>
      <c r="BK1316" s="123"/>
      <c r="BL1316" s="115"/>
      <c r="BM1316" s="115"/>
      <c r="BN1316" s="115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26"/>
      <c r="CA1316" s="15"/>
      <c r="CD1316" s="114"/>
    </row>
    <row r="1317" spans="6:82" ht="19.5" x14ac:dyDescent="0.4"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115"/>
      <c r="BB1317" s="26"/>
      <c r="BC1317" s="15"/>
      <c r="BG1317" s="115"/>
      <c r="BH1317" s="117"/>
      <c r="BI1317" s="123"/>
      <c r="BJ1317" s="123"/>
      <c r="BK1317" s="123"/>
      <c r="BL1317" s="115"/>
      <c r="BM1317" s="115"/>
      <c r="BN1317" s="115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26"/>
      <c r="CA1317" s="15"/>
      <c r="CD1317" s="114"/>
    </row>
    <row r="1318" spans="6:82" ht="19.5" x14ac:dyDescent="0.4"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115"/>
      <c r="AX1318" s="115"/>
      <c r="AY1318" s="115"/>
      <c r="AZ1318" s="115"/>
      <c r="BA1318" s="115"/>
      <c r="BB1318" s="17"/>
      <c r="BC1318" s="15"/>
      <c r="BG1318" s="115"/>
      <c r="BH1318" s="117"/>
      <c r="BI1318" s="123"/>
      <c r="BJ1318" s="123"/>
      <c r="BK1318" s="123"/>
      <c r="BL1318" s="115"/>
      <c r="BM1318" s="115"/>
      <c r="BN1318" s="115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26"/>
      <c r="CA1318" s="15"/>
      <c r="CD1318" s="114"/>
    </row>
    <row r="1319" spans="6:82" ht="19.5" x14ac:dyDescent="0.4"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15"/>
      <c r="AY1319" s="115"/>
      <c r="AZ1319" s="115"/>
      <c r="BA1319" s="115"/>
      <c r="BB1319" s="26"/>
      <c r="BC1319" s="15"/>
      <c r="BG1319" s="115"/>
      <c r="BH1319" s="117"/>
      <c r="BI1319" s="123"/>
      <c r="BJ1319" s="123"/>
      <c r="BK1319" s="123"/>
      <c r="BL1319" s="115"/>
      <c r="BM1319" s="115"/>
      <c r="BN1319" s="115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26"/>
      <c r="CA1319" s="15"/>
      <c r="CD1319" s="114"/>
    </row>
    <row r="1320" spans="6:82" ht="19.5" x14ac:dyDescent="0.4">
      <c r="BB1320" s="26"/>
      <c r="BC1320" s="15"/>
      <c r="BG1320" s="115"/>
      <c r="BH1320" s="117"/>
      <c r="BI1320" s="123"/>
      <c r="BJ1320" s="123"/>
      <c r="BK1320" s="123"/>
      <c r="BL1320" s="115"/>
      <c r="BM1320" s="115"/>
      <c r="BN1320" s="115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26">
        <v>45278</v>
      </c>
      <c r="CA1320" s="15" t="s">
        <v>162</v>
      </c>
      <c r="CD1320" s="114"/>
    </row>
    <row r="1321" spans="6:82" ht="19.5" x14ac:dyDescent="0.4">
      <c r="AQ1321" s="115"/>
      <c r="AR1321" s="115"/>
      <c r="AS1321" s="115"/>
      <c r="AT1321" s="115"/>
      <c r="AU1321" s="115"/>
      <c r="AV1321" s="115"/>
      <c r="AW1321" s="115"/>
      <c r="AX1321" s="115"/>
      <c r="AY1321" s="115"/>
      <c r="AZ1321" s="115"/>
      <c r="BA1321" s="115"/>
      <c r="BB1321" s="26"/>
      <c r="BC1321" s="15"/>
      <c r="BG1321" s="115"/>
      <c r="BH1321" s="117"/>
      <c r="BI1321" s="123"/>
      <c r="BJ1321" s="123"/>
      <c r="BK1321" s="123"/>
      <c r="BL1321" s="115"/>
      <c r="BM1321" s="115"/>
      <c r="BN1321" s="115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26"/>
      <c r="CA1321" s="15"/>
      <c r="CD1321" s="114"/>
    </row>
    <row r="1322" spans="6:82" ht="19.5" x14ac:dyDescent="0.4">
      <c r="BB1322" s="26"/>
      <c r="BC1322" s="15"/>
      <c r="BG1322" s="115"/>
      <c r="BH1322" s="117"/>
      <c r="BI1322" s="123"/>
      <c r="BJ1322" s="123"/>
      <c r="BK1322" s="123"/>
      <c r="BL1322" s="115"/>
      <c r="BM1322" s="115"/>
      <c r="BN1322" s="115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26">
        <v>45278</v>
      </c>
      <c r="CA1322" s="15" t="s">
        <v>163</v>
      </c>
      <c r="CD1322" s="114"/>
    </row>
    <row r="1323" spans="6:82" ht="19.5" x14ac:dyDescent="0.4">
      <c r="BB1323" s="26"/>
      <c r="BC1323" s="15"/>
      <c r="BG1323" s="115"/>
      <c r="BH1323" s="117"/>
      <c r="BI1323" s="123"/>
      <c r="BJ1323" s="123"/>
      <c r="BK1323" s="123"/>
      <c r="BL1323" s="115"/>
      <c r="BM1323" s="115"/>
      <c r="BN1323" s="115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26">
        <v>45278</v>
      </c>
      <c r="CA1323" s="105" t="s">
        <v>163</v>
      </c>
      <c r="CD1323" s="114"/>
    </row>
    <row r="1324" spans="6:82" ht="19.5" x14ac:dyDescent="0.4">
      <c r="BB1324" s="25"/>
      <c r="BC1324" s="13"/>
      <c r="BG1324" s="115"/>
      <c r="BH1324" s="117"/>
      <c r="BI1324" s="123"/>
      <c r="BJ1324" s="123"/>
      <c r="BK1324" s="123"/>
      <c r="BL1324" s="115"/>
      <c r="BM1324" s="115"/>
      <c r="BN1324" s="115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26">
        <v>45278</v>
      </c>
      <c r="CA1324" s="15" t="s">
        <v>163</v>
      </c>
      <c r="CD1324" s="114"/>
    </row>
    <row r="1325" spans="6:82" ht="19.5" x14ac:dyDescent="0.4"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115"/>
      <c r="AY1325" s="115"/>
      <c r="AZ1325" s="115"/>
      <c r="BA1325" s="115"/>
      <c r="BB1325" s="25"/>
      <c r="BC1325" s="13"/>
      <c r="BG1325" s="115"/>
      <c r="BH1325" s="117"/>
      <c r="BI1325" s="123"/>
      <c r="BJ1325" s="123"/>
      <c r="BK1325" s="123"/>
      <c r="BL1325" s="115"/>
      <c r="BM1325" s="115"/>
      <c r="BN1325" s="115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26"/>
      <c r="CA1325" s="15"/>
      <c r="CD1325" s="114"/>
    </row>
    <row r="1326" spans="6:82" ht="19.5" x14ac:dyDescent="0.4"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15"/>
      <c r="AT1326" s="115"/>
      <c r="AU1326" s="115"/>
      <c r="AV1326" s="115"/>
      <c r="AW1326" s="115"/>
      <c r="AX1326" s="115"/>
      <c r="AY1326" s="115"/>
      <c r="AZ1326" s="115"/>
      <c r="BA1326" s="115"/>
      <c r="BB1326" s="25"/>
      <c r="BC1326" s="13"/>
      <c r="BG1326" s="115"/>
      <c r="BH1326" s="117"/>
      <c r="BI1326" s="123"/>
      <c r="BJ1326" s="123"/>
      <c r="BK1326" s="123"/>
      <c r="BL1326" s="115"/>
      <c r="BM1326" s="115"/>
      <c r="BN1326" s="115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26"/>
      <c r="CA1326" s="15"/>
      <c r="CD1326" s="114"/>
    </row>
    <row r="1327" spans="6:82" ht="19.5" x14ac:dyDescent="0.4"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15"/>
      <c r="AW1327" s="115"/>
      <c r="AX1327" s="115"/>
      <c r="AY1327" s="115"/>
      <c r="AZ1327" s="115"/>
      <c r="BA1327" s="115"/>
      <c r="BB1327" s="25"/>
      <c r="BC1327" s="13"/>
      <c r="BG1327" s="115"/>
      <c r="BH1327" s="117"/>
      <c r="BI1327" s="123"/>
      <c r="BJ1327" s="123"/>
      <c r="BK1327" s="123"/>
      <c r="BL1327" s="115"/>
      <c r="BM1327" s="115"/>
      <c r="BN1327" s="115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26"/>
      <c r="CA1327" s="15"/>
      <c r="CD1327" s="114"/>
    </row>
    <row r="1328" spans="6:82" ht="19.5" x14ac:dyDescent="0.4"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25"/>
      <c r="BC1328" s="13"/>
      <c r="BG1328" s="115"/>
      <c r="BH1328" s="117"/>
      <c r="BI1328" s="123"/>
      <c r="BJ1328" s="123"/>
      <c r="BK1328" s="123"/>
      <c r="BL1328" s="115"/>
      <c r="BM1328" s="115"/>
      <c r="BN1328" s="115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26"/>
      <c r="CA1328" s="15"/>
      <c r="CD1328" s="114"/>
    </row>
    <row r="1329" spans="6:82" ht="19.5" x14ac:dyDescent="0.4"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15"/>
      <c r="AY1329" s="115"/>
      <c r="AZ1329" s="115"/>
      <c r="BA1329" s="115"/>
      <c r="BB1329" s="25"/>
      <c r="BC1329" s="13"/>
      <c r="BG1329" s="115"/>
      <c r="BH1329" s="117"/>
      <c r="BI1329" s="123"/>
      <c r="BJ1329" s="123"/>
      <c r="BK1329" s="123"/>
      <c r="BL1329" s="115"/>
      <c r="BM1329" s="115"/>
      <c r="BN1329" s="115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26"/>
      <c r="CA1329" s="15"/>
      <c r="CD1329" s="114"/>
    </row>
    <row r="1330" spans="6:82" ht="19.5" x14ac:dyDescent="0.4"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115"/>
      <c r="AZ1330" s="115"/>
      <c r="BA1330" s="115"/>
      <c r="BB1330" s="25"/>
      <c r="BC1330" s="13"/>
      <c r="BG1330" s="115"/>
      <c r="BH1330" s="117"/>
      <c r="BI1330" s="123"/>
      <c r="BJ1330" s="123"/>
      <c r="BK1330" s="123"/>
      <c r="BL1330" s="115"/>
      <c r="BM1330" s="115"/>
      <c r="BN1330" s="115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26"/>
      <c r="CA1330" s="15"/>
      <c r="CD1330" s="114"/>
    </row>
    <row r="1331" spans="6:82" ht="19.5" x14ac:dyDescent="0.4">
      <c r="BB1331" s="25"/>
      <c r="BC1331" s="13"/>
      <c r="BG1331" s="115"/>
      <c r="BH1331" s="117"/>
      <c r="BI1331" s="123"/>
      <c r="BJ1331" s="123"/>
      <c r="BK1331" s="123"/>
      <c r="BL1331" s="115"/>
      <c r="BM1331" s="115"/>
      <c r="BN1331" s="115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26">
        <v>45278</v>
      </c>
      <c r="CA1331" s="15" t="s">
        <v>163</v>
      </c>
      <c r="CD1331" s="114"/>
    </row>
    <row r="1332" spans="6:82" ht="19.5" x14ac:dyDescent="0.4">
      <c r="BB1332" s="25"/>
      <c r="BC1332" s="13"/>
      <c r="BG1332" s="115"/>
      <c r="BH1332" s="117"/>
      <c r="BI1332" s="123"/>
      <c r="BJ1332" s="123"/>
      <c r="BK1332" s="123"/>
      <c r="BL1332" s="115"/>
      <c r="BM1332" s="115"/>
      <c r="BN1332" s="115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26"/>
      <c r="CA1332" s="15"/>
      <c r="CD1332" s="114"/>
    </row>
    <row r="1333" spans="6:82" ht="19.5" x14ac:dyDescent="0.4">
      <c r="AS1333" s="115"/>
      <c r="AT1333" s="115"/>
      <c r="AU1333" s="115"/>
      <c r="AV1333" s="115"/>
      <c r="AW1333" s="115"/>
      <c r="AX1333" s="115"/>
      <c r="AY1333" s="115"/>
      <c r="AZ1333" s="115"/>
      <c r="BA1333" s="115"/>
      <c r="BB1333" s="13"/>
      <c r="BC1333" s="13"/>
      <c r="BG1333" s="115"/>
      <c r="BH1333" s="117"/>
      <c r="BI1333" s="123"/>
      <c r="BJ1333" s="123"/>
      <c r="BK1333" s="123"/>
      <c r="BL1333" s="115"/>
      <c r="BM1333" s="115"/>
      <c r="BN1333" s="115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26"/>
      <c r="CA1333" s="15"/>
      <c r="CD1333" s="114"/>
    </row>
    <row r="1334" spans="6:82" ht="19.5" x14ac:dyDescent="0.4">
      <c r="BB1334" s="25"/>
      <c r="BC1334" s="13"/>
      <c r="BG1334" s="115"/>
      <c r="BH1334" s="117"/>
      <c r="BI1334" s="123"/>
      <c r="BJ1334" s="123"/>
      <c r="BK1334" s="123"/>
      <c r="BL1334" s="115"/>
      <c r="BM1334" s="115"/>
      <c r="BN1334" s="115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26">
        <v>45278</v>
      </c>
      <c r="CA1334" s="15" t="s">
        <v>163</v>
      </c>
      <c r="CD1334" s="114"/>
    </row>
    <row r="1335" spans="6:82" ht="19.5" x14ac:dyDescent="0.4">
      <c r="AS1335" s="115"/>
      <c r="AT1335" s="115"/>
      <c r="AU1335" s="115"/>
      <c r="AV1335" s="115"/>
      <c r="AW1335" s="115"/>
      <c r="AX1335" s="115"/>
      <c r="AY1335" s="115"/>
      <c r="AZ1335" s="115"/>
      <c r="BA1335" s="115"/>
      <c r="BB1335" s="13"/>
      <c r="BC1335" s="13"/>
      <c r="BG1335" s="115"/>
      <c r="BH1335" s="117"/>
      <c r="BI1335" s="123"/>
      <c r="BJ1335" s="123"/>
      <c r="BK1335" s="123"/>
      <c r="BL1335" s="115"/>
      <c r="BM1335" s="115"/>
      <c r="BN1335" s="115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26"/>
      <c r="CA1335" s="13"/>
      <c r="CD1335" s="114"/>
    </row>
    <row r="1336" spans="6:82" ht="19.5" x14ac:dyDescent="0.4">
      <c r="BB1336" s="25"/>
      <c r="BC1336" s="13"/>
      <c r="BG1336" s="115"/>
      <c r="BH1336" s="117"/>
      <c r="BI1336" s="123"/>
      <c r="BJ1336" s="123"/>
      <c r="BK1336" s="123"/>
      <c r="BL1336" s="115"/>
      <c r="BM1336" s="115"/>
      <c r="BN1336" s="115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 t="s">
        <v>153</v>
      </c>
      <c r="BZ1336" s="17">
        <f>SUBTOTAL(3,BZ1305:BZ1334)</f>
        <v>12</v>
      </c>
      <c r="CA1336" s="13">
        <f>SUBTOTAL(3,CA1305:CA1334)</f>
        <v>12</v>
      </c>
      <c r="CD1336" s="114"/>
    </row>
    <row r="1337" spans="6:82" ht="19.5" x14ac:dyDescent="0.4"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3"/>
      <c r="BC1337" s="13"/>
      <c r="BG1337" s="115"/>
      <c r="BH1337" s="117"/>
      <c r="BI1337" s="123"/>
      <c r="BJ1337" s="123"/>
      <c r="BK1337" s="123"/>
      <c r="BL1337" s="115"/>
      <c r="BM1337" s="115"/>
      <c r="BN1337" s="115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7"/>
      <c r="CA1337" s="13"/>
      <c r="CD1337" s="114"/>
    </row>
    <row r="1338" spans="6:82" ht="19.5" x14ac:dyDescent="0.4">
      <c r="BB1338" s="25"/>
      <c r="BC1338" s="13"/>
      <c r="BG1338" s="115"/>
      <c r="BH1338" s="117"/>
      <c r="BI1338" s="123"/>
      <c r="BJ1338" s="123"/>
      <c r="BK1338" s="123"/>
      <c r="BL1338" s="115"/>
      <c r="BM1338" s="115"/>
      <c r="BN1338" s="115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26">
        <v>45279</v>
      </c>
      <c r="CA1338" s="25" t="s">
        <v>162</v>
      </c>
      <c r="CD1338" s="114"/>
    </row>
    <row r="1339" spans="6:82" ht="19.5" x14ac:dyDescent="0.4">
      <c r="BB1339" s="25"/>
      <c r="BC1339" s="13"/>
      <c r="BG1339" s="115"/>
      <c r="BH1339" s="117"/>
      <c r="BI1339" s="123"/>
      <c r="BJ1339" s="123"/>
      <c r="BK1339" s="123"/>
      <c r="BL1339" s="115"/>
      <c r="BM1339" s="115"/>
      <c r="BN1339" s="115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26">
        <v>45279</v>
      </c>
      <c r="CA1339" s="13" t="s">
        <v>162</v>
      </c>
      <c r="CD1339" s="114"/>
    </row>
    <row r="1340" spans="6:82" ht="19.5" x14ac:dyDescent="0.4"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20"/>
      <c r="BC1340" s="13"/>
      <c r="BG1340" s="115"/>
      <c r="BH1340" s="117"/>
      <c r="BI1340" s="123"/>
      <c r="BJ1340" s="123"/>
      <c r="BK1340" s="123"/>
      <c r="BL1340" s="115"/>
      <c r="BM1340" s="115"/>
      <c r="BN1340" s="115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26"/>
      <c r="CA1340" s="13"/>
      <c r="CD1340" s="114"/>
    </row>
    <row r="1341" spans="6:82" ht="19.5" x14ac:dyDescent="0.4">
      <c r="AS1341" s="115"/>
      <c r="AT1341" s="115"/>
      <c r="AU1341" s="115"/>
      <c r="AV1341" s="115"/>
      <c r="AW1341" s="115"/>
      <c r="AX1341" s="115"/>
      <c r="AY1341" s="115"/>
      <c r="AZ1341" s="115"/>
      <c r="BA1341" s="115"/>
      <c r="BB1341" s="20"/>
      <c r="BC1341" s="13"/>
      <c r="BG1341" s="115"/>
      <c r="BH1341" s="117"/>
      <c r="BI1341" s="123"/>
      <c r="BJ1341" s="123"/>
      <c r="BK1341" s="123"/>
      <c r="BL1341" s="115"/>
      <c r="BM1341" s="115"/>
      <c r="BN1341" s="115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26"/>
      <c r="CA1341" s="13"/>
      <c r="CD1341" s="114"/>
    </row>
    <row r="1342" spans="6:82" ht="19.5" x14ac:dyDescent="0.4">
      <c r="BB1342" s="26"/>
      <c r="BC1342" s="13"/>
      <c r="BG1342" s="115"/>
      <c r="BH1342" s="117"/>
      <c r="BI1342" s="123"/>
      <c r="BJ1342" s="123"/>
      <c r="BK1342" s="123"/>
      <c r="BL1342" s="115"/>
      <c r="BM1342" s="115"/>
      <c r="BN1342" s="115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26">
        <v>45279</v>
      </c>
      <c r="CA1342" s="13" t="s">
        <v>162</v>
      </c>
      <c r="CD1342" s="114"/>
    </row>
    <row r="1343" spans="6:82" ht="19.5" x14ac:dyDescent="0.4">
      <c r="BB1343" s="26"/>
      <c r="BC1343" s="13"/>
      <c r="BG1343" s="115"/>
      <c r="BH1343" s="117"/>
      <c r="BI1343" s="123"/>
      <c r="BJ1343" s="123"/>
      <c r="BK1343" s="123"/>
      <c r="BL1343" s="115"/>
      <c r="BM1343" s="115"/>
      <c r="BN1343" s="115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26">
        <v>45279</v>
      </c>
      <c r="CA1343" s="13" t="s">
        <v>162</v>
      </c>
      <c r="CD1343" s="114"/>
    </row>
    <row r="1344" spans="6:82" ht="19.5" x14ac:dyDescent="0.4">
      <c r="BB1344" s="129"/>
      <c r="BC1344" s="13"/>
      <c r="BG1344" s="115"/>
      <c r="BH1344" s="117"/>
      <c r="BI1344" s="123"/>
      <c r="BJ1344" s="123"/>
      <c r="BK1344" s="123"/>
      <c r="BL1344" s="115"/>
      <c r="BM1344" s="115"/>
      <c r="BN1344" s="115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26"/>
      <c r="CA1344" s="13"/>
      <c r="CD1344" s="114"/>
    </row>
    <row r="1345" spans="54:82" ht="19.5" x14ac:dyDescent="0.4">
      <c r="BB1345" s="26"/>
      <c r="BC1345" s="13"/>
      <c r="BG1345" s="115"/>
      <c r="BH1345" s="117"/>
      <c r="BI1345" s="123"/>
      <c r="BJ1345" s="123"/>
      <c r="BK1345" s="123"/>
      <c r="BL1345" s="115"/>
      <c r="BM1345" s="115"/>
      <c r="BN1345" s="115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26">
        <v>45279</v>
      </c>
      <c r="CA1345" s="13" t="s">
        <v>162</v>
      </c>
      <c r="CD1345" s="114"/>
    </row>
    <row r="1346" spans="54:82" ht="19.5" x14ac:dyDescent="0.4">
      <c r="BB1346" s="26"/>
      <c r="BC1346" s="13"/>
      <c r="BG1346" s="115"/>
      <c r="BH1346" s="117"/>
      <c r="BI1346" s="123"/>
      <c r="BJ1346" s="123"/>
      <c r="BK1346" s="123"/>
      <c r="BL1346" s="115"/>
      <c r="BM1346" s="115"/>
      <c r="BN1346" s="115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26">
        <v>45279</v>
      </c>
      <c r="CA1346" s="13" t="s">
        <v>162</v>
      </c>
      <c r="CD1346" s="114"/>
    </row>
    <row r="1347" spans="54:82" ht="19.5" x14ac:dyDescent="0.4">
      <c r="BB1347" s="26"/>
      <c r="BC1347" s="13"/>
      <c r="BG1347" s="115"/>
      <c r="BH1347" s="117"/>
      <c r="BI1347" s="123"/>
      <c r="BJ1347" s="123"/>
      <c r="BK1347" s="123"/>
      <c r="BL1347" s="115"/>
      <c r="BM1347" s="115"/>
      <c r="BN1347" s="115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 t="s">
        <v>170</v>
      </c>
      <c r="BZ1347" s="17">
        <f>SUBTOTAL(3,BZ1338:BZ1346)</f>
        <v>6</v>
      </c>
      <c r="CA1347" s="13">
        <f>SUBTOTAL(3,CA1338:CA1346)</f>
        <v>6</v>
      </c>
      <c r="CD1347" s="114"/>
    </row>
    <row r="1348" spans="54:82" ht="19.5" x14ac:dyDescent="0.4">
      <c r="BB1348" s="129"/>
      <c r="BC1348" s="13"/>
      <c r="BG1348" s="115"/>
      <c r="BH1348" s="117"/>
      <c r="BI1348" s="123"/>
      <c r="BJ1348" s="123"/>
      <c r="BK1348" s="123"/>
      <c r="BL1348" s="115"/>
      <c r="BM1348" s="115"/>
      <c r="BN1348" s="115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7"/>
      <c r="CA1348" s="13"/>
      <c r="CD1348" s="114"/>
    </row>
    <row r="1349" spans="54:82" ht="19.5" x14ac:dyDescent="0.4">
      <c r="BB1349" s="26"/>
      <c r="BC1349" s="13"/>
      <c r="BG1349" s="115"/>
      <c r="BH1349" s="117"/>
      <c r="BI1349" s="123"/>
      <c r="BJ1349" s="123"/>
      <c r="BK1349" s="123"/>
      <c r="BL1349" s="115"/>
      <c r="BM1349" s="115"/>
      <c r="BN1349" s="115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26">
        <v>45280</v>
      </c>
      <c r="CA1349" s="13" t="s">
        <v>162</v>
      </c>
      <c r="CD1349" s="114"/>
    </row>
    <row r="1350" spans="54:82" ht="19.5" x14ac:dyDescent="0.4">
      <c r="BB1350" s="26"/>
      <c r="BC1350" s="13"/>
      <c r="BG1350" s="115"/>
      <c r="BH1350" s="116"/>
      <c r="BI1350" s="123"/>
      <c r="BJ1350" s="123"/>
      <c r="BK1350" s="123"/>
      <c r="BL1350" s="115"/>
      <c r="BM1350" s="115"/>
      <c r="BN1350" s="115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26">
        <v>45280</v>
      </c>
      <c r="CA1350" s="13" t="s">
        <v>162</v>
      </c>
      <c r="CD1350" s="114"/>
    </row>
    <row r="1351" spans="54:82" ht="19.5" x14ac:dyDescent="0.4">
      <c r="BB1351" s="26"/>
      <c r="BC1351" s="13"/>
      <c r="BG1351" s="115"/>
      <c r="BH1351" s="116"/>
      <c r="BI1351" s="123"/>
      <c r="BJ1351" s="123"/>
      <c r="BK1351" s="123"/>
      <c r="BL1351" s="115"/>
      <c r="BM1351" s="115"/>
      <c r="BN1351" s="115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26">
        <v>45280</v>
      </c>
      <c r="CA1351" s="13" t="s">
        <v>162</v>
      </c>
      <c r="CD1351" s="114"/>
    </row>
    <row r="1352" spans="54:82" ht="19.5" x14ac:dyDescent="0.4">
      <c r="BB1352" s="26"/>
      <c r="BC1352" s="13"/>
      <c r="BG1352" s="115"/>
      <c r="BH1352" s="116"/>
      <c r="BI1352" s="123"/>
      <c r="BJ1352" s="123"/>
      <c r="BK1352" s="123"/>
      <c r="BL1352" s="115"/>
      <c r="BM1352" s="115"/>
      <c r="BN1352" s="115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26">
        <v>45280</v>
      </c>
      <c r="CA1352" s="13" t="s">
        <v>162</v>
      </c>
      <c r="CD1352" s="114"/>
    </row>
    <row r="1353" spans="54:82" ht="19.5" x14ac:dyDescent="0.4">
      <c r="BB1353" s="129"/>
      <c r="BC1353" s="13"/>
      <c r="BG1353" s="115"/>
      <c r="BH1353" s="116"/>
      <c r="BI1353" s="123"/>
      <c r="BJ1353" s="123"/>
      <c r="BK1353" s="123"/>
      <c r="BL1353" s="115"/>
      <c r="BM1353" s="115"/>
      <c r="BN1353" s="115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26"/>
      <c r="CA1353" s="13"/>
      <c r="CD1353" s="114"/>
    </row>
    <row r="1354" spans="54:82" ht="19.5" x14ac:dyDescent="0.4">
      <c r="BB1354" s="26"/>
      <c r="BC1354" s="13"/>
      <c r="BG1354" s="115"/>
      <c r="BH1354" s="116"/>
      <c r="BI1354" s="123"/>
      <c r="BJ1354" s="123"/>
      <c r="BK1354" s="123"/>
      <c r="BL1354" s="115"/>
      <c r="BM1354" s="115"/>
      <c r="BN1354" s="115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26">
        <v>45280</v>
      </c>
      <c r="CA1354" s="13" t="s">
        <v>162</v>
      </c>
      <c r="CD1354" s="114"/>
    </row>
    <row r="1355" spans="54:82" ht="19.5" x14ac:dyDescent="0.4">
      <c r="BB1355" s="130"/>
      <c r="BC1355" s="119"/>
      <c r="BG1355" s="115"/>
      <c r="BH1355" s="116"/>
      <c r="BI1355" s="123"/>
      <c r="BJ1355" s="123"/>
      <c r="BK1355" s="123"/>
      <c r="BL1355" s="115"/>
      <c r="BM1355" s="115"/>
      <c r="BN1355" s="115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26"/>
      <c r="CA1355" s="13"/>
      <c r="CD1355" s="114"/>
    </row>
    <row r="1356" spans="54:82" ht="19.5" x14ac:dyDescent="0.4">
      <c r="BB1356" s="130"/>
      <c r="BC1356" s="119"/>
      <c r="BG1356" s="115"/>
      <c r="BH1356" s="116"/>
      <c r="BI1356" s="123"/>
      <c r="BJ1356" s="123"/>
      <c r="BK1356" s="123"/>
      <c r="BL1356" s="115"/>
      <c r="BM1356" s="115"/>
      <c r="BN1356" s="115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26"/>
      <c r="CA1356" s="13"/>
      <c r="CD1356" s="114"/>
    </row>
    <row r="1357" spans="54:82" ht="19.5" x14ac:dyDescent="0.4">
      <c r="BG1357" s="115"/>
      <c r="BH1357" s="116"/>
      <c r="BI1357" s="123"/>
      <c r="BJ1357" s="123"/>
      <c r="BK1357" s="123"/>
      <c r="BL1357" s="115"/>
      <c r="BM1357" s="115"/>
      <c r="BN1357" s="115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26">
        <v>45280</v>
      </c>
      <c r="CA1357" s="13" t="s">
        <v>162</v>
      </c>
      <c r="CD1357" s="114"/>
    </row>
    <row r="1358" spans="54:82" ht="19.5" x14ac:dyDescent="0.4">
      <c r="BG1358" s="115"/>
      <c r="BH1358" s="116"/>
      <c r="BI1358" s="123"/>
      <c r="BJ1358" s="123"/>
      <c r="BK1358" s="123"/>
      <c r="BL1358" s="115"/>
      <c r="BM1358" s="115"/>
      <c r="BN1358" s="115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26">
        <v>45280</v>
      </c>
      <c r="CA1358" s="13" t="s">
        <v>162</v>
      </c>
      <c r="CD1358" s="114"/>
    </row>
    <row r="1359" spans="54:82" ht="19.5" x14ac:dyDescent="0.4">
      <c r="BG1359" s="115"/>
      <c r="BH1359" s="116"/>
      <c r="BI1359" s="123"/>
      <c r="BJ1359" s="123"/>
      <c r="BK1359" s="123"/>
      <c r="BL1359" s="115"/>
      <c r="BM1359" s="115"/>
      <c r="BN1359" s="115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26">
        <v>45280</v>
      </c>
      <c r="CA1359" s="13" t="s">
        <v>162</v>
      </c>
      <c r="CD1359" s="114"/>
    </row>
    <row r="1360" spans="54:82" ht="19.5" x14ac:dyDescent="0.4">
      <c r="BF1360" s="115"/>
      <c r="BG1360" s="115"/>
      <c r="BH1360" s="116"/>
      <c r="BI1360" s="123"/>
      <c r="BJ1360" s="123"/>
      <c r="BK1360" s="123"/>
      <c r="BL1360" s="115"/>
      <c r="BM1360" s="115"/>
      <c r="BN1360" s="115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26">
        <v>45280</v>
      </c>
      <c r="CA1360" s="13" t="s">
        <v>162</v>
      </c>
      <c r="CD1360" s="114"/>
    </row>
    <row r="1361" spans="56:82" ht="19.5" x14ac:dyDescent="0.4">
      <c r="BF1361" s="115"/>
      <c r="BG1361" s="115"/>
      <c r="BH1361" s="116"/>
      <c r="BI1361" s="123"/>
      <c r="BJ1361" s="123"/>
      <c r="BK1361" s="123"/>
      <c r="BL1361" s="115"/>
      <c r="BM1361" s="115"/>
      <c r="BN1361" s="115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26">
        <v>45280</v>
      </c>
      <c r="CA1361" s="13" t="s">
        <v>162</v>
      </c>
      <c r="CD1361" s="114"/>
    </row>
    <row r="1362" spans="56:82" ht="19.5" x14ac:dyDescent="0.4">
      <c r="BD1362" s="115"/>
      <c r="BE1362" s="115"/>
      <c r="BF1362" s="115"/>
      <c r="BG1362" s="115"/>
      <c r="BH1362" s="116"/>
      <c r="BI1362" s="123"/>
      <c r="BJ1362" s="123"/>
      <c r="BK1362" s="123"/>
      <c r="BL1362" s="115"/>
      <c r="BM1362" s="115"/>
      <c r="BN1362" s="115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26">
        <v>45280</v>
      </c>
      <c r="CA1362" s="13" t="s">
        <v>162</v>
      </c>
      <c r="CD1362" s="114"/>
    </row>
    <row r="1363" spans="56:82" x14ac:dyDescent="0.4">
      <c r="BD1363" s="115"/>
      <c r="BE1363" s="115"/>
      <c r="BF1363" s="115"/>
      <c r="BG1363" s="115"/>
      <c r="BH1363" s="115"/>
      <c r="BI1363" s="122"/>
      <c r="BJ1363" s="122"/>
      <c r="BK1363" s="122"/>
      <c r="BL1363" s="115"/>
      <c r="BM1363" s="115"/>
      <c r="BN1363" s="115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26">
        <v>45280</v>
      </c>
      <c r="CA1363" s="13" t="s">
        <v>162</v>
      </c>
      <c r="CD1363" s="114"/>
    </row>
    <row r="1364" spans="56:82" x14ac:dyDescent="0.4">
      <c r="BD1364" s="115"/>
      <c r="BE1364" s="115"/>
      <c r="BF1364" s="115"/>
      <c r="BG1364" s="115"/>
      <c r="BH1364" s="115"/>
      <c r="BI1364" s="122"/>
      <c r="BJ1364" s="122"/>
      <c r="BK1364" s="122"/>
      <c r="BL1364" s="115"/>
      <c r="BM1364" s="115"/>
      <c r="BN1364" s="115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26">
        <v>45280</v>
      </c>
      <c r="CA1364" s="13" t="s">
        <v>162</v>
      </c>
      <c r="CD1364" s="114"/>
    </row>
    <row r="1365" spans="56:82" x14ac:dyDescent="0.4">
      <c r="BD1365" s="115"/>
      <c r="BE1365" s="115"/>
      <c r="BF1365" s="115"/>
      <c r="BG1365" s="115"/>
      <c r="BH1365" s="115"/>
      <c r="BI1365" s="122"/>
      <c r="BJ1365" s="122"/>
      <c r="BK1365" s="122"/>
      <c r="BL1365" s="115"/>
      <c r="BM1365" s="115"/>
      <c r="BN1365" s="115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 t="s">
        <v>171</v>
      </c>
      <c r="BZ1365" s="17">
        <f>SUBTOTAL(3,BZ1349:BZ1364)</f>
        <v>13</v>
      </c>
      <c r="CA1365" s="13">
        <f>SUBTOTAL(3,CA1349:CA1364)</f>
        <v>13</v>
      </c>
      <c r="CD1365" s="114"/>
    </row>
    <row r="1366" spans="56:82" x14ac:dyDescent="0.4">
      <c r="BD1366" s="115"/>
      <c r="BE1366" s="115"/>
      <c r="BF1366" s="115"/>
      <c r="BG1366" s="115"/>
      <c r="BH1366" s="115"/>
      <c r="BI1366" s="122"/>
      <c r="BJ1366" s="122"/>
      <c r="BK1366" s="122"/>
      <c r="BL1366" s="115"/>
      <c r="BM1366" s="115"/>
      <c r="BN1366" s="115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26">
        <v>45283</v>
      </c>
      <c r="CA1366" s="13" t="s">
        <v>162</v>
      </c>
      <c r="CD1366" s="114"/>
    </row>
    <row r="1367" spans="56:82" x14ac:dyDescent="0.4">
      <c r="BD1367" s="115"/>
      <c r="BE1367" s="115"/>
      <c r="BF1367" s="115"/>
      <c r="BG1367" s="115"/>
      <c r="BH1367" s="115"/>
      <c r="BI1367" s="122"/>
      <c r="BJ1367" s="122"/>
      <c r="BK1367" s="122"/>
      <c r="BL1367" s="115"/>
      <c r="BM1367" s="115"/>
      <c r="BN1367" s="115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26">
        <v>45283</v>
      </c>
      <c r="CA1367" s="13" t="s">
        <v>162</v>
      </c>
      <c r="CD1367" s="114"/>
    </row>
    <row r="1368" spans="56:82" x14ac:dyDescent="0.4">
      <c r="BD1368" s="115"/>
      <c r="BE1368" s="115"/>
      <c r="BF1368" s="115"/>
      <c r="BG1368" s="115"/>
      <c r="BH1368" s="115"/>
      <c r="BI1368" s="122"/>
      <c r="BJ1368" s="122"/>
      <c r="BK1368" s="122"/>
      <c r="BL1368" s="115"/>
      <c r="BM1368" s="115"/>
      <c r="BN1368" s="115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26">
        <v>45283</v>
      </c>
      <c r="CA1368" s="13" t="s">
        <v>162</v>
      </c>
      <c r="CD1368" s="114"/>
    </row>
    <row r="1369" spans="56:82" x14ac:dyDescent="0.4">
      <c r="BD1369" s="115"/>
      <c r="BE1369" s="115"/>
      <c r="BF1369" s="115"/>
      <c r="BG1369" s="115"/>
      <c r="BH1369" s="115"/>
      <c r="BI1369" s="122"/>
      <c r="BJ1369" s="122"/>
      <c r="BK1369" s="122"/>
      <c r="BL1369" s="115"/>
      <c r="BM1369" s="115"/>
      <c r="BN1369" s="115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26">
        <v>45283</v>
      </c>
      <c r="CA1369" s="13" t="s">
        <v>162</v>
      </c>
      <c r="CD1369" s="114"/>
    </row>
    <row r="1370" spans="56:82" x14ac:dyDescent="0.4">
      <c r="BD1370" s="115"/>
      <c r="BE1370" s="115"/>
      <c r="BF1370" s="115"/>
      <c r="BG1370" s="115"/>
      <c r="BH1370" s="115"/>
      <c r="BI1370" s="122"/>
      <c r="BJ1370" s="122"/>
      <c r="BK1370" s="122"/>
      <c r="BL1370" s="115"/>
      <c r="BM1370" s="115"/>
      <c r="BN1370" s="115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26">
        <v>45283</v>
      </c>
      <c r="CA1370" s="13" t="s">
        <v>162</v>
      </c>
      <c r="CD1370" s="114"/>
    </row>
    <row r="1371" spans="56:82" x14ac:dyDescent="0.4">
      <c r="BD1371" s="115"/>
      <c r="BE1371" s="115"/>
      <c r="BF1371" s="115"/>
      <c r="BG1371" s="115"/>
      <c r="BH1371" s="115"/>
      <c r="BI1371" s="122"/>
      <c r="BJ1371" s="122"/>
      <c r="BK1371" s="122"/>
      <c r="BL1371" s="115"/>
      <c r="BM1371" s="115"/>
      <c r="BN1371" s="115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26">
        <v>45283</v>
      </c>
      <c r="CA1371" s="13" t="s">
        <v>162</v>
      </c>
      <c r="CD1371" s="114"/>
    </row>
    <row r="1372" spans="56:82" x14ac:dyDescent="0.4">
      <c r="BD1372" s="115"/>
      <c r="BE1372" s="115"/>
      <c r="BF1372" s="115"/>
      <c r="BG1372" s="115"/>
      <c r="BH1372" s="115"/>
      <c r="BI1372" s="122"/>
      <c r="BJ1372" s="122"/>
      <c r="BK1372" s="122"/>
      <c r="BL1372" s="115"/>
      <c r="BM1372" s="115"/>
      <c r="BN1372" s="115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26">
        <v>45283</v>
      </c>
      <c r="CA1372" s="13" t="s">
        <v>162</v>
      </c>
      <c r="CD1372" s="114"/>
    </row>
    <row r="1373" spans="56:82" x14ac:dyDescent="0.4">
      <c r="BD1373" s="115"/>
      <c r="BE1373" s="115"/>
      <c r="BF1373" s="115"/>
      <c r="BG1373" s="115"/>
      <c r="BH1373" s="115"/>
      <c r="BI1373" s="122"/>
      <c r="BJ1373" s="122"/>
      <c r="BK1373" s="122"/>
      <c r="BL1373" s="115"/>
      <c r="BM1373" s="115"/>
      <c r="BN1373" s="115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26">
        <v>45283</v>
      </c>
      <c r="CA1373" s="13" t="s">
        <v>162</v>
      </c>
      <c r="CD1373" s="114"/>
    </row>
    <row r="1374" spans="56:82" x14ac:dyDescent="0.4">
      <c r="BD1374" s="115"/>
      <c r="BE1374" s="115"/>
      <c r="BF1374" s="115"/>
      <c r="BG1374" s="115"/>
      <c r="BH1374" s="115"/>
      <c r="BI1374" s="122"/>
      <c r="BJ1374" s="122"/>
      <c r="BK1374" s="122"/>
      <c r="BL1374" s="115"/>
      <c r="BM1374" s="115"/>
      <c r="BN1374" s="115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26">
        <v>45283</v>
      </c>
      <c r="CA1374" s="13" t="s">
        <v>162</v>
      </c>
      <c r="CD1374" s="114"/>
    </row>
    <row r="1375" spans="56:82" x14ac:dyDescent="0.4">
      <c r="BD1375" s="115"/>
      <c r="BE1375" s="115"/>
      <c r="BF1375" s="115"/>
      <c r="BG1375" s="115"/>
      <c r="BH1375" s="115"/>
      <c r="BI1375" s="122"/>
      <c r="BJ1375" s="122"/>
      <c r="BK1375" s="122"/>
      <c r="BL1375" s="115"/>
      <c r="BM1375" s="115"/>
      <c r="BN1375" s="115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26">
        <v>45283</v>
      </c>
      <c r="CA1375" s="13" t="s">
        <v>162</v>
      </c>
      <c r="CD1375" s="114"/>
    </row>
    <row r="1376" spans="56:82" x14ac:dyDescent="0.4">
      <c r="BD1376" s="115"/>
      <c r="BE1376" s="115"/>
      <c r="BF1376" s="115"/>
      <c r="BG1376" s="115"/>
      <c r="BH1376" s="115"/>
      <c r="BI1376" s="122"/>
      <c r="BJ1376" s="122"/>
      <c r="BK1376" s="122"/>
      <c r="BL1376" s="115"/>
      <c r="BM1376" s="115"/>
      <c r="BN1376" s="115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26">
        <v>45283</v>
      </c>
      <c r="CA1376" s="13" t="s">
        <v>163</v>
      </c>
      <c r="CD1376" s="114"/>
    </row>
    <row r="1377" spans="56:82" x14ac:dyDescent="0.4">
      <c r="BD1377" s="115"/>
      <c r="BE1377" s="115"/>
      <c r="BF1377" s="115"/>
      <c r="BG1377" s="115"/>
      <c r="BH1377" s="115"/>
      <c r="BI1377" s="122"/>
      <c r="BJ1377" s="122"/>
      <c r="BK1377" s="122"/>
      <c r="BL1377" s="115"/>
      <c r="BM1377" s="115"/>
      <c r="BN1377" s="115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26">
        <v>45283</v>
      </c>
      <c r="CA1377" s="13" t="s">
        <v>163</v>
      </c>
      <c r="CD1377" s="114"/>
    </row>
    <row r="1378" spans="56:82" x14ac:dyDescent="0.4">
      <c r="BD1378" s="115"/>
      <c r="BE1378" s="115"/>
      <c r="BF1378" s="115"/>
      <c r="BG1378" s="115"/>
      <c r="BH1378" s="115"/>
      <c r="BI1378" s="122"/>
      <c r="BJ1378" s="122"/>
      <c r="BK1378" s="122"/>
      <c r="BL1378" s="115"/>
      <c r="BM1378" s="115"/>
      <c r="BN1378" s="115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26">
        <v>45283</v>
      </c>
      <c r="CA1378" s="13" t="s">
        <v>163</v>
      </c>
      <c r="CD1378" s="114"/>
    </row>
    <row r="1379" spans="56:82" x14ac:dyDescent="0.4">
      <c r="BD1379" s="115"/>
      <c r="BE1379" s="115"/>
      <c r="BF1379" s="115"/>
      <c r="BG1379" s="115"/>
      <c r="BH1379" s="115"/>
      <c r="BI1379" s="122"/>
      <c r="BJ1379" s="122"/>
      <c r="BK1379" s="122"/>
      <c r="BL1379" s="115"/>
      <c r="BM1379" s="115"/>
      <c r="BN1379" s="115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 t="s">
        <v>161</v>
      </c>
      <c r="BZ1379" s="17">
        <f>SUBTOTAL(3,BZ1366:BZ1378)</f>
        <v>13</v>
      </c>
      <c r="CA1379" s="13">
        <f>SUBTOTAL(3,CA1366:CA1378)</f>
        <v>13</v>
      </c>
      <c r="CD1379" s="114"/>
    </row>
    <row r="1380" spans="56:82" x14ac:dyDescent="0.4">
      <c r="BD1380" s="115"/>
      <c r="BE1380" s="115"/>
      <c r="BF1380" s="115"/>
      <c r="BG1380" s="115"/>
      <c r="BH1380" s="115"/>
      <c r="BI1380" s="122"/>
      <c r="BJ1380" s="122"/>
      <c r="BK1380" s="122"/>
      <c r="BL1380" s="115"/>
      <c r="BM1380" s="115"/>
      <c r="BN1380" s="115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26">
        <v>45285</v>
      </c>
      <c r="CA1380" s="13" t="s">
        <v>163</v>
      </c>
      <c r="CD1380" s="114"/>
    </row>
    <row r="1381" spans="56:82" x14ac:dyDescent="0.4">
      <c r="BD1381" s="115"/>
      <c r="BE1381" s="115"/>
      <c r="BF1381" s="115"/>
      <c r="BG1381" s="115"/>
      <c r="BH1381" s="115"/>
      <c r="BI1381" s="122"/>
      <c r="BJ1381" s="122"/>
      <c r="BK1381" s="122"/>
      <c r="BL1381" s="115"/>
      <c r="BM1381" s="115"/>
      <c r="BN1381" s="115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 t="s">
        <v>172</v>
      </c>
      <c r="BZ1381" s="17">
        <f>SUBTOTAL(3,BZ1380:BZ1380)</f>
        <v>1</v>
      </c>
      <c r="CA1381" s="13">
        <f>SUBTOTAL(3,CA1380:CA1380)</f>
        <v>1</v>
      </c>
      <c r="CD1381" s="114"/>
    </row>
    <row r="1382" spans="56:82" x14ac:dyDescent="0.4">
      <c r="BD1382" s="115"/>
      <c r="BE1382" s="115"/>
      <c r="BF1382" s="115"/>
      <c r="BG1382" s="115"/>
      <c r="BH1382" s="115"/>
      <c r="BI1382" s="122"/>
      <c r="BJ1382" s="122"/>
      <c r="BK1382" s="122"/>
      <c r="BL1382" s="115"/>
      <c r="BM1382" s="115"/>
      <c r="BN1382" s="115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26">
        <v>45299</v>
      </c>
      <c r="CA1382" s="13" t="s">
        <v>164</v>
      </c>
      <c r="CD1382" s="114"/>
    </row>
    <row r="1383" spans="56:82" x14ac:dyDescent="0.4">
      <c r="BD1383" s="115"/>
      <c r="BE1383" s="115"/>
      <c r="BF1383" s="115"/>
      <c r="BG1383" s="115"/>
      <c r="BH1383" s="115"/>
      <c r="BI1383" s="122"/>
      <c r="BJ1383" s="122"/>
      <c r="BK1383" s="122"/>
      <c r="BL1383" s="115"/>
      <c r="BM1383" s="115"/>
      <c r="BN1383" s="115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26">
        <v>45299</v>
      </c>
      <c r="CA1383" s="13" t="s">
        <v>162</v>
      </c>
      <c r="CD1383" s="114"/>
    </row>
    <row r="1384" spans="56:82" x14ac:dyDescent="0.4">
      <c r="BD1384" s="115"/>
      <c r="BE1384" s="115"/>
      <c r="BF1384" s="115"/>
      <c r="BG1384" s="115"/>
      <c r="BH1384" s="115"/>
      <c r="BI1384" s="122"/>
      <c r="BJ1384" s="122"/>
      <c r="BK1384" s="122"/>
      <c r="BL1384" s="115"/>
      <c r="BM1384" s="115"/>
      <c r="BN1384" s="115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26">
        <v>45299</v>
      </c>
      <c r="CA1384" s="13" t="s">
        <v>162</v>
      </c>
      <c r="CD1384" s="114"/>
    </row>
    <row r="1385" spans="56:82" x14ac:dyDescent="0.4">
      <c r="BD1385" s="115"/>
      <c r="BE1385" s="115"/>
      <c r="BF1385" s="115"/>
      <c r="BG1385" s="115"/>
      <c r="BH1385" s="115"/>
      <c r="BI1385" s="122"/>
      <c r="BJ1385" s="122"/>
      <c r="BK1385" s="122"/>
      <c r="BL1385" s="115"/>
      <c r="BM1385" s="115"/>
      <c r="BN1385" s="115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26">
        <v>45299</v>
      </c>
      <c r="CA1385" s="15" t="s">
        <v>162</v>
      </c>
      <c r="CD1385" s="114"/>
    </row>
    <row r="1386" spans="56:82" x14ac:dyDescent="0.4">
      <c r="BD1386" s="115"/>
      <c r="BE1386" s="115"/>
      <c r="BF1386" s="115"/>
      <c r="BG1386" s="115"/>
      <c r="BH1386" s="115"/>
      <c r="BI1386" s="122"/>
      <c r="BJ1386" s="122"/>
      <c r="BK1386" s="122"/>
      <c r="BL1386" s="115"/>
      <c r="BM1386" s="115"/>
      <c r="BN1386" s="115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 t="s">
        <v>173</v>
      </c>
      <c r="BZ1386" s="17">
        <f>SUBTOTAL(3,BZ1382:BZ1385)</f>
        <v>4</v>
      </c>
      <c r="CA1386" s="13">
        <f>SUBTOTAL(3,CA1382:CA1385)</f>
        <v>4</v>
      </c>
      <c r="CD1386" s="114"/>
    </row>
    <row r="1387" spans="56:82" x14ac:dyDescent="0.4">
      <c r="BD1387" s="115"/>
      <c r="BE1387" s="115"/>
      <c r="BF1387" s="115"/>
      <c r="BG1387" s="115"/>
      <c r="BH1387" s="115"/>
      <c r="BI1387" s="122"/>
      <c r="BJ1387" s="122"/>
      <c r="BK1387" s="122"/>
      <c r="BL1387" s="115"/>
      <c r="BM1387" s="115"/>
      <c r="BN1387" s="115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 t="s">
        <v>145</v>
      </c>
      <c r="BZ1387" s="17">
        <f>SUBTOTAL(3,BZ2:BZ1385)</f>
        <v>136</v>
      </c>
      <c r="CA1387" s="13">
        <f>SUBTOTAL(3,CA2:CA1385)</f>
        <v>136</v>
      </c>
      <c r="CD1387" s="114"/>
    </row>
    <row r="1388" spans="56:82" x14ac:dyDescent="0.4">
      <c r="BD1388" s="115"/>
      <c r="BE1388" s="115"/>
      <c r="BF1388" s="115"/>
      <c r="BG1388" s="115"/>
      <c r="BH1388" s="115"/>
      <c r="BI1388" s="122"/>
      <c r="BJ1388" s="122"/>
      <c r="BK1388" s="122"/>
      <c r="BL1388" s="115"/>
      <c r="BM1388" s="115"/>
      <c r="BN1388" s="115"/>
      <c r="BO1388" s="115"/>
      <c r="BP1388" s="115"/>
      <c r="BQ1388" s="115"/>
      <c r="BR1388" s="115"/>
      <c r="BS1388" s="115"/>
      <c r="BT1388" s="115"/>
      <c r="BU1388" s="115"/>
      <c r="BV1388" s="115"/>
      <c r="BW1388" s="115" t="s">
        <v>145</v>
      </c>
      <c r="BX1388" s="115"/>
      <c r="BY1388" s="115"/>
      <c r="BZ1388" s="26"/>
      <c r="CA1388" s="13"/>
      <c r="CD1388" s="114"/>
    </row>
    <row r="1389" spans="56:82" x14ac:dyDescent="0.4">
      <c r="BD1389" s="115"/>
      <c r="BE1389" s="115"/>
      <c r="BF1389" s="115"/>
      <c r="BG1389" s="115"/>
      <c r="BH1389" s="115"/>
      <c r="BI1389" s="122"/>
      <c r="BJ1389" s="122"/>
      <c r="BK1389" s="122"/>
      <c r="BL1389" s="115"/>
      <c r="BM1389" s="115"/>
      <c r="BN1389" s="115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7"/>
      <c r="CA1389" s="13"/>
      <c r="CD1389" s="114"/>
    </row>
    <row r="1390" spans="56:82" x14ac:dyDescent="0.4">
      <c r="BD1390" s="115"/>
      <c r="BE1390" s="115"/>
      <c r="BF1390" s="115"/>
      <c r="BG1390" s="115"/>
      <c r="BH1390" s="115"/>
      <c r="BI1390" s="122"/>
      <c r="BJ1390" s="122"/>
      <c r="BK1390" s="122"/>
      <c r="BL1390" s="115"/>
      <c r="BM1390" s="115"/>
      <c r="BN1390" s="115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26"/>
      <c r="CA1390" s="13"/>
      <c r="CD1390" s="114"/>
    </row>
    <row r="1391" spans="56:82" x14ac:dyDescent="0.4">
      <c r="BD1391" s="115"/>
      <c r="BE1391" s="115"/>
      <c r="BF1391" s="115"/>
      <c r="BG1391" s="115"/>
      <c r="BH1391" s="115"/>
      <c r="BI1391" s="122"/>
      <c r="BJ1391" s="122"/>
      <c r="BK1391" s="122"/>
      <c r="BL1391" s="115"/>
      <c r="BM1391" s="115"/>
      <c r="BN1391" s="115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7"/>
      <c r="CA1391" s="13"/>
      <c r="CD1391" s="114"/>
    </row>
    <row r="1392" spans="56:82" x14ac:dyDescent="0.4">
      <c r="BD1392" s="115"/>
      <c r="BE1392" s="115"/>
      <c r="BF1392" s="115"/>
      <c r="BG1392" s="115"/>
      <c r="BH1392" s="115"/>
      <c r="BI1392" s="122"/>
      <c r="BJ1392" s="122"/>
      <c r="BK1392" s="122"/>
      <c r="BL1392" s="115"/>
      <c r="BM1392" s="115"/>
      <c r="BN1392" s="115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26"/>
      <c r="CA1392" s="13"/>
      <c r="CD1392" s="114"/>
    </row>
    <row r="1393" spans="56:82" x14ac:dyDescent="0.4">
      <c r="BD1393" s="115"/>
      <c r="BE1393" s="115"/>
      <c r="BF1393" s="115"/>
      <c r="BG1393" s="115"/>
      <c r="BH1393" s="115"/>
      <c r="BI1393" s="122"/>
      <c r="BJ1393" s="122"/>
      <c r="BK1393" s="122"/>
      <c r="BL1393" s="115"/>
      <c r="BM1393" s="115"/>
      <c r="BN1393" s="115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26"/>
      <c r="CA1393" s="13"/>
      <c r="CD1393" s="114"/>
    </row>
    <row r="1394" spans="56:82" x14ac:dyDescent="0.4">
      <c r="BD1394" s="115"/>
      <c r="BE1394" s="115"/>
      <c r="BF1394" s="115"/>
      <c r="BG1394" s="115"/>
      <c r="BH1394" s="115"/>
      <c r="BI1394" s="122"/>
      <c r="BJ1394" s="122"/>
      <c r="BK1394" s="122"/>
      <c r="BL1394" s="115"/>
      <c r="BM1394" s="115"/>
      <c r="BN1394" s="115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26"/>
      <c r="CA1394" s="13"/>
      <c r="CD1394" s="114"/>
    </row>
    <row r="1395" spans="56:82" x14ac:dyDescent="0.4">
      <c r="BD1395" s="115"/>
      <c r="BE1395" s="115"/>
      <c r="BF1395" s="115"/>
      <c r="BG1395" s="115"/>
      <c r="BH1395" s="115"/>
      <c r="BI1395" s="122"/>
      <c r="BJ1395" s="122"/>
      <c r="BK1395" s="122"/>
      <c r="BL1395" s="115"/>
      <c r="BM1395" s="115"/>
      <c r="BN1395" s="115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7"/>
      <c r="CA1395" s="13"/>
      <c r="CD1395" s="114"/>
    </row>
    <row r="1396" spans="56:82" x14ac:dyDescent="0.4">
      <c r="BD1396" s="115"/>
      <c r="BE1396" s="115"/>
      <c r="BF1396" s="115"/>
      <c r="BG1396" s="115"/>
      <c r="BH1396" s="115"/>
      <c r="BI1396" s="122"/>
      <c r="BJ1396" s="122"/>
      <c r="BK1396" s="122"/>
      <c r="BL1396" s="115"/>
      <c r="BM1396" s="115"/>
      <c r="BN1396" s="115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26"/>
      <c r="CA1396" s="13"/>
      <c r="CD1396" s="114"/>
    </row>
    <row r="1397" spans="56:82" x14ac:dyDescent="0.4">
      <c r="BD1397" s="115"/>
      <c r="BE1397" s="115"/>
      <c r="BF1397" s="115"/>
      <c r="BG1397" s="115"/>
      <c r="BH1397" s="115"/>
      <c r="BI1397" s="122"/>
      <c r="BJ1397" s="122"/>
      <c r="BK1397" s="122"/>
      <c r="BL1397" s="115"/>
      <c r="BM1397" s="115"/>
      <c r="BN1397" s="115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7"/>
      <c r="CA1397" s="13"/>
      <c r="CD1397" s="114"/>
    </row>
    <row r="1398" spans="56:82" x14ac:dyDescent="0.4">
      <c r="BD1398" s="115"/>
      <c r="BE1398" s="115"/>
      <c r="BF1398" s="115"/>
      <c r="BG1398" s="115"/>
      <c r="BH1398" s="115"/>
      <c r="BI1398" s="122"/>
      <c r="BJ1398" s="122"/>
      <c r="BK1398" s="122"/>
      <c r="BL1398" s="115"/>
      <c r="BM1398" s="115"/>
      <c r="BN1398" s="115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26"/>
      <c r="CA1398" s="13"/>
      <c r="CD1398" s="114"/>
    </row>
    <row r="1399" spans="56:82" x14ac:dyDescent="0.4">
      <c r="BD1399" s="115"/>
      <c r="BE1399" s="115"/>
      <c r="BF1399" s="115"/>
      <c r="BG1399" s="115"/>
      <c r="BH1399" s="115"/>
      <c r="BI1399" s="122"/>
      <c r="BJ1399" s="122"/>
      <c r="BK1399" s="122"/>
      <c r="BL1399" s="115"/>
      <c r="BM1399" s="115"/>
      <c r="BN1399" s="115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7"/>
      <c r="CA1399" s="13"/>
      <c r="CD1399" s="114"/>
    </row>
    <row r="1400" spans="56:82" x14ac:dyDescent="0.4">
      <c r="BD1400" s="115"/>
      <c r="BE1400" s="115"/>
      <c r="BF1400" s="115"/>
      <c r="BG1400" s="115"/>
      <c r="BH1400" s="115"/>
      <c r="BI1400" s="122"/>
      <c r="BJ1400" s="122"/>
      <c r="BK1400" s="122"/>
      <c r="BL1400" s="115"/>
      <c r="BM1400" s="115"/>
      <c r="BN1400" s="115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7"/>
      <c r="CA1400" s="13"/>
      <c r="CD1400" s="114"/>
    </row>
    <row r="1401" spans="56:82" x14ac:dyDescent="0.4">
      <c r="BD1401" s="115"/>
      <c r="BE1401" s="115"/>
      <c r="BF1401" s="115"/>
      <c r="BG1401" s="115"/>
      <c r="BH1401" s="115"/>
      <c r="BI1401" s="122"/>
      <c r="BJ1401" s="122"/>
      <c r="BK1401" s="122"/>
      <c r="BL1401" s="115"/>
      <c r="BM1401" s="115"/>
      <c r="BN1401" s="115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7"/>
      <c r="CA1401" s="13"/>
      <c r="CD1401" s="114"/>
    </row>
    <row r="1402" spans="56:82" x14ac:dyDescent="0.4">
      <c r="BD1402" s="115"/>
      <c r="BE1402" s="115"/>
      <c r="BF1402" s="115"/>
      <c r="BG1402" s="115"/>
      <c r="BH1402" s="115"/>
      <c r="BI1402" s="122"/>
      <c r="BJ1402" s="122"/>
      <c r="BK1402" s="122"/>
      <c r="BL1402" s="115"/>
      <c r="BM1402" s="115"/>
      <c r="BN1402" s="115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26"/>
      <c r="CA1402" s="13"/>
      <c r="CD1402" s="114"/>
    </row>
    <row r="1403" spans="56:82" x14ac:dyDescent="0.4">
      <c r="BD1403" s="115"/>
      <c r="BE1403" s="115"/>
      <c r="BF1403" s="115"/>
      <c r="BG1403" s="115"/>
      <c r="BH1403" s="115"/>
      <c r="BI1403" s="122"/>
      <c r="BJ1403" s="122"/>
      <c r="BK1403" s="122"/>
      <c r="BL1403" s="115"/>
      <c r="BM1403" s="115"/>
      <c r="BN1403" s="115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7"/>
      <c r="CA1403" s="13"/>
      <c r="CD1403" s="114"/>
    </row>
    <row r="1404" spans="56:82" x14ac:dyDescent="0.4">
      <c r="BD1404" s="115"/>
      <c r="BE1404" s="115"/>
      <c r="BF1404" s="115"/>
      <c r="BG1404" s="115"/>
      <c r="BH1404" s="115"/>
      <c r="BI1404" s="122"/>
      <c r="BJ1404" s="122"/>
      <c r="BK1404" s="122"/>
      <c r="BL1404" s="115"/>
      <c r="BM1404" s="115"/>
      <c r="BN1404" s="115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26"/>
      <c r="CA1404" s="13"/>
      <c r="CD1404" s="114"/>
    </row>
    <row r="1405" spans="56:82" x14ac:dyDescent="0.4">
      <c r="BD1405" s="115"/>
      <c r="BE1405" s="115"/>
      <c r="BF1405" s="115"/>
      <c r="BG1405" s="115"/>
      <c r="BH1405" s="115"/>
      <c r="BI1405" s="122"/>
      <c r="BJ1405" s="122"/>
      <c r="BK1405" s="122"/>
      <c r="BL1405" s="115"/>
      <c r="BM1405" s="115"/>
      <c r="BN1405" s="115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7"/>
      <c r="CA1405" s="13"/>
      <c r="CD1405" s="114"/>
    </row>
    <row r="1406" spans="56:82" x14ac:dyDescent="0.4">
      <c r="BD1406" s="115"/>
      <c r="BE1406" s="115"/>
      <c r="BF1406" s="115"/>
      <c r="BG1406" s="115"/>
      <c r="BH1406" s="115"/>
      <c r="BI1406" s="122"/>
      <c r="BJ1406" s="122"/>
      <c r="BK1406" s="122"/>
      <c r="BL1406" s="115"/>
      <c r="BM1406" s="115"/>
      <c r="BN1406" s="115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26"/>
      <c r="CA1406" s="25"/>
      <c r="CD1406" s="114"/>
    </row>
    <row r="1407" spans="56:82" x14ac:dyDescent="0.4">
      <c r="BD1407" s="115"/>
      <c r="BE1407" s="115"/>
      <c r="BF1407" s="115"/>
      <c r="BG1407" s="115"/>
      <c r="BH1407" s="115"/>
      <c r="BI1407" s="122"/>
      <c r="BJ1407" s="122"/>
      <c r="BK1407" s="122"/>
      <c r="BL1407" s="115"/>
      <c r="BM1407" s="115"/>
      <c r="BN1407" s="115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7"/>
      <c r="CA1407" s="13"/>
      <c r="CD1407" s="114"/>
    </row>
    <row r="1408" spans="56:82" x14ac:dyDescent="0.4">
      <c r="BD1408" s="115"/>
      <c r="BE1408" s="115"/>
      <c r="BF1408" s="115"/>
      <c r="BG1408" s="115"/>
      <c r="BH1408" s="115"/>
      <c r="BI1408" s="122"/>
      <c r="BJ1408" s="122"/>
      <c r="BK1408" s="122"/>
      <c r="BL1408" s="115"/>
      <c r="BM1408" s="115"/>
      <c r="BN1408" s="115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7"/>
      <c r="CA1408" s="13"/>
      <c r="CD1408" s="114"/>
    </row>
    <row r="1409" spans="56:82" x14ac:dyDescent="0.4">
      <c r="BD1409" s="115"/>
      <c r="BE1409" s="115"/>
      <c r="BF1409" s="115"/>
      <c r="BG1409" s="115"/>
      <c r="BH1409" s="115"/>
      <c r="BI1409" s="122"/>
      <c r="BJ1409" s="122"/>
      <c r="BK1409" s="122"/>
      <c r="BL1409" s="115"/>
      <c r="BM1409" s="115"/>
      <c r="BN1409" s="115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26"/>
      <c r="CA1409" s="15"/>
      <c r="CD1409" s="114"/>
    </row>
    <row r="1410" spans="56:82" x14ac:dyDescent="0.4">
      <c r="BD1410" s="115"/>
      <c r="BE1410" s="115"/>
      <c r="BF1410" s="115"/>
      <c r="BG1410" s="115"/>
      <c r="BH1410" s="115"/>
      <c r="BI1410" s="122"/>
      <c r="BJ1410" s="122"/>
      <c r="BK1410" s="122"/>
      <c r="BL1410" s="115"/>
      <c r="BM1410" s="115"/>
      <c r="BN1410" s="115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26"/>
      <c r="CA1410" s="15"/>
      <c r="CD1410" s="114"/>
    </row>
    <row r="1411" spans="56:82" x14ac:dyDescent="0.4">
      <c r="BD1411" s="115"/>
      <c r="BE1411" s="115"/>
      <c r="BF1411" s="115"/>
      <c r="BG1411" s="115"/>
      <c r="BH1411" s="115"/>
      <c r="BI1411" s="122"/>
      <c r="BJ1411" s="122"/>
      <c r="BK1411" s="122"/>
      <c r="BL1411" s="115"/>
      <c r="BM1411" s="115"/>
      <c r="BN1411" s="115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26"/>
      <c r="CA1411" s="15"/>
      <c r="CD1411" s="114"/>
    </row>
    <row r="1412" spans="56:82" x14ac:dyDescent="0.4">
      <c r="BD1412" s="115"/>
      <c r="BE1412" s="115"/>
      <c r="BF1412" s="115"/>
      <c r="BG1412" s="115"/>
      <c r="BH1412" s="115"/>
      <c r="BI1412" s="122"/>
      <c r="BJ1412" s="122"/>
      <c r="BK1412" s="122"/>
      <c r="BL1412" s="115"/>
      <c r="BM1412" s="115"/>
      <c r="BN1412" s="115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26"/>
      <c r="CA1412" s="15"/>
      <c r="CD1412" s="114"/>
    </row>
    <row r="1413" spans="56:82" x14ac:dyDescent="0.4">
      <c r="BD1413" s="115"/>
      <c r="BE1413" s="115"/>
      <c r="BF1413" s="115"/>
      <c r="BG1413" s="115"/>
      <c r="BH1413" s="115"/>
      <c r="BI1413" s="122"/>
      <c r="BJ1413" s="122"/>
      <c r="BK1413" s="122"/>
      <c r="BL1413" s="115"/>
      <c r="BM1413" s="115"/>
      <c r="BN1413" s="115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26"/>
      <c r="CA1413" s="15"/>
      <c r="CD1413" s="114"/>
    </row>
    <row r="1414" spans="56:82" x14ac:dyDescent="0.4">
      <c r="BD1414" s="115"/>
      <c r="BE1414" s="115"/>
      <c r="BF1414" s="115"/>
      <c r="BG1414" s="115"/>
      <c r="BH1414" s="115"/>
      <c r="BI1414" s="122"/>
      <c r="BJ1414" s="122"/>
      <c r="BK1414" s="122"/>
      <c r="BL1414" s="115"/>
      <c r="BM1414" s="115"/>
      <c r="BN1414" s="115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26"/>
      <c r="CA1414" s="15"/>
      <c r="CD1414" s="114"/>
    </row>
    <row r="1415" spans="56:82" x14ac:dyDescent="0.4">
      <c r="BD1415" s="115"/>
      <c r="BE1415" s="115"/>
      <c r="BF1415" s="115"/>
      <c r="BG1415" s="115"/>
      <c r="BH1415" s="115"/>
      <c r="BI1415" s="122"/>
      <c r="BJ1415" s="122"/>
      <c r="BK1415" s="122"/>
      <c r="BL1415" s="115"/>
      <c r="BM1415" s="115"/>
      <c r="BN1415" s="115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26"/>
      <c r="CA1415" s="15"/>
      <c r="CD1415" s="114"/>
    </row>
    <row r="1416" spans="56:82" x14ac:dyDescent="0.4">
      <c r="BD1416" s="115"/>
      <c r="BE1416" s="115"/>
      <c r="BF1416" s="115"/>
      <c r="BG1416" s="115"/>
      <c r="BH1416" s="115"/>
      <c r="BI1416" s="122"/>
      <c r="BJ1416" s="122"/>
      <c r="BK1416" s="122"/>
      <c r="BL1416" s="115"/>
      <c r="BM1416" s="115"/>
      <c r="BN1416" s="115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26"/>
      <c r="CA1416" s="15"/>
      <c r="CD1416" s="114"/>
    </row>
    <row r="1417" spans="56:82" x14ac:dyDescent="0.4">
      <c r="BD1417" s="115"/>
      <c r="BE1417" s="115"/>
      <c r="BF1417" s="115"/>
      <c r="BG1417" s="115"/>
      <c r="BH1417" s="115"/>
      <c r="BI1417" s="122"/>
      <c r="BJ1417" s="122"/>
      <c r="BK1417" s="122"/>
      <c r="BL1417" s="115"/>
      <c r="BM1417" s="115"/>
      <c r="BN1417" s="115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7"/>
      <c r="CA1417" s="15"/>
      <c r="CD1417" s="114"/>
    </row>
    <row r="1418" spans="56:82" x14ac:dyDescent="0.4">
      <c r="BD1418" s="115"/>
      <c r="BE1418" s="115"/>
      <c r="BF1418" s="115"/>
      <c r="BG1418" s="115"/>
      <c r="BH1418" s="115"/>
      <c r="BI1418" s="122"/>
      <c r="BJ1418" s="122"/>
      <c r="BK1418" s="122"/>
      <c r="BL1418" s="115"/>
      <c r="BM1418" s="115"/>
      <c r="BN1418" s="115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26"/>
      <c r="CA1418" s="15"/>
      <c r="CD1418" s="114"/>
    </row>
    <row r="1419" spans="56:82" x14ac:dyDescent="0.4">
      <c r="BD1419" s="115"/>
      <c r="BE1419" s="115"/>
      <c r="BF1419" s="115"/>
      <c r="BG1419" s="115"/>
      <c r="BH1419" s="115"/>
      <c r="BI1419" s="122"/>
      <c r="BJ1419" s="122"/>
      <c r="BK1419" s="122"/>
      <c r="BL1419" s="115"/>
      <c r="BM1419" s="115"/>
      <c r="BN1419" s="115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26"/>
      <c r="CA1419" s="13"/>
      <c r="CD1419" s="114"/>
    </row>
    <row r="1420" spans="56:82" x14ac:dyDescent="0.4">
      <c r="BD1420" s="115"/>
      <c r="BE1420" s="115"/>
      <c r="BF1420" s="115"/>
      <c r="BG1420" s="115"/>
      <c r="BH1420" s="115"/>
      <c r="BI1420" s="122"/>
      <c r="BJ1420" s="122"/>
      <c r="BK1420" s="122"/>
      <c r="BL1420" s="115"/>
      <c r="BM1420" s="115"/>
      <c r="BN1420" s="115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26"/>
      <c r="CA1420" s="13"/>
      <c r="CD1420" s="114"/>
    </row>
    <row r="1421" spans="56:82" x14ac:dyDescent="0.4">
      <c r="BD1421" s="115"/>
      <c r="BE1421" s="115"/>
      <c r="BF1421" s="115"/>
      <c r="BG1421" s="115"/>
      <c r="BH1421" s="115"/>
      <c r="BI1421" s="122"/>
      <c r="BJ1421" s="122"/>
      <c r="BK1421" s="122"/>
      <c r="BL1421" s="115"/>
      <c r="BM1421" s="115"/>
      <c r="BN1421" s="115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26"/>
      <c r="CA1421" s="13"/>
      <c r="CD1421" s="114"/>
    </row>
    <row r="1422" spans="56:82" x14ac:dyDescent="0.4">
      <c r="BD1422" s="115"/>
      <c r="BE1422" s="115"/>
      <c r="BF1422" s="115"/>
      <c r="BG1422" s="115"/>
      <c r="BH1422" s="115"/>
      <c r="BI1422" s="122"/>
      <c r="BJ1422" s="122"/>
      <c r="BK1422" s="122"/>
      <c r="BL1422" s="115"/>
      <c r="BM1422" s="115"/>
      <c r="BN1422" s="115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26"/>
      <c r="CA1422" s="13"/>
      <c r="CD1422" s="114"/>
    </row>
    <row r="1423" spans="56:82" x14ac:dyDescent="0.4">
      <c r="BD1423" s="115"/>
      <c r="BE1423" s="115"/>
      <c r="BF1423" s="115"/>
      <c r="BG1423" s="115"/>
      <c r="BH1423" s="115"/>
      <c r="BI1423" s="122"/>
      <c r="BJ1423" s="122"/>
      <c r="BK1423" s="122"/>
      <c r="BL1423" s="115"/>
      <c r="BM1423" s="115"/>
      <c r="BN1423" s="115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26"/>
      <c r="CA1423" s="13"/>
      <c r="CD1423" s="114"/>
    </row>
    <row r="1424" spans="56:82" x14ac:dyDescent="0.4">
      <c r="BD1424" s="115"/>
      <c r="BE1424" s="115"/>
      <c r="BF1424" s="115"/>
      <c r="BG1424" s="115"/>
      <c r="BH1424" s="115"/>
      <c r="BI1424" s="122"/>
      <c r="BJ1424" s="122"/>
      <c r="BK1424" s="122"/>
      <c r="BL1424" s="115"/>
      <c r="BM1424" s="115"/>
      <c r="BN1424" s="115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26"/>
      <c r="CA1424" s="13"/>
      <c r="CD1424" s="114"/>
    </row>
    <row r="1425" spans="56:82" x14ac:dyDescent="0.4">
      <c r="BD1425" s="115"/>
      <c r="BE1425" s="115"/>
      <c r="BF1425" s="115"/>
      <c r="BG1425" s="115"/>
      <c r="BH1425" s="115"/>
      <c r="BI1425" s="122"/>
      <c r="BJ1425" s="122"/>
      <c r="BK1425" s="122"/>
      <c r="BL1425" s="115"/>
      <c r="BM1425" s="115"/>
      <c r="BN1425" s="115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26"/>
      <c r="CA1425" s="13"/>
      <c r="CD1425" s="114"/>
    </row>
    <row r="1426" spans="56:82" x14ac:dyDescent="0.4">
      <c r="BD1426" s="115"/>
      <c r="BE1426" s="115"/>
      <c r="BF1426" s="115"/>
      <c r="BG1426" s="115"/>
      <c r="BH1426" s="115"/>
      <c r="BI1426" s="122"/>
      <c r="BJ1426" s="122"/>
      <c r="BK1426" s="122"/>
      <c r="BL1426" s="115"/>
      <c r="BM1426" s="115"/>
      <c r="BN1426" s="115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26"/>
      <c r="CA1426" s="13"/>
      <c r="CD1426" s="114"/>
    </row>
    <row r="1427" spans="56:82" x14ac:dyDescent="0.4">
      <c r="BD1427" s="115"/>
      <c r="BE1427" s="115"/>
      <c r="BF1427" s="115"/>
      <c r="BG1427" s="115"/>
      <c r="BH1427" s="115"/>
      <c r="BI1427" s="122"/>
      <c r="BJ1427" s="122"/>
      <c r="BK1427" s="122"/>
      <c r="BL1427" s="115"/>
      <c r="BM1427" s="115"/>
      <c r="BN1427" s="115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26"/>
      <c r="CA1427" s="13"/>
      <c r="CD1427" s="114"/>
    </row>
    <row r="1428" spans="56:82" x14ac:dyDescent="0.4">
      <c r="BD1428" s="115"/>
      <c r="BE1428" s="115"/>
      <c r="BF1428" s="115"/>
      <c r="BG1428" s="115"/>
      <c r="BH1428" s="115"/>
      <c r="BI1428" s="122"/>
      <c r="BJ1428" s="122"/>
      <c r="BK1428" s="122"/>
      <c r="BL1428" s="115"/>
      <c r="BM1428" s="115"/>
      <c r="BN1428" s="115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26"/>
      <c r="CA1428" s="13"/>
      <c r="CD1428" s="114"/>
    </row>
    <row r="1429" spans="56:82" x14ac:dyDescent="0.4">
      <c r="BD1429" s="115"/>
      <c r="BE1429" s="115"/>
      <c r="BF1429" s="115"/>
      <c r="BG1429" s="115"/>
      <c r="BH1429" s="115"/>
      <c r="BI1429" s="122"/>
      <c r="BJ1429" s="122"/>
      <c r="BK1429" s="122"/>
      <c r="BL1429" s="115"/>
      <c r="BM1429" s="115"/>
      <c r="BN1429" s="115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26"/>
      <c r="CA1429" s="13"/>
      <c r="CD1429" s="114"/>
    </row>
    <row r="1430" spans="56:82" x14ac:dyDescent="0.4">
      <c r="BD1430" s="115"/>
      <c r="BE1430" s="115"/>
      <c r="BF1430" s="115"/>
      <c r="BG1430" s="115"/>
      <c r="BH1430" s="115"/>
      <c r="BI1430" s="122"/>
      <c r="BJ1430" s="122"/>
      <c r="BK1430" s="122"/>
      <c r="BL1430" s="115"/>
      <c r="BM1430" s="115"/>
      <c r="BN1430" s="115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7"/>
      <c r="CA1430" s="13"/>
      <c r="CD1430" s="114"/>
    </row>
    <row r="1431" spans="56:82" x14ac:dyDescent="0.4">
      <c r="BD1431" s="115"/>
      <c r="BE1431" s="115"/>
      <c r="BF1431" s="115"/>
      <c r="BG1431" s="115"/>
      <c r="BH1431" s="115"/>
      <c r="BI1431" s="122"/>
      <c r="BJ1431" s="122"/>
      <c r="BK1431" s="122"/>
      <c r="BL1431" s="115"/>
      <c r="BM1431" s="115"/>
      <c r="BN1431" s="115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26"/>
      <c r="CA1431" s="13"/>
      <c r="CD1431" s="114"/>
    </row>
    <row r="1432" spans="56:82" x14ac:dyDescent="0.4">
      <c r="BD1432" s="115"/>
      <c r="BE1432" s="115"/>
      <c r="BF1432" s="115"/>
      <c r="BG1432" s="115"/>
      <c r="BH1432" s="115"/>
      <c r="BI1432" s="122"/>
      <c r="BJ1432" s="122"/>
      <c r="BK1432" s="122"/>
      <c r="BL1432" s="115"/>
      <c r="BM1432" s="115"/>
      <c r="BN1432" s="115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26"/>
      <c r="CA1432" s="13"/>
      <c r="CD1432" s="114"/>
    </row>
    <row r="1433" spans="56:82" x14ac:dyDescent="0.4">
      <c r="BD1433" s="115"/>
      <c r="BE1433" s="115"/>
      <c r="BF1433" s="115"/>
      <c r="BG1433" s="115"/>
      <c r="BH1433" s="115"/>
      <c r="BI1433" s="122"/>
      <c r="BJ1433" s="122"/>
      <c r="BK1433" s="122"/>
      <c r="BL1433" s="115"/>
      <c r="BM1433" s="115"/>
      <c r="BN1433" s="115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26"/>
      <c r="CA1433" s="13"/>
      <c r="CD1433" s="114"/>
    </row>
    <row r="1434" spans="56:82" x14ac:dyDescent="0.4">
      <c r="BD1434" s="115"/>
      <c r="BE1434" s="115"/>
      <c r="BF1434" s="115"/>
      <c r="BG1434" s="115"/>
      <c r="BH1434" s="115"/>
      <c r="BI1434" s="122"/>
      <c r="BJ1434" s="122"/>
      <c r="BK1434" s="122"/>
      <c r="BL1434" s="115"/>
      <c r="BM1434" s="115"/>
      <c r="BN1434" s="115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7"/>
      <c r="CA1434" s="13"/>
      <c r="CD1434" s="114"/>
    </row>
    <row r="1435" spans="56:82" x14ac:dyDescent="0.4">
      <c r="BD1435" s="115"/>
      <c r="BE1435" s="115"/>
      <c r="BF1435" s="115"/>
      <c r="BG1435" s="115"/>
      <c r="BH1435" s="115"/>
      <c r="BI1435" s="122"/>
      <c r="BJ1435" s="122"/>
      <c r="BK1435" s="122"/>
      <c r="BL1435" s="115"/>
      <c r="BM1435" s="115"/>
      <c r="BN1435" s="115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26"/>
      <c r="CA1435" s="13"/>
      <c r="CD1435" s="114"/>
    </row>
    <row r="1436" spans="56:82" x14ac:dyDescent="0.4">
      <c r="BD1436" s="115"/>
      <c r="BE1436" s="115"/>
      <c r="BF1436" s="115"/>
      <c r="BG1436" s="115"/>
      <c r="BH1436" s="115"/>
      <c r="BI1436" s="122"/>
      <c r="BJ1436" s="122"/>
      <c r="BK1436" s="122"/>
      <c r="BL1436" s="115"/>
      <c r="BM1436" s="115"/>
      <c r="BN1436" s="115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7"/>
      <c r="CA1436" s="13"/>
      <c r="CD1436" s="114"/>
    </row>
    <row r="1437" spans="56:82" x14ac:dyDescent="0.4">
      <c r="BD1437" s="115"/>
      <c r="BE1437" s="115"/>
      <c r="BF1437" s="115"/>
      <c r="BG1437" s="115"/>
      <c r="BH1437" s="115"/>
      <c r="BI1437" s="122"/>
      <c r="BJ1437" s="122"/>
      <c r="BK1437" s="122"/>
      <c r="BL1437" s="115"/>
      <c r="BM1437" s="115"/>
      <c r="BN1437" s="115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26"/>
      <c r="CA1437" s="13"/>
      <c r="CD1437" s="114"/>
    </row>
    <row r="1438" spans="56:82" x14ac:dyDescent="0.4">
      <c r="BD1438" s="115"/>
      <c r="BE1438" s="115"/>
      <c r="BF1438" s="115"/>
      <c r="BG1438" s="115"/>
      <c r="BH1438" s="115"/>
      <c r="BI1438" s="122"/>
      <c r="BJ1438" s="122"/>
      <c r="BK1438" s="122"/>
      <c r="BL1438" s="115"/>
      <c r="BM1438" s="115"/>
      <c r="BN1438" s="115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26"/>
      <c r="CA1438" s="15"/>
      <c r="CD1438" s="114"/>
    </row>
    <row r="1439" spans="56:82" x14ac:dyDescent="0.4">
      <c r="BD1439" s="115"/>
      <c r="BE1439" s="115"/>
      <c r="BF1439" s="115"/>
      <c r="BG1439" s="115"/>
      <c r="BH1439" s="115"/>
      <c r="BI1439" s="122"/>
      <c r="BJ1439" s="122"/>
      <c r="BK1439" s="122"/>
      <c r="BL1439" s="115"/>
      <c r="BM1439" s="115"/>
      <c r="BN1439" s="115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7"/>
      <c r="CA1439" s="15"/>
      <c r="CD1439" s="114"/>
    </row>
    <row r="1440" spans="56:82" x14ac:dyDescent="0.4">
      <c r="BD1440" s="115"/>
      <c r="BE1440" s="115"/>
      <c r="BF1440" s="115"/>
      <c r="BG1440" s="115"/>
      <c r="BH1440" s="115"/>
      <c r="BI1440" s="122"/>
      <c r="BJ1440" s="122"/>
      <c r="BK1440" s="122"/>
      <c r="BL1440" s="115"/>
      <c r="BM1440" s="115"/>
      <c r="BN1440" s="115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7"/>
      <c r="CA1440" s="15"/>
      <c r="CD1440" s="114"/>
    </row>
    <row r="1441" spans="55:82" x14ac:dyDescent="0.4">
      <c r="BC1441" s="115"/>
      <c r="BD1441" s="115"/>
      <c r="BE1441" s="115"/>
      <c r="BF1441" s="115"/>
      <c r="BG1441" s="115"/>
      <c r="BH1441" s="115"/>
      <c r="BI1441" s="122"/>
      <c r="BJ1441" s="122"/>
      <c r="BK1441" s="122"/>
      <c r="BL1441" s="115"/>
      <c r="BM1441" s="115"/>
      <c r="BN1441" s="115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26"/>
      <c r="CA1441" s="15"/>
      <c r="CD1441" s="114"/>
    </row>
    <row r="1442" spans="55:82" x14ac:dyDescent="0.4">
      <c r="BC1442" s="115"/>
      <c r="BD1442" s="115"/>
      <c r="BE1442" s="115"/>
      <c r="BF1442" s="115"/>
      <c r="BG1442" s="115"/>
      <c r="BH1442" s="115"/>
      <c r="BI1442" s="122"/>
      <c r="BJ1442" s="122"/>
      <c r="BK1442" s="122"/>
      <c r="BL1442" s="115"/>
      <c r="BM1442" s="115"/>
      <c r="BN1442" s="115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7"/>
      <c r="CA1442" s="15"/>
      <c r="CD1442" s="114"/>
    </row>
    <row r="1443" spans="55:82" x14ac:dyDescent="0.4">
      <c r="BC1443" s="115"/>
      <c r="BD1443" s="115"/>
      <c r="BE1443" s="115"/>
      <c r="BF1443" s="115"/>
      <c r="BG1443" s="115"/>
      <c r="BH1443" s="115"/>
      <c r="BI1443" s="122"/>
      <c r="BJ1443" s="122"/>
      <c r="BK1443" s="122"/>
      <c r="BL1443" s="115"/>
      <c r="BM1443" s="115"/>
      <c r="BN1443" s="115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26"/>
      <c r="CA1443" s="15"/>
      <c r="CD1443" s="114"/>
    </row>
    <row r="1444" spans="55:82" x14ac:dyDescent="0.4">
      <c r="BC1444" s="115"/>
      <c r="BD1444" s="115"/>
      <c r="BE1444" s="115"/>
      <c r="BF1444" s="115"/>
      <c r="BG1444" s="115"/>
      <c r="BH1444" s="115"/>
      <c r="BI1444" s="122"/>
      <c r="BJ1444" s="122"/>
      <c r="BK1444" s="122"/>
      <c r="BL1444" s="115"/>
      <c r="BM1444" s="115"/>
      <c r="BN1444" s="115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26"/>
      <c r="CA1444" s="15"/>
      <c r="CD1444" s="114"/>
    </row>
    <row r="1445" spans="55:82" x14ac:dyDescent="0.4">
      <c r="BC1445" s="115"/>
      <c r="BD1445" s="115"/>
      <c r="BE1445" s="115"/>
      <c r="BF1445" s="115"/>
      <c r="BG1445" s="115"/>
      <c r="BH1445" s="115"/>
      <c r="BI1445" s="122"/>
      <c r="BJ1445" s="122"/>
      <c r="BK1445" s="122"/>
      <c r="BL1445" s="115"/>
      <c r="BM1445" s="115"/>
      <c r="BN1445" s="115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7"/>
      <c r="CA1445" s="15"/>
      <c r="CD1445" s="114"/>
    </row>
    <row r="1446" spans="55:82" x14ac:dyDescent="0.4">
      <c r="BC1446" s="115"/>
      <c r="BD1446" s="115"/>
      <c r="BE1446" s="115"/>
      <c r="BF1446" s="115"/>
      <c r="BG1446" s="115"/>
      <c r="BH1446" s="115"/>
      <c r="BI1446" s="122"/>
      <c r="BJ1446" s="122"/>
      <c r="BK1446" s="122"/>
      <c r="BL1446" s="115"/>
      <c r="BM1446" s="115"/>
      <c r="BN1446" s="115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26"/>
      <c r="CA1446" s="15"/>
      <c r="CD1446" s="114"/>
    </row>
    <row r="1447" spans="55:82" x14ac:dyDescent="0.4">
      <c r="BC1447" s="115"/>
      <c r="BD1447" s="115"/>
      <c r="BE1447" s="115"/>
      <c r="BF1447" s="115"/>
      <c r="BG1447" s="115"/>
      <c r="BH1447" s="115"/>
      <c r="BI1447" s="122"/>
      <c r="BJ1447" s="122"/>
      <c r="BK1447" s="122"/>
      <c r="BL1447" s="115"/>
      <c r="BM1447" s="115"/>
      <c r="BN1447" s="115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7"/>
      <c r="CA1447" s="15"/>
      <c r="CD1447" s="114"/>
    </row>
    <row r="1448" spans="55:82" x14ac:dyDescent="0.4">
      <c r="BC1448" s="115"/>
      <c r="BD1448" s="115"/>
      <c r="BE1448" s="115"/>
      <c r="BF1448" s="115"/>
      <c r="BG1448" s="115"/>
      <c r="BH1448" s="115"/>
      <c r="BI1448" s="122"/>
      <c r="BJ1448" s="122"/>
      <c r="BK1448" s="122"/>
      <c r="BL1448" s="115"/>
      <c r="BM1448" s="115"/>
      <c r="BN1448" s="115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7"/>
      <c r="CA1448" s="15"/>
      <c r="CD1448" s="114"/>
    </row>
    <row r="1449" spans="55:82" x14ac:dyDescent="0.4">
      <c r="BC1449" s="115"/>
      <c r="BD1449" s="115"/>
      <c r="BE1449" s="115"/>
      <c r="BF1449" s="115"/>
      <c r="BG1449" s="115"/>
      <c r="BH1449" s="115"/>
      <c r="BI1449" s="122"/>
      <c r="BJ1449" s="122"/>
      <c r="BK1449" s="122"/>
      <c r="BL1449" s="115"/>
      <c r="BM1449" s="115"/>
      <c r="BN1449" s="115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26"/>
      <c r="CA1449" s="15"/>
      <c r="CD1449" s="114"/>
    </row>
    <row r="1450" spans="55:82" x14ac:dyDescent="0.4">
      <c r="BC1450" s="115"/>
      <c r="BD1450" s="115"/>
      <c r="BE1450" s="115"/>
      <c r="BF1450" s="115"/>
      <c r="BG1450" s="115"/>
      <c r="BH1450" s="115"/>
      <c r="BI1450" s="122"/>
      <c r="BJ1450" s="122"/>
      <c r="BK1450" s="122"/>
      <c r="BL1450" s="115"/>
      <c r="BM1450" s="115"/>
      <c r="BN1450" s="115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26"/>
      <c r="CA1450" s="15"/>
      <c r="CD1450" s="114"/>
    </row>
    <row r="1451" spans="55:82" x14ac:dyDescent="0.4">
      <c r="BC1451" s="115"/>
      <c r="BD1451" s="115"/>
      <c r="BE1451" s="115"/>
      <c r="BF1451" s="115"/>
      <c r="BG1451" s="115"/>
      <c r="BH1451" s="115"/>
      <c r="BI1451" s="122"/>
      <c r="BJ1451" s="122"/>
      <c r="BK1451" s="122"/>
      <c r="BL1451" s="115"/>
      <c r="BM1451" s="115"/>
      <c r="BN1451" s="115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26"/>
      <c r="CA1451" s="15"/>
      <c r="CD1451" s="114"/>
    </row>
    <row r="1452" spans="55:82" x14ac:dyDescent="0.4">
      <c r="BC1452" s="115"/>
      <c r="BD1452" s="115"/>
      <c r="BE1452" s="115"/>
      <c r="BF1452" s="115"/>
      <c r="BG1452" s="115"/>
      <c r="BH1452" s="115"/>
      <c r="BI1452" s="122"/>
      <c r="BJ1452" s="122"/>
      <c r="BK1452" s="122"/>
      <c r="BL1452" s="115"/>
      <c r="BM1452" s="115"/>
      <c r="BN1452" s="115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26"/>
      <c r="CA1452" s="15"/>
      <c r="CD1452" s="114"/>
    </row>
    <row r="1453" spans="55:82" x14ac:dyDescent="0.4">
      <c r="BC1453" s="115"/>
      <c r="BD1453" s="115"/>
      <c r="BE1453" s="115"/>
      <c r="BF1453" s="115"/>
      <c r="BG1453" s="115"/>
      <c r="BH1453" s="115"/>
      <c r="BI1453" s="122"/>
      <c r="BJ1453" s="122"/>
      <c r="BK1453" s="122"/>
      <c r="BL1453" s="115"/>
      <c r="BM1453" s="115"/>
      <c r="BN1453" s="115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26"/>
      <c r="CA1453" s="15"/>
      <c r="CD1453" s="114"/>
    </row>
    <row r="1454" spans="55:82" x14ac:dyDescent="0.4">
      <c r="BC1454" s="115"/>
      <c r="BD1454" s="115"/>
      <c r="BE1454" s="115"/>
      <c r="BF1454" s="115"/>
      <c r="BG1454" s="115"/>
      <c r="BH1454" s="115"/>
      <c r="BI1454" s="122"/>
      <c r="BJ1454" s="122"/>
      <c r="BK1454" s="122"/>
      <c r="BL1454" s="115"/>
      <c r="BM1454" s="115"/>
      <c r="BN1454" s="115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26"/>
      <c r="CA1454" s="15"/>
      <c r="CD1454" s="114"/>
    </row>
    <row r="1455" spans="55:82" x14ac:dyDescent="0.4">
      <c r="BC1455" s="115"/>
      <c r="BD1455" s="115"/>
      <c r="BE1455" s="115"/>
      <c r="BF1455" s="115"/>
      <c r="BG1455" s="115"/>
      <c r="BH1455" s="115"/>
      <c r="BI1455" s="122"/>
      <c r="BJ1455" s="122"/>
      <c r="BK1455" s="122"/>
      <c r="BL1455" s="115"/>
      <c r="BM1455" s="115"/>
      <c r="BN1455" s="115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26"/>
      <c r="CA1455" s="15"/>
      <c r="CD1455" s="114"/>
    </row>
    <row r="1456" spans="55:82" x14ac:dyDescent="0.4">
      <c r="BC1456" s="115"/>
      <c r="BD1456" s="115"/>
      <c r="BE1456" s="115"/>
      <c r="BF1456" s="115"/>
      <c r="BG1456" s="115"/>
      <c r="BH1456" s="115"/>
      <c r="BI1456" s="122"/>
      <c r="BJ1456" s="122"/>
      <c r="BK1456" s="122"/>
      <c r="BL1456" s="115"/>
      <c r="BM1456" s="115"/>
      <c r="BN1456" s="115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7"/>
      <c r="CA1456" s="15"/>
      <c r="CD1456" s="114"/>
    </row>
    <row r="1457" spans="5:82" x14ac:dyDescent="0.4">
      <c r="BC1457" s="115"/>
      <c r="BD1457" s="115"/>
      <c r="BE1457" s="115"/>
      <c r="BF1457" s="115"/>
      <c r="BG1457" s="115"/>
      <c r="BH1457" s="115"/>
      <c r="BI1457" s="122"/>
      <c r="BJ1457" s="122"/>
      <c r="BK1457" s="122"/>
      <c r="BL1457" s="115"/>
      <c r="BM1457" s="115"/>
      <c r="BN1457" s="115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26"/>
      <c r="CA1457" s="15"/>
      <c r="CD1457" s="114"/>
    </row>
    <row r="1458" spans="5:82" x14ac:dyDescent="0.4">
      <c r="BC1458" s="115"/>
      <c r="BD1458" s="115"/>
      <c r="BE1458" s="115"/>
      <c r="BF1458" s="115"/>
      <c r="BG1458" s="115"/>
      <c r="BH1458" s="115"/>
      <c r="BI1458" s="122"/>
      <c r="BJ1458" s="122"/>
      <c r="BK1458" s="122"/>
      <c r="BL1458" s="115"/>
      <c r="BM1458" s="115"/>
      <c r="BN1458" s="115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26"/>
      <c r="CA1458" s="15"/>
      <c r="CD1458" s="114"/>
    </row>
    <row r="1459" spans="5:82" x14ac:dyDescent="0.4">
      <c r="BC1459" s="115"/>
      <c r="BD1459" s="115"/>
      <c r="BE1459" s="115"/>
      <c r="BF1459" s="115"/>
      <c r="BG1459" s="115"/>
      <c r="BH1459" s="115"/>
      <c r="BI1459" s="122"/>
      <c r="BJ1459" s="122"/>
      <c r="BK1459" s="122"/>
      <c r="BL1459" s="115"/>
      <c r="BM1459" s="115"/>
      <c r="BN1459" s="115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26"/>
      <c r="CA1459" s="15"/>
      <c r="CD1459" s="114"/>
    </row>
    <row r="1460" spans="5:82" x14ac:dyDescent="0.4">
      <c r="BC1460" s="115"/>
      <c r="BD1460" s="115"/>
      <c r="BE1460" s="115"/>
      <c r="BF1460" s="115"/>
      <c r="BG1460" s="115"/>
      <c r="BH1460" s="115"/>
      <c r="BI1460" s="122"/>
      <c r="BJ1460" s="122"/>
      <c r="BK1460" s="122"/>
      <c r="BL1460" s="115"/>
      <c r="BM1460" s="115"/>
      <c r="BN1460" s="115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26"/>
      <c r="CA1460" s="13"/>
      <c r="CD1460" s="114"/>
    </row>
    <row r="1461" spans="5:82" x14ac:dyDescent="0.4">
      <c r="BC1461" s="115"/>
      <c r="BD1461" s="115"/>
      <c r="BE1461" s="115"/>
      <c r="BF1461" s="115"/>
      <c r="BG1461" s="115"/>
      <c r="BH1461" s="115"/>
      <c r="BI1461" s="122"/>
      <c r="BJ1461" s="122"/>
      <c r="BK1461" s="122"/>
      <c r="BL1461" s="115"/>
      <c r="BM1461" s="115"/>
      <c r="BN1461" s="115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7"/>
      <c r="CA1461" s="13"/>
      <c r="CD1461" s="114"/>
    </row>
    <row r="1462" spans="5:82" x14ac:dyDescent="0.4">
      <c r="BC1462" s="115"/>
      <c r="BD1462" s="115"/>
      <c r="BE1462" s="115"/>
      <c r="BF1462" s="115"/>
      <c r="BG1462" s="115"/>
      <c r="BH1462" s="115"/>
      <c r="BI1462" s="122"/>
      <c r="BJ1462" s="122"/>
      <c r="BK1462" s="122"/>
      <c r="BL1462" s="115"/>
      <c r="BM1462" s="115"/>
      <c r="BN1462" s="115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26"/>
      <c r="CA1462" s="13"/>
      <c r="CD1462" s="114"/>
    </row>
    <row r="1463" spans="5:82" x14ac:dyDescent="0.4">
      <c r="BC1463" s="115"/>
      <c r="BD1463" s="115"/>
      <c r="BE1463" s="115"/>
      <c r="BF1463" s="115"/>
      <c r="BG1463" s="115"/>
      <c r="BH1463" s="115"/>
      <c r="BI1463" s="122"/>
      <c r="BJ1463" s="122"/>
      <c r="BK1463" s="122"/>
      <c r="BL1463" s="115"/>
      <c r="BM1463" s="115"/>
      <c r="BN1463" s="115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26"/>
      <c r="CA1463" s="13"/>
      <c r="CD1463" s="114"/>
    </row>
    <row r="1464" spans="5:82" x14ac:dyDescent="0.4">
      <c r="BC1464" s="115"/>
      <c r="BD1464" s="115"/>
      <c r="BE1464" s="115"/>
      <c r="BF1464" s="115"/>
      <c r="BG1464" s="115"/>
      <c r="BH1464" s="115"/>
      <c r="BI1464" s="122"/>
      <c r="BJ1464" s="122"/>
      <c r="BK1464" s="122"/>
      <c r="BL1464" s="115"/>
      <c r="BM1464" s="115"/>
      <c r="BN1464" s="115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26"/>
      <c r="CA1464" s="13"/>
      <c r="CD1464" s="114"/>
    </row>
    <row r="1465" spans="5:82" x14ac:dyDescent="0.4">
      <c r="BC1465" s="115"/>
      <c r="BD1465" s="115"/>
      <c r="BE1465" s="115"/>
      <c r="BF1465" s="115"/>
      <c r="BG1465" s="115"/>
      <c r="BH1465" s="115"/>
      <c r="BI1465" s="122"/>
      <c r="BJ1465" s="122"/>
      <c r="BK1465" s="122"/>
      <c r="BL1465" s="115"/>
      <c r="BM1465" s="115"/>
      <c r="BN1465" s="115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26"/>
      <c r="CA1465" s="13"/>
      <c r="CD1465" s="114"/>
    </row>
    <row r="1466" spans="5:82" x14ac:dyDescent="0.4">
      <c r="BC1466" s="115"/>
      <c r="BD1466" s="115"/>
      <c r="BE1466" s="115"/>
      <c r="BF1466" s="115"/>
      <c r="BG1466" s="115"/>
      <c r="BH1466" s="115"/>
      <c r="BI1466" s="122"/>
      <c r="BJ1466" s="122"/>
      <c r="BK1466" s="122"/>
      <c r="BL1466" s="115"/>
      <c r="BM1466" s="115"/>
      <c r="BN1466" s="115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26"/>
      <c r="CA1466" s="13"/>
      <c r="CD1466" s="114"/>
    </row>
    <row r="1467" spans="5:82" x14ac:dyDescent="0.4">
      <c r="BC1467" s="115"/>
      <c r="BD1467" s="115"/>
      <c r="BE1467" s="115"/>
      <c r="BF1467" s="115"/>
      <c r="BG1467" s="115"/>
      <c r="BH1467" s="115"/>
      <c r="BI1467" s="122"/>
      <c r="BJ1467" s="122"/>
      <c r="BK1467" s="122"/>
      <c r="BL1467" s="115"/>
      <c r="BM1467" s="115"/>
      <c r="BN1467" s="115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26"/>
      <c r="CA1467" s="13"/>
      <c r="CD1467" s="114"/>
    </row>
    <row r="1468" spans="5:82" x14ac:dyDescent="0.4">
      <c r="BC1468" s="115"/>
      <c r="BD1468" s="115"/>
      <c r="BE1468" s="115"/>
      <c r="BF1468" s="115"/>
      <c r="BG1468" s="115"/>
      <c r="BH1468" s="115"/>
      <c r="BI1468" s="122"/>
      <c r="BJ1468" s="122"/>
      <c r="BK1468" s="122"/>
      <c r="BL1468" s="115"/>
      <c r="BM1468" s="115"/>
      <c r="BN1468" s="115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7"/>
      <c r="CA1468" s="13"/>
      <c r="CD1468" s="114"/>
    </row>
    <row r="1469" spans="5:82" x14ac:dyDescent="0.4">
      <c r="BC1469" s="115"/>
      <c r="BD1469" s="115"/>
      <c r="BE1469" s="115"/>
      <c r="BF1469" s="115"/>
      <c r="BG1469" s="115"/>
      <c r="BH1469" s="115"/>
      <c r="BI1469" s="122"/>
      <c r="BJ1469" s="122"/>
      <c r="BK1469" s="122"/>
      <c r="BL1469" s="115"/>
      <c r="BM1469" s="115"/>
      <c r="BN1469" s="115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26"/>
      <c r="CA1469" s="13"/>
      <c r="CD1469" s="114"/>
    </row>
    <row r="1470" spans="5:82" x14ac:dyDescent="0.4">
      <c r="BC1470" s="115"/>
      <c r="BD1470" s="115"/>
      <c r="BE1470" s="115"/>
      <c r="BF1470" s="115"/>
      <c r="BG1470" s="115"/>
      <c r="BH1470" s="115"/>
      <c r="BI1470" s="122"/>
      <c r="BJ1470" s="122"/>
      <c r="BK1470" s="122"/>
      <c r="BL1470" s="115"/>
      <c r="BM1470" s="115"/>
      <c r="BN1470" s="115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26"/>
      <c r="CA1470" s="13"/>
      <c r="CD1470" s="114"/>
    </row>
    <row r="1471" spans="5:82" x14ac:dyDescent="0.4"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115"/>
      <c r="BD1471" s="115"/>
      <c r="BE1471" s="115"/>
      <c r="BF1471" s="115"/>
      <c r="BG1471" s="115"/>
      <c r="BH1471" s="115"/>
      <c r="BI1471" s="122"/>
      <c r="BJ1471" s="122"/>
      <c r="BK1471" s="122"/>
      <c r="BL1471" s="115"/>
      <c r="BM1471" s="115"/>
      <c r="BN1471" s="115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26"/>
      <c r="CA1471" s="13"/>
      <c r="CD1471" s="114"/>
    </row>
    <row r="1472" spans="5:82" x14ac:dyDescent="0.4"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15"/>
      <c r="BF1472" s="115"/>
      <c r="BG1472" s="115"/>
      <c r="BH1472" s="115"/>
      <c r="BI1472" s="122"/>
      <c r="BJ1472" s="122"/>
      <c r="BK1472" s="122"/>
      <c r="BL1472" s="115"/>
      <c r="BM1472" s="115"/>
      <c r="BN1472" s="115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26"/>
      <c r="CA1472" s="13"/>
      <c r="CD1472" s="114"/>
    </row>
    <row r="1473" spans="5:82" x14ac:dyDescent="0.4"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115"/>
      <c r="BD1473" s="115"/>
      <c r="BE1473" s="115"/>
      <c r="BF1473" s="115"/>
      <c r="BG1473" s="115"/>
      <c r="BH1473" s="115"/>
      <c r="BI1473" s="122"/>
      <c r="BJ1473" s="122"/>
      <c r="BK1473" s="122"/>
      <c r="BL1473" s="115"/>
      <c r="BM1473" s="115"/>
      <c r="BN1473" s="115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26"/>
      <c r="CA1473" s="13"/>
      <c r="CD1473" s="114"/>
    </row>
    <row r="1474" spans="5:82" x14ac:dyDescent="0.4"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15"/>
      <c r="BF1474" s="115"/>
      <c r="BG1474" s="115"/>
      <c r="BH1474" s="115"/>
      <c r="BI1474" s="122"/>
      <c r="BJ1474" s="122"/>
      <c r="BK1474" s="122"/>
      <c r="BL1474" s="115"/>
      <c r="BM1474" s="115"/>
      <c r="BN1474" s="115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26"/>
      <c r="CA1474" s="13"/>
      <c r="CD1474" s="114"/>
    </row>
    <row r="1475" spans="5:82" x14ac:dyDescent="0.4"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15"/>
      <c r="BE1475" s="115"/>
      <c r="BF1475" s="115"/>
      <c r="BG1475" s="115"/>
      <c r="BH1475" s="115"/>
      <c r="BI1475" s="122"/>
      <c r="BJ1475" s="122"/>
      <c r="BK1475" s="122"/>
      <c r="BL1475" s="115"/>
      <c r="BM1475" s="115"/>
      <c r="BN1475" s="115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26"/>
      <c r="CA1475" s="13"/>
      <c r="CD1475" s="114"/>
    </row>
    <row r="1476" spans="5:82" x14ac:dyDescent="0.4"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115"/>
      <c r="BE1476" s="115"/>
      <c r="BF1476" s="115"/>
      <c r="BG1476" s="115"/>
      <c r="BH1476" s="115"/>
      <c r="BI1476" s="122"/>
      <c r="BJ1476" s="122"/>
      <c r="BK1476" s="122"/>
      <c r="BL1476" s="115"/>
      <c r="BM1476" s="115"/>
      <c r="BN1476" s="115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26"/>
      <c r="CA1476" s="13"/>
      <c r="CD1476" s="114"/>
    </row>
    <row r="1477" spans="5:82" x14ac:dyDescent="0.4"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115"/>
      <c r="BF1477" s="115"/>
      <c r="BG1477" s="115"/>
      <c r="BH1477" s="115"/>
      <c r="BI1477" s="122"/>
      <c r="BJ1477" s="122"/>
      <c r="BK1477" s="122"/>
      <c r="BL1477" s="115"/>
      <c r="BM1477" s="115"/>
      <c r="BN1477" s="115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26"/>
      <c r="CA1477" s="13"/>
      <c r="CD1477" s="114"/>
    </row>
    <row r="1478" spans="5:82" x14ac:dyDescent="0.4"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15"/>
      <c r="BF1478" s="115"/>
      <c r="BG1478" s="115"/>
      <c r="BH1478" s="115"/>
      <c r="BI1478" s="122"/>
      <c r="BJ1478" s="122"/>
      <c r="BK1478" s="122"/>
      <c r="BL1478" s="115"/>
      <c r="BM1478" s="115"/>
      <c r="BN1478" s="115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26"/>
      <c r="CA1478" s="13"/>
      <c r="CD1478" s="114"/>
    </row>
    <row r="1479" spans="5:82" x14ac:dyDescent="0.4"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15"/>
      <c r="BF1479" s="115"/>
      <c r="BG1479" s="115"/>
      <c r="BH1479" s="115"/>
      <c r="BI1479" s="122"/>
      <c r="BJ1479" s="122"/>
      <c r="BK1479" s="122"/>
      <c r="BL1479" s="115"/>
      <c r="BM1479" s="115"/>
      <c r="BN1479" s="115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26"/>
      <c r="CA1479" s="13"/>
      <c r="CD1479" s="114"/>
    </row>
    <row r="1480" spans="5:82" x14ac:dyDescent="0.4"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15"/>
      <c r="BA1480" s="115"/>
      <c r="BB1480" s="115"/>
      <c r="BC1480" s="115"/>
      <c r="BD1480" s="115"/>
      <c r="BE1480" s="115"/>
      <c r="BF1480" s="115"/>
      <c r="BG1480" s="115"/>
      <c r="BH1480" s="115"/>
      <c r="BI1480" s="122"/>
      <c r="BJ1480" s="122"/>
      <c r="BK1480" s="122"/>
      <c r="BL1480" s="115"/>
      <c r="BM1480" s="115"/>
      <c r="BN1480" s="115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26"/>
      <c r="CA1480" s="13"/>
      <c r="CD1480" s="114"/>
    </row>
    <row r="1481" spans="5:82" x14ac:dyDescent="0.4"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115"/>
      <c r="BG1481" s="115"/>
      <c r="BH1481" s="115"/>
      <c r="BI1481" s="122"/>
      <c r="BJ1481" s="122"/>
      <c r="BK1481" s="122"/>
      <c r="BL1481" s="115"/>
      <c r="BM1481" s="115"/>
      <c r="BN1481" s="115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26"/>
      <c r="CA1481" s="13"/>
      <c r="CD1481" s="114"/>
    </row>
    <row r="1482" spans="5:82" x14ac:dyDescent="0.4"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115"/>
      <c r="BG1482" s="115"/>
      <c r="BH1482" s="115"/>
      <c r="BI1482" s="122"/>
      <c r="BJ1482" s="122"/>
      <c r="BK1482" s="122"/>
      <c r="BL1482" s="115"/>
      <c r="BM1482" s="115"/>
      <c r="BN1482" s="115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26"/>
      <c r="CA1482" s="13"/>
      <c r="CD1482" s="114"/>
    </row>
    <row r="1483" spans="5:82" x14ac:dyDescent="0.4"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15"/>
      <c r="BE1483" s="115"/>
      <c r="BF1483" s="115"/>
      <c r="BG1483" s="115"/>
      <c r="BH1483" s="115"/>
      <c r="BI1483" s="122"/>
      <c r="BJ1483" s="122"/>
      <c r="BK1483" s="122"/>
      <c r="BL1483" s="115"/>
      <c r="BM1483" s="115"/>
      <c r="BN1483" s="115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26"/>
      <c r="CA1483" s="13"/>
      <c r="CD1483" s="114"/>
    </row>
    <row r="1484" spans="5:82" x14ac:dyDescent="0.4"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115"/>
      <c r="BF1484" s="115"/>
      <c r="BG1484" s="115"/>
      <c r="BH1484" s="115"/>
      <c r="BI1484" s="122"/>
      <c r="BJ1484" s="122"/>
      <c r="BK1484" s="122"/>
      <c r="BL1484" s="115"/>
      <c r="BM1484" s="115"/>
      <c r="BN1484" s="115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26"/>
      <c r="CA1484" s="13"/>
      <c r="CD1484" s="114"/>
    </row>
    <row r="1485" spans="5:82" x14ac:dyDescent="0.4"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115"/>
      <c r="BE1485" s="115"/>
      <c r="BF1485" s="115"/>
      <c r="BG1485" s="115"/>
      <c r="BH1485" s="115"/>
      <c r="BI1485" s="122"/>
      <c r="BJ1485" s="122"/>
      <c r="BK1485" s="122"/>
      <c r="BL1485" s="115"/>
      <c r="BM1485" s="115"/>
      <c r="BN1485" s="115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26"/>
      <c r="CA1485" s="13"/>
      <c r="CD1485" s="114"/>
    </row>
    <row r="1486" spans="5:82" x14ac:dyDescent="0.4"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15"/>
      <c r="AP1486" s="115"/>
      <c r="AQ1486" s="115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15"/>
      <c r="BD1486" s="115"/>
      <c r="BE1486" s="115"/>
      <c r="BF1486" s="115"/>
      <c r="BG1486" s="115"/>
      <c r="BH1486" s="115"/>
      <c r="BI1486" s="122"/>
      <c r="BJ1486" s="122"/>
      <c r="BK1486" s="122"/>
      <c r="BL1486" s="115"/>
      <c r="BM1486" s="115"/>
      <c r="BN1486" s="115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26"/>
      <c r="CA1486" s="13"/>
      <c r="CD1486" s="114"/>
    </row>
    <row r="1487" spans="5:82" x14ac:dyDescent="0.4"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15"/>
      <c r="AP1487" s="115"/>
      <c r="AQ1487" s="115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115"/>
      <c r="BF1487" s="115"/>
      <c r="BG1487" s="115"/>
      <c r="BH1487" s="115"/>
      <c r="BI1487" s="122"/>
      <c r="BJ1487" s="122"/>
      <c r="BK1487" s="122"/>
      <c r="BL1487" s="115"/>
      <c r="BM1487" s="115"/>
      <c r="BN1487" s="115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7"/>
      <c r="CA1487" s="13"/>
      <c r="CD1487" s="114"/>
    </row>
    <row r="1488" spans="5:82" x14ac:dyDescent="0.4"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15"/>
      <c r="BF1488" s="115"/>
      <c r="BG1488" s="115"/>
      <c r="BH1488" s="115"/>
      <c r="BI1488" s="122"/>
      <c r="BJ1488" s="122"/>
      <c r="BK1488" s="122"/>
      <c r="BL1488" s="115"/>
      <c r="BM1488" s="115"/>
      <c r="BN1488" s="115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26"/>
      <c r="CA1488" s="13"/>
      <c r="CD1488" s="114"/>
    </row>
    <row r="1489" spans="3:82" x14ac:dyDescent="0.4"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15"/>
      <c r="AX1489" s="115"/>
      <c r="AY1489" s="115"/>
      <c r="AZ1489" s="115"/>
      <c r="BA1489" s="115"/>
      <c r="BB1489" s="115"/>
      <c r="BC1489" s="115"/>
      <c r="BD1489" s="115"/>
      <c r="BE1489" s="115"/>
      <c r="BF1489" s="115"/>
      <c r="BG1489" s="115"/>
      <c r="BH1489" s="115"/>
      <c r="BI1489" s="122"/>
      <c r="BJ1489" s="122"/>
      <c r="BK1489" s="122"/>
      <c r="BL1489" s="115"/>
      <c r="BM1489" s="115"/>
      <c r="BN1489" s="115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26"/>
      <c r="CA1489" s="13"/>
      <c r="CD1489" s="114"/>
    </row>
    <row r="1490" spans="3:82" x14ac:dyDescent="0.4"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15"/>
      <c r="BE1490" s="115"/>
      <c r="BF1490" s="115"/>
      <c r="BG1490" s="115"/>
      <c r="BH1490" s="115"/>
      <c r="BI1490" s="122"/>
      <c r="BJ1490" s="122"/>
      <c r="BK1490" s="122"/>
      <c r="BL1490" s="115"/>
      <c r="BM1490" s="115"/>
      <c r="BN1490" s="115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26"/>
      <c r="CA1490" s="13"/>
      <c r="CD1490" s="114"/>
    </row>
    <row r="1491" spans="3:82" x14ac:dyDescent="0.4"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15"/>
      <c r="BD1491" s="115"/>
      <c r="BE1491" s="115"/>
      <c r="BF1491" s="115"/>
      <c r="BG1491" s="115"/>
      <c r="BH1491" s="115"/>
      <c r="BI1491" s="122"/>
      <c r="BJ1491" s="122"/>
      <c r="BK1491" s="122"/>
      <c r="BL1491" s="115"/>
      <c r="BM1491" s="115"/>
      <c r="BN1491" s="115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26"/>
      <c r="CA1491" s="15"/>
      <c r="CD1491" s="114"/>
    </row>
    <row r="1492" spans="3:82" x14ac:dyDescent="0.4"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15"/>
      <c r="BG1492" s="115"/>
      <c r="BH1492" s="115"/>
      <c r="BI1492" s="122"/>
      <c r="BJ1492" s="122"/>
      <c r="BK1492" s="122"/>
      <c r="BL1492" s="115"/>
      <c r="BM1492" s="115"/>
      <c r="BN1492" s="115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26"/>
      <c r="CA1492" s="15"/>
      <c r="CD1492" s="114"/>
    </row>
    <row r="1493" spans="3:82" x14ac:dyDescent="0.4"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15"/>
      <c r="BA1493" s="115"/>
      <c r="BB1493" s="115"/>
      <c r="BC1493" s="115"/>
      <c r="BD1493" s="115"/>
      <c r="BE1493" s="115"/>
      <c r="BF1493" s="115"/>
      <c r="BG1493" s="115"/>
      <c r="BH1493" s="115"/>
      <c r="BI1493" s="122"/>
      <c r="BJ1493" s="122"/>
      <c r="BK1493" s="122"/>
      <c r="BL1493" s="115"/>
      <c r="BM1493" s="115"/>
      <c r="BN1493" s="115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26"/>
      <c r="CA1493" s="15"/>
      <c r="CD1493" s="114"/>
    </row>
    <row r="1494" spans="3:82" x14ac:dyDescent="0.4"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115"/>
      <c r="BF1494" s="115"/>
      <c r="BG1494" s="115"/>
      <c r="BH1494" s="115"/>
      <c r="BI1494" s="122"/>
      <c r="BJ1494" s="122"/>
      <c r="BK1494" s="122"/>
      <c r="BL1494" s="115"/>
      <c r="BM1494" s="115"/>
      <c r="BN1494" s="115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26"/>
      <c r="CA1494" s="13"/>
      <c r="CD1494" s="114"/>
    </row>
    <row r="1495" spans="3:82" x14ac:dyDescent="0.4"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115"/>
      <c r="BG1495" s="115"/>
      <c r="BH1495" s="115"/>
      <c r="BI1495" s="122"/>
      <c r="BJ1495" s="122"/>
      <c r="BK1495" s="122"/>
      <c r="BL1495" s="115"/>
      <c r="BM1495" s="115"/>
      <c r="BN1495" s="115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26"/>
      <c r="CA1495" s="13"/>
      <c r="CD1495" s="114"/>
    </row>
    <row r="1496" spans="3:82" x14ac:dyDescent="0.4"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115"/>
      <c r="BE1496" s="115"/>
      <c r="BF1496" s="115"/>
      <c r="BG1496" s="115"/>
      <c r="BH1496" s="115"/>
      <c r="BI1496" s="122"/>
      <c r="BJ1496" s="122"/>
      <c r="BK1496" s="122"/>
      <c r="BL1496" s="115"/>
      <c r="BM1496" s="115"/>
      <c r="BN1496" s="115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26"/>
      <c r="CA1496" s="13"/>
      <c r="CD1496" s="114"/>
    </row>
    <row r="1497" spans="3:82" x14ac:dyDescent="0.4"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115"/>
      <c r="BD1497" s="115"/>
      <c r="BE1497" s="115"/>
      <c r="BF1497" s="115"/>
      <c r="BG1497" s="115"/>
      <c r="BH1497" s="115"/>
      <c r="BI1497" s="122"/>
      <c r="BJ1497" s="122"/>
      <c r="BK1497" s="122"/>
      <c r="BL1497" s="115"/>
      <c r="BM1497" s="115"/>
      <c r="BN1497" s="115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7"/>
      <c r="CA1497" s="13"/>
      <c r="CD1497" s="114"/>
    </row>
    <row r="1498" spans="3:82" x14ac:dyDescent="0.4"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115"/>
      <c r="BE1498" s="115"/>
      <c r="BF1498" s="115"/>
      <c r="BG1498" s="115"/>
      <c r="BH1498" s="115"/>
      <c r="BI1498" s="122"/>
      <c r="BJ1498" s="122"/>
      <c r="BK1498" s="122"/>
      <c r="BL1498" s="115"/>
      <c r="BM1498" s="115"/>
      <c r="BN1498" s="115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26"/>
      <c r="CA1498" s="13"/>
      <c r="CD1498" s="114"/>
    </row>
    <row r="1499" spans="3:82" x14ac:dyDescent="0.4"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15"/>
      <c r="AY1499" s="115"/>
      <c r="AZ1499" s="115"/>
      <c r="BA1499" s="115"/>
      <c r="BB1499" s="115"/>
      <c r="BC1499" s="115"/>
      <c r="BD1499" s="115"/>
      <c r="BE1499" s="115"/>
      <c r="BF1499" s="115"/>
      <c r="BG1499" s="115"/>
      <c r="BH1499" s="115"/>
      <c r="BI1499" s="122"/>
      <c r="BJ1499" s="122"/>
      <c r="BK1499" s="122"/>
      <c r="BL1499" s="115"/>
      <c r="BM1499" s="115"/>
      <c r="BN1499" s="115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26"/>
      <c r="CA1499" s="25"/>
      <c r="CD1499" s="114"/>
    </row>
    <row r="1500" spans="3:82" x14ac:dyDescent="0.4"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15"/>
      <c r="BC1500" s="115"/>
      <c r="BD1500" s="115"/>
      <c r="BE1500" s="115"/>
      <c r="BF1500" s="115"/>
      <c r="BG1500" s="115"/>
      <c r="BH1500" s="115"/>
      <c r="BI1500" s="122"/>
      <c r="BJ1500" s="122"/>
      <c r="BK1500" s="122"/>
      <c r="BL1500" s="115"/>
      <c r="BM1500" s="115"/>
      <c r="BN1500" s="115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26"/>
      <c r="CA1500" s="13"/>
      <c r="CD1500" s="114"/>
    </row>
    <row r="1501" spans="3:82" x14ac:dyDescent="0.4"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15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15"/>
      <c r="BF1501" s="115"/>
      <c r="BG1501" s="115"/>
      <c r="BH1501" s="115"/>
      <c r="BI1501" s="122"/>
      <c r="BJ1501" s="122"/>
      <c r="BK1501" s="122"/>
      <c r="BL1501" s="115"/>
      <c r="BM1501" s="115"/>
      <c r="BN1501" s="115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26"/>
      <c r="CA1501" s="13"/>
      <c r="CD1501" s="114"/>
    </row>
    <row r="1502" spans="3:82" x14ac:dyDescent="0.4"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15"/>
      <c r="AQ1502" s="115"/>
      <c r="AR1502" s="115"/>
      <c r="AS1502" s="115"/>
      <c r="AT1502" s="115"/>
      <c r="AU1502" s="115"/>
      <c r="AV1502" s="115"/>
      <c r="AW1502" s="115"/>
      <c r="AX1502" s="115"/>
      <c r="AY1502" s="115"/>
      <c r="AZ1502" s="115"/>
      <c r="BA1502" s="115"/>
      <c r="BB1502" s="115"/>
      <c r="BC1502" s="115"/>
      <c r="BD1502" s="115"/>
      <c r="BE1502" s="115"/>
      <c r="BF1502" s="115"/>
      <c r="BG1502" s="115"/>
      <c r="BH1502" s="115"/>
      <c r="BI1502" s="122"/>
      <c r="BJ1502" s="122"/>
      <c r="BK1502" s="122"/>
      <c r="BL1502" s="115"/>
      <c r="BM1502" s="115"/>
      <c r="BN1502" s="115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26"/>
      <c r="CA1502" s="13"/>
      <c r="CD1502" s="114"/>
    </row>
    <row r="1503" spans="3:82" x14ac:dyDescent="0.4"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15"/>
      <c r="BE1503" s="115"/>
      <c r="BF1503" s="115"/>
      <c r="BG1503" s="115"/>
      <c r="BH1503" s="115"/>
      <c r="BI1503" s="122"/>
      <c r="BJ1503" s="122"/>
      <c r="BK1503" s="122"/>
      <c r="BL1503" s="115"/>
      <c r="BM1503" s="115"/>
      <c r="BN1503" s="115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26"/>
      <c r="CA1503" s="13"/>
      <c r="CD1503" s="114"/>
    </row>
    <row r="1504" spans="3:82" x14ac:dyDescent="0.4"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15"/>
      <c r="AV1504" s="115"/>
      <c r="AW1504" s="115"/>
      <c r="AX1504" s="115"/>
      <c r="AY1504" s="115"/>
      <c r="AZ1504" s="115"/>
      <c r="BA1504" s="115"/>
      <c r="BB1504" s="115"/>
      <c r="BC1504" s="115"/>
      <c r="BD1504" s="115"/>
      <c r="BE1504" s="115"/>
      <c r="BF1504" s="115"/>
      <c r="BG1504" s="115"/>
      <c r="BH1504" s="115"/>
      <c r="BI1504" s="122"/>
      <c r="BJ1504" s="122"/>
      <c r="BK1504" s="122"/>
      <c r="BL1504" s="115"/>
      <c r="BM1504" s="115"/>
      <c r="BN1504" s="115"/>
      <c r="BO1504" s="115"/>
      <c r="BZ1504" s="26"/>
      <c r="CA1504" s="13"/>
      <c r="CD1504" s="114"/>
    </row>
    <row r="1505" spans="1:82" x14ac:dyDescent="0.4"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15"/>
      <c r="BF1505" s="115"/>
      <c r="BG1505" s="115"/>
      <c r="BH1505" s="115"/>
      <c r="BI1505" s="122"/>
      <c r="BJ1505" s="122"/>
      <c r="BK1505" s="122"/>
      <c r="BL1505" s="115"/>
      <c r="BM1505" s="115"/>
      <c r="BN1505" s="115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26"/>
      <c r="CA1505" s="13"/>
      <c r="CD1505" s="114"/>
    </row>
    <row r="1506" spans="1:82" x14ac:dyDescent="0.4"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115"/>
      <c r="BG1506" s="115"/>
      <c r="BH1506" s="115"/>
      <c r="BI1506" s="122"/>
      <c r="BJ1506" s="122"/>
      <c r="BK1506" s="122"/>
      <c r="BL1506" s="115"/>
      <c r="BM1506" s="115"/>
      <c r="BN1506" s="115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7"/>
      <c r="CA1506" s="13"/>
      <c r="CD1506" s="114"/>
    </row>
    <row r="1507" spans="1:82" x14ac:dyDescent="0.4"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15"/>
      <c r="AX1507" s="115"/>
      <c r="AY1507" s="115"/>
      <c r="AZ1507" s="115"/>
      <c r="BA1507" s="115"/>
      <c r="BB1507" s="115"/>
      <c r="BC1507" s="115"/>
      <c r="BD1507" s="115"/>
      <c r="BE1507" s="115"/>
      <c r="BF1507" s="115"/>
      <c r="BG1507" s="115"/>
      <c r="BH1507" s="115"/>
      <c r="BI1507" s="122"/>
      <c r="BJ1507" s="122"/>
      <c r="BK1507" s="122"/>
      <c r="BL1507" s="115"/>
      <c r="BM1507" s="115"/>
      <c r="BN1507" s="115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26"/>
      <c r="CA1507" s="13"/>
      <c r="CD1507" s="114"/>
    </row>
    <row r="1508" spans="1:82" x14ac:dyDescent="0.4"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15"/>
      <c r="BF1508" s="115"/>
      <c r="BG1508" s="115"/>
      <c r="BH1508" s="115"/>
      <c r="BI1508" s="122"/>
      <c r="BJ1508" s="122"/>
      <c r="BK1508" s="122"/>
      <c r="BL1508" s="115"/>
      <c r="BM1508" s="115"/>
      <c r="BN1508" s="115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26"/>
      <c r="CA1508" s="15"/>
      <c r="CD1508" s="114"/>
    </row>
    <row r="1509" spans="1:82" x14ac:dyDescent="0.4"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115"/>
      <c r="BD1509" s="115"/>
      <c r="BE1509" s="115"/>
      <c r="BF1509" s="115"/>
      <c r="BG1509" s="115"/>
      <c r="BH1509" s="115"/>
      <c r="BI1509" s="122"/>
      <c r="BJ1509" s="122"/>
      <c r="BK1509" s="122"/>
      <c r="BL1509" s="115"/>
      <c r="BM1509" s="115"/>
      <c r="BN1509" s="115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7"/>
      <c r="CA1509" s="15"/>
      <c r="CD1509" s="114"/>
    </row>
    <row r="1510" spans="1:82" x14ac:dyDescent="0.4"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15"/>
      <c r="BF1510" s="115"/>
      <c r="BG1510" s="115"/>
      <c r="BH1510" s="115"/>
      <c r="BI1510" s="122"/>
      <c r="BJ1510" s="122"/>
      <c r="BK1510" s="122"/>
      <c r="BL1510" s="115"/>
      <c r="BM1510" s="115"/>
      <c r="BN1510" s="115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26"/>
      <c r="CA1510" s="15"/>
      <c r="CD1510" s="114"/>
    </row>
    <row r="1511" spans="1:82" x14ac:dyDescent="0.4">
      <c r="A1511" s="115"/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15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115"/>
      <c r="BG1511" s="115"/>
      <c r="BH1511" s="115"/>
      <c r="BI1511" s="122"/>
      <c r="BJ1511" s="122"/>
      <c r="BK1511" s="122"/>
      <c r="BL1511" s="115"/>
      <c r="BM1511" s="115"/>
      <c r="BN1511" s="115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26"/>
      <c r="CA1511" s="15"/>
      <c r="CD1511" s="114"/>
    </row>
    <row r="1512" spans="1:82" x14ac:dyDescent="0.4">
      <c r="A1512" s="115"/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15"/>
      <c r="BE1512" s="115"/>
      <c r="BF1512" s="115"/>
      <c r="BG1512" s="115"/>
      <c r="BH1512" s="115"/>
      <c r="BI1512" s="122"/>
      <c r="BJ1512" s="122"/>
      <c r="BK1512" s="122"/>
      <c r="BL1512" s="115"/>
      <c r="BM1512" s="115"/>
      <c r="BN1512" s="115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7"/>
      <c r="CA1512" s="13"/>
      <c r="CD1512" s="114"/>
    </row>
    <row r="1513" spans="1:82" x14ac:dyDescent="0.4">
      <c r="A1513" s="115"/>
      <c r="B1513" s="115"/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15"/>
      <c r="BF1513" s="115"/>
      <c r="BG1513" s="115"/>
      <c r="BH1513" s="115"/>
      <c r="BI1513" s="122"/>
      <c r="BJ1513" s="122"/>
      <c r="BK1513" s="122"/>
      <c r="BL1513" s="115"/>
      <c r="BM1513" s="115"/>
      <c r="BN1513" s="115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7"/>
      <c r="CA1513" s="13"/>
      <c r="CD1513" s="114"/>
    </row>
    <row r="1514" spans="1:82" x14ac:dyDescent="0.4">
      <c r="A1514" s="115"/>
      <c r="B1514" s="115"/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15"/>
      <c r="AV1514" s="115"/>
      <c r="AW1514" s="115"/>
      <c r="AX1514" s="115"/>
      <c r="AY1514" s="115"/>
      <c r="AZ1514" s="115"/>
      <c r="BA1514" s="115"/>
      <c r="BB1514" s="115"/>
      <c r="BC1514" s="115"/>
      <c r="BD1514" s="115"/>
      <c r="BE1514" s="115"/>
      <c r="BF1514" s="115"/>
      <c r="BG1514" s="115"/>
      <c r="BH1514" s="115"/>
      <c r="BI1514" s="122"/>
      <c r="BJ1514" s="122"/>
      <c r="BK1514" s="122"/>
      <c r="BL1514" s="115"/>
      <c r="BM1514" s="115"/>
      <c r="BN1514" s="115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26"/>
      <c r="CA1514" s="13"/>
      <c r="CD1514" s="114"/>
    </row>
    <row r="1515" spans="1:82" x14ac:dyDescent="0.4">
      <c r="A1515" s="115"/>
      <c r="B1515" s="115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15"/>
      <c r="BF1515" s="115"/>
      <c r="BG1515" s="115"/>
      <c r="BH1515" s="115"/>
      <c r="BI1515" s="122"/>
      <c r="BJ1515" s="122"/>
      <c r="BK1515" s="122"/>
      <c r="BL1515" s="115"/>
      <c r="BM1515" s="115"/>
      <c r="BN1515" s="115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26"/>
      <c r="CA1515" s="13"/>
      <c r="CD1515" s="114"/>
    </row>
    <row r="1516" spans="1:82" x14ac:dyDescent="0.4">
      <c r="A1516" s="115"/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15"/>
      <c r="BD1516" s="115"/>
      <c r="BE1516" s="115"/>
      <c r="BF1516" s="115"/>
      <c r="BG1516" s="115"/>
      <c r="BH1516" s="115"/>
      <c r="BI1516" s="122"/>
      <c r="BJ1516" s="122"/>
      <c r="BK1516" s="122"/>
      <c r="BL1516" s="115"/>
      <c r="BM1516" s="115"/>
      <c r="BN1516" s="115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7"/>
      <c r="CA1516" s="13"/>
      <c r="CD1516" s="114"/>
    </row>
    <row r="1517" spans="1:82" x14ac:dyDescent="0.4">
      <c r="A1517" s="115"/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15"/>
      <c r="BF1517" s="115"/>
      <c r="BG1517" s="115"/>
      <c r="BH1517" s="115"/>
      <c r="BI1517" s="122"/>
      <c r="BJ1517" s="122"/>
      <c r="BK1517" s="122"/>
      <c r="BL1517" s="115"/>
      <c r="BM1517" s="115"/>
      <c r="BN1517" s="115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26"/>
      <c r="CA1517" s="15"/>
      <c r="CD1517" s="114"/>
    </row>
    <row r="1518" spans="1:82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115"/>
      <c r="BE1518" s="115"/>
      <c r="BF1518" s="115"/>
      <c r="BG1518" s="115"/>
      <c r="BH1518" s="115"/>
      <c r="BI1518" s="122"/>
      <c r="BJ1518" s="122"/>
      <c r="BK1518" s="122"/>
      <c r="BL1518" s="115"/>
      <c r="BM1518" s="115"/>
      <c r="BN1518" s="115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26"/>
      <c r="CA1518" s="15"/>
      <c r="CD1518" s="114"/>
    </row>
    <row r="1519" spans="1:82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15"/>
      <c r="BA1519" s="115"/>
      <c r="BB1519" s="115"/>
      <c r="BC1519" s="115"/>
      <c r="BD1519" s="115"/>
      <c r="BE1519" s="115"/>
      <c r="BF1519" s="115"/>
      <c r="BG1519" s="115"/>
      <c r="BH1519" s="115"/>
      <c r="BI1519" s="122"/>
      <c r="BJ1519" s="122"/>
      <c r="BK1519" s="122"/>
      <c r="BL1519" s="115"/>
      <c r="BM1519" s="115"/>
      <c r="BN1519" s="115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26"/>
      <c r="CA1519" s="15"/>
      <c r="CD1519" s="114"/>
    </row>
    <row r="1520" spans="1:82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15"/>
      <c r="BF1520" s="115"/>
      <c r="BG1520" s="115"/>
      <c r="BH1520" s="115"/>
      <c r="BI1520" s="122"/>
      <c r="BJ1520" s="122"/>
      <c r="BK1520" s="122"/>
      <c r="BL1520" s="115"/>
      <c r="BM1520" s="115"/>
      <c r="BN1520" s="115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26"/>
      <c r="CA1520" s="13"/>
      <c r="CD1520" s="114"/>
    </row>
    <row r="1521" spans="1:82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15"/>
      <c r="BF1521" s="115"/>
      <c r="BG1521" s="115"/>
      <c r="BH1521" s="115"/>
      <c r="BI1521" s="122"/>
      <c r="BJ1521" s="122"/>
      <c r="BK1521" s="122"/>
      <c r="BL1521" s="115"/>
      <c r="BM1521" s="115"/>
      <c r="BN1521" s="115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26"/>
      <c r="CA1521" s="25"/>
      <c r="CD1521" s="114"/>
    </row>
    <row r="1522" spans="1:82" x14ac:dyDescent="0.4">
      <c r="A1522" s="115"/>
      <c r="B1522" s="115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115"/>
      <c r="BF1522" s="115"/>
      <c r="BG1522" s="115"/>
      <c r="BH1522" s="115"/>
      <c r="BI1522" s="122"/>
      <c r="BJ1522" s="122"/>
      <c r="BK1522" s="122"/>
      <c r="BL1522" s="115"/>
      <c r="BM1522" s="115"/>
      <c r="BN1522" s="115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26"/>
      <c r="CA1522" s="13"/>
      <c r="CD1522" s="114"/>
    </row>
    <row r="1523" spans="1:82" x14ac:dyDescent="0.4">
      <c r="A1523" s="115"/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115"/>
      <c r="BF1523" s="115"/>
      <c r="BG1523" s="115"/>
      <c r="BH1523" s="115"/>
      <c r="BI1523" s="122"/>
      <c r="BJ1523" s="122"/>
      <c r="BK1523" s="122"/>
      <c r="BL1523" s="115"/>
      <c r="BM1523" s="115"/>
      <c r="BN1523" s="115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26"/>
      <c r="CA1523" s="13"/>
      <c r="CD1523" s="114"/>
    </row>
    <row r="1524" spans="1:82" x14ac:dyDescent="0.4">
      <c r="A1524" s="115"/>
      <c r="B1524" s="115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115"/>
      <c r="BE1524" s="115"/>
      <c r="BF1524" s="115"/>
      <c r="BG1524" s="115"/>
      <c r="BH1524" s="115"/>
      <c r="BI1524" s="122"/>
      <c r="BJ1524" s="122"/>
      <c r="BK1524" s="122"/>
      <c r="BL1524" s="115"/>
      <c r="BM1524" s="115"/>
      <c r="BN1524" s="115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26"/>
      <c r="CA1524" s="13"/>
      <c r="CD1524" s="114"/>
    </row>
    <row r="1525" spans="1:82" x14ac:dyDescent="0.4">
      <c r="A1525" s="115"/>
      <c r="B1525" s="115"/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15"/>
      <c r="BG1525" s="115"/>
      <c r="BH1525" s="115"/>
      <c r="BI1525" s="122"/>
      <c r="BJ1525" s="122"/>
      <c r="BK1525" s="122"/>
      <c r="BL1525" s="115"/>
      <c r="BM1525" s="115"/>
      <c r="BN1525" s="115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26"/>
      <c r="CA1525" s="13"/>
      <c r="CD1525" s="114"/>
    </row>
    <row r="1526" spans="1:82" x14ac:dyDescent="0.4">
      <c r="A1526" s="115"/>
      <c r="B1526" s="115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15"/>
      <c r="AP1526" s="115"/>
      <c r="AQ1526" s="115"/>
      <c r="AR1526" s="115"/>
      <c r="AS1526" s="115"/>
      <c r="AT1526" s="115"/>
      <c r="AU1526" s="115"/>
      <c r="AV1526" s="115"/>
      <c r="AW1526" s="115"/>
      <c r="AX1526" s="115"/>
      <c r="AY1526" s="115"/>
      <c r="AZ1526" s="115"/>
      <c r="BA1526" s="115"/>
      <c r="BB1526" s="115"/>
      <c r="BC1526" s="115"/>
      <c r="BD1526" s="115"/>
      <c r="BE1526" s="115"/>
      <c r="BF1526" s="115"/>
      <c r="BG1526" s="115"/>
      <c r="BH1526" s="115"/>
      <c r="BI1526" s="122"/>
      <c r="BJ1526" s="122"/>
      <c r="BK1526" s="122"/>
      <c r="BL1526" s="115"/>
      <c r="BM1526" s="115"/>
      <c r="BN1526" s="115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26"/>
      <c r="CA1526" s="13"/>
      <c r="CD1526" s="114"/>
    </row>
    <row r="1527" spans="1:82" x14ac:dyDescent="0.4">
      <c r="A1527" s="115"/>
      <c r="B1527" s="115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115"/>
      <c r="BG1527" s="115"/>
      <c r="BH1527" s="115"/>
      <c r="BI1527" s="122"/>
      <c r="BJ1527" s="122"/>
      <c r="BK1527" s="122"/>
      <c r="BL1527" s="115"/>
      <c r="BM1527" s="115"/>
      <c r="BN1527" s="115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26"/>
      <c r="CA1527" s="13"/>
      <c r="CD1527" s="114"/>
    </row>
    <row r="1528" spans="1:82" x14ac:dyDescent="0.4">
      <c r="A1528" s="115"/>
      <c r="B1528" s="115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15"/>
      <c r="AS1528" s="115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15"/>
      <c r="BF1528" s="115"/>
      <c r="BG1528" s="115"/>
      <c r="BH1528" s="115"/>
      <c r="BI1528" s="122"/>
      <c r="BJ1528" s="122"/>
      <c r="BK1528" s="122"/>
      <c r="BL1528" s="115"/>
      <c r="BM1528" s="115"/>
      <c r="BN1528" s="115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26"/>
      <c r="CA1528" s="13"/>
      <c r="CD1528" s="114"/>
    </row>
    <row r="1529" spans="1:82" x14ac:dyDescent="0.4">
      <c r="A1529" s="115"/>
      <c r="B1529" s="115"/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15"/>
      <c r="BF1529" s="115"/>
      <c r="BG1529" s="115"/>
      <c r="BH1529" s="115"/>
      <c r="BI1529" s="122"/>
      <c r="BJ1529" s="122"/>
      <c r="BK1529" s="122"/>
      <c r="BL1529" s="115"/>
      <c r="BM1529" s="115"/>
      <c r="BN1529" s="115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26"/>
      <c r="CA1529" s="13"/>
      <c r="CD1529" s="114"/>
    </row>
    <row r="1530" spans="1:82" x14ac:dyDescent="0.4">
      <c r="A1530" s="115"/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115"/>
      <c r="BG1530" s="115"/>
      <c r="BH1530" s="115"/>
      <c r="BI1530" s="122"/>
      <c r="BJ1530" s="122"/>
      <c r="BK1530" s="122"/>
      <c r="BL1530" s="115"/>
      <c r="BM1530" s="115"/>
      <c r="BN1530" s="115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26"/>
      <c r="CA1530" s="13"/>
      <c r="CD1530" s="114"/>
    </row>
    <row r="1531" spans="1:82" x14ac:dyDescent="0.4">
      <c r="A1531" s="115"/>
      <c r="B1531" s="115"/>
      <c r="C1531" s="115"/>
      <c r="D1531" s="115"/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15"/>
      <c r="AT1531" s="115"/>
      <c r="AU1531" s="115"/>
      <c r="AV1531" s="115"/>
      <c r="AW1531" s="115"/>
      <c r="AX1531" s="115"/>
      <c r="AY1531" s="115"/>
      <c r="AZ1531" s="115"/>
      <c r="BA1531" s="115"/>
      <c r="BB1531" s="115"/>
      <c r="BC1531" s="115"/>
      <c r="BD1531" s="115"/>
      <c r="BE1531" s="115"/>
      <c r="BF1531" s="115"/>
      <c r="BG1531" s="115"/>
      <c r="BH1531" s="115"/>
      <c r="BI1531" s="122"/>
      <c r="BJ1531" s="122"/>
      <c r="BK1531" s="122"/>
      <c r="BL1531" s="115"/>
      <c r="BM1531" s="115"/>
      <c r="BN1531" s="115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26"/>
      <c r="CA1531" s="13"/>
      <c r="CD1531" s="114"/>
    </row>
    <row r="1532" spans="1:82" x14ac:dyDescent="0.4">
      <c r="A1532" s="115"/>
      <c r="B1532" s="115"/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15"/>
      <c r="BF1532" s="115"/>
      <c r="BG1532" s="115"/>
      <c r="BH1532" s="115"/>
      <c r="BI1532" s="122"/>
      <c r="BJ1532" s="122"/>
      <c r="BK1532" s="122"/>
      <c r="BL1532" s="115"/>
      <c r="BM1532" s="115"/>
      <c r="BN1532" s="115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26"/>
      <c r="CA1532" s="15"/>
      <c r="CD1532" s="114"/>
    </row>
    <row r="1533" spans="1:82" x14ac:dyDescent="0.4">
      <c r="A1533" s="115"/>
      <c r="B1533" s="115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115"/>
      <c r="BE1533" s="115"/>
      <c r="BF1533" s="115"/>
      <c r="BG1533" s="115"/>
      <c r="BH1533" s="115"/>
      <c r="BI1533" s="122"/>
      <c r="BJ1533" s="122"/>
      <c r="BK1533" s="122"/>
      <c r="BL1533" s="115"/>
      <c r="BM1533" s="115"/>
      <c r="BN1533" s="115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26"/>
      <c r="CA1533" s="15"/>
      <c r="CD1533" s="114"/>
    </row>
    <row r="1534" spans="1:82" x14ac:dyDescent="0.4">
      <c r="A1534" s="115"/>
      <c r="B1534" s="115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15"/>
      <c r="BA1534" s="115"/>
      <c r="BB1534" s="115"/>
      <c r="BC1534" s="115"/>
      <c r="BD1534" s="115"/>
      <c r="BE1534" s="115"/>
      <c r="BF1534" s="115"/>
      <c r="BG1534" s="115"/>
      <c r="BH1534" s="115"/>
      <c r="BI1534" s="122"/>
      <c r="BJ1534" s="122"/>
      <c r="BK1534" s="122"/>
      <c r="BL1534" s="115"/>
      <c r="BM1534" s="115"/>
      <c r="BN1534" s="115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26"/>
      <c r="CA1534" s="15"/>
      <c r="CD1534" s="114"/>
    </row>
    <row r="1535" spans="1:82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115"/>
      <c r="BG1535" s="115"/>
      <c r="BH1535" s="115"/>
      <c r="BI1535" s="122"/>
      <c r="BJ1535" s="122"/>
      <c r="BK1535" s="122"/>
      <c r="BL1535" s="115"/>
      <c r="BM1535" s="115"/>
      <c r="BN1535" s="115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26"/>
      <c r="CA1535" s="15"/>
      <c r="CD1535" s="114"/>
    </row>
    <row r="1536" spans="1:82" x14ac:dyDescent="0.4">
      <c r="A1536" s="115"/>
      <c r="B1536" s="115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15"/>
      <c r="BF1536" s="115"/>
      <c r="BG1536" s="115"/>
      <c r="BH1536" s="115"/>
      <c r="BI1536" s="122"/>
      <c r="BJ1536" s="122"/>
      <c r="BK1536" s="122"/>
      <c r="BL1536" s="115"/>
      <c r="BM1536" s="115"/>
      <c r="BN1536" s="115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26"/>
      <c r="CA1536" s="13"/>
      <c r="CD1536" s="114"/>
    </row>
    <row r="1537" spans="1:82" x14ac:dyDescent="0.4">
      <c r="A1537" s="115"/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15"/>
      <c r="BF1537" s="115"/>
      <c r="BG1537" s="115"/>
      <c r="BH1537" s="115"/>
      <c r="BI1537" s="122"/>
      <c r="BJ1537" s="122"/>
      <c r="BK1537" s="122"/>
      <c r="BL1537" s="115"/>
      <c r="BM1537" s="115"/>
      <c r="BN1537" s="115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26"/>
      <c r="CA1537" s="15"/>
      <c r="CD1537" s="114"/>
    </row>
    <row r="1538" spans="1:82" x14ac:dyDescent="0.4">
      <c r="A1538" s="115"/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15"/>
      <c r="BF1538" s="115"/>
      <c r="BG1538" s="115"/>
      <c r="BH1538" s="115"/>
      <c r="BI1538" s="122"/>
      <c r="BJ1538" s="122"/>
      <c r="BK1538" s="122"/>
      <c r="BL1538" s="115"/>
      <c r="BM1538" s="115"/>
      <c r="BN1538" s="115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26"/>
      <c r="CA1538" s="15"/>
      <c r="CD1538" s="114"/>
    </row>
    <row r="1539" spans="1:82" x14ac:dyDescent="0.4">
      <c r="A1539" s="115"/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15"/>
      <c r="BB1539" s="115"/>
      <c r="BC1539" s="115"/>
      <c r="BD1539" s="115"/>
      <c r="BE1539" s="115"/>
      <c r="BF1539" s="115"/>
      <c r="BG1539" s="115"/>
      <c r="BH1539" s="115"/>
      <c r="BI1539" s="122"/>
      <c r="BJ1539" s="122"/>
      <c r="BK1539" s="122"/>
      <c r="BL1539" s="115"/>
      <c r="BM1539" s="115"/>
      <c r="BN1539" s="115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26"/>
      <c r="CA1539" s="15"/>
      <c r="CD1539" s="114"/>
    </row>
    <row r="1540" spans="1:82" x14ac:dyDescent="0.4">
      <c r="A1540" s="115"/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115"/>
      <c r="BG1540" s="115"/>
      <c r="BH1540" s="115"/>
      <c r="BI1540" s="122"/>
      <c r="BJ1540" s="122"/>
      <c r="BK1540" s="122"/>
      <c r="BL1540" s="115"/>
      <c r="BM1540" s="115"/>
      <c r="BN1540" s="115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26"/>
      <c r="CA1540" s="15"/>
      <c r="CD1540" s="114"/>
    </row>
    <row r="1541" spans="1:82" x14ac:dyDescent="0.4">
      <c r="A1541" s="115"/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15"/>
      <c r="BE1541" s="115"/>
      <c r="BF1541" s="115"/>
      <c r="BG1541" s="115"/>
      <c r="BH1541" s="115"/>
      <c r="BI1541" s="122"/>
      <c r="BJ1541" s="122"/>
      <c r="BK1541" s="122"/>
      <c r="BL1541" s="115"/>
      <c r="BM1541" s="115"/>
      <c r="BN1541" s="115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26"/>
      <c r="CA1541" s="15"/>
      <c r="CD1541" s="114"/>
    </row>
    <row r="1542" spans="1:82" x14ac:dyDescent="0.4">
      <c r="A1542" s="115"/>
      <c r="B1542" s="115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15"/>
      <c r="BF1542" s="115"/>
      <c r="BG1542" s="115"/>
      <c r="BH1542" s="115"/>
      <c r="BI1542" s="122"/>
      <c r="BJ1542" s="122"/>
      <c r="BK1542" s="122"/>
      <c r="BL1542" s="115"/>
      <c r="BM1542" s="115"/>
      <c r="BN1542" s="115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26"/>
      <c r="CA1542" s="105"/>
      <c r="CD1542" s="114"/>
    </row>
    <row r="1543" spans="1:82" x14ac:dyDescent="0.4">
      <c r="A1543" s="115"/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115"/>
      <c r="BG1543" s="115"/>
      <c r="BH1543" s="115"/>
      <c r="BI1543" s="122"/>
      <c r="BJ1543" s="122"/>
      <c r="BK1543" s="122"/>
      <c r="BL1543" s="115"/>
      <c r="BM1543" s="115"/>
      <c r="BN1543" s="115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7"/>
      <c r="CA1543" s="15"/>
      <c r="CD1543" s="114"/>
    </row>
    <row r="1544" spans="1:82" x14ac:dyDescent="0.4">
      <c r="A1544" s="115"/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115"/>
      <c r="BG1544" s="115"/>
      <c r="BH1544" s="115"/>
      <c r="BI1544" s="122"/>
      <c r="BJ1544" s="122"/>
      <c r="BK1544" s="122"/>
      <c r="BL1544" s="115"/>
      <c r="BM1544" s="115"/>
      <c r="BN1544" s="115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26"/>
      <c r="CA1544" s="15"/>
      <c r="CD1544" s="114"/>
    </row>
    <row r="1545" spans="1:82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15"/>
      <c r="BA1545" s="115"/>
      <c r="BB1545" s="115"/>
      <c r="BC1545" s="115"/>
      <c r="BD1545" s="115"/>
      <c r="BE1545" s="115"/>
      <c r="BF1545" s="115"/>
      <c r="BG1545" s="115"/>
      <c r="BH1545" s="115"/>
      <c r="BI1545" s="122"/>
      <c r="BJ1545" s="122"/>
      <c r="BK1545" s="122"/>
      <c r="BL1545" s="115"/>
      <c r="BM1545" s="115"/>
      <c r="BN1545" s="115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26"/>
      <c r="CA1545" s="15"/>
      <c r="CD1545" s="114"/>
    </row>
    <row r="1546" spans="1:82" x14ac:dyDescent="0.4">
      <c r="A1546" s="115"/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115"/>
      <c r="BF1546" s="115"/>
      <c r="BG1546" s="115"/>
      <c r="BH1546" s="115"/>
      <c r="BI1546" s="122"/>
      <c r="BJ1546" s="122"/>
      <c r="BK1546" s="122"/>
      <c r="BL1546" s="115"/>
      <c r="BM1546" s="115"/>
      <c r="BN1546" s="115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26"/>
      <c r="CA1546" s="105"/>
      <c r="CD1546" s="114"/>
    </row>
    <row r="1547" spans="1:82" x14ac:dyDescent="0.4">
      <c r="BZ1547" s="26"/>
      <c r="CA1547" s="15"/>
      <c r="CD1547" s="114"/>
    </row>
    <row r="1548" spans="1:82" x14ac:dyDescent="0.4">
      <c r="BJ1548" s="122"/>
      <c r="BK1548" s="122"/>
      <c r="BL1548" s="115"/>
      <c r="BM1548" s="115"/>
      <c r="BN1548" s="115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26"/>
      <c r="CA1548" s="15"/>
      <c r="CD1548" s="114"/>
    </row>
    <row r="1549" spans="1:82" x14ac:dyDescent="0.4">
      <c r="BF1549" s="115"/>
      <c r="BG1549" s="115"/>
      <c r="BH1549" s="115"/>
      <c r="BI1549" s="122"/>
      <c r="BJ1549" s="122"/>
      <c r="BK1549" s="122"/>
      <c r="BL1549" s="115"/>
      <c r="BM1549" s="115"/>
      <c r="BN1549" s="115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26"/>
      <c r="CA1549" s="15"/>
      <c r="CD1549" s="114"/>
    </row>
    <row r="1550" spans="1:82" x14ac:dyDescent="0.4">
      <c r="B1550" s="115"/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22"/>
      <c r="BJ1550" s="122"/>
      <c r="BK1550" s="122"/>
      <c r="BL1550" s="115"/>
      <c r="BM1550" s="115"/>
      <c r="BN1550" s="115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26"/>
      <c r="CA1550" s="15"/>
      <c r="CD1550" s="114"/>
    </row>
    <row r="1551" spans="1:82" x14ac:dyDescent="0.4"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22"/>
      <c r="BJ1551" s="122"/>
      <c r="BK1551" s="122"/>
      <c r="BL1551" s="115"/>
      <c r="BM1551" s="115"/>
      <c r="BN1551" s="115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7"/>
      <c r="CA1551" s="15"/>
      <c r="CD1551" s="114"/>
    </row>
    <row r="1552" spans="1:82" x14ac:dyDescent="0.4"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22"/>
      <c r="BJ1552" s="122"/>
      <c r="BK1552" s="122"/>
      <c r="BL1552" s="115"/>
      <c r="BM1552" s="115"/>
      <c r="BN1552" s="115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26"/>
      <c r="CA1552" s="15"/>
      <c r="CD1552" s="114"/>
    </row>
    <row r="1553" spans="2:82" x14ac:dyDescent="0.4"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22"/>
      <c r="BJ1553" s="122"/>
      <c r="BK1553" s="122"/>
      <c r="BL1553" s="115"/>
      <c r="BM1553" s="115"/>
      <c r="BN1553" s="115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26"/>
      <c r="CA1553" s="15"/>
      <c r="CD1553" s="114"/>
    </row>
    <row r="1554" spans="2:82" x14ac:dyDescent="0.4"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22"/>
      <c r="BJ1554" s="122"/>
      <c r="BK1554" s="122"/>
      <c r="BL1554" s="115"/>
      <c r="BM1554" s="115"/>
      <c r="BN1554" s="115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26"/>
      <c r="CA1554" s="15"/>
      <c r="CD1554" s="114"/>
    </row>
    <row r="1555" spans="2:82" x14ac:dyDescent="0.4"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22"/>
      <c r="BJ1555" s="122"/>
      <c r="BK1555" s="122"/>
      <c r="BL1555" s="115"/>
      <c r="BM1555" s="115"/>
      <c r="BN1555" s="115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26"/>
      <c r="CA1555" s="15"/>
      <c r="CD1555" s="114"/>
    </row>
    <row r="1556" spans="2:82" x14ac:dyDescent="0.4">
      <c r="B1556" s="115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22"/>
      <c r="BJ1556" s="122"/>
      <c r="BK1556" s="122"/>
      <c r="BL1556" s="115"/>
      <c r="BM1556" s="115"/>
      <c r="BN1556" s="115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26"/>
      <c r="CA1556" s="15"/>
      <c r="CD1556" s="114"/>
    </row>
    <row r="1557" spans="2:82" x14ac:dyDescent="0.4"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22"/>
      <c r="BJ1557" s="122"/>
      <c r="BK1557" s="122"/>
      <c r="BL1557" s="115"/>
      <c r="BM1557" s="115"/>
      <c r="BN1557" s="115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26"/>
      <c r="CA1557" s="15"/>
      <c r="CD1557" s="114"/>
    </row>
    <row r="1558" spans="2:82" x14ac:dyDescent="0.4">
      <c r="B1558" s="115"/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22"/>
      <c r="BJ1558" s="122"/>
      <c r="BK1558" s="122"/>
      <c r="BL1558" s="115"/>
      <c r="BM1558" s="115"/>
      <c r="BN1558" s="115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26"/>
      <c r="CA1558" s="15"/>
      <c r="CD1558" s="114"/>
    </row>
    <row r="1559" spans="2:82" x14ac:dyDescent="0.4">
      <c r="B1559" s="115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22"/>
      <c r="BJ1559" s="122"/>
      <c r="BK1559" s="122"/>
      <c r="BL1559" s="115"/>
      <c r="BM1559" s="115"/>
      <c r="BN1559" s="115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7"/>
      <c r="CA1559" s="15"/>
      <c r="CD1559" s="114"/>
    </row>
    <row r="1560" spans="2:82" x14ac:dyDescent="0.4"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22"/>
      <c r="BJ1560" s="122"/>
      <c r="BK1560" s="122"/>
      <c r="BL1560" s="115"/>
      <c r="BM1560" s="115"/>
      <c r="BN1560" s="115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26"/>
      <c r="CA1560" s="15"/>
      <c r="CD1560" s="114"/>
    </row>
    <row r="1561" spans="2:82" x14ac:dyDescent="0.4">
      <c r="B1561" s="115"/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22"/>
      <c r="BJ1561" s="122"/>
      <c r="BK1561" s="122"/>
      <c r="BL1561" s="115"/>
      <c r="BM1561" s="115"/>
      <c r="BN1561" s="115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26"/>
      <c r="CA1561" s="15"/>
      <c r="CD1561" s="114"/>
    </row>
    <row r="1562" spans="2:82" x14ac:dyDescent="0.4"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22"/>
      <c r="BJ1562" s="122"/>
      <c r="BK1562" s="122"/>
      <c r="BL1562" s="115"/>
      <c r="BM1562" s="115"/>
      <c r="BN1562" s="115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26"/>
      <c r="CA1562" s="15"/>
      <c r="CD1562" s="114"/>
    </row>
    <row r="1563" spans="2:82" x14ac:dyDescent="0.4"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22"/>
      <c r="BJ1563" s="122"/>
      <c r="BK1563" s="122"/>
      <c r="BL1563" s="115"/>
      <c r="BM1563" s="115"/>
      <c r="BN1563" s="115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26"/>
      <c r="CA1563" s="15"/>
      <c r="CD1563" s="114"/>
    </row>
    <row r="1564" spans="2:82" x14ac:dyDescent="0.4"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22"/>
      <c r="BJ1564" s="122"/>
      <c r="BK1564" s="122"/>
      <c r="BL1564" s="115"/>
      <c r="BM1564" s="115"/>
      <c r="BN1564" s="115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26"/>
      <c r="CA1564" s="15"/>
      <c r="CD1564" s="114"/>
    </row>
    <row r="1565" spans="2:82" x14ac:dyDescent="0.4">
      <c r="B1565" s="115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22"/>
      <c r="BJ1565" s="122"/>
      <c r="BK1565" s="122"/>
      <c r="BL1565" s="115"/>
      <c r="BM1565" s="115"/>
      <c r="BN1565" s="115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26"/>
      <c r="CA1565" s="15"/>
      <c r="CD1565" s="114"/>
    </row>
    <row r="1566" spans="2:82" x14ac:dyDescent="0.4">
      <c r="B1566" s="115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22"/>
      <c r="BJ1566" s="122"/>
      <c r="BK1566" s="122"/>
      <c r="BL1566" s="115"/>
      <c r="BM1566" s="115"/>
      <c r="BN1566" s="115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26"/>
      <c r="CA1566" s="15"/>
      <c r="CD1566" s="114"/>
    </row>
    <row r="1567" spans="2:82" x14ac:dyDescent="0.4">
      <c r="B1567" s="115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22"/>
      <c r="BJ1567" s="122"/>
      <c r="BK1567" s="122"/>
      <c r="BL1567" s="115"/>
      <c r="BM1567" s="115"/>
      <c r="BN1567" s="115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7"/>
      <c r="CA1567" s="15"/>
      <c r="CD1567" s="114"/>
    </row>
    <row r="1568" spans="2:82" x14ac:dyDescent="0.4">
      <c r="B1568" s="115"/>
      <c r="C1568" s="115"/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22"/>
      <c r="BJ1568" s="122"/>
      <c r="BK1568" s="122"/>
      <c r="BL1568" s="115"/>
      <c r="BM1568" s="115"/>
      <c r="BN1568" s="115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26"/>
      <c r="CA1568" s="15"/>
      <c r="CD1568" s="114"/>
    </row>
    <row r="1569" spans="2:82" x14ac:dyDescent="0.4">
      <c r="B1569" s="115"/>
      <c r="C1569" s="115"/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22"/>
      <c r="BJ1569" s="122"/>
      <c r="BK1569" s="122"/>
      <c r="BL1569" s="115"/>
      <c r="BM1569" s="115"/>
      <c r="BN1569" s="115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26"/>
      <c r="CA1569" s="15"/>
      <c r="CD1569" s="114"/>
    </row>
    <row r="1570" spans="2:82" x14ac:dyDescent="0.4">
      <c r="B1570" s="115"/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22"/>
      <c r="BJ1570" s="122"/>
      <c r="BK1570" s="122"/>
      <c r="BL1570" s="115"/>
      <c r="BM1570" s="115"/>
      <c r="BN1570" s="115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26"/>
      <c r="CA1570" s="15"/>
      <c r="CD1570" s="114"/>
    </row>
    <row r="1571" spans="2:82" x14ac:dyDescent="0.4">
      <c r="B1571" s="115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22"/>
      <c r="BJ1571" s="122"/>
      <c r="BK1571" s="122"/>
      <c r="BL1571" s="115"/>
      <c r="BM1571" s="115"/>
      <c r="BN1571" s="115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26"/>
      <c r="CA1571" s="15"/>
      <c r="CD1571" s="114"/>
    </row>
    <row r="1572" spans="2:82" x14ac:dyDescent="0.4">
      <c r="B1572" s="115"/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22"/>
      <c r="BJ1572" s="122"/>
      <c r="BK1572" s="122"/>
      <c r="BL1572" s="115"/>
      <c r="BM1572" s="115"/>
      <c r="BN1572" s="115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26"/>
      <c r="CA1572" s="15"/>
      <c r="CD1572" s="114"/>
    </row>
    <row r="1573" spans="2:82" x14ac:dyDescent="0.4">
      <c r="B1573" s="115"/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22"/>
      <c r="BJ1573" s="122"/>
      <c r="BK1573" s="122"/>
      <c r="BL1573" s="115"/>
      <c r="BM1573" s="115"/>
      <c r="BN1573" s="115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26"/>
      <c r="CA1573" s="15"/>
      <c r="CD1573" s="114"/>
    </row>
    <row r="1574" spans="2:82" x14ac:dyDescent="0.4"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22"/>
      <c r="BJ1574" s="122"/>
      <c r="BK1574" s="122"/>
      <c r="BL1574" s="115"/>
      <c r="BM1574" s="115"/>
      <c r="BN1574" s="115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26"/>
      <c r="CA1574" s="15"/>
      <c r="CD1574" s="114"/>
    </row>
    <row r="1575" spans="2:82" x14ac:dyDescent="0.4">
      <c r="B1575" s="115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22"/>
      <c r="BJ1575" s="122"/>
      <c r="BK1575" s="122"/>
      <c r="BL1575" s="115"/>
      <c r="BM1575" s="115"/>
      <c r="BN1575" s="115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26"/>
      <c r="CA1575" s="15"/>
      <c r="CD1575" s="114"/>
    </row>
    <row r="1576" spans="2:82" x14ac:dyDescent="0.4"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22"/>
      <c r="BJ1576" s="122"/>
      <c r="BK1576" s="122"/>
      <c r="BL1576" s="115"/>
      <c r="BM1576" s="115"/>
      <c r="BN1576" s="115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7"/>
      <c r="CA1576" s="15"/>
      <c r="CD1576" s="114"/>
    </row>
    <row r="1577" spans="2:82" x14ac:dyDescent="0.4"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22"/>
      <c r="BJ1577" s="122"/>
      <c r="BK1577" s="122"/>
      <c r="BL1577" s="115"/>
      <c r="BM1577" s="115"/>
      <c r="BN1577" s="115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26"/>
      <c r="CA1577" s="15"/>
      <c r="CD1577" s="114"/>
    </row>
    <row r="1578" spans="2:82" x14ac:dyDescent="0.4"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22"/>
      <c r="BJ1578" s="122"/>
      <c r="BK1578" s="122"/>
      <c r="BL1578" s="115"/>
      <c r="BM1578" s="115"/>
      <c r="BN1578" s="115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7"/>
      <c r="CA1578" s="15"/>
      <c r="CD1578" s="114"/>
    </row>
    <row r="1579" spans="2:82" x14ac:dyDescent="0.4"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22"/>
      <c r="BJ1579" s="122"/>
      <c r="BK1579" s="122"/>
      <c r="BL1579" s="115"/>
      <c r="BM1579" s="115"/>
      <c r="BN1579" s="115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26"/>
      <c r="CA1579" s="15"/>
      <c r="CD1579" s="114"/>
    </row>
    <row r="1580" spans="2:82" x14ac:dyDescent="0.4"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22"/>
      <c r="BJ1580" s="122"/>
      <c r="BK1580" s="122"/>
      <c r="BL1580" s="115"/>
      <c r="BM1580" s="115"/>
      <c r="BN1580" s="115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7"/>
      <c r="CA1580" s="15"/>
      <c r="CD1580" s="114"/>
    </row>
    <row r="1581" spans="2:82" x14ac:dyDescent="0.4"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22"/>
      <c r="BJ1581" s="122"/>
      <c r="BK1581" s="122"/>
      <c r="BL1581" s="115"/>
      <c r="BM1581" s="115"/>
      <c r="BN1581" s="115"/>
      <c r="BO1581" s="115"/>
      <c r="BP1581" s="115"/>
      <c r="BQ1581" s="115"/>
      <c r="BR1581" s="115"/>
      <c r="BS1581" s="115"/>
      <c r="BT1581" s="115"/>
      <c r="BU1581" s="115"/>
      <c r="BV1581" s="115"/>
      <c r="BW1581" s="115"/>
      <c r="BX1581" s="115"/>
      <c r="BY1581" s="115"/>
      <c r="BZ1581" s="26"/>
      <c r="CA1581" s="15"/>
      <c r="CD1581" s="114"/>
    </row>
    <row r="1582" spans="2:82" x14ac:dyDescent="0.4"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22"/>
      <c r="BJ1582" s="122"/>
      <c r="BK1582" s="122"/>
      <c r="BL1582" s="115"/>
      <c r="BM1582" s="115"/>
      <c r="BN1582" s="115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26"/>
      <c r="CA1582" s="15"/>
      <c r="CD1582" s="114"/>
    </row>
    <row r="1583" spans="2:82" x14ac:dyDescent="0.4"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22"/>
      <c r="BJ1583" s="122"/>
      <c r="BK1583" s="122"/>
      <c r="BL1583" s="115"/>
      <c r="BM1583" s="115"/>
      <c r="BN1583" s="115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7"/>
      <c r="CA1583" s="15"/>
      <c r="CD1583" s="114"/>
    </row>
    <row r="1584" spans="2:82" x14ac:dyDescent="0.4"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22"/>
      <c r="BJ1584" s="122"/>
      <c r="BK1584" s="122"/>
      <c r="BL1584" s="115"/>
      <c r="BM1584" s="115"/>
      <c r="BN1584" s="115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26"/>
      <c r="CA1584" s="15"/>
      <c r="CD1584" s="114"/>
    </row>
    <row r="1585" spans="1:82" x14ac:dyDescent="0.4"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22"/>
      <c r="BJ1585" s="122"/>
      <c r="BK1585" s="122"/>
      <c r="BL1585" s="115"/>
      <c r="BM1585" s="115"/>
      <c r="BN1585" s="115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26"/>
      <c r="CA1585" s="15"/>
      <c r="CD1585" s="114"/>
    </row>
    <row r="1586" spans="1:82" x14ac:dyDescent="0.4">
      <c r="A1586" s="115"/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22"/>
      <c r="BJ1586" s="122"/>
      <c r="BK1586" s="122"/>
      <c r="BL1586" s="115"/>
      <c r="BM1586" s="115"/>
      <c r="BN1586" s="115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26"/>
      <c r="CA1586" s="105"/>
      <c r="CD1586" s="114"/>
    </row>
    <row r="1587" spans="1:82" x14ac:dyDescent="0.4">
      <c r="A1587" s="115"/>
      <c r="B1587" s="115"/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22"/>
      <c r="BJ1587" s="122"/>
      <c r="BK1587" s="122"/>
      <c r="BL1587" s="115"/>
      <c r="BM1587" s="115"/>
      <c r="BN1587" s="115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7"/>
      <c r="CA1587" s="15"/>
      <c r="CD1587" s="114"/>
    </row>
    <row r="1588" spans="1:82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22"/>
      <c r="BJ1588" s="122"/>
      <c r="BK1588" s="122"/>
      <c r="BL1588" s="115"/>
      <c r="BM1588" s="115"/>
      <c r="BN1588" s="115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7"/>
      <c r="CA1588" s="15"/>
      <c r="CD1588" s="114"/>
    </row>
    <row r="1589" spans="1:82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22"/>
      <c r="BJ1589" s="122"/>
      <c r="BK1589" s="122"/>
      <c r="BL1589" s="115"/>
      <c r="BM1589" s="115"/>
      <c r="BN1589" s="115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26"/>
      <c r="CA1589" s="15"/>
      <c r="CD1589" s="114"/>
    </row>
    <row r="1590" spans="1:82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22"/>
      <c r="BJ1590" s="122"/>
      <c r="BK1590" s="122"/>
      <c r="BL1590" s="115"/>
      <c r="BM1590" s="115"/>
      <c r="BN1590" s="115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26"/>
      <c r="CA1590" s="15"/>
      <c r="CD1590" s="114"/>
    </row>
    <row r="1591" spans="1:82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22"/>
      <c r="BJ1591" s="122"/>
      <c r="BK1591" s="122"/>
      <c r="BL1591" s="115"/>
      <c r="BM1591" s="115"/>
      <c r="BN1591" s="115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26"/>
      <c r="CA1591" s="15"/>
      <c r="CD1591" s="114"/>
    </row>
    <row r="1592" spans="1:82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22"/>
      <c r="BJ1592" s="122"/>
      <c r="BK1592" s="122"/>
      <c r="BL1592" s="115"/>
      <c r="BM1592" s="115"/>
      <c r="BN1592" s="115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26"/>
      <c r="CA1592" s="15"/>
      <c r="CD1592" s="114"/>
    </row>
    <row r="1593" spans="1:82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22"/>
      <c r="BJ1593" s="122"/>
      <c r="BK1593" s="122"/>
      <c r="BL1593" s="115"/>
      <c r="BM1593" s="115"/>
      <c r="BN1593" s="115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26"/>
      <c r="CA1593" s="15"/>
      <c r="CD1593" s="114"/>
    </row>
    <row r="1594" spans="1:82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22"/>
      <c r="BJ1594" s="122"/>
      <c r="BK1594" s="122"/>
      <c r="BL1594" s="115"/>
      <c r="BM1594" s="115"/>
      <c r="BN1594" s="115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26"/>
      <c r="CA1594" s="15"/>
      <c r="CD1594" s="114"/>
    </row>
    <row r="1595" spans="1:82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22"/>
      <c r="BJ1595" s="122"/>
      <c r="BK1595" s="122"/>
      <c r="BL1595" s="115"/>
      <c r="BM1595" s="115"/>
      <c r="BN1595" s="115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26"/>
      <c r="CA1595" s="15"/>
      <c r="CD1595" s="114"/>
    </row>
    <row r="1596" spans="1:82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22"/>
      <c r="BJ1596" s="122"/>
      <c r="BK1596" s="122"/>
      <c r="BL1596" s="115"/>
      <c r="BM1596" s="115"/>
      <c r="BN1596" s="115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26"/>
      <c r="CA1596" s="15"/>
      <c r="CD1596" s="114"/>
    </row>
    <row r="1597" spans="1:82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22"/>
      <c r="BJ1597" s="122"/>
      <c r="BK1597" s="122"/>
      <c r="BL1597" s="115"/>
      <c r="BM1597" s="115"/>
      <c r="BN1597" s="115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26"/>
      <c r="CA1597" s="105"/>
      <c r="CD1597" s="114"/>
    </row>
    <row r="1598" spans="1:82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22"/>
      <c r="BJ1598" s="122"/>
      <c r="BK1598" s="122"/>
      <c r="BL1598" s="115"/>
      <c r="BM1598" s="115"/>
      <c r="BN1598" s="115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26"/>
      <c r="CA1598" s="15"/>
      <c r="CD1598" s="114"/>
    </row>
    <row r="1599" spans="1:82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22"/>
      <c r="BJ1599" s="122"/>
      <c r="BK1599" s="122"/>
      <c r="BL1599" s="115"/>
      <c r="BM1599" s="115"/>
      <c r="BN1599" s="115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26"/>
      <c r="CA1599" s="15"/>
      <c r="CD1599" s="114"/>
    </row>
    <row r="1600" spans="1:82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22"/>
      <c r="BJ1600" s="122"/>
      <c r="BK1600" s="122"/>
      <c r="BL1600" s="115"/>
      <c r="BM1600" s="115"/>
      <c r="BN1600" s="115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26"/>
      <c r="CA1600" s="13"/>
      <c r="CD1600" s="114"/>
    </row>
    <row r="1601" spans="1:82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22"/>
      <c r="BJ1601" s="122"/>
      <c r="BK1601" s="122"/>
      <c r="BL1601" s="115"/>
      <c r="BM1601" s="115"/>
      <c r="BN1601" s="115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7"/>
      <c r="CA1601" s="13"/>
      <c r="CD1601" s="114"/>
    </row>
    <row r="1602" spans="1:82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22"/>
      <c r="BJ1602" s="122"/>
      <c r="BK1602" s="122"/>
      <c r="BL1602" s="115"/>
      <c r="BM1602" s="115"/>
      <c r="BN1602" s="115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26"/>
      <c r="CA1602" s="13"/>
      <c r="CD1602" s="114"/>
    </row>
    <row r="1603" spans="1:82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22"/>
      <c r="BJ1603" s="122"/>
      <c r="BK1603" s="122"/>
      <c r="BL1603" s="115"/>
      <c r="BM1603" s="115"/>
      <c r="BN1603" s="115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26"/>
      <c r="CA1603" s="13"/>
      <c r="CD1603" s="114"/>
    </row>
    <row r="1604" spans="1:82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22"/>
      <c r="BJ1604" s="122"/>
      <c r="BK1604" s="122"/>
      <c r="BL1604" s="115"/>
      <c r="BM1604" s="115"/>
      <c r="BN1604" s="115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26"/>
      <c r="CA1604" s="13"/>
      <c r="CD1604" s="114"/>
    </row>
    <row r="1605" spans="1:82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22"/>
      <c r="BJ1605" s="122"/>
      <c r="BK1605" s="122"/>
      <c r="BL1605" s="115"/>
      <c r="BM1605" s="115"/>
      <c r="BN1605" s="115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26"/>
      <c r="CA1605" s="13"/>
      <c r="CD1605" s="114"/>
    </row>
    <row r="1606" spans="1:82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22"/>
      <c r="BJ1606" s="122"/>
      <c r="BK1606" s="122"/>
      <c r="BL1606" s="115"/>
      <c r="BM1606" s="115"/>
      <c r="BN1606" s="115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26"/>
      <c r="CA1606" s="13"/>
      <c r="CD1606" s="114"/>
    </row>
    <row r="1607" spans="1:82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22"/>
      <c r="BJ1607" s="122"/>
      <c r="BK1607" s="122"/>
      <c r="BL1607" s="115"/>
      <c r="BM1607" s="115"/>
      <c r="BN1607" s="115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26"/>
      <c r="CA1607" s="13"/>
      <c r="CD1607" s="114"/>
    </row>
    <row r="1608" spans="1:82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22"/>
      <c r="BJ1608" s="122"/>
      <c r="BK1608" s="122"/>
      <c r="BL1608" s="115"/>
      <c r="BM1608" s="115"/>
      <c r="BN1608" s="115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7"/>
      <c r="CA1608" s="13"/>
      <c r="CD1608" s="114"/>
    </row>
    <row r="1609" spans="1:82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22"/>
      <c r="BJ1609" s="122"/>
      <c r="BK1609" s="122"/>
      <c r="BL1609" s="115"/>
      <c r="BM1609" s="115"/>
      <c r="BN1609" s="115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26"/>
      <c r="CA1609" s="13"/>
      <c r="CD1609" s="114"/>
    </row>
    <row r="1610" spans="1:82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22"/>
      <c r="BJ1610" s="122"/>
      <c r="BK1610" s="122"/>
      <c r="BL1610" s="115"/>
      <c r="BM1610" s="115"/>
      <c r="BN1610" s="115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26"/>
      <c r="CA1610" s="13"/>
      <c r="CD1610" s="114"/>
    </row>
    <row r="1611" spans="1:82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22"/>
      <c r="BJ1611" s="122"/>
      <c r="BK1611" s="122"/>
      <c r="BL1611" s="115"/>
      <c r="BM1611" s="115"/>
      <c r="BN1611" s="115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26"/>
      <c r="CA1611" s="13"/>
      <c r="CD1611" s="114"/>
    </row>
    <row r="1612" spans="1:82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22"/>
      <c r="BJ1612" s="122"/>
      <c r="BK1612" s="122"/>
      <c r="BL1612" s="115"/>
      <c r="BM1612" s="115"/>
      <c r="BN1612" s="115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26"/>
      <c r="CA1612" s="13"/>
      <c r="CD1612" s="114"/>
    </row>
    <row r="1613" spans="1:82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22"/>
      <c r="BJ1613" s="122"/>
      <c r="BK1613" s="122"/>
      <c r="BL1613" s="115"/>
      <c r="BM1613" s="115"/>
      <c r="BN1613" s="115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26"/>
      <c r="CA1613" s="25"/>
      <c r="CD1613" s="114"/>
    </row>
    <row r="1614" spans="1:82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22"/>
      <c r="BJ1614" s="122"/>
      <c r="BK1614" s="122"/>
      <c r="BL1614" s="115"/>
      <c r="BM1614" s="115"/>
      <c r="BN1614" s="115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7"/>
      <c r="CA1614" s="13"/>
      <c r="CD1614" s="114"/>
    </row>
    <row r="1615" spans="1:82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22"/>
      <c r="BJ1615" s="122"/>
      <c r="BK1615" s="122"/>
      <c r="BL1615" s="115"/>
      <c r="BM1615" s="115"/>
      <c r="BN1615" s="115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26"/>
      <c r="CA1615" s="15"/>
      <c r="CD1615" s="114"/>
    </row>
    <row r="1616" spans="1:82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22"/>
      <c r="BJ1616" s="122"/>
      <c r="BK1616" s="122"/>
      <c r="BL1616" s="115"/>
      <c r="BM1616" s="115"/>
      <c r="BN1616" s="115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26"/>
      <c r="CA1616" s="15"/>
      <c r="CD1616" s="114"/>
    </row>
    <row r="1617" spans="1:82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22"/>
      <c r="BJ1617" s="122"/>
      <c r="BK1617" s="122"/>
      <c r="BL1617" s="115"/>
      <c r="BM1617" s="115"/>
      <c r="BN1617" s="115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7"/>
      <c r="CA1617" s="15"/>
      <c r="CD1617" s="114"/>
    </row>
    <row r="1618" spans="1:82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22"/>
      <c r="BJ1618" s="122"/>
      <c r="BK1618" s="122"/>
      <c r="BL1618" s="115"/>
      <c r="BM1618" s="115"/>
      <c r="BN1618" s="115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26"/>
      <c r="CA1618" s="15"/>
      <c r="CD1618" s="114"/>
    </row>
    <row r="1619" spans="1:82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22"/>
      <c r="BJ1619" s="122"/>
      <c r="BK1619" s="122"/>
      <c r="BL1619" s="115"/>
      <c r="BM1619" s="115"/>
      <c r="BN1619" s="115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26"/>
      <c r="CA1619" s="15"/>
      <c r="CD1619" s="114"/>
    </row>
    <row r="1620" spans="1:82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22"/>
      <c r="BJ1620" s="122"/>
      <c r="BK1620" s="122"/>
      <c r="BL1620" s="115"/>
      <c r="BM1620" s="115"/>
      <c r="BN1620" s="115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26"/>
      <c r="CA1620" s="13"/>
      <c r="CD1620" s="114"/>
    </row>
    <row r="1621" spans="1:82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22"/>
      <c r="BJ1621" s="122"/>
      <c r="BK1621" s="122"/>
      <c r="BL1621" s="115"/>
      <c r="BM1621" s="115"/>
      <c r="BN1621" s="115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26"/>
      <c r="CA1621" s="13"/>
      <c r="CD1621" s="114"/>
    </row>
    <row r="1622" spans="1:82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22"/>
      <c r="BJ1622" s="122"/>
      <c r="BK1622" s="122"/>
      <c r="BL1622" s="115"/>
      <c r="BM1622" s="115"/>
      <c r="BN1622" s="115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26"/>
      <c r="CA1622" s="13"/>
      <c r="CD1622" s="114"/>
    </row>
    <row r="1623" spans="1:82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22"/>
      <c r="BJ1623" s="122"/>
      <c r="BK1623" s="122"/>
      <c r="BL1623" s="115"/>
      <c r="BM1623" s="115"/>
      <c r="BN1623" s="115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26"/>
      <c r="CA1623" s="13"/>
      <c r="CD1623" s="114"/>
    </row>
    <row r="1624" spans="1:82" x14ac:dyDescent="0.4">
      <c r="A1624" s="115"/>
      <c r="B1624" s="115"/>
      <c r="C1624" s="115"/>
      <c r="D1624" s="115"/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15"/>
      <c r="AR1624" s="115"/>
      <c r="AS1624" s="115"/>
      <c r="AT1624" s="115"/>
      <c r="AU1624" s="115"/>
      <c r="AV1624" s="115"/>
      <c r="AW1624" s="115"/>
      <c r="AX1624" s="115"/>
      <c r="AY1624" s="115"/>
      <c r="AZ1624" s="115"/>
      <c r="BA1624" s="115"/>
      <c r="BB1624" s="115"/>
      <c r="BC1624" s="115"/>
      <c r="BD1624" s="115"/>
      <c r="BE1624" s="115"/>
      <c r="BF1624" s="115"/>
      <c r="BG1624" s="115"/>
      <c r="BH1624" s="115"/>
      <c r="BI1624" s="122"/>
      <c r="BJ1624" s="122"/>
      <c r="BK1624" s="122"/>
      <c r="BL1624" s="115"/>
      <c r="BM1624" s="115"/>
      <c r="BN1624" s="115"/>
      <c r="BO1624" s="115"/>
      <c r="BP1624" s="115"/>
      <c r="BQ1624" s="115"/>
      <c r="BR1624" s="115"/>
      <c r="BS1624" s="115"/>
      <c r="BT1624" s="115"/>
      <c r="BU1624" s="115"/>
      <c r="BV1624" s="115"/>
      <c r="BW1624" s="115"/>
      <c r="BX1624" s="115"/>
      <c r="BY1624" s="115"/>
      <c r="BZ1624" s="26"/>
      <c r="CA1624" s="13"/>
      <c r="CD1624" s="114"/>
    </row>
    <row r="1625" spans="1:82" x14ac:dyDescent="0.4">
      <c r="A1625" s="115"/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15"/>
      <c r="AY1625" s="115"/>
      <c r="AZ1625" s="115"/>
      <c r="BA1625" s="115"/>
      <c r="BB1625" s="115"/>
      <c r="BC1625" s="115"/>
      <c r="BD1625" s="115"/>
      <c r="BE1625" s="115"/>
      <c r="BF1625" s="115"/>
      <c r="BG1625" s="115"/>
      <c r="BH1625" s="115"/>
      <c r="BI1625" s="122"/>
      <c r="BJ1625" s="122"/>
      <c r="BK1625" s="122"/>
      <c r="BL1625" s="115"/>
      <c r="BM1625" s="115"/>
      <c r="BN1625" s="115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26"/>
      <c r="CA1625" s="13"/>
      <c r="CD1625" s="114"/>
    </row>
    <row r="1626" spans="1:82" x14ac:dyDescent="0.4">
      <c r="A1626" s="115"/>
      <c r="B1626" s="115"/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15"/>
      <c r="AV1626" s="115"/>
      <c r="AW1626" s="115"/>
      <c r="AX1626" s="115"/>
      <c r="AY1626" s="115"/>
      <c r="AZ1626" s="115"/>
      <c r="BA1626" s="115"/>
      <c r="BB1626" s="115"/>
      <c r="BC1626" s="115"/>
      <c r="BD1626" s="115"/>
      <c r="BE1626" s="115"/>
      <c r="BF1626" s="115"/>
      <c r="BG1626" s="115"/>
      <c r="BH1626" s="115"/>
      <c r="BI1626" s="122"/>
      <c r="BJ1626" s="122"/>
      <c r="BK1626" s="122"/>
      <c r="BL1626" s="115"/>
      <c r="BM1626" s="115"/>
      <c r="BN1626" s="115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26"/>
      <c r="CA1626" s="13"/>
      <c r="CD1626" s="114"/>
    </row>
    <row r="1627" spans="1:82" x14ac:dyDescent="0.4">
      <c r="A1627" s="115"/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22"/>
      <c r="BJ1627" s="122"/>
      <c r="BK1627" s="122"/>
      <c r="BL1627" s="115"/>
      <c r="BM1627" s="115"/>
      <c r="BN1627" s="115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26"/>
      <c r="CA1627" s="13"/>
      <c r="CD1627" s="114"/>
    </row>
    <row r="1628" spans="1:82" x14ac:dyDescent="0.4">
      <c r="A1628" s="115"/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22"/>
      <c r="BJ1628" s="122"/>
      <c r="BK1628" s="122"/>
      <c r="BL1628" s="115"/>
      <c r="BM1628" s="115"/>
      <c r="BN1628" s="115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7"/>
      <c r="CA1628" s="13"/>
      <c r="CD1628" s="114"/>
    </row>
    <row r="1629" spans="1:82" x14ac:dyDescent="0.4">
      <c r="A1629" s="115"/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22"/>
      <c r="BJ1629" s="122"/>
      <c r="BK1629" s="122"/>
      <c r="BL1629" s="115"/>
      <c r="BM1629" s="115"/>
      <c r="BN1629" s="115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26"/>
      <c r="CA1629" s="13"/>
      <c r="CD1629" s="114"/>
    </row>
    <row r="1630" spans="1:82" x14ac:dyDescent="0.4">
      <c r="A1630" s="115"/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22"/>
      <c r="BJ1630" s="122"/>
      <c r="BK1630" s="122"/>
      <c r="BL1630" s="115"/>
      <c r="BM1630" s="115"/>
      <c r="BN1630" s="115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7"/>
      <c r="CA1630" s="13"/>
      <c r="CD1630" s="114"/>
    </row>
    <row r="1631" spans="1:82" x14ac:dyDescent="0.4">
      <c r="A1631" s="115"/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22"/>
      <c r="BJ1631" s="122"/>
      <c r="BK1631" s="122"/>
      <c r="BL1631" s="115"/>
      <c r="BM1631" s="115"/>
      <c r="BN1631" s="115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26"/>
      <c r="CA1631" s="13"/>
      <c r="CD1631" s="114"/>
    </row>
    <row r="1632" spans="1:82" x14ac:dyDescent="0.4">
      <c r="A1632" s="115"/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22"/>
      <c r="BJ1632" s="122"/>
      <c r="BK1632" s="122"/>
      <c r="BL1632" s="115"/>
      <c r="BM1632" s="115"/>
      <c r="BN1632" s="115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26"/>
      <c r="CA1632" s="13"/>
      <c r="CD1632" s="114"/>
    </row>
    <row r="1633" spans="1:83" x14ac:dyDescent="0.4">
      <c r="A1633" s="115"/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22"/>
      <c r="BJ1633" s="122"/>
      <c r="BK1633" s="122"/>
      <c r="BL1633" s="115"/>
      <c r="BM1633" s="115"/>
      <c r="BN1633" s="115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26"/>
      <c r="CA1633" s="13"/>
      <c r="CD1633" s="114"/>
    </row>
    <row r="1634" spans="1:83" x14ac:dyDescent="0.4">
      <c r="A1634" s="115"/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22"/>
      <c r="BJ1634" s="122"/>
      <c r="BK1634" s="122"/>
      <c r="BL1634" s="115"/>
      <c r="BM1634" s="115"/>
      <c r="BN1634" s="115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26"/>
      <c r="CA1634" s="15"/>
      <c r="CD1634" s="114"/>
    </row>
    <row r="1635" spans="1:83" x14ac:dyDescent="0.4">
      <c r="A1635" s="115"/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22"/>
      <c r="BJ1635" s="122"/>
      <c r="BK1635" s="122"/>
      <c r="BL1635" s="115"/>
      <c r="BM1635" s="115"/>
      <c r="BN1635" s="115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26"/>
      <c r="CA1635" s="15"/>
      <c r="CD1635" s="114"/>
    </row>
    <row r="1636" spans="1:83" x14ac:dyDescent="0.4">
      <c r="A1636" s="115"/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22"/>
      <c r="BJ1636" s="122"/>
      <c r="BK1636" s="122"/>
      <c r="BL1636" s="115"/>
      <c r="BM1636" s="115"/>
      <c r="BN1636" s="115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26"/>
      <c r="CA1636" s="15"/>
      <c r="CD1636" s="114"/>
    </row>
    <row r="1637" spans="1:83" x14ac:dyDescent="0.4">
      <c r="A1637" s="115"/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22"/>
      <c r="BJ1637" s="122"/>
      <c r="BK1637" s="122"/>
      <c r="BL1637" s="115"/>
      <c r="BM1637" s="115"/>
      <c r="BN1637" s="115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26"/>
      <c r="CA1637" s="13"/>
      <c r="CD1637" s="114"/>
    </row>
    <row r="1638" spans="1:83" x14ac:dyDescent="0.4">
      <c r="A1638" s="115"/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22"/>
      <c r="BJ1638" s="122"/>
      <c r="BK1638" s="122"/>
      <c r="BL1638" s="115"/>
      <c r="BM1638" s="115"/>
      <c r="BN1638" s="115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26"/>
      <c r="CA1638" s="15"/>
      <c r="CD1638" s="114"/>
    </row>
    <row r="1639" spans="1:83" x14ac:dyDescent="0.4">
      <c r="A1639" s="115"/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22"/>
      <c r="BJ1639" s="122"/>
      <c r="BK1639" s="122"/>
      <c r="BL1639" s="115"/>
      <c r="BM1639" s="115"/>
      <c r="BN1639" s="115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26"/>
      <c r="CA1639" s="15"/>
      <c r="CD1639" s="114"/>
      <c r="CE1639" s="120"/>
    </row>
    <row r="1640" spans="1:83" x14ac:dyDescent="0.4">
      <c r="A1640" s="115"/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22"/>
      <c r="BJ1640" s="122"/>
      <c r="BK1640" s="122"/>
      <c r="BL1640" s="115"/>
      <c r="BM1640" s="115"/>
      <c r="BN1640" s="115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26"/>
      <c r="CA1640" s="15"/>
      <c r="CD1640" s="114"/>
      <c r="CE1640" s="120"/>
    </row>
    <row r="1641" spans="1:83" x14ac:dyDescent="0.4">
      <c r="A1641" s="115"/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22"/>
      <c r="BJ1641" s="122"/>
      <c r="BK1641" s="122"/>
      <c r="BL1641" s="115"/>
      <c r="BM1641" s="115"/>
      <c r="BN1641" s="115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26"/>
      <c r="CA1641" s="15"/>
      <c r="CD1641" s="114"/>
      <c r="CE1641" s="120"/>
    </row>
    <row r="1642" spans="1:83" x14ac:dyDescent="0.4">
      <c r="A1642" s="115"/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22"/>
      <c r="BJ1642" s="122"/>
      <c r="BK1642" s="122"/>
      <c r="BL1642" s="115"/>
      <c r="BM1642" s="115"/>
      <c r="BN1642" s="115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26"/>
      <c r="CA1642" s="15"/>
      <c r="CD1642" s="114"/>
      <c r="CE1642" s="120"/>
    </row>
    <row r="1643" spans="1:83" x14ac:dyDescent="0.4">
      <c r="A1643" s="115"/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22"/>
      <c r="BJ1643" s="122"/>
      <c r="BK1643" s="122"/>
      <c r="BL1643" s="115"/>
      <c r="BM1643" s="115"/>
      <c r="BN1643" s="115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26"/>
      <c r="CA1643" s="15"/>
      <c r="CD1643" s="114"/>
      <c r="CE1643" s="120"/>
    </row>
    <row r="1644" spans="1:83" x14ac:dyDescent="0.4">
      <c r="A1644" s="115"/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22"/>
      <c r="BJ1644" s="122"/>
      <c r="BK1644" s="122"/>
      <c r="BL1644" s="115"/>
      <c r="BM1644" s="115"/>
      <c r="BN1644" s="115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26"/>
      <c r="CA1644" s="15"/>
      <c r="CD1644" s="114"/>
      <c r="CE1644" s="120"/>
    </row>
    <row r="1645" spans="1:83" x14ac:dyDescent="0.4">
      <c r="A1645" s="115"/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22"/>
      <c r="BJ1645" s="122"/>
      <c r="BK1645" s="122"/>
      <c r="BL1645" s="115"/>
      <c r="BM1645" s="115"/>
      <c r="BN1645" s="115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26"/>
      <c r="CA1645" s="15"/>
      <c r="CD1645" s="114"/>
      <c r="CE1645" s="120"/>
    </row>
    <row r="1646" spans="1:83" x14ac:dyDescent="0.4">
      <c r="A1646" s="115"/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22"/>
      <c r="BJ1646" s="122"/>
      <c r="BK1646" s="122"/>
      <c r="BL1646" s="115"/>
      <c r="BM1646" s="115"/>
      <c r="BN1646" s="115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7"/>
      <c r="CA1646" s="15"/>
      <c r="CD1646" s="114"/>
      <c r="CE1646" s="120"/>
    </row>
    <row r="1647" spans="1:83" x14ac:dyDescent="0.4">
      <c r="A1647" s="115"/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22"/>
      <c r="BJ1647" s="122"/>
      <c r="BK1647" s="122"/>
      <c r="BL1647" s="115"/>
      <c r="BM1647" s="115"/>
      <c r="BN1647" s="115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26"/>
      <c r="CA1647" s="15"/>
      <c r="CD1647" s="114"/>
      <c r="CE1647" s="120"/>
    </row>
    <row r="1648" spans="1:83" x14ac:dyDescent="0.4">
      <c r="A1648" s="115"/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22"/>
      <c r="BJ1648" s="122"/>
      <c r="BK1648" s="122"/>
      <c r="BL1648" s="115"/>
      <c r="BM1648" s="115"/>
      <c r="BN1648" s="115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26"/>
      <c r="CA1648" s="15"/>
      <c r="CD1648" s="114"/>
    </row>
    <row r="1649" spans="4:86" x14ac:dyDescent="0.4">
      <c r="BZ1649" s="26"/>
      <c r="CA1649" s="15"/>
      <c r="CD1649" s="114"/>
    </row>
    <row r="1650" spans="4:86" x14ac:dyDescent="0.4">
      <c r="BM1650" s="115"/>
      <c r="BN1650" s="115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7"/>
      <c r="CA1650" s="15"/>
      <c r="CD1650" s="114"/>
    </row>
    <row r="1651" spans="4:86" x14ac:dyDescent="0.4">
      <c r="BM1651" s="115"/>
      <c r="BN1651" s="115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7"/>
      <c r="CA1651" s="15"/>
      <c r="CD1651" s="114"/>
    </row>
    <row r="1652" spans="4:86" x14ac:dyDescent="0.4">
      <c r="BK1652" s="122"/>
      <c r="BL1652" s="115"/>
      <c r="BM1652" s="115"/>
      <c r="BN1652" s="115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7"/>
      <c r="CA1652" s="15"/>
      <c r="CD1652" s="114"/>
    </row>
    <row r="1653" spans="4:86" x14ac:dyDescent="0.4">
      <c r="BF1653" s="115"/>
      <c r="BG1653" s="115"/>
      <c r="BH1653" s="115"/>
      <c r="BI1653" s="122"/>
      <c r="BJ1653" s="122"/>
      <c r="BK1653" s="122"/>
      <c r="BL1653" s="115"/>
      <c r="BM1653" s="115"/>
      <c r="BN1653" s="115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26"/>
      <c r="CA1653" s="15"/>
      <c r="CD1653" s="114"/>
    </row>
    <row r="1654" spans="4:86" x14ac:dyDescent="0.4">
      <c r="BF1654" s="115"/>
      <c r="BG1654" s="115"/>
      <c r="BH1654" s="115"/>
      <c r="BI1654" s="122"/>
      <c r="BJ1654" s="122"/>
      <c r="BK1654" s="122"/>
      <c r="BL1654" s="115"/>
      <c r="BM1654" s="115"/>
      <c r="BN1654" s="115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7"/>
      <c r="CA1654" s="15"/>
      <c r="CD1654" s="114"/>
    </row>
    <row r="1655" spans="4:86" x14ac:dyDescent="0.4">
      <c r="BE1655" s="115"/>
      <c r="BF1655" s="115"/>
      <c r="BG1655" s="115"/>
      <c r="BH1655" s="115"/>
      <c r="BI1655" s="122"/>
      <c r="BJ1655" s="122"/>
      <c r="BK1655" s="122"/>
      <c r="BL1655" s="115"/>
      <c r="BM1655" s="115"/>
      <c r="BN1655" s="115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26"/>
      <c r="CA1655" s="15"/>
      <c r="CD1655" s="114"/>
    </row>
    <row r="1656" spans="4:86" x14ac:dyDescent="0.4">
      <c r="BE1656" s="115"/>
      <c r="BF1656" s="115"/>
      <c r="BG1656" s="115"/>
      <c r="BH1656" s="115"/>
      <c r="BI1656" s="122"/>
      <c r="BJ1656" s="122"/>
      <c r="BK1656" s="122"/>
      <c r="BL1656" s="115"/>
      <c r="BM1656" s="115"/>
      <c r="BN1656" s="115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7"/>
      <c r="CA1656" s="15"/>
      <c r="CD1656" s="114"/>
    </row>
    <row r="1657" spans="4:86" x14ac:dyDescent="0.4">
      <c r="BE1657" s="115"/>
      <c r="BF1657" s="115"/>
      <c r="BG1657" s="115"/>
      <c r="BH1657" s="115"/>
      <c r="BI1657" s="122"/>
      <c r="BJ1657" s="122"/>
      <c r="BK1657" s="122"/>
      <c r="BL1657" s="115"/>
      <c r="BM1657" s="115"/>
      <c r="BN1657" s="115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7"/>
      <c r="CA1657" s="15"/>
      <c r="CD1657" s="114"/>
    </row>
    <row r="1658" spans="4:86" x14ac:dyDescent="0.4">
      <c r="BE1658" s="115"/>
      <c r="BF1658" s="115"/>
      <c r="BG1658" s="115"/>
      <c r="BH1658" s="115"/>
      <c r="BI1658" s="122"/>
      <c r="BJ1658" s="122"/>
      <c r="BK1658" s="122"/>
      <c r="BL1658" s="115"/>
      <c r="BM1658" s="115"/>
      <c r="BN1658" s="115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7"/>
      <c r="CA1658" s="15"/>
      <c r="CD1658" s="114"/>
    </row>
    <row r="1659" spans="4:86" x14ac:dyDescent="0.4">
      <c r="BE1659" s="115"/>
      <c r="BF1659" s="115"/>
      <c r="BG1659" s="115"/>
      <c r="BH1659" s="115"/>
      <c r="BI1659" s="122"/>
      <c r="BJ1659" s="122"/>
      <c r="BK1659" s="122"/>
      <c r="BL1659" s="115"/>
      <c r="BM1659" s="115"/>
      <c r="BN1659" s="115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26"/>
      <c r="CA1659" s="15"/>
      <c r="CD1659" s="114"/>
    </row>
    <row r="1660" spans="4:86" x14ac:dyDescent="0.4">
      <c r="BE1660" s="115"/>
      <c r="BF1660" s="115"/>
      <c r="BG1660" s="115"/>
      <c r="BH1660" s="115"/>
      <c r="BI1660" s="122"/>
      <c r="BJ1660" s="122"/>
      <c r="BK1660" s="122"/>
      <c r="BL1660" s="115"/>
      <c r="BM1660" s="115"/>
      <c r="BN1660" s="115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7"/>
      <c r="CA1660" s="15"/>
      <c r="CD1660" s="114"/>
    </row>
    <row r="1661" spans="4:86" ht="19.5" x14ac:dyDescent="0.4">
      <c r="BZ1661" s="26"/>
      <c r="CA1661" s="15"/>
      <c r="CE1661" s="116"/>
      <c r="CF1661" s="116"/>
      <c r="CG1661" s="116"/>
      <c r="CH1661" s="116"/>
    </row>
    <row r="1662" spans="4:86" ht="19.5" x14ac:dyDescent="0.4">
      <c r="BJ1662" s="122"/>
      <c r="BK1662" s="122"/>
      <c r="BL1662" s="115"/>
      <c r="BM1662" s="115"/>
      <c r="BN1662" s="115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7"/>
      <c r="CA1662" s="15"/>
      <c r="CE1662" s="117"/>
      <c r="CF1662" s="116"/>
      <c r="CG1662" s="116"/>
      <c r="CH1662" s="116"/>
    </row>
    <row r="1663" spans="4:86" ht="19.5" x14ac:dyDescent="0.4">
      <c r="BB1663" s="115"/>
      <c r="BC1663" s="115"/>
      <c r="BD1663" s="115"/>
      <c r="BE1663" s="115"/>
      <c r="BF1663" s="115"/>
      <c r="BG1663" s="115"/>
      <c r="BH1663" s="115"/>
      <c r="BI1663" s="122"/>
      <c r="BJ1663" s="122"/>
      <c r="BK1663" s="122"/>
      <c r="BL1663" s="115"/>
      <c r="BM1663" s="115"/>
      <c r="BN1663" s="115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26"/>
      <c r="CA1663" s="15"/>
      <c r="CE1663" s="117"/>
      <c r="CF1663" s="116"/>
      <c r="CG1663" s="116"/>
      <c r="CH1663" s="116"/>
    </row>
    <row r="1664" spans="4:86" ht="19.5" x14ac:dyDescent="0.4"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22"/>
      <c r="BJ1664" s="122"/>
      <c r="BK1664" s="122"/>
      <c r="BL1664" s="115"/>
      <c r="BM1664" s="115"/>
      <c r="BN1664" s="115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26"/>
      <c r="CA1664" s="13"/>
      <c r="CE1664" s="117"/>
      <c r="CF1664" s="116"/>
      <c r="CG1664" s="116"/>
      <c r="CH1664" s="116"/>
    </row>
    <row r="1665" spans="1:86" ht="19.5" x14ac:dyDescent="0.4"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22"/>
      <c r="BJ1665" s="122"/>
      <c r="BK1665" s="122"/>
      <c r="BL1665" s="115"/>
      <c r="BM1665" s="115"/>
      <c r="BN1665" s="115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26"/>
      <c r="CA1665" s="15"/>
      <c r="CE1665" s="117"/>
      <c r="CF1665" s="116"/>
      <c r="CG1665" s="116"/>
      <c r="CH1665" s="116"/>
    </row>
    <row r="1666" spans="1:86" ht="19.5" x14ac:dyDescent="0.4"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22"/>
      <c r="BJ1666" s="122"/>
      <c r="BK1666" s="122"/>
      <c r="BL1666" s="115"/>
      <c r="BM1666" s="115"/>
      <c r="BN1666" s="115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7"/>
      <c r="CA1666" s="15"/>
      <c r="CE1666" s="117"/>
      <c r="CF1666" s="116"/>
      <c r="CG1666" s="116"/>
      <c r="CH1666" s="116"/>
    </row>
    <row r="1667" spans="1:86" ht="19.5" x14ac:dyDescent="0.4"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22"/>
      <c r="BJ1667" s="122"/>
      <c r="BK1667" s="122"/>
      <c r="BL1667" s="115"/>
      <c r="BM1667" s="115"/>
      <c r="BN1667" s="115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26"/>
      <c r="CA1667" s="15"/>
      <c r="CE1667" s="117"/>
      <c r="CF1667" s="116"/>
      <c r="CG1667" s="116"/>
      <c r="CH1667" s="116"/>
    </row>
    <row r="1668" spans="1:86" ht="19.5" x14ac:dyDescent="0.4"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22"/>
      <c r="BJ1668" s="122"/>
      <c r="BK1668" s="122"/>
      <c r="BL1668" s="115"/>
      <c r="BM1668" s="115"/>
      <c r="BN1668" s="115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26"/>
      <c r="CA1668" s="15"/>
      <c r="CE1668" s="117"/>
      <c r="CF1668" s="116"/>
      <c r="CG1668" s="116"/>
      <c r="CH1668" s="116"/>
    </row>
    <row r="1669" spans="1:86" ht="19.5" x14ac:dyDescent="0.4"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22"/>
      <c r="BJ1669" s="122"/>
      <c r="BK1669" s="122"/>
      <c r="BL1669" s="115"/>
      <c r="BM1669" s="115"/>
      <c r="BN1669" s="115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7"/>
      <c r="CA1669" s="15"/>
      <c r="CE1669" s="117"/>
      <c r="CF1669" s="116"/>
      <c r="CG1669" s="116"/>
      <c r="CH1669" s="116"/>
    </row>
    <row r="1670" spans="1:86" ht="19.5" x14ac:dyDescent="0.4"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22"/>
      <c r="BJ1670" s="122"/>
      <c r="BK1670" s="122"/>
      <c r="BL1670" s="115"/>
      <c r="BM1670" s="115"/>
      <c r="BN1670" s="115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26"/>
      <c r="CA1670" s="15"/>
      <c r="CE1670" s="117"/>
      <c r="CF1670" s="116"/>
      <c r="CG1670" s="116"/>
      <c r="CH1670" s="116"/>
    </row>
    <row r="1671" spans="1:86" ht="19.5" x14ac:dyDescent="0.4">
      <c r="BZ1671" s="26"/>
      <c r="CA1671" s="15"/>
      <c r="CE1671" s="117"/>
      <c r="CF1671" s="116"/>
      <c r="CG1671" s="116"/>
      <c r="CH1671" s="116"/>
    </row>
    <row r="1672" spans="1:86" ht="19.5" x14ac:dyDescent="0.4">
      <c r="BJ1672" s="122"/>
      <c r="BK1672" s="122"/>
      <c r="BL1672" s="115"/>
      <c r="BM1672" s="115"/>
      <c r="BN1672" s="115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7"/>
      <c r="CA1672" s="15"/>
      <c r="CE1672" s="117"/>
      <c r="CF1672" s="116"/>
      <c r="CG1672" s="116"/>
      <c r="CH1672" s="116"/>
    </row>
    <row r="1673" spans="1:86" ht="19.5" x14ac:dyDescent="0.4">
      <c r="BG1673" s="115"/>
      <c r="BH1673" s="115"/>
      <c r="BI1673" s="122"/>
      <c r="BJ1673" s="122"/>
      <c r="BK1673" s="122"/>
      <c r="BL1673" s="115"/>
      <c r="BM1673" s="115"/>
      <c r="BN1673" s="115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26"/>
      <c r="CA1673" s="15"/>
      <c r="CE1673" s="117"/>
      <c r="CF1673" s="116"/>
      <c r="CG1673" s="116"/>
      <c r="CH1673" s="116"/>
    </row>
    <row r="1674" spans="1:86" ht="19.5" x14ac:dyDescent="0.4">
      <c r="BG1674" s="115"/>
      <c r="BH1674" s="115"/>
      <c r="BI1674" s="122"/>
      <c r="BJ1674" s="122"/>
      <c r="BK1674" s="122"/>
      <c r="BL1674" s="115"/>
      <c r="BM1674" s="115"/>
      <c r="BN1674" s="115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7"/>
      <c r="CA1674" s="15"/>
      <c r="CE1674" s="117"/>
      <c r="CF1674" s="116"/>
      <c r="CG1674" s="116"/>
      <c r="CH1674" s="116"/>
    </row>
    <row r="1675" spans="1:86" ht="19.5" x14ac:dyDescent="0.4">
      <c r="BF1675" s="115"/>
      <c r="BG1675" s="115"/>
      <c r="BH1675" s="115"/>
      <c r="BI1675" s="122"/>
      <c r="BJ1675" s="122"/>
      <c r="BK1675" s="122"/>
      <c r="BL1675" s="115"/>
      <c r="BM1675" s="115"/>
      <c r="BN1675" s="115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26"/>
      <c r="CA1675" s="15"/>
      <c r="CE1675" s="117"/>
      <c r="CF1675" s="116"/>
      <c r="CG1675" s="116"/>
      <c r="CH1675" s="116"/>
    </row>
    <row r="1676" spans="1:86" ht="19.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22"/>
      <c r="BJ1676" s="122"/>
      <c r="BK1676" s="122"/>
      <c r="BL1676" s="115"/>
      <c r="BM1676" s="115"/>
      <c r="BN1676" s="115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26"/>
      <c r="CA1676" s="15"/>
      <c r="CE1676" s="117"/>
      <c r="CF1676" s="116"/>
      <c r="CG1676" s="116"/>
      <c r="CH1676" s="116"/>
    </row>
    <row r="1677" spans="1:86" ht="19.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22"/>
      <c r="BJ1677" s="122"/>
      <c r="BK1677" s="122"/>
      <c r="BL1677" s="115"/>
      <c r="BM1677" s="115"/>
      <c r="BN1677" s="115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26"/>
      <c r="CA1677" s="15"/>
      <c r="CE1677" s="117"/>
      <c r="CF1677" s="116"/>
      <c r="CG1677" s="116"/>
      <c r="CH1677" s="116"/>
    </row>
    <row r="1678" spans="1:86" ht="19.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22"/>
      <c r="BJ1678" s="122"/>
      <c r="BK1678" s="122"/>
      <c r="BL1678" s="115"/>
      <c r="BM1678" s="115"/>
      <c r="BN1678" s="115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26"/>
      <c r="CA1678" s="15"/>
      <c r="CE1678" s="117"/>
      <c r="CF1678" s="116"/>
      <c r="CG1678" s="116"/>
      <c r="CH1678" s="116"/>
    </row>
    <row r="1679" spans="1:86" ht="19.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22"/>
      <c r="BJ1679" s="122"/>
      <c r="BK1679" s="122"/>
      <c r="BL1679" s="115"/>
      <c r="BM1679" s="115"/>
      <c r="BN1679" s="115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26"/>
      <c r="CA1679" s="105"/>
      <c r="CE1679" s="117"/>
      <c r="CF1679" s="116"/>
      <c r="CG1679" s="116"/>
      <c r="CH1679" s="116"/>
    </row>
    <row r="1680" spans="1:86" ht="19.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22"/>
      <c r="BJ1680" s="122"/>
      <c r="BK1680" s="122"/>
      <c r="BL1680" s="115"/>
      <c r="BM1680" s="115"/>
      <c r="BN1680" s="115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26"/>
      <c r="CA1680" s="105"/>
      <c r="CE1680" s="117"/>
      <c r="CF1680" s="116"/>
      <c r="CG1680" s="116"/>
      <c r="CH1680" s="116"/>
    </row>
    <row r="1681" spans="3:86" ht="19.5" x14ac:dyDescent="0.4">
      <c r="BZ1681" s="26"/>
      <c r="CA1681" s="13"/>
      <c r="CE1681" s="117"/>
      <c r="CF1681" s="116"/>
      <c r="CG1681" s="116"/>
      <c r="CH1681" s="116"/>
    </row>
    <row r="1682" spans="3:86" ht="19.5" x14ac:dyDescent="0.4">
      <c r="BG1682" s="115"/>
      <c r="BH1682" s="115"/>
      <c r="BI1682" s="122"/>
      <c r="BJ1682" s="122"/>
      <c r="BK1682" s="122"/>
      <c r="BL1682" s="115"/>
      <c r="BM1682" s="115"/>
      <c r="BN1682" s="115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26"/>
      <c r="CA1682" s="13"/>
      <c r="CE1682" s="117"/>
      <c r="CF1682" s="116"/>
      <c r="CG1682" s="116"/>
      <c r="CH1682" s="116"/>
    </row>
    <row r="1683" spans="3:86" ht="19.5" x14ac:dyDescent="0.4">
      <c r="BB1683" s="115"/>
      <c r="BC1683" s="115"/>
      <c r="BD1683" s="115"/>
      <c r="BE1683" s="115"/>
      <c r="BF1683" s="115"/>
      <c r="BG1683" s="115"/>
      <c r="BH1683" s="115"/>
      <c r="BI1683" s="122"/>
      <c r="BJ1683" s="122"/>
      <c r="BK1683" s="122"/>
      <c r="BL1683" s="115"/>
      <c r="BM1683" s="115"/>
      <c r="BN1683" s="115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26"/>
      <c r="CA1683" s="13"/>
      <c r="CE1683" s="117"/>
      <c r="CF1683" s="116"/>
      <c r="CG1683" s="116"/>
      <c r="CH1683" s="116"/>
    </row>
    <row r="1684" spans="3:86" ht="19.5" x14ac:dyDescent="0.4">
      <c r="BZ1684" s="26"/>
      <c r="CA1684" s="13"/>
      <c r="CE1684" s="117"/>
      <c r="CF1684" s="116"/>
      <c r="CG1684" s="116"/>
      <c r="CH1684" s="116"/>
    </row>
    <row r="1685" spans="3:86" ht="19.5" x14ac:dyDescent="0.4"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22"/>
      <c r="BJ1685" s="122"/>
      <c r="BK1685" s="122"/>
      <c r="BL1685" s="115"/>
      <c r="BM1685" s="115"/>
      <c r="BN1685" s="115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26"/>
      <c r="CA1685" s="13"/>
      <c r="CE1685" s="117"/>
      <c r="CF1685" s="116"/>
      <c r="CG1685" s="116"/>
      <c r="CH1685" s="116"/>
    </row>
    <row r="1686" spans="3:86" ht="19.5" x14ac:dyDescent="0.4"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22"/>
      <c r="BJ1686" s="122"/>
      <c r="BK1686" s="122"/>
      <c r="BL1686" s="115"/>
      <c r="BM1686" s="115"/>
      <c r="BN1686" s="115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26"/>
      <c r="CA1686" s="13"/>
      <c r="CE1686" s="117"/>
      <c r="CF1686" s="116"/>
      <c r="CG1686" s="116"/>
      <c r="CH1686" s="116"/>
    </row>
    <row r="1687" spans="3:86" ht="19.5" x14ac:dyDescent="0.4"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22"/>
      <c r="BJ1687" s="122"/>
      <c r="BK1687" s="122"/>
      <c r="BL1687" s="115"/>
      <c r="BM1687" s="115"/>
      <c r="BN1687" s="115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26"/>
      <c r="CA1687" s="13"/>
      <c r="CE1687" s="117"/>
      <c r="CF1687" s="116"/>
      <c r="CG1687" s="116"/>
      <c r="CH1687" s="116"/>
    </row>
    <row r="1688" spans="3:86" ht="19.5" x14ac:dyDescent="0.4"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22"/>
      <c r="BJ1688" s="122"/>
      <c r="BK1688" s="122"/>
      <c r="BL1688" s="115"/>
      <c r="BM1688" s="115"/>
      <c r="BN1688" s="115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26"/>
      <c r="CA1688" s="13"/>
      <c r="CE1688" s="117"/>
      <c r="CF1688" s="116"/>
      <c r="CG1688" s="116"/>
      <c r="CH1688" s="116"/>
    </row>
    <row r="1689" spans="3:86" ht="19.5" x14ac:dyDescent="0.4"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22"/>
      <c r="BJ1689" s="122"/>
      <c r="BK1689" s="122"/>
      <c r="BL1689" s="115"/>
      <c r="BM1689" s="115"/>
      <c r="BN1689" s="115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26"/>
      <c r="CA1689" s="13"/>
      <c r="CE1689" s="117"/>
      <c r="CF1689" s="116"/>
      <c r="CG1689" s="116"/>
      <c r="CH1689" s="116"/>
    </row>
    <row r="1690" spans="3:86" ht="19.5" x14ac:dyDescent="0.4"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22"/>
      <c r="BJ1690" s="122"/>
      <c r="BK1690" s="122"/>
      <c r="BL1690" s="115"/>
      <c r="BM1690" s="115"/>
      <c r="BN1690" s="115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26"/>
      <c r="CA1690" s="13"/>
      <c r="CE1690" s="117"/>
      <c r="CF1690" s="116"/>
      <c r="CG1690" s="116"/>
      <c r="CH1690" s="116"/>
    </row>
    <row r="1691" spans="3:86" ht="19.5" x14ac:dyDescent="0.4"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22"/>
      <c r="BJ1691" s="122"/>
      <c r="BK1691" s="122"/>
      <c r="BL1691" s="115"/>
      <c r="BM1691" s="115"/>
      <c r="BN1691" s="115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26"/>
      <c r="CA1691" s="13"/>
      <c r="CE1691" s="117"/>
      <c r="CF1691" s="116"/>
      <c r="CG1691" s="116"/>
      <c r="CH1691" s="116"/>
    </row>
    <row r="1692" spans="3:86" ht="19.5" x14ac:dyDescent="0.4"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22"/>
      <c r="BJ1692" s="122"/>
      <c r="BK1692" s="122"/>
      <c r="BL1692" s="115"/>
      <c r="BM1692" s="115"/>
      <c r="BN1692" s="115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26"/>
      <c r="CA1692" s="13"/>
      <c r="CE1692" s="117"/>
      <c r="CF1692" s="116"/>
      <c r="CG1692" s="116"/>
      <c r="CH1692" s="116"/>
    </row>
    <row r="1693" spans="3:86" ht="19.5" x14ac:dyDescent="0.4">
      <c r="BZ1693" s="26"/>
      <c r="CA1693" s="15"/>
      <c r="CE1693" s="117"/>
      <c r="CF1693" s="116"/>
      <c r="CG1693" s="116"/>
      <c r="CH1693" s="116"/>
    </row>
    <row r="1694" spans="3:86" ht="19.5" x14ac:dyDescent="0.4"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22"/>
      <c r="BJ1694" s="122"/>
      <c r="BK1694" s="122"/>
      <c r="BL1694" s="115"/>
      <c r="BM1694" s="115"/>
      <c r="BN1694" s="115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26"/>
      <c r="CA1694" s="15"/>
      <c r="CE1694" s="117"/>
      <c r="CF1694" s="116"/>
      <c r="CG1694" s="116"/>
      <c r="CH1694" s="116"/>
    </row>
    <row r="1695" spans="3:86" ht="19.5" x14ac:dyDescent="0.4"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22"/>
      <c r="BJ1695" s="122"/>
      <c r="BK1695" s="122"/>
      <c r="BL1695" s="115"/>
      <c r="BM1695" s="115"/>
      <c r="BN1695" s="115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7"/>
      <c r="CA1695" s="15"/>
      <c r="CE1695" s="117"/>
      <c r="CF1695" s="116"/>
      <c r="CG1695" s="116"/>
      <c r="CH1695" s="116"/>
    </row>
    <row r="1696" spans="3:86" ht="19.5" x14ac:dyDescent="0.4">
      <c r="BZ1696" s="26"/>
      <c r="CA1696" s="15"/>
      <c r="CE1696" s="117"/>
      <c r="CF1696" s="116"/>
      <c r="CG1696" s="116"/>
      <c r="CH1696" s="116"/>
    </row>
    <row r="1697" spans="1:86" ht="19.5" x14ac:dyDescent="0.4">
      <c r="BZ1697" s="26"/>
      <c r="CA1697" s="13"/>
      <c r="CE1697" s="117"/>
      <c r="CF1697" s="116"/>
      <c r="CG1697" s="116"/>
      <c r="CH1697" s="116"/>
    </row>
    <row r="1698" spans="1:86" ht="19.5" x14ac:dyDescent="0.4">
      <c r="BF1698" s="115"/>
      <c r="BG1698" s="115"/>
      <c r="BH1698" s="115"/>
      <c r="BI1698" s="122"/>
      <c r="BJ1698" s="122"/>
      <c r="BK1698" s="122"/>
      <c r="BL1698" s="115"/>
      <c r="BM1698" s="115"/>
      <c r="BN1698" s="115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26"/>
      <c r="CA1698" s="13"/>
      <c r="CE1698" s="117"/>
      <c r="CF1698" s="116"/>
      <c r="CG1698" s="116"/>
      <c r="CH1698" s="116"/>
    </row>
    <row r="1699" spans="1:86" ht="19.5" x14ac:dyDescent="0.4"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22"/>
      <c r="BJ1699" s="122"/>
      <c r="BK1699" s="122"/>
      <c r="BL1699" s="115"/>
      <c r="BM1699" s="115"/>
      <c r="BN1699" s="115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26"/>
      <c r="CA1699" s="13"/>
      <c r="CE1699" s="117"/>
      <c r="CF1699" s="116"/>
      <c r="CG1699" s="116"/>
      <c r="CH1699" s="116"/>
    </row>
    <row r="1700" spans="1:86" ht="19.5" x14ac:dyDescent="0.4"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22"/>
      <c r="BJ1700" s="122"/>
      <c r="BK1700" s="122"/>
      <c r="BL1700" s="115"/>
      <c r="BM1700" s="115"/>
      <c r="BN1700" s="115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7"/>
      <c r="CA1700" s="13"/>
      <c r="CE1700" s="117"/>
      <c r="CF1700" s="116"/>
      <c r="CG1700" s="116"/>
      <c r="CH1700" s="116"/>
    </row>
    <row r="1701" spans="1:86" ht="19.5" x14ac:dyDescent="0.4"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22"/>
      <c r="BJ1701" s="122"/>
      <c r="BK1701" s="122"/>
      <c r="BL1701" s="115"/>
      <c r="BM1701" s="115"/>
      <c r="BN1701" s="115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26"/>
      <c r="CA1701" s="25"/>
      <c r="CE1701" s="117"/>
      <c r="CF1701" s="116"/>
      <c r="CG1701" s="116"/>
      <c r="CH1701" s="116"/>
    </row>
    <row r="1702" spans="1:86" ht="19.5" x14ac:dyDescent="0.4"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15"/>
      <c r="BH1702" s="115"/>
      <c r="BI1702" s="122"/>
      <c r="BJ1702" s="122"/>
      <c r="BK1702" s="122"/>
      <c r="BL1702" s="115"/>
      <c r="BM1702" s="115"/>
      <c r="BN1702" s="115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7"/>
      <c r="CA1702" s="13"/>
      <c r="CE1702" s="117"/>
      <c r="CF1702" s="116"/>
      <c r="CG1702" s="116"/>
      <c r="CH1702" s="116"/>
    </row>
    <row r="1703" spans="1:86" ht="19.5" x14ac:dyDescent="0.4"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22"/>
      <c r="BJ1703" s="122"/>
      <c r="BK1703" s="122"/>
      <c r="BL1703" s="115"/>
      <c r="BM1703" s="115"/>
      <c r="BN1703" s="115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26"/>
      <c r="CA1703" s="13"/>
      <c r="CE1703" s="117"/>
      <c r="CF1703" s="116"/>
      <c r="CG1703" s="116"/>
      <c r="CH1703" s="116"/>
    </row>
    <row r="1704" spans="1:86" ht="19.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22"/>
      <c r="BJ1704" s="122"/>
      <c r="BK1704" s="122"/>
      <c r="BL1704" s="115"/>
      <c r="BM1704" s="115"/>
      <c r="BN1704" s="115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26"/>
      <c r="CA1704" s="13"/>
      <c r="CE1704" s="117"/>
      <c r="CF1704" s="116"/>
      <c r="CG1704" s="116"/>
      <c r="CH1704" s="116"/>
    </row>
    <row r="1705" spans="1:86" ht="19.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22"/>
      <c r="BJ1705" s="122"/>
      <c r="BK1705" s="122"/>
      <c r="BL1705" s="115"/>
      <c r="BM1705" s="115"/>
      <c r="BN1705" s="115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26"/>
      <c r="CA1705" s="13"/>
      <c r="CE1705" s="117"/>
      <c r="CF1705" s="116"/>
      <c r="CG1705" s="116"/>
      <c r="CH1705" s="116"/>
    </row>
    <row r="1706" spans="1:86" ht="19.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22"/>
      <c r="BJ1706" s="122"/>
      <c r="BK1706" s="122"/>
      <c r="BL1706" s="115"/>
      <c r="BM1706" s="115"/>
      <c r="BN1706" s="115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26"/>
      <c r="CA1706" s="13"/>
      <c r="CE1706" s="117"/>
      <c r="CF1706" s="116"/>
      <c r="CG1706" s="116"/>
      <c r="CH1706" s="116"/>
    </row>
    <row r="1707" spans="1:86" ht="19.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22"/>
      <c r="BJ1707" s="122"/>
      <c r="BK1707" s="122"/>
      <c r="BL1707" s="115"/>
      <c r="BM1707" s="115"/>
      <c r="BN1707" s="115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26"/>
      <c r="CA1707" s="13"/>
      <c r="CE1707" s="117"/>
      <c r="CF1707" s="116"/>
      <c r="CG1707" s="116"/>
      <c r="CH1707" s="116"/>
    </row>
    <row r="1708" spans="1:86" ht="19.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22"/>
      <c r="BJ1708" s="122"/>
      <c r="BK1708" s="122"/>
      <c r="BL1708" s="115"/>
      <c r="BM1708" s="115"/>
      <c r="BN1708" s="115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26"/>
      <c r="CA1708" s="13"/>
      <c r="CE1708" s="117"/>
      <c r="CF1708" s="116"/>
      <c r="CG1708" s="116"/>
      <c r="CH1708" s="116"/>
    </row>
    <row r="1709" spans="1:86" ht="19.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22"/>
      <c r="BJ1709" s="122"/>
      <c r="BK1709" s="122"/>
      <c r="BL1709" s="115"/>
      <c r="BM1709" s="115"/>
      <c r="BN1709" s="115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26"/>
      <c r="CA1709" s="13"/>
      <c r="CE1709" s="117"/>
      <c r="CF1709" s="116"/>
      <c r="CG1709" s="116"/>
      <c r="CH1709" s="116"/>
    </row>
    <row r="1710" spans="1:86" ht="19.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22"/>
      <c r="BJ1710" s="122"/>
      <c r="BK1710" s="122"/>
      <c r="BL1710" s="115"/>
      <c r="BM1710" s="115"/>
      <c r="BN1710" s="115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26"/>
      <c r="CA1710" s="13"/>
      <c r="CE1710" s="117"/>
      <c r="CF1710" s="116"/>
      <c r="CG1710" s="116"/>
      <c r="CH1710" s="116"/>
    </row>
    <row r="1711" spans="1:86" ht="19.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22"/>
      <c r="BJ1711" s="122"/>
      <c r="BK1711" s="122"/>
      <c r="BL1711" s="115"/>
      <c r="BM1711" s="115"/>
      <c r="BN1711" s="115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26"/>
      <c r="CA1711" s="15"/>
      <c r="CE1711" s="117"/>
      <c r="CF1711" s="116"/>
      <c r="CG1711" s="116"/>
      <c r="CH1711" s="116"/>
    </row>
    <row r="1712" spans="1:86" ht="19.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22"/>
      <c r="BJ1712" s="122"/>
      <c r="BK1712" s="122"/>
      <c r="BL1712" s="115"/>
      <c r="BM1712" s="115"/>
      <c r="BN1712" s="115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26"/>
      <c r="CA1712" s="15"/>
      <c r="CE1712" s="117"/>
      <c r="CF1712" s="116"/>
      <c r="CG1712" s="116"/>
      <c r="CH1712" s="116"/>
    </row>
    <row r="1713" spans="1:86" ht="19.5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22"/>
      <c r="BJ1713" s="122"/>
      <c r="BK1713" s="122"/>
      <c r="BL1713" s="115"/>
      <c r="BM1713" s="115"/>
      <c r="BN1713" s="115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26"/>
      <c r="CA1713" s="15"/>
      <c r="CE1713" s="117"/>
      <c r="CF1713" s="116"/>
      <c r="CG1713" s="116"/>
      <c r="CH1713" s="116"/>
    </row>
    <row r="1714" spans="1:86" ht="19.5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22"/>
      <c r="BJ1714" s="122"/>
      <c r="BK1714" s="122"/>
      <c r="BL1714" s="115"/>
      <c r="BM1714" s="115"/>
      <c r="BN1714" s="115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26"/>
      <c r="CA1714" s="15"/>
      <c r="CE1714" s="117"/>
      <c r="CF1714" s="116"/>
      <c r="CG1714" s="116"/>
      <c r="CH1714" s="116"/>
    </row>
    <row r="1715" spans="1:86" ht="19.5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22"/>
      <c r="BJ1715" s="122"/>
      <c r="BK1715" s="122"/>
      <c r="BL1715" s="115"/>
      <c r="BM1715" s="115"/>
      <c r="BN1715" s="115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26"/>
      <c r="CA1715" s="25"/>
      <c r="CE1715" s="117"/>
      <c r="CF1715" s="116"/>
      <c r="CG1715" s="116"/>
      <c r="CH1715" s="116"/>
    </row>
    <row r="1716" spans="1:86" ht="19.5" x14ac:dyDescent="0.4">
      <c r="BZ1716" s="26"/>
      <c r="CA1716" s="15"/>
      <c r="CE1716" s="117"/>
      <c r="CF1716" s="116"/>
      <c r="CG1716" s="116"/>
      <c r="CH1716" s="116"/>
    </row>
    <row r="1717" spans="1:86" ht="19.5" x14ac:dyDescent="0.4">
      <c r="BH1717" s="115"/>
      <c r="BI1717" s="122"/>
      <c r="BJ1717" s="122"/>
      <c r="BK1717" s="122"/>
      <c r="BL1717" s="115"/>
      <c r="BM1717" s="115"/>
      <c r="BN1717" s="115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26"/>
      <c r="CA1717" s="15"/>
      <c r="CE1717" s="117"/>
      <c r="CF1717" s="116"/>
      <c r="CG1717" s="116"/>
      <c r="CH1717" s="116"/>
    </row>
    <row r="1718" spans="1:86" ht="19.5" x14ac:dyDescent="0.4">
      <c r="BF1718" s="115"/>
      <c r="BG1718" s="115"/>
      <c r="BH1718" s="115"/>
      <c r="BI1718" s="122"/>
      <c r="BJ1718" s="122"/>
      <c r="BK1718" s="122"/>
      <c r="BL1718" s="115"/>
      <c r="BM1718" s="115"/>
      <c r="BN1718" s="115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26"/>
      <c r="CA1718" s="15"/>
      <c r="CE1718" s="117"/>
      <c r="CF1718" s="116"/>
      <c r="CG1718" s="116"/>
      <c r="CH1718" s="116"/>
    </row>
    <row r="1719" spans="1:86" ht="19.5" x14ac:dyDescent="0.4">
      <c r="BF1719" s="115"/>
      <c r="BG1719" s="115"/>
      <c r="BH1719" s="115"/>
      <c r="BI1719" s="122"/>
      <c r="BJ1719" s="122"/>
      <c r="BK1719" s="122"/>
      <c r="BL1719" s="115"/>
      <c r="BM1719" s="115"/>
      <c r="BN1719" s="115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7"/>
      <c r="CA1719" s="15"/>
      <c r="CE1719" s="117"/>
      <c r="CF1719" s="116"/>
      <c r="CG1719" s="116"/>
      <c r="CH1719" s="116"/>
    </row>
    <row r="1720" spans="1:86" ht="19.5" x14ac:dyDescent="0.4">
      <c r="BC1720" s="115"/>
      <c r="BD1720" s="115"/>
      <c r="BE1720" s="115"/>
      <c r="BF1720" s="115"/>
      <c r="BG1720" s="115"/>
      <c r="BH1720" s="115"/>
      <c r="BI1720" s="122"/>
      <c r="BJ1720" s="122"/>
      <c r="BK1720" s="122"/>
      <c r="BL1720" s="115"/>
      <c r="BM1720" s="115"/>
      <c r="BN1720" s="115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26"/>
      <c r="CA1720" s="15"/>
      <c r="CE1720" s="117"/>
      <c r="CF1720" s="116"/>
      <c r="CG1720" s="116"/>
      <c r="CH1720" s="116"/>
    </row>
    <row r="1721" spans="1:86" ht="19.5" x14ac:dyDescent="0.4">
      <c r="BC1721" s="115"/>
      <c r="BD1721" s="115"/>
      <c r="BE1721" s="115"/>
      <c r="BF1721" s="115"/>
      <c r="BG1721" s="115"/>
      <c r="BH1721" s="115"/>
      <c r="BI1721" s="122"/>
      <c r="BJ1721" s="122"/>
      <c r="BK1721" s="122"/>
      <c r="BL1721" s="115"/>
      <c r="BM1721" s="115"/>
      <c r="BN1721" s="115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7"/>
      <c r="CA1721" s="15"/>
      <c r="CE1721" s="117"/>
      <c r="CF1721" s="116"/>
      <c r="CG1721" s="116"/>
      <c r="CH1721" s="116"/>
    </row>
    <row r="1722" spans="1:86" ht="19.5" x14ac:dyDescent="0.4">
      <c r="BC1722" s="115"/>
      <c r="BD1722" s="115"/>
      <c r="BE1722" s="115"/>
      <c r="BF1722" s="115"/>
      <c r="BG1722" s="115"/>
      <c r="BH1722" s="115"/>
      <c r="BI1722" s="122"/>
      <c r="BJ1722" s="122"/>
      <c r="BK1722" s="122"/>
      <c r="BL1722" s="115"/>
      <c r="BM1722" s="115"/>
      <c r="BN1722" s="115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26"/>
      <c r="CA1722" s="15"/>
      <c r="CE1722" s="117"/>
      <c r="CF1722" s="116"/>
      <c r="CG1722" s="116"/>
      <c r="CH1722" s="116"/>
    </row>
    <row r="1723" spans="1:86" ht="19.5" x14ac:dyDescent="0.4">
      <c r="BC1723" s="115"/>
      <c r="BD1723" s="115"/>
      <c r="BE1723" s="115"/>
      <c r="BF1723" s="115"/>
      <c r="BG1723" s="115"/>
      <c r="BH1723" s="115"/>
      <c r="BI1723" s="122"/>
      <c r="BJ1723" s="122"/>
      <c r="BK1723" s="122"/>
      <c r="BL1723" s="115"/>
      <c r="BM1723" s="115"/>
      <c r="BN1723" s="115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7"/>
      <c r="CA1723" s="13"/>
      <c r="CE1723" s="117"/>
      <c r="CF1723" s="116"/>
      <c r="CG1723" s="116"/>
      <c r="CH1723" s="116"/>
    </row>
    <row r="1724" spans="1:86" ht="19.5" x14ac:dyDescent="0.4">
      <c r="BC1724" s="115"/>
      <c r="BD1724" s="115"/>
      <c r="BE1724" s="115"/>
      <c r="BF1724" s="115"/>
      <c r="BG1724" s="115"/>
      <c r="BH1724" s="115"/>
      <c r="BI1724" s="122"/>
      <c r="BJ1724" s="122"/>
      <c r="BK1724" s="122"/>
      <c r="BL1724" s="115"/>
      <c r="BM1724" s="115"/>
      <c r="BN1724" s="115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7"/>
      <c r="CA1724" s="13"/>
      <c r="CE1724" s="117"/>
      <c r="CF1724" s="116"/>
      <c r="CG1724" s="116"/>
      <c r="CH1724" s="116"/>
    </row>
    <row r="1725" spans="1:86" ht="19.5" x14ac:dyDescent="0.4">
      <c r="BZ1725" s="26"/>
      <c r="CA1725" s="13"/>
      <c r="CE1725" s="117"/>
      <c r="CF1725" s="116"/>
      <c r="CG1725" s="116"/>
      <c r="CH1725" s="116"/>
    </row>
    <row r="1726" spans="1:86" ht="19.5" x14ac:dyDescent="0.4">
      <c r="BH1726" s="115"/>
      <c r="BI1726" s="122"/>
      <c r="BJ1726" s="122"/>
      <c r="BK1726" s="122"/>
      <c r="BL1726" s="115"/>
      <c r="BM1726" s="115"/>
      <c r="BN1726" s="115"/>
      <c r="BO1726" s="115"/>
      <c r="BP1726" s="115"/>
      <c r="BQ1726" s="115"/>
      <c r="BR1726" s="115"/>
      <c r="BS1726" s="115"/>
      <c r="BT1726" s="115"/>
      <c r="BU1726" s="115"/>
      <c r="BV1726" s="115"/>
      <c r="BW1726" s="115"/>
      <c r="BX1726" s="115"/>
      <c r="BY1726" s="115"/>
      <c r="BZ1726" s="17"/>
      <c r="CA1726" s="13"/>
      <c r="CE1726" s="117"/>
      <c r="CF1726" s="116"/>
      <c r="CG1726" s="116"/>
      <c r="CH1726" s="116"/>
    </row>
    <row r="1727" spans="1:86" ht="19.5" x14ac:dyDescent="0.4">
      <c r="A1727" s="115"/>
      <c r="B1727" s="115"/>
      <c r="C1727" s="115"/>
      <c r="D1727" s="115"/>
      <c r="E1727" s="115"/>
      <c r="F1727" s="115"/>
      <c r="G1727" s="115"/>
      <c r="H1727" s="115"/>
      <c r="I1727" s="115"/>
      <c r="J1727" s="115"/>
      <c r="K1727" s="115"/>
      <c r="L1727" s="115"/>
      <c r="M1727" s="115"/>
      <c r="N1727" s="115"/>
      <c r="O1727" s="115"/>
      <c r="P1727" s="115"/>
      <c r="Q1727" s="115"/>
      <c r="R1727" s="115"/>
      <c r="S1727" s="115"/>
      <c r="T1727" s="115"/>
      <c r="U1727" s="115"/>
      <c r="V1727" s="115"/>
      <c r="W1727" s="115"/>
      <c r="X1727" s="115"/>
      <c r="Y1727" s="115"/>
      <c r="Z1727" s="115"/>
      <c r="AA1727" s="115"/>
      <c r="AB1727" s="115"/>
      <c r="AC1727" s="115"/>
      <c r="AD1727" s="115"/>
      <c r="AE1727" s="115"/>
      <c r="AF1727" s="115"/>
      <c r="AG1727" s="115"/>
      <c r="AH1727" s="115"/>
      <c r="AI1727" s="115"/>
      <c r="AJ1727" s="115"/>
      <c r="AK1727" s="115"/>
      <c r="AL1727" s="115"/>
      <c r="AM1727" s="115"/>
      <c r="AN1727" s="115"/>
      <c r="AO1727" s="115"/>
      <c r="AP1727" s="115"/>
      <c r="AQ1727" s="115"/>
      <c r="AR1727" s="115"/>
      <c r="AS1727" s="115"/>
      <c r="AT1727" s="115"/>
      <c r="AU1727" s="115"/>
      <c r="AV1727" s="115"/>
      <c r="AW1727" s="115"/>
      <c r="AX1727" s="115"/>
      <c r="AY1727" s="115"/>
      <c r="AZ1727" s="115"/>
      <c r="BA1727" s="115"/>
      <c r="BB1727" s="115"/>
      <c r="BC1727" s="115"/>
      <c r="BD1727" s="115"/>
      <c r="BE1727" s="115"/>
      <c r="BF1727" s="115"/>
      <c r="BG1727" s="115"/>
      <c r="BH1727" s="115"/>
      <c r="BI1727" s="122"/>
      <c r="BJ1727" s="122"/>
      <c r="BK1727" s="122"/>
      <c r="BL1727" s="115"/>
      <c r="BM1727" s="115"/>
      <c r="BN1727" s="115"/>
      <c r="BO1727" s="115"/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26"/>
      <c r="CA1727" s="13"/>
      <c r="CE1727" s="117"/>
      <c r="CF1727" s="116"/>
      <c r="CG1727" s="116"/>
      <c r="CH1727" s="116"/>
    </row>
    <row r="1728" spans="1:86" ht="19.5" x14ac:dyDescent="0.4">
      <c r="A1728" s="115"/>
      <c r="B1728" s="115"/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15"/>
      <c r="AY1728" s="115"/>
      <c r="AZ1728" s="115"/>
      <c r="BA1728" s="115"/>
      <c r="BB1728" s="115"/>
      <c r="BC1728" s="115"/>
      <c r="BD1728" s="115"/>
      <c r="BE1728" s="115"/>
      <c r="BF1728" s="115"/>
      <c r="BG1728" s="115"/>
      <c r="BH1728" s="115"/>
      <c r="BI1728" s="122"/>
      <c r="BJ1728" s="122"/>
      <c r="BK1728" s="122"/>
      <c r="BL1728" s="115"/>
      <c r="BM1728" s="115"/>
      <c r="BN1728" s="115"/>
      <c r="BO1728" s="115"/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26"/>
      <c r="CA1728" s="13"/>
      <c r="CE1728" s="117"/>
      <c r="CF1728" s="116"/>
      <c r="CG1728" s="116"/>
      <c r="CH1728" s="116"/>
    </row>
    <row r="1729" spans="1:86" ht="19.5" x14ac:dyDescent="0.4">
      <c r="A1729" s="115"/>
      <c r="B1729" s="115"/>
      <c r="C1729" s="115"/>
      <c r="D1729" s="115"/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15"/>
      <c r="AV1729" s="115"/>
      <c r="AW1729" s="115"/>
      <c r="AX1729" s="115"/>
      <c r="AY1729" s="115"/>
      <c r="AZ1729" s="115"/>
      <c r="BA1729" s="115"/>
      <c r="BB1729" s="115"/>
      <c r="BC1729" s="115"/>
      <c r="BD1729" s="115"/>
      <c r="BE1729" s="115"/>
      <c r="BF1729" s="115"/>
      <c r="BG1729" s="115"/>
      <c r="BH1729" s="115"/>
      <c r="BI1729" s="122"/>
      <c r="BJ1729" s="122"/>
      <c r="BK1729" s="122"/>
      <c r="BL1729" s="115"/>
      <c r="BM1729" s="115"/>
      <c r="BN1729" s="115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26"/>
      <c r="CA1729" s="13"/>
      <c r="CE1729" s="117"/>
      <c r="CF1729" s="116"/>
      <c r="CG1729" s="116"/>
      <c r="CH1729" s="116"/>
    </row>
    <row r="1730" spans="1:86" ht="19.5" x14ac:dyDescent="0.4">
      <c r="A1730" s="115"/>
      <c r="B1730" s="115"/>
      <c r="C1730" s="115"/>
      <c r="D1730" s="115"/>
      <c r="E1730" s="115"/>
      <c r="F1730" s="115"/>
      <c r="G1730" s="115"/>
      <c r="H1730" s="115"/>
      <c r="I1730" s="115"/>
      <c r="J1730" s="115"/>
      <c r="K1730" s="115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  <c r="AI1730" s="115"/>
      <c r="AJ1730" s="115"/>
      <c r="AK1730" s="115"/>
      <c r="AL1730" s="115"/>
      <c r="AM1730" s="115"/>
      <c r="AN1730" s="115"/>
      <c r="AO1730" s="115"/>
      <c r="AP1730" s="115"/>
      <c r="AQ1730" s="115"/>
      <c r="AR1730" s="115"/>
      <c r="AS1730" s="115"/>
      <c r="AT1730" s="115"/>
      <c r="AU1730" s="115"/>
      <c r="AV1730" s="115"/>
      <c r="AW1730" s="115"/>
      <c r="AX1730" s="115"/>
      <c r="AY1730" s="115"/>
      <c r="AZ1730" s="115"/>
      <c r="BA1730" s="115"/>
      <c r="BB1730" s="115"/>
      <c r="BC1730" s="115"/>
      <c r="BD1730" s="115"/>
      <c r="BE1730" s="115"/>
      <c r="BF1730" s="115"/>
      <c r="BG1730" s="115"/>
      <c r="BH1730" s="115"/>
      <c r="BI1730" s="122"/>
      <c r="BJ1730" s="122"/>
      <c r="BK1730" s="122"/>
      <c r="BL1730" s="115"/>
      <c r="BM1730" s="115"/>
      <c r="BN1730" s="115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26"/>
      <c r="CA1730" s="13"/>
      <c r="CE1730" s="117"/>
      <c r="CF1730" s="116"/>
      <c r="CG1730" s="116"/>
      <c r="CH1730" s="116"/>
    </row>
    <row r="1731" spans="1:86" ht="19.5" x14ac:dyDescent="0.4">
      <c r="A1731" s="115"/>
      <c r="B1731" s="115"/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15"/>
      <c r="AX1731" s="115"/>
      <c r="AY1731" s="115"/>
      <c r="AZ1731" s="115"/>
      <c r="BA1731" s="115"/>
      <c r="BB1731" s="115"/>
      <c r="BC1731" s="115"/>
      <c r="BD1731" s="115"/>
      <c r="BE1731" s="115"/>
      <c r="BF1731" s="115"/>
      <c r="BG1731" s="115"/>
      <c r="BH1731" s="115"/>
      <c r="BI1731" s="122"/>
      <c r="BJ1731" s="122"/>
      <c r="BK1731" s="122"/>
      <c r="BL1731" s="115"/>
      <c r="BM1731" s="115"/>
      <c r="BN1731" s="115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7"/>
      <c r="CA1731" s="13"/>
      <c r="CE1731" s="117"/>
      <c r="CF1731" s="116"/>
      <c r="CG1731" s="116"/>
      <c r="CH1731" s="116"/>
    </row>
    <row r="1732" spans="1:86" ht="19.5" x14ac:dyDescent="0.4">
      <c r="A1732" s="115"/>
      <c r="B1732" s="115"/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  <c r="AI1732" s="115"/>
      <c r="AJ1732" s="115"/>
      <c r="AK1732" s="115"/>
      <c r="AL1732" s="115"/>
      <c r="AM1732" s="115"/>
      <c r="AN1732" s="115"/>
      <c r="AO1732" s="115"/>
      <c r="AP1732" s="115"/>
      <c r="AQ1732" s="115"/>
      <c r="AR1732" s="115"/>
      <c r="AS1732" s="115"/>
      <c r="AT1732" s="115"/>
      <c r="AU1732" s="115"/>
      <c r="AV1732" s="115"/>
      <c r="AW1732" s="115"/>
      <c r="AX1732" s="115"/>
      <c r="AY1732" s="115"/>
      <c r="AZ1732" s="115"/>
      <c r="BA1732" s="115"/>
      <c r="BB1732" s="115"/>
      <c r="BC1732" s="115"/>
      <c r="BD1732" s="115"/>
      <c r="BE1732" s="115"/>
      <c r="BF1732" s="115"/>
      <c r="BG1732" s="115"/>
      <c r="BH1732" s="115"/>
      <c r="BI1732" s="122"/>
      <c r="BJ1732" s="122"/>
      <c r="BK1732" s="122"/>
      <c r="BL1732" s="115"/>
      <c r="BM1732" s="115"/>
      <c r="BN1732" s="115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26"/>
      <c r="CA1732" s="13"/>
      <c r="CE1732" s="117"/>
      <c r="CF1732" s="116"/>
      <c r="CG1732" s="116"/>
      <c r="CH1732" s="116"/>
    </row>
    <row r="1733" spans="1:86" ht="19.5" x14ac:dyDescent="0.4">
      <c r="A1733" s="115"/>
      <c r="B1733" s="115"/>
      <c r="C1733" s="115"/>
      <c r="D1733" s="115"/>
      <c r="E1733" s="115"/>
      <c r="F1733" s="115"/>
      <c r="G1733" s="115"/>
      <c r="H1733" s="115"/>
      <c r="I1733" s="115"/>
      <c r="J1733" s="115"/>
      <c r="K1733" s="115"/>
      <c r="L1733" s="115"/>
      <c r="M1733" s="115"/>
      <c r="N1733" s="115"/>
      <c r="O1733" s="115"/>
      <c r="P1733" s="115"/>
      <c r="Q1733" s="115"/>
      <c r="R1733" s="115"/>
      <c r="S1733" s="115"/>
      <c r="T1733" s="115"/>
      <c r="U1733" s="115"/>
      <c r="V1733" s="115"/>
      <c r="W1733" s="115"/>
      <c r="X1733" s="115"/>
      <c r="Y1733" s="115"/>
      <c r="Z1733" s="115"/>
      <c r="AA1733" s="115"/>
      <c r="AB1733" s="115"/>
      <c r="AC1733" s="115"/>
      <c r="AD1733" s="115"/>
      <c r="AE1733" s="115"/>
      <c r="AF1733" s="115"/>
      <c r="AG1733" s="115"/>
      <c r="AH1733" s="115"/>
      <c r="AI1733" s="115"/>
      <c r="AJ1733" s="115"/>
      <c r="AK1733" s="115"/>
      <c r="AL1733" s="115"/>
      <c r="AM1733" s="115"/>
      <c r="AN1733" s="115"/>
      <c r="AO1733" s="115"/>
      <c r="AP1733" s="115"/>
      <c r="AQ1733" s="115"/>
      <c r="AR1733" s="115"/>
      <c r="AS1733" s="115"/>
      <c r="AT1733" s="115"/>
      <c r="AU1733" s="115"/>
      <c r="AV1733" s="115"/>
      <c r="AW1733" s="115"/>
      <c r="AX1733" s="115"/>
      <c r="AY1733" s="115"/>
      <c r="AZ1733" s="115"/>
      <c r="BA1733" s="115"/>
      <c r="BB1733" s="115"/>
      <c r="BC1733" s="115"/>
      <c r="BD1733" s="115"/>
      <c r="BE1733" s="115"/>
      <c r="BF1733" s="115"/>
      <c r="BG1733" s="115"/>
      <c r="BH1733" s="115"/>
      <c r="BI1733" s="122"/>
      <c r="BJ1733" s="122"/>
      <c r="BK1733" s="122"/>
      <c r="BL1733" s="115"/>
      <c r="BM1733" s="115"/>
      <c r="BN1733" s="115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26"/>
      <c r="CA1733" s="15"/>
      <c r="CE1733" s="117"/>
      <c r="CF1733" s="116"/>
      <c r="CG1733" s="116"/>
      <c r="CH1733" s="116"/>
    </row>
    <row r="1734" spans="1:86" ht="19.5" x14ac:dyDescent="0.4">
      <c r="BZ1734" s="26"/>
      <c r="CA1734" s="15"/>
      <c r="CE1734" s="117"/>
      <c r="CF1734" s="116"/>
      <c r="CG1734" s="116"/>
      <c r="CH1734" s="116"/>
    </row>
    <row r="1735" spans="1:86" ht="19.5" x14ac:dyDescent="0.4">
      <c r="BG1735" s="115"/>
      <c r="BH1735" s="115"/>
      <c r="BI1735" s="122"/>
      <c r="BJ1735" s="122"/>
      <c r="BK1735" s="122"/>
      <c r="BL1735" s="115"/>
      <c r="BM1735" s="115"/>
      <c r="BN1735" s="115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26"/>
      <c r="CA1735" s="13"/>
      <c r="CE1735" s="117"/>
      <c r="CF1735" s="116"/>
      <c r="CG1735" s="116"/>
      <c r="CH1735" s="116"/>
    </row>
    <row r="1736" spans="1:86" ht="19.5" x14ac:dyDescent="0.4">
      <c r="BE1736" s="115"/>
      <c r="BF1736" s="115"/>
      <c r="BG1736" s="115"/>
      <c r="BH1736" s="115"/>
      <c r="BI1736" s="122"/>
      <c r="BJ1736" s="122"/>
      <c r="BK1736" s="122"/>
      <c r="BL1736" s="115"/>
      <c r="BM1736" s="115"/>
      <c r="BN1736" s="115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26"/>
      <c r="CA1736" s="15"/>
      <c r="CE1736" s="117"/>
      <c r="CF1736" s="116"/>
      <c r="CG1736" s="116"/>
      <c r="CH1736" s="116"/>
    </row>
    <row r="1737" spans="1:86" ht="19.5" x14ac:dyDescent="0.4">
      <c r="BE1737" s="115"/>
      <c r="BF1737" s="115"/>
      <c r="BG1737" s="115"/>
      <c r="BH1737" s="115"/>
      <c r="BI1737" s="122"/>
      <c r="BJ1737" s="122"/>
      <c r="BK1737" s="122"/>
      <c r="BL1737" s="115"/>
      <c r="BM1737" s="115"/>
      <c r="BN1737" s="115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26"/>
      <c r="CA1737" s="15"/>
      <c r="CE1737" s="117"/>
      <c r="CF1737" s="116"/>
      <c r="CG1737" s="116"/>
      <c r="CH1737" s="116"/>
    </row>
    <row r="1738" spans="1:86" ht="19.5" x14ac:dyDescent="0.4">
      <c r="BE1738" s="115"/>
      <c r="BF1738" s="115"/>
      <c r="BG1738" s="115"/>
      <c r="BH1738" s="115"/>
      <c r="BI1738" s="122"/>
      <c r="BJ1738" s="122"/>
      <c r="BK1738" s="122"/>
      <c r="BL1738" s="115"/>
      <c r="BM1738" s="115"/>
      <c r="BN1738" s="115"/>
      <c r="BO1738" s="115"/>
      <c r="BP1738" s="115"/>
      <c r="BQ1738" s="115"/>
      <c r="BR1738" s="115"/>
      <c r="BS1738" s="115"/>
      <c r="BT1738" s="115"/>
      <c r="BU1738" s="115"/>
      <c r="BV1738" s="115"/>
      <c r="BW1738" s="115"/>
      <c r="BX1738" s="115"/>
      <c r="BY1738" s="115"/>
      <c r="BZ1738" s="17"/>
      <c r="CA1738" s="15"/>
      <c r="CE1738" s="117"/>
      <c r="CF1738" s="116"/>
      <c r="CG1738" s="116"/>
      <c r="CH1738" s="116"/>
    </row>
    <row r="1739" spans="1:86" ht="19.5" x14ac:dyDescent="0.4">
      <c r="BD1739" s="115"/>
      <c r="BE1739" s="115"/>
      <c r="BF1739" s="115"/>
      <c r="BG1739" s="115"/>
      <c r="BH1739" s="115"/>
      <c r="BI1739" s="122"/>
      <c r="BJ1739" s="122"/>
      <c r="BK1739" s="122"/>
      <c r="BL1739" s="115"/>
      <c r="BM1739" s="115"/>
      <c r="BN1739" s="115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26"/>
      <c r="CA1739" s="15"/>
      <c r="CE1739" s="117"/>
      <c r="CF1739" s="116"/>
      <c r="CG1739" s="116"/>
      <c r="CH1739" s="116"/>
    </row>
    <row r="1740" spans="1:86" ht="19.5" x14ac:dyDescent="0.4">
      <c r="BD1740" s="115"/>
      <c r="BE1740" s="115"/>
      <c r="BF1740" s="115"/>
      <c r="BG1740" s="115"/>
      <c r="BH1740" s="115"/>
      <c r="BI1740" s="122"/>
      <c r="BJ1740" s="122"/>
      <c r="BK1740" s="122"/>
      <c r="BL1740" s="115"/>
      <c r="BM1740" s="115"/>
      <c r="BN1740" s="115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26"/>
      <c r="CA1740" s="15"/>
      <c r="CE1740" s="117"/>
      <c r="CF1740" s="116"/>
      <c r="CG1740" s="116"/>
      <c r="CH1740" s="116"/>
    </row>
    <row r="1741" spans="1:86" ht="19.5" x14ac:dyDescent="0.4">
      <c r="BD1741" s="115"/>
      <c r="BE1741" s="115"/>
      <c r="BF1741" s="115"/>
      <c r="BG1741" s="115"/>
      <c r="BH1741" s="115"/>
      <c r="BI1741" s="122"/>
      <c r="BJ1741" s="122"/>
      <c r="BK1741" s="122"/>
      <c r="BL1741" s="115"/>
      <c r="BM1741" s="115"/>
      <c r="BN1741" s="115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26"/>
      <c r="CA1741" s="105"/>
      <c r="CE1741" s="117"/>
      <c r="CF1741" s="116"/>
      <c r="CG1741" s="116"/>
      <c r="CH1741" s="116"/>
    </row>
    <row r="1742" spans="1:86" ht="19.5" x14ac:dyDescent="0.4">
      <c r="BD1742" s="115"/>
      <c r="BE1742" s="115"/>
      <c r="BF1742" s="115"/>
      <c r="BG1742" s="115"/>
      <c r="BH1742" s="115"/>
      <c r="BI1742" s="122"/>
      <c r="BJ1742" s="122"/>
      <c r="BK1742" s="122"/>
      <c r="BL1742" s="115"/>
      <c r="BM1742" s="115"/>
      <c r="BN1742" s="115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7"/>
      <c r="CA1742" s="15"/>
      <c r="CE1742" s="117"/>
      <c r="CF1742" s="116"/>
      <c r="CG1742" s="116"/>
      <c r="CH1742" s="116"/>
    </row>
    <row r="1743" spans="1:86" ht="19.5" x14ac:dyDescent="0.4">
      <c r="BD1743" s="115"/>
      <c r="BE1743" s="115"/>
      <c r="BF1743" s="115"/>
      <c r="BG1743" s="115"/>
      <c r="BH1743" s="115"/>
      <c r="BI1743" s="122"/>
      <c r="BJ1743" s="122"/>
      <c r="BK1743" s="122"/>
      <c r="BL1743" s="115"/>
      <c r="BM1743" s="115"/>
      <c r="BN1743" s="115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26"/>
      <c r="CA1743" s="15"/>
      <c r="CE1743" s="117"/>
      <c r="CF1743" s="116"/>
      <c r="CG1743" s="116"/>
      <c r="CH1743" s="116"/>
    </row>
    <row r="1744" spans="1:86" ht="19.5" x14ac:dyDescent="0.4">
      <c r="BD1744" s="115"/>
      <c r="BE1744" s="115"/>
      <c r="BF1744" s="115"/>
      <c r="BG1744" s="115"/>
      <c r="BH1744" s="115"/>
      <c r="BI1744" s="122"/>
      <c r="BJ1744" s="122"/>
      <c r="BK1744" s="122"/>
      <c r="BL1744" s="115"/>
      <c r="BM1744" s="115"/>
      <c r="BN1744" s="115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7"/>
      <c r="CA1744" s="15"/>
      <c r="CE1744" s="117"/>
      <c r="CF1744" s="116"/>
      <c r="CG1744" s="116"/>
      <c r="CH1744" s="116"/>
    </row>
    <row r="1745" spans="1:86" ht="19.5" x14ac:dyDescent="0.4"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22"/>
      <c r="BJ1745" s="122"/>
      <c r="BK1745" s="122"/>
      <c r="BL1745" s="115"/>
      <c r="BM1745" s="115"/>
      <c r="BN1745" s="115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26"/>
      <c r="CA1745" s="15"/>
      <c r="CE1745" s="117"/>
      <c r="CF1745" s="116"/>
      <c r="CG1745" s="116"/>
      <c r="CH1745" s="116"/>
    </row>
    <row r="1746" spans="1:86" ht="19.5" x14ac:dyDescent="0.4"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22"/>
      <c r="BJ1746" s="122"/>
      <c r="BK1746" s="122"/>
      <c r="BL1746" s="115"/>
      <c r="BM1746" s="115"/>
      <c r="BN1746" s="115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7"/>
      <c r="CA1746" s="15"/>
      <c r="CE1746" s="117"/>
      <c r="CF1746" s="116"/>
      <c r="CG1746" s="116"/>
      <c r="CH1746" s="116"/>
    </row>
    <row r="1747" spans="1:86" ht="19.5" x14ac:dyDescent="0.4"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15"/>
      <c r="BI1747" s="122"/>
      <c r="BJ1747" s="122"/>
      <c r="BK1747" s="122"/>
      <c r="BL1747" s="115"/>
      <c r="BM1747" s="115"/>
      <c r="BN1747" s="115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26"/>
      <c r="CA1747" s="15"/>
      <c r="CE1747" s="117"/>
      <c r="CF1747" s="116"/>
      <c r="CG1747" s="116"/>
      <c r="CH1747" s="116"/>
    </row>
    <row r="1748" spans="1:86" ht="19.5" x14ac:dyDescent="0.4">
      <c r="E1748" s="115"/>
      <c r="F1748" s="115"/>
      <c r="G1748" s="115"/>
      <c r="H1748" s="115"/>
      <c r="I1748" s="115"/>
      <c r="J1748" s="115"/>
      <c r="K1748" s="115"/>
      <c r="L1748" s="115"/>
      <c r="M1748" s="115"/>
      <c r="N1748" s="115"/>
      <c r="O1748" s="115"/>
      <c r="P1748" s="115"/>
      <c r="Q1748" s="115"/>
      <c r="R1748" s="115"/>
      <c r="S1748" s="115"/>
      <c r="T1748" s="115"/>
      <c r="U1748" s="115"/>
      <c r="V1748" s="115"/>
      <c r="W1748" s="115"/>
      <c r="X1748" s="115"/>
      <c r="Y1748" s="115"/>
      <c r="Z1748" s="115"/>
      <c r="AA1748" s="115"/>
      <c r="AB1748" s="115"/>
      <c r="AC1748" s="115"/>
      <c r="AD1748" s="115"/>
      <c r="AE1748" s="115"/>
      <c r="AF1748" s="115"/>
      <c r="AG1748" s="115"/>
      <c r="AH1748" s="115"/>
      <c r="AI1748" s="115"/>
      <c r="AJ1748" s="115"/>
      <c r="AK1748" s="115"/>
      <c r="AL1748" s="115"/>
      <c r="AM1748" s="115"/>
      <c r="AN1748" s="115"/>
      <c r="AO1748" s="115"/>
      <c r="AP1748" s="115"/>
      <c r="AQ1748" s="115"/>
      <c r="AR1748" s="115"/>
      <c r="AS1748" s="115"/>
      <c r="AT1748" s="115"/>
      <c r="AU1748" s="115"/>
      <c r="AV1748" s="115"/>
      <c r="AW1748" s="115"/>
      <c r="AX1748" s="115"/>
      <c r="AY1748" s="115"/>
      <c r="AZ1748" s="115"/>
      <c r="BA1748" s="115"/>
      <c r="BB1748" s="115"/>
      <c r="BC1748" s="115"/>
      <c r="BD1748" s="115"/>
      <c r="BE1748" s="115"/>
      <c r="BF1748" s="115"/>
      <c r="BG1748" s="115"/>
      <c r="BH1748" s="115"/>
      <c r="BI1748" s="122"/>
      <c r="BJ1748" s="122"/>
      <c r="BK1748" s="122"/>
      <c r="BL1748" s="115"/>
      <c r="BM1748" s="115"/>
      <c r="BN1748" s="115"/>
      <c r="BO1748" s="115"/>
      <c r="BP1748" s="115"/>
      <c r="BQ1748" s="115"/>
      <c r="BR1748" s="115"/>
      <c r="BS1748" s="115"/>
      <c r="BT1748" s="115"/>
      <c r="BU1748" s="115"/>
      <c r="BV1748" s="115"/>
      <c r="BW1748" s="115"/>
      <c r="BX1748" s="115"/>
      <c r="BY1748" s="115"/>
      <c r="BZ1748" s="17"/>
      <c r="CA1748" s="15"/>
      <c r="CE1748" s="117"/>
      <c r="CF1748" s="116"/>
      <c r="CG1748" s="116"/>
      <c r="CH1748" s="116"/>
    </row>
    <row r="1749" spans="1:86" ht="19.5" x14ac:dyDescent="0.4">
      <c r="A1749" s="115"/>
      <c r="B1749" s="115"/>
      <c r="C1749" s="115"/>
      <c r="D1749" s="115"/>
      <c r="E1749" s="115"/>
      <c r="F1749" s="115"/>
      <c r="G1749" s="115"/>
      <c r="H1749" s="115"/>
      <c r="I1749" s="115"/>
      <c r="J1749" s="115"/>
      <c r="K1749" s="115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  <c r="AI1749" s="115"/>
      <c r="AJ1749" s="115"/>
      <c r="AK1749" s="115"/>
      <c r="AL1749" s="115"/>
      <c r="AM1749" s="115"/>
      <c r="AN1749" s="115"/>
      <c r="AO1749" s="115"/>
      <c r="AP1749" s="115"/>
      <c r="AQ1749" s="115"/>
      <c r="AR1749" s="115"/>
      <c r="AS1749" s="115"/>
      <c r="AT1749" s="115"/>
      <c r="AU1749" s="115"/>
      <c r="AV1749" s="115"/>
      <c r="AW1749" s="115"/>
      <c r="AX1749" s="115"/>
      <c r="AY1749" s="115"/>
      <c r="AZ1749" s="115"/>
      <c r="BA1749" s="115"/>
      <c r="BB1749" s="115"/>
      <c r="BC1749" s="115"/>
      <c r="BD1749" s="115"/>
      <c r="BE1749" s="115"/>
      <c r="BF1749" s="115"/>
      <c r="BG1749" s="115"/>
      <c r="BH1749" s="115"/>
      <c r="BI1749" s="122"/>
      <c r="BJ1749" s="122"/>
      <c r="BK1749" s="122"/>
      <c r="BL1749" s="115"/>
      <c r="BM1749" s="115"/>
      <c r="BN1749" s="115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26"/>
      <c r="CA1749" s="15"/>
      <c r="CE1749" s="117"/>
      <c r="CF1749" s="116"/>
      <c r="CG1749" s="116"/>
      <c r="CH1749" s="116"/>
    </row>
    <row r="1750" spans="1:86" ht="19.5" x14ac:dyDescent="0.4">
      <c r="A1750" s="115"/>
      <c r="B1750" s="115"/>
      <c r="C1750" s="115"/>
      <c r="D1750" s="115"/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15"/>
      <c r="AZ1750" s="115"/>
      <c r="BA1750" s="115"/>
      <c r="BB1750" s="115"/>
      <c r="BC1750" s="115"/>
      <c r="BD1750" s="115"/>
      <c r="BE1750" s="115"/>
      <c r="BF1750" s="115"/>
      <c r="BG1750" s="115"/>
      <c r="BH1750" s="115"/>
      <c r="BI1750" s="122"/>
      <c r="BJ1750" s="122"/>
      <c r="BK1750" s="122"/>
      <c r="BL1750" s="115"/>
      <c r="BM1750" s="115"/>
      <c r="BN1750" s="115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26"/>
      <c r="CA1750" s="15"/>
      <c r="CE1750" s="117"/>
      <c r="CF1750" s="116"/>
      <c r="CG1750" s="116"/>
      <c r="CH1750" s="116"/>
    </row>
    <row r="1751" spans="1:86" ht="19.5" x14ac:dyDescent="0.4">
      <c r="A1751" s="115"/>
      <c r="B1751" s="115"/>
      <c r="C1751" s="115"/>
      <c r="D1751" s="115"/>
      <c r="E1751" s="115"/>
      <c r="F1751" s="115"/>
      <c r="G1751" s="115"/>
      <c r="H1751" s="115"/>
      <c r="I1751" s="115"/>
      <c r="J1751" s="115"/>
      <c r="K1751" s="115"/>
      <c r="L1751" s="115"/>
      <c r="M1751" s="115"/>
      <c r="N1751" s="115"/>
      <c r="O1751" s="115"/>
      <c r="P1751" s="115"/>
      <c r="Q1751" s="115"/>
      <c r="R1751" s="115"/>
      <c r="S1751" s="115"/>
      <c r="T1751" s="115"/>
      <c r="U1751" s="115"/>
      <c r="V1751" s="115"/>
      <c r="W1751" s="115"/>
      <c r="X1751" s="115"/>
      <c r="Y1751" s="115"/>
      <c r="Z1751" s="115"/>
      <c r="AA1751" s="115"/>
      <c r="AB1751" s="115"/>
      <c r="AC1751" s="115"/>
      <c r="AD1751" s="115"/>
      <c r="AE1751" s="115"/>
      <c r="AF1751" s="115"/>
      <c r="AG1751" s="115"/>
      <c r="AH1751" s="115"/>
      <c r="AI1751" s="115"/>
      <c r="AJ1751" s="115"/>
      <c r="AK1751" s="115"/>
      <c r="AL1751" s="115"/>
      <c r="AM1751" s="115"/>
      <c r="AN1751" s="115"/>
      <c r="AO1751" s="115"/>
      <c r="AP1751" s="115"/>
      <c r="AQ1751" s="115"/>
      <c r="AR1751" s="115"/>
      <c r="AS1751" s="115"/>
      <c r="AT1751" s="115"/>
      <c r="AU1751" s="115"/>
      <c r="AV1751" s="115"/>
      <c r="AW1751" s="115"/>
      <c r="AX1751" s="115"/>
      <c r="AY1751" s="115"/>
      <c r="AZ1751" s="115"/>
      <c r="BA1751" s="115"/>
      <c r="BB1751" s="115"/>
      <c r="BC1751" s="115"/>
      <c r="BD1751" s="115"/>
      <c r="BE1751" s="115"/>
      <c r="BF1751" s="115"/>
      <c r="BG1751" s="115"/>
      <c r="BH1751" s="115"/>
      <c r="BI1751" s="122"/>
      <c r="BJ1751" s="122"/>
      <c r="BK1751" s="122"/>
      <c r="BL1751" s="115"/>
      <c r="BM1751" s="115"/>
      <c r="BN1751" s="115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26"/>
      <c r="CA1751" s="15"/>
      <c r="CE1751" s="117"/>
      <c r="CF1751" s="116"/>
      <c r="CG1751" s="116"/>
      <c r="CH1751" s="116"/>
    </row>
    <row r="1752" spans="1:86" ht="19.5" x14ac:dyDescent="0.4">
      <c r="A1752" s="115"/>
      <c r="B1752" s="115"/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15"/>
      <c r="AX1752" s="115"/>
      <c r="AY1752" s="115"/>
      <c r="AZ1752" s="115"/>
      <c r="BA1752" s="115"/>
      <c r="BB1752" s="115"/>
      <c r="BC1752" s="115"/>
      <c r="BD1752" s="115"/>
      <c r="BE1752" s="115"/>
      <c r="BF1752" s="115"/>
      <c r="BG1752" s="115"/>
      <c r="BH1752" s="115"/>
      <c r="BI1752" s="122"/>
      <c r="BJ1752" s="122"/>
      <c r="BK1752" s="122"/>
      <c r="BL1752" s="115"/>
      <c r="BM1752" s="115"/>
      <c r="BN1752" s="115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26"/>
      <c r="CA1752" s="15"/>
      <c r="CE1752" s="117"/>
      <c r="CF1752" s="116"/>
      <c r="CG1752" s="116"/>
      <c r="CH1752" s="116"/>
    </row>
    <row r="1753" spans="1:86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22"/>
      <c r="BJ1753" s="122"/>
      <c r="BK1753" s="122"/>
      <c r="BL1753" s="115"/>
      <c r="BM1753" s="115"/>
      <c r="BN1753" s="115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26"/>
      <c r="CA1753" s="15"/>
      <c r="CE1753" s="117"/>
      <c r="CF1753" s="116"/>
      <c r="CG1753" s="116"/>
      <c r="CH1753" s="116"/>
    </row>
    <row r="1754" spans="1:86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22"/>
      <c r="BJ1754" s="122"/>
      <c r="BK1754" s="122"/>
      <c r="BL1754" s="115"/>
      <c r="BM1754" s="115"/>
      <c r="BN1754" s="115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26"/>
      <c r="CA1754" s="15"/>
      <c r="CE1754" s="117"/>
      <c r="CF1754" s="116"/>
      <c r="CG1754" s="116"/>
      <c r="CH1754" s="116"/>
    </row>
    <row r="1755" spans="1:86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22"/>
      <c r="BJ1755" s="122"/>
      <c r="BK1755" s="122"/>
      <c r="BL1755" s="115"/>
      <c r="BM1755" s="115"/>
      <c r="BN1755" s="115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7"/>
      <c r="CA1755" s="15"/>
      <c r="CE1755" s="117"/>
      <c r="CF1755" s="116"/>
      <c r="CG1755" s="116"/>
      <c r="CH1755" s="116"/>
    </row>
    <row r="1756" spans="1:86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22"/>
      <c r="BJ1756" s="122"/>
      <c r="BK1756" s="122"/>
      <c r="BL1756" s="115"/>
      <c r="BM1756" s="115"/>
      <c r="BN1756" s="115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26"/>
      <c r="CA1756" s="15"/>
      <c r="CE1756" s="117"/>
      <c r="CF1756" s="116"/>
      <c r="CG1756" s="116"/>
      <c r="CH1756" s="116"/>
    </row>
    <row r="1757" spans="1:86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22"/>
      <c r="BJ1757" s="122"/>
      <c r="BK1757" s="122"/>
      <c r="BL1757" s="115"/>
      <c r="BM1757" s="115"/>
      <c r="BN1757" s="115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7"/>
      <c r="CA1757" s="15"/>
      <c r="CE1757" s="117"/>
      <c r="CF1757" s="116"/>
      <c r="CG1757" s="116"/>
      <c r="CH1757" s="116"/>
    </row>
    <row r="1758" spans="1:86" ht="19.5" x14ac:dyDescent="0.4">
      <c r="A1758" s="115"/>
      <c r="B1758" s="115"/>
      <c r="C1758" s="115"/>
      <c r="D1758" s="115"/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15"/>
      <c r="AW1758" s="115"/>
      <c r="AX1758" s="115"/>
      <c r="AY1758" s="115"/>
      <c r="AZ1758" s="115"/>
      <c r="BA1758" s="115"/>
      <c r="BB1758" s="115"/>
      <c r="BC1758" s="115"/>
      <c r="BD1758" s="115"/>
      <c r="BE1758" s="115"/>
      <c r="BF1758" s="115"/>
      <c r="BG1758" s="115"/>
      <c r="BH1758" s="115"/>
      <c r="BI1758" s="122"/>
      <c r="BJ1758" s="122"/>
      <c r="BK1758" s="122"/>
      <c r="BL1758" s="115"/>
      <c r="BM1758" s="115"/>
      <c r="BN1758" s="115"/>
      <c r="BO1758" s="115"/>
      <c r="BP1758" s="115"/>
      <c r="BQ1758" s="115"/>
      <c r="BR1758" s="115"/>
      <c r="BS1758" s="115"/>
      <c r="BT1758" s="115"/>
      <c r="BU1758" s="115"/>
      <c r="BV1758" s="115"/>
      <c r="BW1758" s="115"/>
      <c r="BX1758" s="115"/>
      <c r="BY1758" s="115"/>
      <c r="BZ1758" s="26"/>
      <c r="CA1758" s="15"/>
      <c r="CE1758" s="117"/>
      <c r="CF1758" s="116"/>
      <c r="CG1758" s="116"/>
      <c r="CH1758" s="116"/>
    </row>
    <row r="1759" spans="1:86" ht="19.5" x14ac:dyDescent="0.4">
      <c r="A1759" s="115"/>
      <c r="B1759" s="115"/>
      <c r="C1759" s="115"/>
      <c r="D1759" s="115"/>
      <c r="E1759" s="115"/>
      <c r="F1759" s="115"/>
      <c r="G1759" s="115"/>
      <c r="H1759" s="115"/>
      <c r="I1759" s="115"/>
      <c r="J1759" s="115"/>
      <c r="K1759" s="115"/>
      <c r="L1759" s="115"/>
      <c r="M1759" s="115"/>
      <c r="N1759" s="115"/>
      <c r="O1759" s="115"/>
      <c r="P1759" s="115"/>
      <c r="Q1759" s="115"/>
      <c r="R1759" s="115"/>
      <c r="S1759" s="115"/>
      <c r="T1759" s="115"/>
      <c r="U1759" s="115"/>
      <c r="V1759" s="115"/>
      <c r="W1759" s="115"/>
      <c r="X1759" s="115"/>
      <c r="Y1759" s="115"/>
      <c r="Z1759" s="115"/>
      <c r="AA1759" s="115"/>
      <c r="AB1759" s="115"/>
      <c r="AC1759" s="115"/>
      <c r="AD1759" s="115"/>
      <c r="AE1759" s="115"/>
      <c r="AF1759" s="115"/>
      <c r="AG1759" s="115"/>
      <c r="AH1759" s="115"/>
      <c r="AI1759" s="115"/>
      <c r="AJ1759" s="115"/>
      <c r="AK1759" s="115"/>
      <c r="AL1759" s="115"/>
      <c r="AM1759" s="115"/>
      <c r="AN1759" s="115"/>
      <c r="AO1759" s="115"/>
      <c r="AP1759" s="115"/>
      <c r="AQ1759" s="115"/>
      <c r="AR1759" s="115"/>
      <c r="AS1759" s="115"/>
      <c r="AT1759" s="115"/>
      <c r="AU1759" s="115"/>
      <c r="AV1759" s="115"/>
      <c r="AW1759" s="115"/>
      <c r="AX1759" s="115"/>
      <c r="AY1759" s="115"/>
      <c r="AZ1759" s="115"/>
      <c r="BA1759" s="115"/>
      <c r="BB1759" s="115"/>
      <c r="BC1759" s="115"/>
      <c r="BD1759" s="115"/>
      <c r="BE1759" s="115"/>
      <c r="BF1759" s="115"/>
      <c r="BG1759" s="115"/>
      <c r="BH1759" s="115"/>
      <c r="BI1759" s="122"/>
      <c r="BJ1759" s="122"/>
      <c r="BK1759" s="122"/>
      <c r="BL1759" s="115"/>
      <c r="BM1759" s="115"/>
      <c r="BN1759" s="115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20"/>
      <c r="CA1759" s="15"/>
      <c r="CE1759" s="117"/>
      <c r="CF1759" s="116"/>
      <c r="CG1759" s="116"/>
      <c r="CH1759" s="116"/>
    </row>
    <row r="1760" spans="1:86" ht="19.5" x14ac:dyDescent="0.4">
      <c r="A1760" s="115"/>
      <c r="B1760" s="115"/>
      <c r="C1760" s="115"/>
      <c r="D1760" s="115"/>
      <c r="E1760" s="115"/>
      <c r="F1760" s="115"/>
      <c r="G1760" s="115"/>
      <c r="H1760" s="115"/>
      <c r="I1760" s="115"/>
      <c r="J1760" s="115"/>
      <c r="K1760" s="115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  <c r="AI1760" s="115"/>
      <c r="AJ1760" s="115"/>
      <c r="AK1760" s="115"/>
      <c r="AL1760" s="115"/>
      <c r="AM1760" s="115"/>
      <c r="AN1760" s="115"/>
      <c r="AO1760" s="115"/>
      <c r="AP1760" s="115"/>
      <c r="AQ1760" s="115"/>
      <c r="AR1760" s="115"/>
      <c r="AS1760" s="115"/>
      <c r="AT1760" s="115"/>
      <c r="AU1760" s="115"/>
      <c r="AV1760" s="115"/>
      <c r="AW1760" s="115"/>
      <c r="AX1760" s="115"/>
      <c r="AY1760" s="115"/>
      <c r="AZ1760" s="115"/>
      <c r="BA1760" s="115"/>
      <c r="BB1760" s="115"/>
      <c r="BC1760" s="115"/>
      <c r="BD1760" s="115"/>
      <c r="BE1760" s="115"/>
      <c r="BF1760" s="115"/>
      <c r="BG1760" s="115"/>
      <c r="BH1760" s="115"/>
      <c r="BI1760" s="122"/>
      <c r="BJ1760" s="122"/>
      <c r="BK1760" s="122"/>
      <c r="BL1760" s="115"/>
      <c r="BM1760" s="115"/>
      <c r="BN1760" s="115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20"/>
      <c r="CA1760" s="15"/>
      <c r="CE1760" s="117"/>
      <c r="CF1760" s="116"/>
      <c r="CG1760" s="116"/>
      <c r="CH1760" s="116"/>
    </row>
    <row r="1761" spans="1:86" ht="19.5" x14ac:dyDescent="0.4">
      <c r="A1761" s="115"/>
      <c r="B1761" s="115"/>
      <c r="C1761" s="115"/>
      <c r="D1761" s="115"/>
      <c r="E1761" s="115"/>
      <c r="F1761" s="115"/>
      <c r="G1761" s="115"/>
      <c r="H1761" s="115"/>
      <c r="I1761" s="115"/>
      <c r="J1761" s="115"/>
      <c r="K1761" s="115"/>
      <c r="L1761" s="115"/>
      <c r="M1761" s="115"/>
      <c r="N1761" s="115"/>
      <c r="O1761" s="115"/>
      <c r="P1761" s="115"/>
      <c r="Q1761" s="115"/>
      <c r="R1761" s="115"/>
      <c r="S1761" s="115"/>
      <c r="T1761" s="115"/>
      <c r="U1761" s="115"/>
      <c r="V1761" s="115"/>
      <c r="W1761" s="115"/>
      <c r="X1761" s="115"/>
      <c r="Y1761" s="115"/>
      <c r="Z1761" s="115"/>
      <c r="AA1761" s="115"/>
      <c r="AB1761" s="115"/>
      <c r="AC1761" s="115"/>
      <c r="AD1761" s="115"/>
      <c r="AE1761" s="115"/>
      <c r="AF1761" s="115"/>
      <c r="AG1761" s="115"/>
      <c r="AH1761" s="115"/>
      <c r="AI1761" s="115"/>
      <c r="AJ1761" s="115"/>
      <c r="AK1761" s="115"/>
      <c r="AL1761" s="115"/>
      <c r="AM1761" s="115"/>
      <c r="AN1761" s="115"/>
      <c r="AO1761" s="115"/>
      <c r="AP1761" s="115"/>
      <c r="AQ1761" s="115"/>
      <c r="AR1761" s="115"/>
      <c r="AS1761" s="115"/>
      <c r="AT1761" s="115"/>
      <c r="AU1761" s="115"/>
      <c r="AV1761" s="115"/>
      <c r="AW1761" s="115"/>
      <c r="AX1761" s="115"/>
      <c r="AY1761" s="115"/>
      <c r="AZ1761" s="115"/>
      <c r="BA1761" s="115"/>
      <c r="BB1761" s="115"/>
      <c r="BC1761" s="115"/>
      <c r="BD1761" s="115"/>
      <c r="BE1761" s="115"/>
      <c r="BF1761" s="115"/>
      <c r="BG1761" s="115"/>
      <c r="BH1761" s="115"/>
      <c r="BI1761" s="122"/>
      <c r="BJ1761" s="122"/>
      <c r="BK1761" s="122"/>
      <c r="BL1761" s="115"/>
      <c r="BM1761" s="115"/>
      <c r="BN1761" s="115"/>
      <c r="BO1761" s="115"/>
      <c r="BP1761" s="115"/>
      <c r="BQ1761" s="115"/>
      <c r="BR1761" s="115"/>
      <c r="BS1761" s="115"/>
      <c r="BT1761" s="115"/>
      <c r="BU1761" s="115"/>
      <c r="BV1761" s="115"/>
      <c r="BW1761" s="115"/>
      <c r="BX1761" s="115"/>
      <c r="BY1761" s="115"/>
      <c r="BZ1761" s="20"/>
      <c r="CA1761" s="15"/>
      <c r="CE1761" s="117"/>
      <c r="CF1761" s="116"/>
      <c r="CG1761" s="116"/>
      <c r="CH1761" s="116"/>
    </row>
    <row r="1762" spans="1:86" ht="19.5" x14ac:dyDescent="0.4">
      <c r="A1762" s="115"/>
      <c r="B1762" s="115"/>
      <c r="C1762" s="115"/>
      <c r="D1762" s="115"/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22"/>
      <c r="BJ1762" s="122"/>
      <c r="BK1762" s="122"/>
      <c r="BL1762" s="115"/>
      <c r="BM1762" s="115"/>
      <c r="BN1762" s="115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20"/>
      <c r="CA1762" s="15"/>
      <c r="CE1762" s="117"/>
      <c r="CF1762" s="116"/>
      <c r="CG1762" s="116"/>
      <c r="CH1762" s="116"/>
    </row>
    <row r="1763" spans="1:86" ht="19.5" x14ac:dyDescent="0.4">
      <c r="A1763" s="115"/>
      <c r="B1763" s="115"/>
      <c r="C1763" s="115"/>
      <c r="D1763" s="115"/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22"/>
      <c r="BJ1763" s="122"/>
      <c r="BK1763" s="122"/>
      <c r="BL1763" s="115"/>
      <c r="BM1763" s="115"/>
      <c r="BN1763" s="115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25"/>
      <c r="CA1763" s="15"/>
      <c r="CE1763" s="117"/>
      <c r="CF1763" s="116"/>
      <c r="CG1763" s="116"/>
      <c r="CH1763" s="116"/>
    </row>
    <row r="1764" spans="1:86" ht="19.5" x14ac:dyDescent="0.4">
      <c r="A1764" s="115"/>
      <c r="B1764" s="115"/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22"/>
      <c r="BJ1764" s="122"/>
      <c r="BK1764" s="122"/>
      <c r="BL1764" s="115"/>
      <c r="BM1764" s="115"/>
      <c r="BN1764" s="115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3"/>
      <c r="CA1764" s="15"/>
      <c r="CE1764" s="117"/>
      <c r="CF1764" s="116"/>
      <c r="CG1764" s="116"/>
      <c r="CH1764" s="116"/>
    </row>
    <row r="1765" spans="1:86" ht="19.5" x14ac:dyDescent="0.4">
      <c r="BZ1765" s="25"/>
      <c r="CA1765" s="15"/>
      <c r="CE1765" s="117"/>
      <c r="CF1765" s="116"/>
      <c r="CG1765" s="116"/>
      <c r="CH1765" s="116"/>
    </row>
    <row r="1766" spans="1:86" ht="19.5" x14ac:dyDescent="0.4">
      <c r="BF1766" s="115"/>
      <c r="BG1766" s="115"/>
      <c r="BH1766" s="115"/>
      <c r="BI1766" s="122"/>
      <c r="BJ1766" s="122"/>
      <c r="BK1766" s="122"/>
      <c r="BL1766" s="115"/>
      <c r="BM1766" s="115"/>
      <c r="BN1766" s="115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3"/>
      <c r="CA1766" s="15"/>
      <c r="CE1766" s="117"/>
      <c r="CF1766" s="116"/>
      <c r="CG1766" s="116"/>
      <c r="CH1766" s="116"/>
    </row>
    <row r="1767" spans="1:86" ht="19.5" x14ac:dyDescent="0.4"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22"/>
      <c r="BJ1767" s="122"/>
      <c r="BK1767" s="122"/>
      <c r="BL1767" s="115"/>
      <c r="BM1767" s="115"/>
      <c r="BN1767" s="115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25"/>
      <c r="CA1767" s="15"/>
      <c r="CE1767" s="117"/>
      <c r="CF1767" s="116"/>
      <c r="CG1767" s="116"/>
      <c r="CH1767" s="116"/>
    </row>
    <row r="1768" spans="1:86" ht="19.5" x14ac:dyDescent="0.4">
      <c r="A1768" s="115"/>
      <c r="B1768" s="115"/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22"/>
      <c r="BJ1768" s="122"/>
      <c r="BK1768" s="122"/>
      <c r="BL1768" s="115"/>
      <c r="BM1768" s="115"/>
      <c r="BN1768" s="115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25"/>
      <c r="CA1768" s="15"/>
      <c r="CE1768" s="117"/>
      <c r="CF1768" s="116"/>
      <c r="CG1768" s="116"/>
      <c r="CH1768" s="116"/>
    </row>
    <row r="1769" spans="1:86" ht="19.5" x14ac:dyDescent="0.4">
      <c r="A1769" s="115"/>
      <c r="B1769" s="115"/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22"/>
      <c r="BJ1769" s="122"/>
      <c r="BK1769" s="122"/>
      <c r="BL1769" s="115"/>
      <c r="BM1769" s="115"/>
      <c r="BN1769" s="115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3"/>
      <c r="CA1769" s="15"/>
      <c r="CE1769" s="117"/>
      <c r="CF1769" s="116"/>
      <c r="CG1769" s="116"/>
      <c r="CH1769" s="116"/>
    </row>
    <row r="1770" spans="1:86" ht="19.5" x14ac:dyDescent="0.4">
      <c r="A1770" s="115"/>
      <c r="B1770" s="115"/>
      <c r="C1770" s="115"/>
      <c r="D1770" s="115"/>
      <c r="E1770" s="115"/>
      <c r="F1770" s="115"/>
      <c r="G1770" s="115"/>
      <c r="H1770" s="115"/>
      <c r="I1770" s="115"/>
      <c r="J1770" s="115"/>
      <c r="K1770" s="115"/>
      <c r="L1770" s="115"/>
      <c r="M1770" s="115"/>
      <c r="N1770" s="115"/>
      <c r="O1770" s="115"/>
      <c r="P1770" s="115"/>
      <c r="Q1770" s="115"/>
      <c r="R1770" s="115"/>
      <c r="S1770" s="115"/>
      <c r="T1770" s="115"/>
      <c r="U1770" s="115"/>
      <c r="V1770" s="115"/>
      <c r="W1770" s="115"/>
      <c r="X1770" s="115"/>
      <c r="Y1770" s="115"/>
      <c r="Z1770" s="115"/>
      <c r="AA1770" s="115"/>
      <c r="AB1770" s="115"/>
      <c r="AC1770" s="115"/>
      <c r="AD1770" s="115"/>
      <c r="AE1770" s="115"/>
      <c r="AF1770" s="115"/>
      <c r="AG1770" s="115"/>
      <c r="AH1770" s="115"/>
      <c r="AI1770" s="115"/>
      <c r="AJ1770" s="115"/>
      <c r="AK1770" s="115"/>
      <c r="AL1770" s="115"/>
      <c r="AM1770" s="115"/>
      <c r="AN1770" s="115"/>
      <c r="AO1770" s="115"/>
      <c r="AP1770" s="115"/>
      <c r="AQ1770" s="115"/>
      <c r="AR1770" s="115"/>
      <c r="AS1770" s="115"/>
      <c r="AT1770" s="115"/>
      <c r="AU1770" s="115"/>
      <c r="AV1770" s="115"/>
      <c r="AW1770" s="115"/>
      <c r="AX1770" s="115"/>
      <c r="AY1770" s="115"/>
      <c r="AZ1770" s="115"/>
      <c r="BA1770" s="115"/>
      <c r="BB1770" s="115"/>
      <c r="BC1770" s="115"/>
      <c r="BD1770" s="115"/>
      <c r="BE1770" s="115"/>
      <c r="BF1770" s="115"/>
      <c r="BG1770" s="115"/>
      <c r="BH1770" s="115"/>
      <c r="BI1770" s="122"/>
      <c r="BJ1770" s="122"/>
      <c r="BK1770" s="122"/>
      <c r="BL1770" s="115"/>
      <c r="BM1770" s="115"/>
      <c r="BN1770" s="115"/>
      <c r="BO1770" s="115"/>
      <c r="BP1770" s="115"/>
      <c r="BQ1770" s="115"/>
      <c r="BR1770" s="115"/>
      <c r="BS1770" s="115"/>
      <c r="BT1770" s="115"/>
      <c r="BU1770" s="115"/>
      <c r="BV1770" s="115"/>
      <c r="BW1770" s="115"/>
      <c r="BX1770" s="115"/>
      <c r="BY1770" s="115"/>
      <c r="BZ1770" s="25"/>
      <c r="CA1770" s="15"/>
      <c r="CE1770" s="117"/>
      <c r="CF1770" s="116"/>
      <c r="CG1770" s="116"/>
      <c r="CH1770" s="116"/>
    </row>
    <row r="1771" spans="1:86" ht="19.5" x14ac:dyDescent="0.4">
      <c r="A1771" s="115"/>
      <c r="B1771" s="115"/>
      <c r="C1771" s="115"/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22"/>
      <c r="BJ1771" s="122"/>
      <c r="BK1771" s="122"/>
      <c r="BL1771" s="115"/>
      <c r="BM1771" s="115"/>
      <c r="BN1771" s="115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3"/>
      <c r="CA1771" s="15"/>
      <c r="CE1771" s="117"/>
      <c r="CF1771" s="116"/>
      <c r="CG1771" s="116"/>
      <c r="CH1771" s="116"/>
    </row>
    <row r="1772" spans="1:86" ht="19.5" x14ac:dyDescent="0.4">
      <c r="A1772" s="115"/>
      <c r="B1772" s="115"/>
      <c r="C1772" s="115"/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22"/>
      <c r="BJ1772" s="122"/>
      <c r="BK1772" s="122"/>
      <c r="BL1772" s="115"/>
      <c r="BM1772" s="115"/>
      <c r="BN1772" s="115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25"/>
      <c r="CA1772" s="15"/>
      <c r="CE1772" s="117"/>
      <c r="CF1772" s="116"/>
      <c r="CG1772" s="116"/>
      <c r="CH1772" s="116"/>
    </row>
    <row r="1773" spans="1:86" ht="19.5" x14ac:dyDescent="0.4">
      <c r="A1773" s="115"/>
      <c r="B1773" s="115"/>
      <c r="C1773" s="115"/>
      <c r="D1773" s="115"/>
      <c r="E1773" s="115"/>
      <c r="F1773" s="115"/>
      <c r="G1773" s="115"/>
      <c r="H1773" s="115"/>
      <c r="I1773" s="115"/>
      <c r="J1773" s="115"/>
      <c r="K1773" s="115"/>
      <c r="L1773" s="115"/>
      <c r="M1773" s="115"/>
      <c r="N1773" s="115"/>
      <c r="O1773" s="115"/>
      <c r="P1773" s="115"/>
      <c r="Q1773" s="115"/>
      <c r="R1773" s="115"/>
      <c r="S1773" s="115"/>
      <c r="T1773" s="115"/>
      <c r="U1773" s="115"/>
      <c r="V1773" s="115"/>
      <c r="W1773" s="115"/>
      <c r="X1773" s="115"/>
      <c r="Y1773" s="115"/>
      <c r="Z1773" s="115"/>
      <c r="AA1773" s="115"/>
      <c r="AB1773" s="115"/>
      <c r="AC1773" s="115"/>
      <c r="AD1773" s="115"/>
      <c r="AE1773" s="115"/>
      <c r="AF1773" s="115"/>
      <c r="AG1773" s="115"/>
      <c r="AH1773" s="115"/>
      <c r="AI1773" s="115"/>
      <c r="AJ1773" s="115"/>
      <c r="AK1773" s="115"/>
      <c r="AL1773" s="115"/>
      <c r="AM1773" s="115"/>
      <c r="AN1773" s="115"/>
      <c r="AO1773" s="115"/>
      <c r="AP1773" s="115"/>
      <c r="AQ1773" s="115"/>
      <c r="AR1773" s="115"/>
      <c r="AS1773" s="115"/>
      <c r="AT1773" s="115"/>
      <c r="AU1773" s="115"/>
      <c r="AV1773" s="115"/>
      <c r="AW1773" s="115"/>
      <c r="AX1773" s="115"/>
      <c r="AY1773" s="115"/>
      <c r="AZ1773" s="115"/>
      <c r="BA1773" s="115"/>
      <c r="BB1773" s="115"/>
      <c r="BC1773" s="115"/>
      <c r="BD1773" s="115"/>
      <c r="BE1773" s="115"/>
      <c r="BF1773" s="115"/>
      <c r="BG1773" s="115"/>
      <c r="BH1773" s="115"/>
      <c r="BI1773" s="122"/>
      <c r="BJ1773" s="122"/>
      <c r="BK1773" s="122"/>
      <c r="BL1773" s="115"/>
      <c r="BM1773" s="115"/>
      <c r="BN1773" s="115"/>
      <c r="BO1773" s="115"/>
      <c r="BP1773" s="115"/>
      <c r="BQ1773" s="115"/>
      <c r="BR1773" s="115"/>
      <c r="BS1773" s="115"/>
      <c r="BT1773" s="115"/>
      <c r="BU1773" s="115"/>
      <c r="BV1773" s="115"/>
      <c r="BW1773" s="115"/>
      <c r="BX1773" s="115"/>
      <c r="BY1773" s="115"/>
      <c r="BZ1773" s="26"/>
      <c r="CA1773" s="15"/>
      <c r="CE1773" s="117"/>
      <c r="CF1773" s="116"/>
      <c r="CG1773" s="116"/>
      <c r="CH1773" s="116"/>
    </row>
    <row r="1774" spans="1:86" ht="19.5" x14ac:dyDescent="0.4">
      <c r="A1774" s="115"/>
      <c r="B1774" s="115"/>
      <c r="C1774" s="115"/>
      <c r="D1774" s="115"/>
      <c r="E1774" s="115"/>
      <c r="F1774" s="115"/>
      <c r="G1774" s="115"/>
      <c r="H1774" s="115"/>
      <c r="I1774" s="115"/>
      <c r="J1774" s="115"/>
      <c r="K1774" s="115"/>
      <c r="L1774" s="115"/>
      <c r="M1774" s="115"/>
      <c r="N1774" s="115"/>
      <c r="O1774" s="115"/>
      <c r="P1774" s="115"/>
      <c r="Q1774" s="115"/>
      <c r="R1774" s="115"/>
      <c r="S1774" s="115"/>
      <c r="T1774" s="115"/>
      <c r="U1774" s="115"/>
      <c r="V1774" s="115"/>
      <c r="W1774" s="115"/>
      <c r="X1774" s="115"/>
      <c r="Y1774" s="115"/>
      <c r="Z1774" s="115"/>
      <c r="AA1774" s="115"/>
      <c r="AB1774" s="115"/>
      <c r="AC1774" s="115"/>
      <c r="AD1774" s="115"/>
      <c r="AE1774" s="115"/>
      <c r="AF1774" s="115"/>
      <c r="AG1774" s="115"/>
      <c r="AH1774" s="115"/>
      <c r="AI1774" s="115"/>
      <c r="AJ1774" s="115"/>
      <c r="AK1774" s="115"/>
      <c r="AL1774" s="115"/>
      <c r="AM1774" s="115"/>
      <c r="AN1774" s="115"/>
      <c r="AO1774" s="115"/>
      <c r="AP1774" s="115"/>
      <c r="AQ1774" s="115"/>
      <c r="AR1774" s="115"/>
      <c r="AS1774" s="115"/>
      <c r="AT1774" s="115"/>
      <c r="AU1774" s="115"/>
      <c r="AV1774" s="115"/>
      <c r="AW1774" s="115"/>
      <c r="AX1774" s="115"/>
      <c r="AY1774" s="115"/>
      <c r="AZ1774" s="115"/>
      <c r="BA1774" s="115"/>
      <c r="BB1774" s="115"/>
      <c r="BC1774" s="115"/>
      <c r="BD1774" s="115"/>
      <c r="BE1774" s="115"/>
      <c r="BF1774" s="115"/>
      <c r="BG1774" s="115"/>
      <c r="BH1774" s="115"/>
      <c r="BI1774" s="122"/>
      <c r="BJ1774" s="122"/>
      <c r="BK1774" s="122"/>
      <c r="BL1774" s="115"/>
      <c r="BM1774" s="115"/>
      <c r="BN1774" s="115"/>
      <c r="BO1774" s="115"/>
      <c r="BP1774" s="115"/>
      <c r="BQ1774" s="115"/>
      <c r="BR1774" s="115"/>
      <c r="BS1774" s="115"/>
      <c r="BT1774" s="115"/>
      <c r="BU1774" s="115"/>
      <c r="BV1774" s="115"/>
      <c r="BW1774" s="115"/>
      <c r="BX1774" s="115"/>
      <c r="BY1774" s="115"/>
      <c r="BZ1774" s="17"/>
      <c r="CA1774" s="13"/>
      <c r="CE1774" s="117"/>
      <c r="CF1774" s="116"/>
      <c r="CG1774" s="116"/>
      <c r="CH1774" s="116"/>
    </row>
    <row r="1775" spans="1:86" ht="19.5" x14ac:dyDescent="0.4">
      <c r="A1775" s="115"/>
      <c r="B1775" s="115"/>
      <c r="C1775" s="115"/>
      <c r="D1775" s="115"/>
      <c r="E1775" s="115"/>
      <c r="F1775" s="115"/>
      <c r="G1775" s="115"/>
      <c r="H1775" s="115"/>
      <c r="I1775" s="115"/>
      <c r="J1775" s="115"/>
      <c r="K1775" s="115"/>
      <c r="L1775" s="115"/>
      <c r="M1775" s="115"/>
      <c r="N1775" s="115"/>
      <c r="O1775" s="115"/>
      <c r="P1775" s="115"/>
      <c r="Q1775" s="115"/>
      <c r="R1775" s="115"/>
      <c r="S1775" s="115"/>
      <c r="T1775" s="115"/>
      <c r="U1775" s="115"/>
      <c r="V1775" s="115"/>
      <c r="W1775" s="115"/>
      <c r="X1775" s="115"/>
      <c r="Y1775" s="115"/>
      <c r="Z1775" s="115"/>
      <c r="AA1775" s="115"/>
      <c r="AB1775" s="115"/>
      <c r="AC1775" s="115"/>
      <c r="AD1775" s="115"/>
      <c r="AE1775" s="115"/>
      <c r="AF1775" s="115"/>
      <c r="AG1775" s="115"/>
      <c r="AH1775" s="115"/>
      <c r="AI1775" s="115"/>
      <c r="AJ1775" s="115"/>
      <c r="AK1775" s="115"/>
      <c r="AL1775" s="115"/>
      <c r="AM1775" s="115"/>
      <c r="AN1775" s="115"/>
      <c r="AO1775" s="115"/>
      <c r="AP1775" s="115"/>
      <c r="AQ1775" s="115"/>
      <c r="AR1775" s="115"/>
      <c r="AS1775" s="115"/>
      <c r="AT1775" s="115"/>
      <c r="AU1775" s="115"/>
      <c r="AV1775" s="115"/>
      <c r="AW1775" s="115"/>
      <c r="AX1775" s="115"/>
      <c r="AY1775" s="115"/>
      <c r="AZ1775" s="115"/>
      <c r="BA1775" s="115"/>
      <c r="BB1775" s="115"/>
      <c r="BC1775" s="115"/>
      <c r="BD1775" s="115"/>
      <c r="BE1775" s="115"/>
      <c r="BF1775" s="115"/>
      <c r="BG1775" s="115"/>
      <c r="BH1775" s="115"/>
      <c r="BI1775" s="122"/>
      <c r="BJ1775" s="122"/>
      <c r="BK1775" s="122"/>
      <c r="BL1775" s="115"/>
      <c r="BM1775" s="115"/>
      <c r="BN1775" s="115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26"/>
      <c r="CA1775" s="13"/>
      <c r="CE1775" s="117"/>
      <c r="CF1775" s="116"/>
      <c r="CG1775" s="116"/>
      <c r="CH1775" s="116"/>
    </row>
    <row r="1776" spans="1:86" ht="19.5" x14ac:dyDescent="0.4">
      <c r="A1776" s="115"/>
      <c r="B1776" s="115"/>
      <c r="C1776" s="115"/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22"/>
      <c r="BJ1776" s="122"/>
      <c r="BK1776" s="122"/>
      <c r="BL1776" s="115"/>
      <c r="BM1776" s="115"/>
      <c r="BN1776" s="115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7"/>
      <c r="CA1776" s="13"/>
      <c r="CE1776" s="117"/>
      <c r="CF1776" s="116"/>
      <c r="CG1776" s="116"/>
      <c r="CH1776" s="116"/>
    </row>
    <row r="1777" spans="1:86" ht="19.5" x14ac:dyDescent="0.4">
      <c r="A1777" s="115"/>
      <c r="B1777" s="115"/>
      <c r="C1777" s="115"/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22"/>
      <c r="BJ1777" s="122"/>
      <c r="BK1777" s="122"/>
      <c r="BL1777" s="115"/>
      <c r="BM1777" s="115"/>
      <c r="BN1777" s="115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26"/>
      <c r="CA1777" s="15"/>
      <c r="CE1777" s="117"/>
      <c r="CF1777" s="116"/>
      <c r="CG1777" s="116"/>
      <c r="CH1777" s="116"/>
    </row>
    <row r="1778" spans="1:86" ht="19.5" x14ac:dyDescent="0.4">
      <c r="A1778" s="115"/>
      <c r="B1778" s="115"/>
      <c r="C1778" s="115"/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22"/>
      <c r="BJ1778" s="122"/>
      <c r="BK1778" s="122"/>
      <c r="BL1778" s="115"/>
      <c r="BM1778" s="115"/>
      <c r="BN1778" s="115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7"/>
      <c r="CA1778" s="15"/>
      <c r="CE1778" s="117"/>
      <c r="CF1778" s="116"/>
      <c r="CG1778" s="116"/>
      <c r="CH1778" s="116"/>
    </row>
    <row r="1779" spans="1:86" ht="19.5" x14ac:dyDescent="0.4">
      <c r="BZ1779" s="26"/>
      <c r="CA1779" s="105"/>
      <c r="CE1779" s="117"/>
      <c r="CF1779" s="116"/>
      <c r="CG1779" s="116"/>
      <c r="CH1779" s="116"/>
    </row>
    <row r="1780" spans="1:86" ht="19.5" x14ac:dyDescent="0.4">
      <c r="BF1780" s="115"/>
      <c r="BG1780" s="115"/>
      <c r="BH1780" s="115"/>
      <c r="BI1780" s="122"/>
      <c r="BJ1780" s="122"/>
      <c r="BK1780" s="122"/>
      <c r="BL1780" s="115"/>
      <c r="BM1780" s="115"/>
      <c r="BN1780" s="115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7"/>
      <c r="CA1780" s="15"/>
      <c r="CE1780" s="117"/>
      <c r="CF1780" s="116"/>
      <c r="CG1780" s="116"/>
      <c r="CH1780" s="116"/>
    </row>
    <row r="1781" spans="1:86" ht="19.5" x14ac:dyDescent="0.4">
      <c r="BC1781" s="115"/>
      <c r="BD1781" s="115"/>
      <c r="BE1781" s="115"/>
      <c r="BF1781" s="115"/>
      <c r="BG1781" s="115"/>
      <c r="BH1781" s="115"/>
      <c r="BI1781" s="122"/>
      <c r="BJ1781" s="122"/>
      <c r="BK1781" s="122"/>
      <c r="BL1781" s="115"/>
      <c r="BM1781" s="115"/>
      <c r="BN1781" s="115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26"/>
      <c r="CA1781" s="15"/>
      <c r="CE1781" s="117"/>
      <c r="CF1781" s="116"/>
      <c r="CG1781" s="116"/>
      <c r="CH1781" s="116"/>
    </row>
    <row r="1782" spans="1:86" ht="19.5" x14ac:dyDescent="0.4">
      <c r="BC1782" s="115"/>
      <c r="BD1782" s="115"/>
      <c r="BE1782" s="115"/>
      <c r="BF1782" s="115"/>
      <c r="BG1782" s="115"/>
      <c r="BH1782" s="115"/>
      <c r="BI1782" s="122"/>
      <c r="BJ1782" s="122"/>
      <c r="BK1782" s="122"/>
      <c r="BL1782" s="115"/>
      <c r="BM1782" s="115"/>
      <c r="BN1782" s="115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7"/>
      <c r="CA1782" s="15"/>
      <c r="CE1782" s="117"/>
      <c r="CF1782" s="116"/>
      <c r="CG1782" s="116"/>
      <c r="CH1782" s="116"/>
    </row>
    <row r="1783" spans="1:86" ht="19.5" x14ac:dyDescent="0.4"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22"/>
      <c r="BJ1783" s="122"/>
      <c r="BK1783" s="122"/>
      <c r="BL1783" s="115"/>
      <c r="BM1783" s="115"/>
      <c r="BN1783" s="115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26"/>
      <c r="CA1783" s="15"/>
      <c r="CE1783" s="117"/>
      <c r="CF1783" s="116"/>
      <c r="CG1783" s="116"/>
      <c r="CH1783" s="116"/>
    </row>
    <row r="1784" spans="1:86" ht="19.5" x14ac:dyDescent="0.4"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22"/>
      <c r="BJ1784" s="122"/>
      <c r="BK1784" s="122"/>
      <c r="BL1784" s="115"/>
      <c r="BM1784" s="115"/>
      <c r="BN1784" s="115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7"/>
      <c r="CA1784" s="15"/>
      <c r="CE1784" s="117"/>
      <c r="CF1784" s="116"/>
      <c r="CG1784" s="116"/>
      <c r="CH1784" s="116"/>
    </row>
    <row r="1785" spans="1:86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22"/>
      <c r="BJ1785" s="122"/>
      <c r="BK1785" s="122"/>
      <c r="BL1785" s="115"/>
      <c r="BM1785" s="115"/>
      <c r="BN1785" s="115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26"/>
      <c r="CA1785" s="15"/>
      <c r="CE1785" s="117"/>
      <c r="CF1785" s="116"/>
      <c r="CG1785" s="116"/>
      <c r="CH1785" s="116"/>
    </row>
    <row r="1786" spans="1:86" ht="19.5" x14ac:dyDescent="0.4">
      <c r="A1786" s="115"/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22"/>
      <c r="BJ1786" s="122"/>
      <c r="BK1786" s="122"/>
      <c r="BL1786" s="115"/>
      <c r="BM1786" s="115"/>
      <c r="BN1786" s="115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26"/>
      <c r="CA1786" s="15"/>
      <c r="CE1786" s="117"/>
      <c r="CF1786" s="116"/>
      <c r="CG1786" s="116"/>
      <c r="CH1786" s="116"/>
    </row>
    <row r="1787" spans="1:86" ht="19.5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15"/>
      <c r="BI1787" s="122"/>
      <c r="BJ1787" s="122"/>
      <c r="BK1787" s="122"/>
      <c r="BL1787" s="115"/>
      <c r="BM1787" s="115"/>
      <c r="BN1787" s="115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7"/>
      <c r="CA1787" s="15"/>
      <c r="CE1787" s="117"/>
      <c r="CF1787" s="116"/>
      <c r="CG1787" s="116"/>
      <c r="CH1787" s="116"/>
    </row>
    <row r="1788" spans="1:86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22"/>
      <c r="BJ1788" s="122"/>
      <c r="BK1788" s="122"/>
      <c r="BL1788" s="115"/>
      <c r="BM1788" s="115"/>
      <c r="BN1788" s="115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26"/>
      <c r="CA1788" s="15"/>
      <c r="CE1788" s="117"/>
      <c r="CF1788" s="116"/>
      <c r="CG1788" s="116"/>
      <c r="CH1788" s="116"/>
    </row>
    <row r="1789" spans="1:86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22"/>
      <c r="BJ1789" s="122"/>
      <c r="BK1789" s="122"/>
      <c r="BL1789" s="115"/>
      <c r="BM1789" s="115"/>
      <c r="BN1789" s="115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7"/>
      <c r="CA1789" s="15"/>
      <c r="CE1789" s="117"/>
      <c r="CF1789" s="116"/>
      <c r="CG1789" s="116"/>
      <c r="CH1789" s="116"/>
    </row>
    <row r="1790" spans="1:86" ht="19.5" x14ac:dyDescent="0.4">
      <c r="BZ1790" s="26"/>
      <c r="CA1790" s="15"/>
      <c r="CE1790" s="117"/>
      <c r="CF1790" s="116"/>
      <c r="CG1790" s="116"/>
      <c r="CH1790" s="116"/>
    </row>
    <row r="1791" spans="1:86" ht="19.5" x14ac:dyDescent="0.4">
      <c r="BF1791" s="115"/>
      <c r="BG1791" s="115"/>
      <c r="BH1791" s="115"/>
      <c r="BI1791" s="122"/>
      <c r="BJ1791" s="122"/>
      <c r="BK1791" s="122"/>
      <c r="BL1791" s="115"/>
      <c r="BM1791" s="115"/>
      <c r="BN1791" s="115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7"/>
      <c r="CA1791" s="15"/>
      <c r="CE1791" s="117"/>
      <c r="CF1791" s="116"/>
      <c r="CG1791" s="116"/>
      <c r="CH1791" s="116"/>
    </row>
    <row r="1792" spans="1:86" ht="19.5" x14ac:dyDescent="0.4">
      <c r="BZ1792" s="26"/>
      <c r="CA1792" s="15"/>
      <c r="CE1792" s="117"/>
      <c r="CF1792" s="116"/>
      <c r="CG1792" s="116"/>
      <c r="CH1792" s="116"/>
    </row>
    <row r="1793" spans="2:86" ht="19.5" x14ac:dyDescent="0.4">
      <c r="BF1793" s="115"/>
      <c r="BG1793" s="115"/>
      <c r="BH1793" s="115"/>
      <c r="BI1793" s="122"/>
      <c r="BJ1793" s="122"/>
      <c r="BK1793" s="122"/>
      <c r="BL1793" s="115"/>
      <c r="BM1793" s="115"/>
      <c r="BN1793" s="115"/>
      <c r="BO1793" s="115"/>
      <c r="BP1793" s="115"/>
      <c r="BQ1793" s="115"/>
      <c r="BR1793" s="115"/>
      <c r="BS1793" s="115"/>
      <c r="BT1793" s="115"/>
      <c r="BU1793" s="115"/>
      <c r="BV1793" s="115"/>
      <c r="BW1793" s="115"/>
      <c r="BX1793" s="115"/>
      <c r="BY1793" s="115"/>
      <c r="BZ1793" s="17"/>
      <c r="CA1793" s="15"/>
      <c r="CE1793" s="117"/>
      <c r="CF1793" s="116"/>
      <c r="CG1793" s="116"/>
      <c r="CH1793" s="116"/>
    </row>
    <row r="1794" spans="2:86" ht="19.5" x14ac:dyDescent="0.4">
      <c r="BZ1794" s="26"/>
      <c r="CA1794" s="15"/>
      <c r="CE1794" s="117"/>
      <c r="CF1794" s="116"/>
      <c r="CG1794" s="116"/>
      <c r="CH1794" s="116"/>
    </row>
    <row r="1795" spans="2:86" ht="19.5" x14ac:dyDescent="0.4">
      <c r="BF1795" s="115"/>
      <c r="BG1795" s="115"/>
      <c r="BH1795" s="115"/>
      <c r="BI1795" s="122"/>
      <c r="BJ1795" s="122"/>
      <c r="BK1795" s="122"/>
      <c r="BL1795" s="115"/>
      <c r="BM1795" s="115"/>
      <c r="BN1795" s="115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7"/>
      <c r="CA1795" s="15"/>
      <c r="CE1795" s="117"/>
      <c r="CF1795" s="116"/>
      <c r="CG1795" s="116"/>
      <c r="CH1795" s="116"/>
    </row>
    <row r="1796" spans="2:86" ht="19.5" x14ac:dyDescent="0.4">
      <c r="B1796" s="115"/>
      <c r="C1796" s="115"/>
      <c r="D1796" s="115"/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115"/>
      <c r="AR1796" s="115"/>
      <c r="AS1796" s="115"/>
      <c r="AT1796" s="115"/>
      <c r="AU1796" s="115"/>
      <c r="AV1796" s="115"/>
      <c r="AW1796" s="115"/>
      <c r="AX1796" s="115"/>
      <c r="AY1796" s="115"/>
      <c r="AZ1796" s="115"/>
      <c r="BA1796" s="115"/>
      <c r="BB1796" s="115"/>
      <c r="BC1796" s="115"/>
      <c r="BD1796" s="115"/>
      <c r="BE1796" s="115"/>
      <c r="BF1796" s="115"/>
      <c r="BG1796" s="115"/>
      <c r="BH1796" s="115"/>
      <c r="BI1796" s="122"/>
      <c r="BJ1796" s="122"/>
      <c r="BK1796" s="122"/>
      <c r="BL1796" s="115"/>
      <c r="BM1796" s="115"/>
      <c r="BN1796" s="115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26"/>
      <c r="CA1796" s="15"/>
      <c r="CE1796" s="117"/>
      <c r="CF1796" s="116"/>
      <c r="CG1796" s="116"/>
      <c r="CH1796" s="116"/>
    </row>
    <row r="1797" spans="2:86" ht="19.5" x14ac:dyDescent="0.4">
      <c r="B1797" s="115"/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15"/>
      <c r="AY1797" s="115"/>
      <c r="AZ1797" s="115"/>
      <c r="BA1797" s="115"/>
      <c r="BB1797" s="115"/>
      <c r="BC1797" s="115"/>
      <c r="BD1797" s="115"/>
      <c r="BE1797" s="115"/>
      <c r="BF1797" s="115"/>
      <c r="BG1797" s="115"/>
      <c r="BH1797" s="115"/>
      <c r="BI1797" s="122"/>
      <c r="BJ1797" s="122"/>
      <c r="BK1797" s="122"/>
      <c r="BL1797" s="115"/>
      <c r="BM1797" s="115"/>
      <c r="BN1797" s="115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7"/>
      <c r="CA1797" s="15"/>
      <c r="CE1797" s="117"/>
      <c r="CF1797" s="116"/>
      <c r="CG1797" s="116"/>
      <c r="CH1797" s="116"/>
    </row>
    <row r="1798" spans="2:86" ht="19.5" x14ac:dyDescent="0.4">
      <c r="B1798" s="115"/>
      <c r="C1798" s="115"/>
      <c r="D1798" s="115"/>
      <c r="E1798" s="115"/>
      <c r="F1798" s="115"/>
      <c r="G1798" s="115"/>
      <c r="H1798" s="115"/>
      <c r="I1798" s="115"/>
      <c r="J1798" s="115"/>
      <c r="K1798" s="115"/>
      <c r="L1798" s="115"/>
      <c r="M1798" s="115"/>
      <c r="N1798" s="115"/>
      <c r="O1798" s="115"/>
      <c r="P1798" s="115"/>
      <c r="Q1798" s="115"/>
      <c r="R1798" s="115"/>
      <c r="S1798" s="115"/>
      <c r="T1798" s="115"/>
      <c r="U1798" s="115"/>
      <c r="V1798" s="115"/>
      <c r="W1798" s="115"/>
      <c r="X1798" s="115"/>
      <c r="Y1798" s="115"/>
      <c r="Z1798" s="115"/>
      <c r="AA1798" s="115"/>
      <c r="AB1798" s="115"/>
      <c r="AC1798" s="115"/>
      <c r="AD1798" s="115"/>
      <c r="AE1798" s="115"/>
      <c r="AF1798" s="115"/>
      <c r="AG1798" s="115"/>
      <c r="AH1798" s="115"/>
      <c r="AI1798" s="115"/>
      <c r="AJ1798" s="115"/>
      <c r="AK1798" s="115"/>
      <c r="AL1798" s="115"/>
      <c r="AM1798" s="115"/>
      <c r="AN1798" s="115"/>
      <c r="AO1798" s="115"/>
      <c r="AP1798" s="115"/>
      <c r="AQ1798" s="115"/>
      <c r="AR1798" s="115"/>
      <c r="AS1798" s="115"/>
      <c r="AT1798" s="115"/>
      <c r="AU1798" s="115"/>
      <c r="AV1798" s="115"/>
      <c r="AW1798" s="115"/>
      <c r="AX1798" s="115"/>
      <c r="AY1798" s="115"/>
      <c r="AZ1798" s="115"/>
      <c r="BA1798" s="115"/>
      <c r="BB1798" s="115"/>
      <c r="BC1798" s="115"/>
      <c r="BD1798" s="115"/>
      <c r="BE1798" s="115"/>
      <c r="BF1798" s="115"/>
      <c r="BG1798" s="115"/>
      <c r="BH1798" s="115"/>
      <c r="BI1798" s="122"/>
      <c r="BJ1798" s="122"/>
      <c r="BK1798" s="122"/>
      <c r="BL1798" s="115"/>
      <c r="BM1798" s="115"/>
      <c r="BN1798" s="115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26"/>
      <c r="CA1798" s="15"/>
      <c r="CE1798" s="117"/>
      <c r="CF1798" s="116"/>
      <c r="CG1798" s="116"/>
      <c r="CH1798" s="116"/>
    </row>
    <row r="1799" spans="2:86" ht="19.5" x14ac:dyDescent="0.4">
      <c r="BZ1799" s="26"/>
      <c r="CA1799" s="15"/>
      <c r="CE1799" s="117"/>
      <c r="CF1799" s="116"/>
      <c r="CG1799" s="116"/>
      <c r="CH1799" s="116"/>
    </row>
    <row r="1800" spans="2:86" ht="19.5" x14ac:dyDescent="0.4">
      <c r="BF1800" s="115"/>
      <c r="BG1800" s="115"/>
      <c r="BH1800" s="115"/>
      <c r="BI1800" s="122"/>
      <c r="BJ1800" s="122"/>
      <c r="BK1800" s="122"/>
      <c r="BL1800" s="115"/>
      <c r="BM1800" s="115"/>
      <c r="BN1800" s="115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7"/>
      <c r="CA1800" s="15"/>
      <c r="CE1800" s="117"/>
      <c r="CF1800" s="116"/>
      <c r="CG1800" s="116"/>
      <c r="CH1800" s="116"/>
    </row>
    <row r="1801" spans="2:86" ht="19.5" x14ac:dyDescent="0.4">
      <c r="BD1801" s="115"/>
      <c r="BE1801" s="115"/>
      <c r="BF1801" s="115"/>
      <c r="BG1801" s="115"/>
      <c r="BH1801" s="115"/>
      <c r="BI1801" s="122"/>
      <c r="BJ1801" s="122"/>
      <c r="BK1801" s="122"/>
      <c r="BL1801" s="115"/>
      <c r="BM1801" s="115"/>
      <c r="BN1801" s="115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26"/>
      <c r="CA1801" s="15"/>
      <c r="CE1801" s="117"/>
      <c r="CF1801" s="116"/>
      <c r="CG1801" s="116"/>
      <c r="CH1801" s="116"/>
    </row>
    <row r="1802" spans="2:86" ht="19.5" x14ac:dyDescent="0.4">
      <c r="BD1802" s="115"/>
      <c r="BE1802" s="115"/>
      <c r="BF1802" s="115"/>
      <c r="BG1802" s="115"/>
      <c r="BH1802" s="115"/>
      <c r="BI1802" s="122"/>
      <c r="BJ1802" s="122"/>
      <c r="BK1802" s="122"/>
      <c r="BL1802" s="115"/>
      <c r="BM1802" s="115"/>
      <c r="BN1802" s="115"/>
      <c r="BO1802" s="115"/>
      <c r="BP1802" s="115"/>
      <c r="BQ1802" s="115"/>
      <c r="BR1802" s="115"/>
      <c r="BS1802" s="115"/>
      <c r="BT1802" s="115"/>
      <c r="BU1802" s="115"/>
      <c r="BV1802" s="115"/>
      <c r="BW1802" s="115"/>
      <c r="BX1802" s="115"/>
      <c r="BY1802" s="115"/>
      <c r="BZ1802" s="17"/>
      <c r="CA1802" s="13"/>
      <c r="CE1802" s="117"/>
      <c r="CF1802" s="116"/>
      <c r="CG1802" s="116"/>
      <c r="CH1802" s="116"/>
    </row>
    <row r="1803" spans="2:86" ht="19.5" x14ac:dyDescent="0.4">
      <c r="BC1803" s="115"/>
      <c r="BD1803" s="115"/>
      <c r="BE1803" s="115"/>
      <c r="BF1803" s="115"/>
      <c r="BG1803" s="115"/>
      <c r="BH1803" s="115"/>
      <c r="BI1803" s="122"/>
      <c r="BJ1803" s="122"/>
      <c r="BK1803" s="122"/>
      <c r="BL1803" s="115"/>
      <c r="BM1803" s="115"/>
      <c r="BN1803" s="115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26"/>
      <c r="CA1803" s="13"/>
      <c r="CE1803" s="117"/>
      <c r="CF1803" s="116"/>
      <c r="CG1803" s="116"/>
      <c r="CH1803" s="116"/>
    </row>
    <row r="1804" spans="2:86" ht="19.5" x14ac:dyDescent="0.4">
      <c r="BC1804" s="115"/>
      <c r="BD1804" s="115"/>
      <c r="BE1804" s="115"/>
      <c r="BF1804" s="115"/>
      <c r="BG1804" s="115"/>
      <c r="BH1804" s="115"/>
      <c r="BI1804" s="122"/>
      <c r="BJ1804" s="122"/>
      <c r="BK1804" s="122"/>
      <c r="BL1804" s="115"/>
      <c r="BM1804" s="115"/>
      <c r="BN1804" s="115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7"/>
      <c r="CA1804" s="13"/>
      <c r="CE1804" s="117"/>
      <c r="CF1804" s="116"/>
      <c r="CG1804" s="116"/>
      <c r="CH1804" s="116"/>
    </row>
    <row r="1805" spans="2:86" ht="19.5" x14ac:dyDescent="0.4"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22"/>
      <c r="BJ1805" s="122"/>
      <c r="BK1805" s="122"/>
      <c r="BL1805" s="115"/>
      <c r="BM1805" s="115"/>
      <c r="BN1805" s="115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26"/>
      <c r="CA1805" s="15"/>
      <c r="CE1805" s="117"/>
      <c r="CF1805" s="116"/>
      <c r="CG1805" s="116"/>
      <c r="CH1805" s="116"/>
    </row>
    <row r="1806" spans="2:86" ht="19.5" x14ac:dyDescent="0.4"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22"/>
      <c r="BJ1806" s="122"/>
      <c r="BK1806" s="122"/>
      <c r="BL1806" s="115"/>
      <c r="BM1806" s="115"/>
      <c r="BN1806" s="115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7"/>
      <c r="CA1806" s="15"/>
      <c r="CE1806" s="117"/>
      <c r="CF1806" s="116"/>
      <c r="CG1806" s="116"/>
      <c r="CH1806" s="116"/>
    </row>
    <row r="1807" spans="2:86" ht="19.5" x14ac:dyDescent="0.4"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22"/>
      <c r="BJ1807" s="122"/>
      <c r="BK1807" s="122"/>
      <c r="BL1807" s="115"/>
      <c r="BM1807" s="115"/>
      <c r="BN1807" s="115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26"/>
      <c r="CA1807" s="105"/>
      <c r="CE1807" s="117"/>
      <c r="CF1807" s="116"/>
      <c r="CG1807" s="116"/>
      <c r="CH1807" s="116"/>
    </row>
    <row r="1808" spans="2:86" ht="19.5" x14ac:dyDescent="0.4"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22"/>
      <c r="BJ1808" s="122"/>
      <c r="BK1808" s="122"/>
      <c r="BL1808" s="115"/>
      <c r="BM1808" s="115"/>
      <c r="BN1808" s="115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7"/>
      <c r="CA1808" s="15"/>
      <c r="CE1808" s="117"/>
      <c r="CF1808" s="116"/>
      <c r="CG1808" s="116"/>
      <c r="CH1808" s="116"/>
    </row>
    <row r="1809" spans="1:86" ht="19.5" x14ac:dyDescent="0.4"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22"/>
      <c r="BJ1809" s="122"/>
      <c r="BK1809" s="122"/>
      <c r="BL1809" s="115"/>
      <c r="BM1809" s="115"/>
      <c r="BN1809" s="115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26"/>
      <c r="CA1809" s="15"/>
      <c r="CE1809" s="117"/>
      <c r="CF1809" s="116"/>
      <c r="CG1809" s="116"/>
      <c r="CH1809" s="116"/>
    </row>
    <row r="1810" spans="1:86" ht="19.5" x14ac:dyDescent="0.4"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22"/>
      <c r="BJ1810" s="122"/>
      <c r="BK1810" s="122"/>
      <c r="BL1810" s="115"/>
      <c r="BM1810" s="115"/>
      <c r="BN1810" s="115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26"/>
      <c r="CA1810" s="15"/>
      <c r="CE1810" s="117"/>
      <c r="CF1810" s="116"/>
      <c r="CG1810" s="116"/>
      <c r="CH1810" s="116"/>
    </row>
    <row r="1811" spans="1:86" ht="19.5" x14ac:dyDescent="0.4">
      <c r="BZ1811" s="26"/>
      <c r="CA1811" s="15"/>
      <c r="CE1811" s="117"/>
      <c r="CF1811" s="116"/>
      <c r="CG1811" s="116"/>
      <c r="CH1811" s="116"/>
    </row>
    <row r="1812" spans="1:86" ht="19.5" x14ac:dyDescent="0.4">
      <c r="BE1812" s="115"/>
      <c r="BF1812" s="115"/>
      <c r="BG1812" s="115"/>
      <c r="BH1812" s="115"/>
      <c r="BI1812" s="122"/>
      <c r="BJ1812" s="122"/>
      <c r="BK1812" s="122"/>
      <c r="BL1812" s="115"/>
      <c r="BM1812" s="115"/>
      <c r="BN1812" s="115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26"/>
      <c r="CA1812" s="15"/>
      <c r="CE1812" s="117"/>
      <c r="CF1812" s="116"/>
      <c r="CG1812" s="116"/>
      <c r="CH1812" s="116"/>
    </row>
    <row r="1813" spans="1:86" ht="19.5" x14ac:dyDescent="0.4">
      <c r="A1813" s="115"/>
      <c r="B1813" s="115"/>
      <c r="C1813" s="115"/>
      <c r="D1813" s="115"/>
      <c r="E1813" s="115"/>
      <c r="F1813" s="115"/>
      <c r="G1813" s="115"/>
      <c r="H1813" s="115"/>
      <c r="I1813" s="115"/>
      <c r="J1813" s="115"/>
      <c r="K1813" s="115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  <c r="AI1813" s="115"/>
      <c r="AJ1813" s="115"/>
      <c r="AK1813" s="115"/>
      <c r="AL1813" s="115"/>
      <c r="AM1813" s="115"/>
      <c r="AN1813" s="115"/>
      <c r="AO1813" s="115"/>
      <c r="AP1813" s="115"/>
      <c r="AQ1813" s="115"/>
      <c r="AR1813" s="115"/>
      <c r="AS1813" s="115"/>
      <c r="AT1813" s="115"/>
      <c r="AU1813" s="115"/>
      <c r="AV1813" s="115"/>
      <c r="AW1813" s="115"/>
      <c r="AX1813" s="115"/>
      <c r="AY1813" s="115"/>
      <c r="AZ1813" s="115"/>
      <c r="BA1813" s="115"/>
      <c r="BB1813" s="115"/>
      <c r="BC1813" s="115"/>
      <c r="BD1813" s="115"/>
      <c r="BE1813" s="115"/>
      <c r="BF1813" s="115"/>
      <c r="BG1813" s="115"/>
      <c r="BH1813" s="115"/>
      <c r="BI1813" s="122"/>
      <c r="BJ1813" s="122"/>
      <c r="BK1813" s="122"/>
      <c r="BL1813" s="115"/>
      <c r="BM1813" s="115"/>
      <c r="BN1813" s="115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26"/>
      <c r="CA1813" s="15"/>
      <c r="CE1813" s="117"/>
      <c r="CF1813" s="116"/>
      <c r="CG1813" s="116"/>
      <c r="CH1813" s="116"/>
    </row>
    <row r="1814" spans="1:86" ht="19.5" x14ac:dyDescent="0.4">
      <c r="A1814" s="115"/>
      <c r="B1814" s="115"/>
      <c r="C1814" s="115"/>
      <c r="D1814" s="115"/>
      <c r="E1814" s="115"/>
      <c r="F1814" s="115"/>
      <c r="G1814" s="115"/>
      <c r="H1814" s="115"/>
      <c r="I1814" s="115"/>
      <c r="J1814" s="115"/>
      <c r="K1814" s="115"/>
      <c r="L1814" s="115"/>
      <c r="M1814" s="115"/>
      <c r="N1814" s="115"/>
      <c r="O1814" s="115"/>
      <c r="P1814" s="115"/>
      <c r="Q1814" s="115"/>
      <c r="R1814" s="115"/>
      <c r="S1814" s="115"/>
      <c r="T1814" s="115"/>
      <c r="U1814" s="115"/>
      <c r="V1814" s="115"/>
      <c r="W1814" s="115"/>
      <c r="X1814" s="115"/>
      <c r="Y1814" s="115"/>
      <c r="Z1814" s="115"/>
      <c r="AA1814" s="115"/>
      <c r="AB1814" s="115"/>
      <c r="AC1814" s="115"/>
      <c r="AD1814" s="115"/>
      <c r="AE1814" s="115"/>
      <c r="AF1814" s="115"/>
      <c r="AG1814" s="115"/>
      <c r="AH1814" s="115"/>
      <c r="AI1814" s="115"/>
      <c r="AJ1814" s="115"/>
      <c r="AK1814" s="115"/>
      <c r="AL1814" s="115"/>
      <c r="AM1814" s="115"/>
      <c r="AN1814" s="115"/>
      <c r="AO1814" s="115"/>
      <c r="AP1814" s="115"/>
      <c r="AQ1814" s="115"/>
      <c r="AR1814" s="115"/>
      <c r="AS1814" s="115"/>
      <c r="AT1814" s="115"/>
      <c r="AU1814" s="115"/>
      <c r="AV1814" s="115"/>
      <c r="AW1814" s="115"/>
      <c r="AX1814" s="115"/>
      <c r="AY1814" s="115"/>
      <c r="AZ1814" s="115"/>
      <c r="BA1814" s="115"/>
      <c r="BB1814" s="115"/>
      <c r="BC1814" s="115"/>
      <c r="BD1814" s="115"/>
      <c r="BE1814" s="115"/>
      <c r="BF1814" s="115"/>
      <c r="BG1814" s="115"/>
      <c r="BH1814" s="115"/>
      <c r="BI1814" s="122"/>
      <c r="BJ1814" s="122"/>
      <c r="BK1814" s="122"/>
      <c r="BL1814" s="115"/>
      <c r="BM1814" s="115"/>
      <c r="BN1814" s="115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26"/>
      <c r="CA1814" s="15"/>
      <c r="CE1814" s="117"/>
      <c r="CF1814" s="116"/>
      <c r="CG1814" s="116"/>
      <c r="CH1814" s="116"/>
    </row>
    <row r="1815" spans="1:86" ht="19.5" x14ac:dyDescent="0.4">
      <c r="A1815" s="115"/>
      <c r="B1815" s="115"/>
      <c r="C1815" s="115"/>
      <c r="D1815" s="115"/>
      <c r="E1815" s="115"/>
      <c r="F1815" s="115"/>
      <c r="G1815" s="115"/>
      <c r="H1815" s="115"/>
      <c r="I1815" s="115"/>
      <c r="J1815" s="115"/>
      <c r="K1815" s="115"/>
      <c r="L1815" s="115"/>
      <c r="M1815" s="115"/>
      <c r="N1815" s="115"/>
      <c r="O1815" s="115"/>
      <c r="P1815" s="115"/>
      <c r="Q1815" s="115"/>
      <c r="R1815" s="115"/>
      <c r="S1815" s="115"/>
      <c r="T1815" s="115"/>
      <c r="U1815" s="115"/>
      <c r="V1815" s="115"/>
      <c r="W1815" s="115"/>
      <c r="X1815" s="115"/>
      <c r="Y1815" s="115"/>
      <c r="Z1815" s="115"/>
      <c r="AA1815" s="115"/>
      <c r="AB1815" s="115"/>
      <c r="AC1815" s="115"/>
      <c r="AD1815" s="115"/>
      <c r="AE1815" s="115"/>
      <c r="AF1815" s="115"/>
      <c r="AG1815" s="115"/>
      <c r="AH1815" s="115"/>
      <c r="AI1815" s="115"/>
      <c r="AJ1815" s="115"/>
      <c r="AK1815" s="115"/>
      <c r="AL1815" s="115"/>
      <c r="AM1815" s="115"/>
      <c r="AN1815" s="115"/>
      <c r="AO1815" s="115"/>
      <c r="AP1815" s="115"/>
      <c r="AQ1815" s="115"/>
      <c r="AR1815" s="115"/>
      <c r="AS1815" s="115"/>
      <c r="AT1815" s="115"/>
      <c r="AU1815" s="115"/>
      <c r="AV1815" s="115"/>
      <c r="AW1815" s="115"/>
      <c r="AX1815" s="115"/>
      <c r="AY1815" s="115"/>
      <c r="AZ1815" s="115"/>
      <c r="BA1815" s="115"/>
      <c r="BB1815" s="115"/>
      <c r="BC1815" s="115"/>
      <c r="BD1815" s="115"/>
      <c r="BE1815" s="115"/>
      <c r="BF1815" s="115"/>
      <c r="BG1815" s="115"/>
      <c r="BH1815" s="115"/>
      <c r="BI1815" s="122"/>
      <c r="BJ1815" s="122"/>
      <c r="BK1815" s="122"/>
      <c r="BL1815" s="115"/>
      <c r="BM1815" s="115"/>
      <c r="BN1815" s="115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7"/>
      <c r="CA1815" s="15"/>
      <c r="CE1815" s="117"/>
      <c r="CF1815" s="116"/>
      <c r="CG1815" s="116"/>
      <c r="CH1815" s="116"/>
    </row>
    <row r="1816" spans="1:86" ht="19.5" x14ac:dyDescent="0.4">
      <c r="BZ1816" s="26"/>
      <c r="CA1816" s="15"/>
      <c r="CE1816" s="117"/>
      <c r="CF1816" s="116"/>
      <c r="CG1816" s="116"/>
      <c r="CH1816" s="116"/>
    </row>
    <row r="1817" spans="1:86" ht="19.5" x14ac:dyDescent="0.4">
      <c r="BF1817" s="115"/>
      <c r="BG1817" s="115"/>
      <c r="BH1817" s="115"/>
      <c r="BI1817" s="122"/>
      <c r="BJ1817" s="122"/>
      <c r="BK1817" s="122"/>
      <c r="BL1817" s="115"/>
      <c r="BM1817" s="115"/>
      <c r="BN1817" s="115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7"/>
      <c r="CA1817" s="15"/>
      <c r="CE1817" s="117"/>
      <c r="CF1817" s="116"/>
      <c r="CG1817" s="116"/>
      <c r="CH1817" s="116"/>
    </row>
    <row r="1818" spans="1:86" ht="19.5" x14ac:dyDescent="0.4">
      <c r="BE1818" s="115"/>
      <c r="BF1818" s="115"/>
      <c r="BG1818" s="115"/>
      <c r="BH1818" s="115"/>
      <c r="BI1818" s="122"/>
      <c r="BJ1818" s="122"/>
      <c r="BK1818" s="122"/>
      <c r="BL1818" s="115"/>
      <c r="BM1818" s="115"/>
      <c r="BN1818" s="115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26"/>
      <c r="CA1818" s="15"/>
      <c r="CE1818" s="117"/>
      <c r="CF1818" s="116"/>
      <c r="CG1818" s="116"/>
      <c r="CH1818" s="116"/>
    </row>
    <row r="1819" spans="1:86" ht="19.5" x14ac:dyDescent="0.4">
      <c r="C1819" s="115"/>
      <c r="D1819" s="115"/>
      <c r="E1819" s="115"/>
      <c r="F1819" s="115"/>
      <c r="G1819" s="115"/>
      <c r="H1819" s="115"/>
      <c r="I1819" s="115"/>
      <c r="J1819" s="115"/>
      <c r="K1819" s="115"/>
      <c r="L1819" s="115"/>
      <c r="M1819" s="115"/>
      <c r="N1819" s="115"/>
      <c r="O1819" s="115"/>
      <c r="P1819" s="115"/>
      <c r="Q1819" s="115"/>
      <c r="R1819" s="115"/>
      <c r="S1819" s="115"/>
      <c r="T1819" s="115"/>
      <c r="U1819" s="115"/>
      <c r="V1819" s="115"/>
      <c r="W1819" s="115"/>
      <c r="X1819" s="115"/>
      <c r="Y1819" s="115"/>
      <c r="Z1819" s="115"/>
      <c r="AA1819" s="115"/>
      <c r="AB1819" s="115"/>
      <c r="AC1819" s="115"/>
      <c r="AD1819" s="115"/>
      <c r="AE1819" s="115"/>
      <c r="AF1819" s="115"/>
      <c r="AG1819" s="115"/>
      <c r="AH1819" s="115"/>
      <c r="AI1819" s="115"/>
      <c r="AJ1819" s="115"/>
      <c r="AK1819" s="115"/>
      <c r="AL1819" s="115"/>
      <c r="AM1819" s="115"/>
      <c r="AN1819" s="115"/>
      <c r="AO1819" s="115"/>
      <c r="AP1819" s="115"/>
      <c r="AQ1819" s="115"/>
      <c r="AR1819" s="115"/>
      <c r="AS1819" s="115"/>
      <c r="AT1819" s="115"/>
      <c r="AU1819" s="115"/>
      <c r="AV1819" s="115"/>
      <c r="AW1819" s="115"/>
      <c r="AX1819" s="115"/>
      <c r="AY1819" s="115"/>
      <c r="AZ1819" s="115"/>
      <c r="BA1819" s="115"/>
      <c r="BB1819" s="115"/>
      <c r="BC1819" s="115"/>
      <c r="BD1819" s="115"/>
      <c r="BE1819" s="115"/>
      <c r="BF1819" s="115"/>
      <c r="BG1819" s="115"/>
      <c r="BH1819" s="115"/>
      <c r="BI1819" s="122"/>
      <c r="BJ1819" s="122"/>
      <c r="BK1819" s="122"/>
      <c r="BL1819" s="115"/>
      <c r="BM1819" s="115"/>
      <c r="BN1819" s="115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26"/>
      <c r="CA1819" s="15"/>
      <c r="CE1819" s="117"/>
      <c r="CF1819" s="116"/>
      <c r="CG1819" s="116"/>
      <c r="CH1819" s="116"/>
    </row>
    <row r="1820" spans="1:86" ht="19.5" x14ac:dyDescent="0.4">
      <c r="C1820" s="115"/>
      <c r="D1820" s="115"/>
      <c r="E1820" s="115"/>
      <c r="F1820" s="115"/>
      <c r="G1820" s="115"/>
      <c r="H1820" s="115"/>
      <c r="I1820" s="115"/>
      <c r="J1820" s="115"/>
      <c r="K1820" s="115"/>
      <c r="L1820" s="115"/>
      <c r="M1820" s="115"/>
      <c r="N1820" s="115"/>
      <c r="O1820" s="115"/>
      <c r="P1820" s="115"/>
      <c r="Q1820" s="115"/>
      <c r="R1820" s="115"/>
      <c r="S1820" s="115"/>
      <c r="T1820" s="115"/>
      <c r="U1820" s="115"/>
      <c r="V1820" s="115"/>
      <c r="W1820" s="115"/>
      <c r="X1820" s="115"/>
      <c r="Y1820" s="115"/>
      <c r="Z1820" s="115"/>
      <c r="AA1820" s="115"/>
      <c r="AB1820" s="115"/>
      <c r="AC1820" s="115"/>
      <c r="AD1820" s="115"/>
      <c r="AE1820" s="115"/>
      <c r="AF1820" s="115"/>
      <c r="AG1820" s="115"/>
      <c r="AH1820" s="115"/>
      <c r="AI1820" s="115"/>
      <c r="AJ1820" s="115"/>
      <c r="AK1820" s="115"/>
      <c r="AL1820" s="115"/>
      <c r="AM1820" s="115"/>
      <c r="AN1820" s="115"/>
      <c r="AO1820" s="115"/>
      <c r="AP1820" s="115"/>
      <c r="AQ1820" s="115"/>
      <c r="AR1820" s="115"/>
      <c r="AS1820" s="115"/>
      <c r="AT1820" s="115"/>
      <c r="AU1820" s="115"/>
      <c r="AV1820" s="115"/>
      <c r="AW1820" s="115"/>
      <c r="AX1820" s="115"/>
      <c r="AY1820" s="115"/>
      <c r="AZ1820" s="115"/>
      <c r="BA1820" s="115"/>
      <c r="BB1820" s="115"/>
      <c r="BC1820" s="115"/>
      <c r="BD1820" s="115"/>
      <c r="BE1820" s="115"/>
      <c r="BF1820" s="115"/>
      <c r="BG1820" s="115"/>
      <c r="BH1820" s="115"/>
      <c r="BI1820" s="122"/>
      <c r="BJ1820" s="122"/>
      <c r="BK1820" s="122"/>
      <c r="BL1820" s="115"/>
      <c r="BM1820" s="115"/>
      <c r="BN1820" s="115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26"/>
      <c r="CA1820" s="15"/>
      <c r="CE1820" s="117"/>
      <c r="CF1820" s="116"/>
      <c r="CG1820" s="116"/>
      <c r="CH1820" s="116"/>
    </row>
    <row r="1821" spans="1:86" ht="19.5" x14ac:dyDescent="0.4">
      <c r="B1821" s="115"/>
      <c r="C1821" s="115"/>
      <c r="D1821" s="115"/>
      <c r="E1821" s="115"/>
      <c r="F1821" s="115"/>
      <c r="G1821" s="115"/>
      <c r="H1821" s="115"/>
      <c r="I1821" s="115"/>
      <c r="J1821" s="115"/>
      <c r="K1821" s="115"/>
      <c r="L1821" s="115"/>
      <c r="M1821" s="115"/>
      <c r="N1821" s="115"/>
      <c r="O1821" s="115"/>
      <c r="P1821" s="115"/>
      <c r="Q1821" s="115"/>
      <c r="R1821" s="115"/>
      <c r="S1821" s="115"/>
      <c r="T1821" s="115"/>
      <c r="U1821" s="115"/>
      <c r="V1821" s="115"/>
      <c r="W1821" s="115"/>
      <c r="X1821" s="115"/>
      <c r="Y1821" s="115"/>
      <c r="Z1821" s="115"/>
      <c r="AA1821" s="115"/>
      <c r="AB1821" s="115"/>
      <c r="AC1821" s="115"/>
      <c r="AD1821" s="115"/>
      <c r="AE1821" s="115"/>
      <c r="AF1821" s="115"/>
      <c r="AG1821" s="115"/>
      <c r="AH1821" s="115"/>
      <c r="AI1821" s="115"/>
      <c r="AJ1821" s="115"/>
      <c r="AK1821" s="115"/>
      <c r="AL1821" s="115"/>
      <c r="AM1821" s="115"/>
      <c r="AN1821" s="115"/>
      <c r="AO1821" s="115"/>
      <c r="AP1821" s="115"/>
      <c r="AQ1821" s="115"/>
      <c r="AR1821" s="115"/>
      <c r="AS1821" s="115"/>
      <c r="AT1821" s="115"/>
      <c r="AU1821" s="115"/>
      <c r="AV1821" s="115"/>
      <c r="AW1821" s="115"/>
      <c r="AX1821" s="115"/>
      <c r="AY1821" s="115"/>
      <c r="AZ1821" s="115"/>
      <c r="BA1821" s="115"/>
      <c r="BB1821" s="115"/>
      <c r="BC1821" s="115"/>
      <c r="BD1821" s="115"/>
      <c r="BE1821" s="115"/>
      <c r="BF1821" s="115"/>
      <c r="BG1821" s="115"/>
      <c r="BH1821" s="115"/>
      <c r="BI1821" s="122"/>
      <c r="BJ1821" s="122"/>
      <c r="BK1821" s="122"/>
      <c r="BL1821" s="115"/>
      <c r="BM1821" s="115"/>
      <c r="BN1821" s="115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26"/>
      <c r="CA1821" s="15"/>
      <c r="CE1821" s="117"/>
      <c r="CF1821" s="116"/>
      <c r="CG1821" s="116"/>
      <c r="CH1821" s="116"/>
    </row>
    <row r="1822" spans="1:86" ht="19.5" x14ac:dyDescent="0.4">
      <c r="A1822" s="115"/>
      <c r="B1822" s="115"/>
      <c r="C1822" s="115"/>
      <c r="D1822" s="115"/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22"/>
      <c r="BJ1822" s="122"/>
      <c r="BK1822" s="122"/>
      <c r="BL1822" s="115"/>
      <c r="BM1822" s="115"/>
      <c r="BN1822" s="115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26"/>
      <c r="CA1822" s="15"/>
      <c r="CE1822" s="117"/>
      <c r="CF1822" s="116"/>
      <c r="CG1822" s="116"/>
      <c r="CH1822" s="116"/>
    </row>
    <row r="1823" spans="1:86" ht="19.5" x14ac:dyDescent="0.4">
      <c r="A1823" s="115"/>
      <c r="B1823" s="115"/>
      <c r="C1823" s="115"/>
      <c r="D1823" s="115"/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22"/>
      <c r="BJ1823" s="122"/>
      <c r="BK1823" s="122"/>
      <c r="BL1823" s="115"/>
      <c r="BM1823" s="115"/>
      <c r="BN1823" s="115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26"/>
      <c r="CA1823" s="15"/>
      <c r="CE1823" s="117"/>
      <c r="CF1823" s="116"/>
      <c r="CG1823" s="116"/>
      <c r="CH1823" s="116"/>
    </row>
    <row r="1824" spans="1:86" ht="19.5" x14ac:dyDescent="0.4">
      <c r="A1824" s="115"/>
      <c r="B1824" s="115"/>
      <c r="C1824" s="115"/>
      <c r="D1824" s="115"/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22"/>
      <c r="BJ1824" s="122"/>
      <c r="BK1824" s="122"/>
      <c r="BL1824" s="115"/>
      <c r="BM1824" s="115"/>
      <c r="BN1824" s="115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7"/>
      <c r="CA1824" s="15"/>
      <c r="CE1824" s="117"/>
      <c r="CF1824" s="116"/>
      <c r="CG1824" s="116"/>
      <c r="CH1824" s="116"/>
    </row>
    <row r="1825" spans="1:86" ht="19.5" x14ac:dyDescent="0.4">
      <c r="BZ1825" s="26"/>
      <c r="CA1825" s="15"/>
      <c r="CE1825" s="117"/>
      <c r="CF1825" s="116"/>
      <c r="CG1825" s="116"/>
      <c r="CH1825" s="116"/>
    </row>
    <row r="1826" spans="1:86" ht="19.5" x14ac:dyDescent="0.4">
      <c r="BF1826" s="115"/>
      <c r="BG1826" s="115"/>
      <c r="BH1826" s="115"/>
      <c r="BI1826" s="122"/>
      <c r="BJ1826" s="122"/>
      <c r="BK1826" s="122"/>
      <c r="BL1826" s="115"/>
      <c r="BM1826" s="115"/>
      <c r="BN1826" s="115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7"/>
      <c r="CA1826" s="13"/>
      <c r="CE1826" s="117"/>
      <c r="CF1826" s="116"/>
      <c r="CG1826" s="116"/>
      <c r="CH1826" s="116"/>
    </row>
    <row r="1827" spans="1:86" ht="19.5" x14ac:dyDescent="0.4">
      <c r="BF1827" s="115"/>
      <c r="BG1827" s="115"/>
      <c r="BH1827" s="115"/>
      <c r="BI1827" s="122"/>
      <c r="BJ1827" s="122"/>
      <c r="BK1827" s="122"/>
      <c r="BL1827" s="115"/>
      <c r="BM1827" s="115"/>
      <c r="BN1827" s="115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7"/>
      <c r="CA1827" s="13"/>
      <c r="CE1827" s="117"/>
      <c r="CF1827" s="116"/>
      <c r="CG1827" s="116"/>
      <c r="CH1827" s="116"/>
    </row>
    <row r="1828" spans="1:86" ht="19.5" x14ac:dyDescent="0.4">
      <c r="BZ1828" s="26"/>
      <c r="CA1828" s="13"/>
      <c r="CE1828" s="117"/>
      <c r="CF1828" s="116"/>
      <c r="CG1828" s="116"/>
      <c r="CH1828" s="116"/>
    </row>
    <row r="1829" spans="1:86" ht="19.5" x14ac:dyDescent="0.4">
      <c r="BZ1829" s="26"/>
      <c r="CA1829" s="13"/>
      <c r="CE1829" s="116"/>
      <c r="CF1829" s="116"/>
      <c r="CG1829" s="116"/>
      <c r="CH1829" s="116"/>
    </row>
    <row r="1830" spans="1:86" ht="19.5" x14ac:dyDescent="0.4"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22"/>
      <c r="BJ1830" s="122"/>
      <c r="BK1830" s="122"/>
      <c r="BL1830" s="115"/>
      <c r="BM1830" s="115"/>
      <c r="BN1830" s="115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26"/>
      <c r="CA1830" s="13"/>
      <c r="CE1830" s="118"/>
      <c r="CF1830" s="118"/>
      <c r="CG1830" s="118"/>
      <c r="CH1830" s="118"/>
    </row>
    <row r="1831" spans="1:86" ht="19.5" x14ac:dyDescent="0.4"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22"/>
      <c r="BJ1831" s="122"/>
      <c r="BK1831" s="122"/>
      <c r="BL1831" s="115"/>
      <c r="BM1831" s="115"/>
      <c r="BN1831" s="115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26"/>
      <c r="CA1831" s="13"/>
      <c r="CE1831" s="118"/>
      <c r="CF1831" s="118"/>
      <c r="CG1831" s="118"/>
      <c r="CH1831" s="118"/>
    </row>
    <row r="1832" spans="1:86" ht="19.5" x14ac:dyDescent="0.4"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15"/>
      <c r="BF1832" s="115"/>
      <c r="BG1832" s="115"/>
      <c r="BH1832" s="115"/>
      <c r="BI1832" s="122"/>
      <c r="BJ1832" s="122"/>
      <c r="BK1832" s="122"/>
      <c r="BL1832" s="115"/>
      <c r="BM1832" s="115"/>
      <c r="BN1832" s="115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26"/>
      <c r="CA1832" s="13"/>
      <c r="CE1832" s="118"/>
      <c r="CF1832" s="118"/>
      <c r="CG1832" s="118"/>
      <c r="CH1832" s="118"/>
    </row>
    <row r="1833" spans="1:86" ht="19.5" x14ac:dyDescent="0.4"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15"/>
      <c r="BI1833" s="122"/>
      <c r="BJ1833" s="122"/>
      <c r="BK1833" s="122"/>
      <c r="BL1833" s="115"/>
      <c r="BM1833" s="115"/>
      <c r="BN1833" s="115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26"/>
      <c r="CA1833" s="15"/>
      <c r="CE1833" s="118"/>
      <c r="CF1833" s="118"/>
      <c r="CG1833" s="118"/>
      <c r="CH1833" s="118"/>
    </row>
    <row r="1834" spans="1:86" ht="19.5" x14ac:dyDescent="0.4"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22"/>
      <c r="BJ1834" s="122"/>
      <c r="BK1834" s="122"/>
      <c r="BL1834" s="115"/>
      <c r="BM1834" s="115"/>
      <c r="BN1834" s="115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26"/>
      <c r="CA1834" s="15"/>
      <c r="CE1834" s="118"/>
      <c r="CF1834" s="118"/>
      <c r="CG1834" s="118"/>
      <c r="CH1834" s="118"/>
    </row>
    <row r="1835" spans="1:86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22"/>
      <c r="BJ1835" s="122"/>
      <c r="BK1835" s="122"/>
      <c r="BL1835" s="115"/>
      <c r="BM1835" s="115"/>
      <c r="BN1835" s="115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26"/>
      <c r="CA1835" s="15"/>
      <c r="CE1835" s="118"/>
      <c r="CF1835" s="118"/>
      <c r="CG1835" s="118"/>
      <c r="CH1835" s="118"/>
    </row>
    <row r="1836" spans="1:86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22"/>
      <c r="BJ1836" s="122"/>
      <c r="BK1836" s="122"/>
      <c r="BL1836" s="115"/>
      <c r="BM1836" s="115"/>
      <c r="BN1836" s="115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26"/>
      <c r="CA1836" s="15"/>
      <c r="CE1836" s="118"/>
      <c r="CF1836" s="118"/>
      <c r="CG1836" s="118"/>
      <c r="CH1836" s="118"/>
    </row>
    <row r="1837" spans="1:86" ht="20.25" customHeight="1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22"/>
      <c r="BJ1837" s="122"/>
      <c r="BK1837" s="122"/>
      <c r="BL1837" s="115"/>
      <c r="BM1837" s="115"/>
      <c r="BN1837" s="115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26"/>
      <c r="CA1837" s="15"/>
      <c r="CE1837" s="118"/>
      <c r="CF1837" s="118"/>
      <c r="CG1837" s="118"/>
      <c r="CH1837" s="118"/>
    </row>
    <row r="1838" spans="1:86" x14ac:dyDescent="0.4">
      <c r="BZ1838" s="26"/>
      <c r="CA1838" s="15"/>
    </row>
    <row r="1839" spans="1:86" x14ac:dyDescent="0.4">
      <c r="BZ1839" s="26"/>
      <c r="CA1839" s="13"/>
    </row>
    <row r="1840" spans="1:86" x14ac:dyDescent="0.4">
      <c r="BD1840" s="115"/>
      <c r="BE1840" s="115"/>
      <c r="BF1840" s="115"/>
      <c r="BG1840" s="115"/>
      <c r="BH1840" s="115"/>
      <c r="BI1840" s="122"/>
      <c r="BJ1840" s="122"/>
      <c r="BK1840" s="122"/>
      <c r="BL1840" s="115"/>
      <c r="BM1840" s="115"/>
      <c r="BN1840" s="115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26"/>
      <c r="CA1840" s="13"/>
    </row>
    <row r="1841" spans="1:79" x14ac:dyDescent="0.4">
      <c r="BD1841" s="115"/>
      <c r="BE1841" s="115"/>
      <c r="BF1841" s="115"/>
      <c r="BG1841" s="115"/>
      <c r="BH1841" s="115"/>
      <c r="BI1841" s="122"/>
      <c r="BJ1841" s="122"/>
      <c r="BK1841" s="122"/>
      <c r="BL1841" s="115"/>
      <c r="BM1841" s="115"/>
      <c r="BN1841" s="115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7"/>
      <c r="CA1841" s="13"/>
    </row>
    <row r="1842" spans="1:79" x14ac:dyDescent="0.4">
      <c r="C1842" s="115"/>
      <c r="D1842" s="115"/>
      <c r="E1842" s="115"/>
      <c r="F1842" s="115"/>
      <c r="G1842" s="115"/>
      <c r="H1842" s="115"/>
      <c r="I1842" s="115"/>
      <c r="J1842" s="115"/>
      <c r="K1842" s="115"/>
      <c r="L1842" s="115"/>
      <c r="M1842" s="115"/>
      <c r="N1842" s="115"/>
      <c r="O1842" s="115"/>
      <c r="P1842" s="115"/>
      <c r="Q1842" s="115"/>
      <c r="R1842" s="115"/>
      <c r="S1842" s="115"/>
      <c r="T1842" s="115"/>
      <c r="U1842" s="115"/>
      <c r="V1842" s="115"/>
      <c r="W1842" s="115"/>
      <c r="X1842" s="115"/>
      <c r="Y1842" s="115"/>
      <c r="Z1842" s="115"/>
      <c r="AA1842" s="115"/>
      <c r="AB1842" s="115"/>
      <c r="AC1842" s="115"/>
      <c r="AD1842" s="115"/>
      <c r="AE1842" s="115"/>
      <c r="AF1842" s="115"/>
      <c r="AG1842" s="115"/>
      <c r="AH1842" s="115"/>
      <c r="AI1842" s="115"/>
      <c r="AJ1842" s="115"/>
      <c r="AK1842" s="115"/>
      <c r="AL1842" s="115"/>
      <c r="AM1842" s="115"/>
      <c r="AN1842" s="115"/>
      <c r="AO1842" s="115"/>
      <c r="AP1842" s="115"/>
      <c r="AQ1842" s="115"/>
      <c r="AR1842" s="115"/>
      <c r="AS1842" s="115"/>
      <c r="AT1842" s="115"/>
      <c r="AU1842" s="115"/>
      <c r="AV1842" s="115"/>
      <c r="AW1842" s="115"/>
      <c r="AX1842" s="115"/>
      <c r="AY1842" s="115"/>
      <c r="AZ1842" s="115"/>
      <c r="BA1842" s="115"/>
      <c r="BB1842" s="115"/>
      <c r="BC1842" s="115"/>
      <c r="BD1842" s="115"/>
      <c r="BE1842" s="115"/>
      <c r="BF1842" s="115"/>
      <c r="BG1842" s="115"/>
      <c r="BH1842" s="115"/>
      <c r="BI1842" s="122"/>
      <c r="BJ1842" s="122"/>
      <c r="BK1842" s="122"/>
      <c r="BL1842" s="115"/>
      <c r="BM1842" s="115"/>
      <c r="BN1842" s="115"/>
      <c r="BO1842" s="115"/>
      <c r="BP1842" s="115"/>
      <c r="BQ1842" s="115"/>
      <c r="BR1842" s="115"/>
      <c r="BS1842" s="115"/>
      <c r="BT1842" s="115"/>
      <c r="BU1842" s="115"/>
      <c r="BV1842" s="115"/>
      <c r="BW1842" s="115"/>
      <c r="BX1842" s="115"/>
      <c r="BY1842" s="115"/>
      <c r="BZ1842" s="26"/>
      <c r="CA1842" s="13"/>
    </row>
    <row r="1843" spans="1:79" x14ac:dyDescent="0.4">
      <c r="C1843" s="115"/>
      <c r="D1843" s="115"/>
      <c r="E1843" s="115"/>
      <c r="F1843" s="115"/>
      <c r="G1843" s="115"/>
      <c r="H1843" s="115"/>
      <c r="I1843" s="115"/>
      <c r="J1843" s="115"/>
      <c r="K1843" s="115"/>
      <c r="L1843" s="115"/>
      <c r="M1843" s="115"/>
      <c r="N1843" s="115"/>
      <c r="O1843" s="115"/>
      <c r="P1843" s="115"/>
      <c r="Q1843" s="115"/>
      <c r="R1843" s="115"/>
      <c r="S1843" s="115"/>
      <c r="T1843" s="115"/>
      <c r="U1843" s="115"/>
      <c r="V1843" s="115"/>
      <c r="W1843" s="115"/>
      <c r="X1843" s="115"/>
      <c r="Y1843" s="115"/>
      <c r="Z1843" s="115"/>
      <c r="AA1843" s="115"/>
      <c r="AB1843" s="115"/>
      <c r="AC1843" s="115"/>
      <c r="AD1843" s="115"/>
      <c r="AE1843" s="115"/>
      <c r="AF1843" s="115"/>
      <c r="AG1843" s="115"/>
      <c r="AH1843" s="115"/>
      <c r="AI1843" s="115"/>
      <c r="AJ1843" s="115"/>
      <c r="AK1843" s="115"/>
      <c r="AL1843" s="115"/>
      <c r="AM1843" s="115"/>
      <c r="AN1843" s="115"/>
      <c r="AO1843" s="115"/>
      <c r="AP1843" s="115"/>
      <c r="AQ1843" s="115"/>
      <c r="AR1843" s="115"/>
      <c r="AS1843" s="115"/>
      <c r="AT1843" s="115"/>
      <c r="AU1843" s="115"/>
      <c r="AV1843" s="115"/>
      <c r="AW1843" s="115"/>
      <c r="AX1843" s="115"/>
      <c r="AY1843" s="115"/>
      <c r="AZ1843" s="115"/>
      <c r="BA1843" s="115"/>
      <c r="BB1843" s="115"/>
      <c r="BC1843" s="115"/>
      <c r="BD1843" s="115"/>
      <c r="BE1843" s="115"/>
      <c r="BF1843" s="115"/>
      <c r="BG1843" s="115"/>
      <c r="BH1843" s="115"/>
      <c r="BI1843" s="122"/>
      <c r="BJ1843" s="122"/>
      <c r="BK1843" s="122"/>
      <c r="BL1843" s="115"/>
      <c r="BM1843" s="115"/>
      <c r="BN1843" s="115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26"/>
      <c r="CA1843" s="13"/>
    </row>
    <row r="1844" spans="1:79" x14ac:dyDescent="0.4">
      <c r="BZ1844" s="26"/>
      <c r="CA1844" s="13"/>
    </row>
    <row r="1845" spans="1:79" x14ac:dyDescent="0.4"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22"/>
      <c r="BJ1845" s="122"/>
      <c r="BK1845" s="122"/>
      <c r="BL1845" s="115"/>
      <c r="BM1845" s="115"/>
      <c r="BN1845" s="115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26"/>
      <c r="CA1845" s="13"/>
    </row>
    <row r="1846" spans="1:79" x14ac:dyDescent="0.4"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15"/>
      <c r="BF1846" s="115"/>
      <c r="BG1846" s="115"/>
      <c r="BH1846" s="115"/>
      <c r="BI1846" s="122"/>
      <c r="BJ1846" s="122"/>
      <c r="BK1846" s="122"/>
      <c r="BL1846" s="115"/>
      <c r="BM1846" s="115"/>
      <c r="BN1846" s="115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26"/>
      <c r="CA1846" s="13"/>
    </row>
    <row r="1847" spans="1:79" x14ac:dyDescent="0.4">
      <c r="BZ1847" s="26"/>
      <c r="CA1847" s="13"/>
    </row>
    <row r="1848" spans="1:79" x14ac:dyDescent="0.4"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22"/>
      <c r="BJ1848" s="122"/>
      <c r="BK1848" s="122"/>
      <c r="BL1848" s="115"/>
      <c r="BM1848" s="115"/>
      <c r="BN1848" s="115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26"/>
      <c r="CA1848" s="13"/>
    </row>
    <row r="1849" spans="1:79" x14ac:dyDescent="0.4">
      <c r="BZ1849" s="26"/>
      <c r="CA1849" s="13"/>
    </row>
    <row r="1850" spans="1:79" x14ac:dyDescent="0.4">
      <c r="BC1850" s="115"/>
      <c r="BD1850" s="115"/>
      <c r="BE1850" s="115"/>
      <c r="BF1850" s="115"/>
      <c r="BG1850" s="115"/>
      <c r="BH1850" s="115"/>
      <c r="BI1850" s="122"/>
      <c r="BJ1850" s="122"/>
      <c r="BK1850" s="122"/>
      <c r="BL1850" s="115"/>
      <c r="BM1850" s="115"/>
      <c r="BN1850" s="115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115"/>
      <c r="BZ1850" s="26"/>
      <c r="CA1850" s="13"/>
    </row>
    <row r="1851" spans="1:79" x14ac:dyDescent="0.4">
      <c r="BZ1851" s="26"/>
      <c r="CA1851" s="13"/>
    </row>
    <row r="1852" spans="1:79" x14ac:dyDescent="0.4"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22"/>
      <c r="BJ1852" s="122"/>
      <c r="BK1852" s="122"/>
      <c r="BL1852" s="115"/>
      <c r="BM1852" s="115"/>
      <c r="BN1852" s="115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26"/>
      <c r="CA1852" s="15"/>
    </row>
    <row r="1853" spans="1:79" x14ac:dyDescent="0.4"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22"/>
      <c r="BJ1853" s="122"/>
      <c r="BK1853" s="122"/>
      <c r="BL1853" s="115"/>
      <c r="BM1853" s="115"/>
      <c r="BN1853" s="115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26"/>
      <c r="CA1853" s="15"/>
    </row>
    <row r="1854" spans="1:79" x14ac:dyDescent="0.4"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22"/>
      <c r="BJ1854" s="122"/>
      <c r="BK1854" s="122"/>
      <c r="BL1854" s="115"/>
      <c r="BM1854" s="115"/>
      <c r="BN1854" s="115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26"/>
      <c r="CA1854" s="15"/>
    </row>
    <row r="1855" spans="1:79" x14ac:dyDescent="0.4">
      <c r="BZ1855" s="26"/>
      <c r="CA1855" s="13"/>
    </row>
    <row r="1856" spans="1:79" x14ac:dyDescent="0.4">
      <c r="A1856" s="115"/>
      <c r="B1856" s="115"/>
      <c r="C1856" s="115"/>
      <c r="D1856" s="115"/>
      <c r="E1856" s="115"/>
      <c r="F1856" s="115"/>
      <c r="G1856" s="115"/>
      <c r="H1856" s="115"/>
      <c r="I1856" s="115"/>
      <c r="J1856" s="115"/>
      <c r="K1856" s="115"/>
      <c r="L1856" s="115"/>
      <c r="M1856" s="115"/>
      <c r="N1856" s="115"/>
      <c r="O1856" s="115"/>
      <c r="P1856" s="115"/>
      <c r="Q1856" s="115"/>
      <c r="R1856" s="115"/>
      <c r="S1856" s="115"/>
      <c r="T1856" s="115"/>
      <c r="U1856" s="115"/>
      <c r="V1856" s="115"/>
      <c r="W1856" s="115"/>
      <c r="X1856" s="115"/>
      <c r="Y1856" s="115"/>
      <c r="Z1856" s="115"/>
      <c r="AA1856" s="115"/>
      <c r="AB1856" s="115"/>
      <c r="AC1856" s="115"/>
      <c r="AD1856" s="115"/>
      <c r="AE1856" s="115"/>
      <c r="AF1856" s="115"/>
      <c r="AG1856" s="115"/>
      <c r="AH1856" s="115"/>
      <c r="AI1856" s="115"/>
      <c r="AJ1856" s="115"/>
      <c r="AK1856" s="115"/>
      <c r="AL1856" s="115"/>
      <c r="AM1856" s="115"/>
      <c r="AN1856" s="115"/>
      <c r="AO1856" s="115"/>
      <c r="AP1856" s="115"/>
      <c r="AQ1856" s="115"/>
      <c r="AR1856" s="115"/>
      <c r="AS1856" s="115"/>
      <c r="AT1856" s="115"/>
      <c r="AU1856" s="115"/>
      <c r="AV1856" s="115"/>
      <c r="AW1856" s="115"/>
      <c r="AX1856" s="115"/>
      <c r="AY1856" s="115"/>
      <c r="AZ1856" s="115"/>
      <c r="BA1856" s="115"/>
      <c r="BB1856" s="115"/>
      <c r="BC1856" s="115"/>
      <c r="BD1856" s="115"/>
      <c r="BE1856" s="115"/>
      <c r="BF1856" s="115"/>
      <c r="BG1856" s="115"/>
      <c r="BH1856" s="115"/>
      <c r="BI1856" s="122"/>
      <c r="BJ1856" s="122"/>
      <c r="BK1856" s="122"/>
      <c r="BL1856" s="115"/>
      <c r="BM1856" s="115"/>
      <c r="BN1856" s="115"/>
      <c r="BO1856" s="115"/>
      <c r="BP1856" s="115"/>
      <c r="BQ1856" s="115"/>
      <c r="BR1856" s="115"/>
      <c r="BS1856" s="115"/>
      <c r="BT1856" s="115"/>
      <c r="BU1856" s="115"/>
      <c r="BV1856" s="115"/>
      <c r="BW1856" s="115"/>
      <c r="BX1856" s="115"/>
      <c r="BY1856" s="115"/>
      <c r="BZ1856" s="26"/>
      <c r="CA1856" s="15"/>
    </row>
    <row r="1857" spans="3:79" x14ac:dyDescent="0.4">
      <c r="BZ1857" s="26"/>
      <c r="CA1857" s="15"/>
    </row>
    <row r="1858" spans="3:79" x14ac:dyDescent="0.4">
      <c r="BZ1858" s="26"/>
      <c r="CA1858" s="15"/>
    </row>
    <row r="1859" spans="3:79" x14ac:dyDescent="0.4">
      <c r="E1859" s="115"/>
      <c r="F1859" s="115"/>
      <c r="G1859" s="115"/>
      <c r="H1859" s="115"/>
      <c r="I1859" s="115"/>
      <c r="J1859" s="115"/>
      <c r="K1859" s="115"/>
      <c r="L1859" s="115"/>
      <c r="M1859" s="115"/>
      <c r="N1859" s="115"/>
      <c r="O1859" s="115"/>
      <c r="P1859" s="115"/>
      <c r="Q1859" s="115"/>
      <c r="R1859" s="115"/>
      <c r="S1859" s="115"/>
      <c r="T1859" s="115"/>
      <c r="U1859" s="115"/>
      <c r="V1859" s="115"/>
      <c r="W1859" s="115"/>
      <c r="X1859" s="115"/>
      <c r="Y1859" s="115"/>
      <c r="Z1859" s="115"/>
      <c r="AA1859" s="115"/>
      <c r="AB1859" s="115"/>
      <c r="AC1859" s="115"/>
      <c r="AD1859" s="115"/>
      <c r="AE1859" s="115"/>
      <c r="AF1859" s="115"/>
      <c r="AG1859" s="115"/>
      <c r="AH1859" s="115"/>
      <c r="AI1859" s="115"/>
      <c r="AJ1859" s="115"/>
      <c r="AK1859" s="115"/>
      <c r="AL1859" s="115"/>
      <c r="AM1859" s="115"/>
      <c r="AN1859" s="115"/>
      <c r="AO1859" s="115"/>
      <c r="AP1859" s="115"/>
      <c r="AQ1859" s="115"/>
      <c r="AR1859" s="115"/>
      <c r="AS1859" s="115"/>
      <c r="AT1859" s="115"/>
      <c r="AU1859" s="115"/>
      <c r="AV1859" s="115"/>
      <c r="AW1859" s="115"/>
      <c r="AX1859" s="115"/>
      <c r="AY1859" s="115"/>
      <c r="AZ1859" s="115"/>
      <c r="BA1859" s="115"/>
      <c r="BB1859" s="115"/>
      <c r="BC1859" s="115"/>
      <c r="BD1859" s="115"/>
      <c r="BE1859" s="115"/>
      <c r="BF1859" s="115"/>
      <c r="BG1859" s="115"/>
      <c r="BH1859" s="115"/>
      <c r="BI1859" s="122"/>
      <c r="BJ1859" s="122"/>
      <c r="BK1859" s="122"/>
      <c r="BL1859" s="115"/>
      <c r="BM1859" s="115"/>
      <c r="BN1859" s="115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26"/>
      <c r="CA1859" s="15"/>
    </row>
    <row r="1860" spans="3:79" x14ac:dyDescent="0.4">
      <c r="C1860" s="115"/>
      <c r="D1860" s="115"/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22"/>
      <c r="BJ1860" s="122"/>
      <c r="BK1860" s="122"/>
      <c r="BL1860" s="115"/>
      <c r="BM1860" s="115"/>
      <c r="BN1860" s="115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26"/>
      <c r="CA1860" s="15"/>
    </row>
    <row r="1861" spans="3:79" x14ac:dyDescent="0.4">
      <c r="BZ1861" s="26"/>
      <c r="CA1861" s="15"/>
    </row>
    <row r="1862" spans="3:79" x14ac:dyDescent="0.4">
      <c r="BB1862" s="115"/>
      <c r="BC1862" s="115"/>
      <c r="BD1862" s="115"/>
      <c r="BE1862" s="115"/>
      <c r="BF1862" s="115"/>
      <c r="BG1862" s="115"/>
      <c r="BH1862" s="115"/>
      <c r="BI1862" s="122"/>
      <c r="BJ1862" s="122"/>
      <c r="BK1862" s="122"/>
      <c r="BL1862" s="115"/>
      <c r="BM1862" s="115"/>
      <c r="BN1862" s="115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26"/>
      <c r="CA1862" s="15"/>
    </row>
    <row r="1863" spans="3:79" x14ac:dyDescent="0.4"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22"/>
      <c r="BJ1863" s="122"/>
      <c r="BK1863" s="122"/>
      <c r="BL1863" s="115"/>
      <c r="BM1863" s="115"/>
      <c r="BN1863" s="115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26"/>
      <c r="CA1863" s="15"/>
    </row>
    <row r="1864" spans="3:79" x14ac:dyDescent="0.4"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22"/>
      <c r="BJ1864" s="122"/>
      <c r="BK1864" s="122"/>
      <c r="BL1864" s="115"/>
      <c r="BM1864" s="115"/>
      <c r="BN1864" s="115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26"/>
      <c r="CA1864" s="15"/>
    </row>
    <row r="1865" spans="3:79" x14ac:dyDescent="0.4"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22"/>
      <c r="BJ1865" s="122"/>
      <c r="BK1865" s="122"/>
      <c r="BL1865" s="115"/>
      <c r="BM1865" s="115"/>
      <c r="BN1865" s="115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26"/>
      <c r="CA1865" s="15"/>
    </row>
    <row r="1866" spans="3:79" x14ac:dyDescent="0.4"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22"/>
      <c r="BJ1866" s="122"/>
      <c r="BK1866" s="122"/>
      <c r="BL1866" s="115"/>
      <c r="BM1866" s="115"/>
      <c r="BN1866" s="115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26"/>
      <c r="CA1866" s="15"/>
    </row>
    <row r="1867" spans="3:79" x14ac:dyDescent="0.4">
      <c r="BZ1867" s="26"/>
      <c r="CA1867" s="15"/>
    </row>
    <row r="1868" spans="3:79" x14ac:dyDescent="0.4">
      <c r="BE1868" s="115"/>
      <c r="BF1868" s="115"/>
      <c r="BG1868" s="115"/>
      <c r="BH1868" s="115"/>
      <c r="BI1868" s="122"/>
      <c r="BJ1868" s="122"/>
      <c r="BK1868" s="122"/>
      <c r="BL1868" s="115"/>
      <c r="BM1868" s="115"/>
      <c r="BN1868" s="115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7"/>
      <c r="CA1868" s="15"/>
    </row>
    <row r="1869" spans="3:79" x14ac:dyDescent="0.4">
      <c r="BZ1869" s="26"/>
      <c r="CA1869" s="15"/>
    </row>
    <row r="1870" spans="3:79" x14ac:dyDescent="0.4">
      <c r="BC1870" s="115"/>
      <c r="BD1870" s="115"/>
      <c r="BE1870" s="115"/>
      <c r="BF1870" s="115"/>
      <c r="BG1870" s="115"/>
      <c r="BH1870" s="115"/>
      <c r="BI1870" s="122"/>
      <c r="BJ1870" s="122"/>
      <c r="BK1870" s="122"/>
      <c r="BL1870" s="115"/>
      <c r="BM1870" s="115"/>
      <c r="BN1870" s="115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26"/>
      <c r="CA1870" s="15"/>
    </row>
    <row r="1871" spans="3:79" x14ac:dyDescent="0.4">
      <c r="BZ1871" s="26"/>
      <c r="CA1871" s="15"/>
    </row>
    <row r="1872" spans="3:79" x14ac:dyDescent="0.4">
      <c r="BZ1872" s="26"/>
      <c r="CA1872" s="15"/>
    </row>
    <row r="1873" spans="1:79" x14ac:dyDescent="0.4"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22"/>
      <c r="BJ1873" s="122"/>
      <c r="BK1873" s="122"/>
      <c r="BL1873" s="115"/>
      <c r="BM1873" s="115"/>
      <c r="BN1873" s="115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26"/>
      <c r="CA1873" s="15"/>
    </row>
    <row r="1874" spans="1:79" x14ac:dyDescent="0.4"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22"/>
      <c r="BJ1874" s="122"/>
      <c r="BK1874" s="122"/>
      <c r="BL1874" s="115"/>
      <c r="BM1874" s="115"/>
      <c r="BN1874" s="115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26"/>
      <c r="CA1874" s="15"/>
    </row>
    <row r="1875" spans="1:79" x14ac:dyDescent="0.4">
      <c r="A1875" s="115"/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22"/>
      <c r="BJ1875" s="122"/>
      <c r="BK1875" s="122"/>
      <c r="BL1875" s="115"/>
      <c r="BM1875" s="115"/>
      <c r="BN1875" s="115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26"/>
      <c r="CA1875" s="15"/>
    </row>
    <row r="1876" spans="1:79" x14ac:dyDescent="0.4">
      <c r="A1876" s="115"/>
      <c r="B1876" s="115"/>
      <c r="C1876" s="115"/>
      <c r="D1876" s="115"/>
      <c r="E1876" s="115"/>
      <c r="F1876" s="115"/>
      <c r="G1876" s="115"/>
      <c r="H1876" s="115"/>
      <c r="I1876" s="115"/>
      <c r="J1876" s="115"/>
      <c r="K1876" s="115"/>
      <c r="L1876" s="115"/>
      <c r="M1876" s="115"/>
      <c r="N1876" s="115"/>
      <c r="O1876" s="115"/>
      <c r="P1876" s="115"/>
      <c r="Q1876" s="115"/>
      <c r="R1876" s="115"/>
      <c r="S1876" s="115"/>
      <c r="T1876" s="115"/>
      <c r="U1876" s="115"/>
      <c r="V1876" s="115"/>
      <c r="W1876" s="115"/>
      <c r="X1876" s="115"/>
      <c r="Y1876" s="115"/>
      <c r="Z1876" s="115"/>
      <c r="AA1876" s="115"/>
      <c r="AB1876" s="115"/>
      <c r="AC1876" s="115"/>
      <c r="AD1876" s="115"/>
      <c r="AE1876" s="115"/>
      <c r="AF1876" s="115"/>
      <c r="AG1876" s="115"/>
      <c r="AH1876" s="115"/>
      <c r="AI1876" s="115"/>
      <c r="AJ1876" s="115"/>
      <c r="AK1876" s="115"/>
      <c r="AL1876" s="115"/>
      <c r="AM1876" s="115"/>
      <c r="AN1876" s="115"/>
      <c r="AO1876" s="115"/>
      <c r="AP1876" s="115"/>
      <c r="AQ1876" s="115"/>
      <c r="AR1876" s="115"/>
      <c r="AS1876" s="115"/>
      <c r="AT1876" s="115"/>
      <c r="AU1876" s="115"/>
      <c r="AV1876" s="115"/>
      <c r="AW1876" s="115"/>
      <c r="AX1876" s="115"/>
      <c r="AY1876" s="115"/>
      <c r="AZ1876" s="115"/>
      <c r="BA1876" s="115"/>
      <c r="BB1876" s="115"/>
      <c r="BC1876" s="115"/>
      <c r="BD1876" s="115"/>
      <c r="BE1876" s="115"/>
      <c r="BF1876" s="115"/>
      <c r="BG1876" s="115"/>
      <c r="BH1876" s="115"/>
      <c r="BI1876" s="122"/>
      <c r="BJ1876" s="122"/>
      <c r="BK1876" s="122"/>
      <c r="BL1876" s="115"/>
      <c r="BM1876" s="115"/>
      <c r="BN1876" s="115"/>
      <c r="BO1876" s="115"/>
      <c r="BP1876" s="115"/>
      <c r="BQ1876" s="115"/>
      <c r="BR1876" s="115"/>
      <c r="BS1876" s="115"/>
      <c r="BT1876" s="115"/>
      <c r="BU1876" s="115"/>
      <c r="BV1876" s="115"/>
      <c r="BW1876" s="115"/>
      <c r="BX1876" s="115"/>
      <c r="BY1876" s="115"/>
      <c r="BZ1876" s="26"/>
      <c r="CA1876" s="15"/>
    </row>
    <row r="1877" spans="1:79" x14ac:dyDescent="0.4">
      <c r="BZ1877" s="26"/>
      <c r="CA1877" s="15"/>
    </row>
    <row r="1878" spans="1:79" x14ac:dyDescent="0.4">
      <c r="BE1878" s="115"/>
      <c r="BF1878" s="115"/>
      <c r="BG1878" s="115"/>
      <c r="BH1878" s="115"/>
      <c r="BI1878" s="122"/>
      <c r="BJ1878" s="122"/>
      <c r="BK1878" s="122"/>
      <c r="BL1878" s="115"/>
      <c r="BM1878" s="115"/>
      <c r="BN1878" s="115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7"/>
      <c r="CA1878" s="15"/>
    </row>
    <row r="1879" spans="1:79" x14ac:dyDescent="0.4">
      <c r="BZ1879" s="26"/>
      <c r="CA1879" s="15"/>
    </row>
    <row r="1880" spans="1:79" x14ac:dyDescent="0.4">
      <c r="E1880" s="115"/>
      <c r="F1880" s="115"/>
      <c r="G1880" s="115"/>
      <c r="H1880" s="115"/>
      <c r="I1880" s="115"/>
      <c r="J1880" s="115"/>
      <c r="K1880" s="115"/>
      <c r="L1880" s="115"/>
      <c r="M1880" s="115"/>
      <c r="N1880" s="115"/>
      <c r="O1880" s="115"/>
      <c r="P1880" s="115"/>
      <c r="Q1880" s="115"/>
      <c r="R1880" s="115"/>
      <c r="S1880" s="115"/>
      <c r="T1880" s="115"/>
      <c r="U1880" s="115"/>
      <c r="V1880" s="115"/>
      <c r="W1880" s="115"/>
      <c r="X1880" s="115"/>
      <c r="Y1880" s="115"/>
      <c r="Z1880" s="115"/>
      <c r="AA1880" s="115"/>
      <c r="AB1880" s="115"/>
      <c r="AC1880" s="115"/>
      <c r="AD1880" s="115"/>
      <c r="AE1880" s="115"/>
      <c r="AF1880" s="115"/>
      <c r="AG1880" s="115"/>
      <c r="AH1880" s="115"/>
      <c r="AI1880" s="115"/>
      <c r="AJ1880" s="115"/>
      <c r="AK1880" s="115"/>
      <c r="AL1880" s="115"/>
      <c r="AM1880" s="115"/>
      <c r="AN1880" s="115"/>
      <c r="AO1880" s="115"/>
      <c r="AP1880" s="115"/>
      <c r="AQ1880" s="115"/>
      <c r="AR1880" s="115"/>
      <c r="AS1880" s="115"/>
      <c r="AT1880" s="115"/>
      <c r="AU1880" s="115"/>
      <c r="AV1880" s="115"/>
      <c r="AW1880" s="115"/>
      <c r="AX1880" s="115"/>
      <c r="AY1880" s="115"/>
      <c r="AZ1880" s="115"/>
      <c r="BA1880" s="115"/>
      <c r="BB1880" s="115"/>
      <c r="BC1880" s="115"/>
      <c r="BD1880" s="115"/>
      <c r="BE1880" s="115"/>
      <c r="BF1880" s="115"/>
      <c r="BG1880" s="115"/>
      <c r="BH1880" s="115"/>
      <c r="BI1880" s="122"/>
      <c r="BJ1880" s="122"/>
      <c r="BK1880" s="122"/>
      <c r="BL1880" s="115"/>
      <c r="BM1880" s="115"/>
      <c r="BN1880" s="115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26"/>
      <c r="CA1880" s="15"/>
    </row>
    <row r="1881" spans="1:79" x14ac:dyDescent="0.4">
      <c r="C1881" s="115"/>
      <c r="D1881" s="115"/>
      <c r="E1881" s="115"/>
      <c r="F1881" s="115"/>
      <c r="G1881" s="115"/>
      <c r="H1881" s="115"/>
      <c r="I1881" s="115"/>
      <c r="J1881" s="115"/>
      <c r="K1881" s="115"/>
      <c r="L1881" s="115"/>
      <c r="M1881" s="115"/>
      <c r="N1881" s="115"/>
      <c r="O1881" s="115"/>
      <c r="P1881" s="115"/>
      <c r="Q1881" s="115"/>
      <c r="R1881" s="115"/>
      <c r="S1881" s="115"/>
      <c r="T1881" s="115"/>
      <c r="U1881" s="115"/>
      <c r="V1881" s="115"/>
      <c r="W1881" s="115"/>
      <c r="X1881" s="115"/>
      <c r="Y1881" s="115"/>
      <c r="Z1881" s="115"/>
      <c r="AA1881" s="115"/>
      <c r="AB1881" s="115"/>
      <c r="AC1881" s="115"/>
      <c r="AD1881" s="115"/>
      <c r="AE1881" s="115"/>
      <c r="AF1881" s="115"/>
      <c r="AG1881" s="115"/>
      <c r="AH1881" s="115"/>
      <c r="AI1881" s="115"/>
      <c r="AJ1881" s="115"/>
      <c r="AK1881" s="115"/>
      <c r="AL1881" s="115"/>
      <c r="AM1881" s="115"/>
      <c r="AN1881" s="115"/>
      <c r="AO1881" s="115"/>
      <c r="AP1881" s="115"/>
      <c r="AQ1881" s="115"/>
      <c r="AR1881" s="115"/>
      <c r="AS1881" s="115"/>
      <c r="AT1881" s="115"/>
      <c r="AU1881" s="115"/>
      <c r="AV1881" s="115"/>
      <c r="AW1881" s="115"/>
      <c r="AX1881" s="115"/>
      <c r="AY1881" s="115"/>
      <c r="AZ1881" s="115"/>
      <c r="BA1881" s="115"/>
      <c r="BB1881" s="115"/>
      <c r="BC1881" s="115"/>
      <c r="BD1881" s="115"/>
      <c r="BE1881" s="115"/>
      <c r="BF1881" s="115"/>
      <c r="BG1881" s="115"/>
      <c r="BH1881" s="115"/>
      <c r="BI1881" s="122"/>
      <c r="BJ1881" s="122"/>
      <c r="BK1881" s="122"/>
      <c r="BL1881" s="115"/>
      <c r="BM1881" s="115"/>
      <c r="BN1881" s="115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26"/>
      <c r="CA1881" s="15"/>
    </row>
    <row r="1882" spans="1:79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22"/>
      <c r="BJ1882" s="122"/>
      <c r="BK1882" s="122"/>
      <c r="BL1882" s="115"/>
      <c r="BM1882" s="115"/>
      <c r="BN1882" s="115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7"/>
      <c r="CA1882" s="15"/>
    </row>
    <row r="1883" spans="1:79" x14ac:dyDescent="0.4">
      <c r="BZ1883" s="26"/>
      <c r="CA1883" s="15"/>
    </row>
    <row r="1884" spans="1:79" x14ac:dyDescent="0.4"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22"/>
      <c r="BJ1884" s="122"/>
      <c r="BK1884" s="122"/>
      <c r="BL1884" s="115"/>
      <c r="BM1884" s="115"/>
      <c r="BN1884" s="115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26"/>
      <c r="CA1884" s="15"/>
    </row>
    <row r="1885" spans="1:79" x14ac:dyDescent="0.4"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22"/>
      <c r="BJ1885" s="122"/>
      <c r="BK1885" s="122"/>
      <c r="BL1885" s="115"/>
      <c r="BM1885" s="115"/>
      <c r="BN1885" s="115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7"/>
      <c r="CA1885" s="15"/>
    </row>
    <row r="1886" spans="1:79" x14ac:dyDescent="0.4">
      <c r="BZ1886" s="26"/>
      <c r="CA1886" s="15"/>
    </row>
    <row r="1887" spans="1:79" x14ac:dyDescent="0.4">
      <c r="BE1887" s="115"/>
      <c r="BF1887" s="115"/>
      <c r="BG1887" s="115"/>
      <c r="BH1887" s="115"/>
      <c r="BI1887" s="122"/>
      <c r="BJ1887" s="122"/>
      <c r="BK1887" s="122"/>
      <c r="BL1887" s="115"/>
      <c r="BM1887" s="115"/>
      <c r="BN1887" s="115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7"/>
      <c r="CA1887" s="15"/>
    </row>
    <row r="1888" spans="1:79" x14ac:dyDescent="0.4">
      <c r="C1888" s="115"/>
      <c r="D1888" s="115"/>
      <c r="E1888" s="115"/>
      <c r="F1888" s="115"/>
      <c r="G1888" s="115"/>
      <c r="H1888" s="115"/>
      <c r="I1888" s="115"/>
      <c r="J1888" s="115"/>
      <c r="K1888" s="115"/>
      <c r="L1888" s="115"/>
      <c r="M1888" s="115"/>
      <c r="N1888" s="115"/>
      <c r="O1888" s="115"/>
      <c r="P1888" s="115"/>
      <c r="Q1888" s="115"/>
      <c r="R1888" s="115"/>
      <c r="S1888" s="115"/>
      <c r="T1888" s="115"/>
      <c r="U1888" s="115"/>
      <c r="V1888" s="115"/>
      <c r="W1888" s="115"/>
      <c r="X1888" s="115"/>
      <c r="Y1888" s="115"/>
      <c r="Z1888" s="115"/>
      <c r="AA1888" s="115"/>
      <c r="AB1888" s="115"/>
      <c r="AC1888" s="115"/>
      <c r="AD1888" s="115"/>
      <c r="AE1888" s="115"/>
      <c r="AF1888" s="115"/>
      <c r="AG1888" s="115"/>
      <c r="AH1888" s="115"/>
      <c r="AI1888" s="115"/>
      <c r="AJ1888" s="115"/>
      <c r="AK1888" s="115"/>
      <c r="AL1888" s="115"/>
      <c r="AM1888" s="115"/>
      <c r="AN1888" s="115"/>
      <c r="AO1888" s="115"/>
      <c r="AP1888" s="115"/>
      <c r="AQ1888" s="115"/>
      <c r="AR1888" s="115"/>
      <c r="AS1888" s="115"/>
      <c r="AT1888" s="115"/>
      <c r="AU1888" s="115"/>
      <c r="AV1888" s="115"/>
      <c r="AW1888" s="115"/>
      <c r="AX1888" s="115"/>
      <c r="AY1888" s="115"/>
      <c r="AZ1888" s="115"/>
      <c r="BA1888" s="115"/>
      <c r="BB1888" s="115"/>
      <c r="BC1888" s="115"/>
      <c r="BD1888" s="115"/>
      <c r="BE1888" s="115"/>
      <c r="BF1888" s="115"/>
      <c r="BG1888" s="115"/>
      <c r="BH1888" s="115"/>
      <c r="BI1888" s="122"/>
      <c r="BJ1888" s="122"/>
      <c r="BK1888" s="122"/>
      <c r="BL1888" s="115"/>
      <c r="BM1888" s="115"/>
      <c r="BN1888" s="115"/>
      <c r="BO1888" s="115"/>
      <c r="BP1888" s="115"/>
      <c r="BQ1888" s="115"/>
      <c r="BR1888" s="115"/>
      <c r="BS1888" s="115"/>
      <c r="BT1888" s="115"/>
      <c r="BU1888" s="115"/>
      <c r="BV1888" s="115"/>
      <c r="BW1888" s="115"/>
      <c r="BX1888" s="115"/>
      <c r="BY1888" s="115"/>
      <c r="BZ1888" s="26"/>
      <c r="CA1888" s="15"/>
    </row>
    <row r="1889" spans="3:79" x14ac:dyDescent="0.4">
      <c r="C1889" s="115"/>
      <c r="D1889" s="115"/>
      <c r="E1889" s="115"/>
      <c r="F1889" s="115"/>
      <c r="G1889" s="115"/>
      <c r="H1889" s="115"/>
      <c r="I1889" s="115"/>
      <c r="J1889" s="115"/>
      <c r="K1889" s="115"/>
      <c r="L1889" s="115"/>
      <c r="M1889" s="115"/>
      <c r="N1889" s="115"/>
      <c r="O1889" s="115"/>
      <c r="P1889" s="115"/>
      <c r="Q1889" s="115"/>
      <c r="R1889" s="115"/>
      <c r="S1889" s="115"/>
      <c r="T1889" s="115"/>
      <c r="U1889" s="115"/>
      <c r="V1889" s="115"/>
      <c r="W1889" s="115"/>
      <c r="X1889" s="115"/>
      <c r="Y1889" s="115"/>
      <c r="Z1889" s="115"/>
      <c r="AA1889" s="115"/>
      <c r="AB1889" s="115"/>
      <c r="AC1889" s="115"/>
      <c r="AD1889" s="115"/>
      <c r="AE1889" s="115"/>
      <c r="AF1889" s="115"/>
      <c r="AG1889" s="115"/>
      <c r="AH1889" s="115"/>
      <c r="AI1889" s="115"/>
      <c r="AJ1889" s="115"/>
      <c r="AK1889" s="115"/>
      <c r="AL1889" s="115"/>
      <c r="AM1889" s="115"/>
      <c r="AN1889" s="115"/>
      <c r="AO1889" s="115"/>
      <c r="AP1889" s="115"/>
      <c r="AQ1889" s="115"/>
      <c r="AR1889" s="115"/>
      <c r="AS1889" s="115"/>
      <c r="AT1889" s="115"/>
      <c r="AU1889" s="115"/>
      <c r="AV1889" s="115"/>
      <c r="AW1889" s="115"/>
      <c r="AX1889" s="115"/>
      <c r="AY1889" s="115"/>
      <c r="AZ1889" s="115"/>
      <c r="BA1889" s="115"/>
      <c r="BB1889" s="115"/>
      <c r="BC1889" s="115"/>
      <c r="BD1889" s="115"/>
      <c r="BE1889" s="115"/>
      <c r="BF1889" s="115"/>
      <c r="BG1889" s="115"/>
      <c r="BH1889" s="115"/>
      <c r="BI1889" s="122"/>
      <c r="BJ1889" s="122"/>
      <c r="BK1889" s="122"/>
      <c r="BL1889" s="115"/>
      <c r="BM1889" s="115"/>
      <c r="BN1889" s="115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7"/>
      <c r="CA1889" s="15"/>
    </row>
    <row r="1890" spans="3:79" x14ac:dyDescent="0.4">
      <c r="BZ1890" s="26"/>
      <c r="CA1890" s="15"/>
    </row>
    <row r="1891" spans="3:79" x14ac:dyDescent="0.4">
      <c r="BZ1891" s="26"/>
      <c r="CA1891" s="15"/>
    </row>
    <row r="1892" spans="3:79" x14ac:dyDescent="0.4">
      <c r="BD1892" s="115"/>
      <c r="BE1892" s="115"/>
      <c r="BF1892" s="115"/>
      <c r="BG1892" s="115"/>
      <c r="BH1892" s="115"/>
      <c r="BI1892" s="122"/>
      <c r="BJ1892" s="122"/>
      <c r="BK1892" s="122"/>
      <c r="BL1892" s="115"/>
      <c r="BM1892" s="115"/>
      <c r="BN1892" s="115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26"/>
      <c r="CA1892" s="15"/>
    </row>
    <row r="1893" spans="3:79" x14ac:dyDescent="0.4">
      <c r="BB1893" s="115"/>
      <c r="BC1893" s="115"/>
      <c r="BD1893" s="115"/>
      <c r="BE1893" s="115"/>
      <c r="BF1893" s="115"/>
      <c r="BG1893" s="115"/>
      <c r="BH1893" s="115"/>
      <c r="BI1893" s="122"/>
      <c r="BJ1893" s="122"/>
      <c r="BK1893" s="122"/>
      <c r="BL1893" s="115"/>
      <c r="BM1893" s="115"/>
      <c r="BN1893" s="115"/>
      <c r="BO1893" s="115"/>
      <c r="BP1893" s="115"/>
      <c r="BQ1893" s="115"/>
      <c r="BR1893" s="115"/>
      <c r="BS1893" s="115"/>
      <c r="BT1893" s="115"/>
      <c r="BU1893" s="115"/>
      <c r="BV1893" s="115"/>
      <c r="BW1893" s="115"/>
      <c r="BX1893" s="115"/>
      <c r="BY1893" s="115"/>
      <c r="BZ1893" s="26"/>
      <c r="CA1893" s="15"/>
    </row>
    <row r="1894" spans="3:79" x14ac:dyDescent="0.4">
      <c r="BB1894" s="115"/>
      <c r="BC1894" s="115"/>
      <c r="BD1894" s="115"/>
      <c r="BE1894" s="115"/>
      <c r="BF1894" s="115"/>
      <c r="BG1894" s="115"/>
      <c r="BH1894" s="115"/>
      <c r="BI1894" s="122"/>
      <c r="BJ1894" s="122"/>
      <c r="BK1894" s="122"/>
      <c r="BL1894" s="115"/>
      <c r="BM1894" s="115"/>
      <c r="BN1894" s="115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26"/>
      <c r="CA1894" s="15"/>
    </row>
    <row r="1895" spans="3:79" x14ac:dyDescent="0.4">
      <c r="E1895" s="115"/>
      <c r="F1895" s="115"/>
      <c r="G1895" s="115"/>
      <c r="H1895" s="115"/>
      <c r="I1895" s="115"/>
      <c r="J1895" s="115"/>
      <c r="K1895" s="115"/>
      <c r="L1895" s="115"/>
      <c r="M1895" s="115"/>
      <c r="N1895" s="115"/>
      <c r="O1895" s="115"/>
      <c r="P1895" s="115"/>
      <c r="Q1895" s="115"/>
      <c r="R1895" s="115"/>
      <c r="S1895" s="115"/>
      <c r="T1895" s="115"/>
      <c r="U1895" s="115"/>
      <c r="V1895" s="115"/>
      <c r="W1895" s="115"/>
      <c r="X1895" s="115"/>
      <c r="Y1895" s="115"/>
      <c r="Z1895" s="115"/>
      <c r="AA1895" s="115"/>
      <c r="AB1895" s="115"/>
      <c r="AC1895" s="115"/>
      <c r="AD1895" s="115"/>
      <c r="AE1895" s="115"/>
      <c r="AF1895" s="115"/>
      <c r="AG1895" s="115"/>
      <c r="AH1895" s="115"/>
      <c r="AI1895" s="115"/>
      <c r="AJ1895" s="115"/>
      <c r="AK1895" s="115"/>
      <c r="AL1895" s="115"/>
      <c r="AM1895" s="115"/>
      <c r="AN1895" s="115"/>
      <c r="AO1895" s="115"/>
      <c r="AP1895" s="115"/>
      <c r="AQ1895" s="115"/>
      <c r="AR1895" s="115"/>
      <c r="AS1895" s="115"/>
      <c r="AT1895" s="115"/>
      <c r="AU1895" s="115"/>
      <c r="AV1895" s="115"/>
      <c r="AW1895" s="115"/>
      <c r="AX1895" s="115"/>
      <c r="AY1895" s="115"/>
      <c r="AZ1895" s="115"/>
      <c r="BA1895" s="115"/>
      <c r="BB1895" s="115"/>
      <c r="BC1895" s="115"/>
      <c r="BD1895" s="115"/>
      <c r="BE1895" s="115"/>
      <c r="BF1895" s="115"/>
      <c r="BG1895" s="115"/>
      <c r="BH1895" s="115"/>
      <c r="BI1895" s="122"/>
      <c r="BJ1895" s="122"/>
      <c r="BK1895" s="122"/>
      <c r="BL1895" s="115"/>
      <c r="BM1895" s="115"/>
      <c r="BN1895" s="115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26"/>
      <c r="CA1895" s="15"/>
    </row>
    <row r="1896" spans="3:79" x14ac:dyDescent="0.4"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22"/>
      <c r="BJ1896" s="122"/>
      <c r="BK1896" s="122"/>
      <c r="BL1896" s="115"/>
      <c r="BM1896" s="115"/>
      <c r="BN1896" s="115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26"/>
      <c r="CA1896" s="15"/>
    </row>
    <row r="1897" spans="3:79" x14ac:dyDescent="0.4">
      <c r="BZ1897" s="26"/>
      <c r="CA1897" s="15"/>
    </row>
    <row r="1898" spans="3:79" x14ac:dyDescent="0.4">
      <c r="BD1898" s="115"/>
      <c r="BE1898" s="115"/>
      <c r="BF1898" s="115"/>
      <c r="BG1898" s="115"/>
      <c r="BH1898" s="115"/>
      <c r="BI1898" s="122"/>
      <c r="BJ1898" s="122"/>
      <c r="BK1898" s="122"/>
      <c r="BL1898" s="115"/>
      <c r="BM1898" s="115"/>
      <c r="BN1898" s="115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15"/>
      <c r="BZ1898" s="26"/>
      <c r="CA1898" s="15"/>
    </row>
    <row r="1899" spans="3:79" x14ac:dyDescent="0.4">
      <c r="BZ1899" s="26"/>
      <c r="CA1899" s="15"/>
    </row>
    <row r="1900" spans="3:79" x14ac:dyDescent="0.4">
      <c r="BE1900" s="115"/>
      <c r="BF1900" s="115"/>
      <c r="BG1900" s="115"/>
      <c r="BH1900" s="115"/>
      <c r="BI1900" s="122"/>
      <c r="BJ1900" s="122"/>
      <c r="BK1900" s="122"/>
      <c r="BL1900" s="115"/>
      <c r="BM1900" s="115"/>
      <c r="BN1900" s="115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115"/>
      <c r="BY1900" s="115"/>
      <c r="BZ1900" s="17"/>
      <c r="CA1900" s="15"/>
    </row>
    <row r="1901" spans="3:79" x14ac:dyDescent="0.4">
      <c r="BD1901" s="115"/>
      <c r="BE1901" s="115"/>
      <c r="BF1901" s="115"/>
      <c r="BG1901" s="115"/>
      <c r="BH1901" s="115"/>
      <c r="BI1901" s="122"/>
      <c r="BJ1901" s="122"/>
      <c r="BK1901" s="122"/>
      <c r="BL1901" s="115"/>
      <c r="BM1901" s="115"/>
      <c r="BN1901" s="115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26"/>
      <c r="CA1901" s="15"/>
    </row>
    <row r="1902" spans="3:79" x14ac:dyDescent="0.4">
      <c r="C1902" s="115"/>
      <c r="D1902" s="115"/>
      <c r="E1902" s="115"/>
      <c r="F1902" s="115"/>
      <c r="G1902" s="115"/>
      <c r="H1902" s="115"/>
      <c r="I1902" s="115"/>
      <c r="J1902" s="115"/>
      <c r="K1902" s="115"/>
      <c r="L1902" s="115"/>
      <c r="M1902" s="115"/>
      <c r="N1902" s="115"/>
      <c r="O1902" s="115"/>
      <c r="P1902" s="115"/>
      <c r="Q1902" s="115"/>
      <c r="R1902" s="115"/>
      <c r="S1902" s="115"/>
      <c r="T1902" s="115"/>
      <c r="U1902" s="115"/>
      <c r="V1902" s="115"/>
      <c r="W1902" s="115"/>
      <c r="X1902" s="115"/>
      <c r="Y1902" s="115"/>
      <c r="Z1902" s="115"/>
      <c r="AA1902" s="115"/>
      <c r="AB1902" s="115"/>
      <c r="AC1902" s="115"/>
      <c r="AD1902" s="115"/>
      <c r="AE1902" s="115"/>
      <c r="AF1902" s="115"/>
      <c r="AG1902" s="115"/>
      <c r="AH1902" s="115"/>
      <c r="AI1902" s="115"/>
      <c r="AJ1902" s="115"/>
      <c r="AK1902" s="115"/>
      <c r="AL1902" s="115"/>
      <c r="AM1902" s="115"/>
      <c r="AN1902" s="115"/>
      <c r="AO1902" s="115"/>
      <c r="AP1902" s="115"/>
      <c r="AQ1902" s="115"/>
      <c r="AR1902" s="115"/>
      <c r="AS1902" s="115"/>
      <c r="AT1902" s="115"/>
      <c r="AU1902" s="115"/>
      <c r="AV1902" s="115"/>
      <c r="AW1902" s="115"/>
      <c r="AX1902" s="115"/>
      <c r="AY1902" s="115"/>
      <c r="AZ1902" s="115"/>
      <c r="BA1902" s="115"/>
      <c r="BB1902" s="115"/>
      <c r="BC1902" s="115"/>
      <c r="BD1902" s="115"/>
      <c r="BE1902" s="115"/>
      <c r="BF1902" s="115"/>
      <c r="BG1902" s="115"/>
      <c r="BH1902" s="115"/>
      <c r="BI1902" s="122"/>
      <c r="BJ1902" s="122"/>
      <c r="BK1902" s="122"/>
      <c r="BL1902" s="115"/>
      <c r="BM1902" s="115"/>
      <c r="BN1902" s="115"/>
      <c r="BO1902" s="115"/>
      <c r="BP1902" s="115"/>
      <c r="BQ1902" s="115"/>
      <c r="BR1902" s="115"/>
      <c r="BS1902" s="115"/>
      <c r="BT1902" s="115"/>
      <c r="BU1902" s="115"/>
      <c r="BV1902" s="115"/>
      <c r="BW1902" s="115"/>
      <c r="BX1902" s="115"/>
      <c r="BY1902" s="115"/>
      <c r="BZ1902" s="26"/>
      <c r="CA1902" s="15"/>
    </row>
    <row r="1903" spans="3:79" x14ac:dyDescent="0.4">
      <c r="C1903" s="115"/>
      <c r="D1903" s="115"/>
      <c r="E1903" s="115"/>
      <c r="F1903" s="115"/>
      <c r="G1903" s="115"/>
      <c r="H1903" s="115"/>
      <c r="I1903" s="115"/>
      <c r="J1903" s="115"/>
      <c r="K1903" s="115"/>
      <c r="L1903" s="115"/>
      <c r="M1903" s="115"/>
      <c r="N1903" s="115"/>
      <c r="O1903" s="115"/>
      <c r="P1903" s="115"/>
      <c r="Q1903" s="115"/>
      <c r="R1903" s="115"/>
      <c r="S1903" s="115"/>
      <c r="T1903" s="115"/>
      <c r="U1903" s="115"/>
      <c r="V1903" s="115"/>
      <c r="W1903" s="115"/>
      <c r="X1903" s="115"/>
      <c r="Y1903" s="115"/>
      <c r="Z1903" s="115"/>
      <c r="AA1903" s="115"/>
      <c r="AB1903" s="115"/>
      <c r="AC1903" s="115"/>
      <c r="AD1903" s="115"/>
      <c r="AE1903" s="115"/>
      <c r="AF1903" s="115"/>
      <c r="AG1903" s="115"/>
      <c r="AH1903" s="115"/>
      <c r="AI1903" s="115"/>
      <c r="AJ1903" s="115"/>
      <c r="AK1903" s="115"/>
      <c r="AL1903" s="115"/>
      <c r="AM1903" s="115"/>
      <c r="AN1903" s="115"/>
      <c r="AO1903" s="115"/>
      <c r="AP1903" s="115"/>
      <c r="AQ1903" s="115"/>
      <c r="AR1903" s="115"/>
      <c r="AS1903" s="115"/>
      <c r="AT1903" s="115"/>
      <c r="AU1903" s="115"/>
      <c r="AV1903" s="115"/>
      <c r="AW1903" s="115"/>
      <c r="AX1903" s="115"/>
      <c r="AY1903" s="115"/>
      <c r="AZ1903" s="115"/>
      <c r="BA1903" s="115"/>
      <c r="BB1903" s="115"/>
      <c r="BC1903" s="115"/>
      <c r="BD1903" s="115"/>
      <c r="BE1903" s="115"/>
      <c r="BF1903" s="115"/>
      <c r="BG1903" s="115"/>
      <c r="BH1903" s="115"/>
      <c r="BI1903" s="122"/>
      <c r="BJ1903" s="122"/>
      <c r="BK1903" s="122"/>
      <c r="BL1903" s="115"/>
      <c r="BM1903" s="115"/>
      <c r="BN1903" s="115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7"/>
      <c r="CA1903" s="15"/>
    </row>
    <row r="1904" spans="3:79" x14ac:dyDescent="0.4">
      <c r="BZ1904" s="26"/>
      <c r="CA1904" s="15"/>
    </row>
    <row r="1905" spans="4:79" x14ac:dyDescent="0.4">
      <c r="BE1905" s="115"/>
      <c r="BF1905" s="115"/>
      <c r="BG1905" s="115"/>
      <c r="BH1905" s="115"/>
      <c r="BI1905" s="122"/>
      <c r="BJ1905" s="122"/>
      <c r="BK1905" s="122"/>
      <c r="BL1905" s="115"/>
      <c r="BM1905" s="115"/>
      <c r="BN1905" s="115"/>
      <c r="BO1905" s="115"/>
      <c r="BP1905" s="115"/>
      <c r="BQ1905" s="115"/>
      <c r="BR1905" s="115"/>
      <c r="BS1905" s="115"/>
      <c r="BT1905" s="115"/>
      <c r="BU1905" s="115"/>
      <c r="BV1905" s="115"/>
      <c r="BW1905" s="115"/>
      <c r="BX1905" s="115"/>
      <c r="BY1905" s="115"/>
      <c r="BZ1905" s="17"/>
      <c r="CA1905" s="15"/>
    </row>
    <row r="1906" spans="4:79" x14ac:dyDescent="0.4">
      <c r="BD1906" s="115"/>
      <c r="BE1906" s="115"/>
      <c r="BF1906" s="115"/>
      <c r="BG1906" s="115"/>
      <c r="BH1906" s="115"/>
      <c r="BI1906" s="122"/>
      <c r="BJ1906" s="122"/>
      <c r="BK1906" s="122"/>
      <c r="BL1906" s="115"/>
      <c r="BM1906" s="115"/>
      <c r="BN1906" s="115"/>
      <c r="BO1906" s="115"/>
      <c r="BP1906" s="115"/>
      <c r="BQ1906" s="115"/>
      <c r="BR1906" s="115"/>
      <c r="BS1906" s="115"/>
      <c r="BT1906" s="115"/>
      <c r="BU1906" s="115"/>
      <c r="BV1906" s="115"/>
      <c r="BW1906" s="115"/>
      <c r="BX1906" s="115"/>
      <c r="BY1906" s="115"/>
      <c r="BZ1906" s="26"/>
      <c r="CA1906" s="15"/>
    </row>
    <row r="1907" spans="4:79" x14ac:dyDescent="0.4">
      <c r="BD1907" s="115"/>
      <c r="BE1907" s="115"/>
      <c r="BF1907" s="115"/>
      <c r="BG1907" s="115"/>
      <c r="BH1907" s="115"/>
      <c r="BI1907" s="122"/>
      <c r="BJ1907" s="122"/>
      <c r="BK1907" s="122"/>
      <c r="BL1907" s="115"/>
      <c r="BM1907" s="115"/>
      <c r="BN1907" s="115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7"/>
      <c r="CA1907" s="15"/>
    </row>
    <row r="1908" spans="4:79" x14ac:dyDescent="0.4">
      <c r="BD1908" s="115"/>
      <c r="BE1908" s="115"/>
      <c r="BF1908" s="115"/>
      <c r="BG1908" s="115"/>
      <c r="BH1908" s="115"/>
      <c r="BI1908" s="122"/>
      <c r="BJ1908" s="122"/>
      <c r="BK1908" s="122"/>
      <c r="BL1908" s="115"/>
      <c r="BM1908" s="115"/>
      <c r="BN1908" s="115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7"/>
      <c r="CA1908" s="15"/>
    </row>
    <row r="1909" spans="4:79" x14ac:dyDescent="0.4"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22"/>
      <c r="BJ1909" s="122"/>
      <c r="BK1909" s="122"/>
      <c r="BL1909" s="115"/>
      <c r="BM1909" s="115"/>
      <c r="BN1909" s="115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26"/>
      <c r="CA1909" s="15"/>
    </row>
    <row r="1910" spans="4:79" x14ac:dyDescent="0.4"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22"/>
      <c r="BJ1910" s="122"/>
      <c r="BK1910" s="122"/>
      <c r="BL1910" s="115"/>
      <c r="BM1910" s="115"/>
      <c r="BN1910" s="115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26"/>
      <c r="CA1910" s="15"/>
    </row>
    <row r="1911" spans="4:79" x14ac:dyDescent="0.4"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22"/>
      <c r="BJ1911" s="122"/>
      <c r="BK1911" s="122"/>
      <c r="BL1911" s="115"/>
      <c r="BM1911" s="115"/>
      <c r="BN1911" s="115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26"/>
      <c r="CA1911" s="15"/>
    </row>
    <row r="1912" spans="4:79" x14ac:dyDescent="0.4"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15"/>
      <c r="BI1912" s="122"/>
      <c r="BJ1912" s="122"/>
      <c r="BK1912" s="122"/>
      <c r="BL1912" s="115"/>
      <c r="BM1912" s="115"/>
      <c r="BN1912" s="115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115"/>
      <c r="BZ1912" s="26"/>
      <c r="CA1912" s="15"/>
    </row>
    <row r="1913" spans="4:79" x14ac:dyDescent="0.4"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15"/>
      <c r="BG1913" s="115"/>
      <c r="BH1913" s="115"/>
      <c r="BI1913" s="122"/>
      <c r="BJ1913" s="122"/>
      <c r="BK1913" s="122"/>
      <c r="BL1913" s="115"/>
      <c r="BM1913" s="115"/>
      <c r="BN1913" s="115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26"/>
      <c r="CA1913" s="15"/>
    </row>
    <row r="1914" spans="4:79" x14ac:dyDescent="0.4"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22"/>
      <c r="BJ1914" s="122"/>
      <c r="BK1914" s="122"/>
      <c r="BL1914" s="115"/>
      <c r="BM1914" s="115"/>
      <c r="BN1914" s="115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7"/>
      <c r="CA1914" s="15"/>
    </row>
    <row r="1915" spans="4:79" x14ac:dyDescent="0.4">
      <c r="BZ1915" s="26"/>
      <c r="CA1915" s="15"/>
    </row>
    <row r="1916" spans="4:79" x14ac:dyDescent="0.4">
      <c r="BD1916" s="115"/>
      <c r="BE1916" s="115"/>
      <c r="BF1916" s="115"/>
      <c r="BG1916" s="115"/>
      <c r="BH1916" s="115"/>
      <c r="BI1916" s="122"/>
      <c r="BJ1916" s="122"/>
      <c r="BK1916" s="122"/>
      <c r="BL1916" s="115"/>
      <c r="BM1916" s="115"/>
      <c r="BN1916" s="115"/>
      <c r="BO1916" s="115"/>
      <c r="BP1916" s="115"/>
      <c r="BQ1916" s="115"/>
      <c r="BR1916" s="115"/>
      <c r="BS1916" s="115"/>
      <c r="BT1916" s="115"/>
      <c r="BU1916" s="115"/>
      <c r="BV1916" s="115"/>
      <c r="BW1916" s="115"/>
      <c r="BX1916" s="115"/>
      <c r="BY1916" s="115"/>
      <c r="BZ1916" s="17"/>
      <c r="CA1916" s="13"/>
    </row>
    <row r="1917" spans="4:79" x14ac:dyDescent="0.4">
      <c r="BD1917" s="115"/>
      <c r="BE1917" s="115"/>
      <c r="BF1917" s="115"/>
      <c r="BG1917" s="115"/>
      <c r="BH1917" s="115"/>
      <c r="BI1917" s="122"/>
      <c r="BJ1917" s="122"/>
      <c r="BK1917" s="122"/>
      <c r="BL1917" s="115"/>
      <c r="BM1917" s="115"/>
      <c r="BN1917" s="115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7"/>
      <c r="CA1917" s="13"/>
    </row>
    <row r="1918" spans="4:79" x14ac:dyDescent="0.4">
      <c r="BB1918" s="115"/>
      <c r="BC1918" s="115"/>
      <c r="BD1918" s="115"/>
      <c r="BE1918" s="115"/>
      <c r="BF1918" s="115"/>
      <c r="BG1918" s="115"/>
      <c r="BH1918" s="115"/>
      <c r="BI1918" s="122"/>
      <c r="BJ1918" s="122"/>
      <c r="BK1918" s="122"/>
      <c r="BL1918" s="115"/>
      <c r="BM1918" s="115"/>
      <c r="BN1918" s="115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115"/>
      <c r="BZ1918" s="26"/>
      <c r="CA1918" s="13"/>
    </row>
    <row r="1919" spans="4:79" x14ac:dyDescent="0.4">
      <c r="BB1919" s="115"/>
      <c r="BC1919" s="115"/>
      <c r="BD1919" s="115"/>
      <c r="BE1919" s="115"/>
      <c r="BF1919" s="115"/>
      <c r="BG1919" s="115"/>
      <c r="BH1919" s="115"/>
      <c r="BI1919" s="122"/>
      <c r="BJ1919" s="122"/>
      <c r="BK1919" s="122"/>
      <c r="BL1919" s="115"/>
      <c r="BM1919" s="115"/>
      <c r="BN1919" s="115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7"/>
      <c r="CA1919" s="13"/>
    </row>
    <row r="1920" spans="4:79" x14ac:dyDescent="0.4">
      <c r="BZ1920" s="26"/>
      <c r="CA1920" s="13"/>
    </row>
    <row r="1921" spans="3:79" x14ac:dyDescent="0.4">
      <c r="BC1921" s="115"/>
      <c r="BD1921" s="115"/>
      <c r="BE1921" s="115"/>
      <c r="BF1921" s="115"/>
      <c r="BG1921" s="115"/>
      <c r="BH1921" s="115"/>
      <c r="BI1921" s="122"/>
      <c r="BJ1921" s="122"/>
      <c r="BK1921" s="122"/>
      <c r="BL1921" s="115"/>
      <c r="BM1921" s="115"/>
      <c r="BN1921" s="115"/>
      <c r="BO1921" s="115"/>
      <c r="BP1921" s="115"/>
      <c r="BQ1921" s="115"/>
      <c r="BR1921" s="115"/>
      <c r="BS1921" s="115"/>
      <c r="BT1921" s="115"/>
      <c r="BU1921" s="115"/>
      <c r="BV1921" s="115"/>
      <c r="BW1921" s="115"/>
      <c r="BX1921" s="115"/>
      <c r="BY1921" s="115"/>
      <c r="BZ1921" s="17"/>
      <c r="CA1921" s="13"/>
    </row>
    <row r="1922" spans="3:79" x14ac:dyDescent="0.4">
      <c r="BZ1922" s="26"/>
      <c r="CA1922" s="13"/>
    </row>
    <row r="1923" spans="3:79" x14ac:dyDescent="0.4">
      <c r="BZ1923" s="26"/>
      <c r="CA1923" s="13"/>
    </row>
    <row r="1924" spans="3:79" x14ac:dyDescent="0.4">
      <c r="D1924" s="115"/>
      <c r="E1924" s="115"/>
      <c r="F1924" s="115"/>
      <c r="G1924" s="115"/>
      <c r="H1924" s="115"/>
      <c r="I1924" s="115"/>
      <c r="J1924" s="115"/>
      <c r="K1924" s="115"/>
      <c r="L1924" s="115"/>
      <c r="M1924" s="115"/>
      <c r="N1924" s="115"/>
      <c r="O1924" s="115"/>
      <c r="P1924" s="115"/>
      <c r="Q1924" s="115"/>
      <c r="R1924" s="115"/>
      <c r="S1924" s="115"/>
      <c r="T1924" s="115"/>
      <c r="U1924" s="115"/>
      <c r="V1924" s="115"/>
      <c r="W1924" s="115"/>
      <c r="X1924" s="115"/>
      <c r="Y1924" s="115"/>
      <c r="Z1924" s="115"/>
      <c r="AA1924" s="115"/>
      <c r="AB1924" s="115"/>
      <c r="AC1924" s="115"/>
      <c r="AD1924" s="115"/>
      <c r="AE1924" s="115"/>
      <c r="AF1924" s="115"/>
      <c r="AG1924" s="115"/>
      <c r="AH1924" s="115"/>
      <c r="AI1924" s="115"/>
      <c r="AJ1924" s="115"/>
      <c r="AK1924" s="115"/>
      <c r="AL1924" s="115"/>
      <c r="AM1924" s="115"/>
      <c r="AN1924" s="115"/>
      <c r="AO1924" s="115"/>
      <c r="AP1924" s="115"/>
      <c r="AQ1924" s="115"/>
      <c r="AR1924" s="115"/>
      <c r="AS1924" s="115"/>
      <c r="AT1924" s="115"/>
      <c r="AU1924" s="115"/>
      <c r="AV1924" s="115"/>
      <c r="AW1924" s="115"/>
      <c r="AX1924" s="115"/>
      <c r="AY1924" s="115"/>
      <c r="AZ1924" s="115"/>
      <c r="BA1924" s="115"/>
      <c r="BB1924" s="115"/>
      <c r="BC1924" s="115"/>
      <c r="BD1924" s="115"/>
      <c r="BE1924" s="115"/>
      <c r="BF1924" s="115"/>
      <c r="BG1924" s="115"/>
      <c r="BH1924" s="115"/>
      <c r="BI1924" s="122"/>
      <c r="BJ1924" s="122"/>
      <c r="BK1924" s="122"/>
      <c r="BL1924" s="115"/>
      <c r="BM1924" s="115"/>
      <c r="BN1924" s="115"/>
      <c r="BO1924" s="115"/>
      <c r="BP1924" s="115"/>
      <c r="BQ1924" s="115"/>
      <c r="BR1924" s="115"/>
      <c r="BS1924" s="115"/>
      <c r="BT1924" s="115"/>
      <c r="BU1924" s="115"/>
      <c r="BV1924" s="115"/>
      <c r="BW1924" s="115"/>
      <c r="BX1924" s="115"/>
      <c r="BY1924" s="115"/>
      <c r="BZ1924" s="26"/>
      <c r="CA1924" s="13"/>
    </row>
    <row r="1925" spans="3:79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22"/>
      <c r="BJ1925" s="122"/>
      <c r="BK1925" s="122"/>
      <c r="BL1925" s="115"/>
      <c r="BM1925" s="115"/>
      <c r="BN1925" s="115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26"/>
      <c r="CA1925" s="13"/>
    </row>
    <row r="1926" spans="3:79" x14ac:dyDescent="0.4">
      <c r="BZ1926" s="26"/>
      <c r="CA1926" s="13"/>
    </row>
    <row r="1927" spans="3:79" x14ac:dyDescent="0.4">
      <c r="BZ1927" s="26"/>
      <c r="CA1927" s="13"/>
    </row>
    <row r="1928" spans="3:79" x14ac:dyDescent="0.4">
      <c r="E1928" s="115"/>
      <c r="F1928" s="115"/>
      <c r="G1928" s="115"/>
      <c r="H1928" s="115"/>
      <c r="I1928" s="115"/>
      <c r="J1928" s="115"/>
      <c r="K1928" s="115"/>
      <c r="L1928" s="115"/>
      <c r="M1928" s="115"/>
      <c r="N1928" s="115"/>
      <c r="O1928" s="115"/>
      <c r="P1928" s="115"/>
      <c r="Q1928" s="115"/>
      <c r="R1928" s="115"/>
      <c r="S1928" s="115"/>
      <c r="T1928" s="115"/>
      <c r="U1928" s="115"/>
      <c r="V1928" s="115"/>
      <c r="W1928" s="115"/>
      <c r="X1928" s="115"/>
      <c r="Y1928" s="115"/>
      <c r="Z1928" s="115"/>
      <c r="AA1928" s="115"/>
      <c r="AB1928" s="115"/>
      <c r="AC1928" s="115"/>
      <c r="AD1928" s="115"/>
      <c r="AE1928" s="115"/>
      <c r="AF1928" s="115"/>
      <c r="AG1928" s="115"/>
      <c r="AH1928" s="115"/>
      <c r="AI1928" s="115"/>
      <c r="AJ1928" s="115"/>
      <c r="AK1928" s="115"/>
      <c r="AL1928" s="115"/>
      <c r="AM1928" s="115"/>
      <c r="AN1928" s="115"/>
      <c r="AO1928" s="115"/>
      <c r="AP1928" s="115"/>
      <c r="AQ1928" s="115"/>
      <c r="AR1928" s="115"/>
      <c r="AS1928" s="115"/>
      <c r="AT1928" s="115"/>
      <c r="AU1928" s="115"/>
      <c r="AV1928" s="115"/>
      <c r="AW1928" s="115"/>
      <c r="AX1928" s="115"/>
      <c r="AY1928" s="115"/>
      <c r="AZ1928" s="115"/>
      <c r="BA1928" s="115"/>
      <c r="BB1928" s="115"/>
      <c r="BC1928" s="115"/>
      <c r="BD1928" s="115"/>
      <c r="BE1928" s="115"/>
      <c r="BF1928" s="115"/>
      <c r="BG1928" s="115"/>
      <c r="BH1928" s="115"/>
      <c r="BI1928" s="122"/>
      <c r="BJ1928" s="122"/>
      <c r="BK1928" s="122"/>
      <c r="BL1928" s="115"/>
      <c r="BM1928" s="115"/>
      <c r="BN1928" s="115"/>
      <c r="BO1928" s="115"/>
      <c r="BP1928" s="115"/>
      <c r="BQ1928" s="115"/>
      <c r="BR1928" s="115"/>
      <c r="BS1928" s="115"/>
      <c r="BT1928" s="115"/>
      <c r="BU1928" s="115"/>
      <c r="BV1928" s="115"/>
      <c r="BW1928" s="115"/>
      <c r="BX1928" s="115"/>
      <c r="BY1928" s="115"/>
      <c r="BZ1928" s="26"/>
      <c r="CA1928" s="13"/>
    </row>
    <row r="1929" spans="3:79" x14ac:dyDescent="0.4">
      <c r="BZ1929" s="26"/>
      <c r="CA1929" s="105"/>
    </row>
    <row r="1930" spans="3:79" x14ac:dyDescent="0.4"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22"/>
      <c r="BJ1930" s="122"/>
      <c r="BK1930" s="122"/>
      <c r="BL1930" s="115"/>
      <c r="BM1930" s="115"/>
      <c r="BN1930" s="115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26"/>
      <c r="CA1930" s="15"/>
    </row>
    <row r="1931" spans="3:79" x14ac:dyDescent="0.4"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22"/>
      <c r="BJ1931" s="122"/>
      <c r="BK1931" s="122"/>
      <c r="BL1931" s="115"/>
      <c r="BM1931" s="115"/>
      <c r="BN1931" s="115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7"/>
      <c r="CA1931" s="15"/>
    </row>
    <row r="1932" spans="3:79" x14ac:dyDescent="0.4">
      <c r="BZ1932" s="26"/>
      <c r="CA1932" s="15"/>
    </row>
    <row r="1933" spans="3:79" x14ac:dyDescent="0.4"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22"/>
      <c r="BJ1933" s="122"/>
      <c r="BK1933" s="122"/>
      <c r="BL1933" s="115"/>
      <c r="BM1933" s="115"/>
      <c r="BN1933" s="115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26"/>
      <c r="CA1933" s="15"/>
    </row>
    <row r="1934" spans="3:79" x14ac:dyDescent="0.4">
      <c r="C1934" s="115"/>
      <c r="D1934" s="115"/>
      <c r="E1934" s="115"/>
      <c r="F1934" s="115"/>
      <c r="G1934" s="115"/>
      <c r="H1934" s="115"/>
      <c r="I1934" s="115"/>
      <c r="J1934" s="115"/>
      <c r="K1934" s="115"/>
      <c r="L1934" s="115"/>
      <c r="M1934" s="115"/>
      <c r="N1934" s="115"/>
      <c r="O1934" s="115"/>
      <c r="P1934" s="115"/>
      <c r="Q1934" s="115"/>
      <c r="R1934" s="115"/>
      <c r="S1934" s="115"/>
      <c r="T1934" s="115"/>
      <c r="U1934" s="115"/>
      <c r="V1934" s="115"/>
      <c r="W1934" s="115"/>
      <c r="X1934" s="115"/>
      <c r="Y1934" s="115"/>
      <c r="Z1934" s="115"/>
      <c r="AA1934" s="115"/>
      <c r="AB1934" s="115"/>
      <c r="AC1934" s="115"/>
      <c r="AD1934" s="115"/>
      <c r="AE1934" s="115"/>
      <c r="AF1934" s="115"/>
      <c r="AG1934" s="115"/>
      <c r="AH1934" s="115"/>
      <c r="AI1934" s="115"/>
      <c r="AJ1934" s="115"/>
      <c r="AK1934" s="115"/>
      <c r="AL1934" s="115"/>
      <c r="AM1934" s="115"/>
      <c r="AN1934" s="115"/>
      <c r="AO1934" s="115"/>
      <c r="AP1934" s="115"/>
      <c r="AQ1934" s="115"/>
      <c r="AR1934" s="115"/>
      <c r="AS1934" s="115"/>
      <c r="AT1934" s="115"/>
      <c r="AU1934" s="115"/>
      <c r="AV1934" s="115"/>
      <c r="AW1934" s="115"/>
      <c r="AX1934" s="115"/>
      <c r="AY1934" s="115"/>
      <c r="AZ1934" s="115"/>
      <c r="BA1934" s="115"/>
      <c r="BB1934" s="115"/>
      <c r="BC1934" s="115"/>
      <c r="BD1934" s="115"/>
      <c r="BE1934" s="115"/>
      <c r="BF1934" s="115"/>
      <c r="BG1934" s="115"/>
      <c r="BH1934" s="115"/>
      <c r="BI1934" s="122"/>
      <c r="BJ1934" s="122"/>
      <c r="BK1934" s="122"/>
      <c r="BL1934" s="115"/>
      <c r="BM1934" s="115"/>
      <c r="BN1934" s="115"/>
      <c r="BO1934" s="115"/>
      <c r="BP1934" s="115"/>
      <c r="BQ1934" s="115"/>
      <c r="BR1934" s="115"/>
      <c r="BS1934" s="115"/>
      <c r="BT1934" s="115"/>
      <c r="BU1934" s="115"/>
      <c r="BV1934" s="115"/>
      <c r="BW1934" s="115"/>
      <c r="BX1934" s="115"/>
      <c r="BY1934" s="115"/>
      <c r="BZ1934" s="26"/>
      <c r="CA1934" s="15"/>
    </row>
    <row r="1935" spans="3:79" x14ac:dyDescent="0.4">
      <c r="C1935" s="115"/>
      <c r="D1935" s="115"/>
      <c r="E1935" s="115"/>
      <c r="F1935" s="115"/>
      <c r="G1935" s="115"/>
      <c r="H1935" s="115"/>
      <c r="I1935" s="115"/>
      <c r="J1935" s="115"/>
      <c r="K1935" s="115"/>
      <c r="L1935" s="115"/>
      <c r="M1935" s="115"/>
      <c r="N1935" s="115"/>
      <c r="O1935" s="115"/>
      <c r="P1935" s="115"/>
      <c r="Q1935" s="115"/>
      <c r="R1935" s="115"/>
      <c r="S1935" s="115"/>
      <c r="T1935" s="115"/>
      <c r="U1935" s="115"/>
      <c r="V1935" s="115"/>
      <c r="W1935" s="115"/>
      <c r="X1935" s="115"/>
      <c r="Y1935" s="115"/>
      <c r="Z1935" s="115"/>
      <c r="AA1935" s="115"/>
      <c r="AB1935" s="115"/>
      <c r="AC1935" s="115"/>
      <c r="AD1935" s="115"/>
      <c r="AE1935" s="115"/>
      <c r="AF1935" s="115"/>
      <c r="AG1935" s="115"/>
      <c r="AH1935" s="115"/>
      <c r="AI1935" s="115"/>
      <c r="AJ1935" s="115"/>
      <c r="AK1935" s="115"/>
      <c r="AL1935" s="115"/>
      <c r="AM1935" s="115"/>
      <c r="AN1935" s="115"/>
      <c r="AO1935" s="115"/>
      <c r="AP1935" s="115"/>
      <c r="AQ1935" s="115"/>
      <c r="AR1935" s="115"/>
      <c r="AS1935" s="115"/>
      <c r="AT1935" s="115"/>
      <c r="AU1935" s="115"/>
      <c r="AV1935" s="115"/>
      <c r="AW1935" s="115"/>
      <c r="AX1935" s="115"/>
      <c r="AY1935" s="115"/>
      <c r="AZ1935" s="115"/>
      <c r="BA1935" s="115"/>
      <c r="BB1935" s="115"/>
      <c r="BC1935" s="115"/>
      <c r="BD1935" s="115"/>
      <c r="BE1935" s="115"/>
      <c r="BF1935" s="115"/>
      <c r="BG1935" s="115"/>
      <c r="BH1935" s="115"/>
      <c r="BI1935" s="122"/>
      <c r="BJ1935" s="122"/>
      <c r="BK1935" s="122"/>
      <c r="BL1935" s="115"/>
      <c r="BM1935" s="115"/>
      <c r="BN1935" s="115"/>
      <c r="BO1935" s="115"/>
      <c r="BP1935" s="115"/>
      <c r="BQ1935" s="115"/>
      <c r="BR1935" s="115"/>
      <c r="BS1935" s="115"/>
      <c r="BT1935" s="115"/>
      <c r="BU1935" s="115"/>
      <c r="BV1935" s="115"/>
      <c r="BW1935" s="115"/>
      <c r="BX1935" s="115"/>
      <c r="BY1935" s="115"/>
      <c r="BZ1935" s="26"/>
      <c r="CA1935" s="13"/>
    </row>
    <row r="1936" spans="3:79" x14ac:dyDescent="0.4">
      <c r="BZ1936" s="26"/>
      <c r="CA1936" s="15"/>
    </row>
    <row r="1937" spans="2:79" x14ac:dyDescent="0.4"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15"/>
      <c r="BF1937" s="115"/>
      <c r="BG1937" s="115"/>
      <c r="BH1937" s="115"/>
      <c r="BI1937" s="122"/>
      <c r="BJ1937" s="122"/>
      <c r="BK1937" s="122"/>
      <c r="BL1937" s="115"/>
      <c r="BM1937" s="115"/>
      <c r="BN1937" s="115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26"/>
      <c r="CA1937" s="15"/>
    </row>
    <row r="1938" spans="2:79" x14ac:dyDescent="0.4">
      <c r="E1938" s="115"/>
      <c r="F1938" s="115"/>
      <c r="G1938" s="115"/>
      <c r="H1938" s="115"/>
      <c r="I1938" s="115"/>
      <c r="J1938" s="115"/>
      <c r="K1938" s="115"/>
      <c r="L1938" s="115"/>
      <c r="M1938" s="115"/>
      <c r="N1938" s="115"/>
      <c r="O1938" s="115"/>
      <c r="P1938" s="115"/>
      <c r="Q1938" s="115"/>
      <c r="R1938" s="115"/>
      <c r="S1938" s="115"/>
      <c r="T1938" s="115"/>
      <c r="U1938" s="115"/>
      <c r="V1938" s="115"/>
      <c r="W1938" s="115"/>
      <c r="X1938" s="115"/>
      <c r="Y1938" s="115"/>
      <c r="Z1938" s="115"/>
      <c r="AA1938" s="115"/>
      <c r="AB1938" s="115"/>
      <c r="AC1938" s="115"/>
      <c r="AD1938" s="115"/>
      <c r="AE1938" s="115"/>
      <c r="AF1938" s="115"/>
      <c r="AG1938" s="115"/>
      <c r="AH1938" s="115"/>
      <c r="AI1938" s="115"/>
      <c r="AJ1938" s="115"/>
      <c r="AK1938" s="115"/>
      <c r="AL1938" s="115"/>
      <c r="AM1938" s="115"/>
      <c r="AN1938" s="115"/>
      <c r="AO1938" s="115"/>
      <c r="AP1938" s="115"/>
      <c r="AQ1938" s="115"/>
      <c r="AR1938" s="115"/>
      <c r="AS1938" s="115"/>
      <c r="AT1938" s="115"/>
      <c r="AU1938" s="115"/>
      <c r="AV1938" s="115"/>
      <c r="AW1938" s="115"/>
      <c r="AX1938" s="115"/>
      <c r="AY1938" s="115"/>
      <c r="AZ1938" s="115"/>
      <c r="BA1938" s="115"/>
      <c r="BB1938" s="115"/>
      <c r="BC1938" s="115"/>
      <c r="BD1938" s="115"/>
      <c r="BE1938" s="115"/>
      <c r="BF1938" s="115"/>
      <c r="BG1938" s="115"/>
      <c r="BH1938" s="115"/>
      <c r="BI1938" s="122"/>
      <c r="BJ1938" s="122"/>
      <c r="BK1938" s="122"/>
      <c r="BL1938" s="115"/>
      <c r="BM1938" s="115"/>
      <c r="BN1938" s="115"/>
      <c r="BO1938" s="115"/>
      <c r="BP1938" s="115"/>
      <c r="BQ1938" s="115"/>
      <c r="BR1938" s="115"/>
      <c r="BS1938" s="115"/>
      <c r="BT1938" s="115"/>
      <c r="BU1938" s="115"/>
      <c r="BV1938" s="115"/>
      <c r="BW1938" s="115"/>
      <c r="BX1938" s="115"/>
      <c r="BY1938" s="115"/>
      <c r="BZ1938" s="26"/>
      <c r="CA1938" s="15"/>
    </row>
    <row r="1939" spans="2:79" x14ac:dyDescent="0.4">
      <c r="D1939" s="115"/>
      <c r="E1939" s="115"/>
      <c r="F1939" s="115"/>
      <c r="G1939" s="115"/>
      <c r="H1939" s="115"/>
      <c r="I1939" s="115"/>
      <c r="J1939" s="115"/>
      <c r="K1939" s="115"/>
      <c r="L1939" s="115"/>
      <c r="M1939" s="115"/>
      <c r="N1939" s="115"/>
      <c r="O1939" s="115"/>
      <c r="P1939" s="115"/>
      <c r="Q1939" s="115"/>
      <c r="R1939" s="115"/>
      <c r="S1939" s="115"/>
      <c r="T1939" s="115"/>
      <c r="U1939" s="115"/>
      <c r="V1939" s="115"/>
      <c r="W1939" s="115"/>
      <c r="X1939" s="115"/>
      <c r="Y1939" s="115"/>
      <c r="Z1939" s="115"/>
      <c r="AA1939" s="115"/>
      <c r="AB1939" s="115"/>
      <c r="AC1939" s="115"/>
      <c r="AD1939" s="115"/>
      <c r="AE1939" s="115"/>
      <c r="AF1939" s="115"/>
      <c r="AG1939" s="115"/>
      <c r="AH1939" s="115"/>
      <c r="AI1939" s="115"/>
      <c r="AJ1939" s="115"/>
      <c r="AK1939" s="115"/>
      <c r="AL1939" s="115"/>
      <c r="AM1939" s="115"/>
      <c r="AN1939" s="115"/>
      <c r="AO1939" s="115"/>
      <c r="AP1939" s="115"/>
      <c r="AQ1939" s="115"/>
      <c r="AR1939" s="115"/>
      <c r="AS1939" s="115"/>
      <c r="AT1939" s="115"/>
      <c r="AU1939" s="115"/>
      <c r="AV1939" s="115"/>
      <c r="AW1939" s="115"/>
      <c r="AX1939" s="115"/>
      <c r="AY1939" s="115"/>
      <c r="AZ1939" s="115"/>
      <c r="BA1939" s="115"/>
      <c r="BB1939" s="115"/>
      <c r="BC1939" s="115"/>
      <c r="BD1939" s="115"/>
      <c r="BE1939" s="115"/>
      <c r="BF1939" s="115"/>
      <c r="BG1939" s="115"/>
      <c r="BH1939" s="115"/>
      <c r="BI1939" s="122"/>
      <c r="BJ1939" s="122"/>
      <c r="BK1939" s="122"/>
      <c r="BL1939" s="115"/>
      <c r="BM1939" s="115"/>
      <c r="BN1939" s="115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26"/>
      <c r="CA1939" s="15"/>
    </row>
    <row r="1940" spans="2:79" x14ac:dyDescent="0.4"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22"/>
      <c r="BJ1940" s="122"/>
      <c r="BK1940" s="122"/>
      <c r="BL1940" s="115"/>
      <c r="BM1940" s="115"/>
      <c r="BN1940" s="115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26"/>
      <c r="CA1940" s="15"/>
    </row>
    <row r="1941" spans="2:79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15"/>
      <c r="BI1941" s="122"/>
      <c r="BJ1941" s="122"/>
      <c r="BK1941" s="122"/>
      <c r="BL1941" s="115"/>
      <c r="BM1941" s="115"/>
      <c r="BN1941" s="115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115"/>
      <c r="BZ1941" s="26"/>
      <c r="CA1941" s="15"/>
    </row>
    <row r="1942" spans="2:79" x14ac:dyDescent="0.4">
      <c r="C1942" s="115"/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15"/>
      <c r="BI1942" s="122"/>
      <c r="BJ1942" s="122"/>
      <c r="BK1942" s="122"/>
      <c r="BL1942" s="115"/>
      <c r="BM1942" s="115"/>
      <c r="BN1942" s="115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26"/>
      <c r="CA1942" s="15"/>
    </row>
    <row r="1943" spans="2:79" ht="19.5" customHeight="1" x14ac:dyDescent="0.4">
      <c r="B1943" s="115"/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15"/>
      <c r="BI1943" s="122"/>
      <c r="BJ1943" s="122"/>
      <c r="BK1943" s="122"/>
      <c r="BL1943" s="115"/>
      <c r="BM1943" s="115"/>
      <c r="BN1943" s="115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26"/>
      <c r="CA1943" s="15"/>
    </row>
    <row r="1944" spans="2:79" ht="19.5" customHeight="1" x14ac:dyDescent="0.4">
      <c r="B1944" s="115"/>
      <c r="C1944" s="115"/>
      <c r="D1944" s="115"/>
      <c r="E1944" s="115"/>
      <c r="F1944" s="115"/>
      <c r="G1944" s="115"/>
      <c r="H1944" s="115"/>
      <c r="I1944" s="115"/>
      <c r="J1944" s="115"/>
      <c r="K1944" s="115"/>
      <c r="L1944" s="115"/>
      <c r="M1944" s="115"/>
      <c r="N1944" s="115"/>
      <c r="O1944" s="115"/>
      <c r="P1944" s="115"/>
      <c r="Q1944" s="115"/>
      <c r="R1944" s="115"/>
      <c r="S1944" s="115"/>
      <c r="T1944" s="115"/>
      <c r="U1944" s="115"/>
      <c r="V1944" s="115"/>
      <c r="W1944" s="115"/>
      <c r="X1944" s="115"/>
      <c r="Y1944" s="115"/>
      <c r="Z1944" s="115"/>
      <c r="AA1944" s="115"/>
      <c r="AB1944" s="115"/>
      <c r="AC1944" s="115"/>
      <c r="AD1944" s="115"/>
      <c r="AE1944" s="115"/>
      <c r="AF1944" s="115"/>
      <c r="AG1944" s="115"/>
      <c r="AH1944" s="115"/>
      <c r="AI1944" s="115"/>
      <c r="AJ1944" s="115"/>
      <c r="AK1944" s="115"/>
      <c r="AL1944" s="115"/>
      <c r="AM1944" s="115"/>
      <c r="AN1944" s="115"/>
      <c r="AO1944" s="115"/>
      <c r="AP1944" s="115"/>
      <c r="AQ1944" s="115"/>
      <c r="AR1944" s="115"/>
      <c r="AS1944" s="115"/>
      <c r="AT1944" s="115"/>
      <c r="AU1944" s="115"/>
      <c r="AV1944" s="115"/>
      <c r="AW1944" s="115"/>
      <c r="AX1944" s="115"/>
      <c r="AY1944" s="115"/>
      <c r="AZ1944" s="115"/>
      <c r="BA1944" s="115"/>
      <c r="BB1944" s="115"/>
      <c r="BC1944" s="115"/>
      <c r="BD1944" s="115"/>
      <c r="BE1944" s="115"/>
      <c r="BF1944" s="115"/>
      <c r="BG1944" s="115"/>
      <c r="BH1944" s="115"/>
      <c r="BI1944" s="122"/>
      <c r="BJ1944" s="122"/>
      <c r="BK1944" s="122"/>
      <c r="BL1944" s="115"/>
      <c r="BM1944" s="115"/>
      <c r="BN1944" s="115"/>
      <c r="BO1944" s="115"/>
      <c r="BP1944" s="115"/>
      <c r="BQ1944" s="115"/>
      <c r="BR1944" s="115"/>
      <c r="BS1944" s="115"/>
      <c r="BT1944" s="115"/>
      <c r="BU1944" s="115"/>
      <c r="BV1944" s="115"/>
      <c r="BW1944" s="115"/>
      <c r="BX1944" s="115"/>
      <c r="BY1944" s="115"/>
      <c r="BZ1944" s="26"/>
      <c r="CA1944" s="15"/>
    </row>
    <row r="1945" spans="2:79" x14ac:dyDescent="0.4">
      <c r="BZ1945" s="26"/>
      <c r="CA1945" s="15"/>
    </row>
    <row r="1946" spans="2:79" x14ac:dyDescent="0.4">
      <c r="D1946" s="115"/>
      <c r="E1946" s="115"/>
      <c r="F1946" s="115"/>
      <c r="G1946" s="115"/>
      <c r="H1946" s="115"/>
      <c r="I1946" s="115"/>
      <c r="J1946" s="115"/>
      <c r="K1946" s="115"/>
      <c r="L1946" s="115"/>
      <c r="M1946" s="115"/>
      <c r="N1946" s="115"/>
      <c r="O1946" s="115"/>
      <c r="P1946" s="115"/>
      <c r="Q1946" s="115"/>
      <c r="R1946" s="115"/>
      <c r="S1946" s="115"/>
      <c r="T1946" s="115"/>
      <c r="U1946" s="115"/>
      <c r="V1946" s="115"/>
      <c r="W1946" s="115"/>
      <c r="X1946" s="115"/>
      <c r="Y1946" s="115"/>
      <c r="Z1946" s="115"/>
      <c r="AA1946" s="115"/>
      <c r="AB1946" s="115"/>
      <c r="AC1946" s="115"/>
      <c r="AD1946" s="115"/>
      <c r="AE1946" s="115"/>
      <c r="AF1946" s="115"/>
      <c r="AG1946" s="115"/>
      <c r="AH1946" s="115"/>
      <c r="AI1946" s="115"/>
      <c r="AJ1946" s="115"/>
      <c r="AK1946" s="115"/>
      <c r="AL1946" s="115"/>
      <c r="AM1946" s="115"/>
      <c r="AN1946" s="115"/>
      <c r="AO1946" s="115"/>
      <c r="AP1946" s="115"/>
      <c r="AQ1946" s="115"/>
      <c r="AR1946" s="115"/>
      <c r="AS1946" s="115"/>
      <c r="AT1946" s="115"/>
      <c r="AU1946" s="115"/>
      <c r="AV1946" s="115"/>
      <c r="AW1946" s="115"/>
      <c r="AX1946" s="115"/>
      <c r="AY1946" s="115"/>
      <c r="AZ1946" s="115"/>
      <c r="BA1946" s="115"/>
      <c r="BB1946" s="115"/>
      <c r="BC1946" s="115"/>
      <c r="BD1946" s="115"/>
      <c r="BE1946" s="115"/>
      <c r="BF1946" s="115"/>
      <c r="BG1946" s="115"/>
      <c r="BH1946" s="115"/>
      <c r="BI1946" s="122"/>
      <c r="BJ1946" s="122"/>
      <c r="BK1946" s="122"/>
      <c r="BL1946" s="115"/>
      <c r="BM1946" s="115"/>
      <c r="BN1946" s="115"/>
      <c r="BO1946" s="115"/>
      <c r="BP1946" s="115"/>
      <c r="BQ1946" s="115"/>
      <c r="BR1946" s="115"/>
      <c r="BS1946" s="115"/>
      <c r="BT1946" s="115"/>
      <c r="BU1946" s="115"/>
      <c r="BV1946" s="115"/>
      <c r="BW1946" s="115"/>
      <c r="BX1946" s="115"/>
      <c r="BY1946" s="115"/>
      <c r="BZ1946" s="26"/>
      <c r="CA1946" s="15"/>
    </row>
    <row r="1947" spans="2:79" x14ac:dyDescent="0.4">
      <c r="C1947" s="115"/>
      <c r="D1947" s="115"/>
      <c r="E1947" s="115"/>
      <c r="F1947" s="115"/>
      <c r="G1947" s="115"/>
      <c r="H1947" s="115"/>
      <c r="I1947" s="115"/>
      <c r="J1947" s="115"/>
      <c r="K1947" s="115"/>
      <c r="L1947" s="115"/>
      <c r="M1947" s="115"/>
      <c r="N1947" s="115"/>
      <c r="O1947" s="115"/>
      <c r="P1947" s="115"/>
      <c r="Q1947" s="115"/>
      <c r="R1947" s="115"/>
      <c r="S1947" s="115"/>
      <c r="T1947" s="115"/>
      <c r="U1947" s="115"/>
      <c r="V1947" s="115"/>
      <c r="W1947" s="115"/>
      <c r="X1947" s="115"/>
      <c r="Y1947" s="115"/>
      <c r="Z1947" s="115"/>
      <c r="AA1947" s="115"/>
      <c r="AB1947" s="115"/>
      <c r="AC1947" s="115"/>
      <c r="AD1947" s="115"/>
      <c r="AE1947" s="115"/>
      <c r="AF1947" s="115"/>
      <c r="AG1947" s="115"/>
      <c r="AH1947" s="115"/>
      <c r="AI1947" s="115"/>
      <c r="AJ1947" s="115"/>
      <c r="AK1947" s="115"/>
      <c r="AL1947" s="115"/>
      <c r="AM1947" s="115"/>
      <c r="AN1947" s="115"/>
      <c r="AO1947" s="115"/>
      <c r="AP1947" s="115"/>
      <c r="AQ1947" s="115"/>
      <c r="AR1947" s="115"/>
      <c r="AS1947" s="115"/>
      <c r="AT1947" s="115"/>
      <c r="AU1947" s="115"/>
      <c r="AV1947" s="115"/>
      <c r="AW1947" s="115"/>
      <c r="AX1947" s="115"/>
      <c r="AY1947" s="115"/>
      <c r="AZ1947" s="115"/>
      <c r="BA1947" s="115"/>
      <c r="BB1947" s="115"/>
      <c r="BC1947" s="115"/>
      <c r="BD1947" s="115"/>
      <c r="BE1947" s="115"/>
      <c r="BF1947" s="115"/>
      <c r="BG1947" s="115"/>
      <c r="BH1947" s="115"/>
      <c r="BI1947" s="122"/>
      <c r="BJ1947" s="122"/>
      <c r="BK1947" s="122"/>
      <c r="BL1947" s="115"/>
      <c r="BM1947" s="115"/>
      <c r="BN1947" s="115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26"/>
      <c r="CA1947" s="15"/>
    </row>
    <row r="1948" spans="2:79" x14ac:dyDescent="0.4">
      <c r="C1948" s="115"/>
      <c r="D1948" s="115"/>
      <c r="E1948" s="115"/>
      <c r="F1948" s="115"/>
      <c r="G1948" s="115"/>
      <c r="H1948" s="115"/>
      <c r="I1948" s="115"/>
      <c r="J1948" s="115"/>
      <c r="K1948" s="115"/>
      <c r="L1948" s="115"/>
      <c r="M1948" s="115"/>
      <c r="N1948" s="115"/>
      <c r="O1948" s="115"/>
      <c r="P1948" s="115"/>
      <c r="Q1948" s="115"/>
      <c r="R1948" s="115"/>
      <c r="S1948" s="115"/>
      <c r="T1948" s="115"/>
      <c r="U1948" s="115"/>
      <c r="V1948" s="115"/>
      <c r="W1948" s="115"/>
      <c r="X1948" s="115"/>
      <c r="Y1948" s="115"/>
      <c r="Z1948" s="115"/>
      <c r="AA1948" s="115"/>
      <c r="AB1948" s="115"/>
      <c r="AC1948" s="115"/>
      <c r="AD1948" s="115"/>
      <c r="AE1948" s="115"/>
      <c r="AF1948" s="115"/>
      <c r="AG1948" s="115"/>
      <c r="AH1948" s="115"/>
      <c r="AI1948" s="115"/>
      <c r="AJ1948" s="115"/>
      <c r="AK1948" s="115"/>
      <c r="AL1948" s="115"/>
      <c r="AM1948" s="115"/>
      <c r="AN1948" s="115"/>
      <c r="AO1948" s="115"/>
      <c r="AP1948" s="115"/>
      <c r="AQ1948" s="115"/>
      <c r="AR1948" s="115"/>
      <c r="AS1948" s="115"/>
      <c r="AT1948" s="115"/>
      <c r="AU1948" s="115"/>
      <c r="AV1948" s="115"/>
      <c r="AW1948" s="115"/>
      <c r="AX1948" s="115"/>
      <c r="AY1948" s="115"/>
      <c r="AZ1948" s="115"/>
      <c r="BA1948" s="115"/>
      <c r="BB1948" s="115"/>
      <c r="BC1948" s="115"/>
      <c r="BD1948" s="115"/>
      <c r="BE1948" s="115"/>
      <c r="BF1948" s="115"/>
      <c r="BG1948" s="115"/>
      <c r="BH1948" s="115"/>
      <c r="BI1948" s="122"/>
      <c r="BJ1948" s="122"/>
      <c r="BK1948" s="122"/>
      <c r="BL1948" s="115"/>
      <c r="BM1948" s="115"/>
      <c r="BN1948" s="115"/>
      <c r="BO1948" s="115"/>
      <c r="BP1948" s="115"/>
      <c r="BQ1948" s="115"/>
      <c r="BR1948" s="115"/>
      <c r="BS1948" s="115"/>
      <c r="BT1948" s="115"/>
      <c r="BU1948" s="115"/>
      <c r="BV1948" s="115"/>
      <c r="BW1948" s="115"/>
      <c r="BX1948" s="115"/>
      <c r="BY1948" s="115"/>
      <c r="BZ1948" s="17"/>
      <c r="CA1948" s="15"/>
    </row>
    <row r="1949" spans="2:79" x14ac:dyDescent="0.4">
      <c r="BZ1949" s="26"/>
      <c r="CA1949" s="15"/>
    </row>
    <row r="1950" spans="2:79" x14ac:dyDescent="0.4">
      <c r="BC1950" s="115"/>
      <c r="BD1950" s="115"/>
      <c r="BE1950" s="115"/>
      <c r="BF1950" s="115"/>
      <c r="BG1950" s="115"/>
      <c r="BH1950" s="115"/>
      <c r="BI1950" s="122"/>
      <c r="BJ1950" s="122"/>
      <c r="BK1950" s="122"/>
      <c r="BL1950" s="115"/>
      <c r="BM1950" s="115"/>
      <c r="BN1950" s="115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15"/>
      <c r="BZ1950" s="17"/>
      <c r="CA1950" s="15"/>
    </row>
    <row r="1951" spans="2:79" x14ac:dyDescent="0.4">
      <c r="C1951" s="115"/>
      <c r="D1951" s="115"/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22"/>
      <c r="BJ1951" s="122"/>
      <c r="BK1951" s="122"/>
      <c r="BL1951" s="115"/>
      <c r="BM1951" s="115"/>
      <c r="BN1951" s="115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26"/>
      <c r="CA1951" s="15"/>
    </row>
    <row r="1952" spans="2:79" x14ac:dyDescent="0.4">
      <c r="BZ1952" s="26"/>
      <c r="CA1952" s="15"/>
    </row>
    <row r="1953" spans="1:79" x14ac:dyDescent="0.4">
      <c r="BZ1953" s="26"/>
      <c r="CA1953" s="15"/>
    </row>
    <row r="1954" spans="1:79" x14ac:dyDescent="0.4">
      <c r="BB1954" s="115"/>
      <c r="BC1954" s="115"/>
      <c r="BD1954" s="115"/>
      <c r="BE1954" s="115"/>
      <c r="BF1954" s="115"/>
      <c r="BG1954" s="115"/>
      <c r="BH1954" s="115"/>
      <c r="BI1954" s="122"/>
      <c r="BJ1954" s="122"/>
      <c r="BK1954" s="122"/>
      <c r="BL1954" s="115"/>
      <c r="BM1954" s="115"/>
      <c r="BN1954" s="115"/>
      <c r="BO1954" s="115"/>
      <c r="BP1954" s="115"/>
      <c r="BQ1954" s="115"/>
      <c r="BR1954" s="115"/>
      <c r="BS1954" s="115"/>
      <c r="BT1954" s="115"/>
      <c r="BU1954" s="115"/>
      <c r="BV1954" s="115"/>
      <c r="BW1954" s="115"/>
      <c r="BX1954" s="115"/>
      <c r="BY1954" s="115"/>
      <c r="BZ1954" s="26"/>
      <c r="CA1954" s="15"/>
    </row>
    <row r="1955" spans="1:79" x14ac:dyDescent="0.4">
      <c r="BZ1955" s="26"/>
      <c r="CA1955" s="15"/>
    </row>
    <row r="1956" spans="1:79" x14ac:dyDescent="0.4">
      <c r="BC1956" s="115"/>
      <c r="BD1956" s="115"/>
      <c r="BE1956" s="115"/>
      <c r="BF1956" s="115"/>
      <c r="BG1956" s="115"/>
      <c r="BH1956" s="115"/>
      <c r="BI1956" s="122"/>
      <c r="BJ1956" s="122"/>
      <c r="BK1956" s="122"/>
      <c r="BL1956" s="115"/>
      <c r="BM1956" s="115"/>
      <c r="BN1956" s="115"/>
      <c r="BO1956" s="115"/>
      <c r="BP1956" s="115"/>
      <c r="BQ1956" s="115"/>
      <c r="BR1956" s="115"/>
      <c r="BS1956" s="115"/>
      <c r="BT1956" s="115"/>
      <c r="BU1956" s="115"/>
      <c r="BV1956" s="115"/>
      <c r="BW1956" s="115"/>
      <c r="BX1956" s="115"/>
      <c r="BY1956" s="115"/>
      <c r="BZ1956" s="17"/>
      <c r="CA1956" s="15"/>
    </row>
    <row r="1957" spans="1:79" x14ac:dyDescent="0.4">
      <c r="A1957" s="115"/>
      <c r="B1957" s="115"/>
      <c r="C1957" s="115"/>
      <c r="D1957" s="115"/>
      <c r="E1957" s="115"/>
      <c r="F1957" s="115"/>
      <c r="G1957" s="115"/>
      <c r="H1957" s="115"/>
      <c r="I1957" s="115"/>
      <c r="J1957" s="115"/>
      <c r="K1957" s="115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  <c r="AI1957" s="115"/>
      <c r="AJ1957" s="115"/>
      <c r="AK1957" s="115"/>
      <c r="AL1957" s="115"/>
      <c r="AM1957" s="115"/>
      <c r="AN1957" s="115"/>
      <c r="AO1957" s="115"/>
      <c r="AP1957" s="115"/>
      <c r="AQ1957" s="115"/>
      <c r="AR1957" s="115"/>
      <c r="AS1957" s="115"/>
      <c r="AT1957" s="115"/>
      <c r="AU1957" s="115"/>
      <c r="AV1957" s="115"/>
      <c r="AW1957" s="115"/>
      <c r="AX1957" s="115"/>
      <c r="AY1957" s="115"/>
      <c r="AZ1957" s="115"/>
      <c r="BA1957" s="115"/>
      <c r="BB1957" s="115"/>
      <c r="BC1957" s="115"/>
      <c r="BD1957" s="115"/>
      <c r="BE1957" s="115"/>
      <c r="BF1957" s="115"/>
      <c r="BG1957" s="115"/>
      <c r="BH1957" s="115"/>
      <c r="BI1957" s="122"/>
      <c r="BJ1957" s="122"/>
      <c r="BK1957" s="122"/>
      <c r="BL1957" s="115"/>
      <c r="BM1957" s="115"/>
      <c r="BN1957" s="115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26"/>
      <c r="CA1957" s="15"/>
    </row>
    <row r="1958" spans="1:79" x14ac:dyDescent="0.4">
      <c r="A1958" s="115"/>
      <c r="B1958" s="115"/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22"/>
      <c r="BJ1958" s="122"/>
      <c r="BK1958" s="122"/>
      <c r="BL1958" s="115"/>
      <c r="BM1958" s="115"/>
      <c r="BN1958" s="115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7"/>
      <c r="CA1958" s="13"/>
    </row>
    <row r="1959" spans="1:79" x14ac:dyDescent="0.4">
      <c r="A1959" s="115"/>
      <c r="B1959" s="115"/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22"/>
      <c r="BJ1959" s="122"/>
      <c r="BK1959" s="122"/>
      <c r="BL1959" s="115"/>
      <c r="BM1959" s="115"/>
      <c r="BN1959" s="115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7"/>
      <c r="CA1959" s="13"/>
    </row>
    <row r="1960" spans="1:79" x14ac:dyDescent="0.4">
      <c r="BZ1960" s="26"/>
      <c r="CA1960" s="13"/>
    </row>
    <row r="1961" spans="1:79" x14ac:dyDescent="0.4">
      <c r="C1961" s="115"/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22"/>
      <c r="BJ1961" s="122"/>
      <c r="BK1961" s="122"/>
      <c r="BL1961" s="115"/>
      <c r="BM1961" s="115"/>
      <c r="BN1961" s="115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26"/>
      <c r="CA1961" s="15"/>
    </row>
    <row r="1962" spans="1:79" x14ac:dyDescent="0.4">
      <c r="C1962" s="115"/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22"/>
      <c r="BJ1962" s="122"/>
      <c r="BK1962" s="122"/>
      <c r="BL1962" s="115"/>
      <c r="BM1962" s="115"/>
      <c r="BN1962" s="115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26"/>
      <c r="CA1962" s="15"/>
    </row>
    <row r="1963" spans="1:79" x14ac:dyDescent="0.4">
      <c r="BZ1963" s="26"/>
      <c r="CA1963" s="15"/>
    </row>
    <row r="1964" spans="1:79" x14ac:dyDescent="0.4">
      <c r="D1964" s="115"/>
      <c r="E1964" s="115"/>
      <c r="F1964" s="115"/>
      <c r="G1964" s="115"/>
      <c r="H1964" s="115"/>
      <c r="I1964" s="115"/>
      <c r="J1964" s="115"/>
      <c r="K1964" s="115"/>
      <c r="L1964" s="115"/>
      <c r="M1964" s="115"/>
      <c r="N1964" s="115"/>
      <c r="O1964" s="115"/>
      <c r="P1964" s="115"/>
      <c r="Q1964" s="115"/>
      <c r="R1964" s="115"/>
      <c r="S1964" s="115"/>
      <c r="T1964" s="115"/>
      <c r="U1964" s="115"/>
      <c r="V1964" s="115"/>
      <c r="W1964" s="115"/>
      <c r="X1964" s="115"/>
      <c r="Y1964" s="115"/>
      <c r="Z1964" s="115"/>
      <c r="AA1964" s="115"/>
      <c r="AB1964" s="115"/>
      <c r="AC1964" s="115"/>
      <c r="AD1964" s="115"/>
      <c r="AE1964" s="115"/>
      <c r="AF1964" s="115"/>
      <c r="AG1964" s="115"/>
      <c r="AH1964" s="115"/>
      <c r="AI1964" s="115"/>
      <c r="AJ1964" s="115"/>
      <c r="AK1964" s="115"/>
      <c r="AL1964" s="115"/>
      <c r="AM1964" s="115"/>
      <c r="AN1964" s="115"/>
      <c r="AO1964" s="115"/>
      <c r="AP1964" s="115"/>
      <c r="AQ1964" s="115"/>
      <c r="AR1964" s="115"/>
      <c r="AS1964" s="115"/>
      <c r="AT1964" s="115"/>
      <c r="AU1964" s="115"/>
      <c r="AV1964" s="115"/>
      <c r="AW1964" s="115"/>
      <c r="AX1964" s="115"/>
      <c r="AY1964" s="115"/>
      <c r="AZ1964" s="115"/>
      <c r="BA1964" s="115"/>
      <c r="BB1964" s="115"/>
      <c r="BC1964" s="115"/>
      <c r="BD1964" s="115"/>
      <c r="BE1964" s="115"/>
      <c r="BF1964" s="115"/>
      <c r="BG1964" s="115"/>
      <c r="BH1964" s="115"/>
      <c r="BI1964" s="122"/>
      <c r="BJ1964" s="122"/>
      <c r="BK1964" s="122"/>
      <c r="BL1964" s="115"/>
      <c r="BM1964" s="115"/>
      <c r="BN1964" s="115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26"/>
      <c r="CA1964" s="15"/>
    </row>
    <row r="1965" spans="1:79" x14ac:dyDescent="0.4"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22"/>
      <c r="BJ1965" s="122"/>
      <c r="BK1965" s="122"/>
      <c r="BL1965" s="115"/>
      <c r="BM1965" s="115"/>
      <c r="BN1965" s="115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26"/>
      <c r="CA1965" s="15"/>
    </row>
    <row r="1966" spans="1:79" x14ac:dyDescent="0.4"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15"/>
      <c r="BH1966" s="115"/>
      <c r="BI1966" s="122"/>
      <c r="BJ1966" s="122"/>
      <c r="BK1966" s="122"/>
      <c r="BL1966" s="115"/>
      <c r="BM1966" s="115"/>
      <c r="BN1966" s="115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115"/>
      <c r="BY1966" s="115"/>
      <c r="BZ1966" s="26"/>
      <c r="CA1966" s="15"/>
    </row>
    <row r="1967" spans="1:79" x14ac:dyDescent="0.4">
      <c r="C1967" s="115"/>
      <c r="D1967" s="115"/>
      <c r="E1967" s="115"/>
      <c r="F1967" s="115"/>
      <c r="G1967" s="115"/>
      <c r="H1967" s="115"/>
      <c r="I1967" s="115"/>
      <c r="J1967" s="115"/>
      <c r="K1967" s="115"/>
      <c r="L1967" s="115"/>
      <c r="M1967" s="115"/>
      <c r="N1967" s="115"/>
      <c r="O1967" s="115"/>
      <c r="P1967" s="115"/>
      <c r="Q1967" s="115"/>
      <c r="R1967" s="115"/>
      <c r="S1967" s="115"/>
      <c r="T1967" s="115"/>
      <c r="U1967" s="115"/>
      <c r="V1967" s="115"/>
      <c r="W1967" s="115"/>
      <c r="X1967" s="115"/>
      <c r="Y1967" s="115"/>
      <c r="Z1967" s="115"/>
      <c r="AA1967" s="115"/>
      <c r="AB1967" s="115"/>
      <c r="AC1967" s="115"/>
      <c r="AD1967" s="115"/>
      <c r="AE1967" s="115"/>
      <c r="AF1967" s="115"/>
      <c r="AG1967" s="115"/>
      <c r="AH1967" s="115"/>
      <c r="AI1967" s="115"/>
      <c r="AJ1967" s="115"/>
      <c r="AK1967" s="115"/>
      <c r="AL1967" s="115"/>
      <c r="AM1967" s="115"/>
      <c r="AN1967" s="115"/>
      <c r="AO1967" s="115"/>
      <c r="AP1967" s="115"/>
      <c r="AQ1967" s="115"/>
      <c r="AR1967" s="115"/>
      <c r="AS1967" s="115"/>
      <c r="AT1967" s="115"/>
      <c r="AU1967" s="115"/>
      <c r="AV1967" s="115"/>
      <c r="AW1967" s="115"/>
      <c r="AX1967" s="115"/>
      <c r="AY1967" s="115"/>
      <c r="AZ1967" s="115"/>
      <c r="BA1967" s="115"/>
      <c r="BB1967" s="115"/>
      <c r="BC1967" s="115"/>
      <c r="BD1967" s="115"/>
      <c r="BE1967" s="115"/>
      <c r="BF1967" s="115"/>
      <c r="BG1967" s="115"/>
      <c r="BH1967" s="115"/>
      <c r="BI1967" s="122"/>
      <c r="BJ1967" s="122"/>
      <c r="BK1967" s="122"/>
      <c r="BL1967" s="115"/>
      <c r="BM1967" s="115"/>
      <c r="BN1967" s="115"/>
      <c r="BO1967" s="115"/>
      <c r="BP1967" s="115"/>
      <c r="BQ1967" s="115"/>
      <c r="BR1967" s="115"/>
      <c r="BS1967" s="115"/>
      <c r="BT1967" s="115"/>
      <c r="BU1967" s="115"/>
      <c r="BV1967" s="115"/>
      <c r="BW1967" s="115"/>
      <c r="BX1967" s="115"/>
      <c r="BY1967" s="115"/>
      <c r="BZ1967" s="26"/>
      <c r="CA1967" s="15"/>
    </row>
    <row r="1968" spans="1:79" x14ac:dyDescent="0.4">
      <c r="BZ1968" s="26"/>
      <c r="CA1968" s="15"/>
    </row>
    <row r="1969" spans="1:79" x14ac:dyDescent="0.4">
      <c r="D1969" s="115"/>
      <c r="E1969" s="115"/>
      <c r="F1969" s="115"/>
      <c r="G1969" s="115"/>
      <c r="H1969" s="115"/>
      <c r="I1969" s="115"/>
      <c r="J1969" s="115"/>
      <c r="K1969" s="115"/>
      <c r="L1969" s="115"/>
      <c r="M1969" s="115"/>
      <c r="N1969" s="115"/>
      <c r="O1969" s="115"/>
      <c r="P1969" s="115"/>
      <c r="Q1969" s="115"/>
      <c r="R1969" s="115"/>
      <c r="S1969" s="115"/>
      <c r="T1969" s="115"/>
      <c r="U1969" s="115"/>
      <c r="V1969" s="115"/>
      <c r="W1969" s="115"/>
      <c r="X1969" s="115"/>
      <c r="Y1969" s="115"/>
      <c r="Z1969" s="115"/>
      <c r="AA1969" s="115"/>
      <c r="AB1969" s="115"/>
      <c r="AC1969" s="115"/>
      <c r="AD1969" s="115"/>
      <c r="AE1969" s="115"/>
      <c r="AF1969" s="115"/>
      <c r="AG1969" s="115"/>
      <c r="AH1969" s="115"/>
      <c r="AI1969" s="115"/>
      <c r="AJ1969" s="115"/>
      <c r="AK1969" s="115"/>
      <c r="AL1969" s="115"/>
      <c r="AM1969" s="115"/>
      <c r="AN1969" s="115"/>
      <c r="AO1969" s="115"/>
      <c r="AP1969" s="115"/>
      <c r="AQ1969" s="115"/>
      <c r="AR1969" s="115"/>
      <c r="AS1969" s="115"/>
      <c r="AT1969" s="115"/>
      <c r="AU1969" s="115"/>
      <c r="AV1969" s="115"/>
      <c r="AW1969" s="115"/>
      <c r="AX1969" s="115"/>
      <c r="AY1969" s="115"/>
      <c r="AZ1969" s="115"/>
      <c r="BA1969" s="115"/>
      <c r="BB1969" s="115"/>
      <c r="BC1969" s="115"/>
      <c r="BD1969" s="115"/>
      <c r="BE1969" s="115"/>
      <c r="BF1969" s="115"/>
      <c r="BG1969" s="115"/>
      <c r="BH1969" s="115"/>
      <c r="BI1969" s="122"/>
      <c r="BJ1969" s="122"/>
      <c r="BK1969" s="122"/>
      <c r="BL1969" s="115"/>
      <c r="BM1969" s="115"/>
      <c r="BN1969" s="115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26"/>
      <c r="CA1969" s="15"/>
    </row>
    <row r="1970" spans="1:79" x14ac:dyDescent="0.4">
      <c r="BZ1970" s="26"/>
      <c r="CA1970" s="15"/>
    </row>
    <row r="1971" spans="1:79" x14ac:dyDescent="0.4">
      <c r="D1971" s="115"/>
      <c r="E1971" s="115"/>
      <c r="F1971" s="115"/>
      <c r="G1971" s="115"/>
      <c r="H1971" s="115"/>
      <c r="I1971" s="115"/>
      <c r="J1971" s="115"/>
      <c r="K1971" s="115"/>
      <c r="L1971" s="115"/>
      <c r="M1971" s="115"/>
      <c r="N1971" s="115"/>
      <c r="O1971" s="115"/>
      <c r="P1971" s="115"/>
      <c r="Q1971" s="115"/>
      <c r="R1971" s="115"/>
      <c r="S1971" s="115"/>
      <c r="T1971" s="115"/>
      <c r="U1971" s="115"/>
      <c r="V1971" s="115"/>
      <c r="W1971" s="115"/>
      <c r="X1971" s="115"/>
      <c r="Y1971" s="115"/>
      <c r="Z1971" s="115"/>
      <c r="AA1971" s="115"/>
      <c r="AB1971" s="115"/>
      <c r="AC1971" s="115"/>
      <c r="AD1971" s="115"/>
      <c r="AE1971" s="115"/>
      <c r="AF1971" s="115"/>
      <c r="AG1971" s="115"/>
      <c r="AH1971" s="115"/>
      <c r="AI1971" s="115"/>
      <c r="AJ1971" s="115"/>
      <c r="AK1971" s="115"/>
      <c r="AL1971" s="115"/>
      <c r="AM1971" s="115"/>
      <c r="AN1971" s="115"/>
      <c r="AO1971" s="115"/>
      <c r="AP1971" s="115"/>
      <c r="AQ1971" s="115"/>
      <c r="AR1971" s="115"/>
      <c r="AS1971" s="115"/>
      <c r="AT1971" s="115"/>
      <c r="AU1971" s="115"/>
      <c r="AV1971" s="115"/>
      <c r="AW1971" s="115"/>
      <c r="AX1971" s="115"/>
      <c r="AY1971" s="115"/>
      <c r="AZ1971" s="115"/>
      <c r="BA1971" s="115"/>
      <c r="BB1971" s="115"/>
      <c r="BC1971" s="115"/>
      <c r="BD1971" s="115"/>
      <c r="BE1971" s="115"/>
      <c r="BF1971" s="115"/>
      <c r="BG1971" s="115"/>
      <c r="BH1971" s="115"/>
      <c r="BI1971" s="122"/>
      <c r="BJ1971" s="122"/>
      <c r="BK1971" s="122"/>
      <c r="BL1971" s="115"/>
      <c r="BM1971" s="115"/>
      <c r="BN1971" s="115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26"/>
      <c r="CA1971" s="15"/>
    </row>
    <row r="1972" spans="1:79" x14ac:dyDescent="0.4">
      <c r="D1972" s="115"/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22"/>
      <c r="BJ1972" s="122"/>
      <c r="BK1972" s="122"/>
      <c r="BL1972" s="115"/>
      <c r="BM1972" s="115"/>
      <c r="BN1972" s="115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26"/>
      <c r="CA1972" s="15"/>
    </row>
    <row r="1973" spans="1:79" x14ac:dyDescent="0.4">
      <c r="D1973" s="115"/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15"/>
      <c r="BI1973" s="122"/>
      <c r="BJ1973" s="122"/>
      <c r="BK1973" s="122"/>
      <c r="BL1973" s="115"/>
      <c r="BM1973" s="115"/>
      <c r="BN1973" s="115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115"/>
      <c r="BZ1973" s="17"/>
      <c r="CA1973" s="15"/>
    </row>
    <row r="1974" spans="1:79" x14ac:dyDescent="0.4">
      <c r="BZ1974" s="26"/>
      <c r="CA1974" s="15"/>
    </row>
    <row r="1975" spans="1:79" x14ac:dyDescent="0.4">
      <c r="BZ1975" s="26"/>
      <c r="CA1975" s="15"/>
    </row>
    <row r="1976" spans="1:79" x14ac:dyDescent="0.4">
      <c r="A1976" s="115"/>
      <c r="B1976" s="115"/>
      <c r="C1976" s="115"/>
      <c r="D1976" s="115"/>
      <c r="E1976" s="115"/>
      <c r="F1976" s="115"/>
      <c r="G1976" s="115"/>
      <c r="H1976" s="115"/>
      <c r="I1976" s="115"/>
      <c r="J1976" s="115"/>
      <c r="K1976" s="115"/>
      <c r="L1976" s="115"/>
      <c r="M1976" s="115"/>
      <c r="N1976" s="115"/>
      <c r="O1976" s="115"/>
      <c r="P1976" s="115"/>
      <c r="Q1976" s="115"/>
      <c r="R1976" s="115"/>
      <c r="S1976" s="115"/>
      <c r="T1976" s="115"/>
      <c r="U1976" s="115"/>
      <c r="V1976" s="115"/>
      <c r="W1976" s="115"/>
      <c r="X1976" s="115"/>
      <c r="Y1976" s="115"/>
      <c r="Z1976" s="115"/>
      <c r="AA1976" s="115"/>
      <c r="AB1976" s="115"/>
      <c r="AC1976" s="115"/>
      <c r="AD1976" s="115"/>
      <c r="AE1976" s="115"/>
      <c r="AF1976" s="115"/>
      <c r="AG1976" s="115"/>
      <c r="AH1976" s="115"/>
      <c r="AI1976" s="115"/>
      <c r="AJ1976" s="115"/>
      <c r="AK1976" s="115"/>
      <c r="AL1976" s="115"/>
      <c r="AM1976" s="115"/>
      <c r="AN1976" s="115"/>
      <c r="AO1976" s="115"/>
      <c r="AP1976" s="115"/>
      <c r="AQ1976" s="115"/>
      <c r="AR1976" s="115"/>
      <c r="AS1976" s="115"/>
      <c r="AT1976" s="115"/>
      <c r="AU1976" s="115"/>
      <c r="AV1976" s="115"/>
      <c r="AW1976" s="115"/>
      <c r="AX1976" s="115"/>
      <c r="AY1976" s="115"/>
      <c r="AZ1976" s="115"/>
      <c r="BA1976" s="115"/>
      <c r="BB1976" s="115"/>
      <c r="BC1976" s="115"/>
      <c r="BD1976" s="115"/>
      <c r="BE1976" s="115"/>
      <c r="BF1976" s="115"/>
      <c r="BG1976" s="115"/>
      <c r="BH1976" s="115"/>
      <c r="BI1976" s="122"/>
      <c r="BJ1976" s="122"/>
      <c r="BK1976" s="122"/>
      <c r="BL1976" s="115"/>
      <c r="BM1976" s="115"/>
      <c r="BN1976" s="115"/>
      <c r="BO1976" s="115"/>
      <c r="BP1976" s="115"/>
      <c r="BQ1976" s="115"/>
      <c r="BR1976" s="115"/>
      <c r="BS1976" s="115"/>
      <c r="BT1976" s="115"/>
      <c r="BU1976" s="115"/>
      <c r="BV1976" s="115"/>
      <c r="BW1976" s="115"/>
      <c r="BX1976" s="115"/>
      <c r="BY1976" s="115"/>
      <c r="BZ1976" s="26"/>
      <c r="CA1976" s="15"/>
    </row>
    <row r="1977" spans="1:79" x14ac:dyDescent="0.4">
      <c r="A1977" s="115"/>
      <c r="B1977" s="115"/>
      <c r="C1977" s="115"/>
      <c r="D1977" s="115"/>
      <c r="E1977" s="115"/>
      <c r="F1977" s="115"/>
      <c r="G1977" s="115"/>
      <c r="H1977" s="115"/>
      <c r="I1977" s="115"/>
      <c r="J1977" s="115"/>
      <c r="K1977" s="115"/>
      <c r="L1977" s="115"/>
      <c r="M1977" s="115"/>
      <c r="N1977" s="115"/>
      <c r="O1977" s="115"/>
      <c r="P1977" s="115"/>
      <c r="Q1977" s="115"/>
      <c r="R1977" s="115"/>
      <c r="S1977" s="115"/>
      <c r="T1977" s="115"/>
      <c r="U1977" s="115"/>
      <c r="V1977" s="115"/>
      <c r="W1977" s="115"/>
      <c r="X1977" s="115"/>
      <c r="Y1977" s="115"/>
      <c r="Z1977" s="115"/>
      <c r="AA1977" s="115"/>
      <c r="AB1977" s="115"/>
      <c r="AC1977" s="115"/>
      <c r="AD1977" s="115"/>
      <c r="AE1977" s="115"/>
      <c r="AF1977" s="115"/>
      <c r="AG1977" s="115"/>
      <c r="AH1977" s="115"/>
      <c r="AI1977" s="115"/>
      <c r="AJ1977" s="115"/>
      <c r="AK1977" s="115"/>
      <c r="AL1977" s="115"/>
      <c r="AM1977" s="115"/>
      <c r="AN1977" s="115"/>
      <c r="AO1977" s="115"/>
      <c r="AP1977" s="115"/>
      <c r="AQ1977" s="115"/>
      <c r="AR1977" s="115"/>
      <c r="AS1977" s="115"/>
      <c r="AT1977" s="115"/>
      <c r="AU1977" s="115"/>
      <c r="AV1977" s="115"/>
      <c r="AW1977" s="115"/>
      <c r="AX1977" s="115"/>
      <c r="AY1977" s="115"/>
      <c r="AZ1977" s="115"/>
      <c r="BA1977" s="115"/>
      <c r="BB1977" s="115"/>
      <c r="BC1977" s="115"/>
      <c r="BD1977" s="115"/>
      <c r="BE1977" s="115"/>
      <c r="BF1977" s="115"/>
      <c r="BG1977" s="115"/>
      <c r="BH1977" s="115"/>
      <c r="BI1977" s="122"/>
      <c r="BJ1977" s="122"/>
      <c r="BK1977" s="122"/>
      <c r="BL1977" s="115"/>
      <c r="BM1977" s="115"/>
      <c r="BN1977" s="115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7"/>
      <c r="CA1977" s="15"/>
    </row>
    <row r="1978" spans="1:79" x14ac:dyDescent="0.4">
      <c r="BZ1978" s="26"/>
      <c r="CA1978" s="15"/>
    </row>
    <row r="1979" spans="1:79" ht="17.25" customHeight="1" x14ac:dyDescent="0.4">
      <c r="B1979" s="115"/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22"/>
      <c r="BJ1979" s="122"/>
      <c r="BK1979" s="122"/>
      <c r="BL1979" s="115"/>
      <c r="BM1979" s="115"/>
      <c r="BN1979" s="115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26"/>
      <c r="CA1979" s="15"/>
    </row>
    <row r="1980" spans="1:79" x14ac:dyDescent="0.4">
      <c r="BZ1980" s="26"/>
      <c r="CA1980" s="15"/>
    </row>
    <row r="1981" spans="1:79" x14ac:dyDescent="0.4">
      <c r="BB1981" s="115"/>
      <c r="BC1981" s="115"/>
      <c r="BD1981" s="115"/>
      <c r="BE1981" s="115"/>
      <c r="BF1981" s="115"/>
      <c r="BG1981" s="115"/>
      <c r="BH1981" s="115"/>
      <c r="BI1981" s="122"/>
      <c r="BJ1981" s="122"/>
      <c r="BK1981" s="122"/>
      <c r="BL1981" s="115"/>
      <c r="BM1981" s="115"/>
      <c r="BN1981" s="115"/>
      <c r="BO1981" s="115"/>
      <c r="BP1981" s="115"/>
      <c r="BQ1981" s="115"/>
      <c r="BR1981" s="115"/>
      <c r="BS1981" s="115"/>
      <c r="BT1981" s="115"/>
      <c r="BU1981" s="115"/>
      <c r="BV1981" s="115"/>
      <c r="BW1981" s="115"/>
      <c r="BX1981" s="115"/>
      <c r="BY1981" s="115"/>
      <c r="BZ1981" s="17"/>
      <c r="CA1981" s="15"/>
    </row>
    <row r="1982" spans="1:79" ht="16.5" customHeight="1" x14ac:dyDescent="0.4">
      <c r="A1982" s="115"/>
      <c r="B1982" s="115"/>
      <c r="C1982" s="115"/>
      <c r="D1982" s="115"/>
      <c r="E1982" s="115"/>
      <c r="F1982" s="115"/>
      <c r="G1982" s="115"/>
      <c r="H1982" s="115"/>
      <c r="I1982" s="115"/>
      <c r="J1982" s="115"/>
      <c r="K1982" s="115"/>
      <c r="L1982" s="115"/>
      <c r="M1982" s="115"/>
      <c r="N1982" s="115"/>
      <c r="O1982" s="115"/>
      <c r="P1982" s="115"/>
      <c r="Q1982" s="115"/>
      <c r="R1982" s="115"/>
      <c r="S1982" s="115"/>
      <c r="T1982" s="115"/>
      <c r="U1982" s="115"/>
      <c r="V1982" s="115"/>
      <c r="W1982" s="115"/>
      <c r="X1982" s="115"/>
      <c r="Y1982" s="115"/>
      <c r="Z1982" s="115"/>
      <c r="AA1982" s="115"/>
      <c r="AB1982" s="115"/>
      <c r="AC1982" s="115"/>
      <c r="AD1982" s="115"/>
      <c r="AE1982" s="115"/>
      <c r="AF1982" s="115"/>
      <c r="AG1982" s="115"/>
      <c r="AH1982" s="115"/>
      <c r="AI1982" s="115"/>
      <c r="AJ1982" s="115"/>
      <c r="AK1982" s="115"/>
      <c r="AL1982" s="115"/>
      <c r="AM1982" s="115"/>
      <c r="AN1982" s="115"/>
      <c r="AO1982" s="115"/>
      <c r="AP1982" s="115"/>
      <c r="AQ1982" s="115"/>
      <c r="AR1982" s="115"/>
      <c r="AS1982" s="115"/>
      <c r="AT1982" s="115"/>
      <c r="AU1982" s="115"/>
      <c r="AV1982" s="115"/>
      <c r="AW1982" s="115"/>
      <c r="AX1982" s="115"/>
      <c r="AY1982" s="115"/>
      <c r="AZ1982" s="115"/>
      <c r="BA1982" s="115"/>
      <c r="BB1982" s="115"/>
      <c r="BC1982" s="115"/>
      <c r="BD1982" s="115"/>
      <c r="BE1982" s="115"/>
      <c r="BF1982" s="115"/>
      <c r="BG1982" s="115"/>
      <c r="BH1982" s="115"/>
      <c r="BI1982" s="122"/>
      <c r="BJ1982" s="122"/>
      <c r="BK1982" s="122"/>
      <c r="BL1982" s="115"/>
      <c r="BM1982" s="115"/>
      <c r="BN1982" s="115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26"/>
      <c r="CA1982" s="15"/>
    </row>
    <row r="1983" spans="1:79" ht="22.5" customHeight="1" x14ac:dyDescent="0.4">
      <c r="A1983" s="115"/>
      <c r="B1983" s="115"/>
      <c r="C1983" s="115"/>
      <c r="D1983" s="115"/>
      <c r="E1983" s="115"/>
      <c r="F1983" s="115"/>
      <c r="G1983" s="115"/>
      <c r="H1983" s="115"/>
      <c r="I1983" s="115"/>
      <c r="J1983" s="115"/>
      <c r="K1983" s="115"/>
      <c r="L1983" s="115"/>
      <c r="M1983" s="115"/>
      <c r="N1983" s="115"/>
      <c r="O1983" s="115"/>
      <c r="P1983" s="115"/>
      <c r="Q1983" s="115"/>
      <c r="R1983" s="115"/>
      <c r="S1983" s="115"/>
      <c r="T1983" s="115"/>
      <c r="U1983" s="115"/>
      <c r="V1983" s="115"/>
      <c r="W1983" s="115"/>
      <c r="X1983" s="115"/>
      <c r="Y1983" s="115"/>
      <c r="Z1983" s="115"/>
      <c r="AA1983" s="115"/>
      <c r="AB1983" s="115"/>
      <c r="AC1983" s="115"/>
      <c r="AD1983" s="115"/>
      <c r="AE1983" s="115"/>
      <c r="AF1983" s="115"/>
      <c r="AG1983" s="115"/>
      <c r="AH1983" s="115"/>
      <c r="AI1983" s="115"/>
      <c r="AJ1983" s="115"/>
      <c r="AK1983" s="115"/>
      <c r="AL1983" s="115"/>
      <c r="AM1983" s="115"/>
      <c r="AN1983" s="115"/>
      <c r="AO1983" s="115"/>
      <c r="AP1983" s="115"/>
      <c r="AQ1983" s="115"/>
      <c r="AR1983" s="115"/>
      <c r="AS1983" s="115"/>
      <c r="AT1983" s="115"/>
      <c r="AU1983" s="115"/>
      <c r="AV1983" s="115"/>
      <c r="AW1983" s="115"/>
      <c r="AX1983" s="115"/>
      <c r="AY1983" s="115"/>
      <c r="AZ1983" s="115"/>
      <c r="BA1983" s="115"/>
      <c r="BB1983" s="115"/>
      <c r="BC1983" s="115"/>
      <c r="BD1983" s="115"/>
      <c r="BE1983" s="115"/>
      <c r="BF1983" s="115"/>
      <c r="BG1983" s="115"/>
      <c r="BH1983" s="115"/>
      <c r="BI1983" s="122"/>
      <c r="BJ1983" s="122"/>
      <c r="BK1983" s="122"/>
      <c r="BL1983" s="115"/>
      <c r="BM1983" s="115"/>
      <c r="BN1983" s="115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26"/>
      <c r="CA1983" s="15"/>
    </row>
    <row r="1984" spans="1:79" x14ac:dyDescent="0.4">
      <c r="BZ1984" s="26"/>
      <c r="CA1984" s="15"/>
    </row>
    <row r="1985" spans="1:79" x14ac:dyDescent="0.4">
      <c r="BZ1985" s="26"/>
      <c r="CA1985" s="105"/>
    </row>
    <row r="1986" spans="1:79" x14ac:dyDescent="0.4">
      <c r="A1986" s="115"/>
      <c r="B1986" s="115"/>
      <c r="C1986" s="115"/>
      <c r="D1986" s="115"/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22"/>
      <c r="BJ1986" s="122"/>
      <c r="BK1986" s="122"/>
      <c r="BL1986" s="115"/>
      <c r="BM1986" s="115"/>
      <c r="BN1986" s="115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26"/>
      <c r="CA1986" s="15"/>
    </row>
    <row r="1987" spans="1:79" x14ac:dyDescent="0.4">
      <c r="BZ1987" s="26"/>
      <c r="CA1987" s="15"/>
    </row>
    <row r="1988" spans="1:79" x14ac:dyDescent="0.4">
      <c r="BZ1988" s="26"/>
      <c r="CA1988" s="15"/>
    </row>
    <row r="1989" spans="1:79" x14ac:dyDescent="0.4">
      <c r="BZ1989" s="26"/>
      <c r="CA1989" s="15"/>
    </row>
    <row r="1990" spans="1:79" x14ac:dyDescent="0.4">
      <c r="BZ1990" s="26"/>
      <c r="CA1990" s="15"/>
    </row>
    <row r="1991" spans="1:79" x14ac:dyDescent="0.4">
      <c r="A1991" s="115"/>
      <c r="B1991" s="115"/>
      <c r="C1991" s="115"/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22"/>
      <c r="BJ1991" s="122"/>
      <c r="BK1991" s="122"/>
      <c r="BL1991" s="115"/>
      <c r="BM1991" s="115"/>
      <c r="BN1991" s="115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26"/>
      <c r="CA1991" s="15"/>
    </row>
    <row r="1992" spans="1:79" x14ac:dyDescent="0.4">
      <c r="BZ1992" s="26"/>
      <c r="CA1992" s="15"/>
    </row>
    <row r="1993" spans="1:79" x14ac:dyDescent="0.4">
      <c r="BZ1993" s="26"/>
      <c r="CA1993" s="15"/>
    </row>
    <row r="1994" spans="1:79" x14ac:dyDescent="0.4">
      <c r="BZ1994" s="26"/>
      <c r="CA1994" s="15"/>
    </row>
    <row r="1995" spans="1:79" x14ac:dyDescent="0.4">
      <c r="BZ1995" s="26"/>
      <c r="CA1995" s="15"/>
    </row>
    <row r="1996" spans="1:79" ht="18.75" customHeight="1" x14ac:dyDescent="0.4">
      <c r="B1996" s="115"/>
      <c r="C1996" s="115"/>
      <c r="D1996" s="115"/>
      <c r="E1996" s="115"/>
      <c r="F1996" s="115"/>
      <c r="G1996" s="115"/>
      <c r="H1996" s="115"/>
      <c r="I1996" s="115"/>
      <c r="J1996" s="115"/>
      <c r="K1996" s="115"/>
      <c r="L1996" s="115"/>
      <c r="M1996" s="115"/>
      <c r="N1996" s="115"/>
      <c r="O1996" s="115"/>
      <c r="P1996" s="115"/>
      <c r="Q1996" s="115"/>
      <c r="R1996" s="115"/>
      <c r="S1996" s="115"/>
      <c r="T1996" s="115"/>
      <c r="U1996" s="115"/>
      <c r="V1996" s="115"/>
      <c r="W1996" s="115"/>
      <c r="X1996" s="115"/>
      <c r="Y1996" s="115"/>
      <c r="Z1996" s="115"/>
      <c r="AA1996" s="115"/>
      <c r="AB1996" s="115"/>
      <c r="AC1996" s="115"/>
      <c r="AD1996" s="115"/>
      <c r="AE1996" s="115"/>
      <c r="AF1996" s="115"/>
      <c r="AG1996" s="115"/>
      <c r="AH1996" s="115"/>
      <c r="AI1996" s="115"/>
      <c r="AJ1996" s="115"/>
      <c r="AK1996" s="115"/>
      <c r="AL1996" s="115"/>
      <c r="AM1996" s="115"/>
      <c r="AN1996" s="115"/>
      <c r="AO1996" s="115"/>
      <c r="AP1996" s="115"/>
      <c r="AQ1996" s="115"/>
      <c r="AR1996" s="115"/>
      <c r="AS1996" s="115"/>
      <c r="AT1996" s="115"/>
      <c r="AU1996" s="115"/>
      <c r="AV1996" s="115"/>
      <c r="AW1996" s="115"/>
      <c r="AX1996" s="115"/>
      <c r="AY1996" s="115"/>
      <c r="AZ1996" s="115"/>
      <c r="BA1996" s="115"/>
      <c r="BB1996" s="115"/>
      <c r="BC1996" s="115"/>
      <c r="BD1996" s="115"/>
      <c r="BE1996" s="115"/>
      <c r="BF1996" s="115"/>
      <c r="BG1996" s="115"/>
      <c r="BH1996" s="115"/>
      <c r="BI1996" s="122"/>
      <c r="BJ1996" s="122"/>
      <c r="BK1996" s="122"/>
      <c r="BL1996" s="115"/>
      <c r="BM1996" s="115"/>
      <c r="BN1996" s="115"/>
      <c r="BO1996" s="115"/>
      <c r="BP1996" s="115"/>
      <c r="BQ1996" s="115"/>
      <c r="BR1996" s="115"/>
      <c r="BS1996" s="115"/>
      <c r="BT1996" s="115"/>
      <c r="BU1996" s="115"/>
      <c r="BV1996" s="115"/>
      <c r="BW1996" s="115"/>
      <c r="BX1996" s="115"/>
      <c r="BY1996" s="115"/>
      <c r="BZ1996" s="26"/>
      <c r="CA1996" s="15"/>
    </row>
    <row r="1997" spans="1:79" x14ac:dyDescent="0.4">
      <c r="BZ1997" s="26"/>
      <c r="CA1997" s="15"/>
    </row>
    <row r="1998" spans="1:79" x14ac:dyDescent="0.4">
      <c r="BZ1998" s="26"/>
      <c r="CA1998" s="15"/>
    </row>
    <row r="1999" spans="1:79" x14ac:dyDescent="0.4">
      <c r="B1999" s="115"/>
      <c r="C1999" s="115"/>
      <c r="D1999" s="115"/>
      <c r="E1999" s="115"/>
      <c r="F1999" s="115"/>
      <c r="G1999" s="115"/>
      <c r="H1999" s="115"/>
      <c r="I1999" s="115"/>
      <c r="J1999" s="115"/>
      <c r="K1999" s="115"/>
      <c r="L1999" s="115"/>
      <c r="M1999" s="115"/>
      <c r="N1999" s="115"/>
      <c r="O1999" s="115"/>
      <c r="P1999" s="115"/>
      <c r="Q1999" s="115"/>
      <c r="R1999" s="115"/>
      <c r="S1999" s="115"/>
      <c r="T1999" s="115"/>
      <c r="U1999" s="115"/>
      <c r="V1999" s="115"/>
      <c r="W1999" s="115"/>
      <c r="X1999" s="115"/>
      <c r="Y1999" s="115"/>
      <c r="Z1999" s="115"/>
      <c r="AA1999" s="115"/>
      <c r="AB1999" s="115"/>
      <c r="AC1999" s="115"/>
      <c r="AD1999" s="115"/>
      <c r="AE1999" s="115"/>
      <c r="AF1999" s="115"/>
      <c r="AG1999" s="115"/>
      <c r="AH1999" s="115"/>
      <c r="AI1999" s="115"/>
      <c r="AJ1999" s="115"/>
      <c r="AK1999" s="115"/>
      <c r="AL1999" s="115"/>
      <c r="AM1999" s="115"/>
      <c r="AN1999" s="115"/>
      <c r="AO1999" s="115"/>
      <c r="AP1999" s="115"/>
      <c r="AQ1999" s="115"/>
      <c r="AR1999" s="115"/>
      <c r="AS1999" s="115"/>
      <c r="AT1999" s="115"/>
      <c r="AU1999" s="115"/>
      <c r="AV1999" s="115"/>
      <c r="AW1999" s="115"/>
      <c r="AX1999" s="115"/>
      <c r="AY1999" s="115"/>
      <c r="AZ1999" s="115"/>
      <c r="BA1999" s="115"/>
      <c r="BB1999" s="115"/>
      <c r="BC1999" s="115"/>
      <c r="BD1999" s="115"/>
      <c r="BE1999" s="115"/>
      <c r="BF1999" s="115"/>
      <c r="BG1999" s="115"/>
      <c r="BH1999" s="115"/>
      <c r="BI1999" s="122"/>
      <c r="BJ1999" s="122"/>
      <c r="BK1999" s="122"/>
      <c r="BL1999" s="115"/>
      <c r="BM1999" s="115"/>
      <c r="BN1999" s="115"/>
      <c r="BO1999" s="115"/>
      <c r="BP1999" s="115"/>
      <c r="BQ1999" s="115"/>
      <c r="BR1999" s="115"/>
      <c r="BS1999" s="115"/>
      <c r="BT1999" s="115"/>
      <c r="BU1999" s="115"/>
      <c r="BV1999" s="115"/>
      <c r="BW1999" s="115"/>
      <c r="BX1999" s="115"/>
      <c r="BY1999" s="115"/>
      <c r="BZ1999" s="26"/>
      <c r="CA1999" s="15"/>
    </row>
    <row r="2000" spans="1:79" x14ac:dyDescent="0.4">
      <c r="A2000" s="115"/>
      <c r="B2000" s="115"/>
      <c r="C2000" s="115"/>
      <c r="D2000" s="115"/>
      <c r="E2000" s="115"/>
      <c r="F2000" s="115"/>
      <c r="G2000" s="115"/>
      <c r="H2000" s="115"/>
      <c r="I2000" s="115"/>
      <c r="J2000" s="115"/>
      <c r="K2000" s="115"/>
      <c r="L2000" s="115"/>
      <c r="M2000" s="115"/>
      <c r="N2000" s="115"/>
      <c r="O2000" s="115"/>
      <c r="P2000" s="115"/>
      <c r="Q2000" s="115"/>
      <c r="R2000" s="115"/>
      <c r="S2000" s="115"/>
      <c r="T2000" s="115"/>
      <c r="U2000" s="115"/>
      <c r="V2000" s="115"/>
      <c r="W2000" s="115"/>
      <c r="X2000" s="115"/>
      <c r="Y2000" s="115"/>
      <c r="Z2000" s="115"/>
      <c r="AA2000" s="115"/>
      <c r="AB2000" s="115"/>
      <c r="AC2000" s="115"/>
      <c r="AD2000" s="115"/>
      <c r="AE2000" s="115"/>
      <c r="AF2000" s="115"/>
      <c r="AG2000" s="115"/>
      <c r="AH2000" s="115"/>
      <c r="AI2000" s="115"/>
      <c r="AJ2000" s="115"/>
      <c r="AK2000" s="115"/>
      <c r="AL2000" s="115"/>
      <c r="AM2000" s="115"/>
      <c r="AN2000" s="115"/>
      <c r="AO2000" s="115"/>
      <c r="AP2000" s="115"/>
      <c r="AQ2000" s="115"/>
      <c r="AR2000" s="115"/>
      <c r="AS2000" s="115"/>
      <c r="AT2000" s="115"/>
      <c r="AU2000" s="115"/>
      <c r="AV2000" s="115"/>
      <c r="AW2000" s="115"/>
      <c r="AX2000" s="115"/>
      <c r="AY2000" s="115"/>
      <c r="AZ2000" s="115"/>
      <c r="BA2000" s="115"/>
      <c r="BB2000" s="115"/>
      <c r="BC2000" s="115"/>
      <c r="BD2000" s="115"/>
      <c r="BE2000" s="115"/>
      <c r="BF2000" s="115"/>
      <c r="BG2000" s="115"/>
      <c r="BH2000" s="115"/>
      <c r="BI2000" s="122"/>
      <c r="BJ2000" s="122"/>
      <c r="BK2000" s="122"/>
      <c r="BL2000" s="115"/>
      <c r="BM2000" s="115"/>
      <c r="BN2000" s="115"/>
      <c r="BO2000" s="115"/>
      <c r="BP2000" s="115"/>
      <c r="BQ2000" s="115"/>
      <c r="BR2000" s="115"/>
      <c r="BS2000" s="115"/>
      <c r="BT2000" s="115"/>
      <c r="BU2000" s="115"/>
      <c r="BV2000" s="115"/>
      <c r="BW2000" s="115"/>
      <c r="BX2000" s="115"/>
      <c r="BY2000" s="115"/>
      <c r="BZ2000" s="26"/>
      <c r="CA2000" s="15"/>
    </row>
    <row r="2001" spans="1:79" x14ac:dyDescent="0.4">
      <c r="BZ2001" s="26"/>
      <c r="CA2001" s="15"/>
    </row>
    <row r="2002" spans="1:79" x14ac:dyDescent="0.4">
      <c r="BB2002" s="115"/>
      <c r="BC2002" s="115"/>
      <c r="BD2002" s="115"/>
      <c r="BE2002" s="115"/>
      <c r="BF2002" s="115"/>
      <c r="BG2002" s="115"/>
      <c r="BH2002" s="115"/>
      <c r="BI2002" s="122"/>
      <c r="BJ2002" s="122"/>
      <c r="BK2002" s="122"/>
      <c r="BL2002" s="115"/>
      <c r="BM2002" s="115"/>
      <c r="BN2002" s="115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7"/>
      <c r="CA2002" s="15"/>
    </row>
    <row r="2003" spans="1:79" x14ac:dyDescent="0.4">
      <c r="A2003" s="115"/>
      <c r="B2003" s="115"/>
      <c r="C2003" s="115"/>
      <c r="D2003" s="115"/>
      <c r="E2003" s="115"/>
      <c r="F2003" s="115"/>
      <c r="G2003" s="115"/>
      <c r="H2003" s="115"/>
      <c r="I2003" s="115"/>
      <c r="J2003" s="115"/>
      <c r="K2003" s="115"/>
      <c r="L2003" s="115"/>
      <c r="M2003" s="115"/>
      <c r="N2003" s="115"/>
      <c r="O2003" s="115"/>
      <c r="P2003" s="115"/>
      <c r="Q2003" s="115"/>
      <c r="R2003" s="115"/>
      <c r="S2003" s="115"/>
      <c r="T2003" s="115"/>
      <c r="U2003" s="115"/>
      <c r="V2003" s="115"/>
      <c r="W2003" s="115"/>
      <c r="X2003" s="115"/>
      <c r="Y2003" s="115"/>
      <c r="Z2003" s="115"/>
      <c r="AA2003" s="115"/>
      <c r="AB2003" s="115"/>
      <c r="AC2003" s="115"/>
      <c r="AD2003" s="115"/>
      <c r="AE2003" s="115"/>
      <c r="AF2003" s="115"/>
      <c r="AG2003" s="115"/>
      <c r="AH2003" s="115"/>
      <c r="AI2003" s="115"/>
      <c r="AJ2003" s="115"/>
      <c r="AK2003" s="115"/>
      <c r="AL2003" s="115"/>
      <c r="AM2003" s="115"/>
      <c r="AN2003" s="115"/>
      <c r="AO2003" s="115"/>
      <c r="AP2003" s="115"/>
      <c r="AQ2003" s="115"/>
      <c r="AR2003" s="115"/>
      <c r="AS2003" s="115"/>
      <c r="AT2003" s="115"/>
      <c r="AU2003" s="115"/>
      <c r="AV2003" s="115"/>
      <c r="AW2003" s="115"/>
      <c r="AX2003" s="115"/>
      <c r="AY2003" s="115"/>
      <c r="AZ2003" s="115"/>
      <c r="BA2003" s="115"/>
      <c r="BB2003" s="115"/>
      <c r="BC2003" s="115"/>
      <c r="BD2003" s="115"/>
      <c r="BE2003" s="115"/>
      <c r="BF2003" s="115"/>
      <c r="BG2003" s="115"/>
      <c r="BH2003" s="115"/>
      <c r="BI2003" s="122"/>
      <c r="BJ2003" s="122"/>
      <c r="BK2003" s="122"/>
      <c r="BL2003" s="115"/>
      <c r="BM2003" s="115"/>
      <c r="BN2003" s="115"/>
      <c r="BO2003" s="115"/>
      <c r="BP2003" s="115"/>
      <c r="BQ2003" s="115"/>
      <c r="BR2003" s="115"/>
      <c r="BS2003" s="115"/>
      <c r="BT2003" s="115"/>
      <c r="BU2003" s="115"/>
      <c r="BV2003" s="115"/>
      <c r="BW2003" s="115"/>
      <c r="BX2003" s="115"/>
      <c r="BY2003" s="115"/>
      <c r="BZ2003" s="26"/>
      <c r="CA2003" s="15"/>
    </row>
    <row r="2004" spans="1:79" x14ac:dyDescent="0.4">
      <c r="BZ2004" s="26"/>
      <c r="CA2004" s="15"/>
    </row>
    <row r="2005" spans="1:79" x14ac:dyDescent="0.4">
      <c r="BB2005" s="115"/>
      <c r="BC2005" s="115"/>
      <c r="BD2005" s="115"/>
      <c r="BE2005" s="115"/>
      <c r="BF2005" s="115"/>
      <c r="BG2005" s="115"/>
      <c r="BH2005" s="115"/>
      <c r="BI2005" s="122"/>
      <c r="BJ2005" s="122"/>
      <c r="BK2005" s="122"/>
      <c r="BL2005" s="115"/>
      <c r="BM2005" s="115"/>
      <c r="BN2005" s="115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7"/>
      <c r="CA2005" s="15"/>
    </row>
    <row r="2006" spans="1:79" x14ac:dyDescent="0.4">
      <c r="BZ2006" s="26"/>
      <c r="CA2006" s="15"/>
    </row>
    <row r="2007" spans="1:79" x14ac:dyDescent="0.4">
      <c r="B2007" s="115"/>
      <c r="C2007" s="115"/>
      <c r="D2007" s="115"/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22"/>
      <c r="BJ2007" s="122"/>
      <c r="BK2007" s="122"/>
      <c r="BL2007" s="115"/>
      <c r="BM2007" s="115"/>
      <c r="BN2007" s="115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26"/>
      <c r="CA2007" s="15"/>
    </row>
    <row r="2008" spans="1:79" x14ac:dyDescent="0.4">
      <c r="A2008" s="115"/>
      <c r="B2008" s="115"/>
      <c r="C2008" s="115"/>
      <c r="D2008" s="115"/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22"/>
      <c r="BJ2008" s="122"/>
      <c r="BK2008" s="122"/>
      <c r="BL2008" s="115"/>
      <c r="BM2008" s="115"/>
      <c r="BN2008" s="115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26"/>
      <c r="CA2008" s="15"/>
    </row>
    <row r="2009" spans="1:79" x14ac:dyDescent="0.4">
      <c r="A2009" s="115"/>
      <c r="B2009" s="115"/>
      <c r="C2009" s="115"/>
      <c r="D2009" s="115"/>
      <c r="E2009" s="115"/>
      <c r="F2009" s="115"/>
      <c r="G2009" s="115"/>
      <c r="H2009" s="115"/>
      <c r="I2009" s="115"/>
      <c r="J2009" s="115"/>
      <c r="K2009" s="115"/>
      <c r="L2009" s="115"/>
      <c r="M2009" s="115"/>
      <c r="N2009" s="115"/>
      <c r="O2009" s="115"/>
      <c r="P2009" s="115"/>
      <c r="Q2009" s="115"/>
      <c r="R2009" s="115"/>
      <c r="S2009" s="115"/>
      <c r="T2009" s="115"/>
      <c r="U2009" s="115"/>
      <c r="V2009" s="115"/>
      <c r="W2009" s="115"/>
      <c r="X2009" s="115"/>
      <c r="Y2009" s="115"/>
      <c r="Z2009" s="115"/>
      <c r="AA2009" s="115"/>
      <c r="AB2009" s="115"/>
      <c r="AC2009" s="115"/>
      <c r="AD2009" s="115"/>
      <c r="AE2009" s="115"/>
      <c r="AF2009" s="115"/>
      <c r="AG2009" s="115"/>
      <c r="AH2009" s="115"/>
      <c r="AI2009" s="115"/>
      <c r="AJ2009" s="115"/>
      <c r="AK2009" s="115"/>
      <c r="AL2009" s="115"/>
      <c r="AM2009" s="115"/>
      <c r="AN2009" s="115"/>
      <c r="AO2009" s="115"/>
      <c r="AP2009" s="115"/>
      <c r="AQ2009" s="115"/>
      <c r="AR2009" s="115"/>
      <c r="AS2009" s="115"/>
      <c r="AT2009" s="115"/>
      <c r="AU2009" s="115"/>
      <c r="AV2009" s="115"/>
      <c r="AW2009" s="115"/>
      <c r="AX2009" s="115"/>
      <c r="AY2009" s="115"/>
      <c r="AZ2009" s="115"/>
      <c r="BA2009" s="115"/>
      <c r="BB2009" s="115"/>
      <c r="BC2009" s="115"/>
      <c r="BD2009" s="115"/>
      <c r="BE2009" s="115"/>
      <c r="BF2009" s="115"/>
      <c r="BG2009" s="115"/>
      <c r="BH2009" s="115"/>
      <c r="BI2009" s="122"/>
      <c r="BJ2009" s="122"/>
      <c r="BK2009" s="122"/>
      <c r="BL2009" s="115"/>
      <c r="BM2009" s="115"/>
      <c r="BN2009" s="115"/>
      <c r="BO2009" s="115"/>
      <c r="BP2009" s="115"/>
      <c r="BQ2009" s="115"/>
      <c r="BR2009" s="115"/>
      <c r="BS2009" s="115"/>
      <c r="BT2009" s="115"/>
      <c r="BU2009" s="115"/>
      <c r="BV2009" s="115"/>
      <c r="BW2009" s="115"/>
      <c r="BX2009" s="115"/>
      <c r="BY2009" s="115"/>
      <c r="BZ2009" s="26"/>
      <c r="CA2009" s="15"/>
    </row>
    <row r="2010" spans="1:79" x14ac:dyDescent="0.4">
      <c r="BZ2010" s="26"/>
      <c r="CA2010" s="15"/>
    </row>
    <row r="2011" spans="1:79" x14ac:dyDescent="0.4">
      <c r="B2011" s="115"/>
      <c r="C2011" s="115"/>
      <c r="D2011" s="115"/>
      <c r="E2011" s="115"/>
      <c r="F2011" s="115"/>
      <c r="G2011" s="115"/>
      <c r="H2011" s="115"/>
      <c r="I2011" s="115"/>
      <c r="J2011" s="115"/>
      <c r="K2011" s="115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  <c r="AI2011" s="115"/>
      <c r="AJ2011" s="115"/>
      <c r="AK2011" s="115"/>
      <c r="AL2011" s="115"/>
      <c r="AM2011" s="115"/>
      <c r="AN2011" s="115"/>
      <c r="AO2011" s="115"/>
      <c r="AP2011" s="115"/>
      <c r="AQ2011" s="115"/>
      <c r="AR2011" s="115"/>
      <c r="AS2011" s="115"/>
      <c r="AT2011" s="115"/>
      <c r="AU2011" s="115"/>
      <c r="AV2011" s="115"/>
      <c r="AW2011" s="115"/>
      <c r="AX2011" s="115"/>
      <c r="AY2011" s="115"/>
      <c r="AZ2011" s="115"/>
      <c r="BA2011" s="115"/>
      <c r="BB2011" s="115"/>
      <c r="BC2011" s="115"/>
      <c r="BD2011" s="115"/>
      <c r="BE2011" s="115"/>
      <c r="BF2011" s="115"/>
      <c r="BG2011" s="115"/>
      <c r="BH2011" s="115"/>
      <c r="BI2011" s="122"/>
      <c r="BJ2011" s="122"/>
      <c r="BK2011" s="122"/>
      <c r="BL2011" s="115"/>
      <c r="BM2011" s="115"/>
      <c r="BN2011" s="115"/>
      <c r="BO2011" s="115"/>
      <c r="BP2011" s="115"/>
      <c r="BQ2011" s="115"/>
      <c r="BR2011" s="115"/>
      <c r="BS2011" s="115"/>
      <c r="BT2011" s="115"/>
      <c r="BU2011" s="115"/>
      <c r="BV2011" s="115"/>
      <c r="BW2011" s="115"/>
      <c r="BX2011" s="115"/>
      <c r="BY2011" s="115"/>
      <c r="BZ2011" s="26"/>
      <c r="CA2011" s="15"/>
    </row>
    <row r="2012" spans="1:79" x14ac:dyDescent="0.4">
      <c r="BZ2012" s="26"/>
      <c r="CA2012" s="15"/>
    </row>
    <row r="2013" spans="1:79" x14ac:dyDescent="0.4">
      <c r="B2013" s="115"/>
      <c r="C2013" s="115"/>
      <c r="D2013" s="115"/>
      <c r="E2013" s="115"/>
      <c r="F2013" s="115"/>
      <c r="G2013" s="115"/>
      <c r="H2013" s="115"/>
      <c r="I2013" s="115"/>
      <c r="J2013" s="115"/>
      <c r="K2013" s="115"/>
      <c r="L2013" s="115"/>
      <c r="M2013" s="115"/>
      <c r="N2013" s="115"/>
      <c r="O2013" s="115"/>
      <c r="P2013" s="115"/>
      <c r="Q2013" s="115"/>
      <c r="R2013" s="115"/>
      <c r="S2013" s="115"/>
      <c r="T2013" s="115"/>
      <c r="U2013" s="115"/>
      <c r="V2013" s="115"/>
      <c r="W2013" s="115"/>
      <c r="X2013" s="115"/>
      <c r="Y2013" s="115"/>
      <c r="Z2013" s="115"/>
      <c r="AA2013" s="115"/>
      <c r="AB2013" s="115"/>
      <c r="AC2013" s="115"/>
      <c r="AD2013" s="115"/>
      <c r="AE2013" s="115"/>
      <c r="AF2013" s="115"/>
      <c r="AG2013" s="115"/>
      <c r="AH2013" s="115"/>
      <c r="AI2013" s="115"/>
      <c r="AJ2013" s="115"/>
      <c r="AK2013" s="115"/>
      <c r="AL2013" s="115"/>
      <c r="AM2013" s="115"/>
      <c r="AN2013" s="115"/>
      <c r="AO2013" s="115"/>
      <c r="AP2013" s="115"/>
      <c r="AQ2013" s="115"/>
      <c r="AR2013" s="115"/>
      <c r="AS2013" s="115"/>
      <c r="AT2013" s="115"/>
      <c r="AU2013" s="115"/>
      <c r="AV2013" s="115"/>
      <c r="AW2013" s="115"/>
      <c r="AX2013" s="115"/>
      <c r="AY2013" s="115"/>
      <c r="AZ2013" s="115"/>
      <c r="BA2013" s="115"/>
      <c r="BB2013" s="115"/>
      <c r="BC2013" s="115"/>
      <c r="BD2013" s="115"/>
      <c r="BE2013" s="115"/>
      <c r="BF2013" s="115"/>
      <c r="BG2013" s="115"/>
      <c r="BH2013" s="115"/>
      <c r="BI2013" s="122"/>
      <c r="BJ2013" s="122"/>
      <c r="BK2013" s="122"/>
      <c r="BL2013" s="115"/>
      <c r="BM2013" s="115"/>
      <c r="BN2013" s="115"/>
      <c r="BO2013" s="115"/>
      <c r="BP2013" s="115"/>
      <c r="BQ2013" s="115"/>
      <c r="BR2013" s="115"/>
      <c r="BS2013" s="115"/>
      <c r="BT2013" s="115"/>
      <c r="BU2013" s="115"/>
      <c r="BV2013" s="115"/>
      <c r="BW2013" s="115"/>
      <c r="BX2013" s="115"/>
      <c r="BY2013" s="115"/>
      <c r="BZ2013" s="26"/>
      <c r="CA2013" s="15"/>
    </row>
    <row r="2014" spans="1:79" x14ac:dyDescent="0.4">
      <c r="BZ2014" s="26"/>
      <c r="CA2014" s="15"/>
    </row>
    <row r="2015" spans="1:79" x14ac:dyDescent="0.4">
      <c r="BZ2015" s="26"/>
      <c r="CA2015" s="15"/>
    </row>
    <row r="2016" spans="1:79" x14ac:dyDescent="0.4">
      <c r="BZ2016" s="26"/>
      <c r="CA2016" s="15"/>
    </row>
    <row r="2017" spans="1:79" x14ac:dyDescent="0.4">
      <c r="BZ2017" s="26"/>
      <c r="CA2017" s="15"/>
    </row>
    <row r="2018" spans="1:79" x14ac:dyDescent="0.4">
      <c r="BZ2018" s="26"/>
      <c r="CA2018" s="15"/>
    </row>
    <row r="2019" spans="1:79" x14ac:dyDescent="0.4">
      <c r="BZ2019" s="26"/>
      <c r="CA2019" s="15"/>
    </row>
    <row r="2020" spans="1:79" x14ac:dyDescent="0.4">
      <c r="A2020" s="115"/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22"/>
      <c r="BJ2020" s="122"/>
      <c r="BK2020" s="122"/>
      <c r="BL2020" s="115"/>
      <c r="BM2020" s="115"/>
      <c r="BN2020" s="115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26"/>
      <c r="CA2020" s="15"/>
    </row>
    <row r="2021" spans="1:79" x14ac:dyDescent="0.4">
      <c r="BZ2021" s="26"/>
      <c r="CA2021" s="15"/>
    </row>
    <row r="2022" spans="1:79" x14ac:dyDescent="0.4">
      <c r="BZ2022" s="26"/>
      <c r="CA2022" s="15"/>
    </row>
    <row r="2023" spans="1:79" x14ac:dyDescent="0.4">
      <c r="BZ2023" s="26"/>
      <c r="CA2023" s="15"/>
    </row>
    <row r="2024" spans="1:79" x14ac:dyDescent="0.4">
      <c r="BZ2024" s="26"/>
      <c r="CA2024" s="15"/>
    </row>
    <row r="2025" spans="1:79" x14ac:dyDescent="0.4">
      <c r="BZ2025" s="26"/>
      <c r="CA2025" s="15"/>
    </row>
    <row r="2026" spans="1:79" x14ac:dyDescent="0.4">
      <c r="BB2026" s="115"/>
      <c r="BC2026" s="115"/>
      <c r="BD2026" s="115"/>
      <c r="BE2026" s="115"/>
      <c r="BF2026" s="115"/>
      <c r="BG2026" s="115"/>
      <c r="BH2026" s="115"/>
      <c r="BI2026" s="122"/>
      <c r="BJ2026" s="122"/>
      <c r="BK2026" s="122"/>
      <c r="BL2026" s="115"/>
      <c r="BM2026" s="115"/>
      <c r="BN2026" s="115"/>
      <c r="BO2026" s="115"/>
      <c r="BP2026" s="115"/>
      <c r="BQ2026" s="115"/>
      <c r="BR2026" s="115"/>
      <c r="BS2026" s="115"/>
      <c r="BT2026" s="115"/>
      <c r="BU2026" s="115"/>
      <c r="BV2026" s="115"/>
      <c r="BW2026" s="115"/>
      <c r="BX2026" s="115"/>
      <c r="BY2026" s="115"/>
      <c r="BZ2026" s="17"/>
      <c r="CA2026" s="15"/>
    </row>
    <row r="2027" spans="1:79" x14ac:dyDescent="0.4">
      <c r="BB2027" s="115"/>
      <c r="BC2027" s="115"/>
      <c r="BD2027" s="115"/>
      <c r="BE2027" s="115"/>
      <c r="BF2027" s="115"/>
      <c r="BG2027" s="115"/>
      <c r="BH2027" s="115"/>
      <c r="BI2027" s="122"/>
      <c r="BJ2027" s="122"/>
      <c r="BK2027" s="122"/>
      <c r="BL2027" s="115"/>
      <c r="BM2027" s="115"/>
      <c r="BN2027" s="115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7"/>
      <c r="CA2027" s="15"/>
    </row>
    <row r="2028" spans="1:79" x14ac:dyDescent="0.4">
      <c r="BZ2028" s="26"/>
      <c r="CA2028" s="15"/>
    </row>
    <row r="2029" spans="1:79" x14ac:dyDescent="0.4">
      <c r="BZ2029" s="26"/>
      <c r="CA2029" s="15"/>
    </row>
    <row r="2030" spans="1:79" x14ac:dyDescent="0.4">
      <c r="A2030" s="115"/>
      <c r="B2030" s="115"/>
      <c r="C2030" s="115"/>
      <c r="D2030" s="115"/>
      <c r="E2030" s="115"/>
      <c r="F2030" s="115"/>
      <c r="G2030" s="115"/>
      <c r="H2030" s="115"/>
      <c r="I2030" s="115"/>
      <c r="J2030" s="115"/>
      <c r="K2030" s="115"/>
      <c r="L2030" s="115"/>
      <c r="M2030" s="115"/>
      <c r="N2030" s="115"/>
      <c r="O2030" s="115"/>
      <c r="P2030" s="115"/>
      <c r="Q2030" s="115"/>
      <c r="R2030" s="115"/>
      <c r="S2030" s="115"/>
      <c r="T2030" s="115"/>
      <c r="U2030" s="115"/>
      <c r="V2030" s="115"/>
      <c r="W2030" s="115"/>
      <c r="X2030" s="115"/>
      <c r="Y2030" s="115"/>
      <c r="Z2030" s="115"/>
      <c r="AA2030" s="115"/>
      <c r="AB2030" s="115"/>
      <c r="AC2030" s="115"/>
      <c r="AD2030" s="115"/>
      <c r="AE2030" s="115"/>
      <c r="AF2030" s="115"/>
      <c r="AG2030" s="115"/>
      <c r="AH2030" s="115"/>
      <c r="AI2030" s="115"/>
      <c r="AJ2030" s="115"/>
      <c r="AK2030" s="115"/>
      <c r="AL2030" s="115"/>
      <c r="AM2030" s="115"/>
      <c r="AN2030" s="115"/>
      <c r="AO2030" s="115"/>
      <c r="AP2030" s="115"/>
      <c r="AQ2030" s="115"/>
      <c r="AR2030" s="115"/>
      <c r="AS2030" s="115"/>
      <c r="AT2030" s="115"/>
      <c r="AU2030" s="115"/>
      <c r="AV2030" s="115"/>
      <c r="AW2030" s="115"/>
      <c r="AX2030" s="115"/>
      <c r="AY2030" s="115"/>
      <c r="AZ2030" s="115"/>
      <c r="BA2030" s="115"/>
      <c r="BB2030" s="115"/>
      <c r="BC2030" s="115"/>
      <c r="BD2030" s="115"/>
      <c r="BE2030" s="115"/>
      <c r="BF2030" s="115"/>
      <c r="BG2030" s="115"/>
      <c r="BH2030" s="115"/>
      <c r="BI2030" s="122"/>
      <c r="BJ2030" s="122"/>
      <c r="BK2030" s="122"/>
      <c r="BL2030" s="115"/>
      <c r="BM2030" s="115"/>
      <c r="BN2030" s="115"/>
      <c r="BO2030" s="115"/>
      <c r="BP2030" s="115"/>
      <c r="BQ2030" s="115"/>
      <c r="BR2030" s="115"/>
      <c r="BS2030" s="115"/>
      <c r="BT2030" s="115"/>
      <c r="BU2030" s="115"/>
      <c r="BV2030" s="115"/>
      <c r="BW2030" s="115"/>
      <c r="BX2030" s="115"/>
      <c r="BY2030" s="115"/>
      <c r="BZ2030" s="26"/>
      <c r="CA2030" s="15"/>
    </row>
    <row r="2031" spans="1:79" x14ac:dyDescent="0.4">
      <c r="A2031" s="115"/>
      <c r="B2031" s="115"/>
      <c r="C2031" s="115"/>
      <c r="D2031" s="115"/>
      <c r="E2031" s="115"/>
      <c r="F2031" s="115"/>
      <c r="G2031" s="115"/>
      <c r="H2031" s="115"/>
      <c r="I2031" s="115"/>
      <c r="J2031" s="115"/>
      <c r="K2031" s="115"/>
      <c r="L2031" s="115"/>
      <c r="M2031" s="115"/>
      <c r="N2031" s="115"/>
      <c r="O2031" s="115"/>
      <c r="P2031" s="115"/>
      <c r="Q2031" s="115"/>
      <c r="R2031" s="115"/>
      <c r="S2031" s="115"/>
      <c r="T2031" s="115"/>
      <c r="U2031" s="115"/>
      <c r="V2031" s="115"/>
      <c r="W2031" s="115"/>
      <c r="X2031" s="115"/>
      <c r="Y2031" s="115"/>
      <c r="Z2031" s="115"/>
      <c r="AA2031" s="115"/>
      <c r="AB2031" s="115"/>
      <c r="AC2031" s="115"/>
      <c r="AD2031" s="115"/>
      <c r="AE2031" s="115"/>
      <c r="AF2031" s="115"/>
      <c r="AG2031" s="115"/>
      <c r="AH2031" s="115"/>
      <c r="AI2031" s="115"/>
      <c r="AJ2031" s="115"/>
      <c r="AK2031" s="115"/>
      <c r="AL2031" s="115"/>
      <c r="AM2031" s="115"/>
      <c r="AN2031" s="115"/>
      <c r="AO2031" s="115"/>
      <c r="AP2031" s="115"/>
      <c r="AQ2031" s="115"/>
      <c r="AR2031" s="115"/>
      <c r="AS2031" s="115"/>
      <c r="AT2031" s="115"/>
      <c r="AU2031" s="115"/>
      <c r="AV2031" s="115"/>
      <c r="AW2031" s="115"/>
      <c r="AX2031" s="115"/>
      <c r="AY2031" s="115"/>
      <c r="AZ2031" s="115"/>
      <c r="BA2031" s="115"/>
      <c r="BB2031" s="115"/>
      <c r="BC2031" s="115"/>
      <c r="BD2031" s="115"/>
      <c r="BE2031" s="115"/>
      <c r="BF2031" s="115"/>
      <c r="BG2031" s="115"/>
      <c r="BH2031" s="115"/>
      <c r="BI2031" s="122"/>
      <c r="BJ2031" s="122"/>
      <c r="BK2031" s="122"/>
      <c r="BL2031" s="115"/>
      <c r="BM2031" s="115"/>
      <c r="BN2031" s="115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15"/>
      <c r="BZ2031" s="26"/>
      <c r="CA2031" s="13"/>
    </row>
    <row r="2032" spans="1:79" x14ac:dyDescent="0.4">
      <c r="BZ2032" s="26"/>
      <c r="CA2032" s="15"/>
    </row>
    <row r="2033" spans="1:79" x14ac:dyDescent="0.4">
      <c r="B2033" s="115"/>
      <c r="C2033" s="115"/>
      <c r="D2033" s="115"/>
      <c r="E2033" s="115"/>
      <c r="F2033" s="115"/>
      <c r="G2033" s="115"/>
      <c r="H2033" s="115"/>
      <c r="I2033" s="115"/>
      <c r="J2033" s="115"/>
      <c r="K2033" s="115"/>
      <c r="L2033" s="115"/>
      <c r="M2033" s="115"/>
      <c r="N2033" s="115"/>
      <c r="O2033" s="115"/>
      <c r="P2033" s="115"/>
      <c r="Q2033" s="115"/>
      <c r="R2033" s="115"/>
      <c r="S2033" s="115"/>
      <c r="T2033" s="115"/>
      <c r="U2033" s="115"/>
      <c r="V2033" s="115"/>
      <c r="W2033" s="115"/>
      <c r="X2033" s="115"/>
      <c r="Y2033" s="115"/>
      <c r="Z2033" s="115"/>
      <c r="AA2033" s="115"/>
      <c r="AB2033" s="115"/>
      <c r="AC2033" s="115"/>
      <c r="AD2033" s="115"/>
      <c r="AE2033" s="115"/>
      <c r="AF2033" s="115"/>
      <c r="AG2033" s="115"/>
      <c r="AH2033" s="115"/>
      <c r="AI2033" s="115"/>
      <c r="AJ2033" s="115"/>
      <c r="AK2033" s="115"/>
      <c r="AL2033" s="115"/>
      <c r="AM2033" s="115"/>
      <c r="AN2033" s="115"/>
      <c r="AO2033" s="115"/>
      <c r="AP2033" s="115"/>
      <c r="AQ2033" s="115"/>
      <c r="AR2033" s="115"/>
      <c r="AS2033" s="115"/>
      <c r="AT2033" s="115"/>
      <c r="AU2033" s="115"/>
      <c r="AV2033" s="115"/>
      <c r="AW2033" s="115"/>
      <c r="AX2033" s="115"/>
      <c r="AY2033" s="115"/>
      <c r="AZ2033" s="115"/>
      <c r="BA2033" s="115"/>
      <c r="BB2033" s="115"/>
      <c r="BC2033" s="115"/>
      <c r="BD2033" s="115"/>
      <c r="BE2033" s="115"/>
      <c r="BF2033" s="115"/>
      <c r="BG2033" s="115"/>
      <c r="BH2033" s="115"/>
      <c r="BI2033" s="122"/>
      <c r="BJ2033" s="122"/>
      <c r="BK2033" s="122"/>
      <c r="BL2033" s="115"/>
      <c r="BM2033" s="115"/>
      <c r="BN2033" s="115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26"/>
      <c r="CA2033" s="15"/>
    </row>
    <row r="2034" spans="1:79" x14ac:dyDescent="0.4">
      <c r="BZ2034" s="26"/>
      <c r="CA2034" s="15"/>
    </row>
    <row r="2035" spans="1:79" x14ac:dyDescent="0.4">
      <c r="BZ2035" s="26"/>
      <c r="CA2035" s="15"/>
    </row>
    <row r="2036" spans="1:79" x14ac:dyDescent="0.4">
      <c r="A2036" s="115"/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15"/>
      <c r="BI2036" s="122"/>
      <c r="BJ2036" s="122"/>
      <c r="BK2036" s="122"/>
      <c r="BL2036" s="115"/>
      <c r="BM2036" s="115"/>
      <c r="BN2036" s="115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15"/>
      <c r="BZ2036" s="26"/>
      <c r="CA2036" s="15"/>
    </row>
    <row r="2037" spans="1:79" x14ac:dyDescent="0.4">
      <c r="BZ2037" s="26"/>
      <c r="CA2037" s="13"/>
    </row>
    <row r="2038" spans="1:79" x14ac:dyDescent="0.4">
      <c r="BZ2038" s="26"/>
      <c r="CA2038" s="13"/>
    </row>
    <row r="2039" spans="1:79" x14ac:dyDescent="0.4">
      <c r="A2039" s="115"/>
      <c r="B2039" s="115"/>
      <c r="C2039" s="115"/>
      <c r="D2039" s="115"/>
      <c r="E2039" s="115"/>
      <c r="F2039" s="115"/>
      <c r="G2039" s="115"/>
      <c r="H2039" s="115"/>
      <c r="I2039" s="115"/>
      <c r="J2039" s="115"/>
      <c r="K2039" s="115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  <c r="AI2039" s="115"/>
      <c r="AJ2039" s="115"/>
      <c r="AK2039" s="115"/>
      <c r="AL2039" s="115"/>
      <c r="AM2039" s="115"/>
      <c r="AN2039" s="115"/>
      <c r="AO2039" s="115"/>
      <c r="AP2039" s="115"/>
      <c r="AQ2039" s="115"/>
      <c r="AR2039" s="115"/>
      <c r="AS2039" s="115"/>
      <c r="AT2039" s="115"/>
      <c r="AU2039" s="115"/>
      <c r="AV2039" s="115"/>
      <c r="AW2039" s="115"/>
      <c r="AX2039" s="115"/>
      <c r="AY2039" s="115"/>
      <c r="AZ2039" s="115"/>
      <c r="BA2039" s="115"/>
      <c r="BB2039" s="115"/>
      <c r="BC2039" s="115"/>
      <c r="BD2039" s="115"/>
      <c r="BE2039" s="115"/>
      <c r="BF2039" s="115"/>
      <c r="BG2039" s="115"/>
      <c r="BH2039" s="115"/>
      <c r="BI2039" s="122"/>
      <c r="BJ2039" s="122"/>
      <c r="BK2039" s="122"/>
      <c r="BL2039" s="115"/>
      <c r="BM2039" s="115"/>
      <c r="BN2039" s="115"/>
      <c r="BO2039" s="115"/>
      <c r="BP2039" s="115"/>
      <c r="BQ2039" s="115"/>
      <c r="BR2039" s="115"/>
      <c r="BS2039" s="115"/>
      <c r="BT2039" s="115"/>
      <c r="BU2039" s="115"/>
      <c r="BV2039" s="115"/>
      <c r="BW2039" s="115"/>
      <c r="BX2039" s="115"/>
      <c r="BY2039" s="115"/>
      <c r="BZ2039" s="26"/>
      <c r="CA2039" s="13"/>
    </row>
    <row r="2040" spans="1:79" x14ac:dyDescent="0.4">
      <c r="BZ2040" s="26"/>
      <c r="CA2040" s="13"/>
    </row>
    <row r="2041" spans="1:79" x14ac:dyDescent="0.4">
      <c r="BZ2041" s="26"/>
      <c r="CA2041" s="13"/>
    </row>
    <row r="2042" spans="1:79" x14ac:dyDescent="0.4">
      <c r="BZ2042" s="26"/>
      <c r="CA2042" s="13"/>
    </row>
    <row r="2043" spans="1:79" x14ac:dyDescent="0.4">
      <c r="BZ2043" s="26"/>
      <c r="CA2043" s="13"/>
    </row>
    <row r="2044" spans="1:79" x14ac:dyDescent="0.4">
      <c r="BZ2044" s="26"/>
      <c r="CA2044" s="13"/>
    </row>
    <row r="2045" spans="1:79" x14ac:dyDescent="0.4">
      <c r="A2045" s="115"/>
      <c r="B2045" s="115"/>
      <c r="C2045" s="115"/>
      <c r="D2045" s="115"/>
      <c r="E2045" s="115"/>
      <c r="F2045" s="115"/>
      <c r="G2045" s="115"/>
      <c r="H2045" s="115"/>
      <c r="I2045" s="115"/>
      <c r="J2045" s="115"/>
      <c r="K2045" s="115"/>
      <c r="L2045" s="115"/>
      <c r="M2045" s="115"/>
      <c r="N2045" s="115"/>
      <c r="O2045" s="115"/>
      <c r="P2045" s="115"/>
      <c r="Q2045" s="115"/>
      <c r="R2045" s="115"/>
      <c r="S2045" s="115"/>
      <c r="T2045" s="115"/>
      <c r="U2045" s="115"/>
      <c r="V2045" s="115"/>
      <c r="W2045" s="115"/>
      <c r="X2045" s="115"/>
      <c r="Y2045" s="115"/>
      <c r="Z2045" s="115"/>
      <c r="AA2045" s="115"/>
      <c r="AB2045" s="115"/>
      <c r="AC2045" s="115"/>
      <c r="AD2045" s="115"/>
      <c r="AE2045" s="115"/>
      <c r="AF2045" s="115"/>
      <c r="AG2045" s="115"/>
      <c r="AH2045" s="115"/>
      <c r="AI2045" s="115"/>
      <c r="AJ2045" s="115"/>
      <c r="AK2045" s="115"/>
      <c r="AL2045" s="115"/>
      <c r="AM2045" s="115"/>
      <c r="AN2045" s="115"/>
      <c r="AO2045" s="115"/>
      <c r="AP2045" s="115"/>
      <c r="AQ2045" s="115"/>
      <c r="AR2045" s="115"/>
      <c r="AS2045" s="115"/>
      <c r="AT2045" s="115"/>
      <c r="AU2045" s="115"/>
      <c r="AV2045" s="115"/>
      <c r="AW2045" s="115"/>
      <c r="AX2045" s="115"/>
      <c r="AY2045" s="115"/>
      <c r="AZ2045" s="115"/>
      <c r="BA2045" s="115"/>
      <c r="BB2045" s="115"/>
      <c r="BC2045" s="115"/>
      <c r="BD2045" s="115"/>
      <c r="BE2045" s="115"/>
      <c r="BF2045" s="115"/>
      <c r="BG2045" s="115"/>
      <c r="BH2045" s="115"/>
      <c r="BI2045" s="122"/>
      <c r="BJ2045" s="122"/>
      <c r="BK2045" s="122"/>
      <c r="BL2045" s="115"/>
      <c r="BM2045" s="115"/>
      <c r="BN2045" s="115"/>
      <c r="BO2045" s="115"/>
      <c r="BP2045" s="115"/>
      <c r="BQ2045" s="115"/>
      <c r="BR2045" s="115"/>
      <c r="BS2045" s="115"/>
      <c r="BT2045" s="115"/>
      <c r="BU2045" s="115"/>
      <c r="BV2045" s="115"/>
      <c r="BW2045" s="115"/>
      <c r="BX2045" s="115"/>
      <c r="BY2045" s="115"/>
      <c r="BZ2045" s="26"/>
      <c r="CA2045" s="25"/>
    </row>
    <row r="2046" spans="1:79" x14ac:dyDescent="0.4">
      <c r="BZ2046" s="26"/>
      <c r="CA2046" s="13"/>
    </row>
    <row r="2047" spans="1:79" x14ac:dyDescent="0.4">
      <c r="A2047" s="115"/>
      <c r="B2047" s="115"/>
      <c r="C2047" s="115"/>
      <c r="D2047" s="115"/>
      <c r="E2047" s="115"/>
      <c r="F2047" s="115"/>
      <c r="G2047" s="115"/>
      <c r="H2047" s="115"/>
      <c r="I2047" s="115"/>
      <c r="J2047" s="115"/>
      <c r="K2047" s="115"/>
      <c r="L2047" s="115"/>
      <c r="M2047" s="115"/>
      <c r="N2047" s="115"/>
      <c r="O2047" s="115"/>
      <c r="P2047" s="115"/>
      <c r="Q2047" s="115"/>
      <c r="R2047" s="115"/>
      <c r="S2047" s="115"/>
      <c r="T2047" s="115"/>
      <c r="U2047" s="115"/>
      <c r="V2047" s="115"/>
      <c r="W2047" s="115"/>
      <c r="X2047" s="115"/>
      <c r="Y2047" s="115"/>
      <c r="Z2047" s="115"/>
      <c r="AA2047" s="115"/>
      <c r="AB2047" s="115"/>
      <c r="AC2047" s="115"/>
      <c r="AD2047" s="115"/>
      <c r="AE2047" s="115"/>
      <c r="AF2047" s="115"/>
      <c r="AG2047" s="115"/>
      <c r="AH2047" s="115"/>
      <c r="AI2047" s="115"/>
      <c r="AJ2047" s="115"/>
      <c r="AK2047" s="115"/>
      <c r="AL2047" s="115"/>
      <c r="AM2047" s="115"/>
      <c r="AN2047" s="115"/>
      <c r="AO2047" s="115"/>
      <c r="AP2047" s="115"/>
      <c r="AQ2047" s="115"/>
      <c r="AR2047" s="115"/>
      <c r="AS2047" s="115"/>
      <c r="AT2047" s="115"/>
      <c r="AU2047" s="115"/>
      <c r="AV2047" s="115"/>
      <c r="AW2047" s="115"/>
      <c r="AX2047" s="115"/>
      <c r="AY2047" s="115"/>
      <c r="AZ2047" s="115"/>
      <c r="BA2047" s="115"/>
      <c r="BB2047" s="115"/>
      <c r="BC2047" s="115"/>
      <c r="BD2047" s="115"/>
      <c r="BE2047" s="115"/>
      <c r="BF2047" s="115"/>
      <c r="BG2047" s="115"/>
      <c r="BH2047" s="115"/>
      <c r="BI2047" s="122"/>
      <c r="BJ2047" s="122"/>
      <c r="BK2047" s="122"/>
      <c r="BL2047" s="115"/>
      <c r="BM2047" s="115"/>
      <c r="BN2047" s="115"/>
      <c r="BO2047" s="115"/>
      <c r="BP2047" s="115"/>
      <c r="BQ2047" s="115"/>
      <c r="BR2047" s="115"/>
      <c r="BS2047" s="115"/>
      <c r="BT2047" s="115"/>
      <c r="BU2047" s="115"/>
      <c r="BV2047" s="115"/>
      <c r="BW2047" s="115"/>
      <c r="BX2047" s="115"/>
      <c r="BY2047" s="115"/>
      <c r="BZ2047" s="26"/>
      <c r="CA2047" s="13"/>
    </row>
    <row r="2048" spans="1:79" x14ac:dyDescent="0.4">
      <c r="A2048" s="115"/>
      <c r="B2048" s="115"/>
      <c r="C2048" s="115"/>
      <c r="D2048" s="115"/>
      <c r="E2048" s="115"/>
      <c r="F2048" s="115"/>
      <c r="G2048" s="115"/>
      <c r="H2048" s="115"/>
      <c r="I2048" s="115"/>
      <c r="J2048" s="115"/>
      <c r="K2048" s="115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  <c r="AI2048" s="115"/>
      <c r="AJ2048" s="115"/>
      <c r="AK2048" s="115"/>
      <c r="AL2048" s="115"/>
      <c r="AM2048" s="115"/>
      <c r="AN2048" s="115"/>
      <c r="AO2048" s="115"/>
      <c r="AP2048" s="115"/>
      <c r="AQ2048" s="115"/>
      <c r="AR2048" s="115"/>
      <c r="AS2048" s="115"/>
      <c r="AT2048" s="115"/>
      <c r="AU2048" s="115"/>
      <c r="AV2048" s="115"/>
      <c r="AW2048" s="115"/>
      <c r="AX2048" s="115"/>
      <c r="AY2048" s="115"/>
      <c r="AZ2048" s="115"/>
      <c r="BA2048" s="115"/>
      <c r="BB2048" s="115"/>
      <c r="BC2048" s="115"/>
      <c r="BD2048" s="115"/>
      <c r="BE2048" s="115"/>
      <c r="BF2048" s="115"/>
      <c r="BG2048" s="115"/>
      <c r="BH2048" s="115"/>
      <c r="BI2048" s="122"/>
      <c r="BJ2048" s="122"/>
      <c r="BK2048" s="122"/>
      <c r="BL2048" s="115"/>
      <c r="BM2048" s="115"/>
      <c r="BN2048" s="115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26"/>
      <c r="CA2048" s="13"/>
    </row>
    <row r="2049" spans="2:79" x14ac:dyDescent="0.4">
      <c r="BZ2049" s="26"/>
      <c r="CA2049" s="15"/>
    </row>
    <row r="2050" spans="2:79" x14ac:dyDescent="0.4">
      <c r="BZ2050" s="26"/>
      <c r="CA2050" s="15"/>
    </row>
    <row r="2051" spans="2:79" x14ac:dyDescent="0.4">
      <c r="BZ2051" s="26"/>
      <c r="CA2051" s="15"/>
    </row>
    <row r="2052" spans="2:79" x14ac:dyDescent="0.4">
      <c r="BZ2052" s="26"/>
      <c r="CA2052" s="13"/>
    </row>
    <row r="2053" spans="2:79" x14ac:dyDescent="0.4">
      <c r="BZ2053" s="26"/>
      <c r="CA2053" s="15"/>
    </row>
    <row r="2054" spans="2:79" x14ac:dyDescent="0.4"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22"/>
      <c r="BJ2054" s="122"/>
      <c r="BK2054" s="122"/>
      <c r="BL2054" s="115"/>
      <c r="BM2054" s="115"/>
      <c r="BN2054" s="115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7"/>
      <c r="CA2054" s="15"/>
    </row>
    <row r="2055" spans="2:79" x14ac:dyDescent="0.4">
      <c r="BZ2055" s="26"/>
      <c r="CA2055" s="15"/>
    </row>
    <row r="2056" spans="2:79" x14ac:dyDescent="0.4">
      <c r="B2056" s="115"/>
      <c r="C2056" s="115"/>
      <c r="D2056" s="115"/>
      <c r="E2056" s="115"/>
      <c r="F2056" s="115"/>
      <c r="G2056" s="115"/>
      <c r="H2056" s="115"/>
      <c r="I2056" s="115"/>
      <c r="J2056" s="115"/>
      <c r="K2056" s="115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  <c r="AI2056" s="115"/>
      <c r="AJ2056" s="115"/>
      <c r="AK2056" s="115"/>
      <c r="AL2056" s="115"/>
      <c r="AM2056" s="115"/>
      <c r="AN2056" s="115"/>
      <c r="AO2056" s="115"/>
      <c r="AP2056" s="115"/>
      <c r="AQ2056" s="115"/>
      <c r="AR2056" s="115"/>
      <c r="AS2056" s="115"/>
      <c r="AT2056" s="115"/>
      <c r="AU2056" s="115"/>
      <c r="AV2056" s="115"/>
      <c r="AW2056" s="115"/>
      <c r="AX2056" s="115"/>
      <c r="AY2056" s="115"/>
      <c r="AZ2056" s="115"/>
      <c r="BA2056" s="115"/>
      <c r="BB2056" s="115"/>
      <c r="BC2056" s="115"/>
      <c r="BD2056" s="115"/>
      <c r="BE2056" s="115"/>
      <c r="BF2056" s="115"/>
      <c r="BG2056" s="115"/>
      <c r="BH2056" s="115"/>
      <c r="BI2056" s="122"/>
      <c r="BJ2056" s="122"/>
      <c r="BK2056" s="122"/>
      <c r="BL2056" s="115"/>
      <c r="BM2056" s="115"/>
      <c r="BN2056" s="115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7"/>
      <c r="CA2056" s="15"/>
    </row>
    <row r="2057" spans="2:79" x14ac:dyDescent="0.4">
      <c r="BZ2057" s="26"/>
      <c r="CA2057" s="15"/>
    </row>
    <row r="2058" spans="2:79" x14ac:dyDescent="0.4">
      <c r="BZ2058" s="26"/>
      <c r="CA2058" s="15"/>
    </row>
    <row r="2059" spans="2:79" x14ac:dyDescent="0.4"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22"/>
      <c r="BJ2059" s="122"/>
      <c r="BK2059" s="122"/>
      <c r="BL2059" s="115"/>
      <c r="BM2059" s="115"/>
      <c r="BN2059" s="115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7"/>
      <c r="CA2059" s="15"/>
    </row>
    <row r="2060" spans="2:79" x14ac:dyDescent="0.4">
      <c r="BZ2060" s="26"/>
      <c r="CA2060" s="15"/>
    </row>
    <row r="2061" spans="2:79" x14ac:dyDescent="0.4">
      <c r="BZ2061" s="26"/>
      <c r="CA2061" s="15"/>
    </row>
    <row r="2062" spans="2:79" x14ac:dyDescent="0.4">
      <c r="BZ2062" s="26"/>
      <c r="CA2062" s="105"/>
    </row>
    <row r="2063" spans="2:79" x14ac:dyDescent="0.4">
      <c r="BZ2063" s="26"/>
      <c r="CA2063" s="15"/>
    </row>
    <row r="2064" spans="2:79" x14ac:dyDescent="0.4">
      <c r="BZ2064" s="26"/>
      <c r="CA2064" s="15"/>
    </row>
    <row r="2065" spans="2:79" x14ac:dyDescent="0.4">
      <c r="BZ2065" s="26"/>
      <c r="CA2065" s="15"/>
    </row>
    <row r="2066" spans="2:79" x14ac:dyDescent="0.4">
      <c r="BZ2066" s="26"/>
      <c r="CA2066" s="15"/>
    </row>
    <row r="2067" spans="2:79" x14ac:dyDescent="0.4">
      <c r="BZ2067" s="26"/>
      <c r="CA2067" s="15"/>
    </row>
    <row r="2068" spans="2:79" x14ac:dyDescent="0.4"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22"/>
      <c r="BJ2068" s="122"/>
      <c r="BK2068" s="122"/>
      <c r="BL2068" s="115"/>
      <c r="BM2068" s="115"/>
      <c r="BN2068" s="115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9"/>
      <c r="CA2068" s="119"/>
    </row>
    <row r="2069" spans="2:79" x14ac:dyDescent="0.4">
      <c r="B2069" s="115"/>
      <c r="C2069" s="115"/>
      <c r="D2069" s="115"/>
      <c r="E2069" s="115"/>
      <c r="F2069" s="115"/>
      <c r="G2069" s="115"/>
      <c r="H2069" s="115"/>
      <c r="I2069" s="115"/>
      <c r="J2069" s="115"/>
      <c r="K2069" s="115"/>
      <c r="L2069" s="115"/>
      <c r="M2069" s="115"/>
      <c r="N2069" s="115"/>
      <c r="O2069" s="115"/>
      <c r="P2069" s="115"/>
      <c r="Q2069" s="115"/>
      <c r="R2069" s="115"/>
      <c r="S2069" s="115"/>
      <c r="T2069" s="115"/>
      <c r="U2069" s="115"/>
      <c r="V2069" s="115"/>
      <c r="W2069" s="115"/>
      <c r="X2069" s="115"/>
      <c r="Y2069" s="115"/>
      <c r="Z2069" s="115"/>
      <c r="AA2069" s="115"/>
      <c r="AB2069" s="115"/>
      <c r="AC2069" s="115"/>
      <c r="AD2069" s="115"/>
      <c r="AE2069" s="115"/>
      <c r="AF2069" s="115"/>
      <c r="AG2069" s="115"/>
      <c r="AH2069" s="115"/>
      <c r="AI2069" s="115"/>
      <c r="AJ2069" s="115"/>
      <c r="AK2069" s="115"/>
      <c r="AL2069" s="115"/>
      <c r="AM2069" s="115"/>
      <c r="AN2069" s="115"/>
      <c r="AO2069" s="115"/>
      <c r="AP2069" s="115"/>
      <c r="AQ2069" s="115"/>
      <c r="AR2069" s="115"/>
      <c r="AS2069" s="115"/>
      <c r="AT2069" s="115"/>
      <c r="AU2069" s="115"/>
      <c r="AV2069" s="115"/>
      <c r="AW2069" s="115"/>
      <c r="AX2069" s="115"/>
      <c r="AY2069" s="115"/>
      <c r="AZ2069" s="115"/>
      <c r="BA2069" s="115"/>
      <c r="BB2069" s="115"/>
      <c r="BC2069" s="115"/>
      <c r="BD2069" s="115"/>
      <c r="BE2069" s="115"/>
      <c r="BF2069" s="115"/>
      <c r="BG2069" s="115"/>
      <c r="BH2069" s="115"/>
      <c r="BI2069" s="122"/>
      <c r="BJ2069" s="122"/>
      <c r="BK2069" s="122"/>
      <c r="BL2069" s="115"/>
      <c r="BM2069" s="115"/>
      <c r="BN2069" s="115"/>
      <c r="BO2069" s="115"/>
      <c r="BP2069" s="115"/>
      <c r="BQ2069" s="115"/>
      <c r="BR2069" s="115"/>
      <c r="BS2069" s="115"/>
      <c r="BT2069" s="115"/>
      <c r="BU2069" s="115"/>
      <c r="BV2069" s="115"/>
      <c r="BW2069" s="115"/>
      <c r="BX2069" s="115"/>
      <c r="BY2069" s="115"/>
      <c r="BZ2069" s="119"/>
      <c r="CA2069" s="119"/>
    </row>
  </sheetData>
  <sortState xmlns:xlrd2="http://schemas.microsoft.com/office/spreadsheetml/2017/richdata2" ref="AA2:AB101">
    <sortCondition ref="AA2:AA101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A169" zoomScaleNormal="100" workbookViewId="0">
      <selection sqref="A1:A1048576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85" t="s">
        <v>253</v>
      </c>
      <c r="B1" s="121"/>
      <c r="C1" s="121"/>
      <c r="D1" s="121"/>
      <c r="G1" s="120"/>
      <c r="H1" s="121"/>
      <c r="I1" s="121"/>
      <c r="J1" s="121"/>
    </row>
    <row r="2" spans="1:32" ht="19.5" x14ac:dyDescent="0.4">
      <c r="A2" s="85" t="s">
        <v>254</v>
      </c>
      <c r="B2" s="126"/>
      <c r="C2" s="126"/>
      <c r="D2" s="126"/>
      <c r="G2" s="118"/>
      <c r="H2" s="126"/>
      <c r="I2" s="126"/>
      <c r="J2" s="126"/>
      <c r="N2" s="127"/>
      <c r="O2" s="29"/>
      <c r="AE2" s="127"/>
      <c r="AF2" s="29"/>
    </row>
    <row r="3" spans="1:32" ht="19.5" x14ac:dyDescent="0.4">
      <c r="A3" s="85" t="s">
        <v>307</v>
      </c>
      <c r="B3" s="126"/>
      <c r="C3" s="126"/>
      <c r="D3" s="126"/>
      <c r="G3" s="125"/>
      <c r="H3" s="126"/>
      <c r="I3" s="126"/>
      <c r="J3" s="126"/>
      <c r="M3" s="115"/>
      <c r="N3" s="127"/>
      <c r="O3" s="29"/>
      <c r="AE3" s="127"/>
      <c r="AF3" s="29"/>
    </row>
    <row r="4" spans="1:32" ht="19.5" x14ac:dyDescent="0.4">
      <c r="A4" s="85" t="s">
        <v>255</v>
      </c>
      <c r="B4" s="126"/>
      <c r="C4" s="126"/>
      <c r="D4" s="126"/>
      <c r="G4" s="125"/>
      <c r="H4" s="126"/>
      <c r="I4" s="126"/>
      <c r="J4" s="126"/>
      <c r="L4" s="115"/>
      <c r="M4" s="115"/>
      <c r="N4" s="127"/>
      <c r="O4" s="29"/>
      <c r="AE4" s="127"/>
      <c r="AF4" s="29"/>
    </row>
    <row r="5" spans="1:32" ht="19.5" x14ac:dyDescent="0.4">
      <c r="A5" s="85" t="s">
        <v>256</v>
      </c>
      <c r="B5" s="126"/>
      <c r="C5" s="126"/>
      <c r="D5" s="126"/>
      <c r="G5" s="125"/>
      <c r="H5" s="126"/>
      <c r="I5" s="126"/>
      <c r="J5" s="126"/>
      <c r="L5" s="115"/>
      <c r="M5" s="115"/>
      <c r="N5" s="127"/>
      <c r="O5" s="29"/>
      <c r="AE5" s="127"/>
      <c r="AF5" s="29"/>
    </row>
    <row r="6" spans="1:32" ht="19.5" x14ac:dyDescent="0.4">
      <c r="A6" s="85" t="s">
        <v>257</v>
      </c>
      <c r="B6" s="126"/>
      <c r="C6" s="126"/>
      <c r="D6" s="126"/>
      <c r="G6" s="125"/>
      <c r="H6" s="126"/>
      <c r="I6" s="126"/>
      <c r="J6" s="126"/>
      <c r="K6" s="115"/>
      <c r="L6" s="115"/>
      <c r="M6" s="115"/>
      <c r="N6" s="127"/>
      <c r="O6" s="29"/>
      <c r="AE6" s="127"/>
      <c r="AF6" s="29"/>
    </row>
    <row r="7" spans="1:32" ht="19.5" x14ac:dyDescent="0.4">
      <c r="A7" s="85" t="s">
        <v>258</v>
      </c>
      <c r="B7" s="126"/>
      <c r="C7" s="126"/>
      <c r="D7" s="126"/>
      <c r="G7" s="125"/>
      <c r="H7" s="126"/>
      <c r="I7" s="126"/>
      <c r="J7" s="126"/>
      <c r="K7" s="115"/>
      <c r="L7" s="115"/>
      <c r="M7" s="115"/>
      <c r="N7" s="127"/>
      <c r="O7" s="29"/>
      <c r="AE7" s="127"/>
      <c r="AF7" s="29"/>
    </row>
    <row r="8" spans="1:32" ht="19.5" x14ac:dyDescent="0.4">
      <c r="A8" s="85" t="s">
        <v>284</v>
      </c>
      <c r="B8" s="126"/>
      <c r="C8" s="126"/>
      <c r="D8" s="126"/>
      <c r="G8" s="125"/>
      <c r="H8" s="126"/>
      <c r="I8" s="126"/>
      <c r="J8" s="126"/>
      <c r="K8" s="115"/>
      <c r="L8" s="115"/>
      <c r="M8" s="115"/>
      <c r="N8" s="127"/>
      <c r="O8" s="29"/>
      <c r="AE8" s="127"/>
      <c r="AF8" s="29"/>
    </row>
    <row r="9" spans="1:32" ht="19.5" x14ac:dyDescent="0.4">
      <c r="A9" s="85" t="s">
        <v>259</v>
      </c>
      <c r="B9" s="126"/>
      <c r="C9" s="126"/>
      <c r="D9" s="126"/>
      <c r="G9" s="125"/>
      <c r="H9" s="126"/>
      <c r="I9" s="126"/>
      <c r="J9" s="126"/>
      <c r="K9" s="115"/>
      <c r="L9" s="115"/>
      <c r="M9" s="115"/>
      <c r="N9" s="127"/>
      <c r="O9" s="29"/>
      <c r="AE9" s="127"/>
      <c r="AF9" s="29"/>
    </row>
    <row r="10" spans="1:32" ht="19.5" x14ac:dyDescent="0.4">
      <c r="A10" s="85" t="s">
        <v>260</v>
      </c>
      <c r="B10" s="126"/>
      <c r="C10" s="126"/>
      <c r="D10" s="126"/>
      <c r="G10" s="125"/>
      <c r="H10" s="126"/>
      <c r="I10" s="126"/>
      <c r="J10" s="126"/>
      <c r="K10" s="115"/>
      <c r="L10" s="115"/>
      <c r="M10" s="115"/>
      <c r="N10" s="127"/>
      <c r="O10" s="29"/>
      <c r="AE10" s="127"/>
      <c r="AF10" s="29"/>
    </row>
    <row r="11" spans="1:32" ht="19.5" x14ac:dyDescent="0.4">
      <c r="A11" s="85" t="s">
        <v>261</v>
      </c>
      <c r="B11" s="126"/>
      <c r="C11" s="126"/>
      <c r="D11" s="126"/>
      <c r="G11" s="125"/>
      <c r="H11" s="126"/>
      <c r="I11" s="126"/>
      <c r="J11" s="126"/>
      <c r="K11" s="115"/>
      <c r="L11" s="115"/>
      <c r="M11" s="115"/>
      <c r="N11" s="127"/>
      <c r="O11" s="29"/>
      <c r="AE11" s="127"/>
      <c r="AF11" s="29"/>
    </row>
    <row r="12" spans="1:32" ht="19.5" x14ac:dyDescent="0.4">
      <c r="A12" s="85" t="s">
        <v>262</v>
      </c>
      <c r="B12" s="126"/>
      <c r="C12" s="126"/>
      <c r="D12" s="126"/>
      <c r="G12" s="125"/>
      <c r="H12" s="126"/>
      <c r="I12" s="126"/>
      <c r="J12" s="126"/>
      <c r="N12" s="127"/>
      <c r="O12" s="29"/>
      <c r="AE12" s="127"/>
      <c r="AF12" s="29"/>
    </row>
    <row r="13" spans="1:32" ht="19.5" x14ac:dyDescent="0.4">
      <c r="A13" s="85" t="s">
        <v>263</v>
      </c>
      <c r="B13" s="126"/>
      <c r="C13" s="126"/>
      <c r="D13" s="126"/>
      <c r="G13" s="125"/>
      <c r="H13" s="126"/>
      <c r="I13" s="126"/>
      <c r="J13" s="126"/>
      <c r="L13" s="115"/>
      <c r="M13" s="115"/>
      <c r="N13" s="127"/>
      <c r="O13" s="29"/>
      <c r="AE13" s="127"/>
      <c r="AF13" s="29"/>
    </row>
    <row r="14" spans="1:32" ht="19.5" x14ac:dyDescent="0.4">
      <c r="A14" s="85" t="s">
        <v>264</v>
      </c>
      <c r="B14" s="126"/>
      <c r="C14" s="126"/>
      <c r="D14" s="126"/>
      <c r="G14" s="125"/>
      <c r="H14" s="126"/>
      <c r="I14" s="126"/>
      <c r="J14" s="126"/>
      <c r="K14" s="115"/>
      <c r="L14" s="115"/>
      <c r="M14" s="115"/>
      <c r="N14" s="127"/>
      <c r="O14" s="29"/>
      <c r="AE14" s="127"/>
      <c r="AF14" s="29"/>
    </row>
    <row r="15" spans="1:32" ht="19.5" x14ac:dyDescent="0.4">
      <c r="A15" s="85" t="s">
        <v>265</v>
      </c>
      <c r="B15" s="126"/>
      <c r="C15" s="126"/>
      <c r="D15" s="126"/>
      <c r="G15" s="125"/>
      <c r="H15" s="126"/>
      <c r="I15" s="126"/>
      <c r="J15" s="126"/>
      <c r="K15" s="115"/>
      <c r="L15" s="115"/>
      <c r="M15" s="115"/>
      <c r="N15" s="127"/>
      <c r="O15" s="29"/>
      <c r="AD15" s="115"/>
      <c r="AE15" s="29"/>
      <c r="AF15" s="29"/>
    </row>
    <row r="16" spans="1:32" ht="19.5" x14ac:dyDescent="0.4">
      <c r="A16" s="85" t="s">
        <v>266</v>
      </c>
      <c r="B16" s="126"/>
      <c r="C16" s="126"/>
      <c r="D16" s="126"/>
      <c r="G16" s="125"/>
      <c r="H16" s="126"/>
      <c r="I16" s="126"/>
      <c r="J16" s="126"/>
      <c r="K16" s="115"/>
      <c r="L16" s="115"/>
      <c r="M16" s="115"/>
      <c r="N16" s="127"/>
      <c r="O16" s="29"/>
      <c r="AD16" s="115"/>
      <c r="AE16" s="29"/>
      <c r="AF16" s="29"/>
    </row>
    <row r="17" spans="1:32" ht="19.5" x14ac:dyDescent="0.4">
      <c r="A17" s="85" t="s">
        <v>285</v>
      </c>
      <c r="B17" s="126"/>
      <c r="C17" s="126"/>
      <c r="D17" s="126"/>
      <c r="G17" s="125"/>
      <c r="H17" s="126"/>
      <c r="I17" s="126"/>
      <c r="J17" s="126"/>
      <c r="K17" s="115"/>
      <c r="L17" s="115"/>
      <c r="M17" s="115"/>
      <c r="N17" s="127"/>
      <c r="O17" s="29"/>
      <c r="AD17" s="115"/>
      <c r="AE17" s="29"/>
      <c r="AF17" s="29"/>
    </row>
    <row r="18" spans="1:32" ht="19.5" x14ac:dyDescent="0.4">
      <c r="A18" s="85" t="s">
        <v>267</v>
      </c>
      <c r="B18" s="126"/>
      <c r="C18" s="126"/>
      <c r="D18" s="126"/>
      <c r="G18" s="125"/>
      <c r="H18" s="126"/>
      <c r="I18" s="126"/>
      <c r="J18" s="126"/>
      <c r="K18" s="115"/>
      <c r="L18" s="115"/>
      <c r="M18" s="115"/>
      <c r="N18" s="127"/>
      <c r="O18" s="29"/>
      <c r="AD18" s="115"/>
      <c r="AE18" s="29"/>
      <c r="AF18" s="29"/>
    </row>
    <row r="19" spans="1:32" ht="19.5" x14ac:dyDescent="0.4">
      <c r="A19" s="85" t="s">
        <v>268</v>
      </c>
      <c r="B19" s="126"/>
      <c r="C19" s="126"/>
      <c r="D19" s="126"/>
      <c r="G19" s="125"/>
      <c r="H19" s="126"/>
      <c r="I19" s="126"/>
      <c r="J19" s="126"/>
      <c r="K19" s="115"/>
      <c r="L19" s="115"/>
      <c r="M19" s="115"/>
      <c r="N19" s="127"/>
      <c r="O19" s="29"/>
      <c r="AD19" s="115"/>
      <c r="AE19" s="29"/>
      <c r="AF19" s="29"/>
    </row>
    <row r="20" spans="1:32" ht="19.5" x14ac:dyDescent="0.4">
      <c r="A20" s="85" t="s">
        <v>269</v>
      </c>
      <c r="B20" s="126"/>
      <c r="C20" s="126"/>
      <c r="D20" s="126"/>
      <c r="G20" s="125"/>
      <c r="H20" s="126"/>
      <c r="I20" s="126"/>
      <c r="J20" s="126"/>
      <c r="K20" s="115"/>
      <c r="L20" s="115"/>
      <c r="M20" s="115"/>
      <c r="N20" s="127"/>
      <c r="O20" s="29"/>
      <c r="AD20" s="115"/>
      <c r="AE20" s="29"/>
      <c r="AF20" s="29"/>
    </row>
    <row r="21" spans="1:32" ht="19.5" x14ac:dyDescent="0.4">
      <c r="A21" s="85" t="s">
        <v>270</v>
      </c>
      <c r="B21" s="126"/>
      <c r="C21" s="126"/>
      <c r="D21" s="126"/>
      <c r="G21" s="125"/>
      <c r="H21" s="126"/>
      <c r="I21" s="126"/>
      <c r="J21" s="126"/>
      <c r="K21" s="115"/>
      <c r="L21" s="115"/>
      <c r="M21" s="115"/>
      <c r="N21" s="127"/>
      <c r="O21" s="29"/>
      <c r="AD21" s="115"/>
      <c r="AE21" s="29"/>
      <c r="AF21" s="29"/>
    </row>
    <row r="22" spans="1:32" ht="19.5" x14ac:dyDescent="0.4">
      <c r="A22" s="85" t="s">
        <v>271</v>
      </c>
      <c r="B22" s="126"/>
      <c r="C22" s="126"/>
      <c r="D22" s="126"/>
      <c r="G22" s="125"/>
      <c r="H22" s="126"/>
      <c r="I22" s="126"/>
      <c r="J22" s="126"/>
      <c r="K22" s="115"/>
      <c r="L22" s="115"/>
      <c r="M22" s="115"/>
      <c r="N22" s="127"/>
      <c r="O22" s="29"/>
      <c r="AD22" s="115"/>
      <c r="AE22" s="29"/>
      <c r="AF22" s="29"/>
    </row>
    <row r="23" spans="1:32" ht="19.5" x14ac:dyDescent="0.4">
      <c r="A23" s="85" t="s">
        <v>339</v>
      </c>
      <c r="B23" s="126"/>
      <c r="C23" s="126"/>
      <c r="D23" s="126"/>
      <c r="G23" s="125"/>
      <c r="H23" s="126"/>
      <c r="I23" s="126"/>
      <c r="J23" s="126"/>
      <c r="K23" s="115"/>
      <c r="L23" s="115"/>
      <c r="M23" s="115"/>
      <c r="N23" s="127"/>
      <c r="O23" s="29"/>
      <c r="AD23" s="115"/>
      <c r="AE23" s="29"/>
      <c r="AF23" s="29"/>
    </row>
    <row r="24" spans="1:32" ht="19.5" x14ac:dyDescent="0.4">
      <c r="A24" s="85" t="s">
        <v>340</v>
      </c>
      <c r="B24" s="126"/>
      <c r="C24" s="126"/>
      <c r="D24" s="126"/>
      <c r="G24" s="125"/>
      <c r="H24" s="126"/>
      <c r="I24" s="126"/>
      <c r="J24" s="126"/>
      <c r="K24" s="115"/>
      <c r="L24" s="115"/>
      <c r="M24" s="115"/>
      <c r="N24" s="127"/>
      <c r="O24" s="29"/>
      <c r="AD24" s="115"/>
      <c r="AE24" s="29"/>
      <c r="AF24" s="29"/>
    </row>
    <row r="25" spans="1:32" ht="19.5" x14ac:dyDescent="0.4">
      <c r="A25" s="85" t="s">
        <v>341</v>
      </c>
      <c r="B25" s="126"/>
      <c r="C25" s="126"/>
      <c r="D25" s="126"/>
      <c r="G25" s="125"/>
      <c r="H25" s="126"/>
      <c r="I25" s="126"/>
      <c r="J25" s="126"/>
      <c r="K25" s="115"/>
      <c r="L25" s="115"/>
      <c r="M25" s="115"/>
      <c r="N25" s="127"/>
      <c r="O25" s="29"/>
      <c r="AC25" s="115"/>
      <c r="AD25" s="115"/>
      <c r="AE25" s="127"/>
      <c r="AF25" s="29"/>
    </row>
    <row r="26" spans="1:32" ht="19.5" x14ac:dyDescent="0.4">
      <c r="A26" s="85" t="s">
        <v>342</v>
      </c>
      <c r="B26" s="126"/>
      <c r="C26" s="126"/>
      <c r="D26" s="126"/>
      <c r="G26" s="125"/>
      <c r="H26" s="126"/>
      <c r="I26" s="126"/>
      <c r="J26" s="126"/>
      <c r="K26" s="115"/>
      <c r="L26" s="115"/>
      <c r="M26" s="115"/>
      <c r="N26" s="127"/>
      <c r="O26" s="29"/>
      <c r="AC26" s="115"/>
      <c r="AD26" s="115"/>
      <c r="AE26" s="127"/>
      <c r="AF26" s="29"/>
    </row>
    <row r="27" spans="1:32" ht="19.5" x14ac:dyDescent="0.4">
      <c r="A27" s="85" t="s">
        <v>343</v>
      </c>
      <c r="B27" s="126"/>
      <c r="C27" s="126"/>
      <c r="D27" s="126"/>
      <c r="G27" s="125"/>
      <c r="H27" s="126"/>
      <c r="I27" s="126"/>
      <c r="J27" s="126"/>
      <c r="K27" s="115"/>
      <c r="L27" s="115"/>
      <c r="M27" s="115"/>
      <c r="N27" s="127"/>
      <c r="O27" s="29"/>
      <c r="AC27" s="115"/>
      <c r="AD27" s="115"/>
      <c r="AE27" s="127"/>
      <c r="AF27" s="29"/>
    </row>
    <row r="28" spans="1:32" ht="19.5" x14ac:dyDescent="0.4">
      <c r="A28" s="85" t="s">
        <v>272</v>
      </c>
      <c r="B28" s="126"/>
      <c r="C28" s="126"/>
      <c r="D28" s="126"/>
      <c r="H28" s="115"/>
      <c r="I28" s="115"/>
      <c r="J28" s="115"/>
      <c r="K28" s="115"/>
      <c r="L28" s="115"/>
      <c r="M28" s="115"/>
      <c r="N28" s="127"/>
      <c r="O28" s="29"/>
      <c r="AC28" s="115"/>
      <c r="AD28" s="115"/>
      <c r="AE28" s="127"/>
      <c r="AF28" s="29"/>
    </row>
    <row r="29" spans="1:32" ht="19.5" x14ac:dyDescent="0.4">
      <c r="A29" s="85" t="s">
        <v>344</v>
      </c>
      <c r="B29" s="126"/>
      <c r="C29" s="126"/>
      <c r="D29" s="126"/>
      <c r="H29" s="115"/>
      <c r="I29" s="115"/>
      <c r="J29" s="115"/>
      <c r="K29" s="115"/>
      <c r="L29" s="115"/>
      <c r="M29" s="115"/>
      <c r="N29" s="127"/>
      <c r="O29" s="29"/>
      <c r="AC29" s="115"/>
      <c r="AD29" s="115"/>
      <c r="AE29" s="127"/>
      <c r="AF29" s="29"/>
    </row>
    <row r="30" spans="1:32" ht="19.5" x14ac:dyDescent="0.4">
      <c r="A30" s="85" t="s">
        <v>308</v>
      </c>
      <c r="B30" s="126"/>
      <c r="C30" s="126"/>
      <c r="D30" s="126"/>
      <c r="H30" s="115"/>
      <c r="I30" s="115"/>
      <c r="J30" s="115"/>
      <c r="K30" s="115"/>
      <c r="L30" s="115"/>
      <c r="M30" s="115"/>
      <c r="N30" s="127"/>
      <c r="O30" s="29"/>
      <c r="AC30" s="115"/>
      <c r="AD30" s="115"/>
      <c r="AE30" s="127"/>
      <c r="AF30" s="29"/>
    </row>
    <row r="31" spans="1:32" ht="19.5" x14ac:dyDescent="0.4">
      <c r="A31" s="85" t="s">
        <v>309</v>
      </c>
      <c r="B31" s="126"/>
      <c r="C31" s="126"/>
      <c r="D31" s="126"/>
      <c r="H31" s="115"/>
      <c r="I31" s="115"/>
      <c r="J31" s="115"/>
      <c r="K31" s="115"/>
      <c r="L31" s="115"/>
      <c r="M31" s="115"/>
      <c r="N31" s="127"/>
      <c r="O31" s="29"/>
      <c r="AC31" s="115"/>
      <c r="AD31" s="115"/>
      <c r="AE31" s="29"/>
      <c r="AF31" s="29"/>
    </row>
    <row r="32" spans="1:32" ht="19.5" x14ac:dyDescent="0.4">
      <c r="A32" s="85" t="s">
        <v>310</v>
      </c>
      <c r="B32" s="126"/>
      <c r="C32" s="126"/>
      <c r="D32" s="126"/>
      <c r="H32" s="115"/>
      <c r="I32" s="115"/>
      <c r="J32" s="115"/>
      <c r="K32" s="115"/>
      <c r="L32" s="115"/>
      <c r="M32" s="115"/>
      <c r="N32" s="127"/>
      <c r="O32" s="29"/>
      <c r="AC32" s="115"/>
      <c r="AD32" s="115"/>
      <c r="AE32" s="29"/>
      <c r="AF32" s="29"/>
    </row>
    <row r="33" spans="1:32" ht="19.5" x14ac:dyDescent="0.4">
      <c r="A33" s="85" t="s">
        <v>311</v>
      </c>
      <c r="B33" s="126"/>
      <c r="C33" s="126"/>
      <c r="D33" s="126"/>
      <c r="H33" s="115"/>
      <c r="I33" s="115"/>
      <c r="J33" s="115"/>
      <c r="K33" s="115"/>
      <c r="L33" s="115"/>
      <c r="M33" s="115"/>
      <c r="N33" s="127"/>
      <c r="O33" s="29"/>
      <c r="AC33" s="115"/>
      <c r="AD33" s="115"/>
      <c r="AE33" s="29"/>
      <c r="AF33" s="29"/>
    </row>
    <row r="34" spans="1:32" ht="19.5" x14ac:dyDescent="0.4">
      <c r="A34" s="85" t="s">
        <v>312</v>
      </c>
      <c r="B34" s="126"/>
      <c r="C34" s="126"/>
      <c r="D34" s="126"/>
      <c r="H34" s="115"/>
      <c r="I34" s="115"/>
      <c r="J34" s="115"/>
      <c r="K34" s="115"/>
      <c r="L34" s="115"/>
      <c r="M34" s="115"/>
      <c r="N34" s="127"/>
      <c r="O34" s="29"/>
      <c r="AC34" s="115"/>
      <c r="AD34" s="115"/>
      <c r="AE34" s="29"/>
      <c r="AF34" s="29"/>
    </row>
    <row r="35" spans="1:32" ht="19.5" x14ac:dyDescent="0.4">
      <c r="A35" s="85" t="s">
        <v>313</v>
      </c>
      <c r="B35" s="126"/>
      <c r="C35" s="126"/>
      <c r="D35" s="126"/>
      <c r="H35" s="115"/>
      <c r="I35" s="115"/>
      <c r="J35" s="115"/>
      <c r="K35" s="115"/>
      <c r="L35" s="115"/>
      <c r="M35" s="115"/>
      <c r="N35" s="127"/>
      <c r="O35" s="29"/>
      <c r="AC35" s="115"/>
      <c r="AD35" s="115"/>
      <c r="AE35" s="29"/>
      <c r="AF35" s="29"/>
    </row>
    <row r="36" spans="1:32" ht="19.5" x14ac:dyDescent="0.4">
      <c r="A36" s="85" t="s">
        <v>286</v>
      </c>
      <c r="B36" s="126"/>
      <c r="C36" s="126"/>
      <c r="D36" s="126"/>
      <c r="H36" s="115"/>
      <c r="I36" s="115"/>
      <c r="J36" s="115"/>
      <c r="K36" s="115"/>
      <c r="L36" s="115"/>
      <c r="M36" s="115"/>
      <c r="N36" s="127"/>
      <c r="O36" s="29"/>
      <c r="AC36" s="115"/>
      <c r="AD36" s="115"/>
      <c r="AE36" s="29"/>
      <c r="AF36" s="29"/>
    </row>
    <row r="37" spans="1:32" ht="19.5" x14ac:dyDescent="0.4">
      <c r="A37" s="85" t="s">
        <v>314</v>
      </c>
      <c r="B37" s="126"/>
      <c r="C37" s="126"/>
      <c r="D37" s="126"/>
      <c r="H37" s="115"/>
      <c r="I37" s="115"/>
      <c r="J37" s="115"/>
      <c r="K37" s="115"/>
      <c r="L37" s="115"/>
      <c r="M37" s="115"/>
      <c r="N37" s="127"/>
      <c r="O37" s="29"/>
      <c r="AC37" s="115"/>
      <c r="AD37" s="115"/>
      <c r="AE37" s="29"/>
      <c r="AF37" s="29"/>
    </row>
    <row r="38" spans="1:32" ht="19.5" x14ac:dyDescent="0.4">
      <c r="A38" s="85" t="s">
        <v>220</v>
      </c>
      <c r="B38" s="126"/>
      <c r="C38" s="126"/>
      <c r="D38" s="126"/>
      <c r="H38" s="115"/>
      <c r="I38" s="115"/>
      <c r="J38" s="115"/>
      <c r="K38" s="115"/>
      <c r="L38" s="115"/>
      <c r="M38" s="115"/>
      <c r="N38" s="127"/>
      <c r="O38" s="29"/>
      <c r="AC38" s="115"/>
      <c r="AD38" s="115"/>
      <c r="AE38" s="29"/>
      <c r="AF38" s="29"/>
    </row>
    <row r="39" spans="1:32" ht="19.5" x14ac:dyDescent="0.4">
      <c r="A39" s="85" t="s">
        <v>315</v>
      </c>
      <c r="B39" s="126"/>
      <c r="C39" s="126"/>
      <c r="D39" s="126"/>
      <c r="H39" s="115"/>
      <c r="I39" s="115"/>
      <c r="J39" s="115"/>
      <c r="K39" s="115"/>
      <c r="L39" s="115"/>
      <c r="M39" s="115"/>
      <c r="N39" s="127"/>
      <c r="O39" s="29"/>
      <c r="AC39" s="115"/>
      <c r="AD39" s="115"/>
      <c r="AE39" s="29"/>
      <c r="AF39" s="29"/>
    </row>
    <row r="40" spans="1:32" ht="19.5" x14ac:dyDescent="0.4">
      <c r="A40" s="85" t="s">
        <v>195</v>
      </c>
      <c r="B40" s="126"/>
      <c r="C40" s="126"/>
      <c r="D40" s="126"/>
      <c r="H40" s="115"/>
      <c r="I40" s="115"/>
      <c r="J40" s="115"/>
      <c r="K40" s="115"/>
      <c r="L40" s="115"/>
      <c r="M40" s="115"/>
      <c r="N40" s="127"/>
      <c r="O40" s="29"/>
      <c r="AC40" s="115"/>
      <c r="AD40" s="115"/>
      <c r="AE40" s="29"/>
      <c r="AF40" s="29"/>
    </row>
    <row r="41" spans="1:32" ht="19.5" x14ac:dyDescent="0.4">
      <c r="A41" s="85" t="s">
        <v>316</v>
      </c>
      <c r="B41" s="126"/>
      <c r="C41" s="126"/>
      <c r="D41" s="126"/>
      <c r="H41" s="115"/>
      <c r="I41" s="115"/>
      <c r="J41" s="115"/>
      <c r="K41" s="115"/>
      <c r="L41" s="115"/>
      <c r="M41" s="115"/>
      <c r="N41" s="127"/>
      <c r="O41" s="29"/>
      <c r="AB41" s="115"/>
      <c r="AC41" s="115"/>
      <c r="AD41" s="115"/>
      <c r="AE41" s="127"/>
      <c r="AF41" s="29"/>
    </row>
    <row r="42" spans="1:32" ht="19.5" x14ac:dyDescent="0.4">
      <c r="A42" s="86" t="s">
        <v>317</v>
      </c>
      <c r="B42" s="126"/>
      <c r="C42" s="126"/>
      <c r="D42" s="126"/>
      <c r="H42" s="115"/>
      <c r="I42" s="115"/>
      <c r="J42" s="115"/>
      <c r="K42" s="115"/>
      <c r="L42" s="115"/>
      <c r="M42" s="115"/>
      <c r="N42" s="127"/>
      <c r="O42" s="29"/>
      <c r="AB42" s="115"/>
      <c r="AC42" s="115"/>
      <c r="AD42" s="115"/>
      <c r="AE42" s="127"/>
      <c r="AF42" s="29"/>
    </row>
    <row r="43" spans="1:32" ht="19.5" x14ac:dyDescent="0.4">
      <c r="A43" s="86" t="s">
        <v>318</v>
      </c>
      <c r="B43" s="126"/>
      <c r="C43" s="126"/>
      <c r="D43" s="126"/>
      <c r="H43" s="115"/>
      <c r="I43" s="115"/>
      <c r="J43" s="115"/>
      <c r="K43" s="115"/>
      <c r="L43" s="115"/>
      <c r="M43" s="115"/>
      <c r="N43" s="127"/>
      <c r="O43" s="29"/>
      <c r="AB43" s="115"/>
      <c r="AC43" s="115"/>
      <c r="AD43" s="115"/>
      <c r="AE43" s="127"/>
      <c r="AF43" s="29"/>
    </row>
    <row r="44" spans="1:32" ht="19.5" x14ac:dyDescent="0.4">
      <c r="A44" s="85" t="s">
        <v>319</v>
      </c>
      <c r="B44" s="126"/>
      <c r="C44" s="126"/>
      <c r="D44" s="126"/>
      <c r="H44" s="115"/>
      <c r="I44" s="115"/>
      <c r="J44" s="115"/>
      <c r="K44" s="115"/>
      <c r="L44" s="115"/>
      <c r="M44" s="115"/>
      <c r="N44" s="127"/>
      <c r="O44" s="29"/>
      <c r="AB44" s="115"/>
      <c r="AC44" s="115"/>
      <c r="AD44" s="115"/>
      <c r="AE44" s="127"/>
      <c r="AF44" s="29"/>
    </row>
    <row r="45" spans="1:32" ht="19.5" x14ac:dyDescent="0.4">
      <c r="A45" s="85" t="s">
        <v>221</v>
      </c>
      <c r="B45" s="126"/>
      <c r="C45" s="126"/>
      <c r="D45" s="126"/>
      <c r="H45" s="115"/>
      <c r="I45" s="115"/>
      <c r="J45" s="115"/>
      <c r="K45" s="115"/>
      <c r="L45" s="115"/>
      <c r="M45" s="115"/>
      <c r="N45" s="127"/>
      <c r="O45" s="29"/>
      <c r="AB45" s="115"/>
      <c r="AC45" s="115"/>
      <c r="AD45" s="115"/>
      <c r="AE45" s="127"/>
      <c r="AF45" s="29"/>
    </row>
    <row r="46" spans="1:32" ht="19.5" x14ac:dyDescent="0.4">
      <c r="A46" s="85" t="s">
        <v>346</v>
      </c>
      <c r="B46" s="126"/>
      <c r="C46" s="126"/>
      <c r="D46" s="126"/>
      <c r="H46" s="115"/>
      <c r="I46" s="115"/>
      <c r="J46" s="115"/>
      <c r="K46" s="115"/>
      <c r="L46" s="115"/>
      <c r="M46" s="115"/>
      <c r="N46" s="127"/>
      <c r="O46" s="29"/>
      <c r="AB46" s="115"/>
      <c r="AC46" s="115"/>
      <c r="AD46" s="115"/>
      <c r="AE46" s="127"/>
      <c r="AF46" s="29"/>
    </row>
    <row r="47" spans="1:32" ht="19.5" x14ac:dyDescent="0.4">
      <c r="A47" s="85" t="s">
        <v>345</v>
      </c>
      <c r="B47" s="126"/>
      <c r="C47" s="126"/>
      <c r="D47" s="126"/>
      <c r="H47" s="115"/>
      <c r="I47" s="115"/>
      <c r="J47" s="115"/>
      <c r="K47" s="115"/>
      <c r="L47" s="115"/>
      <c r="M47" s="115"/>
      <c r="N47" s="127"/>
      <c r="O47" s="29"/>
      <c r="AA47" s="115"/>
      <c r="AB47" s="115"/>
      <c r="AC47" s="115"/>
      <c r="AD47" s="115"/>
      <c r="AE47" s="127"/>
      <c r="AF47" s="29"/>
    </row>
    <row r="48" spans="1:32" ht="19.5" x14ac:dyDescent="0.4">
      <c r="A48" s="85" t="s">
        <v>196</v>
      </c>
      <c r="B48" s="126"/>
      <c r="C48" s="126"/>
      <c r="D48" s="126"/>
      <c r="H48" s="115"/>
      <c r="I48" s="115"/>
      <c r="J48" s="115"/>
      <c r="K48" s="115"/>
      <c r="L48" s="115"/>
      <c r="M48" s="115"/>
      <c r="N48" s="127"/>
      <c r="O48" s="29"/>
      <c r="AA48" s="115"/>
      <c r="AB48" s="115"/>
      <c r="AC48" s="115"/>
      <c r="AD48" s="115"/>
      <c r="AE48" s="127"/>
      <c r="AF48" s="29"/>
    </row>
    <row r="49" spans="1:32" ht="19.5" x14ac:dyDescent="0.4">
      <c r="A49" s="85" t="s">
        <v>347</v>
      </c>
      <c r="B49" s="126"/>
      <c r="C49" s="126"/>
      <c r="D49" s="126"/>
      <c r="H49" s="115"/>
      <c r="I49" s="115"/>
      <c r="J49" s="115"/>
      <c r="K49" s="115"/>
      <c r="L49" s="115"/>
      <c r="M49" s="115"/>
      <c r="N49" s="127"/>
      <c r="O49" s="29"/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85" t="s">
        <v>348</v>
      </c>
      <c r="B50" s="126"/>
      <c r="C50" s="126"/>
      <c r="D50" s="126"/>
      <c r="H50" s="115"/>
      <c r="I50" s="115"/>
      <c r="J50" s="115"/>
      <c r="K50" s="115"/>
      <c r="L50" s="115"/>
      <c r="M50" s="115"/>
      <c r="N50" s="127"/>
      <c r="O50" s="29"/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85" t="s">
        <v>197</v>
      </c>
      <c r="B51" s="126"/>
      <c r="C51" s="126"/>
      <c r="D51" s="126"/>
      <c r="H51" s="115"/>
      <c r="I51" s="115"/>
      <c r="J51" s="115"/>
      <c r="K51" s="115"/>
      <c r="L51" s="115"/>
      <c r="M51" s="115"/>
      <c r="N51" s="127"/>
      <c r="O51" s="29"/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85" t="s">
        <v>223</v>
      </c>
      <c r="B52" s="126"/>
      <c r="C52" s="126"/>
      <c r="D52" s="126"/>
      <c r="H52" s="115"/>
      <c r="I52" s="115"/>
      <c r="J52" s="115"/>
      <c r="K52" s="115"/>
      <c r="L52" s="115"/>
      <c r="M52" s="115"/>
      <c r="N52" s="127"/>
      <c r="O52" s="29"/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85" t="s">
        <v>224</v>
      </c>
      <c r="B53" s="126"/>
      <c r="C53" s="126"/>
      <c r="D53" s="126"/>
      <c r="H53" s="115"/>
      <c r="I53" s="115"/>
      <c r="J53" s="115"/>
      <c r="K53" s="115"/>
      <c r="L53" s="115"/>
      <c r="M53" s="115"/>
      <c r="N53" s="127"/>
      <c r="O53" s="29"/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85" t="s">
        <v>225</v>
      </c>
      <c r="B54" s="126"/>
      <c r="C54" s="126"/>
      <c r="D54" s="126"/>
      <c r="H54" s="115"/>
      <c r="I54" s="115"/>
      <c r="J54" s="115"/>
      <c r="K54" s="115"/>
      <c r="L54" s="115"/>
      <c r="M54" s="115"/>
      <c r="N54" s="127"/>
      <c r="O54" s="29"/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85" t="s">
        <v>226</v>
      </c>
      <c r="B55" s="126"/>
      <c r="C55" s="126"/>
      <c r="D55" s="126"/>
      <c r="H55" s="115"/>
      <c r="I55" s="115"/>
      <c r="J55" s="115"/>
      <c r="K55" s="115"/>
      <c r="L55" s="115"/>
      <c r="M55" s="115"/>
      <c r="N55" s="127"/>
      <c r="O55" s="29"/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85" t="s">
        <v>227</v>
      </c>
      <c r="B56" s="126"/>
      <c r="C56" s="126"/>
      <c r="D56" s="126"/>
      <c r="H56" s="115"/>
      <c r="I56" s="115"/>
      <c r="J56" s="115"/>
      <c r="K56" s="115"/>
      <c r="L56" s="115"/>
      <c r="M56" s="115"/>
      <c r="N56" s="127"/>
      <c r="O56" s="29"/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85" t="s">
        <v>228</v>
      </c>
      <c r="B57" s="126"/>
      <c r="C57" s="126"/>
      <c r="D57" s="126"/>
      <c r="H57" s="115"/>
      <c r="I57" s="115"/>
      <c r="J57" s="115"/>
      <c r="K57" s="115"/>
      <c r="L57" s="115"/>
      <c r="M57" s="115"/>
      <c r="N57" s="127"/>
      <c r="O57" s="29"/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85" t="s">
        <v>229</v>
      </c>
      <c r="B58" s="126"/>
      <c r="C58" s="126"/>
      <c r="D58" s="126"/>
      <c r="H58" s="115"/>
      <c r="I58" s="115"/>
      <c r="J58" s="115"/>
      <c r="K58" s="115"/>
      <c r="L58" s="115"/>
      <c r="M58" s="115"/>
      <c r="N58" s="127"/>
      <c r="O58" s="29"/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85" t="s">
        <v>230</v>
      </c>
      <c r="B59" s="126"/>
      <c r="C59" s="126"/>
      <c r="D59" s="126"/>
      <c r="H59" s="115"/>
      <c r="I59" s="115"/>
      <c r="J59" s="115"/>
      <c r="K59" s="115"/>
      <c r="L59" s="115"/>
      <c r="M59" s="115"/>
      <c r="N59" s="127"/>
      <c r="O59" s="29"/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85" t="s">
        <v>231</v>
      </c>
      <c r="B60" s="126"/>
      <c r="C60" s="126"/>
      <c r="D60" s="126"/>
      <c r="H60" s="115"/>
      <c r="I60" s="115"/>
      <c r="J60" s="115"/>
      <c r="K60" s="115"/>
      <c r="L60" s="115"/>
      <c r="M60" s="115"/>
      <c r="N60" s="127"/>
      <c r="O60" s="29"/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85" t="s">
        <v>232</v>
      </c>
      <c r="B61" s="126"/>
      <c r="C61" s="126"/>
      <c r="D61" s="126"/>
      <c r="H61" s="115"/>
      <c r="I61" s="115"/>
      <c r="J61" s="115"/>
      <c r="K61" s="115"/>
      <c r="L61" s="115"/>
      <c r="M61" s="115"/>
      <c r="N61" s="127"/>
      <c r="O61" s="29"/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85" t="s">
        <v>233</v>
      </c>
      <c r="B62" s="126"/>
      <c r="C62" s="126"/>
      <c r="D62" s="126"/>
      <c r="H62" s="115"/>
      <c r="I62" s="115"/>
      <c r="J62" s="115"/>
      <c r="K62" s="115"/>
      <c r="L62" s="115"/>
      <c r="M62" s="115"/>
      <c r="N62" s="127"/>
      <c r="O62" s="29"/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85" t="s">
        <v>234</v>
      </c>
      <c r="B63" s="126"/>
      <c r="C63" s="126"/>
      <c r="D63" s="126"/>
      <c r="H63" s="115"/>
      <c r="I63" s="115"/>
      <c r="J63" s="115"/>
      <c r="K63" s="115"/>
      <c r="L63" s="115"/>
      <c r="M63" s="115"/>
      <c r="N63" s="127"/>
      <c r="O63" s="29"/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85" t="s">
        <v>239</v>
      </c>
      <c r="B64" s="126"/>
      <c r="C64" s="126"/>
      <c r="D64" s="126"/>
      <c r="H64" s="115"/>
      <c r="I64" s="115"/>
      <c r="J64" s="115"/>
      <c r="K64" s="115"/>
      <c r="L64" s="115"/>
      <c r="M64" s="115"/>
      <c r="N64" s="127"/>
      <c r="O64" s="29"/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85" t="s">
        <v>240</v>
      </c>
      <c r="B65" s="126"/>
      <c r="C65" s="126"/>
      <c r="D65" s="126"/>
      <c r="H65" s="115"/>
      <c r="I65" s="115"/>
      <c r="J65" s="115"/>
      <c r="K65" s="115"/>
      <c r="L65" s="115"/>
      <c r="M65" s="115"/>
      <c r="N65" s="127"/>
      <c r="O65" s="29"/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85" t="s">
        <v>241</v>
      </c>
      <c r="B66" s="126"/>
      <c r="C66" s="126"/>
      <c r="D66" s="126"/>
      <c r="H66" s="115"/>
      <c r="I66" s="115"/>
      <c r="J66" s="115"/>
      <c r="K66" s="115"/>
      <c r="L66" s="115"/>
      <c r="M66" s="115"/>
      <c r="N66" s="127"/>
      <c r="O66" s="29"/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85" t="s">
        <v>242</v>
      </c>
      <c r="B67" s="126"/>
      <c r="C67" s="126"/>
      <c r="D67" s="126"/>
      <c r="H67" s="115"/>
      <c r="I67" s="115"/>
      <c r="J67" s="115"/>
      <c r="K67" s="115"/>
      <c r="L67" s="115"/>
      <c r="M67" s="115"/>
      <c r="N67" s="127"/>
      <c r="O67" s="29"/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85" t="s">
        <v>243</v>
      </c>
      <c r="B68" s="126"/>
      <c r="C68" s="126"/>
      <c r="D68" s="126"/>
      <c r="H68" s="115"/>
      <c r="I68" s="115"/>
      <c r="J68" s="115"/>
      <c r="K68" s="115"/>
      <c r="L68" s="115"/>
      <c r="M68" s="115"/>
      <c r="N68" s="127"/>
      <c r="O68" s="29"/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85" t="s">
        <v>244</v>
      </c>
      <c r="B69" s="126"/>
      <c r="C69" s="126"/>
      <c r="D69" s="126"/>
      <c r="H69" s="115"/>
      <c r="I69" s="115"/>
      <c r="J69" s="115"/>
      <c r="K69" s="115"/>
      <c r="L69" s="115"/>
      <c r="M69" s="115"/>
      <c r="N69" s="127"/>
      <c r="O69" s="29"/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85" t="s">
        <v>245</v>
      </c>
      <c r="B70" s="126"/>
      <c r="C70" s="126"/>
      <c r="D70" s="126"/>
      <c r="H70" s="115"/>
      <c r="I70" s="115"/>
      <c r="J70" s="115"/>
      <c r="K70" s="115"/>
      <c r="L70" s="115"/>
      <c r="M70" s="115"/>
      <c r="N70" s="127"/>
      <c r="O70" s="29"/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85" t="s">
        <v>246</v>
      </c>
      <c r="B71" s="126"/>
      <c r="C71" s="126"/>
      <c r="D71" s="126"/>
      <c r="H71" s="115"/>
      <c r="I71" s="115"/>
      <c r="J71" s="115"/>
      <c r="K71" s="115"/>
      <c r="L71" s="115"/>
      <c r="M71" s="115"/>
      <c r="N71" s="127"/>
      <c r="O71" s="29"/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85" t="s">
        <v>247</v>
      </c>
      <c r="B72" s="126"/>
      <c r="C72" s="126"/>
      <c r="D72" s="126"/>
      <c r="H72" s="115"/>
      <c r="I72" s="115"/>
      <c r="J72" s="115"/>
      <c r="K72" s="115"/>
      <c r="L72" s="115"/>
      <c r="M72" s="115"/>
      <c r="N72" s="127"/>
      <c r="O72" s="29"/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85" t="s">
        <v>248</v>
      </c>
      <c r="B73" s="126"/>
      <c r="C73" s="126"/>
      <c r="D73" s="126"/>
      <c r="H73" s="115"/>
      <c r="I73" s="115"/>
      <c r="J73" s="115"/>
      <c r="K73" s="115"/>
      <c r="L73" s="115"/>
      <c r="M73" s="115"/>
      <c r="N73" s="127"/>
      <c r="O73" s="127"/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85" t="s">
        <v>249</v>
      </c>
      <c r="B74" s="126"/>
      <c r="C74" s="126"/>
      <c r="D74" s="126"/>
      <c r="H74" s="115"/>
      <c r="I74" s="115"/>
      <c r="J74" s="115"/>
      <c r="K74" s="115"/>
      <c r="L74" s="115"/>
      <c r="M74" s="115"/>
      <c r="N74" s="127"/>
      <c r="O74" s="29"/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85" t="s">
        <v>250</v>
      </c>
      <c r="B75" s="126"/>
      <c r="C75" s="126"/>
      <c r="D75" s="126"/>
      <c r="H75" s="115"/>
      <c r="I75" s="115"/>
      <c r="J75" s="115"/>
      <c r="K75" s="115"/>
      <c r="L75" s="115"/>
      <c r="M75" s="115"/>
      <c r="N75" s="127"/>
      <c r="O75" s="29"/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85" t="s">
        <v>358</v>
      </c>
      <c r="B76" s="126"/>
      <c r="C76" s="126"/>
      <c r="D76" s="126"/>
      <c r="H76" s="115"/>
      <c r="I76" s="115"/>
      <c r="J76" s="115"/>
      <c r="K76" s="115"/>
      <c r="L76" s="115"/>
      <c r="M76" s="115"/>
      <c r="N76" s="127"/>
      <c r="O76" s="29"/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85" t="s">
        <v>199</v>
      </c>
      <c r="B77" s="126"/>
      <c r="C77" s="126"/>
      <c r="D77" s="126"/>
      <c r="H77" s="115"/>
      <c r="I77" s="115"/>
      <c r="J77" s="115"/>
      <c r="K77" s="115"/>
      <c r="L77" s="115"/>
      <c r="M77" s="115"/>
      <c r="N77" s="127"/>
      <c r="O77" s="29"/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85" t="s">
        <v>200</v>
      </c>
      <c r="B78" s="126"/>
      <c r="C78" s="126"/>
      <c r="D78" s="126"/>
      <c r="H78" s="115"/>
      <c r="I78" s="115"/>
      <c r="J78" s="115"/>
      <c r="K78" s="115"/>
      <c r="L78" s="115"/>
      <c r="M78" s="115"/>
      <c r="N78" s="127"/>
      <c r="O78" s="127"/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85" t="s">
        <v>201</v>
      </c>
      <c r="B79" s="126"/>
      <c r="C79" s="126"/>
      <c r="D79" s="126"/>
      <c r="H79" s="115"/>
      <c r="I79" s="115"/>
      <c r="J79" s="115"/>
      <c r="K79" s="115"/>
      <c r="L79" s="115"/>
      <c r="M79" s="115"/>
      <c r="N79" s="127"/>
      <c r="O79" s="127"/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85" t="s">
        <v>202</v>
      </c>
      <c r="B80" s="126"/>
      <c r="C80" s="126"/>
      <c r="D80" s="126"/>
      <c r="H80" s="115"/>
      <c r="I80" s="115"/>
      <c r="J80" s="115"/>
      <c r="K80" s="115"/>
      <c r="L80" s="115"/>
      <c r="M80" s="115"/>
      <c r="N80" s="127"/>
      <c r="O80" s="127"/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85" t="s">
        <v>198</v>
      </c>
      <c r="B81" s="126"/>
      <c r="C81" s="126"/>
      <c r="D81" s="126"/>
      <c r="H81" s="115"/>
      <c r="I81" s="115"/>
      <c r="J81" s="115"/>
      <c r="K81" s="115"/>
      <c r="L81" s="115"/>
      <c r="M81" s="115"/>
      <c r="N81" s="127"/>
      <c r="O81" s="127"/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85" t="s">
        <v>210</v>
      </c>
      <c r="B82" s="126"/>
      <c r="C82" s="126"/>
      <c r="D82" s="126"/>
      <c r="H82" s="115"/>
      <c r="I82" s="115"/>
      <c r="J82" s="115"/>
      <c r="K82" s="115"/>
      <c r="L82" s="115"/>
      <c r="M82" s="115"/>
      <c r="N82" s="127"/>
      <c r="O82" s="127"/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85" t="s">
        <v>211</v>
      </c>
      <c r="B83" s="126"/>
      <c r="C83" s="126"/>
      <c r="D83" s="126"/>
      <c r="H83" s="115"/>
      <c r="I83" s="115"/>
      <c r="J83" s="115"/>
      <c r="K83" s="115"/>
      <c r="L83" s="115"/>
      <c r="M83" s="115"/>
      <c r="N83" s="127"/>
      <c r="O83" s="127"/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85" t="s">
        <v>212</v>
      </c>
      <c r="B84" s="126"/>
      <c r="C84" s="126"/>
      <c r="D84" s="126"/>
      <c r="H84" s="115"/>
      <c r="I84" s="115"/>
      <c r="J84" s="115"/>
      <c r="K84" s="115"/>
      <c r="L84" s="115"/>
      <c r="M84" s="115"/>
      <c r="N84" s="127"/>
      <c r="O84" s="29"/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85" t="s">
        <v>213</v>
      </c>
      <c r="B85" s="126"/>
      <c r="C85" s="126"/>
      <c r="D85" s="126"/>
      <c r="H85" s="115"/>
      <c r="I85" s="115"/>
      <c r="J85" s="115"/>
      <c r="K85" s="115"/>
      <c r="L85" s="115"/>
      <c r="M85" s="115"/>
      <c r="N85" s="127"/>
      <c r="O85" s="29"/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85" t="s">
        <v>214</v>
      </c>
      <c r="B86" s="126"/>
      <c r="C86" s="126"/>
      <c r="D86" s="126"/>
      <c r="H86" s="115"/>
      <c r="I86" s="115"/>
      <c r="J86" s="115"/>
      <c r="K86" s="115"/>
      <c r="L86" s="115"/>
      <c r="M86" s="115"/>
      <c r="N86" s="127"/>
      <c r="O86" s="29"/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85" t="s">
        <v>215</v>
      </c>
      <c r="B87" s="126"/>
      <c r="C87" s="126"/>
      <c r="D87" s="126"/>
      <c r="H87" s="115"/>
      <c r="I87" s="115"/>
      <c r="J87" s="115"/>
      <c r="K87" s="115"/>
      <c r="L87" s="115"/>
      <c r="M87" s="115"/>
      <c r="N87" s="127"/>
      <c r="O87" s="29"/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85" t="s">
        <v>216</v>
      </c>
      <c r="B88" s="126"/>
      <c r="C88" s="126"/>
      <c r="D88" s="126"/>
      <c r="H88" s="115"/>
      <c r="I88" s="115"/>
      <c r="J88" s="115"/>
      <c r="K88" s="115"/>
      <c r="L88" s="115"/>
      <c r="M88" s="115"/>
      <c r="N88" s="127"/>
      <c r="O88" s="29"/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85" t="s">
        <v>217</v>
      </c>
      <c r="B89" s="126"/>
      <c r="C89" s="126"/>
      <c r="D89" s="126"/>
      <c r="H89" s="115"/>
      <c r="I89" s="115"/>
      <c r="J89" s="115"/>
      <c r="K89" s="115"/>
      <c r="L89" s="115"/>
      <c r="M89" s="115"/>
      <c r="N89" s="127"/>
      <c r="O89" s="29"/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85" t="s">
        <v>218</v>
      </c>
      <c r="B90" s="126"/>
      <c r="C90" s="126"/>
      <c r="D90" s="126"/>
      <c r="H90" s="115"/>
      <c r="I90" s="115"/>
      <c r="J90" s="115"/>
      <c r="K90" s="115"/>
      <c r="L90" s="115"/>
      <c r="M90" s="115"/>
      <c r="N90" s="127"/>
      <c r="O90" s="29"/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85" t="s">
        <v>219</v>
      </c>
      <c r="B91" s="126"/>
      <c r="C91" s="126"/>
      <c r="D91" s="126"/>
      <c r="H91" s="115"/>
      <c r="I91" s="115"/>
      <c r="J91" s="115"/>
      <c r="K91" s="115"/>
      <c r="L91" s="115"/>
      <c r="M91" s="115"/>
      <c r="N91" s="127"/>
      <c r="O91" s="29"/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85" t="s">
        <v>208</v>
      </c>
      <c r="B92" s="126"/>
      <c r="C92" s="126"/>
      <c r="D92" s="126"/>
      <c r="H92" s="115"/>
      <c r="I92" s="115"/>
      <c r="J92" s="115"/>
      <c r="K92" s="115"/>
      <c r="L92" s="115"/>
      <c r="M92" s="115"/>
      <c r="N92" s="127"/>
      <c r="O92" s="29"/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85" t="s">
        <v>209</v>
      </c>
      <c r="B93" s="126"/>
      <c r="C93" s="126"/>
      <c r="D93" s="126"/>
      <c r="H93" s="115"/>
      <c r="I93" s="115"/>
      <c r="J93" s="115"/>
      <c r="K93" s="115"/>
      <c r="L93" s="115"/>
      <c r="M93" s="115"/>
      <c r="N93" s="127"/>
      <c r="O93" s="29"/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85" t="s">
        <v>203</v>
      </c>
      <c r="B94" s="126"/>
      <c r="C94" s="126"/>
      <c r="D94" s="126"/>
      <c r="H94" s="115"/>
      <c r="I94" s="115"/>
      <c r="J94" s="115"/>
      <c r="K94" s="115"/>
      <c r="L94" s="115"/>
      <c r="M94" s="115"/>
      <c r="N94" s="127"/>
      <c r="O94" s="29"/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85" t="s">
        <v>349</v>
      </c>
      <c r="B95" s="126"/>
      <c r="C95" s="126"/>
      <c r="D95" s="126"/>
      <c r="H95" s="115"/>
      <c r="I95" s="115"/>
      <c r="J95" s="115"/>
      <c r="K95" s="115"/>
      <c r="L95" s="115"/>
      <c r="M95" s="115"/>
      <c r="N95" s="127"/>
      <c r="O95" s="29"/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85" t="s">
        <v>350</v>
      </c>
      <c r="B96" s="126"/>
      <c r="C96" s="126"/>
      <c r="D96" s="126"/>
      <c r="H96" s="115"/>
      <c r="I96" s="115"/>
      <c r="J96" s="115"/>
      <c r="K96" s="115"/>
      <c r="L96" s="115"/>
      <c r="M96" s="115"/>
      <c r="N96" s="127"/>
      <c r="O96" s="29"/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85" t="s">
        <v>351</v>
      </c>
      <c r="B97" s="126"/>
      <c r="C97" s="126"/>
      <c r="D97" s="126"/>
      <c r="H97" s="115"/>
      <c r="I97" s="115"/>
      <c r="J97" s="115"/>
      <c r="K97" s="115"/>
      <c r="L97" s="115"/>
      <c r="M97" s="115"/>
      <c r="N97" s="127"/>
      <c r="O97" s="29"/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85" t="s">
        <v>204</v>
      </c>
      <c r="B98" s="126"/>
      <c r="C98" s="126"/>
      <c r="D98" s="126"/>
      <c r="H98" s="115"/>
      <c r="I98" s="115"/>
      <c r="J98" s="115"/>
      <c r="K98" s="115"/>
      <c r="L98" s="115"/>
      <c r="M98" s="115"/>
      <c r="N98" s="127"/>
      <c r="O98" s="29"/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85" t="s">
        <v>205</v>
      </c>
      <c r="B99" s="126"/>
      <c r="C99" s="126"/>
      <c r="D99" s="126"/>
      <c r="H99" s="115"/>
      <c r="I99" s="115"/>
      <c r="J99" s="115"/>
      <c r="K99" s="115"/>
      <c r="L99" s="115"/>
      <c r="M99" s="115"/>
      <c r="N99" s="127"/>
      <c r="O99" s="29"/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85" t="s">
        <v>273</v>
      </c>
      <c r="B100" s="126"/>
      <c r="C100" s="126"/>
      <c r="D100" s="126"/>
      <c r="H100" s="115"/>
      <c r="I100" s="115"/>
      <c r="J100" s="115"/>
      <c r="K100" s="115"/>
      <c r="L100" s="115"/>
      <c r="M100" s="115"/>
      <c r="N100" s="127"/>
      <c r="O100" s="29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85" t="s">
        <v>206</v>
      </c>
      <c r="B101" s="126"/>
      <c r="C101" s="126"/>
      <c r="D101" s="126"/>
      <c r="H101" s="115"/>
      <c r="I101" s="115"/>
      <c r="J101" s="115"/>
      <c r="K101" s="115"/>
      <c r="L101" s="115"/>
      <c r="M101" s="115"/>
      <c r="N101" s="127"/>
      <c r="O101" s="29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85" t="s">
        <v>207</v>
      </c>
      <c r="B102" s="126"/>
      <c r="C102" s="126"/>
      <c r="D102" s="126"/>
      <c r="H102" s="115"/>
      <c r="I102" s="115"/>
      <c r="J102" s="115"/>
      <c r="K102" s="115"/>
      <c r="L102" s="115"/>
      <c r="M102" s="115"/>
      <c r="N102" s="127"/>
      <c r="O102" s="29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85" t="s">
        <v>359</v>
      </c>
      <c r="B103" s="126"/>
      <c r="C103" s="126"/>
      <c r="D103" s="126"/>
      <c r="H103" s="115"/>
      <c r="I103" s="115"/>
      <c r="J103" s="115"/>
      <c r="K103" s="115"/>
      <c r="L103" s="115"/>
      <c r="M103" s="115"/>
      <c r="N103" s="127"/>
      <c r="O103" s="29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85" t="s">
        <v>360</v>
      </c>
      <c r="B104" s="126"/>
      <c r="C104" s="126"/>
      <c r="D104" s="126"/>
      <c r="H104" s="115"/>
      <c r="I104" s="115"/>
      <c r="J104" s="115"/>
      <c r="K104" s="115"/>
      <c r="L104" s="115"/>
      <c r="M104" s="115"/>
      <c r="N104" s="127"/>
      <c r="O104" s="29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85" t="s">
        <v>352</v>
      </c>
      <c r="B105" s="126"/>
      <c r="C105" s="126"/>
      <c r="D105" s="126"/>
      <c r="H105" s="115"/>
      <c r="I105" s="115"/>
      <c r="J105" s="115"/>
      <c r="K105" s="115"/>
      <c r="L105" s="115"/>
      <c r="M105" s="115"/>
      <c r="N105" s="127"/>
      <c r="O105" s="29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85" t="s">
        <v>353</v>
      </c>
      <c r="B106" s="126"/>
      <c r="C106" s="126"/>
      <c r="D106" s="126"/>
      <c r="H106" s="115"/>
      <c r="I106" s="115"/>
      <c r="J106" s="115"/>
      <c r="K106" s="115"/>
      <c r="L106" s="115"/>
      <c r="M106" s="115"/>
      <c r="N106" s="127"/>
      <c r="O106" s="29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85" t="s">
        <v>235</v>
      </c>
      <c r="B107" s="126"/>
      <c r="C107" s="126"/>
      <c r="D107" s="126"/>
      <c r="H107" s="115"/>
      <c r="I107" s="115"/>
      <c r="J107" s="115"/>
      <c r="K107" s="115"/>
      <c r="L107" s="115"/>
      <c r="M107" s="115"/>
      <c r="N107" s="127"/>
      <c r="O107" s="29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85" t="s">
        <v>222</v>
      </c>
      <c r="B108" s="126"/>
      <c r="C108" s="126"/>
      <c r="D108" s="126"/>
      <c r="H108" s="115"/>
      <c r="I108" s="115"/>
      <c r="J108" s="115"/>
      <c r="K108" s="115"/>
      <c r="L108" s="115"/>
      <c r="M108" s="115"/>
      <c r="N108" s="127"/>
      <c r="O108" s="29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85" t="s">
        <v>237</v>
      </c>
      <c r="B109" s="126"/>
      <c r="C109" s="126"/>
      <c r="D109" s="126"/>
      <c r="H109" s="115"/>
      <c r="I109" s="115"/>
      <c r="J109" s="115"/>
      <c r="K109" s="115"/>
      <c r="L109" s="115"/>
      <c r="M109" s="115"/>
      <c r="N109" s="127"/>
      <c r="O109" s="29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85" t="s">
        <v>238</v>
      </c>
      <c r="B110" s="126"/>
      <c r="C110" s="126"/>
      <c r="D110" s="126"/>
      <c r="H110" s="115"/>
      <c r="I110" s="115"/>
      <c r="J110" s="115"/>
      <c r="K110" s="115"/>
      <c r="L110" s="115"/>
      <c r="M110" s="115"/>
      <c r="N110" s="127"/>
      <c r="O110" s="29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85" t="s">
        <v>287</v>
      </c>
      <c r="B111" s="126"/>
      <c r="C111" s="126"/>
      <c r="D111" s="126"/>
      <c r="H111" s="115"/>
      <c r="I111" s="115"/>
      <c r="J111" s="115"/>
      <c r="K111" s="115"/>
      <c r="L111" s="115"/>
      <c r="M111" s="115"/>
      <c r="N111" s="127"/>
      <c r="O111" s="29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85" t="s">
        <v>288</v>
      </c>
      <c r="B112" s="126"/>
      <c r="C112" s="126"/>
      <c r="D112" s="126"/>
      <c r="H112" s="115"/>
      <c r="I112" s="115"/>
      <c r="J112" s="115"/>
      <c r="K112" s="115"/>
      <c r="L112" s="115"/>
      <c r="M112" s="115"/>
      <c r="N112" s="127"/>
      <c r="O112" s="29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85" t="s">
        <v>252</v>
      </c>
      <c r="B113" s="126"/>
      <c r="C113" s="126"/>
      <c r="D113" s="126"/>
      <c r="H113" s="115"/>
      <c r="I113" s="115"/>
      <c r="J113" s="115"/>
      <c r="K113" s="115"/>
      <c r="L113" s="115"/>
      <c r="M113" s="115"/>
      <c r="N113" s="127"/>
      <c r="O113" s="29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85" t="s">
        <v>251</v>
      </c>
      <c r="B114" s="126"/>
      <c r="C114" s="126"/>
      <c r="D114" s="126"/>
      <c r="H114" s="115"/>
      <c r="I114" s="115"/>
      <c r="J114" s="115"/>
      <c r="K114" s="115"/>
      <c r="L114" s="115"/>
      <c r="M114" s="115"/>
      <c r="N114" s="127"/>
      <c r="O114" s="29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85" t="s">
        <v>320</v>
      </c>
      <c r="B115" s="126"/>
      <c r="C115" s="126"/>
      <c r="D115" s="126"/>
      <c r="H115" s="115"/>
      <c r="I115" s="115"/>
      <c r="J115" s="115"/>
      <c r="K115" s="115"/>
      <c r="L115" s="115"/>
      <c r="M115" s="115"/>
      <c r="N115" s="127"/>
      <c r="O115" s="29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85" t="s">
        <v>289</v>
      </c>
      <c r="B116" s="126"/>
      <c r="C116" s="126"/>
      <c r="D116" s="126"/>
      <c r="H116" s="115"/>
      <c r="I116" s="115"/>
      <c r="J116" s="115"/>
      <c r="K116" s="115"/>
      <c r="L116" s="115"/>
      <c r="M116" s="115"/>
      <c r="N116" s="127"/>
      <c r="O116" s="29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85" t="s">
        <v>290</v>
      </c>
      <c r="B117" s="126"/>
      <c r="C117" s="126"/>
      <c r="D117" s="126"/>
      <c r="H117" s="115"/>
      <c r="I117" s="115"/>
      <c r="J117" s="115"/>
      <c r="K117" s="115"/>
      <c r="L117" s="115"/>
      <c r="M117" s="115"/>
      <c r="N117" s="127"/>
      <c r="O117" s="29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85" t="s">
        <v>274</v>
      </c>
      <c r="B118" s="126"/>
      <c r="C118" s="126"/>
      <c r="D118" s="126"/>
      <c r="H118" s="115"/>
      <c r="I118" s="115"/>
      <c r="J118" s="115"/>
      <c r="K118" s="115"/>
      <c r="L118" s="115"/>
      <c r="M118" s="115"/>
      <c r="N118" s="127"/>
      <c r="O118" s="29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85" t="s">
        <v>275</v>
      </c>
      <c r="B119" s="126"/>
      <c r="C119" s="126"/>
      <c r="D119" s="126"/>
      <c r="H119" s="115"/>
      <c r="I119" s="115"/>
      <c r="J119" s="115"/>
      <c r="K119" s="115"/>
      <c r="L119" s="115"/>
      <c r="M119" s="115"/>
      <c r="N119" s="127"/>
      <c r="O119" s="29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85" t="s">
        <v>276</v>
      </c>
      <c r="B120" s="126"/>
      <c r="C120" s="126"/>
      <c r="D120" s="126"/>
      <c r="H120" s="115"/>
      <c r="I120" s="115"/>
      <c r="J120" s="115"/>
      <c r="K120" s="115"/>
      <c r="L120" s="115"/>
      <c r="M120" s="115"/>
      <c r="N120" s="127"/>
      <c r="O120" s="29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85" t="s">
        <v>277</v>
      </c>
      <c r="B121" s="126"/>
      <c r="C121" s="126"/>
      <c r="D121" s="126"/>
      <c r="H121" s="115"/>
      <c r="I121" s="115"/>
      <c r="J121" s="115"/>
      <c r="K121" s="115"/>
      <c r="L121" s="115"/>
      <c r="M121" s="115"/>
      <c r="N121" s="127"/>
      <c r="O121" s="29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85" t="s">
        <v>278</v>
      </c>
      <c r="B122" s="126"/>
      <c r="C122" s="126"/>
      <c r="D122" s="126"/>
      <c r="H122" s="115"/>
      <c r="I122" s="115"/>
      <c r="J122" s="115"/>
      <c r="K122" s="115"/>
      <c r="L122" s="115"/>
      <c r="M122" s="115"/>
      <c r="N122" s="127"/>
      <c r="O122" s="29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85" t="s">
        <v>279</v>
      </c>
      <c r="B123" s="126"/>
      <c r="C123" s="126"/>
      <c r="D123" s="126"/>
      <c r="H123" s="115"/>
      <c r="I123" s="115"/>
      <c r="J123" s="115"/>
      <c r="K123" s="115"/>
      <c r="L123" s="115"/>
      <c r="M123" s="115"/>
      <c r="N123" s="29"/>
      <c r="O123" s="29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85" t="s">
        <v>280</v>
      </c>
      <c r="B124" s="126"/>
      <c r="C124" s="126"/>
      <c r="D124" s="126"/>
      <c r="H124" s="115"/>
      <c r="I124" s="115"/>
      <c r="J124" s="115"/>
      <c r="K124" s="115"/>
      <c r="L124" s="115"/>
      <c r="M124" s="115"/>
      <c r="N124" s="127"/>
      <c r="O124" s="29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85" t="s">
        <v>281</v>
      </c>
      <c r="B125" s="126"/>
      <c r="C125" s="126"/>
      <c r="D125" s="126"/>
      <c r="H125" s="115"/>
      <c r="I125" s="115"/>
      <c r="J125" s="115"/>
      <c r="K125" s="115"/>
      <c r="L125" s="115"/>
      <c r="M125" s="115"/>
      <c r="N125" s="127"/>
      <c r="O125" s="29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85" t="s">
        <v>282</v>
      </c>
      <c r="B126" s="126"/>
      <c r="C126" s="126"/>
      <c r="D126" s="126"/>
      <c r="H126" s="115"/>
      <c r="I126" s="115"/>
      <c r="J126" s="115"/>
      <c r="K126" s="115"/>
      <c r="L126" s="115"/>
      <c r="M126" s="115"/>
      <c r="N126" s="127"/>
      <c r="O126" s="29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85" t="s">
        <v>283</v>
      </c>
      <c r="B127" s="126"/>
      <c r="C127" s="126"/>
      <c r="D127" s="126"/>
      <c r="H127" s="115"/>
      <c r="I127" s="115"/>
      <c r="J127" s="115"/>
      <c r="K127" s="115"/>
      <c r="L127" s="115"/>
      <c r="M127" s="115"/>
      <c r="N127" s="127"/>
      <c r="O127" s="29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85" t="s">
        <v>291</v>
      </c>
      <c r="B128" s="126"/>
      <c r="C128" s="126"/>
      <c r="D128" s="126"/>
      <c r="H128" s="115"/>
      <c r="I128" s="115"/>
      <c r="J128" s="115"/>
      <c r="K128" s="115"/>
      <c r="L128" s="115"/>
      <c r="M128" s="115"/>
      <c r="N128" s="127"/>
      <c r="O128" s="29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85" t="s">
        <v>292</v>
      </c>
      <c r="B129" s="126"/>
      <c r="C129" s="126"/>
      <c r="D129" s="126"/>
      <c r="H129" s="115"/>
      <c r="I129" s="115"/>
      <c r="J129" s="115"/>
      <c r="K129" s="115"/>
      <c r="L129" s="115"/>
      <c r="M129" s="115"/>
      <c r="N129" s="127"/>
      <c r="O129" s="29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85" t="s">
        <v>293</v>
      </c>
      <c r="B130" s="126"/>
      <c r="C130" s="126"/>
      <c r="D130" s="126"/>
      <c r="H130" s="115"/>
      <c r="I130" s="115"/>
      <c r="J130" s="115"/>
      <c r="K130" s="115"/>
      <c r="L130" s="115"/>
      <c r="M130" s="115"/>
      <c r="N130" s="29"/>
      <c r="O130" s="29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85" t="s">
        <v>294</v>
      </c>
      <c r="B131" s="126"/>
      <c r="C131" s="126"/>
      <c r="D131" s="126"/>
      <c r="H131" s="115"/>
      <c r="I131" s="115"/>
      <c r="J131" s="115"/>
      <c r="K131" s="115"/>
      <c r="L131" s="115"/>
      <c r="M131" s="115"/>
      <c r="N131" s="127"/>
      <c r="O131" s="29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85" t="s">
        <v>295</v>
      </c>
      <c r="B132" s="126"/>
      <c r="C132" s="126"/>
      <c r="D132" s="126"/>
      <c r="H132" s="115"/>
      <c r="I132" s="115"/>
      <c r="J132" s="115"/>
      <c r="K132" s="115"/>
      <c r="L132" s="115"/>
      <c r="M132" s="115"/>
      <c r="N132" s="127"/>
      <c r="O132" s="29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85" t="s">
        <v>296</v>
      </c>
      <c r="B133" s="126"/>
      <c r="C133" s="126"/>
      <c r="D133" s="126"/>
      <c r="H133" s="115"/>
      <c r="I133" s="115"/>
      <c r="J133" s="115"/>
      <c r="K133" s="115"/>
      <c r="L133" s="115"/>
      <c r="M133" s="115"/>
      <c r="N133" s="127"/>
      <c r="O133" s="29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85" t="s">
        <v>297</v>
      </c>
      <c r="B134" s="126"/>
      <c r="C134" s="126"/>
      <c r="D134" s="126"/>
      <c r="H134" s="115"/>
      <c r="I134" s="115"/>
      <c r="J134" s="115"/>
      <c r="K134" s="115"/>
      <c r="L134" s="115"/>
      <c r="M134" s="115"/>
      <c r="N134" s="127"/>
      <c r="O134" s="29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85" t="s">
        <v>298</v>
      </c>
      <c r="B135" s="126"/>
      <c r="C135" s="126"/>
      <c r="D135" s="126"/>
      <c r="H135" s="115"/>
      <c r="I135" s="115"/>
      <c r="J135" s="115"/>
      <c r="K135" s="115"/>
      <c r="L135" s="115"/>
      <c r="M135" s="115"/>
      <c r="N135" s="127"/>
      <c r="O135" s="29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85" t="s">
        <v>299</v>
      </c>
      <c r="B136" s="126"/>
      <c r="C136" s="126"/>
      <c r="D136" s="126"/>
      <c r="H136" s="115"/>
      <c r="I136" s="115"/>
      <c r="J136" s="115"/>
      <c r="K136" s="115"/>
      <c r="L136" s="115"/>
      <c r="M136" s="115"/>
      <c r="N136" s="127"/>
      <c r="O136" s="29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85" t="s">
        <v>300</v>
      </c>
      <c r="B137" s="126"/>
      <c r="C137" s="126"/>
      <c r="D137" s="126"/>
      <c r="H137" s="115"/>
      <c r="I137" s="115"/>
      <c r="J137" s="115"/>
      <c r="K137" s="115"/>
      <c r="L137" s="115"/>
      <c r="M137" s="115"/>
      <c r="N137" s="127"/>
      <c r="O137" s="29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85" t="s">
        <v>301</v>
      </c>
      <c r="B138" s="126"/>
      <c r="C138" s="126"/>
      <c r="D138" s="126"/>
      <c r="H138" s="115"/>
      <c r="I138" s="115"/>
      <c r="J138" s="115"/>
      <c r="K138" s="115"/>
      <c r="L138" s="115"/>
      <c r="M138" s="115"/>
      <c r="N138" s="127"/>
      <c r="O138" s="29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85" t="s">
        <v>302</v>
      </c>
      <c r="B139" s="126"/>
      <c r="C139" s="126"/>
      <c r="D139" s="126"/>
      <c r="H139" s="115"/>
      <c r="I139" s="115"/>
      <c r="J139" s="115"/>
      <c r="K139" s="115"/>
      <c r="L139" s="115"/>
      <c r="M139" s="115"/>
      <c r="N139" s="127"/>
      <c r="O139" s="29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85" t="s">
        <v>303</v>
      </c>
      <c r="B140" s="126"/>
      <c r="C140" s="126"/>
      <c r="D140" s="126"/>
      <c r="H140" s="115"/>
      <c r="I140" s="115"/>
      <c r="J140" s="115"/>
      <c r="K140" s="115"/>
      <c r="L140" s="115"/>
      <c r="M140" s="115"/>
      <c r="N140" s="127"/>
      <c r="O140" s="29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85" t="s">
        <v>304</v>
      </c>
      <c r="B141" s="126"/>
      <c r="C141" s="126"/>
      <c r="D141" s="126"/>
      <c r="H141" s="115"/>
      <c r="I141" s="115"/>
      <c r="J141" s="115"/>
      <c r="K141" s="115"/>
      <c r="L141" s="115"/>
      <c r="M141" s="115"/>
      <c r="N141" s="29"/>
      <c r="O141" s="29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85" t="s">
        <v>305</v>
      </c>
      <c r="B142" s="126"/>
      <c r="C142" s="126"/>
      <c r="D142" s="126"/>
      <c r="H142" s="115"/>
      <c r="I142" s="115"/>
      <c r="J142" s="115"/>
      <c r="K142" s="115"/>
      <c r="L142" s="115"/>
      <c r="M142" s="115"/>
      <c r="N142" s="127"/>
      <c r="O142" s="29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85" t="s">
        <v>306</v>
      </c>
      <c r="B143" s="126"/>
      <c r="C143" s="126"/>
      <c r="D143" s="126"/>
      <c r="H143" s="115"/>
      <c r="I143" s="115"/>
      <c r="J143" s="115"/>
      <c r="K143" s="115"/>
      <c r="L143" s="115"/>
      <c r="M143" s="115"/>
      <c r="N143" s="127"/>
      <c r="O143" s="29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85" t="s">
        <v>325</v>
      </c>
      <c r="B144" s="126"/>
      <c r="C144" s="126"/>
      <c r="D144" s="126"/>
      <c r="H144" s="115"/>
      <c r="I144" s="115"/>
      <c r="J144" s="115"/>
      <c r="K144" s="115"/>
      <c r="L144" s="115"/>
      <c r="M144" s="115"/>
      <c r="N144" s="127"/>
      <c r="O144" s="29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85" t="s">
        <v>326</v>
      </c>
      <c r="B145" s="126"/>
      <c r="C145" s="126"/>
      <c r="D145" s="126"/>
      <c r="H145" s="115"/>
      <c r="I145" s="115"/>
      <c r="J145" s="115"/>
      <c r="K145" s="115"/>
      <c r="L145" s="115"/>
      <c r="M145" s="115"/>
      <c r="N145" s="127"/>
      <c r="O145" s="29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85" t="s">
        <v>327</v>
      </c>
      <c r="B146" s="126"/>
      <c r="C146" s="126"/>
      <c r="D146" s="126"/>
      <c r="H146" s="115"/>
      <c r="I146" s="115"/>
      <c r="J146" s="115"/>
      <c r="K146" s="115"/>
      <c r="L146" s="115"/>
      <c r="M146" s="115"/>
      <c r="N146" s="29"/>
      <c r="O146" s="29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85" t="s">
        <v>328</v>
      </c>
      <c r="B147" s="126"/>
      <c r="C147" s="126"/>
      <c r="D147" s="126"/>
      <c r="H147" s="115"/>
      <c r="I147" s="115"/>
      <c r="J147" s="115"/>
      <c r="K147" s="115"/>
      <c r="L147" s="115"/>
      <c r="M147" s="115"/>
      <c r="N147" s="127"/>
      <c r="O147" s="29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85" t="s">
        <v>321</v>
      </c>
      <c r="B148" s="126"/>
      <c r="C148" s="126"/>
      <c r="D148" s="126"/>
      <c r="H148" s="115"/>
      <c r="I148" s="115"/>
      <c r="J148" s="115"/>
      <c r="K148" s="115"/>
      <c r="L148" s="115"/>
      <c r="M148" s="115"/>
      <c r="N148" s="29"/>
      <c r="O148" s="29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85" t="s">
        <v>322</v>
      </c>
      <c r="B149" s="126"/>
      <c r="C149" s="126"/>
      <c r="D149" s="126"/>
      <c r="H149" s="115"/>
      <c r="I149" s="115"/>
      <c r="J149" s="115"/>
      <c r="K149" s="115"/>
      <c r="L149" s="115"/>
      <c r="M149" s="115"/>
      <c r="N149" s="127"/>
      <c r="O149" s="29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85" t="s">
        <v>323</v>
      </c>
      <c r="B150" s="126"/>
      <c r="C150" s="126"/>
      <c r="D150" s="126"/>
      <c r="H150" s="115"/>
      <c r="I150" s="115"/>
      <c r="J150" s="115"/>
      <c r="K150" s="115"/>
      <c r="L150" s="115"/>
      <c r="M150" s="115"/>
      <c r="N150" s="127"/>
      <c r="O150" s="29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85" t="s">
        <v>324</v>
      </c>
      <c r="B151" s="126"/>
      <c r="C151" s="126"/>
      <c r="D151" s="126"/>
      <c r="H151" s="115"/>
      <c r="I151" s="115"/>
      <c r="J151" s="115"/>
      <c r="K151" s="115"/>
      <c r="L151" s="115"/>
      <c r="M151" s="115"/>
      <c r="N151" s="29"/>
      <c r="O151" s="29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85" t="s">
        <v>354</v>
      </c>
      <c r="B152" s="126"/>
      <c r="C152" s="126"/>
      <c r="D152" s="126"/>
      <c r="H152" s="115"/>
      <c r="I152" s="115"/>
      <c r="J152" s="115"/>
      <c r="K152" s="115"/>
      <c r="L152" s="115"/>
      <c r="M152" s="115"/>
      <c r="N152" s="127"/>
      <c r="O152" s="29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85" t="s">
        <v>355</v>
      </c>
      <c r="B153" s="126"/>
      <c r="C153" s="126"/>
      <c r="D153" s="126"/>
      <c r="H153" s="115"/>
      <c r="I153" s="115"/>
      <c r="J153" s="115"/>
      <c r="K153" s="115"/>
      <c r="L153" s="115"/>
      <c r="M153" s="115"/>
      <c r="N153" s="127"/>
      <c r="O153" s="29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85" t="s">
        <v>356</v>
      </c>
      <c r="B154" s="126"/>
      <c r="C154" s="126"/>
      <c r="D154" s="126"/>
      <c r="H154" s="115"/>
      <c r="I154" s="115"/>
      <c r="J154" s="115"/>
      <c r="K154" s="115"/>
      <c r="L154" s="115"/>
      <c r="M154" s="115"/>
      <c r="N154" s="127"/>
      <c r="O154" s="29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85" t="s">
        <v>329</v>
      </c>
      <c r="B155" s="126"/>
      <c r="C155" s="126"/>
      <c r="D155" s="126"/>
      <c r="H155" s="115"/>
      <c r="I155" s="115"/>
      <c r="J155" s="115"/>
      <c r="K155" s="115"/>
      <c r="L155" s="115"/>
      <c r="M155" s="115"/>
      <c r="N155" s="127"/>
      <c r="O155" s="29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85" t="s">
        <v>330</v>
      </c>
      <c r="B156" s="126"/>
      <c r="C156" s="126"/>
      <c r="D156" s="126"/>
      <c r="H156" s="115"/>
      <c r="I156" s="115"/>
      <c r="J156" s="115"/>
      <c r="K156" s="115"/>
      <c r="L156" s="115"/>
      <c r="M156" s="115"/>
      <c r="N156" s="127"/>
      <c r="O156" s="29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85" t="s">
        <v>331</v>
      </c>
      <c r="B157" s="126"/>
      <c r="C157" s="126"/>
      <c r="D157" s="126"/>
      <c r="H157" s="115"/>
      <c r="I157" s="115"/>
      <c r="J157" s="115"/>
      <c r="K157" s="115"/>
      <c r="L157" s="115"/>
      <c r="M157" s="115"/>
      <c r="N157" s="127"/>
      <c r="O157" s="29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85" t="s">
        <v>332</v>
      </c>
      <c r="B158" s="126"/>
      <c r="C158" s="126"/>
      <c r="D158" s="126"/>
      <c r="H158" s="115"/>
      <c r="I158" s="115"/>
      <c r="J158" s="115"/>
      <c r="K158" s="115"/>
      <c r="L158" s="115"/>
      <c r="M158" s="115"/>
      <c r="N158" s="127"/>
      <c r="O158" s="29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85" t="s">
        <v>333</v>
      </c>
      <c r="B159" s="126"/>
      <c r="C159" s="126"/>
      <c r="D159" s="126"/>
      <c r="H159" s="115"/>
      <c r="I159" s="115"/>
      <c r="J159" s="115"/>
      <c r="K159" s="115"/>
      <c r="L159" s="115"/>
      <c r="M159" s="115"/>
      <c r="N159" s="127"/>
      <c r="O159" s="29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85" t="s">
        <v>334</v>
      </c>
      <c r="B160" s="126"/>
      <c r="C160" s="126"/>
      <c r="D160" s="126"/>
      <c r="H160" s="115"/>
      <c r="I160" s="115"/>
      <c r="J160" s="115"/>
      <c r="K160" s="115"/>
      <c r="L160" s="115"/>
      <c r="M160" s="115"/>
      <c r="N160" s="29"/>
      <c r="O160" s="29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85" t="s">
        <v>335</v>
      </c>
      <c r="B161" s="126"/>
      <c r="C161" s="126"/>
      <c r="D161" s="126"/>
      <c r="H161" s="115"/>
      <c r="I161" s="115"/>
      <c r="J161" s="115"/>
      <c r="K161" s="115"/>
      <c r="L161" s="115"/>
      <c r="M161" s="115"/>
      <c r="N161" s="127"/>
      <c r="O161" s="29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86" t="s">
        <v>336</v>
      </c>
      <c r="B162" s="126"/>
      <c r="C162" s="126"/>
      <c r="D162" s="126"/>
      <c r="H162" s="115"/>
      <c r="I162" s="115"/>
      <c r="J162" s="115"/>
      <c r="K162" s="115"/>
      <c r="L162" s="115"/>
      <c r="M162" s="115"/>
      <c r="N162" s="127"/>
      <c r="O162" s="29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86" t="s">
        <v>337</v>
      </c>
      <c r="B163" s="126"/>
      <c r="C163" s="126"/>
      <c r="D163" s="126"/>
      <c r="H163" s="115"/>
      <c r="I163" s="115"/>
      <c r="J163" s="115"/>
      <c r="K163" s="115"/>
      <c r="L163" s="115"/>
      <c r="M163" s="115"/>
      <c r="N163" s="127"/>
      <c r="O163" s="29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86" t="s">
        <v>338</v>
      </c>
      <c r="B164" s="126"/>
      <c r="C164" s="126"/>
      <c r="D164" s="126"/>
      <c r="H164" s="115"/>
      <c r="I164" s="115"/>
      <c r="J164" s="115"/>
      <c r="K164" s="115"/>
      <c r="L164" s="115"/>
      <c r="M164" s="115"/>
      <c r="N164" s="29"/>
      <c r="O164" s="29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86" t="s">
        <v>357</v>
      </c>
      <c r="B165" s="126"/>
      <c r="C165" s="126"/>
      <c r="D165" s="126"/>
      <c r="H165" s="115"/>
      <c r="I165" s="115"/>
      <c r="J165" s="115"/>
      <c r="K165" s="115"/>
      <c r="L165" s="115"/>
      <c r="M165" s="115"/>
      <c r="N165" s="127"/>
      <c r="O165" s="29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86" t="s">
        <v>361</v>
      </c>
      <c r="B166" s="126"/>
      <c r="C166" s="126"/>
      <c r="D166" s="126"/>
      <c r="H166" s="115"/>
      <c r="I166" s="115"/>
      <c r="J166" s="115"/>
      <c r="K166" s="115"/>
      <c r="L166" s="115"/>
      <c r="M166" s="115"/>
      <c r="N166" s="29"/>
      <c r="O166" s="29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86" t="s">
        <v>362</v>
      </c>
      <c r="B167" s="126"/>
      <c r="C167" s="126"/>
      <c r="D167" s="126"/>
      <c r="H167" s="115"/>
      <c r="I167" s="115"/>
      <c r="J167" s="115"/>
      <c r="K167" s="115"/>
      <c r="L167" s="115"/>
      <c r="M167" s="115"/>
      <c r="N167" s="127"/>
      <c r="O167" s="29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86" t="s">
        <v>363</v>
      </c>
      <c r="B168" s="126"/>
      <c r="C168" s="126"/>
      <c r="D168" s="126"/>
      <c r="H168" s="115"/>
      <c r="I168" s="115"/>
      <c r="J168" s="115"/>
      <c r="K168" s="115"/>
      <c r="L168" s="115"/>
      <c r="M168" s="115"/>
      <c r="N168" s="127"/>
      <c r="O168" s="127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86" t="s">
        <v>364</v>
      </c>
      <c r="B169" s="126"/>
      <c r="C169" s="126"/>
      <c r="D169" s="126"/>
      <c r="H169" s="115"/>
      <c r="I169" s="115"/>
      <c r="J169" s="115"/>
      <c r="K169" s="115"/>
      <c r="L169" s="115"/>
      <c r="M169" s="115"/>
      <c r="N169" s="127"/>
      <c r="O169" s="127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86" t="s">
        <v>365</v>
      </c>
      <c r="B170" s="126"/>
      <c r="C170" s="126"/>
      <c r="D170" s="126"/>
      <c r="H170" s="115"/>
      <c r="I170" s="115"/>
      <c r="J170" s="115"/>
      <c r="K170" s="115"/>
      <c r="L170" s="115"/>
      <c r="M170" s="115"/>
      <c r="N170" s="127"/>
      <c r="O170" s="29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86" t="s">
        <v>366</v>
      </c>
      <c r="B171" s="126"/>
      <c r="C171" s="126"/>
      <c r="D171" s="126"/>
      <c r="H171" s="115"/>
      <c r="I171" s="115"/>
      <c r="J171" s="115"/>
      <c r="K171" s="115"/>
      <c r="L171" s="115"/>
      <c r="M171" s="115"/>
      <c r="N171" s="127"/>
      <c r="O171" s="29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86" t="s">
        <v>367</v>
      </c>
      <c r="B172" s="126"/>
      <c r="C172" s="126"/>
      <c r="D172" s="126"/>
      <c r="H172" s="115"/>
      <c r="I172" s="115"/>
      <c r="J172" s="115"/>
      <c r="K172" s="115"/>
      <c r="L172" s="115"/>
      <c r="M172" s="115"/>
      <c r="N172" s="127"/>
      <c r="O172" s="29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86" t="s">
        <v>368</v>
      </c>
      <c r="B173" s="126"/>
      <c r="C173" s="126"/>
      <c r="D173" s="126"/>
      <c r="H173" s="115"/>
      <c r="I173" s="115"/>
      <c r="J173" s="115"/>
      <c r="K173" s="115"/>
      <c r="L173" s="115"/>
      <c r="M173" s="115"/>
      <c r="N173" s="127"/>
      <c r="O173" s="29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86" t="s">
        <v>369</v>
      </c>
      <c r="B174" s="126"/>
      <c r="C174" s="126"/>
      <c r="D174" s="126"/>
      <c r="H174" s="115"/>
      <c r="I174" s="115"/>
      <c r="J174" s="115"/>
      <c r="K174" s="115"/>
      <c r="L174" s="115"/>
      <c r="M174" s="115"/>
      <c r="N174" s="127"/>
      <c r="O174" s="29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86" t="s">
        <v>370</v>
      </c>
      <c r="B175" s="126"/>
      <c r="C175" s="126"/>
      <c r="D175" s="126"/>
      <c r="H175" s="115"/>
      <c r="I175" s="115"/>
      <c r="J175" s="115"/>
      <c r="K175" s="115"/>
      <c r="L175" s="115"/>
      <c r="M175" s="115"/>
      <c r="N175" s="127"/>
      <c r="O175" s="29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86"/>
      <c r="B176" s="126"/>
      <c r="C176" s="126"/>
      <c r="D176" s="126"/>
      <c r="H176" s="115"/>
      <c r="I176" s="115"/>
      <c r="J176" s="115"/>
      <c r="K176" s="115"/>
      <c r="L176" s="115"/>
      <c r="M176" s="115"/>
      <c r="N176" s="127"/>
      <c r="O176" s="29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86"/>
      <c r="B177" s="126"/>
      <c r="C177" s="126"/>
      <c r="D177" s="126"/>
      <c r="H177" s="115"/>
      <c r="I177" s="115"/>
      <c r="J177" s="115"/>
      <c r="K177" s="115"/>
      <c r="L177" s="115"/>
      <c r="M177" s="115"/>
      <c r="N177" s="127"/>
      <c r="O177" s="29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86"/>
      <c r="B178" s="126"/>
      <c r="C178" s="126"/>
      <c r="D178" s="126"/>
      <c r="H178" s="115"/>
      <c r="I178" s="115"/>
      <c r="J178" s="115"/>
      <c r="K178" s="115"/>
      <c r="L178" s="115"/>
      <c r="M178" s="115"/>
      <c r="N178" s="127"/>
      <c r="O178" s="29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86"/>
      <c r="B179" s="126"/>
      <c r="C179" s="126"/>
      <c r="D179" s="126"/>
      <c r="H179" s="115"/>
      <c r="I179" s="115"/>
      <c r="J179" s="115"/>
      <c r="K179" s="115"/>
      <c r="L179" s="115"/>
      <c r="M179" s="115"/>
      <c r="N179" s="29"/>
      <c r="O179" s="29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86"/>
      <c r="B180" s="126"/>
      <c r="C180" s="126"/>
      <c r="D180" s="126"/>
      <c r="H180" s="115"/>
      <c r="I180" s="115"/>
      <c r="J180" s="115"/>
      <c r="K180" s="115"/>
      <c r="L180" s="115"/>
      <c r="M180" s="115"/>
      <c r="N180" s="127"/>
      <c r="O180" s="29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86"/>
      <c r="B181" s="126"/>
      <c r="C181" s="126"/>
      <c r="D181" s="126"/>
      <c r="H181" s="115"/>
      <c r="I181" s="115"/>
      <c r="J181" s="115"/>
      <c r="K181" s="115"/>
      <c r="L181" s="115"/>
      <c r="M181" s="115"/>
      <c r="N181" s="29"/>
      <c r="O181" s="29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86"/>
      <c r="B182" s="126"/>
      <c r="C182" s="126"/>
      <c r="D182" s="126"/>
      <c r="H182" s="115"/>
      <c r="I182" s="115"/>
      <c r="J182" s="115"/>
      <c r="K182" s="115"/>
      <c r="L182" s="115"/>
      <c r="M182" s="115"/>
      <c r="N182" s="127"/>
      <c r="O182" s="29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86"/>
      <c r="B183" s="126"/>
      <c r="C183" s="126"/>
      <c r="D183" s="126"/>
      <c r="H183" s="115"/>
      <c r="I183" s="115"/>
      <c r="J183" s="115"/>
      <c r="K183" s="115"/>
      <c r="L183" s="115"/>
      <c r="M183" s="115"/>
      <c r="N183" s="127"/>
      <c r="O183" s="29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25"/>
      <c r="B184" s="126"/>
      <c r="C184" s="126"/>
      <c r="D184" s="126"/>
      <c r="H184" s="115"/>
      <c r="I184" s="115"/>
      <c r="J184" s="115"/>
      <c r="K184" s="115"/>
      <c r="L184" s="115"/>
      <c r="M184" s="115"/>
      <c r="N184" s="127"/>
      <c r="O184" s="29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25"/>
      <c r="B185" s="126"/>
      <c r="C185" s="126"/>
      <c r="D185" s="126"/>
      <c r="H185" s="115"/>
      <c r="I185" s="115"/>
      <c r="J185" s="115"/>
      <c r="K185" s="115"/>
      <c r="L185" s="115"/>
      <c r="M185" s="115"/>
      <c r="N185" s="127"/>
      <c r="O185" s="29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25"/>
      <c r="B186" s="126"/>
      <c r="C186" s="126"/>
      <c r="D186" s="126"/>
      <c r="H186" s="115"/>
      <c r="I186" s="115"/>
      <c r="J186" s="115"/>
      <c r="K186" s="115"/>
      <c r="L186" s="115"/>
      <c r="M186" s="115"/>
      <c r="N186" s="29"/>
      <c r="O186" s="29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25"/>
      <c r="B187" s="126"/>
      <c r="C187" s="126"/>
      <c r="D187" s="126"/>
      <c r="H187" s="115"/>
      <c r="I187" s="115"/>
      <c r="J187" s="115"/>
      <c r="K187" s="115"/>
      <c r="L187" s="115"/>
      <c r="M187" s="115"/>
      <c r="N187" s="127"/>
      <c r="O187" s="29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25"/>
      <c r="B188" s="126"/>
      <c r="C188" s="126"/>
      <c r="D188" s="126"/>
      <c r="H188" s="115"/>
      <c r="I188" s="115"/>
      <c r="J188" s="115"/>
      <c r="K188" s="115"/>
      <c r="L188" s="115"/>
      <c r="M188" s="115"/>
      <c r="N188" s="29"/>
      <c r="O188" s="29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25"/>
      <c r="B189" s="126"/>
      <c r="C189" s="126"/>
      <c r="D189" s="126"/>
      <c r="H189" s="115"/>
      <c r="I189" s="115"/>
      <c r="J189" s="115"/>
      <c r="K189" s="115"/>
      <c r="L189" s="115"/>
      <c r="M189" s="115"/>
      <c r="N189" s="127"/>
      <c r="O189" s="29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25"/>
      <c r="B190" s="126"/>
      <c r="C190" s="126"/>
      <c r="D190" s="126"/>
      <c r="H190" s="115"/>
      <c r="I190" s="115"/>
      <c r="J190" s="115"/>
      <c r="K190" s="115"/>
      <c r="L190" s="115"/>
      <c r="M190" s="115"/>
      <c r="N190" s="29"/>
      <c r="O190" s="29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25"/>
      <c r="B191" s="126"/>
      <c r="C191" s="126"/>
      <c r="D191" s="126"/>
      <c r="H191" s="115"/>
      <c r="I191" s="115"/>
      <c r="J191" s="115"/>
      <c r="K191" s="115"/>
      <c r="L191" s="115"/>
      <c r="M191" s="115"/>
      <c r="N191" s="127"/>
      <c r="O191" s="29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25"/>
      <c r="B192" s="126"/>
      <c r="C192" s="126"/>
      <c r="D192" s="126"/>
      <c r="H192" s="115"/>
      <c r="I192" s="115"/>
      <c r="J192" s="115"/>
      <c r="K192" s="115"/>
      <c r="L192" s="115"/>
      <c r="M192" s="115"/>
      <c r="N192" s="127"/>
      <c r="O192" s="127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25"/>
      <c r="B193" s="126"/>
      <c r="C193" s="126"/>
      <c r="D193" s="126"/>
      <c r="H193" s="115"/>
      <c r="I193" s="115"/>
      <c r="J193" s="115"/>
      <c r="K193" s="115"/>
      <c r="L193" s="115"/>
      <c r="M193" s="115"/>
      <c r="N193" s="127"/>
      <c r="O193" s="127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25"/>
      <c r="B194" s="126"/>
      <c r="C194" s="126"/>
      <c r="D194" s="126"/>
      <c r="H194" s="115"/>
      <c r="I194" s="115"/>
      <c r="J194" s="115"/>
      <c r="K194" s="115"/>
      <c r="L194" s="115"/>
      <c r="M194" s="115"/>
      <c r="N194" s="127"/>
      <c r="O194" s="29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25"/>
      <c r="B195" s="126"/>
      <c r="C195" s="126"/>
      <c r="D195" s="126"/>
      <c r="H195" s="115"/>
      <c r="I195" s="115"/>
      <c r="J195" s="115"/>
      <c r="K195" s="115"/>
      <c r="L195" s="115"/>
      <c r="M195" s="115"/>
      <c r="N195" s="29"/>
      <c r="O195" s="29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25"/>
      <c r="B196" s="126"/>
      <c r="C196" s="126"/>
      <c r="D196" s="126"/>
      <c r="H196" s="115"/>
      <c r="I196" s="115"/>
      <c r="J196" s="115"/>
      <c r="K196" s="115"/>
      <c r="L196" s="115"/>
      <c r="M196" s="115"/>
      <c r="N196" s="29"/>
      <c r="O196" s="29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25"/>
      <c r="B197" s="126"/>
      <c r="C197" s="126"/>
      <c r="D197" s="126"/>
      <c r="H197" s="115"/>
      <c r="I197" s="115"/>
      <c r="J197" s="115"/>
      <c r="K197" s="115"/>
      <c r="L197" s="115"/>
      <c r="M197" s="115"/>
      <c r="N197" s="127"/>
      <c r="O197" s="29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25"/>
      <c r="B198" s="126"/>
      <c r="C198" s="126"/>
      <c r="D198" s="126"/>
      <c r="H198" s="115"/>
      <c r="I198" s="115"/>
      <c r="J198" s="115"/>
      <c r="K198" s="115"/>
      <c r="L198" s="115"/>
      <c r="M198" s="115"/>
      <c r="N198" s="29"/>
      <c r="O198" s="29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25"/>
      <c r="B199" s="126"/>
      <c r="C199" s="126"/>
      <c r="D199" s="126"/>
      <c r="H199" s="115"/>
      <c r="I199" s="115"/>
      <c r="J199" s="115"/>
      <c r="K199" s="115"/>
      <c r="L199" s="115"/>
      <c r="M199" s="115"/>
      <c r="N199" s="127"/>
      <c r="O199" s="29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25"/>
      <c r="B200" s="126"/>
      <c r="C200" s="126"/>
      <c r="D200" s="126"/>
      <c r="H200" s="115"/>
      <c r="I200" s="115"/>
      <c r="J200" s="115"/>
      <c r="K200" s="115"/>
      <c r="L200" s="115"/>
      <c r="M200" s="115"/>
      <c r="N200" s="127"/>
      <c r="O200" s="29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25"/>
      <c r="B201" s="126"/>
      <c r="C201" s="126"/>
      <c r="D201" s="126"/>
      <c r="H201" s="115"/>
      <c r="I201" s="115"/>
      <c r="J201" s="115"/>
      <c r="K201" s="115"/>
      <c r="L201" s="115"/>
      <c r="M201" s="115"/>
      <c r="N201" s="127"/>
      <c r="O201" s="29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25"/>
      <c r="B202" s="126"/>
      <c r="C202" s="126"/>
      <c r="D202" s="126"/>
      <c r="H202" s="115"/>
      <c r="I202" s="115"/>
      <c r="J202" s="115"/>
      <c r="K202" s="115"/>
      <c r="L202" s="115"/>
      <c r="M202" s="115"/>
      <c r="N202" s="127"/>
      <c r="O202" s="29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25"/>
      <c r="B203" s="126"/>
      <c r="C203" s="126"/>
      <c r="D203" s="126"/>
      <c r="H203" s="115"/>
      <c r="I203" s="115"/>
      <c r="J203" s="115"/>
      <c r="K203" s="115"/>
      <c r="L203" s="115"/>
      <c r="M203" s="115"/>
      <c r="N203" s="29"/>
      <c r="O203" s="29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25"/>
      <c r="B204" s="126"/>
      <c r="C204" s="126"/>
      <c r="D204" s="126"/>
      <c r="H204" s="115"/>
      <c r="I204" s="115"/>
      <c r="J204" s="115"/>
      <c r="K204" s="115"/>
      <c r="L204" s="115"/>
      <c r="M204" s="115"/>
      <c r="N204" s="127"/>
      <c r="O204" s="29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25"/>
      <c r="B205" s="126"/>
      <c r="C205" s="126"/>
      <c r="D205" s="126"/>
      <c r="H205" s="115"/>
      <c r="I205" s="115"/>
      <c r="J205" s="115"/>
      <c r="K205" s="115"/>
      <c r="L205" s="115"/>
      <c r="M205" s="115"/>
      <c r="N205" s="127"/>
      <c r="O205" s="29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25"/>
      <c r="B206" s="126"/>
      <c r="C206" s="126"/>
      <c r="D206" s="126"/>
      <c r="H206" s="115"/>
      <c r="I206" s="115"/>
      <c r="J206" s="115"/>
      <c r="K206" s="115"/>
      <c r="L206" s="115"/>
      <c r="M206" s="115"/>
      <c r="N206" s="127"/>
      <c r="O206" s="29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25"/>
      <c r="B207" s="126"/>
      <c r="C207" s="126"/>
      <c r="D207" s="126"/>
      <c r="H207" s="115"/>
      <c r="I207" s="115"/>
      <c r="J207" s="115"/>
      <c r="K207" s="115"/>
      <c r="L207" s="115"/>
      <c r="M207" s="115"/>
      <c r="N207" s="127"/>
      <c r="O207" s="29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25"/>
      <c r="B208" s="126"/>
      <c r="C208" s="126"/>
      <c r="D208" s="126"/>
      <c r="H208" s="115"/>
      <c r="I208" s="115"/>
      <c r="J208" s="115"/>
      <c r="K208" s="115"/>
      <c r="L208" s="115"/>
      <c r="M208" s="115"/>
      <c r="N208" s="127"/>
      <c r="O208" s="29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25"/>
      <c r="B209" s="126"/>
      <c r="C209" s="126"/>
      <c r="D209" s="126"/>
      <c r="H209" s="115"/>
      <c r="I209" s="115"/>
      <c r="J209" s="115"/>
      <c r="K209" s="115"/>
      <c r="L209" s="115"/>
      <c r="M209" s="115"/>
      <c r="N209" s="29"/>
      <c r="O209" s="29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25"/>
      <c r="B210" s="126"/>
      <c r="C210" s="126"/>
      <c r="D210" s="126"/>
      <c r="H210" s="115"/>
      <c r="I210" s="115"/>
      <c r="J210" s="115"/>
      <c r="K210" s="115"/>
      <c r="L210" s="115"/>
      <c r="M210" s="115"/>
      <c r="N210" s="127"/>
      <c r="O210" s="29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25"/>
      <c r="B211" s="126"/>
      <c r="C211" s="126"/>
      <c r="D211" s="126"/>
      <c r="H211" s="115"/>
      <c r="I211" s="115"/>
      <c r="J211" s="115"/>
      <c r="K211" s="115"/>
      <c r="L211" s="115"/>
      <c r="M211" s="115"/>
      <c r="N211" s="29"/>
      <c r="O211" s="29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25"/>
      <c r="B212" s="126"/>
      <c r="C212" s="126"/>
      <c r="D212" s="126"/>
      <c r="H212" s="115"/>
      <c r="I212" s="115"/>
      <c r="J212" s="115"/>
      <c r="K212" s="115"/>
      <c r="L212" s="115"/>
      <c r="M212" s="115"/>
      <c r="N212" s="29"/>
      <c r="O212" s="29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25"/>
      <c r="B213" s="126"/>
      <c r="C213" s="126"/>
      <c r="D213" s="126"/>
      <c r="H213" s="115"/>
      <c r="I213" s="115"/>
      <c r="J213" s="115"/>
      <c r="K213" s="115"/>
      <c r="L213" s="115"/>
      <c r="M213" s="115"/>
      <c r="N213" s="127"/>
      <c r="O213" s="29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25"/>
      <c r="B214" s="126"/>
      <c r="C214" s="126"/>
      <c r="D214" s="126"/>
      <c r="H214" s="115"/>
      <c r="I214" s="115"/>
      <c r="J214" s="115"/>
      <c r="K214" s="115"/>
      <c r="L214" s="115"/>
      <c r="M214" s="115"/>
      <c r="N214" s="127"/>
      <c r="O214" s="29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25"/>
      <c r="B215" s="126"/>
      <c r="C215" s="126"/>
      <c r="D215" s="126"/>
      <c r="H215" s="115"/>
      <c r="I215" s="115"/>
      <c r="J215" s="115"/>
      <c r="K215" s="115"/>
      <c r="L215" s="115"/>
      <c r="M215" s="115"/>
      <c r="N215" s="127"/>
      <c r="O215" s="29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25"/>
      <c r="B216" s="126"/>
      <c r="C216" s="126"/>
      <c r="D216" s="126"/>
      <c r="H216" s="115"/>
      <c r="I216" s="115"/>
      <c r="J216" s="115"/>
      <c r="K216" s="115"/>
      <c r="L216" s="115"/>
      <c r="M216" s="115"/>
      <c r="N216" s="127"/>
      <c r="O216" s="29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25"/>
      <c r="B217" s="126"/>
      <c r="C217" s="126"/>
      <c r="D217" s="126"/>
      <c r="H217" s="115"/>
      <c r="I217" s="115"/>
      <c r="J217" s="115"/>
      <c r="K217" s="115"/>
      <c r="L217" s="115"/>
      <c r="M217" s="115"/>
      <c r="N217" s="127"/>
      <c r="O217" s="29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25"/>
      <c r="B218" s="126"/>
      <c r="C218" s="126"/>
      <c r="D218" s="126"/>
      <c r="H218" s="115"/>
      <c r="I218" s="115"/>
      <c r="J218" s="115"/>
      <c r="K218" s="115"/>
      <c r="L218" s="115"/>
      <c r="M218" s="115"/>
      <c r="N218" s="127"/>
      <c r="O218" s="29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25"/>
      <c r="B219" s="126"/>
      <c r="C219" s="126"/>
      <c r="D219" s="126"/>
      <c r="H219" s="115"/>
      <c r="I219" s="115"/>
      <c r="J219" s="115"/>
      <c r="K219" s="115"/>
      <c r="L219" s="115"/>
      <c r="M219" s="115"/>
      <c r="N219" s="127"/>
      <c r="O219" s="29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25"/>
      <c r="B220" s="126"/>
      <c r="C220" s="126"/>
      <c r="D220" s="126"/>
      <c r="H220" s="115"/>
      <c r="I220" s="115"/>
      <c r="J220" s="115"/>
      <c r="K220" s="115"/>
      <c r="L220" s="115"/>
      <c r="M220" s="115"/>
      <c r="N220" s="127"/>
      <c r="O220" s="29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25"/>
      <c r="B221" s="126"/>
      <c r="C221" s="126"/>
      <c r="D221" s="126"/>
      <c r="H221" s="115"/>
      <c r="I221" s="115"/>
      <c r="J221" s="115"/>
      <c r="K221" s="115"/>
      <c r="L221" s="115"/>
      <c r="M221" s="115"/>
      <c r="N221" s="127"/>
      <c r="O221" s="29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25"/>
      <c r="B222" s="126"/>
      <c r="C222" s="126"/>
      <c r="D222" s="126"/>
      <c r="H222" s="115"/>
      <c r="I222" s="115"/>
      <c r="J222" s="115"/>
      <c r="K222" s="115"/>
      <c r="L222" s="115"/>
      <c r="M222" s="115"/>
      <c r="N222" s="29"/>
      <c r="O222" s="29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25"/>
      <c r="B223" s="126"/>
      <c r="C223" s="126"/>
      <c r="D223" s="126"/>
      <c r="H223" s="115"/>
      <c r="I223" s="115"/>
      <c r="J223" s="115"/>
      <c r="K223" s="115"/>
      <c r="L223" s="115"/>
      <c r="M223" s="115"/>
      <c r="N223" s="127"/>
      <c r="O223" s="29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25"/>
      <c r="B224" s="126"/>
      <c r="C224" s="126"/>
      <c r="D224" s="126"/>
      <c r="H224" s="115"/>
      <c r="I224" s="115"/>
      <c r="J224" s="115"/>
      <c r="K224" s="115"/>
      <c r="L224" s="115"/>
      <c r="M224" s="115"/>
      <c r="N224" s="29"/>
      <c r="O224" s="29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25"/>
      <c r="B225" s="126"/>
      <c r="C225" s="126"/>
      <c r="D225" s="126"/>
      <c r="H225" s="115"/>
      <c r="I225" s="115"/>
      <c r="J225" s="115"/>
      <c r="K225" s="115"/>
      <c r="L225" s="115"/>
      <c r="M225" s="115"/>
      <c r="N225" s="127"/>
      <c r="O225" s="29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25"/>
      <c r="B226" s="126"/>
      <c r="C226" s="126"/>
      <c r="D226" s="126"/>
      <c r="H226" s="115"/>
      <c r="I226" s="115"/>
      <c r="J226" s="115"/>
      <c r="K226" s="115"/>
      <c r="L226" s="115"/>
      <c r="M226" s="115"/>
      <c r="N226" s="127"/>
      <c r="O226" s="29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25"/>
      <c r="B227" s="126"/>
      <c r="C227" s="126"/>
      <c r="D227" s="126"/>
      <c r="H227" s="115"/>
      <c r="I227" s="115"/>
      <c r="J227" s="115"/>
      <c r="K227" s="115"/>
      <c r="L227" s="115"/>
      <c r="M227" s="115"/>
      <c r="N227" s="127"/>
      <c r="O227" s="29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25"/>
      <c r="B228" s="126"/>
      <c r="C228" s="126"/>
      <c r="D228" s="126"/>
      <c r="H228" s="115"/>
      <c r="I228" s="115"/>
      <c r="J228" s="115"/>
      <c r="K228" s="115"/>
      <c r="L228" s="115"/>
      <c r="M228" s="115"/>
      <c r="N228" s="127"/>
      <c r="O228" s="29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25"/>
      <c r="B229" s="126"/>
      <c r="C229" s="126"/>
      <c r="D229" s="126"/>
      <c r="H229" s="115"/>
      <c r="I229" s="115"/>
      <c r="J229" s="115"/>
      <c r="K229" s="115"/>
      <c r="L229" s="115"/>
      <c r="M229" s="115"/>
      <c r="N229" s="127"/>
      <c r="O229" s="29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25"/>
      <c r="B230" s="126"/>
      <c r="C230" s="126"/>
      <c r="D230" s="126"/>
      <c r="H230" s="115"/>
      <c r="I230" s="115"/>
      <c r="J230" s="115"/>
      <c r="K230" s="115"/>
      <c r="L230" s="115"/>
      <c r="M230" s="115"/>
      <c r="N230" s="127"/>
      <c r="O230" s="29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25"/>
      <c r="B231" s="126"/>
      <c r="C231" s="126"/>
      <c r="D231" s="126"/>
      <c r="H231" s="115"/>
      <c r="I231" s="115"/>
      <c r="J231" s="115"/>
      <c r="K231" s="115"/>
      <c r="L231" s="115"/>
      <c r="M231" s="115"/>
      <c r="N231" s="29"/>
      <c r="O231" s="29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25"/>
      <c r="B232" s="126"/>
      <c r="C232" s="126"/>
      <c r="D232" s="126"/>
      <c r="H232" s="115"/>
      <c r="I232" s="115"/>
      <c r="J232" s="115"/>
      <c r="K232" s="115"/>
      <c r="L232" s="115"/>
      <c r="M232" s="115"/>
      <c r="N232" s="127"/>
      <c r="O232" s="29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25"/>
      <c r="B233" s="126"/>
      <c r="C233" s="126"/>
      <c r="D233" s="126"/>
      <c r="H233" s="115"/>
      <c r="I233" s="115"/>
      <c r="J233" s="115"/>
      <c r="K233" s="115"/>
      <c r="L233" s="115"/>
      <c r="M233" s="115"/>
      <c r="N233" s="29"/>
      <c r="O233" s="29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25"/>
      <c r="B234" s="126"/>
      <c r="C234" s="126"/>
      <c r="D234" s="126"/>
      <c r="H234" s="115"/>
      <c r="I234" s="115"/>
      <c r="J234" s="115"/>
      <c r="K234" s="115"/>
      <c r="L234" s="115"/>
      <c r="M234" s="115"/>
      <c r="N234" s="127"/>
      <c r="O234" s="29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25"/>
      <c r="B235" s="126"/>
      <c r="C235" s="126"/>
      <c r="D235" s="126"/>
      <c r="H235" s="115"/>
      <c r="I235" s="115"/>
      <c r="J235" s="115"/>
      <c r="K235" s="115"/>
      <c r="L235" s="115"/>
      <c r="M235" s="115"/>
      <c r="N235" s="29"/>
      <c r="O235" s="29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25"/>
      <c r="B236" s="126"/>
      <c r="C236" s="126"/>
      <c r="D236" s="126"/>
      <c r="H236" s="115"/>
      <c r="I236" s="115"/>
      <c r="J236" s="115"/>
      <c r="K236" s="115"/>
      <c r="L236" s="115"/>
      <c r="M236" s="115"/>
      <c r="N236" s="127"/>
      <c r="O236" s="29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25"/>
      <c r="B237" s="126"/>
      <c r="C237" s="126"/>
      <c r="D237" s="126"/>
      <c r="H237" s="115"/>
      <c r="I237" s="115"/>
      <c r="J237" s="115"/>
      <c r="K237" s="115"/>
      <c r="L237" s="115"/>
      <c r="M237" s="115"/>
      <c r="N237" s="29"/>
      <c r="O237" s="29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25"/>
      <c r="B238" s="126"/>
      <c r="C238" s="126"/>
      <c r="D238" s="126"/>
      <c r="H238" s="115"/>
      <c r="I238" s="115"/>
      <c r="J238" s="115"/>
      <c r="K238" s="115"/>
      <c r="L238" s="115"/>
      <c r="M238" s="115"/>
      <c r="N238" s="29"/>
      <c r="O238" s="29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25"/>
      <c r="B239" s="126"/>
      <c r="C239" s="126"/>
      <c r="D239" s="126"/>
      <c r="H239" s="115"/>
      <c r="I239" s="115"/>
      <c r="J239" s="115"/>
      <c r="K239" s="115"/>
      <c r="L239" s="115"/>
      <c r="M239" s="115"/>
      <c r="N239" s="127"/>
      <c r="O239" s="29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25"/>
      <c r="B240" s="126"/>
      <c r="C240" s="126"/>
      <c r="D240" s="126"/>
      <c r="H240" s="115"/>
      <c r="I240" s="115"/>
      <c r="J240" s="115"/>
      <c r="K240" s="115"/>
      <c r="L240" s="115"/>
      <c r="M240" s="115"/>
      <c r="N240" s="127"/>
      <c r="O240" s="29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25"/>
      <c r="B241" s="126"/>
      <c r="C241" s="126"/>
      <c r="D241" s="126"/>
      <c r="H241" s="115"/>
      <c r="I241" s="115"/>
      <c r="J241" s="115"/>
      <c r="K241" s="115"/>
      <c r="L241" s="115"/>
      <c r="M241" s="115"/>
      <c r="N241" s="127"/>
      <c r="O241" s="29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25"/>
      <c r="B242" s="126"/>
      <c r="C242" s="126"/>
      <c r="D242" s="126"/>
      <c r="H242" s="115"/>
      <c r="I242" s="115"/>
      <c r="J242" s="115"/>
      <c r="K242" s="115"/>
      <c r="L242" s="115"/>
      <c r="M242" s="115"/>
      <c r="N242" s="127"/>
      <c r="O242" s="29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25"/>
      <c r="B243" s="126"/>
      <c r="C243" s="126"/>
      <c r="D243" s="126"/>
      <c r="H243" s="115"/>
      <c r="I243" s="115"/>
      <c r="J243" s="115"/>
      <c r="K243" s="115"/>
      <c r="L243" s="115"/>
      <c r="M243" s="115"/>
      <c r="N243" s="128"/>
      <c r="O243" s="29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25"/>
      <c r="B244" s="126"/>
      <c r="C244" s="126"/>
      <c r="D244" s="126"/>
      <c r="H244" s="115"/>
      <c r="I244" s="115"/>
      <c r="J244" s="115"/>
      <c r="K244" s="115"/>
      <c r="L244" s="115"/>
      <c r="M244" s="115"/>
      <c r="N244" s="127"/>
      <c r="O244" s="29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25"/>
      <c r="B245" s="126"/>
      <c r="C245" s="126"/>
      <c r="D245" s="126"/>
      <c r="H245" s="115"/>
      <c r="I245" s="115"/>
      <c r="J245" s="115"/>
      <c r="K245" s="115"/>
      <c r="L245" s="115"/>
      <c r="M245" s="115"/>
      <c r="N245" s="127"/>
      <c r="O245" s="29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25"/>
      <c r="B246" s="126"/>
      <c r="C246" s="126"/>
      <c r="D246" s="126"/>
      <c r="H246" s="115"/>
      <c r="I246" s="115"/>
      <c r="J246" s="115"/>
      <c r="K246" s="115"/>
      <c r="L246" s="115"/>
      <c r="M246" s="115"/>
      <c r="N246" s="128"/>
      <c r="O246" s="29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25"/>
      <c r="B247" s="126"/>
      <c r="C247" s="126"/>
      <c r="D247" s="126"/>
      <c r="H247" s="115"/>
      <c r="I247" s="115"/>
      <c r="J247" s="115"/>
      <c r="K247" s="115"/>
      <c r="L247" s="115"/>
      <c r="M247" s="115"/>
      <c r="N247" s="127"/>
      <c r="O247" s="29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25"/>
      <c r="B248" s="126"/>
      <c r="C248" s="126"/>
      <c r="D248" s="126"/>
      <c r="H248" s="115"/>
      <c r="I248" s="115"/>
      <c r="J248" s="115"/>
      <c r="K248" s="115"/>
      <c r="L248" s="115"/>
      <c r="M248" s="115"/>
      <c r="N248" s="127"/>
      <c r="O248" s="29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25"/>
      <c r="B249" s="126"/>
      <c r="C249" s="126"/>
      <c r="D249" s="126"/>
      <c r="H249" s="115"/>
      <c r="I249" s="115"/>
      <c r="J249" s="115"/>
      <c r="K249" s="115"/>
      <c r="L249" s="115"/>
      <c r="M249" s="115"/>
      <c r="N249" s="127"/>
      <c r="O249" s="29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25"/>
      <c r="B250" s="126"/>
      <c r="C250" s="126"/>
      <c r="D250" s="126"/>
      <c r="H250" s="115"/>
      <c r="I250" s="115"/>
      <c r="J250" s="115"/>
      <c r="K250" s="115"/>
      <c r="L250" s="115"/>
      <c r="M250" s="115"/>
      <c r="N250" s="128"/>
      <c r="O250" s="29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25"/>
      <c r="B251" s="126"/>
      <c r="C251" s="126"/>
      <c r="D251" s="126"/>
      <c r="H251" s="115"/>
      <c r="I251" s="115"/>
      <c r="J251" s="115"/>
      <c r="K251" s="115"/>
      <c r="L251" s="115"/>
      <c r="M251" s="115"/>
      <c r="N251" s="127"/>
      <c r="O251" s="29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25"/>
      <c r="B252" s="126"/>
      <c r="C252" s="126"/>
      <c r="D252" s="126"/>
      <c r="H252" s="115"/>
      <c r="I252" s="115"/>
      <c r="J252" s="115"/>
      <c r="K252" s="115"/>
      <c r="L252" s="115"/>
      <c r="M252" s="115"/>
      <c r="N252" s="127"/>
      <c r="O252" s="29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25"/>
      <c r="B253" s="126"/>
      <c r="C253" s="126"/>
      <c r="D253" s="126"/>
      <c r="H253" s="115"/>
      <c r="I253" s="115"/>
      <c r="J253" s="115"/>
      <c r="K253" s="115"/>
      <c r="L253" s="115"/>
      <c r="M253" s="115"/>
      <c r="N253" s="128"/>
      <c r="O253" s="29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25"/>
      <c r="B254" s="126"/>
      <c r="C254" s="126"/>
      <c r="D254" s="126"/>
      <c r="H254" s="115"/>
      <c r="I254" s="115"/>
      <c r="J254" s="115"/>
      <c r="K254" s="115"/>
      <c r="L254" s="115"/>
      <c r="M254" s="115"/>
      <c r="N254" s="127"/>
      <c r="O254" s="29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25"/>
      <c r="B255" s="126"/>
      <c r="C255" s="126"/>
      <c r="D255" s="126"/>
      <c r="N255" s="127"/>
      <c r="O255" s="29"/>
      <c r="AE255" s="127"/>
      <c r="AF255" s="29"/>
    </row>
    <row r="256" spans="1:32" ht="19.5" x14ac:dyDescent="0.4">
      <c r="A256" s="125"/>
      <c r="B256" s="126"/>
      <c r="C256" s="126"/>
      <c r="D256" s="126"/>
      <c r="H256" s="115"/>
      <c r="I256" s="115"/>
      <c r="J256" s="115"/>
      <c r="K256" s="115"/>
      <c r="L256" s="115"/>
      <c r="M256" s="115"/>
      <c r="N256" s="127"/>
      <c r="O256" s="29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25"/>
      <c r="B257" s="126"/>
      <c r="C257" s="126"/>
      <c r="D257" s="126"/>
      <c r="H257" s="115"/>
      <c r="I257" s="115"/>
      <c r="J257" s="115"/>
      <c r="K257" s="115"/>
      <c r="L257" s="115"/>
      <c r="M257" s="115"/>
      <c r="N257" s="127"/>
      <c r="O257" s="29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25"/>
      <c r="B258" s="126"/>
      <c r="C258" s="126"/>
      <c r="D258" s="126"/>
      <c r="H258" s="115"/>
      <c r="I258" s="115"/>
      <c r="J258" s="115"/>
      <c r="K258" s="115"/>
      <c r="L258" s="115"/>
      <c r="M258" s="115"/>
      <c r="N258" s="127"/>
      <c r="O258" s="29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25"/>
      <c r="B259" s="126"/>
      <c r="C259" s="126"/>
      <c r="D259" s="126"/>
      <c r="H259" s="115"/>
      <c r="I259" s="115"/>
      <c r="J259" s="115"/>
      <c r="K259" s="115"/>
      <c r="L259" s="115"/>
      <c r="M259" s="115"/>
      <c r="N259" s="127"/>
      <c r="O259" s="127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25"/>
      <c r="B260" s="126"/>
      <c r="C260" s="126"/>
      <c r="D260" s="126"/>
      <c r="H260" s="115"/>
      <c r="I260" s="115"/>
      <c r="J260" s="115"/>
      <c r="K260" s="115"/>
      <c r="L260" s="115"/>
      <c r="M260" s="115"/>
      <c r="N260" s="127"/>
      <c r="O260" s="29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25"/>
      <c r="B261" s="126"/>
      <c r="C261" s="126"/>
      <c r="D261" s="126"/>
      <c r="H261" s="115"/>
      <c r="I261" s="115"/>
      <c r="J261" s="115"/>
      <c r="K261" s="115"/>
      <c r="L261" s="115"/>
      <c r="M261" s="115"/>
      <c r="N261" s="127"/>
      <c r="O261" s="29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25"/>
      <c r="B262" s="126"/>
      <c r="C262" s="126"/>
      <c r="D262" s="126"/>
      <c r="H262" s="115"/>
      <c r="I262" s="115"/>
      <c r="J262" s="115"/>
      <c r="K262" s="115"/>
      <c r="L262" s="115"/>
      <c r="M262" s="115"/>
      <c r="N262" s="127"/>
      <c r="O262" s="29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25"/>
      <c r="B263" s="126"/>
      <c r="C263" s="126"/>
      <c r="D263" s="126"/>
      <c r="H263" s="115"/>
      <c r="I263" s="115"/>
      <c r="J263" s="115"/>
      <c r="K263" s="115"/>
      <c r="L263" s="115"/>
      <c r="M263" s="115"/>
      <c r="N263" s="127"/>
      <c r="O263" s="29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25"/>
      <c r="B264" s="126"/>
      <c r="C264" s="126"/>
      <c r="D264" s="126"/>
      <c r="H264" s="115"/>
      <c r="I264" s="115"/>
      <c r="J264" s="115"/>
      <c r="K264" s="115"/>
      <c r="L264" s="115"/>
      <c r="M264" s="115"/>
      <c r="N264" s="128"/>
      <c r="O264" s="29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25"/>
      <c r="B265" s="126"/>
      <c r="C265" s="126"/>
      <c r="D265" s="126"/>
      <c r="H265" s="115"/>
      <c r="I265" s="115"/>
      <c r="J265" s="115"/>
      <c r="K265" s="115"/>
      <c r="L265" s="115"/>
      <c r="M265" s="115"/>
      <c r="N265" s="127"/>
      <c r="O265" s="29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25"/>
      <c r="B266" s="126"/>
      <c r="C266" s="126"/>
      <c r="D266" s="126"/>
      <c r="N266" s="127"/>
      <c r="O266" s="29"/>
      <c r="AE266" s="127"/>
      <c r="AF266" s="29"/>
    </row>
    <row r="267" spans="1:32" ht="19.5" x14ac:dyDescent="0.4">
      <c r="A267" s="125"/>
      <c r="B267" s="126"/>
      <c r="C267" s="126"/>
      <c r="D267" s="126"/>
      <c r="H267" s="115"/>
      <c r="I267" s="115"/>
      <c r="J267" s="115"/>
      <c r="K267" s="115"/>
      <c r="L267" s="115"/>
      <c r="M267" s="115"/>
      <c r="N267" s="127"/>
      <c r="O267" s="29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25"/>
      <c r="B268" s="126"/>
      <c r="C268" s="126"/>
      <c r="D268" s="126"/>
      <c r="H268" s="115"/>
      <c r="I268" s="115"/>
      <c r="J268" s="115"/>
      <c r="K268" s="115"/>
      <c r="L268" s="115"/>
      <c r="M268" s="115"/>
      <c r="N268" s="127"/>
      <c r="O268" s="29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25"/>
      <c r="B269" s="126"/>
      <c r="C269" s="126"/>
      <c r="D269" s="126"/>
      <c r="H269" s="115"/>
      <c r="I269" s="115"/>
      <c r="J269" s="115"/>
      <c r="K269" s="115"/>
      <c r="L269" s="115"/>
      <c r="M269" s="115"/>
      <c r="N269" s="127"/>
      <c r="O269" s="29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25"/>
      <c r="B270" s="126"/>
      <c r="C270" s="126"/>
      <c r="D270" s="126"/>
      <c r="H270" s="115"/>
      <c r="I270" s="115"/>
      <c r="J270" s="115"/>
      <c r="K270" s="115"/>
      <c r="L270" s="115"/>
      <c r="M270" s="115"/>
      <c r="N270" s="127"/>
      <c r="O270" s="29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25"/>
      <c r="B271" s="126"/>
      <c r="C271" s="126"/>
      <c r="D271" s="126"/>
      <c r="H271" s="115"/>
      <c r="I271" s="115"/>
      <c r="J271" s="115"/>
      <c r="K271" s="115"/>
      <c r="L271" s="115"/>
      <c r="M271" s="115"/>
      <c r="N271" s="127"/>
      <c r="O271" s="29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25"/>
      <c r="B272" s="126"/>
      <c r="C272" s="126"/>
      <c r="D272" s="126"/>
      <c r="H272" s="115"/>
      <c r="I272" s="115"/>
      <c r="J272" s="115"/>
      <c r="K272" s="115"/>
      <c r="L272" s="115"/>
      <c r="M272" s="115"/>
      <c r="N272" s="128"/>
      <c r="O272" s="29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25"/>
      <c r="B273" s="126"/>
      <c r="C273" s="126"/>
      <c r="D273" s="126"/>
      <c r="H273" s="115"/>
      <c r="I273" s="115"/>
      <c r="J273" s="115"/>
      <c r="K273" s="115"/>
      <c r="L273" s="115"/>
      <c r="M273" s="115"/>
      <c r="N273" s="127"/>
      <c r="O273" s="29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25"/>
      <c r="B274" s="126"/>
      <c r="C274" s="126"/>
      <c r="D274" s="126"/>
      <c r="H274" s="115"/>
      <c r="I274" s="115"/>
      <c r="J274" s="115"/>
      <c r="K274" s="115"/>
      <c r="L274" s="115"/>
      <c r="M274" s="115"/>
      <c r="N274" s="127"/>
      <c r="O274" s="29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25"/>
      <c r="B275" s="126"/>
      <c r="C275" s="126"/>
      <c r="D275" s="126"/>
      <c r="H275" s="115"/>
      <c r="I275" s="115"/>
      <c r="J275" s="115"/>
      <c r="K275" s="115"/>
      <c r="L275" s="115"/>
      <c r="M275" s="115"/>
      <c r="N275" s="128"/>
      <c r="O275" s="29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25"/>
      <c r="B276" s="126"/>
      <c r="C276" s="126"/>
      <c r="D276" s="126"/>
      <c r="H276" s="115"/>
      <c r="I276" s="115"/>
      <c r="J276" s="115"/>
      <c r="K276" s="115"/>
      <c r="L276" s="115"/>
      <c r="M276" s="115"/>
      <c r="N276" s="127"/>
      <c r="O276" s="29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25"/>
      <c r="B277" s="126"/>
      <c r="C277" s="126"/>
      <c r="D277" s="126"/>
      <c r="H277" s="115"/>
      <c r="I277" s="115"/>
      <c r="J277" s="115"/>
      <c r="K277" s="115"/>
      <c r="L277" s="115"/>
      <c r="M277" s="115"/>
      <c r="N277" s="127"/>
      <c r="O277" s="29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25"/>
      <c r="B278" s="126"/>
      <c r="C278" s="126"/>
      <c r="D278" s="126"/>
      <c r="H278" s="115"/>
      <c r="I278" s="115"/>
      <c r="J278" s="115"/>
      <c r="K278" s="115"/>
      <c r="L278" s="115"/>
      <c r="M278" s="115"/>
      <c r="N278" s="127"/>
      <c r="O278" s="29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25"/>
      <c r="B279" s="126"/>
      <c r="C279" s="126"/>
      <c r="D279" s="126"/>
      <c r="H279" s="115"/>
      <c r="I279" s="115"/>
      <c r="J279" s="115"/>
      <c r="K279" s="115"/>
      <c r="L279" s="115"/>
      <c r="M279" s="115"/>
      <c r="N279" s="127"/>
      <c r="O279" s="29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25"/>
      <c r="B280" s="126"/>
      <c r="C280" s="126"/>
      <c r="D280" s="126"/>
      <c r="H280" s="115"/>
      <c r="I280" s="115"/>
      <c r="J280" s="115"/>
      <c r="K280" s="115"/>
      <c r="L280" s="115"/>
      <c r="M280" s="115"/>
      <c r="N280" s="128"/>
      <c r="O280" s="29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25"/>
      <c r="B281" s="126"/>
      <c r="C281" s="126"/>
      <c r="D281" s="126"/>
      <c r="H281" s="115"/>
      <c r="I281" s="115"/>
      <c r="J281" s="115"/>
      <c r="K281" s="115"/>
      <c r="L281" s="115"/>
      <c r="M281" s="115"/>
      <c r="N281" s="127"/>
      <c r="O281" s="29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25"/>
      <c r="B282" s="126"/>
      <c r="C282" s="126"/>
      <c r="D282" s="126"/>
      <c r="H282" s="115"/>
      <c r="I282" s="115"/>
      <c r="J282" s="115"/>
      <c r="K282" s="115"/>
      <c r="L282" s="115"/>
      <c r="M282" s="115"/>
      <c r="N282" s="128"/>
      <c r="O282" s="29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25"/>
      <c r="B283" s="126"/>
      <c r="C283" s="126"/>
      <c r="D283" s="126"/>
      <c r="H283" s="115"/>
      <c r="I283" s="115"/>
      <c r="J283" s="115"/>
      <c r="K283" s="115"/>
      <c r="L283" s="115"/>
      <c r="M283" s="115"/>
      <c r="N283" s="127"/>
      <c r="O283" s="29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25"/>
      <c r="B284" s="126"/>
      <c r="C284" s="126"/>
      <c r="D284" s="126"/>
      <c r="H284" s="115"/>
      <c r="I284" s="115"/>
      <c r="J284" s="115"/>
      <c r="K284" s="115"/>
      <c r="L284" s="115"/>
      <c r="M284" s="115"/>
      <c r="N284" s="128"/>
      <c r="O284" s="29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25"/>
      <c r="B285" s="126"/>
      <c r="C285" s="126"/>
      <c r="D285" s="126"/>
      <c r="H285" s="115"/>
      <c r="I285" s="115"/>
      <c r="J285" s="115"/>
      <c r="K285" s="115"/>
      <c r="L285" s="115"/>
      <c r="M285" s="115"/>
      <c r="N285" s="127"/>
      <c r="O285" s="29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25"/>
      <c r="B286" s="126"/>
      <c r="C286" s="126"/>
      <c r="D286" s="126"/>
      <c r="H286" s="115"/>
      <c r="I286" s="115"/>
      <c r="J286" s="115"/>
      <c r="K286" s="115"/>
      <c r="L286" s="115"/>
      <c r="M286" s="115"/>
      <c r="N286" s="128"/>
      <c r="O286" s="29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25"/>
      <c r="B287" s="126"/>
      <c r="C287" s="126"/>
      <c r="D287" s="126"/>
      <c r="H287" s="115"/>
      <c r="I287" s="115"/>
      <c r="J287" s="115"/>
      <c r="K287" s="115"/>
      <c r="L287" s="115"/>
      <c r="M287" s="115"/>
      <c r="N287" s="128"/>
      <c r="O287" s="29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25"/>
      <c r="B288" s="126"/>
      <c r="C288" s="126"/>
      <c r="D288" s="126"/>
      <c r="H288" s="115"/>
      <c r="I288" s="115"/>
      <c r="J288" s="115"/>
      <c r="K288" s="115"/>
      <c r="L288" s="115"/>
      <c r="M288" s="115"/>
      <c r="N288" s="127"/>
      <c r="O288" s="29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25"/>
      <c r="B289" s="126"/>
      <c r="C289" s="126"/>
      <c r="D289" s="126"/>
      <c r="H289" s="115"/>
      <c r="I289" s="115"/>
      <c r="J289" s="115"/>
      <c r="K289" s="115"/>
      <c r="L289" s="115"/>
      <c r="M289" s="115"/>
      <c r="N289" s="127"/>
      <c r="O289" s="29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25"/>
      <c r="B290" s="126"/>
      <c r="C290" s="126"/>
      <c r="D290" s="126"/>
      <c r="H290" s="115"/>
      <c r="I290" s="115"/>
      <c r="J290" s="115"/>
      <c r="K290" s="115"/>
      <c r="L290" s="115"/>
      <c r="M290" s="115"/>
      <c r="N290" s="127"/>
      <c r="O290" s="29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25"/>
      <c r="B291" s="126"/>
      <c r="C291" s="126"/>
      <c r="D291" s="126"/>
      <c r="H291" s="115"/>
      <c r="I291" s="115"/>
      <c r="J291" s="115"/>
      <c r="K291" s="115"/>
      <c r="L291" s="115"/>
      <c r="M291" s="115"/>
      <c r="N291" s="127"/>
      <c r="O291" s="29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25"/>
      <c r="B292" s="126"/>
      <c r="C292" s="126"/>
      <c r="D292" s="126"/>
      <c r="H292" s="115"/>
      <c r="I292" s="115"/>
      <c r="J292" s="115"/>
      <c r="K292" s="115"/>
      <c r="L292" s="115"/>
      <c r="M292" s="115"/>
      <c r="N292" s="127"/>
      <c r="O292" s="29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25"/>
      <c r="B293" s="126"/>
      <c r="C293" s="126"/>
      <c r="D293" s="126"/>
      <c r="H293" s="115"/>
      <c r="I293" s="115"/>
      <c r="J293" s="115"/>
      <c r="K293" s="115"/>
      <c r="L293" s="115"/>
      <c r="M293" s="115"/>
      <c r="N293" s="127"/>
      <c r="O293" s="29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25"/>
      <c r="B294" s="126"/>
      <c r="C294" s="126"/>
      <c r="D294" s="126"/>
      <c r="H294" s="115"/>
      <c r="I294" s="115"/>
      <c r="J294" s="115"/>
      <c r="K294" s="115"/>
      <c r="L294" s="115"/>
      <c r="M294" s="115"/>
      <c r="N294" s="127"/>
      <c r="O294" s="29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25"/>
      <c r="B295" s="126"/>
      <c r="C295" s="126"/>
      <c r="D295" s="126"/>
      <c r="H295" s="115"/>
      <c r="I295" s="115"/>
      <c r="J295" s="115"/>
      <c r="K295" s="115"/>
      <c r="L295" s="115"/>
      <c r="M295" s="115"/>
      <c r="N295" s="127"/>
      <c r="O295" s="29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25"/>
      <c r="B296" s="126"/>
      <c r="C296" s="126"/>
      <c r="D296" s="126"/>
      <c r="H296" s="115"/>
      <c r="I296" s="115"/>
      <c r="J296" s="115"/>
      <c r="K296" s="115"/>
      <c r="L296" s="115"/>
      <c r="M296" s="115"/>
      <c r="N296" s="127"/>
      <c r="O296" s="29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25"/>
      <c r="B297" s="126"/>
      <c r="C297" s="126"/>
      <c r="D297" s="126"/>
      <c r="H297" s="115"/>
      <c r="I297" s="115"/>
      <c r="J297" s="115"/>
      <c r="K297" s="115"/>
      <c r="L297" s="115"/>
      <c r="M297" s="115"/>
      <c r="N297" s="127"/>
      <c r="O297" s="29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25"/>
      <c r="B298" s="126"/>
      <c r="C298" s="126"/>
      <c r="D298" s="126"/>
      <c r="N298" s="127"/>
      <c r="O298" s="29"/>
      <c r="AE298" s="127"/>
      <c r="AF298" s="29"/>
    </row>
    <row r="299" spans="1:32" ht="19.5" x14ac:dyDescent="0.4">
      <c r="A299" s="125"/>
      <c r="B299" s="126"/>
      <c r="C299" s="126"/>
      <c r="D299" s="126"/>
      <c r="H299" s="115"/>
      <c r="I299" s="115"/>
      <c r="J299" s="115"/>
      <c r="K299" s="115"/>
      <c r="L299" s="115"/>
      <c r="M299" s="115"/>
      <c r="N299" s="127"/>
      <c r="O299" s="29"/>
      <c r="AD299" s="115"/>
      <c r="AE299" s="29"/>
      <c r="AF299" s="29"/>
    </row>
    <row r="300" spans="1:32" ht="19.5" x14ac:dyDescent="0.4">
      <c r="A300" s="125"/>
      <c r="B300" s="126"/>
      <c r="C300" s="126"/>
      <c r="D300" s="126"/>
      <c r="H300" s="115"/>
      <c r="I300" s="115"/>
      <c r="J300" s="115"/>
      <c r="K300" s="115"/>
      <c r="L300" s="115"/>
      <c r="M300" s="115"/>
      <c r="N300" s="127"/>
      <c r="O300" s="29"/>
      <c r="AD300" s="115"/>
      <c r="AE300" s="29"/>
      <c r="AF300" s="29"/>
    </row>
    <row r="301" spans="1:32" ht="19.5" x14ac:dyDescent="0.4">
      <c r="A301" s="125"/>
      <c r="B301" s="126"/>
      <c r="C301" s="126"/>
      <c r="D301" s="126"/>
      <c r="H301" s="115"/>
      <c r="I301" s="115"/>
      <c r="J301" s="115"/>
      <c r="K301" s="115"/>
      <c r="L301" s="115"/>
      <c r="M301" s="115"/>
      <c r="N301" s="127"/>
      <c r="O301" s="29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25"/>
      <c r="B302" s="126"/>
      <c r="C302" s="126"/>
      <c r="D302" s="126"/>
      <c r="N302" s="127"/>
      <c r="O302" s="29"/>
      <c r="AE302" s="127"/>
      <c r="AF302" s="29"/>
    </row>
    <row r="303" spans="1:32" ht="19.5" x14ac:dyDescent="0.4">
      <c r="A303" s="125"/>
      <c r="B303" s="126"/>
      <c r="C303" s="126"/>
      <c r="D303" s="126"/>
      <c r="I303" s="115"/>
      <c r="J303" s="115"/>
      <c r="K303" s="115"/>
      <c r="L303" s="115"/>
      <c r="M303" s="115"/>
      <c r="N303" s="29"/>
      <c r="O303" s="29"/>
      <c r="AE303" s="127"/>
      <c r="AF303" s="29"/>
    </row>
    <row r="304" spans="1:32" ht="19.5" x14ac:dyDescent="0.4">
      <c r="A304" s="125"/>
      <c r="B304" s="126"/>
      <c r="C304" s="126"/>
      <c r="D304" s="126"/>
      <c r="H304" s="115"/>
      <c r="I304" s="115"/>
      <c r="J304" s="115"/>
      <c r="K304" s="115"/>
      <c r="L304" s="115"/>
      <c r="M304" s="115"/>
      <c r="N304" s="127"/>
      <c r="O304" s="29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25"/>
      <c r="B305" s="126"/>
      <c r="C305" s="126"/>
      <c r="D305" s="126"/>
      <c r="H305" s="115"/>
      <c r="I305" s="115"/>
      <c r="J305" s="115"/>
      <c r="K305" s="115"/>
      <c r="L305" s="115"/>
      <c r="M305" s="115"/>
      <c r="N305" s="29"/>
      <c r="O305" s="29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25"/>
      <c r="B306" s="126"/>
      <c r="C306" s="126"/>
      <c r="D306" s="126"/>
      <c r="H306" s="115"/>
      <c r="I306" s="115"/>
      <c r="J306" s="115"/>
      <c r="K306" s="115"/>
      <c r="L306" s="115"/>
      <c r="M306" s="115"/>
      <c r="N306" s="127"/>
      <c r="O306" s="29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25"/>
      <c r="B307" s="126"/>
      <c r="C307" s="126"/>
      <c r="D307" s="126"/>
      <c r="H307" s="115"/>
      <c r="I307" s="115"/>
      <c r="J307" s="115"/>
      <c r="K307" s="115"/>
      <c r="L307" s="115"/>
      <c r="M307" s="115"/>
      <c r="N307" s="127"/>
      <c r="O307" s="29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25"/>
      <c r="B308" s="126"/>
      <c r="C308" s="126"/>
      <c r="D308" s="126"/>
      <c r="H308" s="115"/>
      <c r="I308" s="115"/>
      <c r="J308" s="115"/>
      <c r="K308" s="115"/>
      <c r="L308" s="115"/>
      <c r="M308" s="115"/>
      <c r="N308" s="29"/>
      <c r="O308" s="29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25"/>
      <c r="B309" s="126"/>
      <c r="C309" s="126"/>
      <c r="D309" s="126"/>
      <c r="H309" s="115"/>
      <c r="I309" s="115"/>
      <c r="J309" s="115"/>
      <c r="K309" s="115"/>
      <c r="L309" s="115"/>
      <c r="M309" s="115"/>
      <c r="N309" s="127"/>
      <c r="O309" s="29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25"/>
      <c r="B310" s="126"/>
      <c r="C310" s="126"/>
      <c r="D310" s="126"/>
      <c r="H310" s="115"/>
      <c r="I310" s="115"/>
      <c r="J310" s="115"/>
      <c r="K310" s="115"/>
      <c r="L310" s="115"/>
      <c r="M310" s="115"/>
      <c r="N310" s="127"/>
      <c r="O310" s="29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25"/>
      <c r="B311" s="126"/>
      <c r="C311" s="126"/>
      <c r="D311" s="126"/>
      <c r="H311" s="115"/>
      <c r="I311" s="115"/>
      <c r="J311" s="115"/>
      <c r="K311" s="115"/>
      <c r="L311" s="115"/>
      <c r="M311" s="115"/>
      <c r="N311" s="29"/>
      <c r="O311" s="29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25"/>
      <c r="B312" s="126"/>
      <c r="C312" s="126"/>
      <c r="D312" s="126"/>
      <c r="H312" s="115"/>
      <c r="I312" s="115"/>
      <c r="J312" s="115"/>
      <c r="K312" s="115"/>
      <c r="L312" s="115"/>
      <c r="M312" s="115"/>
      <c r="N312" s="29"/>
      <c r="O312" s="29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25"/>
      <c r="B313" s="126"/>
      <c r="C313" s="126"/>
      <c r="D313" s="126"/>
      <c r="H313" s="115"/>
      <c r="I313" s="115"/>
      <c r="J313" s="115"/>
      <c r="K313" s="115"/>
      <c r="L313" s="115"/>
      <c r="M313" s="115"/>
      <c r="N313" s="29"/>
      <c r="O313" s="29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25"/>
      <c r="B314" s="126"/>
      <c r="C314" s="126"/>
      <c r="D314" s="126"/>
      <c r="H314" s="115"/>
      <c r="I314" s="115"/>
      <c r="J314" s="115"/>
      <c r="K314" s="115"/>
      <c r="L314" s="115"/>
      <c r="M314" s="115"/>
      <c r="N314" s="127"/>
      <c r="O314" s="29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25"/>
      <c r="B315" s="126"/>
      <c r="C315" s="126"/>
      <c r="D315" s="126"/>
      <c r="H315" s="115"/>
      <c r="I315" s="115"/>
      <c r="J315" s="115"/>
      <c r="K315" s="115"/>
      <c r="L315" s="115"/>
      <c r="M315" s="115"/>
      <c r="N315" s="127"/>
      <c r="O315" s="29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25"/>
      <c r="B316" s="126"/>
      <c r="C316" s="126"/>
      <c r="D316" s="126"/>
      <c r="H316" s="115"/>
      <c r="I316" s="115"/>
      <c r="J316" s="115"/>
      <c r="K316" s="115"/>
      <c r="L316" s="115"/>
      <c r="M316" s="115"/>
      <c r="N316" s="127"/>
      <c r="O316" s="127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25"/>
      <c r="B317" s="126"/>
      <c r="C317" s="126"/>
      <c r="D317" s="126"/>
      <c r="H317" s="115"/>
      <c r="I317" s="115"/>
      <c r="J317" s="115"/>
      <c r="K317" s="115"/>
      <c r="L317" s="115"/>
      <c r="M317" s="115"/>
      <c r="N317" s="127"/>
      <c r="O317" s="29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25"/>
      <c r="B318" s="126"/>
      <c r="C318" s="126"/>
      <c r="D318" s="126"/>
      <c r="N318" s="127"/>
      <c r="O318" s="29"/>
      <c r="AE318" s="127"/>
      <c r="AF318" s="29"/>
    </row>
    <row r="319" spans="1:32" ht="19.5" x14ac:dyDescent="0.4">
      <c r="A319" s="125"/>
      <c r="B319" s="126"/>
      <c r="C319" s="126"/>
      <c r="D319" s="126"/>
      <c r="H319" s="115"/>
      <c r="I319" s="115"/>
      <c r="J319" s="115"/>
      <c r="K319" s="115"/>
      <c r="L319" s="115"/>
      <c r="M319" s="115"/>
      <c r="N319" s="127"/>
      <c r="O319" s="29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25"/>
      <c r="B320" s="126"/>
      <c r="C320" s="126"/>
      <c r="D320" s="126"/>
      <c r="H320" s="115"/>
      <c r="I320" s="115"/>
      <c r="J320" s="115"/>
      <c r="K320" s="115"/>
      <c r="L320" s="115"/>
      <c r="M320" s="115"/>
      <c r="N320" s="127"/>
      <c r="O320" s="29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25"/>
      <c r="B321" s="126"/>
      <c r="C321" s="126"/>
      <c r="D321" s="126"/>
      <c r="H321" s="115"/>
      <c r="I321" s="115"/>
      <c r="J321" s="115"/>
      <c r="K321" s="115"/>
      <c r="L321" s="115"/>
      <c r="M321" s="115"/>
      <c r="N321" s="127"/>
      <c r="O321" s="29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25"/>
      <c r="B322" s="126"/>
      <c r="C322" s="126"/>
      <c r="D322" s="126"/>
      <c r="H322" s="115"/>
      <c r="I322" s="115"/>
      <c r="J322" s="115"/>
      <c r="K322" s="115"/>
      <c r="L322" s="115"/>
      <c r="M322" s="115"/>
      <c r="N322" s="127"/>
      <c r="O322" s="29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25"/>
      <c r="B323" s="126"/>
      <c r="C323" s="126"/>
      <c r="D323" s="126"/>
      <c r="H323" s="115"/>
      <c r="I323" s="115"/>
      <c r="J323" s="115"/>
      <c r="K323" s="115"/>
      <c r="L323" s="115"/>
      <c r="M323" s="115"/>
      <c r="N323" s="127"/>
      <c r="O323" s="29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25"/>
      <c r="B324" s="126"/>
      <c r="C324" s="126"/>
      <c r="D324" s="126"/>
      <c r="H324" s="115"/>
      <c r="I324" s="115"/>
      <c r="J324" s="115"/>
      <c r="K324" s="115"/>
      <c r="L324" s="115"/>
      <c r="M324" s="115"/>
      <c r="N324" s="127"/>
      <c r="O324" s="29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25"/>
      <c r="B325" s="126"/>
      <c r="C325" s="126"/>
      <c r="D325" s="126"/>
      <c r="H325" s="115"/>
      <c r="I325" s="115"/>
      <c r="J325" s="115"/>
      <c r="K325" s="115"/>
      <c r="L325" s="115"/>
      <c r="M325" s="115"/>
      <c r="N325" s="127"/>
      <c r="O325" s="29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25"/>
      <c r="B326" s="126"/>
      <c r="C326" s="126"/>
      <c r="D326" s="126"/>
      <c r="H326" s="115"/>
      <c r="I326" s="115"/>
      <c r="J326" s="115"/>
      <c r="K326" s="115"/>
      <c r="L326" s="115"/>
      <c r="M326" s="115"/>
      <c r="N326" s="127"/>
      <c r="O326" s="29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25"/>
      <c r="B327" s="126"/>
      <c r="C327" s="126"/>
      <c r="D327" s="126"/>
      <c r="H327" s="115"/>
      <c r="I327" s="115"/>
      <c r="J327" s="115"/>
      <c r="K327" s="115"/>
      <c r="L327" s="115"/>
      <c r="M327" s="115"/>
      <c r="N327" s="127"/>
      <c r="O327" s="29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25"/>
      <c r="B328" s="126"/>
      <c r="C328" s="126"/>
      <c r="D328" s="126"/>
      <c r="H328" s="115"/>
      <c r="I328" s="115"/>
      <c r="J328" s="115"/>
      <c r="K328" s="115"/>
      <c r="L328" s="115"/>
      <c r="M328" s="115"/>
      <c r="N328" s="127"/>
      <c r="O328" s="29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25"/>
      <c r="B329" s="126"/>
      <c r="C329" s="126"/>
      <c r="D329" s="126"/>
      <c r="N329" s="127"/>
      <c r="O329" s="29"/>
      <c r="AE329" s="127"/>
      <c r="AF329" s="29"/>
    </row>
    <row r="330" spans="1:32" ht="19.5" x14ac:dyDescent="0.4">
      <c r="A330" s="125"/>
      <c r="B330" s="126"/>
      <c r="C330" s="126"/>
      <c r="D330" s="126"/>
      <c r="H330" s="115"/>
      <c r="I330" s="115"/>
      <c r="J330" s="115"/>
      <c r="K330" s="115"/>
      <c r="L330" s="115"/>
      <c r="M330" s="115"/>
      <c r="N330" s="29"/>
      <c r="O330" s="29"/>
      <c r="AC330" s="115"/>
      <c r="AD330" s="115"/>
      <c r="AE330" s="29"/>
      <c r="AF330" s="29"/>
    </row>
    <row r="331" spans="1:32" ht="19.5" x14ac:dyDescent="0.4">
      <c r="A331" s="125"/>
      <c r="B331" s="126"/>
      <c r="C331" s="126"/>
      <c r="D331" s="126"/>
      <c r="H331" s="115"/>
      <c r="I331" s="115"/>
      <c r="J331" s="115"/>
      <c r="K331" s="115"/>
      <c r="L331" s="115"/>
      <c r="M331" s="115"/>
      <c r="N331" s="127"/>
      <c r="O331" s="29"/>
      <c r="AA331" s="115"/>
      <c r="AB331" s="115"/>
      <c r="AC331" s="115"/>
      <c r="AD331" s="115"/>
      <c r="AE331" s="127"/>
      <c r="AF331" s="29"/>
    </row>
    <row r="332" spans="1:32" ht="19.5" x14ac:dyDescent="0.4">
      <c r="A332" s="125"/>
      <c r="B332" s="126"/>
      <c r="C332" s="126"/>
      <c r="D332" s="126"/>
      <c r="H332" s="115"/>
      <c r="I332" s="115"/>
      <c r="J332" s="115"/>
      <c r="K332" s="115"/>
      <c r="L332" s="115"/>
      <c r="M332" s="115"/>
      <c r="N332" s="127"/>
      <c r="O332" s="29"/>
      <c r="AA332" s="115"/>
      <c r="AB332" s="115"/>
      <c r="AC332" s="115"/>
      <c r="AD332" s="115"/>
      <c r="AE332" s="127"/>
      <c r="AF332" s="29"/>
    </row>
    <row r="333" spans="1:32" ht="19.5" x14ac:dyDescent="0.4">
      <c r="A333" s="125"/>
      <c r="B333" s="126"/>
      <c r="C333" s="126"/>
      <c r="D333" s="126"/>
      <c r="H333" s="115"/>
      <c r="I333" s="115"/>
      <c r="J333" s="115"/>
      <c r="K333" s="115"/>
      <c r="L333" s="115"/>
      <c r="M333" s="115"/>
      <c r="N333" s="127"/>
      <c r="O333" s="29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25"/>
      <c r="B334" s="126"/>
      <c r="C334" s="126"/>
      <c r="D334" s="126"/>
      <c r="N334" s="127"/>
      <c r="O334" s="29"/>
      <c r="AE334" s="127"/>
      <c r="AF334" s="29"/>
    </row>
    <row r="335" spans="1:32" ht="19.5" x14ac:dyDescent="0.4">
      <c r="A335" s="125"/>
      <c r="B335" s="126"/>
      <c r="C335" s="126"/>
      <c r="D335" s="126"/>
      <c r="H335" s="115"/>
      <c r="I335" s="115"/>
      <c r="J335" s="115"/>
      <c r="K335" s="115"/>
      <c r="L335" s="115"/>
      <c r="M335" s="115"/>
      <c r="N335" s="127"/>
      <c r="O335" s="29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25"/>
      <c r="B336" s="126"/>
      <c r="C336" s="126"/>
      <c r="D336" s="126"/>
      <c r="H336" s="115"/>
      <c r="I336" s="115"/>
      <c r="J336" s="115"/>
      <c r="K336" s="115"/>
      <c r="L336" s="115"/>
      <c r="M336" s="115"/>
      <c r="N336" s="29"/>
      <c r="O336" s="29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25"/>
      <c r="B337" s="126"/>
      <c r="C337" s="126"/>
      <c r="D337" s="126"/>
      <c r="H337" s="115"/>
      <c r="I337" s="115"/>
      <c r="J337" s="115"/>
      <c r="K337" s="115"/>
      <c r="L337" s="115"/>
      <c r="M337" s="115"/>
      <c r="N337" s="127"/>
      <c r="O337" s="29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25"/>
      <c r="B338" s="126"/>
      <c r="C338" s="126"/>
      <c r="D338" s="126"/>
      <c r="H338" s="115"/>
      <c r="I338" s="115"/>
      <c r="J338" s="115"/>
      <c r="K338" s="115"/>
      <c r="L338" s="115"/>
      <c r="M338" s="115"/>
      <c r="N338" s="127"/>
      <c r="O338" s="29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25"/>
      <c r="B339" s="126"/>
      <c r="C339" s="126"/>
      <c r="D339" s="126"/>
      <c r="H339" s="115"/>
      <c r="I339" s="115"/>
      <c r="J339" s="115"/>
      <c r="K339" s="115"/>
      <c r="L339" s="115"/>
      <c r="M339" s="115"/>
      <c r="N339" s="127"/>
      <c r="O339" s="29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25"/>
      <c r="B340" s="126"/>
      <c r="C340" s="126"/>
      <c r="D340" s="126"/>
      <c r="H340" s="115"/>
      <c r="I340" s="115"/>
      <c r="J340" s="115"/>
      <c r="K340" s="115"/>
      <c r="L340" s="115"/>
      <c r="M340" s="115"/>
      <c r="N340" s="127"/>
      <c r="O340" s="29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25"/>
      <c r="B341" s="126"/>
      <c r="C341" s="126"/>
      <c r="D341" s="126"/>
      <c r="H341" s="115"/>
      <c r="I341" s="115"/>
      <c r="J341" s="115"/>
      <c r="K341" s="115"/>
      <c r="L341" s="115"/>
      <c r="M341" s="115"/>
      <c r="N341" s="29"/>
      <c r="O341" s="29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25"/>
      <c r="B342" s="126"/>
      <c r="C342" s="126"/>
      <c r="D342" s="126"/>
      <c r="H342" s="115"/>
      <c r="I342" s="115"/>
      <c r="J342" s="115"/>
      <c r="K342" s="115"/>
      <c r="L342" s="115"/>
      <c r="M342" s="115"/>
      <c r="N342" s="127"/>
      <c r="O342" s="29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25"/>
      <c r="B343" s="126"/>
      <c r="C343" s="126"/>
      <c r="D343" s="126"/>
      <c r="H343" s="115"/>
      <c r="I343" s="115"/>
      <c r="J343" s="115"/>
      <c r="K343" s="115"/>
      <c r="L343" s="115"/>
      <c r="M343" s="115"/>
      <c r="N343" s="127"/>
      <c r="O343" s="29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25"/>
      <c r="B344" s="126"/>
      <c r="C344" s="126"/>
      <c r="D344" s="126"/>
      <c r="H344" s="115"/>
      <c r="I344" s="115"/>
      <c r="J344" s="115"/>
      <c r="K344" s="115"/>
      <c r="L344" s="115"/>
      <c r="M344" s="115"/>
      <c r="N344" s="29"/>
      <c r="O344" s="29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25"/>
      <c r="B345" s="126"/>
      <c r="C345" s="126"/>
      <c r="D345" s="126"/>
      <c r="H345" s="115"/>
      <c r="I345" s="115"/>
      <c r="J345" s="115"/>
      <c r="K345" s="115"/>
      <c r="L345" s="115"/>
      <c r="M345" s="115"/>
      <c r="N345" s="127"/>
      <c r="O345" s="29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25"/>
      <c r="B346" s="126"/>
      <c r="C346" s="126"/>
      <c r="D346" s="126"/>
      <c r="H346" s="115"/>
      <c r="I346" s="115"/>
      <c r="J346" s="115"/>
      <c r="K346" s="115"/>
      <c r="L346" s="115"/>
      <c r="M346" s="115"/>
      <c r="N346" s="29"/>
      <c r="O346" s="29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25"/>
      <c r="B347" s="126"/>
      <c r="C347" s="126"/>
      <c r="D347" s="126"/>
      <c r="N347" s="127"/>
      <c r="O347" s="29"/>
      <c r="AE347" s="127"/>
      <c r="AF347" s="29"/>
    </row>
    <row r="348" spans="1:32" ht="19.5" x14ac:dyDescent="0.4">
      <c r="A348" s="125"/>
      <c r="B348" s="126"/>
      <c r="C348" s="126"/>
      <c r="D348" s="126"/>
      <c r="H348" s="115"/>
      <c r="I348" s="115"/>
      <c r="J348" s="115"/>
      <c r="K348" s="115"/>
      <c r="L348" s="115"/>
      <c r="M348" s="115"/>
      <c r="N348" s="29"/>
      <c r="O348" s="29"/>
      <c r="AC348" s="115"/>
      <c r="AD348" s="115"/>
      <c r="AE348" s="29"/>
      <c r="AF348" s="29"/>
    </row>
    <row r="349" spans="1:32" ht="19.5" x14ac:dyDescent="0.4">
      <c r="A349" s="125"/>
      <c r="B349" s="126"/>
      <c r="C349" s="126"/>
      <c r="D349" s="126"/>
      <c r="H349" s="115"/>
      <c r="I349" s="115"/>
      <c r="J349" s="115"/>
      <c r="K349" s="115"/>
      <c r="L349" s="115"/>
      <c r="M349" s="115"/>
      <c r="N349" s="29"/>
      <c r="O349" s="29"/>
      <c r="AC349" s="115"/>
      <c r="AD349" s="115"/>
      <c r="AE349" s="29"/>
      <c r="AF349" s="29"/>
    </row>
    <row r="350" spans="1:32" ht="19.5" x14ac:dyDescent="0.4">
      <c r="A350" s="125"/>
      <c r="B350" s="126"/>
      <c r="C350" s="126"/>
      <c r="D350" s="126"/>
      <c r="H350" s="115"/>
      <c r="I350" s="115"/>
      <c r="J350" s="115"/>
      <c r="K350" s="115"/>
      <c r="L350" s="115"/>
      <c r="M350" s="115"/>
      <c r="N350" s="29"/>
      <c r="O350" s="29"/>
      <c r="AB350" s="115"/>
      <c r="AC350" s="115"/>
      <c r="AD350" s="115"/>
      <c r="AE350" s="29"/>
      <c r="AF350" s="29"/>
    </row>
    <row r="351" spans="1:32" ht="19.5" x14ac:dyDescent="0.4">
      <c r="A351" s="125"/>
      <c r="B351" s="126"/>
      <c r="C351" s="126"/>
      <c r="D351" s="126"/>
      <c r="H351" s="115"/>
      <c r="I351" s="115"/>
      <c r="J351" s="115"/>
      <c r="K351" s="115"/>
      <c r="L351" s="115"/>
      <c r="M351" s="115"/>
      <c r="N351" s="127"/>
      <c r="O351" s="29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25"/>
      <c r="B352" s="126"/>
      <c r="C352" s="126"/>
      <c r="D352" s="126"/>
      <c r="H352" s="115"/>
      <c r="I352" s="115"/>
      <c r="J352" s="115"/>
      <c r="K352" s="115"/>
      <c r="L352" s="115"/>
      <c r="M352" s="115"/>
      <c r="N352" s="127"/>
      <c r="O352" s="29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25"/>
      <c r="B353" s="126"/>
      <c r="C353" s="126"/>
      <c r="D353" s="126"/>
      <c r="N353" s="127"/>
      <c r="O353" s="29"/>
      <c r="AE353" s="127"/>
      <c r="AF353" s="29"/>
    </row>
    <row r="354" spans="1:32" ht="19.5" x14ac:dyDescent="0.4">
      <c r="A354" s="125"/>
      <c r="B354" s="126"/>
      <c r="C354" s="126"/>
      <c r="D354" s="126"/>
      <c r="H354" s="115"/>
      <c r="I354" s="115"/>
      <c r="J354" s="115"/>
      <c r="K354" s="115"/>
      <c r="L354" s="115"/>
      <c r="M354" s="115"/>
      <c r="N354" s="127"/>
      <c r="O354" s="29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25"/>
      <c r="B355" s="126"/>
      <c r="C355" s="126"/>
      <c r="D355" s="126"/>
      <c r="H355" s="115"/>
      <c r="I355" s="115"/>
      <c r="J355" s="115"/>
      <c r="K355" s="115"/>
      <c r="L355" s="115"/>
      <c r="M355" s="115"/>
      <c r="N355" s="127"/>
      <c r="O355" s="29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25"/>
      <c r="B356" s="126"/>
      <c r="C356" s="126"/>
      <c r="D356" s="126"/>
      <c r="H356" s="115"/>
      <c r="I356" s="115"/>
      <c r="J356" s="115"/>
      <c r="K356" s="115"/>
      <c r="L356" s="115"/>
      <c r="M356" s="115"/>
      <c r="N356" s="127"/>
      <c r="O356" s="29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25"/>
      <c r="B357" s="126"/>
      <c r="C357" s="126"/>
      <c r="D357" s="126"/>
      <c r="N357" s="127"/>
      <c r="O357" s="29"/>
      <c r="AE357" s="127"/>
      <c r="AF357" s="29"/>
    </row>
    <row r="358" spans="1:32" ht="19.5" x14ac:dyDescent="0.4">
      <c r="A358" s="125"/>
      <c r="B358" s="126"/>
      <c r="C358" s="126"/>
      <c r="D358" s="126"/>
      <c r="H358" s="115"/>
      <c r="I358" s="115"/>
      <c r="J358" s="115"/>
      <c r="K358" s="115"/>
      <c r="L358" s="115"/>
      <c r="M358" s="115"/>
      <c r="N358" s="127"/>
      <c r="O358" s="29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25"/>
      <c r="B359" s="126"/>
      <c r="C359" s="126"/>
      <c r="D359" s="126"/>
      <c r="H359" s="115"/>
      <c r="I359" s="115"/>
      <c r="J359" s="115"/>
      <c r="K359" s="115"/>
      <c r="L359" s="115"/>
      <c r="M359" s="115"/>
      <c r="N359" s="29"/>
      <c r="O359" s="29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25"/>
      <c r="B360" s="126"/>
      <c r="C360" s="126"/>
      <c r="D360" s="126"/>
      <c r="H360" s="115"/>
      <c r="I360" s="115"/>
      <c r="J360" s="115"/>
      <c r="K360" s="115"/>
      <c r="L360" s="115"/>
      <c r="M360" s="115"/>
      <c r="N360" s="127"/>
      <c r="O360" s="29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25"/>
      <c r="B361" s="126"/>
      <c r="C361" s="126"/>
      <c r="D361" s="126"/>
      <c r="H361" s="115"/>
      <c r="I361" s="115"/>
      <c r="J361" s="115"/>
      <c r="K361" s="115"/>
      <c r="L361" s="115"/>
      <c r="M361" s="115"/>
      <c r="N361" s="127"/>
      <c r="O361" s="29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25"/>
      <c r="B362" s="126"/>
      <c r="C362" s="126"/>
      <c r="D362" s="126"/>
      <c r="H362" s="115"/>
      <c r="I362" s="115"/>
      <c r="J362" s="115"/>
      <c r="K362" s="115"/>
      <c r="L362" s="115"/>
      <c r="M362" s="115"/>
      <c r="N362" s="127"/>
      <c r="O362" s="29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25"/>
      <c r="B363" s="126"/>
      <c r="C363" s="126"/>
      <c r="D363" s="126"/>
      <c r="H363" s="115"/>
      <c r="I363" s="115"/>
      <c r="J363" s="115"/>
      <c r="K363" s="115"/>
      <c r="L363" s="115"/>
      <c r="M363" s="115"/>
      <c r="N363" s="127"/>
      <c r="O363" s="29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25"/>
      <c r="B364" s="126"/>
      <c r="C364" s="126"/>
      <c r="D364" s="126"/>
      <c r="N364" s="127"/>
      <c r="O364" s="29"/>
      <c r="AE364" s="127"/>
      <c r="AF364" s="29"/>
    </row>
    <row r="365" spans="1:32" ht="19.5" x14ac:dyDescent="0.4">
      <c r="A365" s="125"/>
      <c r="B365" s="126"/>
      <c r="C365" s="126"/>
      <c r="D365" s="126"/>
      <c r="H365" s="115"/>
      <c r="I365" s="115"/>
      <c r="J365" s="115"/>
      <c r="K365" s="115"/>
      <c r="L365" s="115"/>
      <c r="M365" s="115"/>
      <c r="N365" s="127"/>
      <c r="O365" s="29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25"/>
      <c r="B366" s="126"/>
      <c r="C366" s="126"/>
      <c r="D366" s="126"/>
      <c r="H366" s="115"/>
      <c r="I366" s="115"/>
      <c r="J366" s="115"/>
      <c r="K366" s="115"/>
      <c r="L366" s="115"/>
      <c r="M366" s="115"/>
      <c r="N366" s="127"/>
      <c r="O366" s="29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25"/>
      <c r="B367" s="126"/>
      <c r="C367" s="126"/>
      <c r="D367" s="126"/>
      <c r="H367" s="115"/>
      <c r="I367" s="115"/>
      <c r="J367" s="115"/>
      <c r="K367" s="115"/>
      <c r="L367" s="115"/>
      <c r="M367" s="115"/>
      <c r="N367" s="127"/>
      <c r="O367" s="29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25"/>
      <c r="B368" s="126"/>
      <c r="C368" s="126"/>
      <c r="D368" s="126"/>
      <c r="H368" s="115"/>
      <c r="I368" s="115"/>
      <c r="J368" s="115"/>
      <c r="K368" s="115"/>
      <c r="L368" s="115"/>
      <c r="M368" s="115"/>
      <c r="N368" s="127"/>
      <c r="O368" s="29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25"/>
      <c r="B369" s="126"/>
      <c r="C369" s="126"/>
      <c r="D369" s="126"/>
      <c r="H369" s="115"/>
      <c r="I369" s="115"/>
      <c r="J369" s="115"/>
      <c r="K369" s="115"/>
      <c r="L369" s="115"/>
      <c r="M369" s="115"/>
      <c r="N369" s="127"/>
      <c r="O369" s="29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25"/>
      <c r="B370" s="126"/>
      <c r="C370" s="126"/>
      <c r="D370" s="126"/>
      <c r="H370" s="115"/>
      <c r="I370" s="115"/>
      <c r="J370" s="115"/>
      <c r="K370" s="115"/>
      <c r="L370" s="115"/>
      <c r="M370" s="115"/>
      <c r="N370" s="127"/>
      <c r="O370" s="29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25"/>
      <c r="B371" s="126"/>
      <c r="C371" s="126"/>
      <c r="D371" s="126"/>
      <c r="H371" s="115"/>
      <c r="I371" s="115"/>
      <c r="J371" s="115"/>
      <c r="K371" s="115"/>
      <c r="L371" s="115"/>
      <c r="M371" s="115"/>
      <c r="N371" s="127"/>
      <c r="O371" s="29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25"/>
      <c r="B372" s="126"/>
      <c r="C372" s="126"/>
      <c r="D372" s="126"/>
      <c r="H372" s="115"/>
      <c r="I372" s="115"/>
      <c r="J372" s="115"/>
      <c r="K372" s="115"/>
      <c r="L372" s="115"/>
      <c r="M372" s="115"/>
      <c r="N372" s="29"/>
      <c r="O372" s="29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25"/>
      <c r="B373" s="126"/>
      <c r="C373" s="126"/>
      <c r="D373" s="126"/>
      <c r="H373" s="115"/>
      <c r="I373" s="115"/>
      <c r="J373" s="115"/>
      <c r="K373" s="115"/>
      <c r="L373" s="115"/>
      <c r="M373" s="115"/>
      <c r="N373" s="127"/>
      <c r="O373" s="29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25"/>
      <c r="B374" s="126"/>
      <c r="C374" s="126"/>
      <c r="D374" s="126"/>
      <c r="H374" s="115"/>
      <c r="I374" s="115"/>
      <c r="J374" s="115"/>
      <c r="K374" s="115"/>
      <c r="L374" s="115"/>
      <c r="M374" s="115"/>
      <c r="N374" s="127"/>
      <c r="O374" s="29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25"/>
      <c r="B375" s="126"/>
      <c r="C375" s="126"/>
      <c r="D375" s="126"/>
      <c r="H375" s="115"/>
      <c r="I375" s="115"/>
      <c r="J375" s="115"/>
      <c r="K375" s="115"/>
      <c r="L375" s="115"/>
      <c r="M375" s="115"/>
      <c r="N375" s="29"/>
      <c r="O375" s="29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25"/>
      <c r="B376" s="126"/>
      <c r="C376" s="126"/>
      <c r="D376" s="126"/>
      <c r="N376" s="127"/>
      <c r="O376" s="29"/>
      <c r="AE376" s="127"/>
      <c r="AF376" s="29"/>
    </row>
    <row r="377" spans="1:32" ht="19.5" x14ac:dyDescent="0.4">
      <c r="A377" s="125"/>
      <c r="B377" s="126"/>
      <c r="C377" s="126"/>
      <c r="D377" s="126"/>
      <c r="N377" s="127"/>
      <c r="O377" s="29"/>
      <c r="AE377" s="127"/>
      <c r="AF377" s="29"/>
    </row>
    <row r="378" spans="1:32" ht="19.5" x14ac:dyDescent="0.4">
      <c r="A378" s="125"/>
      <c r="B378" s="126"/>
      <c r="C378" s="126"/>
      <c r="D378" s="126"/>
      <c r="H378" s="115"/>
      <c r="I378" s="115"/>
      <c r="J378" s="115"/>
      <c r="K378" s="115"/>
      <c r="L378" s="115"/>
      <c r="M378" s="115"/>
      <c r="N378" s="127"/>
      <c r="O378" s="29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25"/>
      <c r="B379" s="126"/>
      <c r="C379" s="126"/>
      <c r="D379" s="126"/>
      <c r="N379" s="127"/>
      <c r="O379" s="29"/>
      <c r="AE379" s="127"/>
      <c r="AF379" s="29"/>
    </row>
    <row r="380" spans="1:32" ht="19.5" x14ac:dyDescent="0.4">
      <c r="A380" s="125"/>
      <c r="B380" s="126"/>
      <c r="C380" s="126"/>
      <c r="D380" s="126"/>
      <c r="H380" s="115"/>
      <c r="I380" s="115"/>
      <c r="J380" s="115"/>
      <c r="K380" s="115"/>
      <c r="L380" s="115"/>
      <c r="M380" s="115"/>
      <c r="N380" s="127"/>
      <c r="O380" s="29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25"/>
      <c r="B381" s="126"/>
      <c r="C381" s="126"/>
      <c r="D381" s="126"/>
      <c r="H381" s="115"/>
      <c r="I381" s="115"/>
      <c r="J381" s="115"/>
      <c r="K381" s="115"/>
      <c r="L381" s="115"/>
      <c r="M381" s="115"/>
      <c r="N381" s="29"/>
      <c r="O381" s="29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25"/>
      <c r="B382" s="126"/>
      <c r="C382" s="126"/>
      <c r="D382" s="126"/>
      <c r="H382" s="115"/>
      <c r="I382" s="115"/>
      <c r="J382" s="115"/>
      <c r="K382" s="115"/>
      <c r="L382" s="115"/>
      <c r="M382" s="115"/>
      <c r="N382" s="127"/>
      <c r="O382" s="29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25"/>
      <c r="B383" s="126"/>
      <c r="C383" s="126"/>
      <c r="D383" s="126"/>
      <c r="H383" s="115"/>
      <c r="I383" s="115"/>
      <c r="J383" s="115"/>
      <c r="K383" s="115"/>
      <c r="L383" s="115"/>
      <c r="M383" s="115"/>
      <c r="N383" s="127"/>
      <c r="O383" s="29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25"/>
      <c r="B384" s="126"/>
      <c r="C384" s="126"/>
      <c r="D384" s="126"/>
      <c r="H384" s="115"/>
      <c r="I384" s="115"/>
      <c r="J384" s="115"/>
      <c r="K384" s="115"/>
      <c r="L384" s="115"/>
      <c r="M384" s="115"/>
      <c r="N384" s="127"/>
      <c r="O384" s="29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25"/>
      <c r="B385" s="126"/>
      <c r="C385" s="126"/>
      <c r="D385" s="126"/>
      <c r="H385" s="115"/>
      <c r="I385" s="115"/>
      <c r="J385" s="115"/>
      <c r="K385" s="115"/>
      <c r="L385" s="115"/>
      <c r="M385" s="115"/>
      <c r="N385" s="127"/>
      <c r="O385" s="29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25"/>
      <c r="B386" s="126"/>
      <c r="C386" s="126"/>
      <c r="D386" s="126"/>
      <c r="H386" s="115"/>
      <c r="I386" s="115"/>
      <c r="J386" s="115"/>
      <c r="K386" s="115"/>
      <c r="L386" s="115"/>
      <c r="M386" s="115"/>
      <c r="N386" s="127"/>
      <c r="O386" s="29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25"/>
      <c r="B387" s="126"/>
      <c r="C387" s="126"/>
      <c r="D387" s="126"/>
      <c r="H387" s="115"/>
      <c r="I387" s="115"/>
      <c r="J387" s="115"/>
      <c r="K387" s="115"/>
      <c r="L387" s="115"/>
      <c r="M387" s="115"/>
      <c r="N387" s="29"/>
      <c r="O387" s="29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25"/>
      <c r="B388" s="126"/>
      <c r="C388" s="126"/>
      <c r="D388" s="126"/>
      <c r="H388" s="115"/>
      <c r="I388" s="115"/>
      <c r="J388" s="115"/>
      <c r="K388" s="115"/>
      <c r="L388" s="115"/>
      <c r="M388" s="115"/>
      <c r="N388" s="127"/>
      <c r="O388" s="29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25"/>
      <c r="B389" s="126"/>
      <c r="C389" s="126"/>
      <c r="D389" s="126"/>
      <c r="H389" s="115"/>
      <c r="I389" s="115"/>
      <c r="J389" s="115"/>
      <c r="K389" s="115"/>
      <c r="L389" s="115"/>
      <c r="M389" s="115"/>
      <c r="N389" s="29"/>
      <c r="O389" s="29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25"/>
      <c r="B390" s="126"/>
      <c r="C390" s="126"/>
      <c r="D390" s="126"/>
      <c r="H390" s="115"/>
      <c r="I390" s="115"/>
      <c r="J390" s="115"/>
      <c r="K390" s="115"/>
      <c r="L390" s="115"/>
      <c r="M390" s="115"/>
      <c r="N390" s="29"/>
      <c r="O390" s="29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25"/>
      <c r="B391" s="126"/>
      <c r="C391" s="126"/>
      <c r="D391" s="126"/>
      <c r="H391" s="115"/>
      <c r="I391" s="115"/>
      <c r="J391" s="115"/>
      <c r="K391" s="115"/>
      <c r="L391" s="115"/>
      <c r="M391" s="115"/>
      <c r="N391" s="127"/>
      <c r="O391" s="29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25"/>
      <c r="B392" s="126"/>
      <c r="C392" s="126"/>
      <c r="D392" s="126"/>
      <c r="H392" s="115"/>
      <c r="I392" s="115"/>
      <c r="J392" s="115"/>
      <c r="K392" s="115"/>
      <c r="L392" s="115"/>
      <c r="M392" s="115"/>
      <c r="N392" s="127"/>
      <c r="O392" s="29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25"/>
      <c r="B393" s="126"/>
      <c r="C393" s="126"/>
      <c r="D393" s="126"/>
      <c r="H393" s="115"/>
      <c r="I393" s="115"/>
      <c r="J393" s="115"/>
      <c r="K393" s="115"/>
      <c r="L393" s="115"/>
      <c r="M393" s="115"/>
      <c r="N393" s="29"/>
      <c r="O393" s="29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25"/>
      <c r="B394" s="126"/>
      <c r="C394" s="126"/>
      <c r="D394" s="126"/>
      <c r="H394" s="115"/>
      <c r="I394" s="115"/>
      <c r="J394" s="115"/>
      <c r="K394" s="115"/>
      <c r="L394" s="115"/>
      <c r="M394" s="115"/>
      <c r="N394" s="127"/>
      <c r="O394" s="29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25"/>
      <c r="B395" s="126"/>
      <c r="C395" s="126"/>
      <c r="D395" s="126"/>
      <c r="H395" s="115"/>
      <c r="I395" s="115"/>
      <c r="J395" s="115"/>
      <c r="K395" s="115"/>
      <c r="L395" s="115"/>
      <c r="M395" s="115"/>
      <c r="N395" s="127"/>
      <c r="O395" s="29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25"/>
      <c r="B396" s="126"/>
      <c r="C396" s="126"/>
      <c r="D396" s="126"/>
      <c r="N396" s="127"/>
      <c r="O396" s="29"/>
      <c r="AE396" s="127"/>
      <c r="AF396" s="29"/>
    </row>
    <row r="397" spans="1:32" ht="19.5" x14ac:dyDescent="0.4">
      <c r="A397" s="125"/>
      <c r="B397" s="126"/>
      <c r="C397" s="126"/>
      <c r="D397" s="126"/>
      <c r="H397" s="115"/>
      <c r="I397" s="115"/>
      <c r="J397" s="115"/>
      <c r="K397" s="115"/>
      <c r="L397" s="115"/>
      <c r="M397" s="115"/>
      <c r="N397" s="127"/>
      <c r="O397" s="29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25"/>
      <c r="B398" s="126"/>
      <c r="C398" s="126"/>
      <c r="D398" s="126"/>
      <c r="H398" s="115"/>
      <c r="I398" s="115"/>
      <c r="J398" s="115"/>
      <c r="K398" s="115"/>
      <c r="L398" s="115"/>
      <c r="M398" s="115"/>
      <c r="N398" s="127"/>
      <c r="O398" s="29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25"/>
      <c r="B399" s="126"/>
      <c r="C399" s="126"/>
      <c r="D399" s="126"/>
      <c r="H399" s="115"/>
      <c r="I399" s="115"/>
      <c r="J399" s="115"/>
      <c r="K399" s="115"/>
      <c r="L399" s="115"/>
      <c r="M399" s="115"/>
      <c r="N399" s="127"/>
      <c r="O399" s="29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25"/>
      <c r="B400" s="126"/>
      <c r="C400" s="126"/>
      <c r="D400" s="126"/>
      <c r="H400" s="115"/>
      <c r="I400" s="115"/>
      <c r="J400" s="115"/>
      <c r="K400" s="115"/>
      <c r="L400" s="115"/>
      <c r="M400" s="115"/>
      <c r="N400" s="127"/>
      <c r="O400" s="29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25"/>
      <c r="B401" s="126"/>
      <c r="C401" s="126"/>
      <c r="D401" s="126"/>
      <c r="N401" s="127"/>
      <c r="O401" s="29"/>
      <c r="AE401" s="127"/>
      <c r="AF401" s="29"/>
    </row>
    <row r="402" spans="1:32" ht="19.5" x14ac:dyDescent="0.4">
      <c r="A402" s="125"/>
      <c r="B402" s="126"/>
      <c r="C402" s="126"/>
      <c r="D402" s="126"/>
      <c r="H402" s="115"/>
      <c r="I402" s="115"/>
      <c r="J402" s="115"/>
      <c r="K402" s="115"/>
      <c r="L402" s="115"/>
      <c r="M402" s="115"/>
      <c r="N402" s="127"/>
      <c r="O402" s="29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25"/>
      <c r="B403" s="126"/>
      <c r="C403" s="126"/>
      <c r="D403" s="126"/>
      <c r="H403" s="115"/>
      <c r="I403" s="115"/>
      <c r="J403" s="115"/>
      <c r="K403" s="115"/>
      <c r="L403" s="115"/>
      <c r="M403" s="115"/>
      <c r="N403" s="127"/>
      <c r="O403" s="29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25"/>
      <c r="B404" s="126"/>
      <c r="C404" s="126"/>
      <c r="D404" s="126"/>
      <c r="H404" s="115"/>
      <c r="I404" s="115"/>
      <c r="J404" s="115"/>
      <c r="K404" s="115"/>
      <c r="L404" s="115"/>
      <c r="M404" s="115"/>
      <c r="N404" s="29"/>
      <c r="O404" s="29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25"/>
      <c r="B405" s="126"/>
      <c r="C405" s="126"/>
      <c r="D405" s="126"/>
      <c r="N405" s="127"/>
      <c r="O405" s="29"/>
      <c r="AE405" s="127"/>
      <c r="AF405" s="29"/>
    </row>
    <row r="406" spans="1:32" ht="19.5" x14ac:dyDescent="0.4">
      <c r="A406" s="125"/>
      <c r="B406" s="126"/>
      <c r="C406" s="126"/>
      <c r="D406" s="126"/>
      <c r="H406" s="115"/>
      <c r="I406" s="115"/>
      <c r="J406" s="115"/>
      <c r="K406" s="115"/>
      <c r="L406" s="115"/>
      <c r="M406" s="115"/>
      <c r="N406" s="127"/>
      <c r="O406" s="29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25"/>
      <c r="B407" s="126"/>
      <c r="C407" s="126"/>
      <c r="D407" s="126"/>
      <c r="H407" s="115"/>
      <c r="I407" s="115"/>
      <c r="J407" s="115"/>
      <c r="K407" s="115"/>
      <c r="L407" s="115"/>
      <c r="M407" s="115"/>
      <c r="N407" s="127"/>
      <c r="O407" s="29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25"/>
      <c r="B408" s="126"/>
      <c r="C408" s="126"/>
      <c r="D408" s="126"/>
      <c r="H408" s="115"/>
      <c r="I408" s="115"/>
      <c r="J408" s="115"/>
      <c r="K408" s="115"/>
      <c r="L408" s="115"/>
      <c r="M408" s="115"/>
      <c r="N408" s="29"/>
      <c r="O408" s="29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25"/>
      <c r="B409" s="126"/>
      <c r="C409" s="126"/>
      <c r="D409" s="126"/>
      <c r="N409" s="127"/>
      <c r="O409" s="29"/>
      <c r="AE409" s="127"/>
      <c r="AF409" s="29"/>
    </row>
    <row r="410" spans="1:32" ht="19.5" x14ac:dyDescent="0.4">
      <c r="A410" s="125"/>
      <c r="B410" s="126"/>
      <c r="C410" s="126"/>
      <c r="D410" s="126"/>
      <c r="H410" s="115"/>
      <c r="I410" s="115"/>
      <c r="J410" s="115"/>
      <c r="K410" s="115"/>
      <c r="L410" s="115"/>
      <c r="M410" s="115"/>
      <c r="N410" s="29"/>
      <c r="O410" s="29"/>
      <c r="AA410" s="115"/>
      <c r="AB410" s="115"/>
      <c r="AC410" s="115"/>
      <c r="AD410" s="115"/>
      <c r="AE410" s="29"/>
      <c r="AF410" s="29"/>
    </row>
    <row r="411" spans="1:32" ht="19.5" x14ac:dyDescent="0.4">
      <c r="A411" s="125"/>
      <c r="B411" s="126"/>
      <c r="C411" s="126"/>
      <c r="D411" s="126"/>
      <c r="N411" s="127"/>
      <c r="O411" s="29"/>
      <c r="AE411" s="127"/>
      <c r="AF411" s="29"/>
    </row>
    <row r="412" spans="1:32" ht="19.5" x14ac:dyDescent="0.4">
      <c r="A412" s="125"/>
      <c r="B412" s="126"/>
      <c r="C412" s="126"/>
      <c r="D412" s="126"/>
      <c r="H412" s="115"/>
      <c r="I412" s="115"/>
      <c r="J412" s="115"/>
      <c r="K412" s="115"/>
      <c r="L412" s="115"/>
      <c r="M412" s="115"/>
      <c r="N412" s="127"/>
      <c r="O412" s="29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25"/>
      <c r="B413" s="126"/>
      <c r="C413" s="126"/>
      <c r="D413" s="126"/>
      <c r="N413" s="127"/>
      <c r="O413" s="29"/>
      <c r="AE413" s="127"/>
      <c r="AF413" s="29"/>
    </row>
    <row r="414" spans="1:32" ht="19.5" x14ac:dyDescent="0.4">
      <c r="A414" s="125"/>
      <c r="B414" s="126"/>
      <c r="C414" s="126"/>
      <c r="D414" s="126"/>
      <c r="H414" s="115"/>
      <c r="I414" s="115"/>
      <c r="J414" s="115"/>
      <c r="K414" s="115"/>
      <c r="L414" s="115"/>
      <c r="M414" s="115"/>
      <c r="N414" s="127"/>
      <c r="O414" s="29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25"/>
      <c r="B415" s="126"/>
      <c r="C415" s="126"/>
      <c r="D415" s="126"/>
      <c r="N415" s="127"/>
      <c r="O415" s="29"/>
      <c r="AE415" s="127"/>
      <c r="AF415" s="29"/>
    </row>
    <row r="416" spans="1:32" ht="19.5" x14ac:dyDescent="0.4">
      <c r="A416" s="125"/>
      <c r="B416" s="126"/>
      <c r="C416" s="126"/>
      <c r="D416" s="126"/>
      <c r="H416" s="115"/>
      <c r="I416" s="115"/>
      <c r="J416" s="115"/>
      <c r="K416" s="115"/>
      <c r="L416" s="115"/>
      <c r="M416" s="115"/>
      <c r="N416" s="127"/>
      <c r="O416" s="29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25"/>
      <c r="B417" s="126"/>
      <c r="C417" s="126"/>
      <c r="D417" s="126"/>
      <c r="H417" s="115"/>
      <c r="I417" s="115"/>
      <c r="J417" s="115"/>
      <c r="K417" s="115"/>
      <c r="L417" s="115"/>
      <c r="M417" s="115"/>
      <c r="N417" s="29"/>
      <c r="O417" s="29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25"/>
      <c r="B418" s="126"/>
      <c r="C418" s="126"/>
      <c r="D418" s="126"/>
      <c r="H418" s="115"/>
      <c r="I418" s="115"/>
      <c r="J418" s="115"/>
      <c r="K418" s="115"/>
      <c r="L418" s="115"/>
      <c r="M418" s="115"/>
      <c r="N418" s="127"/>
      <c r="O418" s="29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25"/>
      <c r="B419" s="126"/>
      <c r="C419" s="126"/>
      <c r="D419" s="126"/>
      <c r="H419" s="115"/>
      <c r="I419" s="115"/>
      <c r="J419" s="115"/>
      <c r="K419" s="115"/>
      <c r="L419" s="115"/>
      <c r="M419" s="115"/>
      <c r="N419" s="29"/>
      <c r="O419" s="29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25"/>
      <c r="B420" s="126"/>
      <c r="C420" s="126"/>
      <c r="D420" s="126"/>
      <c r="H420" s="115"/>
      <c r="I420" s="115"/>
      <c r="J420" s="115"/>
      <c r="K420" s="115"/>
      <c r="L420" s="115"/>
      <c r="M420" s="115"/>
      <c r="N420" s="29"/>
      <c r="O420" s="29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25"/>
      <c r="B421" s="126"/>
      <c r="C421" s="126"/>
      <c r="D421" s="126"/>
      <c r="H421" s="115"/>
      <c r="I421" s="115"/>
      <c r="J421" s="115"/>
      <c r="K421" s="115"/>
      <c r="L421" s="115"/>
      <c r="M421" s="115"/>
      <c r="N421" s="29"/>
      <c r="O421" s="29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25"/>
      <c r="B422" s="126"/>
      <c r="C422" s="126"/>
      <c r="D422" s="126"/>
      <c r="H422" s="115"/>
      <c r="I422" s="115"/>
      <c r="J422" s="115"/>
      <c r="K422" s="115"/>
      <c r="L422" s="115"/>
      <c r="M422" s="115"/>
      <c r="N422" s="127"/>
      <c r="O422" s="29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25"/>
      <c r="B423" s="126"/>
      <c r="C423" s="126"/>
      <c r="D423" s="126"/>
      <c r="H423" s="115"/>
      <c r="I423" s="115"/>
      <c r="J423" s="115"/>
      <c r="K423" s="115"/>
      <c r="L423" s="115"/>
      <c r="M423" s="115"/>
      <c r="N423" s="127"/>
      <c r="O423" s="29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25"/>
      <c r="B424" s="126"/>
      <c r="C424" s="126"/>
      <c r="D424" s="126"/>
      <c r="N424" s="127"/>
      <c r="O424" s="29"/>
      <c r="AE424" s="127"/>
      <c r="AF424" s="29"/>
    </row>
    <row r="425" spans="1:32" ht="19.5" x14ac:dyDescent="0.4">
      <c r="A425" s="125"/>
      <c r="B425" s="126"/>
      <c r="C425" s="126"/>
      <c r="D425" s="126"/>
      <c r="H425" s="115"/>
      <c r="I425" s="115"/>
      <c r="J425" s="115"/>
      <c r="K425" s="115"/>
      <c r="L425" s="115"/>
      <c r="M425" s="115"/>
      <c r="N425" s="29"/>
      <c r="O425" s="29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25"/>
      <c r="B426" s="126"/>
      <c r="C426" s="126"/>
      <c r="D426" s="126"/>
      <c r="H426" s="115"/>
      <c r="I426" s="115"/>
      <c r="J426" s="115"/>
      <c r="K426" s="115"/>
      <c r="L426" s="115"/>
      <c r="M426" s="115"/>
      <c r="N426" s="127"/>
      <c r="O426" s="29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25"/>
      <c r="B427" s="126"/>
      <c r="C427" s="126"/>
      <c r="D427" s="126"/>
      <c r="N427" s="127"/>
      <c r="O427" s="29"/>
      <c r="AE427" s="127"/>
      <c r="AF427" s="29"/>
    </row>
    <row r="428" spans="1:32" ht="19.5" x14ac:dyDescent="0.4">
      <c r="A428" s="125"/>
      <c r="B428" s="126"/>
      <c r="C428" s="126"/>
      <c r="D428" s="126"/>
      <c r="H428" s="115"/>
      <c r="I428" s="115"/>
      <c r="J428" s="115"/>
      <c r="K428" s="115"/>
      <c r="L428" s="115"/>
      <c r="M428" s="115"/>
      <c r="N428" s="127"/>
      <c r="O428" s="29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25"/>
      <c r="B429" s="126"/>
      <c r="C429" s="126"/>
      <c r="D429" s="126"/>
      <c r="H429" s="115"/>
      <c r="I429" s="115"/>
      <c r="J429" s="115"/>
      <c r="K429" s="115"/>
      <c r="L429" s="115"/>
      <c r="M429" s="115"/>
      <c r="N429" s="127"/>
      <c r="O429" s="29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25"/>
      <c r="B430" s="126"/>
      <c r="C430" s="126"/>
      <c r="D430" s="126"/>
      <c r="H430" s="115"/>
      <c r="I430" s="115"/>
      <c r="J430" s="115"/>
      <c r="K430" s="115"/>
      <c r="L430" s="115"/>
      <c r="M430" s="115"/>
      <c r="N430" s="127"/>
      <c r="O430" s="29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25"/>
      <c r="B431" s="126"/>
      <c r="C431" s="126"/>
      <c r="D431" s="126"/>
      <c r="H431" s="115"/>
      <c r="I431" s="115"/>
      <c r="J431" s="115"/>
      <c r="K431" s="115"/>
      <c r="L431" s="115"/>
      <c r="M431" s="115"/>
      <c r="N431" s="127"/>
      <c r="O431" s="29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25"/>
      <c r="B432" s="126"/>
      <c r="C432" s="126"/>
      <c r="D432" s="126"/>
      <c r="H432" s="115"/>
      <c r="I432" s="115"/>
      <c r="J432" s="115"/>
      <c r="K432" s="115"/>
      <c r="L432" s="115"/>
      <c r="M432" s="115"/>
      <c r="N432" s="29"/>
      <c r="O432" s="29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25"/>
      <c r="B433" s="126"/>
      <c r="C433" s="126"/>
      <c r="D433" s="126"/>
      <c r="H433" s="115"/>
      <c r="I433" s="115"/>
      <c r="J433" s="115"/>
      <c r="K433" s="115"/>
      <c r="L433" s="115"/>
      <c r="M433" s="115"/>
      <c r="N433" s="127"/>
      <c r="O433" s="29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25"/>
      <c r="B434" s="126"/>
      <c r="C434" s="126"/>
      <c r="D434" s="126"/>
      <c r="H434" s="115"/>
      <c r="I434" s="115"/>
      <c r="J434" s="115"/>
      <c r="K434" s="115"/>
      <c r="L434" s="115"/>
      <c r="M434" s="115"/>
      <c r="N434" s="127"/>
      <c r="O434" s="29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25"/>
      <c r="B435" s="126"/>
      <c r="C435" s="126"/>
      <c r="D435" s="126"/>
      <c r="H435" s="115"/>
      <c r="I435" s="115"/>
      <c r="J435" s="115"/>
      <c r="K435" s="115"/>
      <c r="L435" s="115"/>
      <c r="M435" s="115"/>
      <c r="N435" s="127"/>
      <c r="O435" s="29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25"/>
      <c r="B436" s="126"/>
      <c r="C436" s="126"/>
      <c r="D436" s="126"/>
      <c r="H436" s="115"/>
      <c r="I436" s="115"/>
      <c r="J436" s="115"/>
      <c r="K436" s="115"/>
      <c r="L436" s="115"/>
      <c r="M436" s="115"/>
      <c r="N436" s="127"/>
      <c r="O436" s="29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25"/>
      <c r="B437" s="126"/>
      <c r="C437" s="126"/>
      <c r="D437" s="126"/>
      <c r="H437" s="115"/>
      <c r="I437" s="115"/>
      <c r="J437" s="115"/>
      <c r="K437" s="115"/>
      <c r="L437" s="115"/>
      <c r="M437" s="115"/>
      <c r="N437" s="127"/>
      <c r="O437" s="29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25"/>
      <c r="B438" s="126"/>
      <c r="C438" s="126"/>
      <c r="D438" s="126"/>
      <c r="H438" s="115"/>
      <c r="I438" s="115"/>
      <c r="J438" s="115"/>
      <c r="K438" s="115"/>
      <c r="L438" s="115"/>
      <c r="M438" s="115"/>
      <c r="N438" s="127"/>
      <c r="O438" s="29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25"/>
      <c r="B439" s="126"/>
      <c r="C439" s="126"/>
      <c r="D439" s="126"/>
      <c r="H439" s="115"/>
      <c r="I439" s="115"/>
      <c r="J439" s="115"/>
      <c r="K439" s="115"/>
      <c r="L439" s="115"/>
      <c r="M439" s="115"/>
      <c r="N439" s="127"/>
      <c r="O439" s="29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25"/>
      <c r="B440" s="126"/>
      <c r="C440" s="126"/>
      <c r="D440" s="126"/>
      <c r="H440" s="115"/>
      <c r="I440" s="115"/>
      <c r="J440" s="115"/>
      <c r="K440" s="115"/>
      <c r="L440" s="115"/>
      <c r="M440" s="115"/>
      <c r="N440" s="127"/>
      <c r="O440" s="29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25"/>
      <c r="B441" s="126"/>
      <c r="C441" s="126"/>
      <c r="D441" s="126"/>
      <c r="H441" s="115"/>
      <c r="I441" s="115"/>
      <c r="J441" s="115"/>
      <c r="K441" s="115"/>
      <c r="L441" s="115"/>
      <c r="M441" s="115"/>
      <c r="N441" s="29"/>
      <c r="O441" s="29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25"/>
      <c r="B442" s="126"/>
      <c r="C442" s="126"/>
      <c r="D442" s="126"/>
      <c r="N442" s="127"/>
      <c r="O442" s="29"/>
      <c r="AE442" s="127"/>
      <c r="AF442" s="29"/>
    </row>
    <row r="443" spans="1:32" ht="19.5" x14ac:dyDescent="0.4">
      <c r="A443" s="125"/>
      <c r="B443" s="126"/>
      <c r="C443" s="126"/>
      <c r="D443" s="126"/>
      <c r="H443" s="115"/>
      <c r="I443" s="115"/>
      <c r="J443" s="115"/>
      <c r="K443" s="115"/>
      <c r="L443" s="115"/>
      <c r="M443" s="115"/>
      <c r="N443" s="29"/>
      <c r="O443" s="29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25"/>
      <c r="B444" s="126"/>
      <c r="C444" s="126"/>
      <c r="D444" s="126"/>
      <c r="N444" s="127"/>
      <c r="O444" s="29"/>
      <c r="AE444" s="127"/>
      <c r="AF444" s="29"/>
    </row>
    <row r="445" spans="1:32" ht="19.5" x14ac:dyDescent="0.4">
      <c r="A445" s="125"/>
      <c r="B445" s="126"/>
      <c r="C445" s="126"/>
      <c r="D445" s="126"/>
      <c r="H445" s="115"/>
      <c r="I445" s="115"/>
      <c r="J445" s="115"/>
      <c r="K445" s="115"/>
      <c r="L445" s="115"/>
      <c r="M445" s="115"/>
      <c r="N445" s="29"/>
      <c r="O445" s="29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25"/>
      <c r="B446" s="126"/>
      <c r="C446" s="126"/>
      <c r="D446" s="126"/>
      <c r="H446" s="115"/>
      <c r="I446" s="115"/>
      <c r="J446" s="115"/>
      <c r="K446" s="115"/>
      <c r="L446" s="115"/>
      <c r="M446" s="115"/>
      <c r="N446" s="127"/>
      <c r="O446" s="29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25"/>
      <c r="B447" s="126"/>
      <c r="C447" s="126"/>
      <c r="D447" s="126"/>
      <c r="H447" s="115"/>
      <c r="I447" s="115"/>
      <c r="J447" s="115"/>
      <c r="K447" s="115"/>
      <c r="L447" s="115"/>
      <c r="M447" s="115"/>
      <c r="N447" s="29"/>
      <c r="O447" s="29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25"/>
      <c r="B448" s="126"/>
      <c r="C448" s="126"/>
      <c r="D448" s="126"/>
      <c r="H448" s="115"/>
      <c r="I448" s="115"/>
      <c r="J448" s="115"/>
      <c r="K448" s="115"/>
      <c r="L448" s="115"/>
      <c r="M448" s="115"/>
      <c r="N448" s="127"/>
      <c r="O448" s="29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25"/>
      <c r="B449" s="126"/>
      <c r="C449" s="126"/>
      <c r="D449" s="126"/>
      <c r="H449" s="115"/>
      <c r="I449" s="115"/>
      <c r="J449" s="115"/>
      <c r="K449" s="115"/>
      <c r="L449" s="115"/>
      <c r="M449" s="115"/>
      <c r="N449" s="29"/>
      <c r="O449" s="29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25"/>
      <c r="B450" s="126"/>
      <c r="C450" s="126"/>
      <c r="D450" s="126"/>
      <c r="H450" s="115"/>
      <c r="I450" s="115"/>
      <c r="J450" s="115"/>
      <c r="K450" s="115"/>
      <c r="L450" s="115"/>
      <c r="M450" s="115"/>
      <c r="N450" s="127"/>
      <c r="O450" s="29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25"/>
      <c r="B451" s="126"/>
      <c r="C451" s="126"/>
      <c r="D451" s="126"/>
      <c r="H451" s="115"/>
      <c r="I451" s="115"/>
      <c r="J451" s="115"/>
      <c r="K451" s="115"/>
      <c r="L451" s="115"/>
      <c r="M451" s="115"/>
      <c r="N451" s="29"/>
      <c r="O451" s="29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25"/>
      <c r="B452" s="126"/>
      <c r="C452" s="126"/>
      <c r="D452" s="126"/>
      <c r="H452" s="115"/>
      <c r="I452" s="115"/>
      <c r="J452" s="115"/>
      <c r="K452" s="115"/>
      <c r="L452" s="115"/>
      <c r="M452" s="115"/>
      <c r="N452" s="29"/>
      <c r="O452" s="29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25"/>
      <c r="B453" s="126"/>
      <c r="C453" s="126"/>
      <c r="D453" s="126"/>
      <c r="H453" s="115"/>
      <c r="I453" s="115"/>
      <c r="J453" s="115"/>
      <c r="K453" s="115"/>
      <c r="L453" s="115"/>
      <c r="M453" s="115"/>
      <c r="N453" s="29"/>
      <c r="O453" s="29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25"/>
      <c r="B454" s="126"/>
      <c r="C454" s="126"/>
      <c r="D454" s="126"/>
      <c r="H454" s="115"/>
      <c r="I454" s="115"/>
      <c r="J454" s="115"/>
      <c r="K454" s="115"/>
      <c r="L454" s="115"/>
      <c r="M454" s="115"/>
      <c r="N454" s="127"/>
      <c r="O454" s="29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25"/>
      <c r="B455" s="126"/>
      <c r="C455" s="126"/>
      <c r="D455" s="126"/>
      <c r="N455" s="127"/>
      <c r="O455" s="29"/>
      <c r="AE455" s="127"/>
      <c r="AF455" s="29"/>
    </row>
    <row r="456" spans="1:32" ht="19.5" x14ac:dyDescent="0.4">
      <c r="A456" s="125"/>
      <c r="B456" s="126"/>
      <c r="C456" s="126"/>
      <c r="D456" s="126"/>
      <c r="H456" s="115"/>
      <c r="I456" s="115"/>
      <c r="J456" s="115"/>
      <c r="K456" s="115"/>
      <c r="L456" s="115"/>
      <c r="M456" s="115"/>
      <c r="N456" s="127"/>
      <c r="O456" s="29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25"/>
      <c r="B457" s="126"/>
      <c r="C457" s="126"/>
      <c r="D457" s="126"/>
      <c r="H457" s="115"/>
      <c r="I457" s="115"/>
      <c r="J457" s="115"/>
      <c r="K457" s="115"/>
      <c r="L457" s="115"/>
      <c r="M457" s="115"/>
      <c r="N457" s="127"/>
      <c r="O457" s="29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25"/>
      <c r="B458" s="126"/>
      <c r="C458" s="126"/>
      <c r="D458" s="126"/>
      <c r="H458" s="115"/>
      <c r="I458" s="115"/>
      <c r="J458" s="115"/>
      <c r="K458" s="115"/>
      <c r="L458" s="115"/>
      <c r="M458" s="115"/>
      <c r="N458" s="29"/>
      <c r="O458" s="29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25"/>
      <c r="B459" s="126"/>
      <c r="C459" s="126"/>
      <c r="D459" s="126"/>
      <c r="H459" s="115"/>
      <c r="I459" s="115"/>
      <c r="J459" s="115"/>
      <c r="K459" s="115"/>
      <c r="L459" s="115"/>
      <c r="M459" s="115"/>
      <c r="N459" s="127"/>
      <c r="O459" s="29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25"/>
      <c r="B460" s="126"/>
      <c r="C460" s="126"/>
      <c r="D460" s="126"/>
      <c r="H460" s="115"/>
      <c r="I460" s="115"/>
      <c r="J460" s="115"/>
      <c r="K460" s="115"/>
      <c r="L460" s="115"/>
      <c r="M460" s="115"/>
      <c r="N460" s="29"/>
      <c r="O460" s="29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25"/>
      <c r="B461" s="126"/>
      <c r="C461" s="126"/>
      <c r="D461" s="126"/>
      <c r="H461" s="115"/>
      <c r="I461" s="115"/>
      <c r="J461" s="115"/>
      <c r="K461" s="115"/>
      <c r="L461" s="115"/>
      <c r="M461" s="115"/>
      <c r="N461" s="127"/>
      <c r="O461" s="29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25"/>
      <c r="B462" s="126"/>
      <c r="C462" s="126"/>
      <c r="D462" s="126"/>
      <c r="N462" s="127"/>
      <c r="O462" s="29"/>
      <c r="AE462" s="127"/>
      <c r="AF462" s="29"/>
    </row>
    <row r="463" spans="1:32" ht="19.5" x14ac:dyDescent="0.4">
      <c r="A463" s="125"/>
      <c r="B463" s="126"/>
      <c r="C463" s="126"/>
      <c r="D463" s="126"/>
      <c r="N463" s="127"/>
      <c r="O463" s="29"/>
      <c r="AE463" s="127"/>
      <c r="AF463" s="29"/>
    </row>
    <row r="464" spans="1:32" ht="19.5" x14ac:dyDescent="0.4">
      <c r="A464" s="125"/>
      <c r="B464" s="126"/>
      <c r="C464" s="126"/>
      <c r="D464" s="126"/>
      <c r="H464" s="115"/>
      <c r="I464" s="115"/>
      <c r="J464" s="115"/>
      <c r="K464" s="115"/>
      <c r="L464" s="115"/>
      <c r="M464" s="115"/>
      <c r="N464" s="127"/>
      <c r="O464" s="29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25"/>
      <c r="B465" s="126"/>
      <c r="C465" s="126"/>
      <c r="D465" s="126"/>
      <c r="H465" s="115"/>
      <c r="I465" s="115"/>
      <c r="J465" s="115"/>
      <c r="K465" s="115"/>
      <c r="L465" s="115"/>
      <c r="M465" s="115"/>
      <c r="N465" s="127"/>
      <c r="O465" s="29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25"/>
      <c r="B466" s="126"/>
      <c r="C466" s="126"/>
      <c r="D466" s="126"/>
      <c r="H466" s="115"/>
      <c r="I466" s="115"/>
      <c r="J466" s="115"/>
      <c r="K466" s="115"/>
      <c r="L466" s="115"/>
      <c r="M466" s="115"/>
      <c r="N466" s="29"/>
      <c r="O466" s="29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25"/>
      <c r="B467" s="126"/>
      <c r="C467" s="126"/>
      <c r="D467" s="126"/>
      <c r="N467" s="127"/>
      <c r="O467" s="29"/>
      <c r="AE467" s="127"/>
      <c r="AF467" s="29"/>
    </row>
    <row r="468" spans="1:32" ht="19.5" x14ac:dyDescent="0.4">
      <c r="A468" s="125"/>
      <c r="B468" s="126"/>
      <c r="C468" s="126"/>
      <c r="D468" s="126"/>
      <c r="H468" s="115"/>
      <c r="I468" s="115"/>
      <c r="J468" s="115"/>
      <c r="K468" s="115"/>
      <c r="L468" s="115"/>
      <c r="M468" s="115"/>
      <c r="N468" s="127"/>
      <c r="O468" s="29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25"/>
      <c r="B469" s="126"/>
      <c r="C469" s="126"/>
      <c r="D469" s="126"/>
      <c r="H469" s="115"/>
      <c r="I469" s="115"/>
      <c r="J469" s="115"/>
      <c r="K469" s="115"/>
      <c r="L469" s="115"/>
      <c r="M469" s="115"/>
      <c r="N469" s="127"/>
      <c r="O469" s="29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25"/>
      <c r="B470" s="126"/>
      <c r="C470" s="126"/>
      <c r="D470" s="126"/>
      <c r="N470" s="127"/>
      <c r="O470" s="29"/>
      <c r="AE470" s="127"/>
      <c r="AF470" s="29"/>
    </row>
    <row r="471" spans="1:32" ht="19.5" x14ac:dyDescent="0.4">
      <c r="A471" s="125"/>
      <c r="B471" s="126"/>
      <c r="C471" s="126"/>
      <c r="D471" s="126"/>
      <c r="H471" s="115"/>
      <c r="I471" s="115"/>
      <c r="J471" s="115"/>
      <c r="K471" s="115"/>
      <c r="L471" s="115"/>
      <c r="M471" s="115"/>
      <c r="N471" s="127"/>
      <c r="O471" s="29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25"/>
      <c r="B472" s="126"/>
      <c r="C472" s="126"/>
      <c r="D472" s="126"/>
      <c r="N472" s="127"/>
      <c r="O472" s="29"/>
      <c r="AE472" s="127"/>
      <c r="AF472" s="29"/>
    </row>
    <row r="473" spans="1:32" ht="19.5" x14ac:dyDescent="0.4">
      <c r="A473" s="125"/>
      <c r="B473" s="126"/>
      <c r="C473" s="126"/>
      <c r="D473" s="126"/>
      <c r="H473" s="115"/>
      <c r="I473" s="115"/>
      <c r="J473" s="115"/>
      <c r="K473" s="115"/>
      <c r="L473" s="115"/>
      <c r="M473" s="115"/>
      <c r="N473" s="29"/>
      <c r="O473" s="29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25"/>
      <c r="B474" s="126"/>
      <c r="C474" s="126"/>
      <c r="D474" s="126"/>
      <c r="H474" s="115"/>
      <c r="I474" s="115"/>
      <c r="J474" s="115"/>
      <c r="K474" s="115"/>
      <c r="L474" s="115"/>
      <c r="M474" s="115"/>
      <c r="N474" s="127"/>
      <c r="O474" s="29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25"/>
      <c r="B475" s="126"/>
      <c r="C475" s="126"/>
      <c r="D475" s="126"/>
      <c r="H475" s="115"/>
      <c r="I475" s="115"/>
      <c r="J475" s="115"/>
      <c r="K475" s="115"/>
      <c r="L475" s="115"/>
      <c r="M475" s="115"/>
      <c r="N475" s="127"/>
      <c r="O475" s="29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25"/>
      <c r="B476" s="126"/>
      <c r="C476" s="126"/>
      <c r="D476" s="126"/>
      <c r="H476" s="115"/>
      <c r="I476" s="115"/>
      <c r="J476" s="115"/>
      <c r="K476" s="115"/>
      <c r="L476" s="115"/>
      <c r="M476" s="115"/>
      <c r="N476" s="127"/>
      <c r="O476" s="29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25"/>
      <c r="B477" s="126"/>
      <c r="C477" s="126"/>
      <c r="D477" s="126"/>
      <c r="H477" s="115"/>
      <c r="I477" s="115"/>
      <c r="J477" s="115"/>
      <c r="K477" s="115"/>
      <c r="L477" s="115"/>
      <c r="M477" s="115"/>
      <c r="N477" s="127"/>
      <c r="O477" s="29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25"/>
      <c r="B478" s="126"/>
      <c r="C478" s="126"/>
      <c r="D478" s="126"/>
      <c r="H478" s="115"/>
      <c r="I478" s="115"/>
      <c r="J478" s="115"/>
      <c r="K478" s="115"/>
      <c r="L478" s="115"/>
      <c r="M478" s="115"/>
      <c r="N478" s="127"/>
      <c r="O478" s="29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25"/>
      <c r="B479" s="126"/>
      <c r="C479" s="126"/>
      <c r="D479" s="126"/>
      <c r="N479" s="127"/>
      <c r="O479" s="29"/>
      <c r="AE479" s="127"/>
      <c r="AF479" s="29"/>
    </row>
    <row r="480" spans="1:32" ht="19.5" x14ac:dyDescent="0.4">
      <c r="A480" s="125"/>
      <c r="B480" s="126"/>
      <c r="C480" s="126"/>
      <c r="D480" s="126"/>
      <c r="H480" s="115"/>
      <c r="I480" s="115"/>
      <c r="J480" s="115"/>
      <c r="K480" s="115"/>
      <c r="L480" s="115"/>
      <c r="M480" s="115"/>
      <c r="N480" s="127"/>
      <c r="O480" s="29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25"/>
      <c r="B481" s="126"/>
      <c r="C481" s="126"/>
      <c r="D481" s="126"/>
      <c r="N481" s="127"/>
      <c r="O481" s="29"/>
      <c r="AE481" s="127"/>
      <c r="AF481" s="29"/>
    </row>
    <row r="482" spans="1:32" ht="19.5" x14ac:dyDescent="0.4">
      <c r="A482" s="125"/>
      <c r="B482" s="126"/>
      <c r="C482" s="126"/>
      <c r="D482" s="126"/>
      <c r="N482" s="127"/>
      <c r="O482" s="29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127"/>
      <c r="O483" s="29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127"/>
      <c r="O484" s="29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127"/>
      <c r="O485" s="29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127"/>
      <c r="O486" s="29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127"/>
      <c r="O487" s="29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127"/>
      <c r="O488" s="29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127"/>
      <c r="O489" s="29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127"/>
      <c r="O490" s="29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127"/>
      <c r="O491" s="29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127"/>
      <c r="O492" s="29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127"/>
      <c r="O493" s="29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127"/>
      <c r="O494" s="29"/>
      <c r="AE494" s="127"/>
      <c r="AF494" s="29"/>
    </row>
    <row r="495" spans="1:32" x14ac:dyDescent="0.4">
      <c r="N495" s="127"/>
      <c r="O495" s="29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127"/>
      <c r="O496" s="29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127"/>
      <c r="O497" s="29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127"/>
      <c r="O498" s="29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127"/>
      <c r="O499" s="29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127"/>
      <c r="O500" s="29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29"/>
      <c r="O501" s="29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127"/>
      <c r="O502" s="29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127"/>
      <c r="O503" s="29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29"/>
      <c r="O504" s="29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127"/>
      <c r="O505" s="29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127"/>
      <c r="O506" s="29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127"/>
      <c r="O507" s="29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127"/>
      <c r="O508" s="29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127"/>
      <c r="O509" s="29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A1:A720">
    <sortCondition ref="A1:A720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2026-03-24T01:25:12Z</cp:lastPrinted>
  <dcterms:created xsi:type="dcterms:W3CDTF">2020-05-08T06:29:04Z</dcterms:created>
  <dcterms:modified xsi:type="dcterms:W3CDTF">2026-03-24T03:41:42Z</dcterms:modified>
</cp:coreProperties>
</file>