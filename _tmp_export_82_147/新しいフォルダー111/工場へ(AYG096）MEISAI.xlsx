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6DA61D34-FEAD-4E0B-9970-C3F6C4676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26" i="3"/>
  <c r="C26" i="3"/>
  <c r="B26" i="3"/>
  <c r="Q141" i="3"/>
  <c r="P141" i="3"/>
  <c r="Q139" i="3"/>
  <c r="P139" i="3"/>
  <c r="Q137" i="3"/>
  <c r="P137" i="3"/>
  <c r="Q132" i="3"/>
  <c r="P132" i="3"/>
  <c r="Q130" i="3"/>
  <c r="P130" i="3"/>
  <c r="Q126" i="3"/>
  <c r="P126" i="3"/>
  <c r="Q123" i="3"/>
  <c r="P123" i="3"/>
  <c r="Q112" i="3"/>
  <c r="P112" i="3"/>
  <c r="Q106" i="3"/>
  <c r="P106" i="3"/>
  <c r="Q95" i="3"/>
  <c r="P95" i="3"/>
  <c r="Q75" i="3"/>
  <c r="P75" i="3"/>
  <c r="Q73" i="3"/>
  <c r="P73" i="3"/>
  <c r="Q70" i="3"/>
  <c r="P70" i="3"/>
  <c r="Q62" i="3"/>
  <c r="P62" i="3"/>
  <c r="Q46" i="3"/>
  <c r="P46" i="3"/>
  <c r="Q38" i="3"/>
  <c r="P38" i="3"/>
  <c r="Q24" i="3"/>
  <c r="P24" i="3"/>
  <c r="Q17" i="3"/>
  <c r="P17" i="3"/>
  <c r="Q15" i="3"/>
  <c r="P15" i="3"/>
  <c r="Q13" i="3"/>
  <c r="P13" i="3"/>
  <c r="Q9" i="3"/>
  <c r="P9" i="3"/>
  <c r="Q6" i="3"/>
  <c r="P6" i="3"/>
  <c r="Q4" i="3"/>
  <c r="Q142" i="3" s="1"/>
  <c r="P4" i="3"/>
  <c r="P142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O424" i="3"/>
  <c r="AN424" i="3"/>
  <c r="AO419" i="3"/>
  <c r="AN419" i="3"/>
  <c r="AO417" i="3"/>
  <c r="AN417" i="3"/>
  <c r="AO403" i="3"/>
  <c r="AN403" i="3"/>
  <c r="AO385" i="3"/>
  <c r="AN385" i="3"/>
  <c r="AO374" i="3"/>
  <c r="AN374" i="3"/>
  <c r="AO340" i="3"/>
  <c r="AN340" i="3"/>
  <c r="AO327" i="3"/>
  <c r="AN327" i="3"/>
  <c r="AO289" i="3"/>
  <c r="AN289" i="3"/>
  <c r="AO280" i="3"/>
  <c r="AN280" i="3"/>
  <c r="AO266" i="3"/>
  <c r="AN266" i="3"/>
  <c r="AO233" i="3"/>
  <c r="AN233" i="3"/>
  <c r="AO180" i="3"/>
  <c r="AN180" i="3"/>
  <c r="AO168" i="3"/>
  <c r="AN168" i="3"/>
  <c r="AO149" i="3"/>
  <c r="AN149" i="3"/>
  <c r="AO138" i="3"/>
  <c r="AN138" i="3"/>
  <c r="AO121" i="3"/>
  <c r="AN121" i="3"/>
  <c r="AO113" i="3"/>
  <c r="AN113" i="3"/>
  <c r="AO98" i="3"/>
  <c r="AN98" i="3"/>
  <c r="AO88" i="3"/>
  <c r="AN88" i="3"/>
  <c r="AO82" i="3"/>
  <c r="AN82" i="3"/>
  <c r="AO51" i="3"/>
  <c r="AN51" i="3"/>
  <c r="B61" i="1"/>
  <c r="A241" i="1"/>
  <c r="A151" i="1"/>
  <c r="AB43" i="1"/>
  <c r="AN425" i="3" l="1"/>
  <c r="AO425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<sst xmlns="http://schemas.openxmlformats.org/spreadsheetml/2006/main" count="2319" uniqueCount="363">
  <si>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</si>
  <si>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</si>
  <si>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</si>
  <si>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</si>
  <si>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</si>
  <si>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</si>
  <si>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</si>
  <si>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</si>
  <si>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</si>
  <si>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</si>
  <si>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</si>
  <si>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</si>
  <si>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</si>
  <si>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</si>
  <si>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</si>
  <si>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</si>
  <si>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</si>
  <si>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</si>
  <si>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</si>
  <si>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</si>
  <si>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</si>
  <si>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</si>
  <si>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</si>
  <si>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</si>
  <si>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</si>
  <si>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</si>
  <si>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</si>
  <si>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</si>
  <si>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</si>
  <si>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</si>
  <si>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</si>
  <si>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</si>
  <si>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</si>
  <si>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</si>
  <si>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</si>
  <si>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</si>
  <si>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</si>
  <si>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</si>
  <si>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</si>
  <si>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</si>
  <si>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</si>
  <si>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</si>
  <si>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</si>
  <si>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</si>
  <si>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</si>
  <si>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</si>
  <si>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</si>
  <si>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</si>
  <si>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</si>
  <si>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</si>
  <si>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</si>
  <si>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</si>
  <si>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</si>
  <si>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</si>
  <si>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</si>
  <si>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</si>
  <si>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</si>
  <si>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</si>
  <si>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</si>
  <si>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</si>
  <si>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</si>
  <si>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</si>
  <si>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</si>
  <si>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</si>
  <si>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</si>
  <si>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</si>
  <si>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</si>
  <si>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</si>
  <si>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</si>
  <si>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</si>
  <si>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</si>
  <si>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</si>
  <si>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</si>
  <si>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</si>
  <si>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</si>
  <si>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</si>
  <si>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</si>
  <si>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</si>
  <si>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</si>
  <si>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</si>
  <si>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</si>
  <si>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</si>
  <si>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</si>
  <si>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</si>
  <si>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</si>
  <si>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</si>
  <si>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</si>
  <si>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</si>
  <si>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</si>
  <si>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</si>
  <si>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</si>
  <si>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</si>
  <si>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</si>
  <si>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</si>
  <si>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</si>
  <si>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</si>
  <si>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</si>
  <si>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</si>
  <si>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</si>
  <si>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</si>
  <si>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</si>
  <si>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</si>
  <si>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</si>
  <si>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</si>
  <si>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</si>
  <si>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</si>
  <si>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</si>
  <si>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</si>
  <si>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</si>
  <si>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</si>
  <si>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</si>
  <si>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</si>
  <si>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</si>
  <si>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</si>
  <si>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</si>
  <si>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</si>
  <si>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</si>
  <si>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</si>
  <si>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</si>
  <si>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</si>
  <si>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</si>
  <si>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</si>
  <si>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</si>
  <si>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</si>
  <si>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</si>
  <si>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</si>
  <si>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</si>
  <si>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</si>
  <si>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</si>
  <si>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</si>
  <si>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</si>
  <si>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</si>
  <si>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</si>
  <si>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</si>
  <si>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</si>
  <si>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</si>
  <si>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</si>
  <si>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</si>
  <si>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</si>
  <si>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</si>
  <si>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</si>
  <si>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</si>
  <si>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</si>
  <si>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</si>
  <si>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</si>
  <si>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</si>
  <si>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</si>
  <si>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</si>
  <si>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</si>
  <si>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</si>
  <si>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</si>
  <si>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</si>
  <si>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</si>
  <si>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</si>
  <si>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</si>
  <si>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</si>
  <si>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</si>
  <si>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</si>
  <si>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</si>
  <si>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</si>
  <si>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</si>
  <si>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</si>
  <si>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</si>
  <si>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</si>
  <si>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</si>
  <si>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</si>
  <si>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</si>
  <si>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</si>
  <si>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</si>
  <si>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</si>
  <si>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</si>
  <si>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</si>
  <si>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</si>
  <si>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</si>
  <si>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</si>
  <si>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</si>
  <si>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</si>
  <si>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2024/12/23 個数</t>
  </si>
  <si>
    <t>2024/12/26 個数</t>
  </si>
  <si>
    <t>2025/1/4 個数</t>
  </si>
  <si>
    <t>2025/1/5 個数</t>
  </si>
  <si>
    <t>2025/1/6 個数</t>
  </si>
  <si>
    <t>2025/1/7 個数</t>
  </si>
  <si>
    <t>2025/1/8 個数</t>
  </si>
  <si>
    <t>2025/1/12 個数</t>
  </si>
  <si>
    <t>2025/1/13 個数</t>
  </si>
  <si>
    <t>2025/1/14 個数</t>
  </si>
  <si>
    <t>AYG096</t>
    <phoneticPr fontId="1"/>
  </si>
  <si>
    <t>06110084</t>
    <phoneticPr fontId="1"/>
  </si>
  <si>
    <t>A545</t>
    <phoneticPr fontId="1"/>
  </si>
  <si>
    <t>TM</t>
    <phoneticPr fontId="1"/>
  </si>
  <si>
    <t>S</t>
    <phoneticPr fontId="1"/>
  </si>
  <si>
    <t>K</t>
    <phoneticPr fontId="1"/>
  </si>
  <si>
    <t>FR</t>
    <phoneticPr fontId="1"/>
  </si>
  <si>
    <t>M032</t>
    <phoneticPr fontId="1"/>
  </si>
  <si>
    <t>06110404</t>
    <phoneticPr fontId="1"/>
  </si>
  <si>
    <t>06110405</t>
    <phoneticPr fontId="1"/>
  </si>
  <si>
    <t>NF</t>
    <phoneticPr fontId="1"/>
  </si>
  <si>
    <t>J</t>
    <phoneticPr fontId="1"/>
  </si>
  <si>
    <t>HM</t>
    <phoneticPr fontId="1"/>
  </si>
  <si>
    <t>06120001</t>
    <phoneticPr fontId="1"/>
  </si>
  <si>
    <t>06120002</t>
    <phoneticPr fontId="1"/>
  </si>
  <si>
    <t>NA</t>
    <phoneticPr fontId="1"/>
  </si>
  <si>
    <t>R</t>
    <phoneticPr fontId="1"/>
  </si>
  <si>
    <t>06120027</t>
    <phoneticPr fontId="1"/>
  </si>
  <si>
    <t>06120069</t>
    <phoneticPr fontId="1"/>
  </si>
  <si>
    <t>HA</t>
    <phoneticPr fontId="1"/>
  </si>
  <si>
    <t>06120070</t>
    <phoneticPr fontId="1"/>
  </si>
  <si>
    <t>06120106</t>
    <phoneticPr fontId="1"/>
  </si>
  <si>
    <t>A335</t>
    <phoneticPr fontId="1"/>
  </si>
  <si>
    <t>IR</t>
    <phoneticPr fontId="1"/>
  </si>
  <si>
    <t>06120112</t>
    <phoneticPr fontId="1"/>
  </si>
  <si>
    <t>06120105</t>
    <phoneticPr fontId="1"/>
  </si>
  <si>
    <t>06120107</t>
    <phoneticPr fontId="1"/>
  </si>
  <si>
    <t>06120108</t>
    <phoneticPr fontId="1"/>
  </si>
  <si>
    <t>MK</t>
    <phoneticPr fontId="1"/>
  </si>
  <si>
    <t>06120109</t>
    <phoneticPr fontId="1"/>
  </si>
  <si>
    <t>06120110</t>
    <phoneticPr fontId="1"/>
  </si>
  <si>
    <t>MH</t>
    <phoneticPr fontId="1"/>
  </si>
  <si>
    <t>06120111</t>
    <phoneticPr fontId="1"/>
  </si>
  <si>
    <t>06110099</t>
    <phoneticPr fontId="1"/>
  </si>
  <si>
    <t>M074</t>
    <phoneticPr fontId="1"/>
  </si>
  <si>
    <t>KM</t>
    <phoneticPr fontId="1"/>
  </si>
  <si>
    <t>06110108</t>
    <phoneticPr fontId="1"/>
  </si>
  <si>
    <t>06110220</t>
    <phoneticPr fontId="1"/>
  </si>
  <si>
    <t>06110221</t>
    <phoneticPr fontId="1"/>
  </si>
  <si>
    <t>06110468</t>
    <phoneticPr fontId="1"/>
  </si>
  <si>
    <t>M078</t>
    <phoneticPr fontId="1"/>
  </si>
  <si>
    <t>CO</t>
    <phoneticPr fontId="1"/>
  </si>
  <si>
    <t>A505</t>
    <phoneticPr fontId="1"/>
  </si>
  <si>
    <t>06110487</t>
    <phoneticPr fontId="1"/>
  </si>
  <si>
    <t>06120003</t>
    <phoneticPr fontId="1"/>
  </si>
  <si>
    <t>A913</t>
    <phoneticPr fontId="1"/>
  </si>
  <si>
    <t>06120004</t>
    <phoneticPr fontId="1"/>
  </si>
  <si>
    <t>06120005</t>
    <phoneticPr fontId="1"/>
  </si>
  <si>
    <t>06120050</t>
    <phoneticPr fontId="1"/>
  </si>
  <si>
    <t>06120061</t>
    <phoneticPr fontId="1"/>
  </si>
  <si>
    <t>A128</t>
    <phoneticPr fontId="1"/>
  </si>
  <si>
    <t>A156</t>
    <phoneticPr fontId="1"/>
  </si>
  <si>
    <t>06120063</t>
    <phoneticPr fontId="1"/>
  </si>
  <si>
    <t>A120</t>
    <phoneticPr fontId="1"/>
  </si>
  <si>
    <t>06120064</t>
    <phoneticPr fontId="1"/>
  </si>
  <si>
    <t>06120066</t>
    <phoneticPr fontId="1"/>
  </si>
  <si>
    <t>A307</t>
    <phoneticPr fontId="1"/>
  </si>
  <si>
    <t>06120067</t>
    <phoneticPr fontId="1"/>
  </si>
  <si>
    <t>06120068</t>
    <phoneticPr fontId="1"/>
  </si>
  <si>
    <t>A523</t>
    <phoneticPr fontId="1"/>
  </si>
  <si>
    <t>06120030</t>
    <phoneticPr fontId="1"/>
  </si>
  <si>
    <t>TK</t>
    <phoneticPr fontId="1"/>
  </si>
  <si>
    <t>06120031</t>
    <phoneticPr fontId="1"/>
  </si>
  <si>
    <t>06120032</t>
    <phoneticPr fontId="1"/>
  </si>
  <si>
    <t>A700</t>
    <phoneticPr fontId="1"/>
  </si>
  <si>
    <t>06120098</t>
    <phoneticPr fontId="1"/>
  </si>
  <si>
    <t>06120099</t>
  </si>
  <si>
    <t>06120100</t>
  </si>
  <si>
    <t>06120115</t>
    <phoneticPr fontId="1"/>
  </si>
  <si>
    <t>06120139</t>
    <phoneticPr fontId="1"/>
  </si>
  <si>
    <t>06120140</t>
    <phoneticPr fontId="1"/>
  </si>
  <si>
    <t>06120088</t>
    <phoneticPr fontId="1"/>
  </si>
  <si>
    <t>06120089</t>
  </si>
  <si>
    <t>06120090</t>
  </si>
  <si>
    <t>06120091</t>
  </si>
  <si>
    <t>06120092</t>
  </si>
  <si>
    <t>06120093</t>
  </si>
  <si>
    <t>06120094</t>
  </si>
  <si>
    <t>06120046</t>
    <phoneticPr fontId="1"/>
  </si>
  <si>
    <t>A623</t>
    <phoneticPr fontId="1"/>
  </si>
  <si>
    <t>06120122</t>
    <phoneticPr fontId="1"/>
  </si>
  <si>
    <t>06120123</t>
    <phoneticPr fontId="1"/>
  </si>
  <si>
    <t>06120124</t>
    <phoneticPr fontId="1"/>
  </si>
  <si>
    <t>06120125</t>
  </si>
  <si>
    <t>06120126</t>
  </si>
  <si>
    <t>06120127</t>
  </si>
  <si>
    <t>06120129</t>
    <phoneticPr fontId="1"/>
  </si>
  <si>
    <t>06120130</t>
    <phoneticPr fontId="1"/>
  </si>
  <si>
    <t>06120135</t>
    <phoneticPr fontId="1"/>
  </si>
  <si>
    <t>06120136</t>
    <phoneticPr fontId="1"/>
  </si>
  <si>
    <t>06120151</t>
    <phoneticPr fontId="1"/>
  </si>
  <si>
    <t>06120156</t>
    <phoneticPr fontId="1"/>
  </si>
  <si>
    <t>06120157</t>
    <phoneticPr fontId="1"/>
  </si>
  <si>
    <t>06120158</t>
    <phoneticPr fontId="1"/>
  </si>
  <si>
    <t>06120054</t>
    <phoneticPr fontId="1"/>
  </si>
  <si>
    <t>M079</t>
    <phoneticPr fontId="1"/>
  </si>
  <si>
    <t>06120055</t>
    <phoneticPr fontId="1"/>
  </si>
  <si>
    <t>06120065</t>
    <phoneticPr fontId="1"/>
  </si>
  <si>
    <t>06120137</t>
    <phoneticPr fontId="1"/>
  </si>
  <si>
    <t>06120138</t>
    <phoneticPr fontId="1"/>
  </si>
  <si>
    <t>06120150</t>
    <phoneticPr fontId="1"/>
  </si>
  <si>
    <t>06120152</t>
    <phoneticPr fontId="1"/>
  </si>
  <si>
    <t>UC</t>
    <phoneticPr fontId="1"/>
  </si>
  <si>
    <t>06120153</t>
    <phoneticPr fontId="1"/>
  </si>
  <si>
    <t>06120154</t>
    <phoneticPr fontId="1"/>
  </si>
  <si>
    <t>06120155</t>
    <phoneticPr fontId="1"/>
  </si>
  <si>
    <t>06110436</t>
    <phoneticPr fontId="1"/>
  </si>
  <si>
    <t>06110439</t>
    <phoneticPr fontId="1"/>
  </si>
  <si>
    <t>06120038</t>
    <phoneticPr fontId="1"/>
  </si>
  <si>
    <t>MW</t>
    <phoneticPr fontId="1"/>
  </si>
  <si>
    <t>WS</t>
    <phoneticPr fontId="1"/>
  </si>
  <si>
    <t>06120039</t>
    <phoneticPr fontId="1"/>
  </si>
  <si>
    <t>06120040</t>
    <phoneticPr fontId="1"/>
  </si>
  <si>
    <t>06120041</t>
    <phoneticPr fontId="1"/>
  </si>
  <si>
    <t>06120042</t>
    <phoneticPr fontId="1"/>
  </si>
  <si>
    <t>MS</t>
    <phoneticPr fontId="1"/>
  </si>
  <si>
    <t>06120043</t>
    <phoneticPr fontId="1"/>
  </si>
  <si>
    <t>06120044</t>
    <phoneticPr fontId="1"/>
  </si>
  <si>
    <t>06120045</t>
    <phoneticPr fontId="1"/>
  </si>
  <si>
    <t>06120159</t>
    <phoneticPr fontId="1"/>
  </si>
  <si>
    <t>06120161</t>
    <phoneticPr fontId="1"/>
  </si>
  <si>
    <t>06120162</t>
    <phoneticPr fontId="1"/>
  </si>
  <si>
    <t>06120165</t>
    <phoneticPr fontId="1"/>
  </si>
  <si>
    <t>06120177</t>
    <phoneticPr fontId="1"/>
  </si>
  <si>
    <t>06120179</t>
    <phoneticPr fontId="1"/>
  </si>
  <si>
    <t>06110094</t>
    <phoneticPr fontId="1"/>
  </si>
  <si>
    <t>06110249</t>
    <phoneticPr fontId="1"/>
  </si>
  <si>
    <t>06120095</t>
    <phoneticPr fontId="1"/>
  </si>
  <si>
    <t>M070</t>
    <phoneticPr fontId="1"/>
  </si>
  <si>
    <t>M100</t>
    <phoneticPr fontId="1"/>
  </si>
  <si>
    <t>06120178</t>
    <phoneticPr fontId="1"/>
  </si>
  <si>
    <t>06120181</t>
    <phoneticPr fontId="1"/>
  </si>
  <si>
    <t>A250</t>
    <phoneticPr fontId="1"/>
  </si>
  <si>
    <t>06120182</t>
    <phoneticPr fontId="1"/>
  </si>
  <si>
    <t>06120183</t>
    <phoneticPr fontId="1"/>
  </si>
  <si>
    <t>06120184</t>
    <phoneticPr fontId="1"/>
  </si>
  <si>
    <t>06120194</t>
    <phoneticPr fontId="1"/>
  </si>
  <si>
    <t>A318</t>
    <phoneticPr fontId="1"/>
  </si>
  <si>
    <t>06120195</t>
    <phoneticPr fontId="1"/>
  </si>
  <si>
    <t>06120205</t>
    <phoneticPr fontId="1"/>
  </si>
  <si>
    <t>06120206</t>
    <phoneticPr fontId="1"/>
  </si>
  <si>
    <t>06120207</t>
    <phoneticPr fontId="1"/>
  </si>
  <si>
    <t>TO</t>
    <phoneticPr fontId="1"/>
  </si>
  <si>
    <t>06120208</t>
    <phoneticPr fontId="1"/>
  </si>
  <si>
    <t>06120209</t>
    <phoneticPr fontId="1"/>
  </si>
  <si>
    <t>06120196</t>
    <phoneticPr fontId="1"/>
  </si>
  <si>
    <t>06120096</t>
    <phoneticPr fontId="1"/>
  </si>
  <si>
    <t>06120201</t>
    <phoneticPr fontId="1"/>
  </si>
  <si>
    <t>A602</t>
    <phoneticPr fontId="1"/>
  </si>
  <si>
    <t>06120202</t>
    <phoneticPr fontId="1"/>
  </si>
  <si>
    <t>06120210</t>
    <phoneticPr fontId="1"/>
  </si>
  <si>
    <t>A127</t>
    <phoneticPr fontId="1"/>
  </si>
  <si>
    <t>06120211</t>
    <phoneticPr fontId="1"/>
  </si>
  <si>
    <t>06120212</t>
    <phoneticPr fontId="1"/>
  </si>
  <si>
    <t>A732</t>
    <phoneticPr fontId="1"/>
  </si>
  <si>
    <t>06120213</t>
    <phoneticPr fontId="1"/>
  </si>
  <si>
    <t>06120214</t>
    <phoneticPr fontId="1"/>
  </si>
  <si>
    <t>06120215</t>
    <phoneticPr fontId="1"/>
  </si>
  <si>
    <t>06120217</t>
    <phoneticPr fontId="1"/>
  </si>
  <si>
    <t>A997</t>
    <phoneticPr fontId="1"/>
  </si>
  <si>
    <t>A550</t>
    <phoneticPr fontId="1"/>
  </si>
  <si>
    <t>06120242</t>
    <phoneticPr fontId="1"/>
  </si>
  <si>
    <t>2025/1/15 個数</t>
  </si>
  <si>
    <t>2025/1/16 個数</t>
  </si>
  <si>
    <t>2025/1/17 個数</t>
  </si>
  <si>
    <t>2025/1/18 個数</t>
  </si>
  <si>
    <t>2025/1/19 個数</t>
  </si>
  <si>
    <t>2025/1/20 個数</t>
  </si>
  <si>
    <t>2025/1/22 個数</t>
  </si>
  <si>
    <t>2025/1/23 個数</t>
  </si>
  <si>
    <t>2025/1/25 個数</t>
  </si>
  <si>
    <t>2025/1/26 個数</t>
  </si>
  <si>
    <t>2025/1/29 個数</t>
  </si>
  <si>
    <t>2025/2/6 個数</t>
  </si>
  <si>
    <t>2025/2/16 個数</t>
  </si>
  <si>
    <t>06120062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</si>
</sst>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1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13" sqref="H1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187</v>
      </c>
      <c r="B1" s="24">
        <v>45638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7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34">
        <v>20.8</v>
      </c>
      <c r="C3" s="85" t="s">
        <v>220</v>
      </c>
      <c r="D3" s="109" t="s">
        <v>221</v>
      </c>
      <c r="E3" s="15" t="s">
        <v>190</v>
      </c>
      <c r="F3" s="14"/>
      <c r="G3" s="12" t="s">
        <v>191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45673</v>
      </c>
      <c r="U3" s="13" t="s">
        <v>192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35"/>
      <c r="C4" s="85" t="s">
        <v>223</v>
      </c>
      <c r="D4" s="109" t="s">
        <v>221</v>
      </c>
      <c r="E4" s="15" t="s">
        <v>222</v>
      </c>
      <c r="F4" s="16"/>
      <c r="G4" s="12" t="s">
        <v>191</v>
      </c>
      <c r="H4" s="15"/>
      <c r="I4" s="13"/>
      <c r="J4" s="15"/>
      <c r="K4" s="15"/>
      <c r="L4" s="17"/>
      <c r="M4" s="17"/>
      <c r="N4" s="13"/>
      <c r="O4" s="17"/>
      <c r="P4" s="17"/>
      <c r="Q4" s="17">
        <v>1</v>
      </c>
      <c r="R4" s="17"/>
      <c r="S4" s="15"/>
      <c r="T4" s="25">
        <v>45663</v>
      </c>
      <c r="U4" s="13" t="s">
        <v>203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35"/>
      <c r="C5" s="85" t="s">
        <v>224</v>
      </c>
      <c r="D5" s="109" t="s">
        <v>194</v>
      </c>
      <c r="E5" s="15" t="s">
        <v>199</v>
      </c>
      <c r="F5" s="16"/>
      <c r="G5" s="12" t="s">
        <v>191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45661</v>
      </c>
      <c r="U5" s="13" t="s">
        <v>192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35"/>
      <c r="C6" s="85" t="s">
        <v>225</v>
      </c>
      <c r="D6" s="109" t="s">
        <v>194</v>
      </c>
      <c r="E6" s="15" t="s">
        <v>202</v>
      </c>
      <c r="F6" s="16"/>
      <c r="G6" s="12" t="s">
        <v>191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>
        <v>1</v>
      </c>
      <c r="S6" s="15"/>
      <c r="T6" s="25">
        <v>45661</v>
      </c>
      <c r="U6" s="13" t="s">
        <v>198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35"/>
      <c r="C7" s="85" t="s">
        <v>226</v>
      </c>
      <c r="D7" s="109" t="s">
        <v>227</v>
      </c>
      <c r="E7" s="15" t="s">
        <v>228</v>
      </c>
      <c r="F7" s="16"/>
      <c r="G7" s="12" t="s">
        <v>191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>
        <v>1</v>
      </c>
      <c r="T7" s="25">
        <v>45670</v>
      </c>
      <c r="U7" s="13" t="s">
        <v>192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35"/>
      <c r="C8" s="85" t="s">
        <v>230</v>
      </c>
      <c r="D8" s="109" t="s">
        <v>229</v>
      </c>
      <c r="E8" s="15" t="s">
        <v>222</v>
      </c>
      <c r="F8" s="16"/>
      <c r="G8" s="12" t="s">
        <v>191</v>
      </c>
      <c r="H8" s="13"/>
      <c r="I8" s="13"/>
      <c r="J8" s="15"/>
      <c r="K8" s="15"/>
      <c r="L8" s="17"/>
      <c r="M8" s="17">
        <v>1</v>
      </c>
      <c r="N8" s="13"/>
      <c r="O8" s="17"/>
      <c r="P8" s="17"/>
      <c r="Q8" s="17">
        <v>1</v>
      </c>
      <c r="R8" s="17"/>
      <c r="S8" s="15"/>
      <c r="T8" s="25">
        <v>45665</v>
      </c>
      <c r="U8" s="13" t="s">
        <v>203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35"/>
      <c r="C9" s="85" t="s">
        <v>231</v>
      </c>
      <c r="D9" s="109" t="s">
        <v>194</v>
      </c>
      <c r="E9" s="15" t="s">
        <v>190</v>
      </c>
      <c r="F9" s="16"/>
      <c r="G9" s="12" t="s">
        <v>191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45670</v>
      </c>
      <c r="U9" s="13" t="s">
        <v>203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35"/>
      <c r="C10" s="85" t="s">
        <v>233</v>
      </c>
      <c r="D10" s="109" t="s">
        <v>232</v>
      </c>
      <c r="E10" s="15" t="s">
        <v>222</v>
      </c>
      <c r="F10" s="16"/>
      <c r="G10" s="12" t="s">
        <v>191</v>
      </c>
      <c r="H10" s="15"/>
      <c r="I10" s="13"/>
      <c r="J10" s="15"/>
      <c r="K10" s="15">
        <v>1</v>
      </c>
      <c r="L10" s="17"/>
      <c r="M10" s="17">
        <v>1</v>
      </c>
      <c r="N10" s="13"/>
      <c r="O10" s="17"/>
      <c r="P10" s="17"/>
      <c r="Q10" s="17"/>
      <c r="R10" s="17"/>
      <c r="S10" s="15"/>
      <c r="T10" s="25">
        <v>45672</v>
      </c>
      <c r="U10" s="13" t="s">
        <v>203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35"/>
      <c r="C11" s="85" t="s">
        <v>234</v>
      </c>
      <c r="D11" s="109" t="s">
        <v>232</v>
      </c>
      <c r="E11" s="15" t="s">
        <v>202</v>
      </c>
      <c r="F11" s="16"/>
      <c r="G11" s="12" t="s">
        <v>191</v>
      </c>
      <c r="H11" s="15"/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/>
      <c r="R11" s="17">
        <v>1</v>
      </c>
      <c r="S11" s="15"/>
      <c r="T11" s="25">
        <v>45672</v>
      </c>
      <c r="U11" s="13" t="s">
        <v>198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35"/>
      <c r="C12" s="85" t="s">
        <v>235</v>
      </c>
      <c r="D12" s="109" t="s">
        <v>227</v>
      </c>
      <c r="E12" s="15" t="s">
        <v>202</v>
      </c>
      <c r="F12" s="16"/>
      <c r="G12" s="12" t="s">
        <v>191</v>
      </c>
      <c r="H12" s="15"/>
      <c r="I12" s="15"/>
      <c r="J12" s="15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45683</v>
      </c>
      <c r="U12" s="13" t="s">
        <v>198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35"/>
      <c r="C13" s="85" t="s">
        <v>236</v>
      </c>
      <c r="D13" s="109" t="s">
        <v>237</v>
      </c>
      <c r="E13" s="15" t="s">
        <v>222</v>
      </c>
      <c r="F13" s="16"/>
      <c r="G13" s="12" t="s">
        <v>191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45675</v>
      </c>
      <c r="U13" s="13" t="s">
        <v>192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35"/>
      <c r="C14" s="85" t="s">
        <v>362</v>
      </c>
      <c r="D14" s="109" t="s">
        <v>238</v>
      </c>
      <c r="E14" s="15" t="s">
        <v>222</v>
      </c>
      <c r="F14" s="16"/>
      <c r="G14" s="12" t="s">
        <v>191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45680</v>
      </c>
      <c r="U14" s="13" t="s">
        <v>203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35"/>
      <c r="C15" s="85" t="s">
        <v>239</v>
      </c>
      <c r="D15" s="109" t="s">
        <v>240</v>
      </c>
      <c r="E15" s="15" t="s">
        <v>222</v>
      </c>
      <c r="F15" s="16"/>
      <c r="G15" s="12" t="s">
        <v>191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45680</v>
      </c>
      <c r="U15" s="13" t="s">
        <v>203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35"/>
      <c r="C16" s="85" t="s">
        <v>241</v>
      </c>
      <c r="D16" s="109" t="s">
        <v>194</v>
      </c>
      <c r="E16" s="15" t="s">
        <v>202</v>
      </c>
      <c r="F16" s="16"/>
      <c r="G16" s="12" t="s">
        <v>191</v>
      </c>
      <c r="H16" s="15"/>
      <c r="I16" s="15"/>
      <c r="J16" s="15"/>
      <c r="K16" s="15"/>
      <c r="L16" s="17"/>
      <c r="M16" s="17"/>
      <c r="N16" s="17"/>
      <c r="O16" s="17">
        <v>1</v>
      </c>
      <c r="P16" s="17">
        <v>1</v>
      </c>
      <c r="Q16" s="17">
        <v>1</v>
      </c>
      <c r="R16" s="17">
        <v>1</v>
      </c>
      <c r="S16" s="15"/>
      <c r="T16" s="25">
        <v>45665</v>
      </c>
      <c r="U16" s="13" t="s">
        <v>198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35"/>
      <c r="C17" s="85" t="s">
        <v>242</v>
      </c>
      <c r="D17" s="106" t="s">
        <v>194</v>
      </c>
      <c r="E17" s="15" t="s">
        <v>202</v>
      </c>
      <c r="F17" s="16"/>
      <c r="G17" s="15" t="s">
        <v>191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>
        <v>1</v>
      </c>
      <c r="R17" s="17">
        <v>1</v>
      </c>
      <c r="S17" s="15"/>
      <c r="T17" s="25">
        <v>45665</v>
      </c>
      <c r="U17" s="15" t="s">
        <v>198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35"/>
      <c r="C18" s="85" t="s">
        <v>244</v>
      </c>
      <c r="D18" s="110" t="s">
        <v>243</v>
      </c>
      <c r="E18" s="18" t="s">
        <v>199</v>
      </c>
      <c r="F18" s="16"/>
      <c r="G18" s="18" t="s">
        <v>191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45671</v>
      </c>
      <c r="U18" s="15" t="s">
        <v>192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35"/>
      <c r="C19" s="85" t="s">
        <v>245</v>
      </c>
      <c r="D19" s="110" t="s">
        <v>246</v>
      </c>
      <c r="E19" s="18" t="s">
        <v>193</v>
      </c>
      <c r="F19" s="16"/>
      <c r="G19" s="18" t="s">
        <v>191</v>
      </c>
      <c r="H19" s="15"/>
      <c r="I19" s="15"/>
      <c r="J19" s="18">
        <v>1</v>
      </c>
      <c r="K19" s="15">
        <v>1</v>
      </c>
      <c r="L19" s="19"/>
      <c r="M19" s="19"/>
      <c r="N19" s="19"/>
      <c r="O19" s="19"/>
      <c r="P19" s="19"/>
      <c r="Q19" s="19"/>
      <c r="R19" s="19"/>
      <c r="S19" s="15"/>
      <c r="T19" s="30">
        <v>45670</v>
      </c>
      <c r="U19" s="15" t="s">
        <v>192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35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35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35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35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35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35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249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35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36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17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6</v>
      </c>
      <c r="L28" s="29">
        <f t="shared" si="0"/>
        <v>0</v>
      </c>
      <c r="M28" s="29">
        <f t="shared" si="0"/>
        <v>5</v>
      </c>
      <c r="N28" s="29">
        <f t="shared" si="0"/>
        <v>3</v>
      </c>
      <c r="O28" s="29">
        <f t="shared" si="0"/>
        <v>5</v>
      </c>
      <c r="P28" s="29">
        <f t="shared" si="0"/>
        <v>5</v>
      </c>
      <c r="Q28" s="29">
        <f t="shared" si="0"/>
        <v>9</v>
      </c>
      <c r="R28" s="29">
        <f t="shared" si="0"/>
        <v>5</v>
      </c>
      <c r="S28" s="29">
        <f t="shared" si="0"/>
        <v>1</v>
      </c>
      <c r="T28" s="29" t="s">
        <v>64</v>
      </c>
      <c r="U28" s="29">
        <f>COUNTIF(H3:H27,"M")</f>
        <v>0</v>
      </c>
      <c r="AA28" s="139" t="s">
        <v>104</v>
      </c>
      <c r="AB28" s="14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44</v>
      </c>
      <c r="T29" s="29"/>
      <c r="U29" s="29"/>
      <c r="X29" t="s">
        <v>136</v>
      </c>
      <c r="AA29" s="141"/>
      <c r="AB29" s="142"/>
      <c r="AC29" s="155">
        <f>SUM(AC28:AE28)</f>
        <v>0</v>
      </c>
      <c r="AD29" s="156"/>
      <c r="AE29" s="15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AYG096</v>
      </c>
      <c r="B31" s="24">
        <f>B1</f>
        <v>45638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7" t="s">
        <v>119</v>
      </c>
      <c r="Y32" s="143"/>
      <c r="AA32" s="150" t="s">
        <v>47</v>
      </c>
      <c r="AB32" s="151"/>
    </row>
    <row r="33" spans="1:29" ht="19.5" thickTop="1" x14ac:dyDescent="0.4">
      <c r="A33" s="144">
        <v>2</v>
      </c>
      <c r="B33" s="134">
        <v>21</v>
      </c>
      <c r="C33" s="85" t="s">
        <v>188</v>
      </c>
      <c r="D33" s="109" t="s">
        <v>189</v>
      </c>
      <c r="E33" s="15" t="s">
        <v>190</v>
      </c>
      <c r="F33" s="14"/>
      <c r="G33" s="12" t="s">
        <v>191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45652</v>
      </c>
      <c r="U33" s="13" t="s">
        <v>192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39</v>
      </c>
    </row>
    <row r="34" spans="1:29" x14ac:dyDescent="0.4">
      <c r="A34" s="145"/>
      <c r="B34" s="135"/>
      <c r="C34" s="85" t="s">
        <v>195</v>
      </c>
      <c r="D34" s="109" t="s">
        <v>194</v>
      </c>
      <c r="E34" s="15" t="s">
        <v>193</v>
      </c>
      <c r="F34" s="16"/>
      <c r="G34" s="12" t="s">
        <v>191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45649</v>
      </c>
      <c r="U34" s="13" t="s">
        <v>192</v>
      </c>
      <c r="V34">
        <v>2</v>
      </c>
      <c r="X34" s="51" t="s">
        <v>107</v>
      </c>
      <c r="Y34" s="52">
        <f>COUNTIF(U33:U57,"R")</f>
        <v>6</v>
      </c>
      <c r="AA34" s="31" t="s">
        <v>48</v>
      </c>
      <c r="AB34" s="32">
        <f>K28+K178+K148+K118+K208+K238+K268+K298+K328+K358</f>
        <v>24</v>
      </c>
    </row>
    <row r="35" spans="1:29" ht="19.5" thickBot="1" x14ac:dyDescent="0.45">
      <c r="A35" s="145"/>
      <c r="B35" s="135"/>
      <c r="C35" s="85" t="s">
        <v>196</v>
      </c>
      <c r="D35" s="109" t="s">
        <v>194</v>
      </c>
      <c r="E35" s="15" t="s">
        <v>197</v>
      </c>
      <c r="F35" s="16"/>
      <c r="G35" s="12" t="s">
        <v>191</v>
      </c>
      <c r="H35" s="13"/>
      <c r="I35" s="13"/>
      <c r="J35" s="15">
        <v>1</v>
      </c>
      <c r="K35" s="15"/>
      <c r="L35" s="17"/>
      <c r="M35" s="17"/>
      <c r="N35" s="13"/>
      <c r="O35" s="17">
        <v>1</v>
      </c>
      <c r="P35" s="17">
        <v>1</v>
      </c>
      <c r="Q35" s="17"/>
      <c r="R35" s="17">
        <v>1</v>
      </c>
      <c r="S35" s="15"/>
      <c r="T35" s="25">
        <v>45649</v>
      </c>
      <c r="U35" s="13" t="s">
        <v>198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8</v>
      </c>
    </row>
    <row r="36" spans="1:29" x14ac:dyDescent="0.4">
      <c r="A36" s="145"/>
      <c r="B36" s="135"/>
      <c r="C36" s="85" t="s">
        <v>200</v>
      </c>
      <c r="D36" s="109" t="s">
        <v>194</v>
      </c>
      <c r="E36" s="15" t="s">
        <v>199</v>
      </c>
      <c r="F36" s="16"/>
      <c r="G36" s="12" t="s">
        <v>191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45665</v>
      </c>
      <c r="U36" s="13" t="s">
        <v>192</v>
      </c>
      <c r="V36">
        <v>4</v>
      </c>
      <c r="AA36" s="31" t="s">
        <v>50</v>
      </c>
      <c r="AB36" s="32">
        <f>M28+M178+M148+M118+M208+M238+M268+M298+M328+M358</f>
        <v>16</v>
      </c>
    </row>
    <row r="37" spans="1:29" x14ac:dyDescent="0.4">
      <c r="A37" s="145"/>
      <c r="B37" s="135"/>
      <c r="C37" s="85" t="s">
        <v>201</v>
      </c>
      <c r="D37" s="109" t="s">
        <v>194</v>
      </c>
      <c r="E37" s="15" t="s">
        <v>202</v>
      </c>
      <c r="F37" s="16"/>
      <c r="G37" s="12" t="s">
        <v>191</v>
      </c>
      <c r="H37" s="15"/>
      <c r="I37" s="13"/>
      <c r="J37" s="15"/>
      <c r="K37" s="15"/>
      <c r="L37" s="17"/>
      <c r="M37" s="17"/>
      <c r="N37" s="13"/>
      <c r="O37" s="17">
        <v>1</v>
      </c>
      <c r="P37" s="17">
        <v>1</v>
      </c>
      <c r="Q37" s="17">
        <v>1</v>
      </c>
      <c r="R37" s="17">
        <v>1</v>
      </c>
      <c r="S37" s="15"/>
      <c r="T37" s="25">
        <v>45665</v>
      </c>
      <c r="U37" s="13" t="s">
        <v>198</v>
      </c>
      <c r="V37">
        <v>5</v>
      </c>
      <c r="AA37" s="31" t="s">
        <v>51</v>
      </c>
      <c r="AB37" s="32">
        <f>N28+N178+N148+N118+N208+N238+N268+N298+N328+N358</f>
        <v>17</v>
      </c>
    </row>
    <row r="38" spans="1:29" x14ac:dyDescent="0.4">
      <c r="A38" s="145"/>
      <c r="B38" s="135"/>
      <c r="C38" s="85" t="s">
        <v>204</v>
      </c>
      <c r="D38" s="109" t="s">
        <v>194</v>
      </c>
      <c r="E38" s="15" t="s">
        <v>190</v>
      </c>
      <c r="F38" s="16"/>
      <c r="G38" s="12" t="s">
        <v>191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>
        <v>1</v>
      </c>
      <c r="R38" s="17"/>
      <c r="S38" s="15"/>
      <c r="T38" s="25">
        <v>45662</v>
      </c>
      <c r="U38" s="13" t="s">
        <v>203</v>
      </c>
      <c r="V38">
        <v>6</v>
      </c>
      <c r="AA38" s="31" t="s">
        <v>52</v>
      </c>
      <c r="AB38" s="32">
        <f>O28+O178+O148+O118+O208+O238+O268+O298+O328+O358</f>
        <v>24</v>
      </c>
    </row>
    <row r="39" spans="1:29" x14ac:dyDescent="0.4">
      <c r="A39" s="145"/>
      <c r="B39" s="135"/>
      <c r="C39" s="85" t="s">
        <v>205</v>
      </c>
      <c r="D39" s="109" t="s">
        <v>194</v>
      </c>
      <c r="E39" s="15" t="s">
        <v>202</v>
      </c>
      <c r="F39" s="16"/>
      <c r="G39" s="12" t="s">
        <v>191</v>
      </c>
      <c r="H39" s="15"/>
      <c r="I39" s="13"/>
      <c r="J39" s="15"/>
      <c r="K39" s="15"/>
      <c r="L39" s="17"/>
      <c r="M39" s="17"/>
      <c r="N39" s="13"/>
      <c r="O39" s="17">
        <v>1</v>
      </c>
      <c r="P39" s="17">
        <v>1</v>
      </c>
      <c r="Q39" s="17">
        <v>1</v>
      </c>
      <c r="R39" s="17">
        <v>1</v>
      </c>
      <c r="S39" s="15"/>
      <c r="T39" s="25">
        <v>45670</v>
      </c>
      <c r="U39" s="13" t="s">
        <v>198</v>
      </c>
      <c r="V39">
        <v>7</v>
      </c>
      <c r="AA39" s="31" t="s">
        <v>53</v>
      </c>
      <c r="AB39" s="32">
        <f>P28+P178+P148+P118+P208+P238+P268+P298+P328+P358</f>
        <v>21</v>
      </c>
    </row>
    <row r="40" spans="1:29" x14ac:dyDescent="0.4">
      <c r="A40" s="145"/>
      <c r="B40" s="135"/>
      <c r="C40" s="85" t="s">
        <v>207</v>
      </c>
      <c r="D40" s="109" t="s">
        <v>194</v>
      </c>
      <c r="E40" s="15" t="s">
        <v>206</v>
      </c>
      <c r="F40" s="16"/>
      <c r="G40" s="12" t="s">
        <v>191</v>
      </c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>
        <v>45664</v>
      </c>
      <c r="U40" s="13" t="s">
        <v>203</v>
      </c>
      <c r="V40">
        <v>8</v>
      </c>
      <c r="AA40" s="31" t="s">
        <v>54</v>
      </c>
      <c r="AB40" s="32">
        <f>Q28+Q178+Q148+Q118+Q208+Q238+Q268+Q298+Q328+Q358</f>
        <v>27</v>
      </c>
    </row>
    <row r="41" spans="1:29" x14ac:dyDescent="0.4">
      <c r="A41" s="145"/>
      <c r="B41" s="135"/>
      <c r="C41" s="85" t="s">
        <v>208</v>
      </c>
      <c r="D41" s="109" t="s">
        <v>209</v>
      </c>
      <c r="E41" s="15" t="s">
        <v>210</v>
      </c>
      <c r="F41" s="16"/>
      <c r="G41" s="12" t="s">
        <v>191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45671</v>
      </c>
      <c r="U41" s="13" t="s">
        <v>192</v>
      </c>
      <c r="V41">
        <v>9</v>
      </c>
      <c r="AA41" s="31" t="s">
        <v>55</v>
      </c>
      <c r="AB41" s="32">
        <f>R28+R178+R148+R118+R208+R238+R268+R298+R328+R358</f>
        <v>19</v>
      </c>
      <c r="AC41" t="s">
        <v>123</v>
      </c>
    </row>
    <row r="42" spans="1:29" ht="19.5" thickBot="1" x14ac:dyDescent="0.45">
      <c r="A42" s="145"/>
      <c r="B42" s="135"/>
      <c r="C42" s="85" t="s">
        <v>211</v>
      </c>
      <c r="D42" s="109" t="s">
        <v>209</v>
      </c>
      <c r="E42" s="15" t="s">
        <v>190</v>
      </c>
      <c r="F42" s="16"/>
      <c r="G42" s="12" t="s">
        <v>191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45671</v>
      </c>
      <c r="U42" s="13" t="s">
        <v>203</v>
      </c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199</v>
      </c>
    </row>
    <row r="43" spans="1:29" ht="19.5" thickBot="1" x14ac:dyDescent="0.45">
      <c r="A43" s="145"/>
      <c r="B43" s="135"/>
      <c r="C43" s="85" t="s">
        <v>212</v>
      </c>
      <c r="D43" s="109" t="s">
        <v>209</v>
      </c>
      <c r="E43" s="15" t="s">
        <v>199</v>
      </c>
      <c r="F43" s="16"/>
      <c r="G43" s="12" t="s">
        <v>191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45671</v>
      </c>
      <c r="U43" s="13" t="s">
        <v>192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35"/>
      <c r="C44" s="85" t="s">
        <v>213</v>
      </c>
      <c r="D44" s="109" t="s">
        <v>209</v>
      </c>
      <c r="E44" s="15" t="s">
        <v>199</v>
      </c>
      <c r="F44" s="16"/>
      <c r="G44" s="12" t="s">
        <v>191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45671</v>
      </c>
      <c r="U44" s="13" t="s">
        <v>192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5"/>
      <c r="B45" s="135"/>
      <c r="C45" s="85" t="s">
        <v>214</v>
      </c>
      <c r="D45" s="109" t="s">
        <v>209</v>
      </c>
      <c r="E45" s="15" t="s">
        <v>199</v>
      </c>
      <c r="F45" s="16"/>
      <c r="G45" s="12" t="s">
        <v>191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45671</v>
      </c>
      <c r="U45" s="13" t="s">
        <v>192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5"/>
      <c r="B46" s="135"/>
      <c r="C46" s="85" t="s">
        <v>216</v>
      </c>
      <c r="D46" s="109" t="s">
        <v>209</v>
      </c>
      <c r="E46" s="15" t="s">
        <v>215</v>
      </c>
      <c r="F46" s="16"/>
      <c r="G46" s="12" t="s">
        <v>191</v>
      </c>
      <c r="H46" s="15"/>
      <c r="I46" s="15"/>
      <c r="J46" s="15"/>
      <c r="K46" s="15"/>
      <c r="L46" s="17"/>
      <c r="M46" s="17"/>
      <c r="N46" s="17">
        <v>1</v>
      </c>
      <c r="O46" s="17"/>
      <c r="P46" s="17"/>
      <c r="Q46" s="17"/>
      <c r="R46" s="17"/>
      <c r="S46" s="15"/>
      <c r="T46" s="25">
        <v>45671</v>
      </c>
      <c r="U46" s="13" t="s">
        <v>203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35"/>
      <c r="C47" s="85" t="s">
        <v>217</v>
      </c>
      <c r="D47" s="106" t="s">
        <v>209</v>
      </c>
      <c r="E47" s="15" t="s">
        <v>218</v>
      </c>
      <c r="F47" s="16"/>
      <c r="G47" s="15" t="s">
        <v>191</v>
      </c>
      <c r="H47" s="15"/>
      <c r="I47" s="15"/>
      <c r="J47" s="15"/>
      <c r="K47" s="15"/>
      <c r="L47" s="17"/>
      <c r="M47" s="17"/>
      <c r="N47" s="17">
        <v>1</v>
      </c>
      <c r="O47" s="17"/>
      <c r="P47" s="17"/>
      <c r="Q47" s="17"/>
      <c r="R47" s="17"/>
      <c r="S47" s="15"/>
      <c r="T47" s="25">
        <v>45671</v>
      </c>
      <c r="U47" s="15" t="s">
        <v>203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35"/>
      <c r="C48" s="85" t="s">
        <v>219</v>
      </c>
      <c r="D48" s="110" t="s">
        <v>209</v>
      </c>
      <c r="E48" s="18" t="s">
        <v>190</v>
      </c>
      <c r="F48" s="16"/>
      <c r="G48" s="18" t="s">
        <v>191</v>
      </c>
      <c r="H48" s="15"/>
      <c r="I48" s="15"/>
      <c r="J48" s="18"/>
      <c r="K48" s="15"/>
      <c r="L48" s="19"/>
      <c r="M48" s="19">
        <v>1</v>
      </c>
      <c r="N48" s="19">
        <v>1</v>
      </c>
      <c r="O48" s="19"/>
      <c r="P48" s="19"/>
      <c r="Q48" s="19">
        <v>1</v>
      </c>
      <c r="R48" s="19"/>
      <c r="S48" s="15"/>
      <c r="T48" s="25">
        <v>45671</v>
      </c>
      <c r="U48" s="15" t="s">
        <v>203</v>
      </c>
      <c r="V48" s="73">
        <v>16</v>
      </c>
    </row>
    <row r="49" spans="1:28" x14ac:dyDescent="0.4">
      <c r="A49" s="145"/>
      <c r="B49" s="135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117</v>
      </c>
    </row>
    <row r="50" spans="1:28" ht="19.5" thickBot="1" x14ac:dyDescent="0.45">
      <c r="A50" s="145"/>
      <c r="B50" s="135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45"/>
      <c r="B51" s="135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35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2">
        <v>76</v>
      </c>
    </row>
    <row r="53" spans="1:28" ht="19.5" thickBot="1" x14ac:dyDescent="0.45">
      <c r="A53" s="145"/>
      <c r="B53" s="135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3"/>
    </row>
    <row r="54" spans="1:28" ht="19.5" thickBot="1" x14ac:dyDescent="0.45">
      <c r="A54" s="145"/>
      <c r="B54" s="135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35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7" t="s">
        <v>73</v>
      </c>
      <c r="AB55" s="45"/>
    </row>
    <row r="56" spans="1:28" ht="19.5" thickBot="1" x14ac:dyDescent="0.45">
      <c r="A56" s="145"/>
      <c r="B56" s="135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8"/>
      <c r="AB56" s="46"/>
    </row>
    <row r="57" spans="1:28" ht="19.5" thickBot="1" x14ac:dyDescent="0.45">
      <c r="A57" s="146"/>
      <c r="B57" s="136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7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6</v>
      </c>
      <c r="L58" s="29">
        <f t="shared" si="1"/>
        <v>0</v>
      </c>
      <c r="M58" s="29">
        <f t="shared" si="1"/>
        <v>3</v>
      </c>
      <c r="N58" s="29">
        <f t="shared" si="1"/>
        <v>5</v>
      </c>
      <c r="O58" s="29">
        <f t="shared" si="1"/>
        <v>3</v>
      </c>
      <c r="P58" s="29">
        <f t="shared" si="1"/>
        <v>3</v>
      </c>
      <c r="Q58" s="29">
        <f t="shared" si="1"/>
        <v>5</v>
      </c>
      <c r="R58" s="29">
        <f t="shared" si="1"/>
        <v>3</v>
      </c>
      <c r="S58" s="29">
        <f t="shared" si="1"/>
        <v>0</v>
      </c>
      <c r="T58" s="29" t="s">
        <v>64</v>
      </c>
      <c r="U58" s="29">
        <f>COUNTIF(H33:H57,"M")</f>
        <v>0</v>
      </c>
      <c r="AA58" s="13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36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AYG096</v>
      </c>
      <c r="B61" s="24">
        <f>B1</f>
        <v>45638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7" t="s">
        <v>118</v>
      </c>
      <c r="Y62" s="143"/>
    </row>
    <row r="63" spans="1:28" ht="20.25" thickTop="1" thickBot="1" x14ac:dyDescent="0.45">
      <c r="A63" s="144">
        <v>3</v>
      </c>
      <c r="B63" s="147">
        <v>23.4</v>
      </c>
      <c r="C63" s="85" t="s">
        <v>247</v>
      </c>
      <c r="D63" s="109" t="s">
        <v>189</v>
      </c>
      <c r="E63" s="15" t="s">
        <v>199</v>
      </c>
      <c r="F63" s="14"/>
      <c r="G63" s="12" t="s">
        <v>191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45669</v>
      </c>
      <c r="U63" s="13" t="s">
        <v>192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45"/>
      <c r="B64" s="148"/>
      <c r="C64" s="85" t="s">
        <v>249</v>
      </c>
      <c r="D64" s="109" t="s">
        <v>189</v>
      </c>
      <c r="E64" s="15" t="s">
        <v>248</v>
      </c>
      <c r="F64" s="16"/>
      <c r="G64" s="12" t="s">
        <v>191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45669</v>
      </c>
      <c r="U64" s="13" t="s">
        <v>192</v>
      </c>
      <c r="V64">
        <v>2</v>
      </c>
      <c r="X64" s="51" t="s">
        <v>107</v>
      </c>
      <c r="Y64" s="52">
        <f>COUNTIF(U63:U87,"R")</f>
        <v>1</v>
      </c>
      <c r="AA64" s="47" t="s">
        <v>81</v>
      </c>
      <c r="AB64" s="48" t="s">
        <v>60</v>
      </c>
    </row>
    <row r="65" spans="1:28" ht="19.5" thickBot="1" x14ac:dyDescent="0.45">
      <c r="A65" s="145"/>
      <c r="B65" s="148"/>
      <c r="C65" s="85" t="s">
        <v>250</v>
      </c>
      <c r="D65" s="109" t="s">
        <v>189</v>
      </c>
      <c r="E65" s="15" t="s">
        <v>199</v>
      </c>
      <c r="F65" s="16"/>
      <c r="G65" s="12" t="s">
        <v>191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45669</v>
      </c>
      <c r="U65" s="13" t="s">
        <v>192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5"/>
      <c r="B66" s="148"/>
      <c r="C66" s="85" t="s">
        <v>252</v>
      </c>
      <c r="D66" s="109" t="s">
        <v>251</v>
      </c>
      <c r="E66" s="15" t="s">
        <v>193</v>
      </c>
      <c r="F66" s="16"/>
      <c r="G66" s="12" t="s">
        <v>191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45672</v>
      </c>
      <c r="U66" s="13" t="s">
        <v>192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48"/>
      <c r="C67" s="85" t="s">
        <v>253</v>
      </c>
      <c r="D67" s="109" t="s">
        <v>251</v>
      </c>
      <c r="E67" s="15" t="s">
        <v>193</v>
      </c>
      <c r="F67" s="16"/>
      <c r="G67" s="12" t="s">
        <v>191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45672</v>
      </c>
      <c r="U67" s="13" t="s">
        <v>192</v>
      </c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48"/>
      <c r="C68" s="85" t="s">
        <v>254</v>
      </c>
      <c r="D68" s="109" t="s">
        <v>251</v>
      </c>
      <c r="E68" s="15" t="s">
        <v>193</v>
      </c>
      <c r="F68" s="16"/>
      <c r="G68" s="12" t="s">
        <v>191</v>
      </c>
      <c r="H68" s="15"/>
      <c r="I68" s="15"/>
      <c r="J68" s="13">
        <v>1</v>
      </c>
      <c r="K68" s="15"/>
      <c r="L68" s="13">
        <v>1</v>
      </c>
      <c r="M68" s="17"/>
      <c r="N68" s="17"/>
      <c r="O68" s="17"/>
      <c r="P68" s="17"/>
      <c r="Q68" s="17"/>
      <c r="R68" s="17"/>
      <c r="S68" s="15"/>
      <c r="T68" s="25">
        <v>45672</v>
      </c>
      <c r="U68" s="13" t="s">
        <v>192</v>
      </c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48"/>
      <c r="C69" s="85" t="s">
        <v>255</v>
      </c>
      <c r="D69" s="109" t="s">
        <v>189</v>
      </c>
      <c r="E69" s="15" t="s">
        <v>210</v>
      </c>
      <c r="F69" s="16"/>
      <c r="G69" s="12" t="s">
        <v>191</v>
      </c>
      <c r="H69" s="15"/>
      <c r="I69" s="15"/>
      <c r="J69" s="13">
        <v>1</v>
      </c>
      <c r="K69" s="15">
        <v>1</v>
      </c>
      <c r="L69" s="13"/>
      <c r="M69" s="17"/>
      <c r="N69" s="17"/>
      <c r="O69" s="17"/>
      <c r="P69" s="17"/>
      <c r="Q69" s="17"/>
      <c r="R69" s="17"/>
      <c r="S69" s="15"/>
      <c r="T69" s="25">
        <v>45675</v>
      </c>
      <c r="U69" s="13" t="s">
        <v>192</v>
      </c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48"/>
      <c r="C70" s="85" t="s">
        <v>256</v>
      </c>
      <c r="D70" s="109" t="s">
        <v>194</v>
      </c>
      <c r="E70" s="15" t="s">
        <v>202</v>
      </c>
      <c r="F70" s="16"/>
      <c r="G70" s="12" t="s">
        <v>191</v>
      </c>
      <c r="H70" s="15"/>
      <c r="I70" s="15"/>
      <c r="J70" s="13"/>
      <c r="K70" s="15"/>
      <c r="L70" s="13"/>
      <c r="M70" s="17"/>
      <c r="N70" s="17"/>
      <c r="O70" s="17">
        <v>1</v>
      </c>
      <c r="P70" s="17">
        <v>1</v>
      </c>
      <c r="Q70" s="17">
        <v>1</v>
      </c>
      <c r="R70" s="17">
        <v>1</v>
      </c>
      <c r="S70" s="15"/>
      <c r="T70" s="25">
        <v>45670</v>
      </c>
      <c r="U70" s="13" t="s">
        <v>198</v>
      </c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48"/>
      <c r="C71" s="85" t="s">
        <v>257</v>
      </c>
      <c r="D71" s="109" t="s">
        <v>194</v>
      </c>
      <c r="E71" s="15" t="s">
        <v>199</v>
      </c>
      <c r="F71" s="16"/>
      <c r="G71" s="12" t="s">
        <v>191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45671</v>
      </c>
      <c r="U71" s="13" t="s">
        <v>203</v>
      </c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48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48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48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48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48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48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48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48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48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48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48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48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48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48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48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49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9</v>
      </c>
      <c r="D88" s="112"/>
      <c r="E88" s="29"/>
      <c r="F88" s="29" t="s">
        <v>34</v>
      </c>
      <c r="G88" s="29">
        <f>COUNTIF(G63:G87,"S")</f>
        <v>9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3</v>
      </c>
      <c r="M88" s="29">
        <f t="shared" si="2"/>
        <v>1</v>
      </c>
      <c r="N88" s="29">
        <f t="shared" si="2"/>
        <v>1</v>
      </c>
      <c r="O88" s="29">
        <f t="shared" si="2"/>
        <v>1</v>
      </c>
      <c r="P88" s="29">
        <f t="shared" si="2"/>
        <v>1</v>
      </c>
      <c r="Q88" s="29">
        <f t="shared" si="2"/>
        <v>2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AYG096</v>
      </c>
      <c r="B91" s="24">
        <f>B1</f>
        <v>45638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7" t="s">
        <v>117</v>
      </c>
      <c r="Y92" s="143"/>
    </row>
    <row r="93" spans="1:28" ht="20.25" thickTop="1" thickBot="1" x14ac:dyDescent="0.45">
      <c r="A93" s="144">
        <v>4</v>
      </c>
      <c r="B93" s="134">
        <v>25.8</v>
      </c>
      <c r="C93" s="85" t="s">
        <v>258</v>
      </c>
      <c r="D93" s="109" t="s">
        <v>251</v>
      </c>
      <c r="E93" s="15" t="s">
        <v>193</v>
      </c>
      <c r="F93" s="14"/>
      <c r="G93" s="12" t="s">
        <v>191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45669</v>
      </c>
      <c r="U93" s="13" t="s">
        <v>192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45"/>
      <c r="B94" s="135"/>
      <c r="C94" s="85" t="s">
        <v>259</v>
      </c>
      <c r="D94" s="109" t="s">
        <v>251</v>
      </c>
      <c r="E94" s="15" t="s">
        <v>193</v>
      </c>
      <c r="F94" s="16"/>
      <c r="G94" s="12" t="s">
        <v>191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45669</v>
      </c>
      <c r="U94" s="13" t="s">
        <v>192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45"/>
      <c r="B95" s="135"/>
      <c r="C95" s="85" t="s">
        <v>260</v>
      </c>
      <c r="D95" s="109" t="s">
        <v>251</v>
      </c>
      <c r="E95" s="15" t="s">
        <v>193</v>
      </c>
      <c r="F95" s="16"/>
      <c r="G95" s="12" t="s">
        <v>191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45669</v>
      </c>
      <c r="U95" s="13" t="s">
        <v>192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5"/>
      <c r="B96" s="135"/>
      <c r="C96" s="85" t="s">
        <v>261</v>
      </c>
      <c r="D96" s="109" t="s">
        <v>251</v>
      </c>
      <c r="E96" s="15" t="s">
        <v>193</v>
      </c>
      <c r="F96" s="16"/>
      <c r="G96" s="12" t="s">
        <v>191</v>
      </c>
      <c r="H96" s="15"/>
      <c r="I96" s="15"/>
      <c r="J96" s="15">
        <v>1</v>
      </c>
      <c r="K96" s="15"/>
      <c r="L96" s="17">
        <v>1</v>
      </c>
      <c r="M96" s="17"/>
      <c r="N96" s="17"/>
      <c r="O96" s="17"/>
      <c r="P96" s="17"/>
      <c r="Q96" s="17"/>
      <c r="R96" s="17"/>
      <c r="S96" s="15"/>
      <c r="T96" s="25">
        <v>45669</v>
      </c>
      <c r="U96" s="13" t="s">
        <v>192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35"/>
      <c r="C97" s="85" t="s">
        <v>262</v>
      </c>
      <c r="D97" s="109" t="s">
        <v>251</v>
      </c>
      <c r="E97" s="15" t="s">
        <v>193</v>
      </c>
      <c r="F97" s="16"/>
      <c r="G97" s="12" t="s">
        <v>191</v>
      </c>
      <c r="H97" s="15"/>
      <c r="I97" s="15"/>
      <c r="J97" s="15">
        <v>1</v>
      </c>
      <c r="K97" s="15"/>
      <c r="L97" s="17">
        <v>1</v>
      </c>
      <c r="M97" s="17"/>
      <c r="N97" s="17"/>
      <c r="O97" s="17"/>
      <c r="P97" s="17"/>
      <c r="Q97" s="17"/>
      <c r="R97" s="17"/>
      <c r="S97" s="15"/>
      <c r="T97" s="25">
        <v>45669</v>
      </c>
      <c r="U97" s="13" t="s">
        <v>192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35"/>
      <c r="C98" s="85" t="s">
        <v>263</v>
      </c>
      <c r="D98" s="109" t="s">
        <v>251</v>
      </c>
      <c r="E98" s="15" t="s">
        <v>193</v>
      </c>
      <c r="F98" s="16"/>
      <c r="G98" s="12" t="s">
        <v>191</v>
      </c>
      <c r="H98" s="13"/>
      <c r="I98" s="15"/>
      <c r="J98" s="15">
        <v>1</v>
      </c>
      <c r="K98" s="15"/>
      <c r="L98" s="17">
        <v>1</v>
      </c>
      <c r="M98" s="17"/>
      <c r="N98" s="17"/>
      <c r="O98" s="17"/>
      <c r="P98" s="17"/>
      <c r="Q98" s="17"/>
      <c r="R98" s="17"/>
      <c r="S98" s="15"/>
      <c r="T98" s="25">
        <v>45669</v>
      </c>
      <c r="U98" s="13" t="s">
        <v>192</v>
      </c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35"/>
      <c r="C99" s="85" t="s">
        <v>264</v>
      </c>
      <c r="D99" s="109" t="s">
        <v>251</v>
      </c>
      <c r="E99" s="15" t="s">
        <v>193</v>
      </c>
      <c r="F99" s="16"/>
      <c r="G99" s="12" t="s">
        <v>191</v>
      </c>
      <c r="H99" s="15"/>
      <c r="I99" s="15"/>
      <c r="J99" s="15">
        <v>1</v>
      </c>
      <c r="K99" s="15"/>
      <c r="L99" s="17">
        <v>1</v>
      </c>
      <c r="M99" s="17"/>
      <c r="N99" s="17"/>
      <c r="O99" s="17"/>
      <c r="P99" s="17"/>
      <c r="Q99" s="17"/>
      <c r="R99" s="17"/>
      <c r="S99" s="15"/>
      <c r="T99" s="25">
        <v>45669</v>
      </c>
      <c r="U99" s="13" t="s">
        <v>192</v>
      </c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35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35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35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35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35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35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5"/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35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35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35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35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35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35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35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35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35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35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35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36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7</v>
      </c>
      <c r="D118" s="112"/>
      <c r="E118" s="29"/>
      <c r="F118" s="29" t="s">
        <v>34</v>
      </c>
      <c r="G118" s="29">
        <f>COUNTIF(G93:G117,"S")</f>
        <v>7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0</v>
      </c>
      <c r="L118" s="29">
        <f t="shared" ref="L118" si="5">SUM(L93:L117)</f>
        <v>7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AYG096</v>
      </c>
      <c r="B121" s="24">
        <f>B1</f>
        <v>45638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7" t="s">
        <v>116</v>
      </c>
      <c r="Y122" s="143"/>
    </row>
    <row r="123" spans="1:28" ht="20.25" thickTop="1" thickBot="1" x14ac:dyDescent="0.45">
      <c r="A123" s="144">
        <v>5</v>
      </c>
      <c r="B123" s="134">
        <v>21.4</v>
      </c>
      <c r="C123" s="85" t="s">
        <v>265</v>
      </c>
      <c r="D123" s="106">
        <v>1183</v>
      </c>
      <c r="E123" s="106" t="s">
        <v>206</v>
      </c>
      <c r="F123" s="14"/>
      <c r="G123" s="12" t="s">
        <v>191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45669</v>
      </c>
      <c r="U123" s="13" t="s">
        <v>203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45"/>
      <c r="B124" s="135"/>
      <c r="C124" s="85" t="s">
        <v>267</v>
      </c>
      <c r="D124" s="106" t="s">
        <v>266</v>
      </c>
      <c r="E124" s="106" t="s">
        <v>193</v>
      </c>
      <c r="F124" s="16"/>
      <c r="G124" s="12" t="s">
        <v>191</v>
      </c>
      <c r="H124" s="15"/>
      <c r="I124" s="15"/>
      <c r="J124" s="13">
        <v>1</v>
      </c>
      <c r="K124" s="15">
        <v>1</v>
      </c>
      <c r="L124" s="13"/>
      <c r="M124" s="17"/>
      <c r="N124" s="17"/>
      <c r="O124" s="17"/>
      <c r="P124" s="17"/>
      <c r="Q124" s="17"/>
      <c r="R124" s="17"/>
      <c r="S124" s="15"/>
      <c r="T124" s="25">
        <v>45675</v>
      </c>
      <c r="U124" s="13" t="s">
        <v>142</v>
      </c>
      <c r="V124">
        <v>2</v>
      </c>
      <c r="X124" s="51" t="s">
        <v>107</v>
      </c>
      <c r="Y124" s="52">
        <f>COUNTIF(U123:U147,"R")</f>
        <v>2</v>
      </c>
      <c r="AA124" s="47" t="s">
        <v>81</v>
      </c>
      <c r="AB124" s="48" t="s">
        <v>60</v>
      </c>
    </row>
    <row r="125" spans="1:28" ht="19.5" thickBot="1" x14ac:dyDescent="0.45">
      <c r="A125" s="145"/>
      <c r="B125" s="135"/>
      <c r="C125" s="85" t="s">
        <v>268</v>
      </c>
      <c r="D125" s="106" t="s">
        <v>266</v>
      </c>
      <c r="E125" s="106" t="s">
        <v>197</v>
      </c>
      <c r="F125" s="16"/>
      <c r="G125" s="12" t="s">
        <v>191</v>
      </c>
      <c r="H125" s="13"/>
      <c r="I125" s="15"/>
      <c r="J125" s="13"/>
      <c r="K125" s="15"/>
      <c r="L125" s="13"/>
      <c r="M125" s="17"/>
      <c r="N125" s="17"/>
      <c r="O125" s="17">
        <v>1</v>
      </c>
      <c r="P125" s="17">
        <v>1</v>
      </c>
      <c r="Q125" s="17">
        <v>1</v>
      </c>
      <c r="R125" s="17">
        <v>1</v>
      </c>
      <c r="S125" s="15"/>
      <c r="T125" s="25">
        <v>45675</v>
      </c>
      <c r="U125" s="13" t="s">
        <v>198</v>
      </c>
      <c r="V125">
        <v>3</v>
      </c>
      <c r="X125" s="53" t="s">
        <v>108</v>
      </c>
      <c r="Y125" s="54">
        <f>COUNTIF(U123:U147,"J")</f>
        <v>7</v>
      </c>
      <c r="AA125" s="49" t="s">
        <v>82</v>
      </c>
      <c r="AB125" s="50" t="s">
        <v>39</v>
      </c>
    </row>
    <row r="126" spans="1:28" x14ac:dyDescent="0.4">
      <c r="A126" s="145"/>
      <c r="B126" s="135"/>
      <c r="C126" s="85" t="s">
        <v>269</v>
      </c>
      <c r="D126" s="106" t="s">
        <v>266</v>
      </c>
      <c r="E126" s="106" t="s">
        <v>193</v>
      </c>
      <c r="F126" s="16"/>
      <c r="G126" s="12" t="s">
        <v>191</v>
      </c>
      <c r="H126" s="15"/>
      <c r="I126" s="15"/>
      <c r="J126" s="13">
        <v>1</v>
      </c>
      <c r="K126" s="15">
        <v>1</v>
      </c>
      <c r="L126" s="13"/>
      <c r="M126" s="17"/>
      <c r="N126" s="17"/>
      <c r="O126" s="17"/>
      <c r="P126" s="17"/>
      <c r="Q126" s="17"/>
      <c r="R126" s="17"/>
      <c r="S126" s="15"/>
      <c r="T126" s="25">
        <v>45675</v>
      </c>
      <c r="U126" s="13" t="s">
        <v>192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35"/>
      <c r="C127" s="85" t="s">
        <v>270</v>
      </c>
      <c r="D127" s="106" t="s">
        <v>266</v>
      </c>
      <c r="E127" s="106" t="s">
        <v>197</v>
      </c>
      <c r="F127" s="16"/>
      <c r="G127" s="12" t="s">
        <v>191</v>
      </c>
      <c r="H127" s="15"/>
      <c r="I127" s="15"/>
      <c r="J127" s="13"/>
      <c r="K127" s="15"/>
      <c r="L127" s="13"/>
      <c r="M127" s="17"/>
      <c r="N127" s="17"/>
      <c r="O127" s="17">
        <v>1</v>
      </c>
      <c r="P127" s="17">
        <v>1</v>
      </c>
      <c r="Q127" s="17">
        <v>1</v>
      </c>
      <c r="R127" s="17">
        <v>1</v>
      </c>
      <c r="S127" s="15"/>
      <c r="T127" s="25">
        <v>45675</v>
      </c>
      <c r="U127" s="13" t="s">
        <v>198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35"/>
      <c r="C128" s="85" t="s">
        <v>271</v>
      </c>
      <c r="D128" s="106" t="s">
        <v>266</v>
      </c>
      <c r="E128" s="106" t="s">
        <v>193</v>
      </c>
      <c r="F128" s="16"/>
      <c r="G128" s="12" t="s">
        <v>191</v>
      </c>
      <c r="H128" s="13"/>
      <c r="I128" s="15"/>
      <c r="J128" s="13">
        <v>1</v>
      </c>
      <c r="K128" s="15">
        <v>1</v>
      </c>
      <c r="L128" s="13"/>
      <c r="M128" s="17"/>
      <c r="N128" s="17"/>
      <c r="O128" s="17"/>
      <c r="P128" s="17"/>
      <c r="Q128" s="17"/>
      <c r="R128" s="17"/>
      <c r="S128" s="15"/>
      <c r="T128" s="25">
        <v>45675</v>
      </c>
      <c r="U128" s="13" t="s">
        <v>192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35"/>
      <c r="C129" s="85" t="s">
        <v>272</v>
      </c>
      <c r="D129" s="106" t="s">
        <v>266</v>
      </c>
      <c r="E129" s="106" t="s">
        <v>197</v>
      </c>
      <c r="F129" s="16"/>
      <c r="G129" s="12" t="s">
        <v>191</v>
      </c>
      <c r="H129" s="15"/>
      <c r="I129" s="15"/>
      <c r="J129" s="13"/>
      <c r="K129" s="15"/>
      <c r="L129" s="13"/>
      <c r="M129" s="17"/>
      <c r="N129" s="17"/>
      <c r="O129" s="17">
        <v>1</v>
      </c>
      <c r="P129" s="17">
        <v>1</v>
      </c>
      <c r="Q129" s="17">
        <v>1</v>
      </c>
      <c r="R129" s="17">
        <v>1</v>
      </c>
      <c r="S129" s="15"/>
      <c r="T129" s="25">
        <v>45675</v>
      </c>
      <c r="U129" s="13" t="s">
        <v>198</v>
      </c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35"/>
      <c r="C130" s="85" t="s">
        <v>273</v>
      </c>
      <c r="D130" s="106" t="s">
        <v>229</v>
      </c>
      <c r="E130" s="106" t="s">
        <v>202</v>
      </c>
      <c r="F130" s="16"/>
      <c r="G130" s="12" t="s">
        <v>191</v>
      </c>
      <c r="H130" s="15"/>
      <c r="I130" s="15"/>
      <c r="J130" s="13"/>
      <c r="K130" s="15"/>
      <c r="L130" s="13"/>
      <c r="M130" s="17"/>
      <c r="N130" s="17"/>
      <c r="O130" s="17">
        <v>1</v>
      </c>
      <c r="P130" s="17">
        <v>1</v>
      </c>
      <c r="Q130" s="17"/>
      <c r="R130" s="17">
        <v>1</v>
      </c>
      <c r="S130" s="15"/>
      <c r="T130" s="25">
        <v>45679</v>
      </c>
      <c r="U130" s="13" t="s">
        <v>198</v>
      </c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35"/>
      <c r="C131" s="85" t="s">
        <v>274</v>
      </c>
      <c r="D131" s="106" t="s">
        <v>229</v>
      </c>
      <c r="E131" s="106" t="s">
        <v>202</v>
      </c>
      <c r="F131" s="16"/>
      <c r="G131" s="12" t="s">
        <v>191</v>
      </c>
      <c r="H131" s="15"/>
      <c r="I131" s="15"/>
      <c r="J131" s="13"/>
      <c r="K131" s="15"/>
      <c r="L131" s="13"/>
      <c r="M131" s="17"/>
      <c r="N131" s="17"/>
      <c r="O131" s="17">
        <v>1</v>
      </c>
      <c r="P131" s="17">
        <v>1</v>
      </c>
      <c r="Q131" s="17"/>
      <c r="R131" s="17">
        <v>1</v>
      </c>
      <c r="S131" s="15"/>
      <c r="T131" s="25">
        <v>45679</v>
      </c>
      <c r="U131" s="13" t="s">
        <v>198</v>
      </c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35"/>
      <c r="C132" s="85" t="s">
        <v>275</v>
      </c>
      <c r="D132" s="106" t="s">
        <v>229</v>
      </c>
      <c r="E132" s="106" t="s">
        <v>202</v>
      </c>
      <c r="F132" s="106"/>
      <c r="G132" s="12" t="s">
        <v>191</v>
      </c>
      <c r="H132" s="15"/>
      <c r="I132" s="15"/>
      <c r="J132" s="13"/>
      <c r="K132" s="15"/>
      <c r="L132" s="13"/>
      <c r="M132" s="17"/>
      <c r="N132" s="17"/>
      <c r="O132" s="17">
        <v>1</v>
      </c>
      <c r="P132" s="17">
        <v>1</v>
      </c>
      <c r="Q132" s="17"/>
      <c r="R132" s="17">
        <v>1</v>
      </c>
      <c r="S132" s="15"/>
      <c r="T132" s="25">
        <v>45679</v>
      </c>
      <c r="U132" s="13" t="s">
        <v>198</v>
      </c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35"/>
      <c r="C133" s="85" t="s">
        <v>276</v>
      </c>
      <c r="D133" s="106" t="s">
        <v>229</v>
      </c>
      <c r="E133" s="106" t="s">
        <v>202</v>
      </c>
      <c r="F133" s="16"/>
      <c r="G133" s="12" t="s">
        <v>191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/>
      <c r="R133" s="17">
        <v>1</v>
      </c>
      <c r="S133" s="15"/>
      <c r="T133" s="25">
        <v>45679</v>
      </c>
      <c r="U133" s="13" t="s">
        <v>198</v>
      </c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35"/>
      <c r="C134" s="85" t="s">
        <v>277</v>
      </c>
      <c r="D134" s="106" t="s">
        <v>189</v>
      </c>
      <c r="E134" s="106" t="s">
        <v>210</v>
      </c>
      <c r="F134" s="16"/>
      <c r="G134" s="12" t="s">
        <v>191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45675</v>
      </c>
      <c r="U134" s="13" t="s">
        <v>192</v>
      </c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35"/>
      <c r="C135" s="85" t="s">
        <v>278</v>
      </c>
      <c r="D135" s="106" t="s">
        <v>246</v>
      </c>
      <c r="E135" s="106" t="s">
        <v>190</v>
      </c>
      <c r="F135" s="16"/>
      <c r="G135" s="12" t="s">
        <v>191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45671</v>
      </c>
      <c r="U135" s="13" t="s">
        <v>192</v>
      </c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35"/>
      <c r="C136" s="85" t="s">
        <v>279</v>
      </c>
      <c r="D136" s="106" t="s">
        <v>246</v>
      </c>
      <c r="E136" s="106" t="s">
        <v>222</v>
      </c>
      <c r="F136" s="16"/>
      <c r="G136" s="12" t="s">
        <v>191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45671</v>
      </c>
      <c r="U136" s="13" t="s">
        <v>203</v>
      </c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35"/>
      <c r="C137" s="85" t="s">
        <v>280</v>
      </c>
      <c r="D137" s="106" t="s">
        <v>194</v>
      </c>
      <c r="E137" s="106" t="s">
        <v>193</v>
      </c>
      <c r="F137" s="16"/>
      <c r="G137" s="12" t="s">
        <v>191</v>
      </c>
      <c r="H137" s="15"/>
      <c r="I137" s="15"/>
      <c r="J137" s="15">
        <v>1</v>
      </c>
      <c r="K137" s="15">
        <v>1</v>
      </c>
      <c r="L137" s="17"/>
      <c r="M137" s="17"/>
      <c r="N137" s="17"/>
      <c r="O137" s="17"/>
      <c r="P137" s="17"/>
      <c r="Q137" s="17"/>
      <c r="R137" s="17"/>
      <c r="S137" s="15"/>
      <c r="T137" s="25">
        <v>45673</v>
      </c>
      <c r="U137" s="13" t="s">
        <v>192</v>
      </c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35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35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35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35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35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35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35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35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35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36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6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1</v>
      </c>
      <c r="O148" s="29">
        <f t="shared" ref="O148" si="18">SUM(O123:O147)</f>
        <v>7</v>
      </c>
      <c r="P148" s="29">
        <f t="shared" ref="P148" si="19">SUM(P123:P147)</f>
        <v>7</v>
      </c>
      <c r="Q148" s="29">
        <f t="shared" ref="Q148" si="20">SUM(Q123:Q147)</f>
        <v>4</v>
      </c>
      <c r="R148" s="29">
        <f t="shared" ref="R148" si="21">SUM(R123:R147)</f>
        <v>7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AYG096</v>
      </c>
      <c r="B151" s="24">
        <f>B1</f>
        <v>45638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7" t="s">
        <v>115</v>
      </c>
      <c r="Y152" s="143"/>
    </row>
    <row r="153" spans="1:28" ht="20.25" thickTop="1" thickBot="1" x14ac:dyDescent="0.45">
      <c r="A153" s="144">
        <v>6</v>
      </c>
      <c r="B153" s="147">
        <v>20</v>
      </c>
      <c r="C153" s="85" t="s">
        <v>281</v>
      </c>
      <c r="D153" s="106" t="s">
        <v>282</v>
      </c>
      <c r="E153" s="15" t="s">
        <v>206</v>
      </c>
      <c r="F153" s="14"/>
      <c r="G153" s="12" t="s">
        <v>191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45704</v>
      </c>
      <c r="U153" s="13" t="s">
        <v>203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45"/>
      <c r="B154" s="148"/>
      <c r="C154" s="85" t="s">
        <v>283</v>
      </c>
      <c r="D154" s="106" t="s">
        <v>282</v>
      </c>
      <c r="E154" s="15" t="s">
        <v>228</v>
      </c>
      <c r="F154" s="16"/>
      <c r="G154" s="15" t="s">
        <v>191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45694</v>
      </c>
      <c r="U154" s="13" t="s">
        <v>203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45"/>
      <c r="B155" s="148"/>
      <c r="C155" s="85" t="s">
        <v>284</v>
      </c>
      <c r="D155" s="106" t="s">
        <v>194</v>
      </c>
      <c r="E155" s="15" t="s">
        <v>222</v>
      </c>
      <c r="F155" s="16"/>
      <c r="G155" s="15" t="s">
        <v>191</v>
      </c>
      <c r="H155" s="13"/>
      <c r="I155" s="15"/>
      <c r="J155" s="15"/>
      <c r="K155" s="15"/>
      <c r="L155" s="17"/>
      <c r="M155" s="17">
        <v>1</v>
      </c>
      <c r="N155" s="17">
        <v>1</v>
      </c>
      <c r="O155" s="17"/>
      <c r="P155" s="17"/>
      <c r="Q155" s="17">
        <v>1</v>
      </c>
      <c r="R155" s="17"/>
      <c r="S155" s="15"/>
      <c r="T155" s="25">
        <v>45669</v>
      </c>
      <c r="U155" s="13" t="s">
        <v>203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45"/>
      <c r="B156" s="148"/>
      <c r="C156" s="85" t="s">
        <v>285</v>
      </c>
      <c r="D156" s="106" t="s">
        <v>194</v>
      </c>
      <c r="E156" s="15" t="s">
        <v>202</v>
      </c>
      <c r="F156" s="16"/>
      <c r="G156" s="15" t="s">
        <v>191</v>
      </c>
      <c r="H156" s="15"/>
      <c r="I156" s="15"/>
      <c r="J156" s="15"/>
      <c r="K156" s="15"/>
      <c r="L156" s="17"/>
      <c r="M156" s="17"/>
      <c r="N156" s="17"/>
      <c r="O156" s="17">
        <v>1</v>
      </c>
      <c r="P156" s="17">
        <v>1</v>
      </c>
      <c r="Q156" s="17">
        <v>1</v>
      </c>
      <c r="R156" s="17">
        <v>1</v>
      </c>
      <c r="S156" s="15"/>
      <c r="T156" s="25">
        <v>45669</v>
      </c>
      <c r="U156" s="13" t="s">
        <v>198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48"/>
      <c r="C157" s="85" t="s">
        <v>286</v>
      </c>
      <c r="D157" s="106" t="s">
        <v>194</v>
      </c>
      <c r="E157" s="15" t="s">
        <v>202</v>
      </c>
      <c r="F157" s="16"/>
      <c r="G157" s="15" t="s">
        <v>191</v>
      </c>
      <c r="H157" s="15"/>
      <c r="I157" s="15"/>
      <c r="J157" s="15"/>
      <c r="K157" s="15"/>
      <c r="L157" s="17"/>
      <c r="M157" s="17"/>
      <c r="N157" s="17"/>
      <c r="O157" s="17">
        <v>1</v>
      </c>
      <c r="P157" s="17">
        <v>1</v>
      </c>
      <c r="Q157" s="17">
        <v>1</v>
      </c>
      <c r="R157" s="17">
        <v>1</v>
      </c>
      <c r="S157" s="15"/>
      <c r="T157" s="25">
        <v>45671</v>
      </c>
      <c r="U157" s="13" t="s">
        <v>198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48"/>
      <c r="C158" s="85" t="s">
        <v>287</v>
      </c>
      <c r="D158" s="106" t="s">
        <v>221</v>
      </c>
      <c r="E158" s="15" t="s">
        <v>202</v>
      </c>
      <c r="F158" s="16"/>
      <c r="G158" s="13" t="s">
        <v>191</v>
      </c>
      <c r="H158" s="13"/>
      <c r="I158" s="15"/>
      <c r="J158" s="15"/>
      <c r="K158" s="15"/>
      <c r="L158" s="17"/>
      <c r="M158" s="17"/>
      <c r="N158" s="17">
        <v>1</v>
      </c>
      <c r="O158" s="17">
        <v>1</v>
      </c>
      <c r="P158" s="17">
        <v>1</v>
      </c>
      <c r="Q158" s="17"/>
      <c r="R158" s="17"/>
      <c r="S158" s="15"/>
      <c r="T158" s="25">
        <v>45675</v>
      </c>
      <c r="U158" s="15" t="s">
        <v>198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48"/>
      <c r="C159" s="85" t="s">
        <v>288</v>
      </c>
      <c r="D159" s="106" t="s">
        <v>251</v>
      </c>
      <c r="E159" s="15" t="s">
        <v>289</v>
      </c>
      <c r="F159" s="16"/>
      <c r="G159" s="15" t="s">
        <v>191</v>
      </c>
      <c r="H159" s="15"/>
      <c r="I159" s="15"/>
      <c r="J159" s="15">
        <v>2</v>
      </c>
      <c r="K159" s="15"/>
      <c r="L159" s="17"/>
      <c r="M159" s="17"/>
      <c r="N159" s="17"/>
      <c r="O159" s="17"/>
      <c r="P159" s="17"/>
      <c r="Q159" s="17"/>
      <c r="R159" s="17"/>
      <c r="S159" s="15"/>
      <c r="T159" s="25">
        <v>45676</v>
      </c>
      <c r="U159" s="15" t="s">
        <v>142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48"/>
      <c r="C160" s="85" t="s">
        <v>290</v>
      </c>
      <c r="D160" s="106" t="s">
        <v>251</v>
      </c>
      <c r="E160" s="15" t="s">
        <v>289</v>
      </c>
      <c r="F160" s="16"/>
      <c r="G160" s="15" t="s">
        <v>191</v>
      </c>
      <c r="H160" s="15"/>
      <c r="I160" s="15"/>
      <c r="J160" s="15">
        <v>2</v>
      </c>
      <c r="K160" s="15"/>
      <c r="L160" s="17"/>
      <c r="M160" s="17"/>
      <c r="N160" s="17"/>
      <c r="O160" s="17"/>
      <c r="P160" s="17"/>
      <c r="Q160" s="17"/>
      <c r="R160" s="17"/>
      <c r="S160" s="15"/>
      <c r="T160" s="25">
        <v>45676</v>
      </c>
      <c r="U160" s="15" t="s">
        <v>192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48"/>
      <c r="C161" s="85" t="s">
        <v>291</v>
      </c>
      <c r="D161" s="106" t="s">
        <v>251</v>
      </c>
      <c r="E161" s="15" t="s">
        <v>289</v>
      </c>
      <c r="F161" s="16"/>
      <c r="G161" s="15" t="s">
        <v>191</v>
      </c>
      <c r="H161" s="15"/>
      <c r="I161" s="15"/>
      <c r="J161" s="15">
        <v>2</v>
      </c>
      <c r="K161" s="15"/>
      <c r="L161" s="17"/>
      <c r="M161" s="17"/>
      <c r="N161" s="17"/>
      <c r="O161" s="17"/>
      <c r="P161" s="17"/>
      <c r="Q161" s="17"/>
      <c r="R161" s="17"/>
      <c r="S161" s="132"/>
      <c r="T161" s="25">
        <v>45676</v>
      </c>
      <c r="U161" s="15" t="s">
        <v>192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48"/>
      <c r="C162" s="85" t="s">
        <v>292</v>
      </c>
      <c r="D162" s="106" t="s">
        <v>251</v>
      </c>
      <c r="E162" s="15" t="s">
        <v>289</v>
      </c>
      <c r="F162" s="16"/>
      <c r="G162" s="15" t="s">
        <v>191</v>
      </c>
      <c r="H162" s="15"/>
      <c r="I162" s="15"/>
      <c r="J162" s="15">
        <v>2</v>
      </c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45676</v>
      </c>
      <c r="U162" s="15" t="s">
        <v>192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48"/>
      <c r="C163" s="85"/>
      <c r="D163" s="106"/>
      <c r="E163" s="15"/>
      <c r="F163" s="16"/>
      <c r="G163" s="15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/>
      <c r="U163" s="15"/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48"/>
      <c r="C164" s="85"/>
      <c r="D164" s="106"/>
      <c r="E164" s="15"/>
      <c r="F164" s="16"/>
      <c r="G164" s="15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/>
      <c r="U164" s="15"/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48"/>
      <c r="C165" s="85"/>
      <c r="D165" s="106"/>
      <c r="E165" s="15"/>
      <c r="F165" s="16"/>
      <c r="G165" s="15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/>
      <c r="U165" s="105"/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48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48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48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48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48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48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48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48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48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48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48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49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10</v>
      </c>
      <c r="D178" s="112"/>
      <c r="E178" s="29"/>
      <c r="F178" s="29" t="s">
        <v>34</v>
      </c>
      <c r="G178" s="29">
        <f>COUNTIF(G153:G177,"S")</f>
        <v>10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2</v>
      </c>
      <c r="O178" s="29">
        <f t="shared" ref="O178" si="28">SUM(O153:O177)</f>
        <v>3</v>
      </c>
      <c r="P178" s="29">
        <f t="shared" ref="P178" si="29">SUM(P153:P177)</f>
        <v>3</v>
      </c>
      <c r="Q178" s="29">
        <f t="shared" ref="Q178" si="30">SUM(Q153:Q177)</f>
        <v>3</v>
      </c>
      <c r="R178" s="29">
        <f t="shared" ref="R178" si="31">SUM(R153:R177)</f>
        <v>2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22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7" t="s">
        <v>114</v>
      </c>
      <c r="Y182" s="143"/>
    </row>
    <row r="183" spans="1:28" ht="20.25" thickTop="1" thickBot="1" x14ac:dyDescent="0.45">
      <c r="A183" s="144">
        <v>7</v>
      </c>
      <c r="B183" s="147">
        <v>22.4</v>
      </c>
      <c r="C183" s="85" t="s">
        <v>293</v>
      </c>
      <c r="D183" s="110" t="s">
        <v>232</v>
      </c>
      <c r="E183" s="18" t="s">
        <v>215</v>
      </c>
      <c r="F183" s="16"/>
      <c r="G183" s="18" t="s">
        <v>191</v>
      </c>
      <c r="H183" s="15"/>
      <c r="I183" s="15"/>
      <c r="J183" s="18">
        <v>1</v>
      </c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45662</v>
      </c>
      <c r="U183" s="15" t="s">
        <v>192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5"/>
      <c r="B184" s="148"/>
      <c r="C184" s="85" t="s">
        <v>294</v>
      </c>
      <c r="D184" s="110" t="s">
        <v>232</v>
      </c>
      <c r="E184" s="15" t="s">
        <v>218</v>
      </c>
      <c r="F184" s="16"/>
      <c r="G184" s="18" t="s">
        <v>191</v>
      </c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>
        <v>1</v>
      </c>
      <c r="T184" s="25">
        <v>45662</v>
      </c>
      <c r="U184" s="15" t="s">
        <v>192</v>
      </c>
      <c r="V184">
        <v>2</v>
      </c>
      <c r="X184" s="51" t="s">
        <v>107</v>
      </c>
      <c r="Y184" s="52">
        <f>COUNTIF(U183:U207,"R")</f>
        <v>4</v>
      </c>
      <c r="AA184" s="47" t="s">
        <v>81</v>
      </c>
      <c r="AB184" s="48" t="s">
        <v>60</v>
      </c>
    </row>
    <row r="185" spans="1:28" ht="19.5" thickBot="1" x14ac:dyDescent="0.45">
      <c r="A185" s="145"/>
      <c r="B185" s="148"/>
      <c r="C185" s="85" t="s">
        <v>295</v>
      </c>
      <c r="D185" s="110" t="s">
        <v>266</v>
      </c>
      <c r="E185" s="15" t="s">
        <v>296</v>
      </c>
      <c r="F185" s="16"/>
      <c r="G185" s="18" t="s">
        <v>191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45675</v>
      </c>
      <c r="U185" s="15" t="s">
        <v>192</v>
      </c>
      <c r="V185">
        <v>3</v>
      </c>
      <c r="X185" s="53" t="s">
        <v>108</v>
      </c>
      <c r="Y185" s="54">
        <f>COUNTIF(U183:U207,"J")</f>
        <v>5</v>
      </c>
      <c r="AA185" s="49" t="s">
        <v>82</v>
      </c>
      <c r="AB185" s="50" t="s">
        <v>39</v>
      </c>
    </row>
    <row r="186" spans="1:28" x14ac:dyDescent="0.4">
      <c r="A186" s="145"/>
      <c r="B186" s="148"/>
      <c r="C186" s="85" t="s">
        <v>298</v>
      </c>
      <c r="D186" s="110" t="s">
        <v>266</v>
      </c>
      <c r="E186" s="15" t="s">
        <v>297</v>
      </c>
      <c r="F186" s="16"/>
      <c r="G186" s="18" t="s">
        <v>191</v>
      </c>
      <c r="H186" s="15"/>
      <c r="I186" s="15"/>
      <c r="J186" s="15"/>
      <c r="K186" s="15"/>
      <c r="L186" s="17"/>
      <c r="M186" s="17">
        <v>1</v>
      </c>
      <c r="N186" s="17">
        <v>1</v>
      </c>
      <c r="O186" s="17"/>
      <c r="P186" s="17"/>
      <c r="Q186" s="17"/>
      <c r="R186" s="17"/>
      <c r="S186" s="15"/>
      <c r="T186" s="25">
        <v>45675</v>
      </c>
      <c r="U186" s="25" t="s">
        <v>203</v>
      </c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48"/>
      <c r="C187" s="85" t="s">
        <v>299</v>
      </c>
      <c r="D187" s="106" t="s">
        <v>266</v>
      </c>
      <c r="E187" s="13" t="s">
        <v>202</v>
      </c>
      <c r="F187" s="16"/>
      <c r="G187" s="18" t="s">
        <v>191</v>
      </c>
      <c r="H187" s="15"/>
      <c r="I187" s="15"/>
      <c r="J187" s="15"/>
      <c r="K187" s="15"/>
      <c r="L187" s="17"/>
      <c r="M187" s="17"/>
      <c r="N187" s="17"/>
      <c r="O187" s="17">
        <v>1</v>
      </c>
      <c r="P187" s="17">
        <v>1</v>
      </c>
      <c r="Q187" s="17">
        <v>1</v>
      </c>
      <c r="R187" s="17">
        <v>1</v>
      </c>
      <c r="S187" s="15"/>
      <c r="T187" s="25">
        <v>45675</v>
      </c>
      <c r="U187" s="25" t="s">
        <v>198</v>
      </c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48"/>
      <c r="C188" s="85" t="s">
        <v>300</v>
      </c>
      <c r="D188" s="106" t="s">
        <v>266</v>
      </c>
      <c r="E188" s="13" t="s">
        <v>202</v>
      </c>
      <c r="F188" s="16"/>
      <c r="G188" s="18" t="s">
        <v>191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/>
      <c r="R188" s="17"/>
      <c r="S188" s="15"/>
      <c r="T188" s="25">
        <v>45675</v>
      </c>
      <c r="U188" s="25" t="s">
        <v>198</v>
      </c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48"/>
      <c r="C189" s="85" t="s">
        <v>301</v>
      </c>
      <c r="D189" s="106" t="s">
        <v>266</v>
      </c>
      <c r="E189" s="13" t="s">
        <v>296</v>
      </c>
      <c r="F189" s="16"/>
      <c r="G189" s="18" t="s">
        <v>191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45675</v>
      </c>
      <c r="U189" s="25" t="s">
        <v>192</v>
      </c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48"/>
      <c r="C190" s="85" t="s">
        <v>303</v>
      </c>
      <c r="D190" s="106" t="s">
        <v>266</v>
      </c>
      <c r="E190" s="13" t="s">
        <v>302</v>
      </c>
      <c r="F190" s="16"/>
      <c r="G190" s="18" t="s">
        <v>191</v>
      </c>
      <c r="H190" s="15"/>
      <c r="I190" s="15"/>
      <c r="J190" s="15"/>
      <c r="K190" s="15"/>
      <c r="L190" s="17"/>
      <c r="M190" s="17">
        <v>1</v>
      </c>
      <c r="N190" s="17">
        <v>1</v>
      </c>
      <c r="O190" s="17"/>
      <c r="P190" s="17"/>
      <c r="Q190" s="17"/>
      <c r="R190" s="17"/>
      <c r="S190" s="15"/>
      <c r="T190" s="25">
        <v>45675</v>
      </c>
      <c r="U190" s="25" t="s">
        <v>203</v>
      </c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48"/>
      <c r="C191" s="85" t="s">
        <v>304</v>
      </c>
      <c r="D191" s="106" t="s">
        <v>266</v>
      </c>
      <c r="E191" s="13" t="s">
        <v>202</v>
      </c>
      <c r="F191" s="16"/>
      <c r="G191" s="18" t="s">
        <v>191</v>
      </c>
      <c r="H191" s="15"/>
      <c r="I191" s="15"/>
      <c r="J191" s="15"/>
      <c r="K191" s="15"/>
      <c r="L191" s="17"/>
      <c r="M191" s="17"/>
      <c r="N191" s="17"/>
      <c r="O191" s="17">
        <v>1</v>
      </c>
      <c r="P191" s="17">
        <v>1</v>
      </c>
      <c r="Q191" s="17">
        <v>1</v>
      </c>
      <c r="R191" s="17">
        <v>1</v>
      </c>
      <c r="S191" s="15"/>
      <c r="T191" s="25">
        <v>45675</v>
      </c>
      <c r="U191" s="25" t="s">
        <v>198</v>
      </c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48"/>
      <c r="C192" s="85" t="s">
        <v>305</v>
      </c>
      <c r="D192" s="106" t="s">
        <v>266</v>
      </c>
      <c r="E192" s="13" t="s">
        <v>202</v>
      </c>
      <c r="F192" s="16"/>
      <c r="G192" s="18" t="s">
        <v>191</v>
      </c>
      <c r="H192" s="15"/>
      <c r="I192" s="15"/>
      <c r="J192" s="15"/>
      <c r="K192" s="15"/>
      <c r="L192" s="17"/>
      <c r="M192" s="17"/>
      <c r="N192" s="17"/>
      <c r="O192" s="17">
        <v>1</v>
      </c>
      <c r="P192" s="17">
        <v>1</v>
      </c>
      <c r="Q192" s="17"/>
      <c r="R192" s="17"/>
      <c r="S192" s="15"/>
      <c r="T192" s="25">
        <v>45675</v>
      </c>
      <c r="U192" s="15" t="s">
        <v>198</v>
      </c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48"/>
      <c r="C193" s="85" t="s">
        <v>306</v>
      </c>
      <c r="D193" s="106" t="s">
        <v>194</v>
      </c>
      <c r="E193" s="13" t="s">
        <v>190</v>
      </c>
      <c r="F193" s="16"/>
      <c r="G193" s="18" t="s">
        <v>191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/>
      <c r="R193" s="17"/>
      <c r="S193" s="15"/>
      <c r="T193" s="25">
        <v>45671</v>
      </c>
      <c r="U193" s="15" t="s">
        <v>203</v>
      </c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48"/>
      <c r="C194" s="85" t="s">
        <v>307</v>
      </c>
      <c r="D194" s="106" t="s">
        <v>194</v>
      </c>
      <c r="E194" s="13" t="s">
        <v>202</v>
      </c>
      <c r="F194" s="16"/>
      <c r="G194" s="18" t="s">
        <v>191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>
        <v>1</v>
      </c>
      <c r="R194" s="17">
        <v>1</v>
      </c>
      <c r="S194" s="15"/>
      <c r="T194" s="25">
        <v>45672</v>
      </c>
      <c r="U194" s="15" t="s">
        <v>198</v>
      </c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48"/>
      <c r="C195" s="85" t="s">
        <v>308</v>
      </c>
      <c r="D195" s="106" t="s">
        <v>232</v>
      </c>
      <c r="E195" s="15" t="s">
        <v>222</v>
      </c>
      <c r="F195" s="16"/>
      <c r="G195" s="18" t="s">
        <v>191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45676</v>
      </c>
      <c r="U195" s="15" t="s">
        <v>192</v>
      </c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48"/>
      <c r="C196" s="85" t="s">
        <v>309</v>
      </c>
      <c r="D196" s="106" t="s">
        <v>232</v>
      </c>
      <c r="E196" s="15" t="s">
        <v>210</v>
      </c>
      <c r="F196" s="16"/>
      <c r="G196" s="18" t="s">
        <v>191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45670</v>
      </c>
      <c r="U196" s="15" t="s">
        <v>192</v>
      </c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48"/>
      <c r="C197" s="85" t="s">
        <v>310</v>
      </c>
      <c r="D197" s="106" t="s">
        <v>246</v>
      </c>
      <c r="E197" s="15" t="s">
        <v>222</v>
      </c>
      <c r="F197" s="16"/>
      <c r="G197" s="15" t="s">
        <v>191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45671</v>
      </c>
      <c r="U197" s="15" t="s">
        <v>203</v>
      </c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48"/>
      <c r="C198" s="85" t="s">
        <v>311</v>
      </c>
      <c r="D198" s="106" t="s">
        <v>189</v>
      </c>
      <c r="E198" s="15" t="s">
        <v>206</v>
      </c>
      <c r="F198" s="16"/>
      <c r="G198" s="15" t="s">
        <v>191</v>
      </c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>
        <v>1</v>
      </c>
      <c r="T198" s="25">
        <v>45675</v>
      </c>
      <c r="U198" s="15" t="s">
        <v>192</v>
      </c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48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48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48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48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48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48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48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48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49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5</v>
      </c>
      <c r="K208" s="29">
        <f t="shared" ref="K208" si="34">SUM(K183:K207)</f>
        <v>4</v>
      </c>
      <c r="L208" s="29">
        <f t="shared" ref="L208" si="35">SUM(L183:L207)</f>
        <v>0</v>
      </c>
      <c r="M208" s="29">
        <f t="shared" ref="M208" si="36">SUM(M183:M207)</f>
        <v>4</v>
      </c>
      <c r="N208" s="29">
        <f t="shared" ref="N208" si="37">SUM(N183:N207)</f>
        <v>4</v>
      </c>
      <c r="O208" s="29">
        <f t="shared" ref="O208" si="38">SUM(O183:O207)</f>
        <v>5</v>
      </c>
      <c r="P208" s="29">
        <f t="shared" ref="P208" si="39">SUM(P183:P207)</f>
        <v>5</v>
      </c>
      <c r="Q208" s="29">
        <f t="shared" ref="Q208" si="40">SUM(Q183:Q207)</f>
        <v>4</v>
      </c>
      <c r="R208" s="29">
        <f t="shared" ref="R208" si="41">SUM(R183:R207)</f>
        <v>3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AYG096</v>
      </c>
      <c r="B211" s="24">
        <f>B1</f>
        <v>45638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7" t="s">
        <v>113</v>
      </c>
      <c r="Y212" s="143"/>
    </row>
    <row r="213" spans="1:28" ht="20.25" thickTop="1" thickBot="1" x14ac:dyDescent="0.45">
      <c r="A213" s="144">
        <v>8</v>
      </c>
      <c r="B213" s="147">
        <v>21.4</v>
      </c>
      <c r="C213" s="85" t="s">
        <v>312</v>
      </c>
      <c r="D213" s="106" t="s">
        <v>227</v>
      </c>
      <c r="E213" s="15" t="s">
        <v>193</v>
      </c>
      <c r="F213" s="16"/>
      <c r="G213" s="15" t="s">
        <v>191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45686</v>
      </c>
      <c r="U213" s="15" t="s">
        <v>192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45"/>
      <c r="B214" s="148"/>
      <c r="C214" s="85" t="s">
        <v>313</v>
      </c>
      <c r="D214" s="106" t="s">
        <v>194</v>
      </c>
      <c r="E214" s="15" t="s">
        <v>222</v>
      </c>
      <c r="F214" s="16"/>
      <c r="G214" s="15" t="s">
        <v>191</v>
      </c>
      <c r="H214" s="15"/>
      <c r="I214" s="15"/>
      <c r="J214" s="15">
        <v>1</v>
      </c>
      <c r="K214" s="15">
        <v>1</v>
      </c>
      <c r="L214" s="17"/>
      <c r="M214" s="17"/>
      <c r="N214" s="17">
        <v>1</v>
      </c>
      <c r="O214" s="17"/>
      <c r="P214" s="17"/>
      <c r="Q214" s="17"/>
      <c r="R214" s="17"/>
      <c r="S214" s="15"/>
      <c r="T214" s="25">
        <v>45665</v>
      </c>
      <c r="U214" s="15" t="s">
        <v>203</v>
      </c>
      <c r="V214">
        <v>2</v>
      </c>
      <c r="X214" s="51" t="s">
        <v>107</v>
      </c>
      <c r="Y214" s="52">
        <f>COUNTIF(U213:U237,"R")</f>
        <v>7</v>
      </c>
      <c r="AA214" s="47" t="s">
        <v>81</v>
      </c>
      <c r="AB214" s="48" t="s">
        <v>60</v>
      </c>
    </row>
    <row r="215" spans="1:28" ht="19.5" thickBot="1" x14ac:dyDescent="0.45">
      <c r="A215" s="145"/>
      <c r="B215" s="148"/>
      <c r="C215" s="85" t="s">
        <v>314</v>
      </c>
      <c r="D215" s="106" t="s">
        <v>315</v>
      </c>
      <c r="E215" s="15" t="s">
        <v>206</v>
      </c>
      <c r="F215" s="16"/>
      <c r="G215" s="15" t="s">
        <v>191</v>
      </c>
      <c r="H215" s="15"/>
      <c r="I215" s="15"/>
      <c r="J215" s="15"/>
      <c r="K215" s="15"/>
      <c r="L215" s="17"/>
      <c r="M215" s="17"/>
      <c r="N215" s="17"/>
      <c r="O215" s="17"/>
      <c r="P215" s="17"/>
      <c r="Q215" s="17"/>
      <c r="R215" s="17"/>
      <c r="S215" s="15"/>
      <c r="T215" s="25">
        <v>45672</v>
      </c>
      <c r="U215" s="15" t="s">
        <v>203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45"/>
      <c r="B216" s="148"/>
      <c r="C216" s="85" t="s">
        <v>317</v>
      </c>
      <c r="D216" s="106" t="s">
        <v>316</v>
      </c>
      <c r="E216" s="15" t="s">
        <v>215</v>
      </c>
      <c r="F216" s="16"/>
      <c r="G216" s="15" t="s">
        <v>191</v>
      </c>
      <c r="H216" s="15"/>
      <c r="I216" s="15"/>
      <c r="J216" s="15"/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45686</v>
      </c>
      <c r="U216" s="15" t="s">
        <v>203</v>
      </c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48"/>
      <c r="C217" s="85" t="s">
        <v>318</v>
      </c>
      <c r="D217" s="106" t="s">
        <v>319</v>
      </c>
      <c r="E217" s="15" t="s">
        <v>199</v>
      </c>
      <c r="F217" s="16"/>
      <c r="G217" s="15" t="s">
        <v>191</v>
      </c>
      <c r="H217" s="15"/>
      <c r="I217" s="15"/>
      <c r="J217" s="18"/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45676</v>
      </c>
      <c r="U217" s="15" t="s">
        <v>192</v>
      </c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48"/>
      <c r="C218" s="85" t="s">
        <v>320</v>
      </c>
      <c r="D218" s="106" t="s">
        <v>319</v>
      </c>
      <c r="E218" s="15" t="s">
        <v>222</v>
      </c>
      <c r="F218" s="16"/>
      <c r="G218" s="15" t="s">
        <v>191</v>
      </c>
      <c r="H218" s="15"/>
      <c r="I218" s="15"/>
      <c r="J218" s="18"/>
      <c r="K218" s="15">
        <v>1</v>
      </c>
      <c r="L218" s="19"/>
      <c r="M218" s="19"/>
      <c r="N218" s="19"/>
      <c r="O218" s="19"/>
      <c r="P218" s="19"/>
      <c r="Q218" s="19"/>
      <c r="R218" s="19"/>
      <c r="S218" s="15"/>
      <c r="T218" s="25">
        <v>45676</v>
      </c>
      <c r="U218" s="15" t="s">
        <v>203</v>
      </c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48"/>
      <c r="C219" s="85" t="s">
        <v>321</v>
      </c>
      <c r="D219" s="106" t="s">
        <v>319</v>
      </c>
      <c r="E219" s="15" t="s">
        <v>199</v>
      </c>
      <c r="F219" s="16"/>
      <c r="G219" s="15" t="s">
        <v>191</v>
      </c>
      <c r="H219" s="15"/>
      <c r="I219" s="15"/>
      <c r="J219" s="18"/>
      <c r="K219" s="15">
        <v>1</v>
      </c>
      <c r="L219" s="19"/>
      <c r="M219" s="19"/>
      <c r="N219" s="19"/>
      <c r="O219" s="19"/>
      <c r="P219" s="19"/>
      <c r="Q219" s="19"/>
      <c r="R219" s="19"/>
      <c r="S219" s="15"/>
      <c r="T219" s="25">
        <v>45676</v>
      </c>
      <c r="U219" s="15" t="s">
        <v>192</v>
      </c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48"/>
      <c r="C220" s="85" t="s">
        <v>322</v>
      </c>
      <c r="D220" s="106" t="s">
        <v>319</v>
      </c>
      <c r="E220" s="15" t="s">
        <v>190</v>
      </c>
      <c r="F220" s="16"/>
      <c r="G220" s="15" t="s">
        <v>191</v>
      </c>
      <c r="H220" s="15"/>
      <c r="I220" s="15"/>
      <c r="J220" s="18"/>
      <c r="K220" s="15"/>
      <c r="L220" s="19"/>
      <c r="M220" s="19">
        <v>1</v>
      </c>
      <c r="N220" s="19"/>
      <c r="O220" s="19"/>
      <c r="P220" s="19"/>
      <c r="Q220" s="19"/>
      <c r="R220" s="19"/>
      <c r="S220" s="15"/>
      <c r="T220" s="25">
        <v>45676</v>
      </c>
      <c r="U220" s="15" t="s">
        <v>203</v>
      </c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48"/>
      <c r="C221" s="85" t="s">
        <v>323</v>
      </c>
      <c r="D221" s="106" t="s">
        <v>324</v>
      </c>
      <c r="E221" s="15" t="s">
        <v>218</v>
      </c>
      <c r="F221" s="16"/>
      <c r="G221" s="15" t="s">
        <v>191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45686</v>
      </c>
      <c r="U221" s="15" t="s">
        <v>192</v>
      </c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48"/>
      <c r="C222" s="85" t="s">
        <v>325</v>
      </c>
      <c r="D222" s="106" t="s">
        <v>324</v>
      </c>
      <c r="E222" s="15" t="s">
        <v>199</v>
      </c>
      <c r="F222" s="16"/>
      <c r="G222" s="15" t="s">
        <v>191</v>
      </c>
      <c r="H222" s="15"/>
      <c r="I222" s="15"/>
      <c r="J222" s="15">
        <v>1</v>
      </c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45686</v>
      </c>
      <c r="U222" s="15" t="s">
        <v>192</v>
      </c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48"/>
      <c r="C223" s="85" t="s">
        <v>326</v>
      </c>
      <c r="D223" s="106" t="s">
        <v>209</v>
      </c>
      <c r="E223" s="15" t="s">
        <v>222</v>
      </c>
      <c r="F223" s="16"/>
      <c r="G223" s="15" t="s">
        <v>191</v>
      </c>
      <c r="H223" s="15" t="s">
        <v>203</v>
      </c>
      <c r="I223" s="15"/>
      <c r="J223" s="15"/>
      <c r="K223" s="15"/>
      <c r="L223" s="17"/>
      <c r="M223" s="17"/>
      <c r="N223" s="17">
        <v>1</v>
      </c>
      <c r="O223" s="17"/>
      <c r="P223" s="17"/>
      <c r="Q223" s="17"/>
      <c r="R223" s="17"/>
      <c r="S223" s="15"/>
      <c r="T223" s="25">
        <v>45679</v>
      </c>
      <c r="U223" s="15" t="s">
        <v>203</v>
      </c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48"/>
      <c r="C224" s="85" t="s">
        <v>327</v>
      </c>
      <c r="D224" s="106" t="s">
        <v>209</v>
      </c>
      <c r="E224" s="15" t="s">
        <v>248</v>
      </c>
      <c r="F224" s="16"/>
      <c r="G224" s="15" t="s">
        <v>191</v>
      </c>
      <c r="H224" s="15"/>
      <c r="I224" s="15"/>
      <c r="J224" s="15"/>
      <c r="K224" s="15"/>
      <c r="L224" s="17"/>
      <c r="M224" s="17">
        <v>1</v>
      </c>
      <c r="N224" s="17">
        <v>1</v>
      </c>
      <c r="O224" s="17"/>
      <c r="P224" s="17"/>
      <c r="Q224" s="17">
        <v>1</v>
      </c>
      <c r="R224" s="17"/>
      <c r="S224" s="15"/>
      <c r="T224" s="25">
        <v>45679</v>
      </c>
      <c r="U224" s="15" t="s">
        <v>203</v>
      </c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48"/>
      <c r="C225" s="85" t="s">
        <v>328</v>
      </c>
      <c r="D225" s="106" t="s">
        <v>209</v>
      </c>
      <c r="E225" s="13" t="s">
        <v>202</v>
      </c>
      <c r="F225" s="16"/>
      <c r="G225" s="15" t="s">
        <v>191</v>
      </c>
      <c r="H225" s="15"/>
      <c r="I225" s="15"/>
      <c r="J225" s="15"/>
      <c r="K225" s="15"/>
      <c r="L225" s="17"/>
      <c r="M225" s="17"/>
      <c r="N225" s="17"/>
      <c r="O225" s="17">
        <v>1</v>
      </c>
      <c r="P225" s="17"/>
      <c r="Q225" s="17">
        <v>1</v>
      </c>
      <c r="R225" s="17"/>
      <c r="S225" s="15"/>
      <c r="T225" s="25">
        <v>45679</v>
      </c>
      <c r="U225" s="15" t="s">
        <v>198</v>
      </c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48"/>
      <c r="C226" s="85" t="s">
        <v>330</v>
      </c>
      <c r="D226" s="106" t="s">
        <v>209</v>
      </c>
      <c r="E226" s="13" t="s">
        <v>329</v>
      </c>
      <c r="F226" s="16"/>
      <c r="G226" s="15" t="s">
        <v>191</v>
      </c>
      <c r="H226" s="15"/>
      <c r="I226" s="15"/>
      <c r="J226" s="15">
        <v>1</v>
      </c>
      <c r="K226" s="15"/>
      <c r="L226" s="17">
        <v>1</v>
      </c>
      <c r="M226" s="17"/>
      <c r="N226" s="17"/>
      <c r="O226" s="17"/>
      <c r="P226" s="17"/>
      <c r="Q226" s="17"/>
      <c r="R226" s="17"/>
      <c r="S226" s="15"/>
      <c r="T226" s="25">
        <v>45679</v>
      </c>
      <c r="U226" s="15" t="s">
        <v>192</v>
      </c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48"/>
      <c r="C227" s="85" t="s">
        <v>331</v>
      </c>
      <c r="D227" s="109" t="s">
        <v>209</v>
      </c>
      <c r="E227" s="15" t="s">
        <v>218</v>
      </c>
      <c r="F227" s="16"/>
      <c r="G227" s="15" t="s">
        <v>191</v>
      </c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>
        <v>1</v>
      </c>
      <c r="T227" s="25">
        <v>45679</v>
      </c>
      <c r="U227" s="15" t="s">
        <v>192</v>
      </c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48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48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48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48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48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48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48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48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48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49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7</v>
      </c>
      <c r="L238" s="29">
        <f t="shared" ref="L238" si="45">SUM(L213:L237)</f>
        <v>1</v>
      </c>
      <c r="M238" s="29">
        <f t="shared" ref="M238" si="46">SUM(M213:M237)</f>
        <v>2</v>
      </c>
      <c r="N238" s="29">
        <f t="shared" ref="N238" si="47">SUM(N213:N237)</f>
        <v>3</v>
      </c>
      <c r="O238" s="29">
        <f t="shared" ref="O238" si="48">SUM(O213:O237)</f>
        <v>1</v>
      </c>
      <c r="P238" s="29">
        <f t="shared" ref="P238" si="49">SUM(P213:P237)</f>
        <v>0</v>
      </c>
      <c r="Q238" s="29">
        <f t="shared" ref="Q238" si="50">SUM(Q213:Q237)</f>
        <v>2</v>
      </c>
      <c r="R238" s="29">
        <f t="shared" ref="R238" si="51">SUM(R213:R237)</f>
        <v>0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1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AYG096</v>
      </c>
      <c r="B241" s="24">
        <f>B1</f>
        <v>45638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4" t="s">
        <v>112</v>
      </c>
      <c r="Y242" s="154"/>
    </row>
    <row r="243" spans="1:28" ht="20.25" thickTop="1" thickBot="1" x14ac:dyDescent="0.45">
      <c r="A243" s="144">
        <v>9</v>
      </c>
      <c r="B243" s="147">
        <v>18.8</v>
      </c>
      <c r="C243" s="85" t="s">
        <v>332</v>
      </c>
      <c r="D243" s="109">
        <v>1180</v>
      </c>
      <c r="E243" s="13" t="s">
        <v>202</v>
      </c>
      <c r="F243" s="14"/>
      <c r="G243" s="12" t="s">
        <v>191</v>
      </c>
      <c r="H243" s="13"/>
      <c r="I243" s="13"/>
      <c r="J243" s="13"/>
      <c r="K243" s="13"/>
      <c r="L243" s="13"/>
      <c r="M243" s="13"/>
      <c r="N243" s="13">
        <v>1</v>
      </c>
      <c r="O243" s="13">
        <v>1</v>
      </c>
      <c r="P243" s="13"/>
      <c r="Q243" s="13"/>
      <c r="R243" s="13">
        <v>1</v>
      </c>
      <c r="S243" s="13"/>
      <c r="T243" s="26">
        <v>45676</v>
      </c>
      <c r="U243" s="13" t="s">
        <v>198</v>
      </c>
      <c r="V243">
        <v>1</v>
      </c>
      <c r="X243" t="s">
        <v>106</v>
      </c>
      <c r="Y243">
        <f>COUNTIF(U243:U267,"K")</f>
        <v>3</v>
      </c>
      <c r="AA243" s="59" t="s">
        <v>120</v>
      </c>
      <c r="AB243" s="60" t="s">
        <v>121</v>
      </c>
    </row>
    <row r="244" spans="1:28" x14ac:dyDescent="0.4">
      <c r="A244" s="145"/>
      <c r="B244" s="148"/>
      <c r="C244" s="85" t="s">
        <v>333</v>
      </c>
      <c r="D244" s="109" t="s">
        <v>194</v>
      </c>
      <c r="E244" s="13" t="s">
        <v>206</v>
      </c>
      <c r="F244" s="16"/>
      <c r="G244" s="12" t="s">
        <v>191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45670</v>
      </c>
      <c r="U244" s="13" t="s">
        <v>203</v>
      </c>
      <c r="V244">
        <v>2</v>
      </c>
      <c r="X244" t="s">
        <v>107</v>
      </c>
      <c r="Y244">
        <f>COUNTIF(U243:U267,"R")</f>
        <v>5</v>
      </c>
      <c r="AA244" s="47" t="s">
        <v>81</v>
      </c>
      <c r="AB244" s="48" t="s">
        <v>60</v>
      </c>
    </row>
    <row r="245" spans="1:28" x14ac:dyDescent="0.4">
      <c r="A245" s="145"/>
      <c r="B245" s="148"/>
      <c r="C245" s="85" t="s">
        <v>334</v>
      </c>
      <c r="D245" s="109" t="s">
        <v>194</v>
      </c>
      <c r="E245" s="13" t="s">
        <v>202</v>
      </c>
      <c r="F245" s="16"/>
      <c r="G245" s="12" t="s">
        <v>191</v>
      </c>
      <c r="H245" s="15"/>
      <c r="I245" s="15"/>
      <c r="J245" s="15"/>
      <c r="K245" s="15"/>
      <c r="L245" s="17"/>
      <c r="M245" s="17"/>
      <c r="N245" s="17"/>
      <c r="O245" s="17">
        <v>1</v>
      </c>
      <c r="P245" s="17">
        <v>1</v>
      </c>
      <c r="Q245" s="17">
        <v>1</v>
      </c>
      <c r="R245" s="17">
        <v>1</v>
      </c>
      <c r="S245" s="15"/>
      <c r="T245" s="26">
        <v>45674</v>
      </c>
      <c r="U245" s="13" t="s">
        <v>198</v>
      </c>
      <c r="V245">
        <v>3</v>
      </c>
      <c r="X245" t="s">
        <v>108</v>
      </c>
      <c r="Y245">
        <f>COUNTIF(U243:U267,"J")</f>
        <v>4</v>
      </c>
      <c r="AA245" s="49" t="s">
        <v>82</v>
      </c>
      <c r="AB245" s="50" t="s">
        <v>39</v>
      </c>
    </row>
    <row r="246" spans="1:28" x14ac:dyDescent="0.4">
      <c r="A246" s="145"/>
      <c r="B246" s="148"/>
      <c r="C246" s="85" t="s">
        <v>336</v>
      </c>
      <c r="D246" s="109" t="s">
        <v>335</v>
      </c>
      <c r="E246" s="13" t="s">
        <v>190</v>
      </c>
      <c r="F246" s="16"/>
      <c r="G246" s="12" t="s">
        <v>191</v>
      </c>
      <c r="H246" s="15"/>
      <c r="I246" s="15"/>
      <c r="J246" s="15"/>
      <c r="K246" s="15"/>
      <c r="L246" s="17"/>
      <c r="M246" s="17">
        <v>1</v>
      </c>
      <c r="N246" s="17"/>
      <c r="O246" s="17"/>
      <c r="P246" s="17"/>
      <c r="Q246" s="17">
        <v>1</v>
      </c>
      <c r="R246" s="17"/>
      <c r="S246" s="15"/>
      <c r="T246" s="26">
        <v>45677</v>
      </c>
      <c r="U246" s="13" t="s">
        <v>203</v>
      </c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48"/>
      <c r="C247" s="85" t="s">
        <v>337</v>
      </c>
      <c r="D247" s="109" t="s">
        <v>240</v>
      </c>
      <c r="E247" s="13" t="s">
        <v>190</v>
      </c>
      <c r="F247" s="16"/>
      <c r="G247" s="12" t="s">
        <v>191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45677</v>
      </c>
      <c r="U247" s="13" t="s">
        <v>203</v>
      </c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48"/>
      <c r="C248" s="85" t="s">
        <v>339</v>
      </c>
      <c r="D248" s="109" t="s">
        <v>338</v>
      </c>
      <c r="E248" s="13" t="s">
        <v>190</v>
      </c>
      <c r="F248" s="16"/>
      <c r="G248" s="12" t="s">
        <v>191</v>
      </c>
      <c r="H248" s="13"/>
      <c r="I248" s="15"/>
      <c r="J248" s="15"/>
      <c r="K248" s="15"/>
      <c r="L248" s="17"/>
      <c r="M248" s="17"/>
      <c r="N248" s="17">
        <v>1</v>
      </c>
      <c r="O248" s="17"/>
      <c r="P248" s="17"/>
      <c r="Q248" s="17">
        <v>1</v>
      </c>
      <c r="R248" s="17"/>
      <c r="S248" s="15"/>
      <c r="T248" s="26">
        <v>45677</v>
      </c>
      <c r="U248" s="13" t="s">
        <v>203</v>
      </c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48"/>
      <c r="C249" s="85" t="s">
        <v>340</v>
      </c>
      <c r="D249" s="109" t="s">
        <v>338</v>
      </c>
      <c r="E249" s="13" t="s">
        <v>222</v>
      </c>
      <c r="F249" s="16"/>
      <c r="G249" s="12" t="s">
        <v>191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45677</v>
      </c>
      <c r="U249" s="13" t="s">
        <v>142</v>
      </c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48"/>
      <c r="C250" s="85" t="s">
        <v>342</v>
      </c>
      <c r="D250" s="109" t="s">
        <v>341</v>
      </c>
      <c r="E250" s="13" t="s">
        <v>215</v>
      </c>
      <c r="F250" s="16"/>
      <c r="G250" s="12" t="s">
        <v>191</v>
      </c>
      <c r="H250" s="15"/>
      <c r="I250" s="15"/>
      <c r="J250" s="15">
        <v>1</v>
      </c>
      <c r="K250" s="15"/>
      <c r="L250" s="17"/>
      <c r="M250" s="17"/>
      <c r="N250" s="17"/>
      <c r="O250" s="17"/>
      <c r="P250" s="17"/>
      <c r="Q250" s="17"/>
      <c r="R250" s="17"/>
      <c r="S250" s="15"/>
      <c r="T250" s="26">
        <v>45682</v>
      </c>
      <c r="U250" s="13" t="s">
        <v>192</v>
      </c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48"/>
      <c r="C251" s="85" t="s">
        <v>343</v>
      </c>
      <c r="D251" s="109" t="s">
        <v>341</v>
      </c>
      <c r="E251" s="13" t="s">
        <v>218</v>
      </c>
      <c r="F251" s="16"/>
      <c r="G251" s="12" t="s">
        <v>191</v>
      </c>
      <c r="H251" s="15"/>
      <c r="I251" s="15"/>
      <c r="J251" s="15">
        <v>1</v>
      </c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45682</v>
      </c>
      <c r="U251" s="13" t="s">
        <v>192</v>
      </c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48"/>
      <c r="C252" s="85" t="s">
        <v>344</v>
      </c>
      <c r="D252" s="109" t="s">
        <v>341</v>
      </c>
      <c r="E252" s="13" t="s">
        <v>202</v>
      </c>
      <c r="F252" s="16"/>
      <c r="G252" s="12" t="s">
        <v>191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45682</v>
      </c>
      <c r="U252" s="13" t="s">
        <v>198</v>
      </c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48"/>
      <c r="C253" s="85" t="s">
        <v>345</v>
      </c>
      <c r="D253" s="109" t="s">
        <v>346</v>
      </c>
      <c r="E253" s="13" t="s">
        <v>190</v>
      </c>
      <c r="F253" s="16"/>
      <c r="G253" s="12" t="s">
        <v>191</v>
      </c>
      <c r="H253" s="15"/>
      <c r="I253" s="15"/>
      <c r="J253" s="15"/>
      <c r="K253" s="15"/>
      <c r="L253" s="17"/>
      <c r="M253" s="17">
        <v>1</v>
      </c>
      <c r="N253" s="17">
        <v>1</v>
      </c>
      <c r="O253" s="17"/>
      <c r="P253" s="17"/>
      <c r="Q253" s="17">
        <v>1</v>
      </c>
      <c r="R253" s="17"/>
      <c r="S253" s="15"/>
      <c r="T253" s="26">
        <v>45677</v>
      </c>
      <c r="U253" s="13" t="s">
        <v>203</v>
      </c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48"/>
      <c r="C254" s="85" t="s">
        <v>348</v>
      </c>
      <c r="D254" s="109" t="s">
        <v>347</v>
      </c>
      <c r="E254" s="13" t="s">
        <v>202</v>
      </c>
      <c r="F254" s="16"/>
      <c r="G254" s="12" t="s">
        <v>191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/>
      <c r="Q254" s="17"/>
      <c r="R254" s="17"/>
      <c r="S254" s="15"/>
      <c r="T254" s="26">
        <v>45679</v>
      </c>
      <c r="U254" s="13" t="s">
        <v>198</v>
      </c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48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48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48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48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48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48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48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48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48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48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48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48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49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12</v>
      </c>
      <c r="D268" s="112"/>
      <c r="E268" s="29"/>
      <c r="F268" s="29" t="s">
        <v>34</v>
      </c>
      <c r="G268" s="29">
        <f>COUNTIF(G243:G267,"S")</f>
        <v>12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3</v>
      </c>
      <c r="K268" s="29">
        <f t="shared" ref="K268" si="54">SUM(K243:K267)</f>
        <v>1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4</v>
      </c>
      <c r="O268" s="29">
        <f t="shared" ref="O268" si="58">SUM(O243:O267)</f>
        <v>3</v>
      </c>
      <c r="P268" s="29">
        <f t="shared" ref="P268" si="59">SUM(P243:P267)</f>
        <v>1</v>
      </c>
      <c r="Q268" s="29">
        <f t="shared" ref="Q268" si="60">SUM(Q243:Q267)</f>
        <v>5</v>
      </c>
      <c r="R268" s="29">
        <f t="shared" ref="R268" si="61">SUM(R243:R267)</f>
        <v>2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AYG096</v>
      </c>
      <c r="B271" s="24">
        <f>B1</f>
        <v>45638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7" t="s">
        <v>111</v>
      </c>
      <c r="Y272" s="143"/>
    </row>
    <row r="273" spans="1:28" ht="20.25" thickTop="1" thickBot="1" x14ac:dyDescent="0.45">
      <c r="A273" s="144">
        <v>10</v>
      </c>
      <c r="B273" s="147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5"/>
      <c r="B274" s="148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5"/>
      <c r="B275" s="148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5"/>
      <c r="B276" s="148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48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48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48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48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48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48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48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48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48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48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48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48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48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48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48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48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48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48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48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48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49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AYG096</v>
      </c>
      <c r="B301" s="24">
        <f>B1</f>
        <v>45638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7" t="s">
        <v>110</v>
      </c>
      <c r="Y302" s="143"/>
    </row>
    <row r="303" spans="1:28" ht="20.25" thickTop="1" thickBot="1" x14ac:dyDescent="0.45">
      <c r="A303" s="144">
        <v>11</v>
      </c>
      <c r="B303" s="147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5"/>
      <c r="B304" s="148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5"/>
      <c r="B305" s="148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5"/>
      <c r="B306" s="148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48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48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48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48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48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48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48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48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48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48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48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48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48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48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48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48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48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48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48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48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49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AYG096</v>
      </c>
      <c r="B331" s="24">
        <f>B151</f>
        <v>45638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7" t="s">
        <v>109</v>
      </c>
      <c r="Y332" s="143"/>
    </row>
    <row r="333" spans="1:28" ht="20.25" thickTop="1" thickBot="1" x14ac:dyDescent="0.45">
      <c r="A333" s="144">
        <v>12</v>
      </c>
      <c r="B333" s="147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5"/>
      <c r="B334" s="148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5"/>
      <c r="B335" s="148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5"/>
      <c r="B336" s="148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48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48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48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48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48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48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48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48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48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48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48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48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48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48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48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48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48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48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48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48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49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7" t="s">
        <v>138</v>
      </c>
      <c r="Y362" s="143"/>
    </row>
    <row r="363" spans="1:28" ht="19.5" thickTop="1" x14ac:dyDescent="0.4">
      <c r="A363" s="144">
        <v>13</v>
      </c>
      <c r="B363" s="147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48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48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48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48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48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48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48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48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48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48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48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48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48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48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48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48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48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48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48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48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48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48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48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49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7" t="s">
        <v>139</v>
      </c>
      <c r="Y392" s="143"/>
    </row>
    <row r="393" spans="1:25" ht="19.5" thickTop="1" x14ac:dyDescent="0.4">
      <c r="A393" s="144">
        <v>14</v>
      </c>
      <c r="B393" s="147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48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48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48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48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48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48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48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48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48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48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48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48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48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48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48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48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48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48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48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48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48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48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48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49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7" t="s">
        <v>140</v>
      </c>
      <c r="Y422" s="143"/>
    </row>
    <row r="423" spans="1:25" ht="19.5" thickTop="1" x14ac:dyDescent="0.4">
      <c r="A423" s="144">
        <v>15</v>
      </c>
      <c r="B423" s="147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48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48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48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48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48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48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48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48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48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48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48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48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48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48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48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48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48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48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48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48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48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48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48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49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7" t="s">
        <v>105</v>
      </c>
      <c r="Y451" s="143"/>
    </row>
    <row r="452" spans="1:25" ht="19.5" thickTop="1" x14ac:dyDescent="0.4">
      <c r="A452" s="144">
        <v>16</v>
      </c>
      <c r="B452" s="134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35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35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35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35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35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35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35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35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35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35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35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35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35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35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35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35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35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35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35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35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35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35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35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36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8" t="s">
        <v>47</v>
      </c>
      <c r="C26" s="15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9"/>
      <c r="C27" s="159"/>
      <c r="D27" s="160">
        <f>SUM(D26:F26)</f>
        <v>116</v>
      </c>
      <c r="E27" s="160"/>
      <c r="F27" s="16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V1107"/>
  <sheetViews>
    <sheetView topLeftCell="A3" zoomScaleNormal="100" workbookViewId="0">
      <selection sqref="A1:E29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1" width="16.625" customWidth="1"/>
    <col min="22" max="22" width="11" customWidth="1"/>
    <col min="23" max="23" width="10.5" style="121" customWidth="1"/>
    <col min="24" max="24" width="10.25" style="121" customWidth="1"/>
    <col min="25" max="25" width="10.875" style="121" customWidth="1"/>
    <col min="26" max="39" width="16.625" customWidth="1"/>
    <col min="40" max="40" width="20.5" customWidth="1"/>
    <col min="45" max="45" width="12.375" customWidth="1"/>
    <col min="46" max="46" width="11.25" customWidth="1"/>
    <col min="47" max="47" width="10.5" customWidth="1"/>
    <col min="48" max="48" width="10.25" customWidth="1"/>
  </cols>
  <sheetData>
    <row r="1" spans="1:44" x14ac:dyDescent="0.4">
      <c r="A1" s="120" t="s">
        <v>187</v>
      </c>
      <c r="B1" s="121"/>
      <c r="C1" s="121"/>
      <c r="D1" s="121"/>
      <c r="P1" t="s">
        <v>143</v>
      </c>
      <c r="Q1" t="s">
        <v>144</v>
      </c>
      <c r="V1" s="120"/>
      <c r="AN1" t="s">
        <v>143</v>
      </c>
      <c r="AO1" t="s">
        <v>144</v>
      </c>
    </row>
    <row r="2" spans="1:44" ht="19.5" x14ac:dyDescent="0.4">
      <c r="A2" s="116"/>
      <c r="B2" s="123" t="s">
        <v>146</v>
      </c>
      <c r="C2" s="123" t="s">
        <v>147</v>
      </c>
      <c r="D2" s="123" t="s">
        <v>148</v>
      </c>
      <c r="P2" s="25">
        <v>45649</v>
      </c>
      <c r="Q2" s="13" t="s">
        <v>192</v>
      </c>
      <c r="V2" s="116"/>
      <c r="W2" s="123"/>
      <c r="X2" s="123"/>
      <c r="Y2" s="123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25">
        <v>45258</v>
      </c>
      <c r="AO2" s="13" t="s">
        <v>162</v>
      </c>
      <c r="AR2" s="114"/>
    </row>
    <row r="3" spans="1:44" ht="19.5" x14ac:dyDescent="0.4">
      <c r="A3" s="117">
        <v>45649</v>
      </c>
      <c r="B3" s="123">
        <v>1</v>
      </c>
      <c r="C3" s="123"/>
      <c r="D3" s="123">
        <v>1</v>
      </c>
      <c r="N3" s="115"/>
      <c r="O3" s="115"/>
      <c r="P3" s="25">
        <v>45649</v>
      </c>
      <c r="Q3" s="13" t="s">
        <v>198</v>
      </c>
      <c r="V3" s="116"/>
      <c r="W3" s="123"/>
      <c r="X3" s="123"/>
      <c r="Y3" s="123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25"/>
      <c r="AO3" s="13"/>
      <c r="AR3" s="114"/>
    </row>
    <row r="4" spans="1:44" ht="19.5" x14ac:dyDescent="0.4">
      <c r="A4" s="117">
        <v>45652</v>
      </c>
      <c r="B4" s="123">
        <v>1</v>
      </c>
      <c r="C4" s="123"/>
      <c r="D4" s="123"/>
      <c r="N4" s="115"/>
      <c r="O4" s="115" t="s">
        <v>177</v>
      </c>
      <c r="P4" s="13">
        <f>SUBTOTAL(3,P2:P3)</f>
        <v>2</v>
      </c>
      <c r="Q4" s="13">
        <f>SUBTOTAL(3,Q2:Q3)</f>
        <v>2</v>
      </c>
      <c r="V4" s="116"/>
      <c r="W4" s="123"/>
      <c r="X4" s="123"/>
      <c r="Y4" s="123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25"/>
      <c r="AO4" s="13"/>
      <c r="AR4" s="114"/>
    </row>
    <row r="5" spans="1:44" ht="19.5" x14ac:dyDescent="0.4">
      <c r="A5" s="117">
        <v>45295</v>
      </c>
      <c r="B5" s="123">
        <v>1</v>
      </c>
      <c r="C5" s="123"/>
      <c r="D5" s="123">
        <v>1</v>
      </c>
      <c r="L5" s="115"/>
      <c r="M5" s="115"/>
      <c r="N5" s="115"/>
      <c r="O5" s="115"/>
      <c r="P5" s="25">
        <v>45652</v>
      </c>
      <c r="Q5" s="13" t="s">
        <v>192</v>
      </c>
      <c r="V5" s="116"/>
      <c r="W5" s="123"/>
      <c r="X5" s="123"/>
      <c r="Y5" s="123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25"/>
      <c r="AO5" s="13"/>
      <c r="AR5" s="114"/>
    </row>
    <row r="6" spans="1:44" ht="19.5" x14ac:dyDescent="0.4">
      <c r="A6" s="117">
        <v>45296</v>
      </c>
      <c r="B6" s="123">
        <v>2</v>
      </c>
      <c r="C6" s="123">
        <v>1</v>
      </c>
      <c r="D6" s="123"/>
      <c r="L6" s="115"/>
      <c r="M6" s="115"/>
      <c r="N6" s="115"/>
      <c r="O6" s="115" t="s">
        <v>178</v>
      </c>
      <c r="P6" s="13">
        <f>SUBTOTAL(3,P5:P5)</f>
        <v>1</v>
      </c>
      <c r="Q6" s="13">
        <f>SUBTOTAL(3,Q5:Q5)</f>
        <v>1</v>
      </c>
      <c r="V6" s="116"/>
      <c r="W6" s="123"/>
      <c r="X6" s="123"/>
      <c r="Y6" s="123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25"/>
      <c r="AO6" s="13"/>
      <c r="AR6" s="114"/>
    </row>
    <row r="7" spans="1:44" ht="19.5" x14ac:dyDescent="0.4">
      <c r="A7" s="117">
        <v>45297</v>
      </c>
      <c r="B7" s="123"/>
      <c r="C7" s="123">
        <v>1</v>
      </c>
      <c r="D7" s="123"/>
      <c r="L7" s="115"/>
      <c r="M7" s="115"/>
      <c r="N7" s="115"/>
      <c r="O7" s="115"/>
      <c r="P7" s="25">
        <v>45661</v>
      </c>
      <c r="Q7" s="13" t="s">
        <v>192</v>
      </c>
      <c r="V7" s="116"/>
      <c r="W7" s="123"/>
      <c r="X7" s="123"/>
      <c r="Y7" s="123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25"/>
      <c r="AO7" s="13"/>
      <c r="AR7" s="114"/>
    </row>
    <row r="8" spans="1:44" ht="19.5" x14ac:dyDescent="0.4">
      <c r="A8" s="117">
        <v>45298</v>
      </c>
      <c r="B8" s="123"/>
      <c r="C8" s="123">
        <v>1</v>
      </c>
      <c r="D8" s="123"/>
      <c r="L8" s="115"/>
      <c r="M8" s="115"/>
      <c r="N8" s="115"/>
      <c r="O8" s="115"/>
      <c r="P8" s="25">
        <v>45661</v>
      </c>
      <c r="Q8" s="13" t="s">
        <v>198</v>
      </c>
      <c r="V8" s="116"/>
      <c r="W8" s="123"/>
      <c r="X8" s="123"/>
      <c r="Y8" s="123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25"/>
      <c r="AO8" s="13"/>
      <c r="AR8" s="114"/>
    </row>
    <row r="9" spans="1:44" ht="19.5" x14ac:dyDescent="0.4">
      <c r="A9" s="117">
        <v>45299</v>
      </c>
      <c r="B9" s="123">
        <v>1</v>
      </c>
      <c r="C9" s="123">
        <v>2</v>
      </c>
      <c r="D9" s="123">
        <v>3</v>
      </c>
      <c r="L9" s="115"/>
      <c r="M9" s="115"/>
      <c r="N9" s="115"/>
      <c r="O9" s="115" t="s">
        <v>179</v>
      </c>
      <c r="P9" s="13">
        <f>SUBTOTAL(3,P7:P8)</f>
        <v>2</v>
      </c>
      <c r="Q9" s="13">
        <f>SUBTOTAL(3,Q7:Q8)</f>
        <v>2</v>
      </c>
      <c r="V9" s="116"/>
      <c r="W9" s="123"/>
      <c r="X9" s="123"/>
      <c r="Y9" s="123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25"/>
      <c r="AO9" s="13"/>
      <c r="AR9" s="114"/>
    </row>
    <row r="10" spans="1:44" ht="19.5" x14ac:dyDescent="0.4">
      <c r="A10" s="117">
        <v>45303</v>
      </c>
      <c r="B10" s="123">
        <v>10</v>
      </c>
      <c r="C10" s="123">
        <v>2</v>
      </c>
      <c r="D10" s="123">
        <v>1</v>
      </c>
      <c r="L10" s="115"/>
      <c r="M10" s="115"/>
      <c r="N10" s="115"/>
      <c r="O10" s="115"/>
      <c r="P10" s="25">
        <v>45662</v>
      </c>
      <c r="Q10" s="13" t="s">
        <v>203</v>
      </c>
      <c r="V10" s="116"/>
      <c r="W10" s="123"/>
      <c r="X10" s="123"/>
      <c r="Y10" s="123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25"/>
      <c r="AO10" s="13"/>
      <c r="AR10" s="114"/>
    </row>
    <row r="11" spans="1:44" ht="19.5" x14ac:dyDescent="0.4">
      <c r="A11" s="117">
        <v>45304</v>
      </c>
      <c r="B11" s="123">
        <v>3</v>
      </c>
      <c r="C11" s="123">
        <v>2</v>
      </c>
      <c r="D11" s="123">
        <v>2</v>
      </c>
      <c r="J11" s="115"/>
      <c r="K11" s="115"/>
      <c r="L11" s="115"/>
      <c r="M11" s="115"/>
      <c r="N11" s="115"/>
      <c r="O11" s="115"/>
      <c r="P11" s="25">
        <v>45662</v>
      </c>
      <c r="Q11" s="13" t="s">
        <v>192</v>
      </c>
      <c r="V11" s="116"/>
      <c r="W11" s="123"/>
      <c r="X11" s="123"/>
      <c r="Y11" s="123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25"/>
      <c r="AO11" s="13"/>
      <c r="AR11" s="114"/>
    </row>
    <row r="12" spans="1:44" ht="19.5" x14ac:dyDescent="0.4">
      <c r="A12" s="117">
        <v>45305</v>
      </c>
      <c r="B12" s="123">
        <v>6</v>
      </c>
      <c r="C12" s="123">
        <v>8</v>
      </c>
      <c r="D12" s="123">
        <v>1</v>
      </c>
      <c r="J12" s="115"/>
      <c r="K12" s="115"/>
      <c r="L12" s="115"/>
      <c r="M12" s="115"/>
      <c r="N12" s="115"/>
      <c r="O12" s="115"/>
      <c r="P12" s="25">
        <v>45662</v>
      </c>
      <c r="Q12" s="13" t="s">
        <v>192</v>
      </c>
      <c r="V12" s="116"/>
      <c r="W12" s="123"/>
      <c r="X12" s="123"/>
      <c r="Y12" s="123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25"/>
      <c r="AO12" s="13"/>
      <c r="AR12" s="114"/>
    </row>
    <row r="13" spans="1:44" ht="19.5" x14ac:dyDescent="0.4">
      <c r="A13" s="117">
        <v>45306</v>
      </c>
      <c r="B13" s="123">
        <v>3</v>
      </c>
      <c r="C13" s="123">
        <v>2</v>
      </c>
      <c r="D13" s="123">
        <v>2</v>
      </c>
      <c r="J13" s="115"/>
      <c r="K13" s="115"/>
      <c r="L13" s="115"/>
      <c r="M13" s="115"/>
      <c r="N13" s="115"/>
      <c r="O13" s="115" t="s">
        <v>180</v>
      </c>
      <c r="P13" s="13">
        <f>SUBTOTAL(3,P10:P12)</f>
        <v>3</v>
      </c>
      <c r="Q13" s="13">
        <f>SUBTOTAL(3,Q10:Q12)</f>
        <v>3</v>
      </c>
      <c r="V13" s="116"/>
      <c r="W13" s="123"/>
      <c r="X13" s="123"/>
      <c r="Y13" s="123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25"/>
      <c r="AO13" s="13"/>
      <c r="AR13" s="114"/>
    </row>
    <row r="14" spans="1:44" ht="19.5" x14ac:dyDescent="0.4">
      <c r="A14" s="117">
        <v>45307</v>
      </c>
      <c r="B14" s="123">
        <v>2</v>
      </c>
      <c r="C14" s="123"/>
      <c r="D14" s="123"/>
      <c r="J14" s="115"/>
      <c r="K14" s="115"/>
      <c r="L14" s="115"/>
      <c r="M14" s="115"/>
      <c r="N14" s="115"/>
      <c r="O14" s="115"/>
      <c r="P14" s="25">
        <v>45663</v>
      </c>
      <c r="Q14" s="13" t="s">
        <v>203</v>
      </c>
      <c r="V14" s="116"/>
      <c r="W14" s="123"/>
      <c r="X14" s="123"/>
      <c r="Y14" s="123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25"/>
      <c r="AO14" s="13"/>
      <c r="AR14" s="114"/>
    </row>
    <row r="15" spans="1:44" ht="19.5" x14ac:dyDescent="0.4">
      <c r="A15" s="117">
        <v>45308</v>
      </c>
      <c r="B15" s="123"/>
      <c r="C15" s="123"/>
      <c r="D15" s="123">
        <v>1</v>
      </c>
      <c r="J15" s="115"/>
      <c r="K15" s="115"/>
      <c r="L15" s="115"/>
      <c r="M15" s="115"/>
      <c r="N15" s="115"/>
      <c r="O15" s="115" t="s">
        <v>181</v>
      </c>
      <c r="P15" s="13">
        <f>SUBTOTAL(3,P14:P14)</f>
        <v>1</v>
      </c>
      <c r="Q15" s="13">
        <f>SUBTOTAL(3,Q14:Q14)</f>
        <v>1</v>
      </c>
      <c r="V15" s="116"/>
      <c r="W15" s="123"/>
      <c r="X15" s="123"/>
      <c r="Y15" s="123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25"/>
      <c r="AO15" s="13"/>
      <c r="AR15" s="114"/>
    </row>
    <row r="16" spans="1:44" ht="19.5" x14ac:dyDescent="0.4">
      <c r="A16" s="117">
        <v>45309</v>
      </c>
      <c r="B16" s="123">
        <v>9</v>
      </c>
      <c r="C16" s="123">
        <v>2</v>
      </c>
      <c r="D16" s="123">
        <v>8</v>
      </c>
      <c r="J16" s="115"/>
      <c r="K16" s="115"/>
      <c r="L16" s="115"/>
      <c r="M16" s="115"/>
      <c r="N16" s="115"/>
      <c r="O16" s="115"/>
      <c r="P16" s="25">
        <v>45664</v>
      </c>
      <c r="Q16" s="13" t="s">
        <v>203</v>
      </c>
      <c r="V16" s="116"/>
      <c r="W16" s="123"/>
      <c r="X16" s="123"/>
      <c r="Y16" s="123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25"/>
      <c r="AO16" s="13"/>
      <c r="AR16" s="114"/>
    </row>
    <row r="17" spans="1:44" ht="19.5" x14ac:dyDescent="0.4">
      <c r="A17" s="117">
        <v>45310</v>
      </c>
      <c r="B17" s="123">
        <v>7</v>
      </c>
      <c r="C17" s="123">
        <v>2</v>
      </c>
      <c r="D17" s="123">
        <v>1</v>
      </c>
      <c r="J17" s="115"/>
      <c r="K17" s="115"/>
      <c r="L17" s="115"/>
      <c r="M17" s="115"/>
      <c r="N17" s="115"/>
      <c r="O17" s="115" t="s">
        <v>182</v>
      </c>
      <c r="P17" s="13">
        <f>SUBTOTAL(3,P16:P16)</f>
        <v>1</v>
      </c>
      <c r="Q17" s="13">
        <f>SUBTOTAL(3,Q16:Q16)</f>
        <v>1</v>
      </c>
      <c r="V17" s="116"/>
      <c r="W17" s="123"/>
      <c r="X17" s="123"/>
      <c r="Y17" s="123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25"/>
      <c r="AO17" s="13"/>
      <c r="AR17" s="114"/>
    </row>
    <row r="18" spans="1:44" ht="19.5" x14ac:dyDescent="0.4">
      <c r="A18" s="117">
        <v>45311</v>
      </c>
      <c r="B18" s="123">
        <v>1</v>
      </c>
      <c r="C18" s="123">
        <v>4</v>
      </c>
      <c r="D18" s="123"/>
      <c r="E18">
        <v>4</v>
      </c>
      <c r="I18" s="115"/>
      <c r="J18" s="115"/>
      <c r="K18" s="115"/>
      <c r="L18" s="115"/>
      <c r="M18" s="115"/>
      <c r="N18" s="115"/>
      <c r="O18" s="115"/>
      <c r="P18" s="25">
        <v>45665</v>
      </c>
      <c r="Q18" s="13" t="s">
        <v>203</v>
      </c>
      <c r="V18" s="116"/>
      <c r="W18" s="123"/>
      <c r="X18" s="123"/>
      <c r="Y18" s="123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25"/>
      <c r="AO18" s="13"/>
      <c r="AR18" s="114"/>
    </row>
    <row r="19" spans="1:44" ht="19.5" x14ac:dyDescent="0.4">
      <c r="A19" s="117">
        <v>45313</v>
      </c>
      <c r="B19" s="123">
        <v>2</v>
      </c>
      <c r="C19" s="123">
        <v>2</v>
      </c>
      <c r="D19" s="123">
        <v>6</v>
      </c>
      <c r="I19" s="115"/>
      <c r="J19" s="115"/>
      <c r="K19" s="115"/>
      <c r="L19" s="115"/>
      <c r="M19" s="115"/>
      <c r="N19" s="115"/>
      <c r="O19" s="115"/>
      <c r="P19" s="25">
        <v>45665</v>
      </c>
      <c r="Q19" s="13" t="s">
        <v>198</v>
      </c>
      <c r="V19" s="116"/>
      <c r="W19" s="123"/>
      <c r="X19" s="123"/>
      <c r="Y19" s="123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25"/>
      <c r="AO19" s="13"/>
      <c r="AR19" s="114"/>
    </row>
    <row r="20" spans="1:44" ht="19.5" x14ac:dyDescent="0.4">
      <c r="A20" s="117">
        <v>45314</v>
      </c>
      <c r="B20" s="123"/>
      <c r="C20" s="123">
        <v>2</v>
      </c>
      <c r="D20" s="123"/>
      <c r="I20" s="115"/>
      <c r="J20" s="115"/>
      <c r="K20" s="115"/>
      <c r="L20" s="115"/>
      <c r="M20" s="115"/>
      <c r="N20" s="115"/>
      <c r="O20" s="115"/>
      <c r="P20" s="25">
        <v>45665</v>
      </c>
      <c r="Q20" s="13" t="s">
        <v>198</v>
      </c>
      <c r="V20" s="116"/>
      <c r="W20" s="123"/>
      <c r="X20" s="123"/>
      <c r="Y20" s="123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25"/>
      <c r="AO20" s="13"/>
      <c r="AR20" s="114"/>
    </row>
    <row r="21" spans="1:44" ht="19.5" x14ac:dyDescent="0.4">
      <c r="A21" s="117">
        <v>45316</v>
      </c>
      <c r="B21" s="123">
        <v>2</v>
      </c>
      <c r="C21" s="123"/>
      <c r="D21" s="123">
        <v>1</v>
      </c>
      <c r="I21" s="115"/>
      <c r="J21" s="115"/>
      <c r="K21" s="115"/>
      <c r="L21" s="115"/>
      <c r="M21" s="115"/>
      <c r="N21" s="115"/>
      <c r="O21" s="115"/>
      <c r="P21" s="25">
        <v>45665</v>
      </c>
      <c r="Q21" s="13" t="s">
        <v>192</v>
      </c>
      <c r="V21" s="116"/>
      <c r="W21" s="123"/>
      <c r="X21" s="123"/>
      <c r="Y21" s="123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25"/>
      <c r="AO21" s="13"/>
      <c r="AR21" s="114"/>
    </row>
    <row r="22" spans="1:44" ht="19.5" x14ac:dyDescent="0.4">
      <c r="A22" s="117">
        <v>45317</v>
      </c>
      <c r="B22" s="123"/>
      <c r="C22" s="123"/>
      <c r="D22" s="123">
        <v>1</v>
      </c>
      <c r="I22" s="115"/>
      <c r="J22" s="115"/>
      <c r="K22" s="115"/>
      <c r="L22" s="115"/>
      <c r="M22" s="115"/>
      <c r="N22" s="115"/>
      <c r="O22" s="115"/>
      <c r="P22" s="25">
        <v>45665</v>
      </c>
      <c r="Q22" s="15" t="s">
        <v>198</v>
      </c>
      <c r="V22" s="116"/>
      <c r="W22" s="123"/>
      <c r="X22" s="123"/>
      <c r="Y22" s="123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25"/>
      <c r="AO22" s="13"/>
      <c r="AR22" s="114"/>
    </row>
    <row r="23" spans="1:44" ht="19.5" x14ac:dyDescent="0.4">
      <c r="A23" s="117">
        <v>45320</v>
      </c>
      <c r="B23" s="123">
        <v>3</v>
      </c>
      <c r="C23" s="123">
        <v>1</v>
      </c>
      <c r="D23" s="123"/>
      <c r="I23" s="115"/>
      <c r="J23" s="115"/>
      <c r="K23" s="115"/>
      <c r="L23" s="115"/>
      <c r="M23" s="115"/>
      <c r="N23" s="115"/>
      <c r="O23" s="115"/>
      <c r="P23" s="25">
        <v>45665</v>
      </c>
      <c r="Q23" s="15" t="s">
        <v>203</v>
      </c>
      <c r="V23" s="116"/>
      <c r="W23" s="123"/>
      <c r="X23" s="123"/>
      <c r="Y23" s="123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25"/>
      <c r="AO23" s="13"/>
      <c r="AR23" s="114"/>
    </row>
    <row r="24" spans="1:44" ht="19.5" x14ac:dyDescent="0.4">
      <c r="A24" s="117">
        <v>45328</v>
      </c>
      <c r="B24" s="123"/>
      <c r="C24" s="123">
        <v>1</v>
      </c>
      <c r="D24" s="123"/>
      <c r="I24" s="115"/>
      <c r="J24" s="115"/>
      <c r="K24" s="115"/>
      <c r="L24" s="115"/>
      <c r="M24" s="115"/>
      <c r="N24" s="115"/>
      <c r="O24" s="115" t="s">
        <v>183</v>
      </c>
      <c r="P24" s="133">
        <f>SUBTOTAL(3,P18:P23)</f>
        <v>6</v>
      </c>
      <c r="Q24" s="15">
        <f>SUBTOTAL(3,Q18:Q23)</f>
        <v>6</v>
      </c>
      <c r="V24" s="116"/>
      <c r="W24" s="123"/>
      <c r="X24" s="123"/>
      <c r="Y24" s="123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25"/>
      <c r="AO24" s="13"/>
      <c r="AR24" s="114"/>
    </row>
    <row r="25" spans="1:44" ht="19.5" x14ac:dyDescent="0.4">
      <c r="A25" s="117">
        <v>45338</v>
      </c>
      <c r="B25" s="123"/>
      <c r="C25" s="123">
        <v>1</v>
      </c>
      <c r="D25" s="123"/>
      <c r="G25" s="115"/>
      <c r="H25" s="115"/>
      <c r="I25" s="115"/>
      <c r="J25" s="115"/>
      <c r="K25" s="115"/>
      <c r="L25" s="115"/>
      <c r="M25" s="115"/>
      <c r="N25" s="115"/>
      <c r="O25" s="115"/>
      <c r="P25" s="30">
        <v>45669</v>
      </c>
      <c r="Q25" s="15" t="s">
        <v>192</v>
      </c>
      <c r="V25" s="116"/>
      <c r="W25" s="123"/>
      <c r="X25" s="123"/>
      <c r="Y25" s="123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25"/>
      <c r="AO25" s="13"/>
      <c r="AR25" s="114"/>
    </row>
    <row r="26" spans="1:44" ht="19.5" x14ac:dyDescent="0.4">
      <c r="A26" s="117"/>
      <c r="B26" s="123">
        <f>SUM(B3:B25)</f>
        <v>54</v>
      </c>
      <c r="C26" s="123">
        <f>SUM(C3:C25)</f>
        <v>34</v>
      </c>
      <c r="D26" s="123">
        <f>SUM(D2:D25)</f>
        <v>29</v>
      </c>
      <c r="G26" s="115"/>
      <c r="H26" s="115"/>
      <c r="I26" s="115"/>
      <c r="J26" s="115"/>
      <c r="K26" s="115"/>
      <c r="L26" s="115"/>
      <c r="M26" s="115"/>
      <c r="N26" s="115"/>
      <c r="O26" s="115"/>
      <c r="P26" s="25">
        <v>45669</v>
      </c>
      <c r="Q26" s="13" t="s">
        <v>192</v>
      </c>
      <c r="V26" s="116"/>
      <c r="W26" s="123"/>
      <c r="X26" s="123"/>
      <c r="Y26" s="123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25"/>
      <c r="AO26" s="13"/>
      <c r="AR26" s="114"/>
    </row>
    <row r="27" spans="1:44" ht="19.5" x14ac:dyDescent="0.4">
      <c r="A27" s="117"/>
      <c r="B27" s="123"/>
      <c r="C27" s="123"/>
      <c r="D27" s="123">
        <f>SUM(B26:D26)</f>
        <v>117</v>
      </c>
      <c r="G27" s="115"/>
      <c r="H27" s="115"/>
      <c r="I27" s="115"/>
      <c r="J27" s="115"/>
      <c r="K27" s="115"/>
      <c r="L27" s="115"/>
      <c r="M27" s="115"/>
      <c r="N27" s="115"/>
      <c r="O27" s="115"/>
      <c r="P27" s="25">
        <v>45669</v>
      </c>
      <c r="Q27" s="13" t="s">
        <v>192</v>
      </c>
      <c r="V27" s="116"/>
      <c r="W27" s="123"/>
      <c r="X27" s="123"/>
      <c r="Y27" s="123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25"/>
      <c r="AO27" s="13"/>
      <c r="AR27" s="114"/>
    </row>
    <row r="28" spans="1:44" ht="19.5" x14ac:dyDescent="0.4">
      <c r="A28" s="117"/>
      <c r="B28" s="123"/>
      <c r="C28" s="123"/>
      <c r="D28" s="123"/>
      <c r="G28" s="115"/>
      <c r="H28" s="115"/>
      <c r="I28" s="115"/>
      <c r="J28" s="115"/>
      <c r="K28" s="115"/>
      <c r="L28" s="115"/>
      <c r="M28" s="115"/>
      <c r="N28" s="115"/>
      <c r="O28" s="115"/>
      <c r="P28" s="25">
        <v>45669</v>
      </c>
      <c r="Q28" s="13" t="s">
        <v>192</v>
      </c>
      <c r="V28" s="116"/>
      <c r="W28" s="123"/>
      <c r="X28" s="123"/>
      <c r="Y28" s="123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25"/>
      <c r="AO28" s="13"/>
      <c r="AR28" s="114"/>
    </row>
    <row r="29" spans="1:44" ht="19.5" x14ac:dyDescent="0.4">
      <c r="A29" s="117"/>
      <c r="B29" s="123"/>
      <c r="C29" s="123"/>
      <c r="D29" s="123"/>
      <c r="G29" s="115"/>
      <c r="H29" s="115"/>
      <c r="I29" s="115"/>
      <c r="J29" s="115"/>
      <c r="K29" s="115"/>
      <c r="L29" s="115"/>
      <c r="M29" s="115"/>
      <c r="N29" s="115"/>
      <c r="O29" s="115"/>
      <c r="P29" s="25">
        <v>45669</v>
      </c>
      <c r="Q29" s="13" t="s">
        <v>192</v>
      </c>
      <c r="V29" s="116"/>
      <c r="W29" s="123"/>
      <c r="X29" s="123"/>
      <c r="Y29" s="123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25"/>
      <c r="AO29" s="13"/>
      <c r="AR29" s="114"/>
    </row>
    <row r="30" spans="1:44" ht="19.5" x14ac:dyDescent="0.4">
      <c r="A30" s="117"/>
      <c r="B30" s="123"/>
      <c r="C30" s="123"/>
      <c r="D30" s="123"/>
      <c r="G30" s="115"/>
      <c r="H30" s="115"/>
      <c r="I30" s="115"/>
      <c r="J30" s="115"/>
      <c r="K30" s="115"/>
      <c r="L30" s="115"/>
      <c r="M30" s="115"/>
      <c r="N30" s="115"/>
      <c r="O30" s="115"/>
      <c r="P30" s="25">
        <v>45669</v>
      </c>
      <c r="Q30" s="13" t="s">
        <v>192</v>
      </c>
      <c r="V30" s="116"/>
      <c r="W30" s="123"/>
      <c r="X30" s="123"/>
      <c r="Y30" s="123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25"/>
      <c r="AO30" s="13"/>
      <c r="AR30" s="114"/>
    </row>
    <row r="31" spans="1:44" ht="19.5" x14ac:dyDescent="0.4">
      <c r="A31" s="117"/>
      <c r="B31" s="123"/>
      <c r="C31" s="123"/>
      <c r="D31" s="123"/>
      <c r="G31" s="115"/>
      <c r="H31" s="115"/>
      <c r="I31" s="115"/>
      <c r="J31" s="115"/>
      <c r="K31" s="115"/>
      <c r="L31" s="115"/>
      <c r="M31" s="115"/>
      <c r="N31" s="115"/>
      <c r="O31" s="115"/>
      <c r="P31" s="25">
        <v>45669</v>
      </c>
      <c r="Q31" s="13" t="s">
        <v>192</v>
      </c>
      <c r="V31" s="116"/>
      <c r="W31" s="123"/>
      <c r="X31" s="123"/>
      <c r="Y31" s="123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25"/>
      <c r="AO31" s="13"/>
      <c r="AR31" s="114"/>
    </row>
    <row r="32" spans="1:44" ht="19.5" x14ac:dyDescent="0.4">
      <c r="A32" s="117"/>
      <c r="B32" s="123"/>
      <c r="C32" s="123"/>
      <c r="D32" s="123"/>
      <c r="G32" s="115"/>
      <c r="H32" s="115"/>
      <c r="I32" s="115"/>
      <c r="J32" s="115"/>
      <c r="K32" s="115"/>
      <c r="L32" s="115"/>
      <c r="M32" s="115"/>
      <c r="N32" s="115"/>
      <c r="O32" s="115"/>
      <c r="P32" s="25">
        <v>45669</v>
      </c>
      <c r="Q32" s="13" t="s">
        <v>192</v>
      </c>
      <c r="V32" s="116"/>
      <c r="W32" s="123"/>
      <c r="X32" s="123"/>
      <c r="Y32" s="123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25"/>
      <c r="AO32" s="13"/>
      <c r="AR32" s="114"/>
    </row>
    <row r="33" spans="1:44" ht="19.5" x14ac:dyDescent="0.4">
      <c r="A33" s="117"/>
      <c r="B33" s="123"/>
      <c r="C33" s="123"/>
      <c r="D33" s="123"/>
      <c r="G33" s="115"/>
      <c r="H33" s="115"/>
      <c r="I33" s="115"/>
      <c r="J33" s="115"/>
      <c r="K33" s="115"/>
      <c r="L33" s="115"/>
      <c r="M33" s="115"/>
      <c r="N33" s="115"/>
      <c r="O33" s="115"/>
      <c r="P33" s="25">
        <v>45669</v>
      </c>
      <c r="Q33" s="13" t="s">
        <v>192</v>
      </c>
      <c r="V33" s="116"/>
      <c r="W33" s="123"/>
      <c r="X33" s="123"/>
      <c r="Y33" s="123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25"/>
      <c r="AO33" s="13"/>
      <c r="AR33" s="114"/>
    </row>
    <row r="34" spans="1:44" ht="19.5" x14ac:dyDescent="0.4">
      <c r="A34" s="117"/>
      <c r="B34" s="123"/>
      <c r="C34" s="123"/>
      <c r="D34" s="123"/>
      <c r="P34" s="25">
        <v>45669</v>
      </c>
      <c r="Q34" s="13" t="s">
        <v>192</v>
      </c>
      <c r="V34" s="116"/>
      <c r="W34" s="123"/>
      <c r="X34" s="123"/>
      <c r="Y34" s="123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25"/>
      <c r="AO34" s="13"/>
      <c r="AR34" s="114"/>
    </row>
    <row r="35" spans="1:44" ht="19.5" x14ac:dyDescent="0.4">
      <c r="A35" s="117"/>
      <c r="B35" s="123"/>
      <c r="C35" s="123"/>
      <c r="D35" s="123"/>
      <c r="I35" s="115"/>
      <c r="J35" s="115"/>
      <c r="K35" s="115"/>
      <c r="L35" s="115"/>
      <c r="M35" s="115"/>
      <c r="N35" s="115"/>
      <c r="O35" s="115"/>
      <c r="P35" s="25">
        <v>45669</v>
      </c>
      <c r="Q35" s="13" t="s">
        <v>203</v>
      </c>
      <c r="V35" s="116"/>
      <c r="W35" s="123"/>
      <c r="X35" s="123"/>
      <c r="Y35" s="123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25"/>
      <c r="AO35" s="13"/>
      <c r="AR35" s="114"/>
    </row>
    <row r="36" spans="1:44" ht="19.5" x14ac:dyDescent="0.4">
      <c r="A36" s="117"/>
      <c r="B36" s="123"/>
      <c r="C36" s="123"/>
      <c r="D36" s="123"/>
      <c r="I36" s="115"/>
      <c r="J36" s="115"/>
      <c r="K36" s="115"/>
      <c r="L36" s="115"/>
      <c r="M36" s="115"/>
      <c r="N36" s="115"/>
      <c r="O36" s="115"/>
      <c r="P36" s="25">
        <v>45669</v>
      </c>
      <c r="Q36" s="13" t="s">
        <v>203</v>
      </c>
      <c r="V36" s="116"/>
      <c r="W36" s="123"/>
      <c r="X36" s="123"/>
      <c r="Y36" s="123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25"/>
      <c r="AO36" s="13"/>
      <c r="AR36" s="114"/>
    </row>
    <row r="37" spans="1:44" ht="19.5" x14ac:dyDescent="0.4">
      <c r="A37" s="117"/>
      <c r="B37" s="123"/>
      <c r="C37" s="123"/>
      <c r="D37" s="123"/>
      <c r="I37" s="115"/>
      <c r="J37" s="115"/>
      <c r="K37" s="115"/>
      <c r="L37" s="115"/>
      <c r="M37" s="115"/>
      <c r="N37" s="115"/>
      <c r="O37" s="115"/>
      <c r="P37" s="25">
        <v>45669</v>
      </c>
      <c r="Q37" s="13" t="s">
        <v>198</v>
      </c>
      <c r="V37" s="116"/>
      <c r="W37" s="123"/>
      <c r="X37" s="123"/>
      <c r="Y37" s="123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25"/>
      <c r="AO37" s="13"/>
      <c r="AR37" s="114"/>
    </row>
    <row r="38" spans="1:44" ht="19.5" x14ac:dyDescent="0.4">
      <c r="A38" s="117"/>
      <c r="B38" s="123"/>
      <c r="C38" s="123"/>
      <c r="D38" s="123"/>
      <c r="I38" s="115"/>
      <c r="J38" s="115"/>
      <c r="K38" s="115"/>
      <c r="L38" s="115"/>
      <c r="M38" s="115"/>
      <c r="N38" s="115"/>
      <c r="O38" s="115" t="s">
        <v>184</v>
      </c>
      <c r="P38" s="13">
        <f>SUBTOTAL(3,P25:P37)</f>
        <v>13</v>
      </c>
      <c r="Q38" s="13">
        <f>SUBTOTAL(3,Q25:Q37)</f>
        <v>13</v>
      </c>
      <c r="V38" s="116"/>
      <c r="W38" s="123"/>
      <c r="X38" s="123"/>
      <c r="Y38" s="123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25"/>
      <c r="AO38" s="13"/>
      <c r="AR38" s="114"/>
    </row>
    <row r="39" spans="1:44" ht="19.5" x14ac:dyDescent="0.4">
      <c r="A39" s="117"/>
      <c r="B39" s="123"/>
      <c r="C39" s="123"/>
      <c r="D39" s="123"/>
      <c r="I39" s="115"/>
      <c r="J39" s="115"/>
      <c r="K39" s="115"/>
      <c r="L39" s="115"/>
      <c r="M39" s="115"/>
      <c r="N39" s="115"/>
      <c r="O39" s="115"/>
      <c r="P39" s="25">
        <v>45670</v>
      </c>
      <c r="Q39" s="13" t="s">
        <v>192</v>
      </c>
      <c r="V39" s="116"/>
      <c r="W39" s="123"/>
      <c r="X39" s="123"/>
      <c r="Y39" s="123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25"/>
      <c r="AO39" s="13"/>
      <c r="AR39" s="114"/>
    </row>
    <row r="40" spans="1:44" ht="19.5" x14ac:dyDescent="0.4">
      <c r="A40" s="117"/>
      <c r="B40" s="123"/>
      <c r="C40" s="123"/>
      <c r="D40" s="123"/>
      <c r="I40" s="115"/>
      <c r="J40" s="115"/>
      <c r="K40" s="115"/>
      <c r="L40" s="115"/>
      <c r="M40" s="115"/>
      <c r="N40" s="115"/>
      <c r="O40" s="115"/>
      <c r="P40" s="25">
        <v>45670</v>
      </c>
      <c r="Q40" s="13" t="s">
        <v>203</v>
      </c>
      <c r="V40" s="116"/>
      <c r="W40" s="123"/>
      <c r="X40" s="123"/>
      <c r="Y40" s="123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25"/>
      <c r="AO40" s="13"/>
      <c r="AR40" s="114"/>
    </row>
    <row r="41" spans="1:44" ht="19.5" x14ac:dyDescent="0.4">
      <c r="A41" s="117"/>
      <c r="B41" s="123"/>
      <c r="C41" s="123"/>
      <c r="D41" s="123"/>
      <c r="I41" s="115"/>
      <c r="J41" s="115"/>
      <c r="K41" s="115"/>
      <c r="L41" s="115"/>
      <c r="M41" s="115"/>
      <c r="N41" s="115"/>
      <c r="O41" s="115"/>
      <c r="P41" s="25">
        <v>45670</v>
      </c>
      <c r="Q41" s="15" t="s">
        <v>192</v>
      </c>
      <c r="V41" s="116"/>
      <c r="W41" s="123"/>
      <c r="X41" s="123"/>
      <c r="Y41" s="123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25"/>
      <c r="AO41" s="13"/>
      <c r="AR41" s="114"/>
    </row>
    <row r="42" spans="1:44" ht="19.5" x14ac:dyDescent="0.4">
      <c r="A42" s="117"/>
      <c r="B42" s="123"/>
      <c r="C42" s="123"/>
      <c r="D42" s="123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25">
        <v>45670</v>
      </c>
      <c r="Q42" s="15" t="s">
        <v>198</v>
      </c>
      <c r="V42" s="116"/>
      <c r="W42" s="123"/>
      <c r="X42" s="123"/>
      <c r="Y42" s="123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25"/>
      <c r="AO42" s="13"/>
      <c r="AR42" s="114"/>
    </row>
    <row r="43" spans="1:44" ht="19.5" x14ac:dyDescent="0.4">
      <c r="A43" s="117"/>
      <c r="B43" s="123"/>
      <c r="C43" s="123"/>
      <c r="D43" s="123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25">
        <v>45670</v>
      </c>
      <c r="Q43" s="13" t="s">
        <v>198</v>
      </c>
      <c r="V43" s="116"/>
      <c r="W43" s="123"/>
      <c r="X43" s="123"/>
      <c r="Y43" s="123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25"/>
      <c r="AO43" s="13"/>
      <c r="AR43" s="114"/>
    </row>
    <row r="44" spans="1:44" ht="19.5" x14ac:dyDescent="0.4">
      <c r="A44" s="117"/>
      <c r="B44" s="123"/>
      <c r="C44" s="123"/>
      <c r="D44" s="123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25">
        <v>45670</v>
      </c>
      <c r="Q44" s="13" t="s">
        <v>192</v>
      </c>
      <c r="V44" s="116"/>
      <c r="W44" s="123"/>
      <c r="X44" s="123"/>
      <c r="Y44" s="123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25"/>
      <c r="AO44" s="13"/>
      <c r="AR44" s="114"/>
    </row>
    <row r="45" spans="1:44" ht="19.5" x14ac:dyDescent="0.4">
      <c r="A45" s="117"/>
      <c r="B45" s="123"/>
      <c r="C45" s="123"/>
      <c r="D45" s="123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25">
        <v>45670</v>
      </c>
      <c r="Q45" s="13" t="s">
        <v>203</v>
      </c>
      <c r="V45" s="116"/>
      <c r="W45" s="123"/>
      <c r="X45" s="123"/>
      <c r="Y45" s="123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25"/>
      <c r="AO45" s="13"/>
      <c r="AR45" s="114"/>
    </row>
    <row r="46" spans="1:44" ht="19.5" x14ac:dyDescent="0.4">
      <c r="A46" s="117"/>
      <c r="B46" s="123"/>
      <c r="C46" s="123"/>
      <c r="D46" s="123"/>
      <c r="F46" s="115"/>
      <c r="G46" s="115"/>
      <c r="H46" s="115"/>
      <c r="I46" s="115"/>
      <c r="J46" s="115"/>
      <c r="K46" s="115"/>
      <c r="L46" s="115"/>
      <c r="M46" s="115"/>
      <c r="N46" s="115"/>
      <c r="O46" s="115" t="s">
        <v>185</v>
      </c>
      <c r="P46" s="13">
        <f>SUBTOTAL(3,P39:P45)</f>
        <v>7</v>
      </c>
      <c r="Q46" s="13">
        <f>SUBTOTAL(3,Q39:Q45)</f>
        <v>7</v>
      </c>
      <c r="V46" s="116"/>
      <c r="W46" s="123"/>
      <c r="X46" s="123"/>
      <c r="Y46" s="123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25"/>
      <c r="AO46" s="13"/>
      <c r="AR46" s="114"/>
    </row>
    <row r="47" spans="1:44" ht="19.5" x14ac:dyDescent="0.4">
      <c r="A47" s="117"/>
      <c r="B47" s="123"/>
      <c r="C47" s="123"/>
      <c r="D47" s="123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25">
        <v>45671</v>
      </c>
      <c r="Q47" s="13" t="s">
        <v>192</v>
      </c>
      <c r="V47" s="116"/>
      <c r="W47" s="123"/>
      <c r="X47" s="123"/>
      <c r="Y47" s="123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25"/>
      <c r="AO47" s="13"/>
      <c r="AR47" s="114"/>
    </row>
    <row r="48" spans="1:44" ht="19.5" x14ac:dyDescent="0.4">
      <c r="A48" s="117"/>
      <c r="B48" s="123"/>
      <c r="C48" s="123"/>
      <c r="D48" s="123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25">
        <v>45671</v>
      </c>
      <c r="Q48" s="13" t="s">
        <v>192</v>
      </c>
      <c r="V48" s="116"/>
      <c r="W48" s="123"/>
      <c r="X48" s="123"/>
      <c r="Y48" s="123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25"/>
      <c r="AO48" s="13"/>
      <c r="AR48" s="114"/>
    </row>
    <row r="49" spans="1:44" ht="19.5" x14ac:dyDescent="0.4">
      <c r="A49" s="117"/>
      <c r="B49" s="123"/>
      <c r="C49" s="123"/>
      <c r="D49" s="123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25">
        <v>45671</v>
      </c>
      <c r="Q49" s="13" t="s">
        <v>203</v>
      </c>
      <c r="V49" s="116"/>
      <c r="W49" s="123"/>
      <c r="X49" s="123"/>
      <c r="Y49" s="123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25"/>
      <c r="AO49" s="13"/>
      <c r="AR49" s="114"/>
    </row>
    <row r="50" spans="1:44" ht="19.5" x14ac:dyDescent="0.4">
      <c r="A50" s="117"/>
      <c r="B50" s="123"/>
      <c r="C50" s="123"/>
      <c r="D50" s="123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25">
        <v>45671</v>
      </c>
      <c r="Q50" s="13" t="s">
        <v>192</v>
      </c>
      <c r="V50" s="116"/>
      <c r="W50" s="123"/>
      <c r="X50" s="123"/>
      <c r="Y50" s="123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25"/>
      <c r="AO50" s="13"/>
      <c r="AR50" s="114"/>
    </row>
    <row r="51" spans="1:44" ht="19.5" x14ac:dyDescent="0.4">
      <c r="A51" s="117"/>
      <c r="B51" s="123"/>
      <c r="C51" s="123"/>
      <c r="D51" s="123"/>
      <c r="P51" s="25">
        <v>45671</v>
      </c>
      <c r="Q51" s="13" t="s">
        <v>192</v>
      </c>
      <c r="V51" s="117"/>
      <c r="W51" s="123"/>
      <c r="X51" s="123"/>
      <c r="Y51" s="123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 t="s">
        <v>149</v>
      </c>
      <c r="AN51" s="13">
        <f>SUBTOTAL(3,AN2:AN2)</f>
        <v>1</v>
      </c>
      <c r="AO51" s="13">
        <f>SUBTOTAL(3,AO2:AO2)</f>
        <v>1</v>
      </c>
      <c r="AR51" s="114"/>
    </row>
    <row r="52" spans="1:44" ht="19.5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115"/>
      <c r="P52" s="25">
        <v>45671</v>
      </c>
      <c r="Q52" s="13" t="s">
        <v>192</v>
      </c>
      <c r="V52" s="117"/>
      <c r="W52" s="123"/>
      <c r="X52" s="123"/>
      <c r="Y52" s="123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3"/>
      <c r="AO52" s="13"/>
      <c r="AR52" s="114"/>
    </row>
    <row r="53" spans="1:44" ht="19.5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115"/>
      <c r="P53" s="25">
        <v>45671</v>
      </c>
      <c r="Q53" s="13" t="s">
        <v>203</v>
      </c>
      <c r="V53" s="117"/>
      <c r="W53" s="123"/>
      <c r="X53" s="123"/>
      <c r="Y53" s="123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3"/>
      <c r="AO53" s="13"/>
      <c r="AR53" s="114"/>
    </row>
    <row r="54" spans="1:44" ht="19.5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115"/>
      <c r="P54" s="25">
        <v>45671</v>
      </c>
      <c r="Q54" s="13" t="s">
        <v>203</v>
      </c>
      <c r="V54" s="117"/>
      <c r="W54" s="123"/>
      <c r="X54" s="123"/>
      <c r="Y54" s="123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3"/>
      <c r="AO54" s="13"/>
      <c r="AR54" s="114"/>
    </row>
    <row r="55" spans="1:44" ht="19.5" x14ac:dyDescent="0.4">
      <c r="A55" s="117"/>
      <c r="B55" s="123"/>
      <c r="C55" s="123"/>
      <c r="D55" s="123"/>
      <c r="P55" s="25">
        <v>45671</v>
      </c>
      <c r="Q55" s="13" t="s">
        <v>203</v>
      </c>
      <c r="V55" s="117"/>
      <c r="W55" s="123"/>
      <c r="X55" s="123"/>
      <c r="Y55" s="123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3"/>
      <c r="AO55" s="13"/>
      <c r="AR55" s="114"/>
    </row>
    <row r="56" spans="1:44" ht="19.5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115"/>
      <c r="O56" s="115"/>
      <c r="P56" s="25">
        <v>45671</v>
      </c>
      <c r="Q56" s="13" t="s">
        <v>203</v>
      </c>
      <c r="V56" s="117"/>
      <c r="W56" s="123"/>
      <c r="X56" s="123"/>
      <c r="Y56" s="123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3"/>
      <c r="AO56" s="13"/>
      <c r="AR56" s="114"/>
    </row>
    <row r="57" spans="1:44" ht="19.5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115"/>
      <c r="P57" s="25">
        <v>45671</v>
      </c>
      <c r="Q57" s="13" t="s">
        <v>192</v>
      </c>
      <c r="V57" s="117"/>
      <c r="W57" s="123"/>
      <c r="X57" s="123"/>
      <c r="Y57" s="123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3"/>
      <c r="AO57" s="13"/>
      <c r="AR57" s="114"/>
    </row>
    <row r="58" spans="1:44" ht="19.5" x14ac:dyDescent="0.4">
      <c r="A58" s="117"/>
      <c r="B58" s="123"/>
      <c r="C58" s="123"/>
      <c r="D58" s="123"/>
      <c r="G58" s="115"/>
      <c r="H58" s="115"/>
      <c r="I58" s="115"/>
      <c r="J58" s="115"/>
      <c r="K58" s="115"/>
      <c r="L58" s="115"/>
      <c r="M58" s="115"/>
      <c r="N58" s="115"/>
      <c r="O58" s="115"/>
      <c r="P58" s="25">
        <v>45671</v>
      </c>
      <c r="Q58" s="13" t="s">
        <v>203</v>
      </c>
      <c r="V58" s="117"/>
      <c r="W58" s="123"/>
      <c r="X58" s="123"/>
      <c r="Y58" s="123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3"/>
      <c r="AO58" s="13"/>
      <c r="AR58" s="114"/>
    </row>
    <row r="59" spans="1:44" ht="19.5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115"/>
      <c r="P59" s="25">
        <v>45671</v>
      </c>
      <c r="Q59" s="13" t="s">
        <v>198</v>
      </c>
      <c r="V59" s="117"/>
      <c r="W59" s="123"/>
      <c r="X59" s="123"/>
      <c r="Y59" s="123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3"/>
      <c r="AO59" s="13"/>
      <c r="AR59" s="114"/>
    </row>
    <row r="60" spans="1:44" ht="19.5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115"/>
      <c r="P60" s="25">
        <v>45671</v>
      </c>
      <c r="Q60" s="13" t="s">
        <v>203</v>
      </c>
      <c r="V60" s="117"/>
      <c r="W60" s="123"/>
      <c r="X60" s="123"/>
      <c r="Y60" s="123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3"/>
      <c r="AO60" s="13"/>
      <c r="AR60" s="114"/>
    </row>
    <row r="61" spans="1:44" ht="19.5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115"/>
      <c r="N61" s="115"/>
      <c r="O61" s="115"/>
      <c r="P61" s="25">
        <v>45671</v>
      </c>
      <c r="Q61" s="13" t="s">
        <v>203</v>
      </c>
      <c r="V61" s="117"/>
      <c r="W61" s="123"/>
      <c r="X61" s="123"/>
      <c r="Y61" s="123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3"/>
      <c r="AO61" s="13"/>
      <c r="AR61" s="114"/>
    </row>
    <row r="62" spans="1:44" ht="19.5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115" t="s">
        <v>186</v>
      </c>
      <c r="P62" s="13">
        <f>SUBTOTAL(3,P47:P61)</f>
        <v>15</v>
      </c>
      <c r="Q62" s="13">
        <f>SUBTOTAL(3,Q47:Q61)</f>
        <v>15</v>
      </c>
      <c r="V62" s="117"/>
      <c r="W62" s="123"/>
      <c r="X62" s="123"/>
      <c r="Y62" s="123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3"/>
      <c r="AO62" s="13"/>
      <c r="AR62" s="114"/>
    </row>
    <row r="63" spans="1:44" ht="19.5" x14ac:dyDescent="0.4">
      <c r="A63" s="117"/>
      <c r="B63" s="123"/>
      <c r="C63" s="123"/>
      <c r="D63" s="123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25">
        <v>45672</v>
      </c>
      <c r="Q63" s="13" t="s">
        <v>203</v>
      </c>
      <c r="V63" s="117"/>
      <c r="W63" s="123"/>
      <c r="X63" s="123"/>
      <c r="Y63" s="123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3"/>
      <c r="AO63" s="13"/>
      <c r="AR63" s="114"/>
    </row>
    <row r="64" spans="1:44" ht="19.5" x14ac:dyDescent="0.4">
      <c r="A64" s="117"/>
      <c r="B64" s="123"/>
      <c r="C64" s="123"/>
      <c r="D64" s="123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25">
        <v>45672</v>
      </c>
      <c r="Q64" s="13" t="s">
        <v>198</v>
      </c>
      <c r="V64" s="117"/>
      <c r="W64" s="123"/>
      <c r="X64" s="123"/>
      <c r="Y64" s="123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3"/>
      <c r="AO64" s="13"/>
      <c r="AR64" s="114"/>
    </row>
    <row r="65" spans="1:44" ht="19.5" x14ac:dyDescent="0.4">
      <c r="A65" s="117"/>
      <c r="B65" s="123"/>
      <c r="C65" s="123"/>
      <c r="D65" s="123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25">
        <v>45672</v>
      </c>
      <c r="Q65" s="13" t="s">
        <v>192</v>
      </c>
      <c r="V65" s="117"/>
      <c r="W65" s="123"/>
      <c r="X65" s="123"/>
      <c r="Y65" s="123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3"/>
      <c r="AO65" s="13"/>
      <c r="AR65" s="114"/>
    </row>
    <row r="66" spans="1:44" ht="19.5" x14ac:dyDescent="0.4">
      <c r="A66" s="117"/>
      <c r="B66" s="123"/>
      <c r="C66" s="123"/>
      <c r="D66" s="123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25">
        <v>45672</v>
      </c>
      <c r="Q66" s="13" t="s">
        <v>192</v>
      </c>
      <c r="V66" s="117"/>
      <c r="W66" s="123"/>
      <c r="X66" s="123"/>
      <c r="Y66" s="123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3"/>
      <c r="AO66" s="13"/>
      <c r="AR66" s="114"/>
    </row>
    <row r="67" spans="1:44" ht="19.5" x14ac:dyDescent="0.4">
      <c r="A67" s="117"/>
      <c r="B67" s="123"/>
      <c r="C67" s="123"/>
      <c r="D67" s="123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25">
        <v>45672</v>
      </c>
      <c r="Q67" s="13" t="s">
        <v>192</v>
      </c>
      <c r="V67" s="117"/>
      <c r="W67" s="123"/>
      <c r="X67" s="123"/>
      <c r="Y67" s="123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3"/>
      <c r="AO67" s="13"/>
      <c r="AR67" s="114"/>
    </row>
    <row r="68" spans="1:44" ht="19.5" x14ac:dyDescent="0.4">
      <c r="A68" s="117"/>
      <c r="B68" s="123"/>
      <c r="C68" s="123"/>
      <c r="D68" s="123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25">
        <v>45672</v>
      </c>
      <c r="Q68" s="13" t="s">
        <v>198</v>
      </c>
      <c r="V68" s="117"/>
      <c r="W68" s="123"/>
      <c r="X68" s="123"/>
      <c r="Y68" s="123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3"/>
      <c r="AO68" s="13"/>
      <c r="AR68" s="114"/>
    </row>
    <row r="69" spans="1:44" ht="19.5" x14ac:dyDescent="0.4">
      <c r="A69" s="117"/>
      <c r="B69" s="123"/>
      <c r="C69" s="123"/>
      <c r="D69" s="123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25">
        <v>45672</v>
      </c>
      <c r="Q69" s="13" t="s">
        <v>203</v>
      </c>
      <c r="V69" s="117"/>
      <c r="W69" s="123"/>
      <c r="X69" s="123"/>
      <c r="Y69" s="123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3"/>
      <c r="AO69" s="13"/>
      <c r="AR69" s="114"/>
    </row>
    <row r="70" spans="1:44" ht="19.5" x14ac:dyDescent="0.4">
      <c r="A70" s="117"/>
      <c r="B70" s="123"/>
      <c r="C70" s="123"/>
      <c r="D70" s="123"/>
      <c r="F70" s="115"/>
      <c r="G70" s="115"/>
      <c r="H70" s="115"/>
      <c r="I70" s="115"/>
      <c r="J70" s="115"/>
      <c r="K70" s="115"/>
      <c r="L70" s="115"/>
      <c r="M70" s="115"/>
      <c r="N70" s="115"/>
      <c r="O70" s="115" t="s">
        <v>349</v>
      </c>
      <c r="P70" s="13">
        <f>SUBTOTAL(3,P63:P69)</f>
        <v>7</v>
      </c>
      <c r="Q70" s="13">
        <f>SUBTOTAL(3,Q63:Q69)</f>
        <v>7</v>
      </c>
      <c r="V70" s="117"/>
      <c r="W70" s="123"/>
      <c r="X70" s="123"/>
      <c r="Y70" s="123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3"/>
      <c r="AO70" s="13"/>
      <c r="AR70" s="114"/>
    </row>
    <row r="71" spans="1:44" ht="19.5" x14ac:dyDescent="0.4">
      <c r="A71" s="117"/>
      <c r="B71" s="123"/>
      <c r="C71" s="123"/>
      <c r="D71" s="123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25">
        <v>45673</v>
      </c>
      <c r="Q71" s="13" t="s">
        <v>192</v>
      </c>
      <c r="V71" s="117"/>
      <c r="W71" s="123"/>
      <c r="X71" s="123"/>
      <c r="Y71" s="123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3"/>
      <c r="AO71" s="13"/>
      <c r="AR71" s="114"/>
    </row>
    <row r="72" spans="1:44" ht="19.5" x14ac:dyDescent="0.4">
      <c r="A72" s="117"/>
      <c r="B72" s="123"/>
      <c r="C72" s="123"/>
      <c r="D72" s="123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25">
        <v>45673</v>
      </c>
      <c r="Q72" s="13" t="s">
        <v>192</v>
      </c>
      <c r="V72" s="117"/>
      <c r="W72" s="123"/>
      <c r="X72" s="123"/>
      <c r="Y72" s="123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3"/>
      <c r="AO72" s="13"/>
      <c r="AR72" s="114"/>
    </row>
    <row r="73" spans="1:44" ht="19.5" x14ac:dyDescent="0.4">
      <c r="A73" s="117"/>
      <c r="B73" s="123"/>
      <c r="C73" s="123"/>
      <c r="D73" s="123"/>
      <c r="F73" s="115"/>
      <c r="G73" s="115"/>
      <c r="H73" s="115"/>
      <c r="I73" s="115"/>
      <c r="J73" s="115"/>
      <c r="K73" s="115"/>
      <c r="L73" s="115"/>
      <c r="M73" s="115"/>
      <c r="N73" s="115"/>
      <c r="O73" s="115" t="s">
        <v>350</v>
      </c>
      <c r="P73" s="13">
        <f>SUBTOTAL(3,P71:P72)</f>
        <v>2</v>
      </c>
      <c r="Q73" s="13">
        <f>SUBTOTAL(3,Q71:Q72)</f>
        <v>2</v>
      </c>
      <c r="V73" s="117"/>
      <c r="W73" s="123"/>
      <c r="X73" s="123"/>
      <c r="Y73" s="123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3"/>
      <c r="AO73" s="13"/>
      <c r="AR73" s="114"/>
    </row>
    <row r="74" spans="1:44" ht="19.5" x14ac:dyDescent="0.4">
      <c r="A74" s="117"/>
      <c r="B74" s="123"/>
      <c r="C74" s="123"/>
      <c r="D74" s="123"/>
      <c r="P74" s="25">
        <v>45674</v>
      </c>
      <c r="Q74" s="13" t="s">
        <v>198</v>
      </c>
      <c r="V74" s="117"/>
      <c r="W74" s="123"/>
      <c r="X74" s="123"/>
      <c r="Y74" s="123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25">
        <v>45263</v>
      </c>
      <c r="AO74" s="13" t="s">
        <v>162</v>
      </c>
      <c r="AR74" s="114"/>
    </row>
    <row r="75" spans="1:44" ht="19.5" x14ac:dyDescent="0.4">
      <c r="A75" s="117"/>
      <c r="B75" s="123"/>
      <c r="C75" s="123"/>
      <c r="D75" s="123"/>
      <c r="O75" s="115" t="s">
        <v>351</v>
      </c>
      <c r="P75" s="13">
        <f>SUBTOTAL(3,P74:P74)</f>
        <v>1</v>
      </c>
      <c r="Q75" s="13">
        <f>SUBTOTAL(3,Q74:Q74)</f>
        <v>1</v>
      </c>
      <c r="V75" s="117"/>
      <c r="W75" s="123"/>
      <c r="X75" s="123"/>
      <c r="Y75" s="123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25"/>
      <c r="AO75" s="13"/>
      <c r="AR75" s="114"/>
    </row>
    <row r="76" spans="1:44" ht="19.5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115"/>
      <c r="O76" s="115"/>
      <c r="P76" s="25">
        <v>45675</v>
      </c>
      <c r="Q76" s="13" t="s">
        <v>192</v>
      </c>
      <c r="V76" s="117"/>
      <c r="W76" s="123"/>
      <c r="X76" s="123"/>
      <c r="Y76" s="123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25"/>
      <c r="AO76" s="13"/>
      <c r="AR76" s="114"/>
    </row>
    <row r="77" spans="1:44" ht="19.5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115"/>
      <c r="N77" s="115"/>
      <c r="O77" s="115"/>
      <c r="P77" s="25">
        <v>45675</v>
      </c>
      <c r="Q77" s="13" t="s">
        <v>192</v>
      </c>
      <c r="V77" s="117"/>
      <c r="W77" s="123"/>
      <c r="X77" s="123"/>
      <c r="Y77" s="123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25"/>
      <c r="AO77" s="13"/>
      <c r="AR77" s="114"/>
    </row>
    <row r="78" spans="1:44" ht="19.5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115"/>
      <c r="O78" s="115"/>
      <c r="P78" s="25">
        <v>45675</v>
      </c>
      <c r="Q78" s="13" t="s">
        <v>142</v>
      </c>
      <c r="V78" s="117"/>
      <c r="W78" s="123"/>
      <c r="X78" s="123"/>
      <c r="Y78" s="123"/>
      <c r="AD78" s="115"/>
      <c r="AE78" s="115"/>
      <c r="AF78" s="115"/>
      <c r="AG78" s="115"/>
      <c r="AH78" s="115"/>
      <c r="AI78" s="115"/>
      <c r="AJ78" s="115"/>
      <c r="AK78" s="115"/>
      <c r="AL78" s="115"/>
      <c r="AM78" s="115"/>
      <c r="AN78" s="25"/>
      <c r="AO78" s="13"/>
      <c r="AR78" s="114"/>
    </row>
    <row r="79" spans="1:44" ht="19.5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/>
      <c r="M79" s="115"/>
      <c r="N79" s="115"/>
      <c r="O79" s="115"/>
      <c r="P79" s="25">
        <v>45675</v>
      </c>
      <c r="Q79" s="13" t="s">
        <v>198</v>
      </c>
      <c r="V79" s="117"/>
      <c r="W79" s="123"/>
      <c r="X79" s="123"/>
      <c r="Y79" s="123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25"/>
      <c r="AO79" s="13"/>
      <c r="AR79" s="114"/>
    </row>
    <row r="80" spans="1:44" ht="19.5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25">
        <v>45675</v>
      </c>
      <c r="Q80" s="13" t="s">
        <v>192</v>
      </c>
      <c r="V80" s="117"/>
      <c r="W80" s="123"/>
      <c r="X80" s="123"/>
      <c r="Y80" s="123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25"/>
      <c r="AO80" s="13"/>
      <c r="AR80" s="114"/>
    </row>
    <row r="81" spans="1:44" ht="19.5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25">
        <v>45675</v>
      </c>
      <c r="Q81" s="13" t="s">
        <v>198</v>
      </c>
      <c r="V81" s="117"/>
      <c r="W81" s="123"/>
      <c r="X81" s="123"/>
      <c r="Y81" s="123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25"/>
      <c r="AO81" s="13"/>
      <c r="AR81" s="114"/>
    </row>
    <row r="82" spans="1:44" ht="19.5" x14ac:dyDescent="0.4">
      <c r="A82" s="117"/>
      <c r="B82" s="123"/>
      <c r="C82" s="123"/>
      <c r="D82" s="123"/>
      <c r="P82" s="25">
        <v>45675</v>
      </c>
      <c r="Q82" s="13" t="s">
        <v>192</v>
      </c>
      <c r="V82" s="117"/>
      <c r="W82" s="123"/>
      <c r="X82" s="123"/>
      <c r="Y82" s="123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 t="s">
        <v>150</v>
      </c>
      <c r="AN82" s="13">
        <f>SUBTOTAL(3,AN74:AN74)</f>
        <v>1</v>
      </c>
      <c r="AO82" s="13">
        <f>SUBTOTAL(3,AO74:AO74)</f>
        <v>1</v>
      </c>
      <c r="AR82" s="114"/>
    </row>
    <row r="83" spans="1:44" ht="19.5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25">
        <v>45675</v>
      </c>
      <c r="Q83" s="13" t="s">
        <v>198</v>
      </c>
      <c r="V83" s="117"/>
      <c r="W83" s="123"/>
      <c r="X83" s="123"/>
      <c r="Y83" s="123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3"/>
      <c r="AO83" s="13"/>
      <c r="AR83" s="114"/>
    </row>
    <row r="84" spans="1:44" ht="19.5" x14ac:dyDescent="0.4">
      <c r="A84" s="117"/>
      <c r="B84" s="123"/>
      <c r="C84" s="123"/>
      <c r="D84" s="123"/>
      <c r="P84" s="25">
        <v>45675</v>
      </c>
      <c r="Q84" s="15" t="s">
        <v>192</v>
      </c>
      <c r="V84" s="117"/>
      <c r="W84" s="123"/>
      <c r="X84" s="123"/>
      <c r="Y84" s="123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25">
        <v>45264</v>
      </c>
      <c r="AO84" s="13" t="s">
        <v>162</v>
      </c>
      <c r="AR84" s="114"/>
    </row>
    <row r="85" spans="1:44" ht="19.5" x14ac:dyDescent="0.4">
      <c r="A85" s="117"/>
      <c r="B85" s="123"/>
      <c r="C85" s="123"/>
      <c r="D85" s="123"/>
      <c r="N85" s="115"/>
      <c r="O85" s="115"/>
      <c r="P85" s="25">
        <v>45675</v>
      </c>
      <c r="Q85" s="15" t="s">
        <v>198</v>
      </c>
      <c r="V85" s="117"/>
      <c r="W85" s="123"/>
      <c r="X85" s="123"/>
      <c r="Y85" s="123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25"/>
      <c r="AO85" s="13"/>
      <c r="AR85" s="114"/>
    </row>
    <row r="86" spans="1:44" ht="19.5" x14ac:dyDescent="0.4">
      <c r="A86" s="117"/>
      <c r="B86" s="123"/>
      <c r="C86" s="123"/>
      <c r="D86" s="123"/>
      <c r="L86" s="115"/>
      <c r="M86" s="115"/>
      <c r="N86" s="115"/>
      <c r="O86" s="115"/>
      <c r="P86" s="25">
        <v>45675</v>
      </c>
      <c r="Q86" s="15" t="s">
        <v>192</v>
      </c>
      <c r="V86" s="117"/>
      <c r="W86" s="123"/>
      <c r="X86" s="123"/>
      <c r="Y86" s="123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25"/>
      <c r="AO86" s="13"/>
      <c r="AR86" s="114"/>
    </row>
    <row r="87" spans="1:44" ht="19.5" x14ac:dyDescent="0.4">
      <c r="A87" s="117"/>
      <c r="B87" s="123"/>
      <c r="C87" s="123"/>
      <c r="D87" s="123"/>
      <c r="L87" s="115"/>
      <c r="M87" s="115"/>
      <c r="N87" s="115"/>
      <c r="O87" s="115"/>
      <c r="P87" s="25">
        <v>45675</v>
      </c>
      <c r="Q87" s="105" t="s">
        <v>203</v>
      </c>
      <c r="V87" s="117"/>
      <c r="W87" s="123"/>
      <c r="X87" s="123"/>
      <c r="Y87" s="123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25"/>
      <c r="AO87" s="13"/>
      <c r="AR87" s="114"/>
    </row>
    <row r="88" spans="1:44" ht="19.5" x14ac:dyDescent="0.4">
      <c r="A88" s="117"/>
      <c r="B88" s="123"/>
      <c r="C88" s="123"/>
      <c r="D88" s="123"/>
      <c r="P88" s="25">
        <v>45675</v>
      </c>
      <c r="Q88" s="105" t="s">
        <v>198</v>
      </c>
      <c r="V88" s="117"/>
      <c r="W88" s="123"/>
      <c r="X88" s="123"/>
      <c r="Y88" s="123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 t="s">
        <v>154</v>
      </c>
      <c r="AN88" s="13">
        <f>SUBTOTAL(3,AN84:AN84)</f>
        <v>1</v>
      </c>
      <c r="AO88" s="13">
        <f>SUBTOTAL(3,AO84:AO84)</f>
        <v>1</v>
      </c>
      <c r="AR88" s="114"/>
    </row>
    <row r="89" spans="1:44" ht="19.5" x14ac:dyDescent="0.4">
      <c r="A89" s="117"/>
      <c r="B89" s="123"/>
      <c r="C89" s="123"/>
      <c r="D89" s="123"/>
      <c r="P89" s="25">
        <v>45675</v>
      </c>
      <c r="Q89" s="105" t="s">
        <v>198</v>
      </c>
      <c r="V89" s="117"/>
      <c r="W89" s="123"/>
      <c r="X89" s="123"/>
      <c r="Y89" s="123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25">
        <v>45265</v>
      </c>
      <c r="AO89" s="13" t="s">
        <v>162</v>
      </c>
      <c r="AR89" s="114"/>
    </row>
    <row r="90" spans="1:44" ht="19.5" x14ac:dyDescent="0.4">
      <c r="A90" s="117"/>
      <c r="B90" s="123"/>
      <c r="C90" s="123"/>
      <c r="D90" s="123"/>
      <c r="P90" s="25">
        <v>45675</v>
      </c>
      <c r="Q90" s="105" t="s">
        <v>192</v>
      </c>
      <c r="V90" s="117"/>
      <c r="W90" s="123"/>
      <c r="X90" s="123"/>
      <c r="Y90" s="123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25">
        <v>45265</v>
      </c>
      <c r="AO90" s="25" t="s">
        <v>162</v>
      </c>
      <c r="AR90" s="114"/>
    </row>
    <row r="91" spans="1:44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115"/>
      <c r="O91" s="115"/>
      <c r="P91" s="25">
        <v>45675</v>
      </c>
      <c r="Q91" s="105" t="s">
        <v>203</v>
      </c>
      <c r="V91" s="117"/>
      <c r="W91" s="123"/>
      <c r="X91" s="123"/>
      <c r="Y91" s="123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25"/>
      <c r="AO91" s="25"/>
      <c r="AR91" s="114"/>
    </row>
    <row r="92" spans="1:44" ht="19.5" x14ac:dyDescent="0.4">
      <c r="A92" s="117"/>
      <c r="B92" s="123"/>
      <c r="C92" s="123"/>
      <c r="D92" s="123"/>
      <c r="P92" s="25">
        <v>45675</v>
      </c>
      <c r="Q92" s="25" t="s">
        <v>198</v>
      </c>
      <c r="V92" s="117"/>
      <c r="W92" s="123"/>
      <c r="X92" s="123"/>
      <c r="Y92" s="123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25">
        <v>45265</v>
      </c>
      <c r="AO92" s="13" t="s">
        <v>162</v>
      </c>
      <c r="AR92" s="114"/>
    </row>
    <row r="93" spans="1:44" ht="19.5" x14ac:dyDescent="0.4">
      <c r="A93" s="117"/>
      <c r="B93" s="123"/>
      <c r="C93" s="123"/>
      <c r="D93" s="123"/>
      <c r="N93" s="115"/>
      <c r="O93" s="115"/>
      <c r="P93" s="25">
        <v>45675</v>
      </c>
      <c r="Q93" s="13" t="s">
        <v>198</v>
      </c>
      <c r="V93" s="117"/>
      <c r="W93" s="123"/>
      <c r="X93" s="123"/>
      <c r="Y93" s="123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25"/>
      <c r="AO93" s="13"/>
      <c r="AR93" s="114"/>
    </row>
    <row r="94" spans="1:44" ht="19.5" x14ac:dyDescent="0.4">
      <c r="A94" s="117"/>
      <c r="B94" s="123"/>
      <c r="C94" s="123"/>
      <c r="D94" s="123"/>
      <c r="P94" s="25">
        <v>45675</v>
      </c>
      <c r="Q94" s="13" t="s">
        <v>192</v>
      </c>
      <c r="V94" s="117"/>
      <c r="W94" s="123"/>
      <c r="X94" s="123"/>
      <c r="Y94" s="123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25">
        <v>45265</v>
      </c>
      <c r="AO94" s="13" t="s">
        <v>162</v>
      </c>
      <c r="AR94" s="114"/>
    </row>
    <row r="95" spans="1:44" ht="19.5" x14ac:dyDescent="0.4">
      <c r="A95" s="117"/>
      <c r="B95" s="123"/>
      <c r="C95" s="123"/>
      <c r="D95" s="123"/>
      <c r="O95" s="115" t="s">
        <v>352</v>
      </c>
      <c r="P95" s="13">
        <f>SUBTOTAL(3,P76:P94)</f>
        <v>19</v>
      </c>
      <c r="Q95" s="13">
        <f>SUBTOTAL(3,Q76:Q94)</f>
        <v>19</v>
      </c>
      <c r="V95" s="117"/>
      <c r="W95" s="123"/>
      <c r="X95" s="123"/>
      <c r="Y95" s="123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25"/>
      <c r="AO95" s="13"/>
      <c r="AR95" s="114"/>
    </row>
    <row r="96" spans="1:44" ht="19.5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25">
        <v>45676</v>
      </c>
      <c r="Q96" s="13" t="s">
        <v>142</v>
      </c>
      <c r="V96" s="117"/>
      <c r="W96" s="123"/>
      <c r="X96" s="123"/>
      <c r="Y96" s="123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25"/>
      <c r="AO96" s="13"/>
      <c r="AR96" s="114"/>
    </row>
    <row r="97" spans="1:44" ht="19.5" x14ac:dyDescent="0.4">
      <c r="A97" s="117"/>
      <c r="B97" s="123"/>
      <c r="C97" s="123"/>
      <c r="D97" s="123"/>
      <c r="P97" s="25">
        <v>45676</v>
      </c>
      <c r="Q97" s="13" t="s">
        <v>192</v>
      </c>
      <c r="V97" s="117"/>
      <c r="W97" s="123"/>
      <c r="X97" s="123"/>
      <c r="Y97" s="123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25">
        <v>45265</v>
      </c>
      <c r="AO97" s="13" t="s">
        <v>163</v>
      </c>
      <c r="AR97" s="114"/>
    </row>
    <row r="98" spans="1:44" ht="19.5" x14ac:dyDescent="0.4">
      <c r="A98" s="117"/>
      <c r="B98" s="123"/>
      <c r="C98" s="123"/>
      <c r="D98" s="123"/>
      <c r="P98" s="25">
        <v>45676</v>
      </c>
      <c r="Q98" s="13" t="s">
        <v>192</v>
      </c>
      <c r="V98" s="117"/>
      <c r="W98" s="123"/>
      <c r="X98" s="123"/>
      <c r="Y98" s="123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 t="s">
        <v>155</v>
      </c>
      <c r="AN98" s="13">
        <f>SUBTOTAL(3,AN89:AN97)</f>
        <v>5</v>
      </c>
      <c r="AO98" s="13">
        <f>SUBTOTAL(3,AO89:AO97)</f>
        <v>5</v>
      </c>
      <c r="AR98" s="114"/>
    </row>
    <row r="99" spans="1:44" ht="19.5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115"/>
      <c r="P99" s="25">
        <v>45676</v>
      </c>
      <c r="Q99" s="15" t="s">
        <v>192</v>
      </c>
      <c r="V99" s="117"/>
      <c r="W99" s="123"/>
      <c r="X99" s="123"/>
      <c r="Y99" s="123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3"/>
      <c r="AO99" s="13"/>
      <c r="AR99" s="114"/>
    </row>
    <row r="100" spans="1:44" ht="19.5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115"/>
      <c r="M100" s="115"/>
      <c r="N100" s="115"/>
      <c r="O100" s="115"/>
      <c r="P100" s="25">
        <v>45676</v>
      </c>
      <c r="Q100" s="15" t="s">
        <v>192</v>
      </c>
      <c r="V100" s="117"/>
      <c r="W100" s="123"/>
      <c r="X100" s="123"/>
      <c r="Y100" s="123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3"/>
      <c r="AO100" s="13"/>
      <c r="AR100" s="114"/>
    </row>
    <row r="101" spans="1:44" ht="19.5" x14ac:dyDescent="0.4">
      <c r="A101" s="117"/>
      <c r="B101" s="123"/>
      <c r="C101" s="123"/>
      <c r="D101" s="123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25">
        <v>45676</v>
      </c>
      <c r="Q101" s="15" t="s">
        <v>192</v>
      </c>
      <c r="V101" s="117"/>
      <c r="W101" s="123"/>
      <c r="X101" s="123"/>
      <c r="Y101" s="123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3"/>
      <c r="AO101" s="13"/>
      <c r="AR101" s="114"/>
    </row>
    <row r="102" spans="1:44" ht="19.5" x14ac:dyDescent="0.4">
      <c r="A102" s="117"/>
      <c r="B102" s="123"/>
      <c r="C102" s="123"/>
      <c r="D102" s="12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25">
        <v>45676</v>
      </c>
      <c r="Q102" s="15" t="s">
        <v>203</v>
      </c>
      <c r="V102" s="117"/>
      <c r="W102" s="123"/>
      <c r="X102" s="123"/>
      <c r="Y102" s="123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3"/>
      <c r="AO102" s="13"/>
      <c r="AR102" s="114"/>
    </row>
    <row r="103" spans="1:44" ht="19.5" x14ac:dyDescent="0.4">
      <c r="A103" s="117"/>
      <c r="B103" s="123"/>
      <c r="C103" s="123"/>
      <c r="D103" s="123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25">
        <v>45676</v>
      </c>
      <c r="Q103" s="15" t="s">
        <v>192</v>
      </c>
      <c r="V103" s="117"/>
      <c r="W103" s="123"/>
      <c r="X103" s="123"/>
      <c r="Y103" s="123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3"/>
      <c r="AO103" s="13"/>
      <c r="AR103" s="114"/>
    </row>
    <row r="104" spans="1:44" ht="19.5" x14ac:dyDescent="0.4">
      <c r="A104" s="117"/>
      <c r="B104" s="123"/>
      <c r="C104" s="123"/>
      <c r="D104" s="123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25">
        <v>45676</v>
      </c>
      <c r="Q104" s="15" t="s">
        <v>203</v>
      </c>
      <c r="V104" s="117"/>
      <c r="W104" s="123"/>
      <c r="X104" s="123"/>
      <c r="Y104" s="123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3"/>
      <c r="AO104" s="13"/>
      <c r="AR104" s="114"/>
    </row>
    <row r="105" spans="1:44" ht="19.5" x14ac:dyDescent="0.4">
      <c r="A105" s="117"/>
      <c r="B105" s="123"/>
      <c r="C105" s="123"/>
      <c r="D105" s="123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25">
        <v>45676</v>
      </c>
      <c r="Q105" s="15" t="s">
        <v>198</v>
      </c>
      <c r="V105" s="117"/>
      <c r="W105" s="123"/>
      <c r="X105" s="123"/>
      <c r="Y105" s="123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3"/>
      <c r="AO105" s="13"/>
      <c r="AR105" s="114"/>
    </row>
    <row r="106" spans="1:44" ht="19.5" x14ac:dyDescent="0.4">
      <c r="A106" s="117"/>
      <c r="B106" s="123"/>
      <c r="C106" s="123"/>
      <c r="D106" s="123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 t="s">
        <v>353</v>
      </c>
      <c r="P106" s="13">
        <f>SUBTOTAL(3,P96:P105)</f>
        <v>10</v>
      </c>
      <c r="Q106" s="15">
        <f>SUBTOTAL(3,Q96:Q105)</f>
        <v>10</v>
      </c>
      <c r="V106" s="117"/>
      <c r="W106" s="123"/>
      <c r="X106" s="123"/>
      <c r="Y106" s="123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3"/>
      <c r="AO106" s="13"/>
      <c r="AR106" s="114"/>
    </row>
    <row r="107" spans="1:44" ht="19.5" x14ac:dyDescent="0.4">
      <c r="A107" s="117"/>
      <c r="B107" s="123"/>
      <c r="C107" s="123"/>
      <c r="D107" s="123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25">
        <v>45677</v>
      </c>
      <c r="Q107" s="15" t="s">
        <v>203</v>
      </c>
      <c r="V107" s="117"/>
      <c r="W107" s="123"/>
      <c r="X107" s="123"/>
      <c r="Y107" s="123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3"/>
      <c r="AO107" s="13"/>
      <c r="AR107" s="114"/>
    </row>
    <row r="108" spans="1:44" ht="19.5" x14ac:dyDescent="0.4">
      <c r="A108" s="117"/>
      <c r="B108" s="123"/>
      <c r="C108" s="123"/>
      <c r="D108" s="123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25">
        <v>45677</v>
      </c>
      <c r="Q108" s="15" t="s">
        <v>203</v>
      </c>
      <c r="V108" s="117"/>
      <c r="W108" s="123"/>
      <c r="X108" s="123"/>
      <c r="Y108" s="123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3"/>
      <c r="AO108" s="13"/>
      <c r="AR108" s="114"/>
    </row>
    <row r="109" spans="1:44" ht="19.5" x14ac:dyDescent="0.4">
      <c r="A109" s="117"/>
      <c r="B109" s="123"/>
      <c r="C109" s="123"/>
      <c r="D109" s="123"/>
      <c r="P109" s="25">
        <v>45677</v>
      </c>
      <c r="Q109" s="15" t="s">
        <v>203</v>
      </c>
      <c r="V109" s="117"/>
      <c r="W109" s="123"/>
      <c r="X109" s="123"/>
      <c r="Y109" s="123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25">
        <v>45266</v>
      </c>
      <c r="AO109" s="25" t="s">
        <v>162</v>
      </c>
      <c r="AR109" s="114"/>
    </row>
    <row r="110" spans="1:44" ht="19.5" x14ac:dyDescent="0.4">
      <c r="A110" s="117"/>
      <c r="B110" s="123"/>
      <c r="C110" s="123"/>
      <c r="D110" s="123"/>
      <c r="I110" s="115"/>
      <c r="J110" s="115"/>
      <c r="K110" s="115"/>
      <c r="L110" s="115"/>
      <c r="M110" s="115"/>
      <c r="N110" s="115"/>
      <c r="O110" s="115"/>
      <c r="P110" s="25">
        <v>45677</v>
      </c>
      <c r="Q110" s="15" t="s">
        <v>142</v>
      </c>
      <c r="V110" s="117"/>
      <c r="W110" s="123"/>
      <c r="X110" s="123"/>
      <c r="Y110" s="123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25"/>
      <c r="AO110" s="25"/>
      <c r="AR110" s="114"/>
    </row>
    <row r="111" spans="1:44" ht="19.5" x14ac:dyDescent="0.4">
      <c r="A111" s="117"/>
      <c r="B111" s="123"/>
      <c r="C111" s="123"/>
      <c r="D111" s="123"/>
      <c r="I111" s="115"/>
      <c r="J111" s="115"/>
      <c r="K111" s="115"/>
      <c r="L111" s="115"/>
      <c r="M111" s="115"/>
      <c r="N111" s="115"/>
      <c r="O111" s="115"/>
      <c r="P111" s="25">
        <v>45677</v>
      </c>
      <c r="Q111" s="15" t="s">
        <v>203</v>
      </c>
      <c r="V111" s="117"/>
      <c r="W111" s="123"/>
      <c r="X111" s="123"/>
      <c r="Y111" s="123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25"/>
      <c r="AO111" s="25"/>
      <c r="AR111" s="114"/>
    </row>
    <row r="112" spans="1:44" ht="19.5" x14ac:dyDescent="0.4">
      <c r="A112" s="117"/>
      <c r="B112" s="123"/>
      <c r="C112" s="123"/>
      <c r="D112" s="123"/>
      <c r="I112" s="115"/>
      <c r="J112" s="115"/>
      <c r="K112" s="115"/>
      <c r="L112" s="115"/>
      <c r="M112" s="115"/>
      <c r="N112" s="115"/>
      <c r="O112" s="115" t="s">
        <v>354</v>
      </c>
      <c r="P112" s="13">
        <f>SUBTOTAL(3,P107:P111)</f>
        <v>5</v>
      </c>
      <c r="Q112" s="15">
        <f>SUBTOTAL(3,Q107:Q111)</f>
        <v>5</v>
      </c>
      <c r="V112" s="117"/>
      <c r="W112" s="123"/>
      <c r="X112" s="123"/>
      <c r="Y112" s="123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25"/>
      <c r="AO112" s="25"/>
      <c r="AR112" s="114"/>
    </row>
    <row r="113" spans="1:44" ht="19.5" x14ac:dyDescent="0.4">
      <c r="A113" s="117"/>
      <c r="B113" s="123"/>
      <c r="C113" s="123"/>
      <c r="D113" s="123"/>
      <c r="P113" s="25">
        <v>45679</v>
      </c>
      <c r="Q113" s="15" t="s">
        <v>198</v>
      </c>
      <c r="V113" s="117"/>
      <c r="W113" s="123"/>
      <c r="X113" s="123"/>
      <c r="Y113" s="123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 t="s">
        <v>156</v>
      </c>
      <c r="AN113" s="13">
        <f>SUBTOTAL(3,AN109:AN109)</f>
        <v>1</v>
      </c>
      <c r="AO113" s="13">
        <f>SUBTOTAL(3,AO109:AO109)</f>
        <v>1</v>
      </c>
      <c r="AR113" s="114"/>
    </row>
    <row r="114" spans="1:44" ht="19.5" x14ac:dyDescent="0.4">
      <c r="A114" s="117"/>
      <c r="B114" s="123"/>
      <c r="C114" s="123"/>
      <c r="D114" s="123"/>
      <c r="N114" s="115"/>
      <c r="O114" s="115"/>
      <c r="P114" s="25">
        <v>45679</v>
      </c>
      <c r="Q114" s="15" t="s">
        <v>198</v>
      </c>
      <c r="V114" s="117"/>
      <c r="W114" s="123"/>
      <c r="X114" s="123"/>
      <c r="Y114" s="123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3"/>
      <c r="AO114" s="13"/>
      <c r="AR114" s="114"/>
    </row>
    <row r="115" spans="1:44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115"/>
      <c r="O115" s="115"/>
      <c r="P115" s="25">
        <v>45679</v>
      </c>
      <c r="Q115" s="15" t="s">
        <v>198</v>
      </c>
      <c r="V115" s="117"/>
      <c r="W115" s="123"/>
      <c r="X115" s="123"/>
      <c r="Y115" s="123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3"/>
      <c r="AO115" s="13"/>
      <c r="AR115" s="114"/>
    </row>
    <row r="116" spans="1:44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115"/>
      <c r="O116" s="115"/>
      <c r="P116" s="25">
        <v>45679</v>
      </c>
      <c r="Q116" s="15" t="s">
        <v>198</v>
      </c>
      <c r="V116" s="117"/>
      <c r="W116" s="123"/>
      <c r="X116" s="123"/>
      <c r="Y116" s="123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3"/>
      <c r="AO116" s="13"/>
      <c r="AR116" s="114"/>
    </row>
    <row r="117" spans="1:44" ht="19.5" x14ac:dyDescent="0.4">
      <c r="A117" s="117"/>
      <c r="B117" s="123"/>
      <c r="C117" s="123"/>
      <c r="D117" s="123"/>
      <c r="P117" s="25">
        <v>45679</v>
      </c>
      <c r="Q117" s="15" t="s">
        <v>203</v>
      </c>
      <c r="V117" s="117"/>
      <c r="W117" s="123"/>
      <c r="X117" s="123"/>
      <c r="Y117" s="123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25">
        <v>45267</v>
      </c>
      <c r="AO117" s="13" t="s">
        <v>142</v>
      </c>
      <c r="AR117" s="114"/>
    </row>
    <row r="118" spans="1:44" ht="19.5" x14ac:dyDescent="0.4">
      <c r="A118" s="117"/>
      <c r="B118" s="123"/>
      <c r="C118" s="123"/>
      <c r="D118" s="123"/>
      <c r="N118" s="115"/>
      <c r="O118" s="115"/>
      <c r="P118" s="25">
        <v>45679</v>
      </c>
      <c r="Q118" s="15" t="s">
        <v>203</v>
      </c>
      <c r="V118" s="117"/>
      <c r="W118" s="123"/>
      <c r="X118" s="123"/>
      <c r="Y118" s="123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25"/>
      <c r="AO118" s="13"/>
      <c r="AR118" s="114"/>
    </row>
    <row r="119" spans="1:44" ht="19.5" x14ac:dyDescent="0.4">
      <c r="A119" s="117"/>
      <c r="B119" s="123"/>
      <c r="C119" s="123"/>
      <c r="D119" s="123"/>
      <c r="J119" s="115"/>
      <c r="K119" s="115"/>
      <c r="L119" s="115"/>
      <c r="M119" s="115"/>
      <c r="N119" s="115"/>
      <c r="O119" s="115"/>
      <c r="P119" s="25">
        <v>45679</v>
      </c>
      <c r="Q119" s="15" t="s">
        <v>198</v>
      </c>
      <c r="V119" s="117"/>
      <c r="W119" s="123"/>
      <c r="X119" s="123"/>
      <c r="Y119" s="123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25"/>
      <c r="AO119" s="13"/>
      <c r="AR119" s="114"/>
    </row>
    <row r="120" spans="1:44" ht="19.5" x14ac:dyDescent="0.4">
      <c r="A120" s="117"/>
      <c r="B120" s="123"/>
      <c r="C120" s="123"/>
      <c r="D120" s="123"/>
      <c r="I120" s="115"/>
      <c r="J120" s="115"/>
      <c r="K120" s="115"/>
      <c r="L120" s="115"/>
      <c r="M120" s="115"/>
      <c r="N120" s="115"/>
      <c r="O120" s="115"/>
      <c r="P120" s="25">
        <v>45679</v>
      </c>
      <c r="Q120" s="15" t="s">
        <v>192</v>
      </c>
      <c r="V120" s="117"/>
      <c r="W120" s="123"/>
      <c r="X120" s="123"/>
      <c r="Y120" s="123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25"/>
      <c r="AO120" s="13"/>
      <c r="AR120" s="114"/>
    </row>
    <row r="121" spans="1:44" ht="19.5" x14ac:dyDescent="0.4">
      <c r="A121" s="117"/>
      <c r="B121" s="123"/>
      <c r="C121" s="123"/>
      <c r="D121" s="123"/>
      <c r="P121" s="25">
        <v>45679</v>
      </c>
      <c r="Q121" s="15" t="s">
        <v>192</v>
      </c>
      <c r="V121" s="117"/>
      <c r="W121" s="123"/>
      <c r="X121" s="123"/>
      <c r="Y121" s="123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 t="s">
        <v>157</v>
      </c>
      <c r="AN121" s="13">
        <f>SUBTOTAL(3,AN117:AN117)</f>
        <v>1</v>
      </c>
      <c r="AO121" s="13">
        <f>SUBTOTAL(3,AO117:AO117)</f>
        <v>1</v>
      </c>
      <c r="AR121" s="114"/>
    </row>
    <row r="122" spans="1:44" ht="19.5" x14ac:dyDescent="0.4">
      <c r="A122" s="117"/>
      <c r="B122" s="123"/>
      <c r="C122" s="123"/>
      <c r="D122" s="123"/>
      <c r="J122" s="115"/>
      <c r="K122" s="115"/>
      <c r="L122" s="115"/>
      <c r="M122" s="115"/>
      <c r="N122" s="115"/>
      <c r="O122" s="115"/>
      <c r="P122" s="25">
        <v>45679</v>
      </c>
      <c r="Q122" s="15" t="s">
        <v>198</v>
      </c>
      <c r="V122" s="117"/>
      <c r="W122" s="123"/>
      <c r="X122" s="123"/>
      <c r="Y122" s="123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  <c r="AN122" s="13"/>
      <c r="AO122" s="13"/>
      <c r="AR122" s="114"/>
    </row>
    <row r="123" spans="1:44" ht="19.5" x14ac:dyDescent="0.4">
      <c r="A123" s="117"/>
      <c r="B123" s="123"/>
      <c r="C123" s="123"/>
      <c r="D123" s="123"/>
      <c r="J123" s="115"/>
      <c r="K123" s="115"/>
      <c r="L123" s="115"/>
      <c r="M123" s="115"/>
      <c r="N123" s="115"/>
      <c r="O123" s="115" t="s">
        <v>355</v>
      </c>
      <c r="P123" s="20">
        <f>SUBTOTAL(3,P113:P122)</f>
        <v>10</v>
      </c>
      <c r="Q123" s="13">
        <f>SUBTOTAL(3,Q113:Q122)</f>
        <v>10</v>
      </c>
      <c r="V123" s="117"/>
      <c r="W123" s="123"/>
      <c r="X123" s="123"/>
      <c r="Y123" s="123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3"/>
      <c r="AO123" s="13"/>
      <c r="AR123" s="114"/>
    </row>
    <row r="124" spans="1:44" ht="19.5" x14ac:dyDescent="0.4">
      <c r="A124" s="117"/>
      <c r="B124" s="123"/>
      <c r="C124" s="123"/>
      <c r="D124" s="123"/>
      <c r="J124" s="115"/>
      <c r="K124" s="115"/>
      <c r="L124" s="115"/>
      <c r="M124" s="115"/>
      <c r="N124" s="115"/>
      <c r="O124" s="115"/>
      <c r="P124" s="26">
        <v>45680</v>
      </c>
      <c r="Q124" s="13" t="s">
        <v>203</v>
      </c>
      <c r="V124" s="117"/>
      <c r="W124" s="123"/>
      <c r="X124" s="123"/>
      <c r="Y124" s="123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3"/>
      <c r="AO124" s="13"/>
      <c r="AR124" s="114"/>
    </row>
    <row r="125" spans="1:44" ht="19.5" x14ac:dyDescent="0.4">
      <c r="A125" s="117"/>
      <c r="B125" s="123"/>
      <c r="C125" s="123"/>
      <c r="D125" s="123"/>
      <c r="I125" s="115"/>
      <c r="J125" s="115"/>
      <c r="K125" s="115"/>
      <c r="L125" s="115"/>
      <c r="M125" s="115"/>
      <c r="N125" s="115"/>
      <c r="O125" s="115"/>
      <c r="P125" s="26">
        <v>45680</v>
      </c>
      <c r="Q125" s="13" t="s">
        <v>203</v>
      </c>
      <c r="V125" s="117"/>
      <c r="W125" s="123"/>
      <c r="X125" s="123"/>
      <c r="Y125" s="123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3"/>
      <c r="AO125" s="13"/>
      <c r="AR125" s="114"/>
    </row>
    <row r="126" spans="1:44" ht="19.5" x14ac:dyDescent="0.4">
      <c r="A126" s="117"/>
      <c r="B126" s="123"/>
      <c r="C126" s="123"/>
      <c r="D126" s="123"/>
      <c r="I126" s="115"/>
      <c r="J126" s="115"/>
      <c r="K126" s="115"/>
      <c r="L126" s="115"/>
      <c r="M126" s="115"/>
      <c r="N126" s="115"/>
      <c r="O126" s="115" t="s">
        <v>356</v>
      </c>
      <c r="P126" s="17">
        <f>SUBTOTAL(3,P124:P125)</f>
        <v>2</v>
      </c>
      <c r="Q126" s="13">
        <f>SUBTOTAL(3,Q124:Q125)</f>
        <v>2</v>
      </c>
      <c r="V126" s="117"/>
      <c r="W126" s="123"/>
      <c r="X126" s="123"/>
      <c r="Y126" s="123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3"/>
      <c r="AO126" s="13"/>
      <c r="AR126" s="114"/>
    </row>
    <row r="127" spans="1:44" ht="19.5" x14ac:dyDescent="0.4">
      <c r="A127" s="117"/>
      <c r="B127" s="123"/>
      <c r="C127" s="123"/>
      <c r="D127" s="123"/>
      <c r="P127" s="26">
        <v>45682</v>
      </c>
      <c r="Q127" s="13" t="s">
        <v>192</v>
      </c>
      <c r="V127" s="117"/>
      <c r="W127" s="123"/>
      <c r="X127" s="123"/>
      <c r="Y127" s="123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25">
        <v>45268</v>
      </c>
      <c r="AO127" s="13" t="s">
        <v>162</v>
      </c>
      <c r="AR127" s="114"/>
    </row>
    <row r="128" spans="1:44" ht="19.5" x14ac:dyDescent="0.4">
      <c r="A128" s="117"/>
      <c r="B128" s="123"/>
      <c r="C128" s="123"/>
      <c r="D128" s="123"/>
      <c r="J128" s="115"/>
      <c r="K128" s="115"/>
      <c r="L128" s="115"/>
      <c r="M128" s="115"/>
      <c r="N128" s="115"/>
      <c r="O128" s="115"/>
      <c r="P128" s="26">
        <v>45682</v>
      </c>
      <c r="Q128" s="13" t="s">
        <v>192</v>
      </c>
      <c r="V128" s="117"/>
      <c r="W128" s="123"/>
      <c r="X128" s="123"/>
      <c r="Y128" s="123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25"/>
      <c r="AO128" s="13"/>
      <c r="AR128" s="114"/>
    </row>
    <row r="129" spans="1:44" ht="19.5" x14ac:dyDescent="0.4">
      <c r="A129" s="117"/>
      <c r="B129" s="123"/>
      <c r="C129" s="123"/>
      <c r="D129" s="123"/>
      <c r="P129" s="26">
        <v>45682</v>
      </c>
      <c r="Q129" s="13" t="s">
        <v>198</v>
      </c>
      <c r="V129" s="117"/>
      <c r="W129" s="123"/>
      <c r="X129" s="123"/>
      <c r="Y129" s="123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25">
        <v>45268</v>
      </c>
      <c r="AO129" s="13" t="s">
        <v>162</v>
      </c>
      <c r="AR129" s="114"/>
    </row>
    <row r="130" spans="1:44" ht="19.5" x14ac:dyDescent="0.4">
      <c r="A130" s="117"/>
      <c r="B130" s="123"/>
      <c r="C130" s="123"/>
      <c r="D130" s="123"/>
      <c r="O130" s="115" t="s">
        <v>357</v>
      </c>
      <c r="P130" s="17">
        <f>SUBTOTAL(3,P127:P129)</f>
        <v>3</v>
      </c>
      <c r="Q130" s="13">
        <f>SUBTOTAL(3,Q127:Q129)</f>
        <v>3</v>
      </c>
      <c r="V130" s="117"/>
      <c r="W130" s="123"/>
      <c r="X130" s="123"/>
      <c r="Y130" s="123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25"/>
      <c r="AO130" s="13"/>
      <c r="AR130" s="114"/>
    </row>
    <row r="131" spans="1:44" ht="19.5" x14ac:dyDescent="0.4">
      <c r="A131" s="117"/>
      <c r="B131" s="123"/>
      <c r="C131" s="123"/>
      <c r="D131" s="123"/>
      <c r="P131" s="26">
        <v>45683</v>
      </c>
      <c r="Q131" s="13" t="s">
        <v>198</v>
      </c>
      <c r="V131" s="117"/>
      <c r="W131" s="123"/>
      <c r="X131" s="123"/>
      <c r="Y131" s="123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25">
        <v>45268</v>
      </c>
      <c r="AO131" s="13" t="s">
        <v>163</v>
      </c>
      <c r="AR131" s="114"/>
    </row>
    <row r="132" spans="1:44" ht="19.5" x14ac:dyDescent="0.4">
      <c r="A132" s="117"/>
      <c r="B132" s="123"/>
      <c r="C132" s="123"/>
      <c r="D132" s="123"/>
      <c r="O132" s="115" t="s">
        <v>358</v>
      </c>
      <c r="P132" s="17">
        <f>SUBTOTAL(3,P131:P131)</f>
        <v>1</v>
      </c>
      <c r="Q132" s="13">
        <f>SUBTOTAL(3,Q131:Q131)</f>
        <v>1</v>
      </c>
      <c r="V132" s="117"/>
      <c r="W132" s="123"/>
      <c r="X132" s="123"/>
      <c r="Y132" s="123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25"/>
      <c r="AO132" s="13"/>
      <c r="AR132" s="114"/>
    </row>
    <row r="133" spans="1:44" ht="19.5" x14ac:dyDescent="0.4">
      <c r="A133" s="117"/>
      <c r="B133" s="123"/>
      <c r="C133" s="123"/>
      <c r="D133" s="123"/>
      <c r="I133" s="115"/>
      <c r="J133" s="115"/>
      <c r="K133" s="115"/>
      <c r="L133" s="115"/>
      <c r="M133" s="115"/>
      <c r="N133" s="115"/>
      <c r="O133" s="115"/>
      <c r="P133" s="26">
        <v>45686</v>
      </c>
      <c r="Q133" s="13" t="s">
        <v>192</v>
      </c>
      <c r="V133" s="117"/>
      <c r="W133" s="123"/>
      <c r="X133" s="123"/>
      <c r="Y133" s="123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25"/>
      <c r="AO133" s="13"/>
      <c r="AR133" s="114"/>
    </row>
    <row r="134" spans="1:44" ht="19.5" x14ac:dyDescent="0.4">
      <c r="A134" s="117"/>
      <c r="B134" s="123"/>
      <c r="C134" s="123"/>
      <c r="D134" s="123"/>
      <c r="P134" s="26">
        <v>45686</v>
      </c>
      <c r="Q134" s="13" t="s">
        <v>203</v>
      </c>
      <c r="V134" s="117"/>
      <c r="W134" s="123"/>
      <c r="X134" s="123"/>
      <c r="Y134" s="123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25">
        <v>45268</v>
      </c>
      <c r="AO134" s="13" t="s">
        <v>163</v>
      </c>
      <c r="AR134" s="114"/>
    </row>
    <row r="135" spans="1:44" ht="19.5" x14ac:dyDescent="0.4">
      <c r="A135" s="117"/>
      <c r="B135" s="123"/>
      <c r="C135" s="123"/>
      <c r="D135" s="123"/>
      <c r="K135" s="115"/>
      <c r="L135" s="115"/>
      <c r="M135" s="115"/>
      <c r="N135" s="115"/>
      <c r="O135" s="115"/>
      <c r="P135" s="26">
        <v>45686</v>
      </c>
      <c r="Q135" s="13" t="s">
        <v>192</v>
      </c>
      <c r="V135" s="117"/>
      <c r="W135" s="123"/>
      <c r="X135" s="123"/>
      <c r="Y135" s="123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25"/>
      <c r="AO135" s="13"/>
      <c r="AR135" s="114"/>
    </row>
    <row r="136" spans="1:44" ht="19.5" x14ac:dyDescent="0.4">
      <c r="A136" s="117"/>
      <c r="B136" s="123"/>
      <c r="C136" s="123"/>
      <c r="D136" s="123"/>
      <c r="K136" s="115"/>
      <c r="L136" s="115"/>
      <c r="M136" s="115"/>
      <c r="N136" s="115"/>
      <c r="O136" s="115"/>
      <c r="P136" s="26">
        <v>45686</v>
      </c>
      <c r="Q136" s="13" t="s">
        <v>192</v>
      </c>
      <c r="V136" s="117"/>
      <c r="W136" s="123"/>
      <c r="X136" s="123"/>
      <c r="Y136" s="123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25"/>
      <c r="AO136" s="13"/>
      <c r="AR136" s="114"/>
    </row>
    <row r="137" spans="1:44" ht="19.5" x14ac:dyDescent="0.4">
      <c r="A137" s="117"/>
      <c r="B137" s="123"/>
      <c r="C137" s="123"/>
      <c r="D137" s="123"/>
      <c r="K137" s="115"/>
      <c r="L137" s="115"/>
      <c r="M137" s="115"/>
      <c r="N137" s="115"/>
      <c r="O137" s="115" t="s">
        <v>359</v>
      </c>
      <c r="P137" s="17">
        <f>SUBTOTAL(3,P133:P136)</f>
        <v>4</v>
      </c>
      <c r="Q137" s="13">
        <f>SUBTOTAL(3,Q133:Q136)</f>
        <v>4</v>
      </c>
      <c r="V137" s="117"/>
      <c r="W137" s="123"/>
      <c r="X137" s="123"/>
      <c r="Y137" s="123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25"/>
      <c r="AO137" s="13"/>
      <c r="AR137" s="114"/>
    </row>
    <row r="138" spans="1:44" ht="19.5" x14ac:dyDescent="0.4">
      <c r="A138" s="117"/>
      <c r="B138" s="123"/>
      <c r="C138" s="123"/>
      <c r="D138" s="123"/>
      <c r="P138" s="26">
        <v>45694</v>
      </c>
      <c r="Q138" s="13" t="s">
        <v>203</v>
      </c>
      <c r="V138" s="117"/>
      <c r="W138" s="123"/>
      <c r="X138" s="123"/>
      <c r="Y138" s="123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 t="s">
        <v>158</v>
      </c>
      <c r="AN138" s="13">
        <f>SUBTOTAL(3,AN127:AN134)</f>
        <v>4</v>
      </c>
      <c r="AO138" s="13">
        <f>SUBTOTAL(3,AO127:AO134)</f>
        <v>4</v>
      </c>
      <c r="AR138" s="114"/>
    </row>
    <row r="139" spans="1:44" ht="19.5" x14ac:dyDescent="0.4">
      <c r="A139" s="117"/>
      <c r="B139" s="123"/>
      <c r="C139" s="123"/>
      <c r="D139" s="123"/>
      <c r="O139" s="115" t="s">
        <v>360</v>
      </c>
      <c r="P139" s="17">
        <f>SUBTOTAL(3,P138:P138)</f>
        <v>1</v>
      </c>
      <c r="Q139" s="13">
        <f>SUBTOTAL(3,Q138:Q138)</f>
        <v>1</v>
      </c>
      <c r="V139" s="117"/>
      <c r="W139" s="123"/>
      <c r="X139" s="123"/>
      <c r="Y139" s="123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3"/>
      <c r="AO139" s="13"/>
      <c r="AR139" s="114"/>
    </row>
    <row r="140" spans="1:44" ht="19.5" x14ac:dyDescent="0.4">
      <c r="A140" s="117"/>
      <c r="B140" s="123"/>
      <c r="C140" s="123"/>
      <c r="D140" s="123"/>
      <c r="N140" s="115"/>
      <c r="O140" s="115"/>
      <c r="P140" s="26">
        <v>45704</v>
      </c>
      <c r="Q140" s="13" t="s">
        <v>203</v>
      </c>
      <c r="V140" s="117"/>
      <c r="W140" s="123"/>
      <c r="X140" s="123"/>
      <c r="Y140" s="123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3"/>
      <c r="AO140" s="13"/>
      <c r="AR140" s="114"/>
    </row>
    <row r="141" spans="1:44" ht="19.5" x14ac:dyDescent="0.4">
      <c r="A141" s="117"/>
      <c r="B141" s="123"/>
      <c r="C141" s="123"/>
      <c r="D141" s="123"/>
      <c r="N141" s="115"/>
      <c r="O141" s="115" t="s">
        <v>361</v>
      </c>
      <c r="P141" s="19">
        <f>SUBTOTAL(3,P140:P140)</f>
        <v>1</v>
      </c>
      <c r="Q141" s="13">
        <f>SUBTOTAL(3,Q140:Q140)</f>
        <v>1</v>
      </c>
      <c r="V141" s="117"/>
      <c r="W141" s="123"/>
      <c r="X141" s="123"/>
      <c r="Y141" s="123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3"/>
      <c r="AO141" s="13"/>
      <c r="AR141" s="114"/>
    </row>
    <row r="142" spans="1:44" ht="19.5" x14ac:dyDescent="0.4">
      <c r="A142" s="117"/>
      <c r="B142" s="123"/>
      <c r="C142" s="123"/>
      <c r="D142" s="123"/>
      <c r="N142" s="115"/>
      <c r="O142" s="115" t="s">
        <v>145</v>
      </c>
      <c r="P142" s="19">
        <f>SUBTOTAL(3,P2:P140)</f>
        <v>117</v>
      </c>
      <c r="Q142" s="13">
        <f>SUBTOTAL(3,Q2:Q140)</f>
        <v>117</v>
      </c>
      <c r="V142" s="117"/>
      <c r="W142" s="123"/>
      <c r="X142" s="123"/>
      <c r="Y142" s="123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3"/>
      <c r="AO142" s="13"/>
      <c r="AR142" s="114"/>
    </row>
    <row r="143" spans="1:44" ht="19.5" x14ac:dyDescent="0.4">
      <c r="A143" s="117"/>
      <c r="B143" s="123"/>
      <c r="C143" s="123"/>
      <c r="D143" s="123"/>
      <c r="N143" s="115"/>
      <c r="O143" s="115"/>
      <c r="P143" s="19"/>
      <c r="Q143" s="13"/>
      <c r="V143" s="117"/>
      <c r="W143" s="123"/>
      <c r="X143" s="123"/>
      <c r="Y143" s="123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3"/>
      <c r="AO143" s="13"/>
      <c r="AR143" s="114"/>
    </row>
    <row r="144" spans="1:44" ht="19.5" x14ac:dyDescent="0.4">
      <c r="A144" s="117"/>
      <c r="B144" s="123"/>
      <c r="C144" s="123"/>
      <c r="D144" s="123"/>
      <c r="L144" s="115"/>
      <c r="M144" s="115"/>
      <c r="N144" s="115"/>
      <c r="O144" s="115"/>
      <c r="P144" s="26"/>
      <c r="Q144" s="13"/>
      <c r="V144" s="117"/>
      <c r="W144" s="123"/>
      <c r="X144" s="123"/>
      <c r="Y144" s="123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3"/>
      <c r="AO144" s="13"/>
      <c r="AR144" s="114"/>
    </row>
    <row r="145" spans="1:44" ht="19.5" x14ac:dyDescent="0.4">
      <c r="A145" s="117"/>
      <c r="B145" s="123"/>
      <c r="C145" s="123"/>
      <c r="D145" s="123"/>
      <c r="P145" s="26"/>
      <c r="Q145" s="13"/>
      <c r="V145" s="117"/>
      <c r="W145" s="123"/>
      <c r="X145" s="123"/>
      <c r="Y145" s="123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25">
        <v>45269</v>
      </c>
      <c r="AO145" s="13" t="s">
        <v>163</v>
      </c>
      <c r="AR145" s="114"/>
    </row>
    <row r="146" spans="1:44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15"/>
      <c r="O146" s="115"/>
      <c r="P146" s="26"/>
      <c r="Q146" s="13"/>
      <c r="V146" s="117"/>
      <c r="W146" s="123"/>
      <c r="X146" s="123"/>
      <c r="Y146" s="123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25"/>
      <c r="AO146" s="13"/>
      <c r="AR146" s="114"/>
    </row>
    <row r="147" spans="1:44" ht="19.5" x14ac:dyDescent="0.4">
      <c r="A147" s="117"/>
      <c r="B147" s="123"/>
      <c r="C147" s="123"/>
      <c r="D147" s="123"/>
      <c r="P147" s="26"/>
      <c r="Q147" s="13"/>
      <c r="V147" s="117"/>
      <c r="W147" s="123"/>
      <c r="X147" s="123"/>
      <c r="Y147" s="123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25">
        <v>45269</v>
      </c>
      <c r="AO147" s="13" t="s">
        <v>163</v>
      </c>
      <c r="AR147" s="114"/>
    </row>
    <row r="148" spans="1:44" ht="19.5" x14ac:dyDescent="0.4">
      <c r="A148" s="117"/>
      <c r="B148" s="123"/>
      <c r="C148" s="123"/>
      <c r="D148" s="123"/>
      <c r="K148" s="115"/>
      <c r="L148" s="115"/>
      <c r="M148" s="115"/>
      <c r="N148" s="115"/>
      <c r="O148" s="115"/>
      <c r="P148" s="26"/>
      <c r="Q148" s="13"/>
      <c r="V148" s="117"/>
      <c r="W148" s="123"/>
      <c r="X148" s="123"/>
      <c r="Y148" s="123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25"/>
      <c r="AO148" s="13"/>
      <c r="AR148" s="114"/>
    </row>
    <row r="149" spans="1:44" ht="19.5" x14ac:dyDescent="0.4">
      <c r="A149" s="117"/>
      <c r="B149" s="123"/>
      <c r="C149" s="123"/>
      <c r="D149" s="123"/>
      <c r="P149" s="26"/>
      <c r="Q149" s="13"/>
      <c r="V149" s="117"/>
      <c r="W149" s="123"/>
      <c r="X149" s="123"/>
      <c r="Y149" s="123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 t="s">
        <v>159</v>
      </c>
      <c r="AN149" s="13">
        <f>SUBTOTAL(3,AN145:AN147)</f>
        <v>2</v>
      </c>
      <c r="AO149" s="13">
        <f>SUBTOTAL(3,AO145:AO147)</f>
        <v>2</v>
      </c>
      <c r="AR149" s="114"/>
    </row>
    <row r="150" spans="1:44" ht="19.5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26"/>
      <c r="Q150" s="13"/>
      <c r="V150" s="117"/>
      <c r="W150" s="123"/>
      <c r="X150" s="123"/>
      <c r="Y150" s="123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3"/>
      <c r="AO150" s="13"/>
      <c r="AR150" s="114"/>
    </row>
    <row r="151" spans="1:44" ht="19.5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26"/>
      <c r="Q151" s="13"/>
      <c r="V151" s="117"/>
      <c r="W151" s="123"/>
      <c r="X151" s="123"/>
      <c r="Y151" s="123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3"/>
      <c r="AO151" s="13"/>
      <c r="AR151" s="114"/>
    </row>
    <row r="152" spans="1:44" ht="19.5" x14ac:dyDescent="0.4">
      <c r="A152" s="117"/>
      <c r="B152" s="123"/>
      <c r="C152" s="123"/>
      <c r="D152" s="123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26"/>
      <c r="Q152" s="13"/>
      <c r="V152" s="117"/>
      <c r="W152" s="123"/>
      <c r="X152" s="123"/>
      <c r="Y152" s="123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3"/>
      <c r="AO152" s="13"/>
      <c r="AR152" s="114"/>
    </row>
    <row r="153" spans="1:44" ht="19.5" x14ac:dyDescent="0.4">
      <c r="A153" s="117"/>
      <c r="B153" s="123"/>
      <c r="C153" s="123"/>
      <c r="D153" s="123"/>
      <c r="P153" s="26"/>
      <c r="Q153" s="13"/>
      <c r="V153" s="117"/>
      <c r="W153" s="123"/>
      <c r="X153" s="123"/>
      <c r="Y153" s="123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25">
        <v>45270</v>
      </c>
      <c r="AO153" s="13" t="s">
        <v>164</v>
      </c>
      <c r="AR153" s="114"/>
    </row>
    <row r="154" spans="1:44" ht="19.5" x14ac:dyDescent="0.4">
      <c r="A154" s="117"/>
      <c r="B154" s="123"/>
      <c r="C154" s="123"/>
      <c r="D154" s="123"/>
      <c r="M154" s="115"/>
      <c r="N154" s="115"/>
      <c r="O154" s="115"/>
      <c r="P154" s="17"/>
      <c r="Q154" s="13"/>
      <c r="V154" s="117"/>
      <c r="W154" s="123"/>
      <c r="X154" s="123"/>
      <c r="Y154" s="123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25"/>
      <c r="AO154" s="13"/>
      <c r="AR154" s="114"/>
    </row>
    <row r="155" spans="1:44" ht="19.5" x14ac:dyDescent="0.4">
      <c r="A155" s="117"/>
      <c r="B155" s="123"/>
      <c r="C155" s="123"/>
      <c r="D155" s="123"/>
      <c r="P155" s="26"/>
      <c r="Q155" s="13"/>
      <c r="V155" s="117"/>
      <c r="W155" s="123"/>
      <c r="X155" s="123"/>
      <c r="Y155" s="123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25"/>
      <c r="AO155" s="13"/>
      <c r="AR155" s="114"/>
    </row>
    <row r="156" spans="1:44" ht="19.5" x14ac:dyDescent="0.4">
      <c r="A156" s="117"/>
      <c r="B156" s="123"/>
      <c r="C156" s="123"/>
      <c r="D156" s="123"/>
      <c r="J156" s="115"/>
      <c r="K156" s="115"/>
      <c r="L156" s="115"/>
      <c r="M156" s="115"/>
      <c r="N156" s="115"/>
      <c r="O156" s="115"/>
      <c r="P156" s="26"/>
      <c r="Q156" s="13"/>
      <c r="V156" s="117"/>
      <c r="W156" s="123"/>
      <c r="X156" s="123"/>
      <c r="Y156" s="123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25"/>
      <c r="AO156" s="13"/>
      <c r="AR156" s="114"/>
    </row>
    <row r="157" spans="1:44" ht="19.5" x14ac:dyDescent="0.4">
      <c r="A157" s="117"/>
      <c r="B157" s="123"/>
      <c r="C157" s="123"/>
      <c r="D157" s="123"/>
      <c r="P157" s="26"/>
      <c r="Q157" s="13"/>
      <c r="V157" s="117"/>
      <c r="W157" s="123"/>
      <c r="X157" s="123"/>
      <c r="Y157" s="123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25">
        <v>45270</v>
      </c>
      <c r="AO157" s="13" t="s">
        <v>164</v>
      </c>
      <c r="AR157" s="114"/>
    </row>
    <row r="158" spans="1:44" ht="19.5" x14ac:dyDescent="0.4">
      <c r="A158" s="117"/>
      <c r="B158" s="123"/>
      <c r="C158" s="123"/>
      <c r="D158" s="123"/>
      <c r="L158" s="115"/>
      <c r="M158" s="115"/>
      <c r="N158" s="115"/>
      <c r="O158" s="115"/>
      <c r="P158" s="26"/>
      <c r="Q158" s="13"/>
      <c r="V158" s="117"/>
      <c r="W158" s="123"/>
      <c r="X158" s="123"/>
      <c r="Y158" s="123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25"/>
      <c r="AO158" s="13"/>
      <c r="AR158" s="114"/>
    </row>
    <row r="159" spans="1:44" ht="19.5" x14ac:dyDescent="0.4">
      <c r="A159" s="117"/>
      <c r="B159" s="123"/>
      <c r="C159" s="123"/>
      <c r="D159" s="123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26"/>
      <c r="Q159" s="13"/>
      <c r="V159" s="117"/>
      <c r="W159" s="123"/>
      <c r="X159" s="123"/>
      <c r="Y159" s="123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25"/>
      <c r="AO159" s="13"/>
      <c r="AR159" s="114"/>
    </row>
    <row r="160" spans="1:44" ht="19.5" x14ac:dyDescent="0.4">
      <c r="A160" s="117"/>
      <c r="B160" s="123"/>
      <c r="C160" s="123"/>
      <c r="D160" s="123"/>
      <c r="P160" s="26"/>
      <c r="Q160" s="13"/>
      <c r="V160" s="117"/>
      <c r="W160" s="123"/>
      <c r="X160" s="123"/>
      <c r="Y160" s="123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25">
        <v>45270</v>
      </c>
      <c r="AO160" s="13" t="s">
        <v>162</v>
      </c>
      <c r="AR160" s="114"/>
    </row>
    <row r="161" spans="1:44" ht="19.5" x14ac:dyDescent="0.4">
      <c r="A161" s="117"/>
      <c r="B161" s="123"/>
      <c r="C161" s="123"/>
      <c r="D161" s="123"/>
      <c r="K161" s="115"/>
      <c r="L161" s="115"/>
      <c r="M161" s="115"/>
      <c r="N161" s="115"/>
      <c r="O161" s="115"/>
      <c r="P161" s="26"/>
      <c r="Q161" s="15"/>
      <c r="V161" s="117"/>
      <c r="W161" s="123"/>
      <c r="X161" s="123"/>
      <c r="Y161" s="123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25"/>
      <c r="AO161" s="13"/>
      <c r="AR161" s="114"/>
    </row>
    <row r="162" spans="1:44" ht="19.5" x14ac:dyDescent="0.4">
      <c r="A162" s="117"/>
      <c r="B162" s="123"/>
      <c r="C162" s="123"/>
      <c r="D162" s="123"/>
      <c r="P162" s="26"/>
      <c r="Q162" s="13"/>
      <c r="V162" s="117"/>
      <c r="W162" s="123"/>
      <c r="X162" s="123"/>
      <c r="Y162" s="123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25">
        <v>45270</v>
      </c>
      <c r="AO162" s="13" t="s">
        <v>162</v>
      </c>
      <c r="AR162" s="114"/>
    </row>
    <row r="163" spans="1:44" ht="19.5" x14ac:dyDescent="0.4">
      <c r="A163" s="117"/>
      <c r="B163" s="123"/>
      <c r="C163" s="123"/>
      <c r="D163" s="123"/>
      <c r="M163" s="115"/>
      <c r="N163" s="115"/>
      <c r="O163" s="115"/>
      <c r="P163" s="17"/>
      <c r="Q163" s="13"/>
      <c r="V163" s="117"/>
      <c r="W163" s="123"/>
      <c r="X163" s="123"/>
      <c r="Y163" s="123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25"/>
      <c r="AO163" s="13"/>
      <c r="AR163" s="114"/>
    </row>
    <row r="164" spans="1:44" ht="19.5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26"/>
      <c r="Q164" s="13"/>
      <c r="V164" s="117"/>
      <c r="W164" s="123"/>
      <c r="X164" s="123"/>
      <c r="Y164" s="123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25"/>
      <c r="AO164" s="13"/>
      <c r="AR164" s="114"/>
    </row>
    <row r="165" spans="1:44" ht="19.5" x14ac:dyDescent="0.4">
      <c r="A165" s="117"/>
      <c r="B165" s="123"/>
      <c r="C165" s="123"/>
      <c r="D165" s="123"/>
      <c r="P165" s="26"/>
      <c r="Q165" s="13"/>
      <c r="V165" s="117"/>
      <c r="W165" s="123"/>
      <c r="X165" s="123"/>
      <c r="Y165" s="123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25"/>
      <c r="AO165" s="13"/>
      <c r="AR165" s="114"/>
    </row>
    <row r="166" spans="1:44" ht="19.5" x14ac:dyDescent="0.4">
      <c r="A166" s="117"/>
      <c r="B166" s="123"/>
      <c r="C166" s="123"/>
      <c r="D166" s="123"/>
      <c r="P166" s="26"/>
      <c r="Q166" s="13"/>
      <c r="V166" s="117"/>
      <c r="W166" s="123"/>
      <c r="X166" s="123"/>
      <c r="Y166" s="123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25">
        <v>45270</v>
      </c>
      <c r="AO166" s="13" t="s">
        <v>163</v>
      </c>
      <c r="AR166" s="114"/>
    </row>
    <row r="167" spans="1:44" ht="19.5" x14ac:dyDescent="0.4">
      <c r="A167" s="117"/>
      <c r="B167" s="123"/>
      <c r="C167" s="123"/>
      <c r="D167" s="123"/>
      <c r="M167" s="115"/>
      <c r="N167" s="115"/>
      <c r="O167" s="115"/>
      <c r="P167" s="17"/>
      <c r="Q167" s="13"/>
      <c r="V167" s="117"/>
      <c r="W167" s="123"/>
      <c r="X167" s="123"/>
      <c r="Y167" s="123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25"/>
      <c r="AO167" s="13"/>
      <c r="AR167" s="114"/>
    </row>
    <row r="168" spans="1:44" ht="19.5" x14ac:dyDescent="0.4">
      <c r="A168" s="117"/>
      <c r="B168" s="123"/>
      <c r="C168" s="123"/>
      <c r="D168" s="123"/>
      <c r="P168" s="26"/>
      <c r="Q168" s="13"/>
      <c r="V168" s="117"/>
      <c r="W168" s="123"/>
      <c r="X168" s="123"/>
      <c r="Y168" s="123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 t="s">
        <v>151</v>
      </c>
      <c r="AN168" s="13">
        <f>SUBTOTAL(3,AN153:AN166)</f>
        <v>5</v>
      </c>
      <c r="AO168" s="13">
        <f>SUBTOTAL(3,AO153:AO166)</f>
        <v>5</v>
      </c>
      <c r="AR168" s="114"/>
    </row>
    <row r="169" spans="1:44" ht="19.5" x14ac:dyDescent="0.4">
      <c r="A169" s="117"/>
      <c r="B169" s="123"/>
      <c r="C169" s="123"/>
      <c r="D169" s="123"/>
      <c r="L169" s="115"/>
      <c r="M169" s="115"/>
      <c r="N169" s="115"/>
      <c r="O169" s="115"/>
      <c r="P169" s="26"/>
      <c r="Q169" s="13"/>
      <c r="V169" s="117"/>
      <c r="W169" s="123"/>
      <c r="X169" s="123"/>
      <c r="Y169" s="123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3"/>
      <c r="AO169" s="13"/>
      <c r="AR169" s="114"/>
    </row>
    <row r="170" spans="1:44" ht="19.5" x14ac:dyDescent="0.4">
      <c r="A170" s="117"/>
      <c r="B170" s="123"/>
      <c r="C170" s="123"/>
      <c r="D170" s="123"/>
      <c r="P170" s="26"/>
      <c r="Q170" s="13"/>
      <c r="V170" s="117"/>
      <c r="W170" s="123"/>
      <c r="X170" s="123"/>
      <c r="Y170" s="123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25">
        <v>45271</v>
      </c>
      <c r="AO170" s="13" t="s">
        <v>162</v>
      </c>
      <c r="AR170" s="114"/>
    </row>
    <row r="171" spans="1:44" ht="19.5" x14ac:dyDescent="0.4">
      <c r="A171" s="117"/>
      <c r="B171" s="123"/>
      <c r="C171" s="123"/>
      <c r="D171" s="123"/>
      <c r="P171" s="26"/>
      <c r="Q171" s="13"/>
      <c r="V171" s="117"/>
      <c r="W171" s="123"/>
      <c r="X171" s="123"/>
      <c r="Y171" s="123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25">
        <v>45271</v>
      </c>
      <c r="AO171" s="13" t="s">
        <v>163</v>
      </c>
      <c r="AR171" s="114"/>
    </row>
    <row r="172" spans="1:44" ht="19.5" x14ac:dyDescent="0.4">
      <c r="A172" s="117"/>
      <c r="B172" s="123"/>
      <c r="C172" s="123"/>
      <c r="D172" s="123"/>
      <c r="L172" s="115"/>
      <c r="M172" s="115"/>
      <c r="N172" s="115"/>
      <c r="O172" s="115"/>
      <c r="P172" s="26"/>
      <c r="Q172" s="13"/>
      <c r="V172" s="117"/>
      <c r="W172" s="123"/>
      <c r="X172" s="123"/>
      <c r="Y172" s="123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25"/>
      <c r="AO172" s="13"/>
      <c r="AR172" s="114"/>
    </row>
    <row r="173" spans="1:44" ht="19.5" x14ac:dyDescent="0.4">
      <c r="A173" s="117"/>
      <c r="B173" s="123"/>
      <c r="C173" s="123"/>
      <c r="D173" s="123"/>
      <c r="K173" s="115"/>
      <c r="L173" s="115"/>
      <c r="M173" s="115"/>
      <c r="N173" s="115"/>
      <c r="O173" s="115"/>
      <c r="P173" s="26"/>
      <c r="Q173" s="13"/>
      <c r="V173" s="117"/>
      <c r="W173" s="123"/>
      <c r="X173" s="123"/>
      <c r="Y173" s="123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25"/>
      <c r="AO173" s="13"/>
      <c r="AR173" s="114"/>
    </row>
    <row r="174" spans="1:44" ht="19.5" x14ac:dyDescent="0.4">
      <c r="A174" s="117"/>
      <c r="B174" s="123"/>
      <c r="C174" s="123"/>
      <c r="D174" s="123"/>
      <c r="K174" s="115"/>
      <c r="L174" s="115"/>
      <c r="M174" s="115"/>
      <c r="N174" s="115"/>
      <c r="O174" s="115"/>
      <c r="P174" s="17"/>
      <c r="Q174" s="13"/>
      <c r="V174" s="117"/>
      <c r="W174" s="123"/>
      <c r="X174" s="123"/>
      <c r="Y174" s="123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25"/>
      <c r="AO174" s="13"/>
      <c r="AR174" s="114"/>
    </row>
    <row r="175" spans="1:44" ht="19.5" x14ac:dyDescent="0.4">
      <c r="A175" s="117"/>
      <c r="B175" s="123"/>
      <c r="C175" s="123"/>
      <c r="D175" s="123"/>
      <c r="I175" s="115"/>
      <c r="J175" s="115"/>
      <c r="K175" s="115"/>
      <c r="L175" s="115"/>
      <c r="M175" s="115"/>
      <c r="N175" s="115"/>
      <c r="O175" s="115"/>
      <c r="P175" s="26"/>
      <c r="Q175" s="13"/>
      <c r="V175" s="117"/>
      <c r="W175" s="123"/>
      <c r="X175" s="123"/>
      <c r="Y175" s="123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25"/>
      <c r="AO175" s="13"/>
      <c r="AR175" s="114"/>
    </row>
    <row r="176" spans="1:44" ht="19.5" x14ac:dyDescent="0.4">
      <c r="A176" s="117"/>
      <c r="B176" s="123"/>
      <c r="C176" s="123"/>
      <c r="D176" s="123"/>
      <c r="P176" s="26"/>
      <c r="Q176" s="13"/>
      <c r="V176" s="117"/>
      <c r="W176" s="123"/>
      <c r="X176" s="123"/>
      <c r="Y176" s="123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25">
        <v>45271</v>
      </c>
      <c r="AO176" s="13" t="s">
        <v>163</v>
      </c>
      <c r="AR176" s="114"/>
    </row>
    <row r="177" spans="1:44" ht="19.5" x14ac:dyDescent="0.4">
      <c r="A177" s="117"/>
      <c r="B177" s="123"/>
      <c r="C177" s="123"/>
      <c r="D177" s="123"/>
      <c r="L177" s="115"/>
      <c r="M177" s="115"/>
      <c r="N177" s="115"/>
      <c r="O177" s="115"/>
      <c r="P177" s="26"/>
      <c r="Q177" s="13"/>
      <c r="V177" s="117"/>
      <c r="W177" s="123"/>
      <c r="X177" s="123"/>
      <c r="Y177" s="123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25"/>
      <c r="AO177" s="13"/>
      <c r="AR177" s="114"/>
    </row>
    <row r="178" spans="1:44" ht="19.5" x14ac:dyDescent="0.4">
      <c r="A178" s="117"/>
      <c r="B178" s="123"/>
      <c r="C178" s="123"/>
      <c r="D178" s="123"/>
      <c r="J178" s="115"/>
      <c r="K178" s="115"/>
      <c r="L178" s="115"/>
      <c r="M178" s="115"/>
      <c r="N178" s="115"/>
      <c r="O178" s="115"/>
      <c r="P178" s="26"/>
      <c r="Q178" s="13"/>
      <c r="V178" s="117"/>
      <c r="W178" s="123"/>
      <c r="X178" s="123"/>
      <c r="Y178" s="123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25"/>
      <c r="AO178" s="13"/>
      <c r="AR178" s="114"/>
    </row>
    <row r="179" spans="1:44" ht="19.5" x14ac:dyDescent="0.4">
      <c r="A179" s="117"/>
      <c r="B179" s="123"/>
      <c r="C179" s="123"/>
      <c r="D179" s="123"/>
      <c r="J179" s="115"/>
      <c r="K179" s="115"/>
      <c r="L179" s="115"/>
      <c r="M179" s="115"/>
      <c r="N179" s="115"/>
      <c r="O179" s="115"/>
      <c r="P179" s="17"/>
      <c r="Q179" s="13"/>
      <c r="V179" s="117"/>
      <c r="W179" s="123"/>
      <c r="X179" s="123"/>
      <c r="Y179" s="123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25"/>
      <c r="AO179" s="13"/>
      <c r="AR179" s="114"/>
    </row>
    <row r="180" spans="1:44" ht="19.5" x14ac:dyDescent="0.4">
      <c r="A180" s="117"/>
      <c r="B180" s="123"/>
      <c r="C180" s="123"/>
      <c r="D180" s="123"/>
      <c r="P180" s="26"/>
      <c r="Q180" s="13"/>
      <c r="V180" s="117"/>
      <c r="W180" s="123"/>
      <c r="X180" s="123"/>
      <c r="Y180" s="123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 t="s">
        <v>165</v>
      </c>
      <c r="AN180" s="13">
        <f>SUBTOTAL(3,AN170:AN176)</f>
        <v>3</v>
      </c>
      <c r="AO180" s="13">
        <f>SUBTOTAL(3,AO170:AO176)</f>
        <v>3</v>
      </c>
      <c r="AR180" s="114"/>
    </row>
    <row r="181" spans="1:44" ht="19.5" x14ac:dyDescent="0.4">
      <c r="A181" s="117"/>
      <c r="B181" s="123"/>
      <c r="C181" s="123"/>
      <c r="D181" s="123"/>
      <c r="P181" s="26"/>
      <c r="Q181" s="13"/>
      <c r="V181" s="117"/>
      <c r="W181" s="123"/>
      <c r="X181" s="123"/>
      <c r="Y181" s="123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25">
        <v>45272</v>
      </c>
      <c r="AO181" s="13" t="s">
        <v>162</v>
      </c>
      <c r="AR181" s="114"/>
    </row>
    <row r="182" spans="1:44" ht="19.5" x14ac:dyDescent="0.4">
      <c r="A182" s="117"/>
      <c r="B182" s="123"/>
      <c r="C182" s="123"/>
      <c r="D182" s="123"/>
      <c r="M182" s="115"/>
      <c r="N182" s="115"/>
      <c r="O182" s="115"/>
      <c r="P182" s="17"/>
      <c r="Q182" s="13"/>
      <c r="V182" s="117"/>
      <c r="W182" s="123"/>
      <c r="X182" s="123"/>
      <c r="Y182" s="123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25"/>
      <c r="AO182" s="13"/>
      <c r="AR182" s="114"/>
    </row>
    <row r="183" spans="1:44" ht="19.5" x14ac:dyDescent="0.4">
      <c r="A183" s="117"/>
      <c r="B183" s="123"/>
      <c r="C183" s="123"/>
      <c r="D183" s="123"/>
      <c r="P183" s="26"/>
      <c r="Q183" s="15"/>
      <c r="V183" s="117"/>
      <c r="W183" s="123"/>
      <c r="X183" s="123"/>
      <c r="Y183" s="123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25">
        <v>45272</v>
      </c>
      <c r="AO183" s="13" t="s">
        <v>162</v>
      </c>
      <c r="AR183" s="114"/>
    </row>
    <row r="184" spans="1:44" ht="19.5" x14ac:dyDescent="0.4">
      <c r="A184" s="117"/>
      <c r="B184" s="123"/>
      <c r="C184" s="123"/>
      <c r="D184" s="123"/>
      <c r="M184" s="115"/>
      <c r="N184" s="115"/>
      <c r="O184" s="115"/>
      <c r="P184" s="17"/>
      <c r="Q184" s="13"/>
      <c r="V184" s="117"/>
      <c r="W184" s="123"/>
      <c r="X184" s="123"/>
      <c r="Y184" s="123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25"/>
      <c r="AO184" s="13"/>
      <c r="AR184" s="114"/>
    </row>
    <row r="185" spans="1:44" ht="19.5" x14ac:dyDescent="0.4">
      <c r="A185" s="117"/>
      <c r="B185" s="123"/>
      <c r="C185" s="123"/>
      <c r="D185" s="123"/>
      <c r="M185" s="115"/>
      <c r="N185" s="115"/>
      <c r="O185" s="115"/>
      <c r="P185" s="17"/>
      <c r="Q185" s="13"/>
      <c r="V185" s="117"/>
      <c r="W185" s="123"/>
      <c r="X185" s="123"/>
      <c r="Y185" s="123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25"/>
      <c r="AO185" s="13"/>
      <c r="AR185" s="114"/>
    </row>
    <row r="186" spans="1:44" ht="19.5" x14ac:dyDescent="0.4">
      <c r="A186" s="117"/>
      <c r="B186" s="123"/>
      <c r="C186" s="123"/>
      <c r="D186" s="123"/>
      <c r="P186" s="26"/>
      <c r="Q186" s="13"/>
      <c r="V186" s="117"/>
      <c r="W186" s="123"/>
      <c r="X186" s="123"/>
      <c r="Y186" s="123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25">
        <v>45272</v>
      </c>
      <c r="AO186" s="13" t="s">
        <v>162</v>
      </c>
      <c r="AR186" s="114"/>
    </row>
    <row r="187" spans="1:44" ht="19.5" x14ac:dyDescent="0.4">
      <c r="A187" s="125"/>
      <c r="B187" s="126"/>
      <c r="C187" s="126"/>
      <c r="D187" s="126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26"/>
      <c r="Q187" s="13"/>
      <c r="V187" s="117"/>
      <c r="W187" s="123"/>
      <c r="X187" s="123"/>
      <c r="Y187" s="123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25"/>
      <c r="AO187" s="13"/>
      <c r="AR187" s="114"/>
    </row>
    <row r="188" spans="1:44" ht="19.5" x14ac:dyDescent="0.4">
      <c r="A188" s="125"/>
      <c r="B188" s="126"/>
      <c r="C188" s="126"/>
      <c r="D188" s="126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26"/>
      <c r="Q188" s="13"/>
      <c r="V188" s="117"/>
      <c r="W188" s="123"/>
      <c r="X188" s="123"/>
      <c r="Y188" s="123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25"/>
      <c r="AO188" s="13"/>
      <c r="AR188" s="114"/>
    </row>
    <row r="189" spans="1:44" ht="19.5" x14ac:dyDescent="0.4">
      <c r="A189" s="125"/>
      <c r="B189" s="126"/>
      <c r="C189" s="126"/>
      <c r="D189" s="126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7"/>
      <c r="Q189" s="13"/>
      <c r="V189" s="117"/>
      <c r="W189" s="123"/>
      <c r="X189" s="123"/>
      <c r="Y189" s="123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25"/>
      <c r="AO189" s="13"/>
      <c r="AR189" s="114"/>
    </row>
    <row r="190" spans="1:44" ht="19.5" x14ac:dyDescent="0.4">
      <c r="A190" s="125"/>
      <c r="B190" s="126"/>
      <c r="C190" s="126"/>
      <c r="D190" s="126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26"/>
      <c r="Q190" s="13"/>
      <c r="V190" s="117"/>
      <c r="W190" s="123"/>
      <c r="X190" s="123"/>
      <c r="Y190" s="123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25"/>
      <c r="AO190" s="13"/>
      <c r="AR190" s="114"/>
    </row>
    <row r="191" spans="1:44" ht="19.5" x14ac:dyDescent="0.4">
      <c r="P191" s="26"/>
      <c r="Q191" s="13"/>
      <c r="V191" s="117"/>
      <c r="W191" s="123"/>
      <c r="X191" s="123"/>
      <c r="Y191" s="123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25">
        <v>45272</v>
      </c>
      <c r="AO191" s="13" t="s">
        <v>162</v>
      </c>
      <c r="AR191" s="114"/>
    </row>
    <row r="192" spans="1:44" ht="19.5" x14ac:dyDescent="0.4">
      <c r="P192" s="26"/>
      <c r="Q192" s="13"/>
      <c r="V192" s="117"/>
      <c r="W192" s="123"/>
      <c r="X192" s="123"/>
      <c r="Y192" s="123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25"/>
      <c r="AO192" s="13"/>
      <c r="AR192" s="114"/>
    </row>
    <row r="193" spans="6:44" ht="19.5" x14ac:dyDescent="0.4">
      <c r="H193" s="115"/>
      <c r="I193" s="115"/>
      <c r="J193" s="115"/>
      <c r="K193" s="115"/>
      <c r="L193" s="115"/>
      <c r="M193" s="115"/>
      <c r="N193" s="115"/>
      <c r="O193" s="115"/>
      <c r="P193" s="26"/>
      <c r="Q193" s="25"/>
      <c r="V193" s="117"/>
      <c r="W193" s="123"/>
      <c r="X193" s="123"/>
      <c r="Y193" s="123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25"/>
      <c r="AO193" s="13"/>
      <c r="AR193" s="114"/>
    </row>
    <row r="194" spans="6:44" ht="19.5" x14ac:dyDescent="0.4">
      <c r="P194" s="26"/>
      <c r="Q194" s="25"/>
      <c r="V194" s="117"/>
      <c r="W194" s="123"/>
      <c r="X194" s="123"/>
      <c r="Y194" s="123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25">
        <v>45272</v>
      </c>
      <c r="AO194" s="13" t="s">
        <v>162</v>
      </c>
      <c r="AR194" s="114"/>
    </row>
    <row r="195" spans="6:44" ht="19.5" x14ac:dyDescent="0.4">
      <c r="P195" s="26"/>
      <c r="Q195" s="13"/>
      <c r="V195" s="117"/>
      <c r="W195" s="123"/>
      <c r="X195" s="123"/>
      <c r="Y195" s="123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25">
        <v>45272</v>
      </c>
      <c r="AO195" s="15" t="s">
        <v>162</v>
      </c>
      <c r="AR195" s="114"/>
    </row>
    <row r="196" spans="6:44" ht="19.5" x14ac:dyDescent="0.4">
      <c r="P196" s="26"/>
      <c r="Q196" s="13"/>
      <c r="V196" s="117"/>
      <c r="W196" s="123"/>
      <c r="X196" s="123"/>
      <c r="Y196" s="123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25">
        <v>45272</v>
      </c>
      <c r="AO196" s="15" t="s">
        <v>162</v>
      </c>
      <c r="AR196" s="114"/>
    </row>
    <row r="197" spans="6:44" ht="19.5" x14ac:dyDescent="0.4">
      <c r="H197" s="115"/>
      <c r="I197" s="115"/>
      <c r="J197" s="115"/>
      <c r="K197" s="115"/>
      <c r="L197" s="115"/>
      <c r="M197" s="115"/>
      <c r="N197" s="115"/>
      <c r="O197" s="115"/>
      <c r="P197" s="26"/>
      <c r="Q197" s="13"/>
      <c r="V197" s="117"/>
      <c r="W197" s="123"/>
      <c r="X197" s="123"/>
      <c r="Y197" s="123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25"/>
      <c r="AO197" s="15"/>
      <c r="AR197" s="114"/>
    </row>
    <row r="198" spans="6:44" ht="19.5" x14ac:dyDescent="0.4">
      <c r="H198" s="115"/>
      <c r="I198" s="115"/>
      <c r="J198" s="115"/>
      <c r="K198" s="115"/>
      <c r="L198" s="115"/>
      <c r="M198" s="115"/>
      <c r="N198" s="115"/>
      <c r="O198" s="115"/>
      <c r="P198" s="17"/>
      <c r="Q198" s="13"/>
      <c r="V198" s="117"/>
      <c r="W198" s="123"/>
      <c r="X198" s="123"/>
      <c r="Y198" s="123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25"/>
      <c r="AO198" s="15"/>
      <c r="AR198" s="114"/>
    </row>
    <row r="199" spans="6:44" ht="19.5" x14ac:dyDescent="0.4">
      <c r="P199" s="26"/>
      <c r="Q199" s="13"/>
      <c r="V199" s="117"/>
      <c r="W199" s="123"/>
      <c r="X199" s="123"/>
      <c r="Y199" s="123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25">
        <v>45272</v>
      </c>
      <c r="AO199" s="15" t="s">
        <v>162</v>
      </c>
      <c r="AR199" s="114"/>
    </row>
    <row r="200" spans="6:44" ht="19.5" x14ac:dyDescent="0.4"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26"/>
      <c r="Q200" s="13"/>
      <c r="V200" s="117"/>
      <c r="W200" s="123"/>
      <c r="X200" s="123"/>
      <c r="Y200" s="123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25"/>
      <c r="AO200" s="15"/>
      <c r="AR200" s="114"/>
    </row>
    <row r="201" spans="6:44" ht="19.5" x14ac:dyDescent="0.4"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26"/>
      <c r="Q201" s="13"/>
      <c r="V201" s="117"/>
      <c r="W201" s="123"/>
      <c r="X201" s="123"/>
      <c r="Y201" s="123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25"/>
      <c r="AO201" s="15"/>
      <c r="AR201" s="114"/>
    </row>
    <row r="202" spans="6:44" ht="19.5" x14ac:dyDescent="0.4"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7"/>
      <c r="Q202" s="13"/>
      <c r="V202" s="117"/>
      <c r="W202" s="123"/>
      <c r="X202" s="123"/>
      <c r="Y202" s="123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25"/>
      <c r="AO202" s="15"/>
      <c r="AR202" s="114"/>
    </row>
    <row r="203" spans="6:44" ht="19.5" x14ac:dyDescent="0.4"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26"/>
      <c r="Q203" s="13"/>
      <c r="V203" s="117"/>
      <c r="W203" s="123"/>
      <c r="X203" s="123"/>
      <c r="Y203" s="123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25"/>
      <c r="AO203" s="15"/>
      <c r="AR203" s="114"/>
    </row>
    <row r="204" spans="6:44" ht="19.5" x14ac:dyDescent="0.4"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7"/>
      <c r="Q204" s="13"/>
      <c r="V204" s="117"/>
      <c r="W204" s="123"/>
      <c r="X204" s="123"/>
      <c r="Y204" s="123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25"/>
      <c r="AO204" s="15"/>
      <c r="AR204" s="114"/>
    </row>
    <row r="205" spans="6:44" ht="19.5" x14ac:dyDescent="0.4"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26"/>
      <c r="Q205" s="13"/>
      <c r="V205" s="117"/>
      <c r="W205" s="123"/>
      <c r="X205" s="123"/>
      <c r="Y205" s="123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25"/>
      <c r="AO205" s="15"/>
      <c r="AR205" s="114"/>
    </row>
    <row r="206" spans="6:44" ht="19.5" x14ac:dyDescent="0.4">
      <c r="P206" s="26"/>
      <c r="Q206" s="13"/>
      <c r="V206" s="117"/>
      <c r="W206" s="123"/>
      <c r="X206" s="123"/>
      <c r="Y206" s="123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25">
        <v>45272</v>
      </c>
      <c r="AO206" s="15" t="s">
        <v>162</v>
      </c>
      <c r="AR206" s="114"/>
    </row>
    <row r="207" spans="6:44" ht="19.5" x14ac:dyDescent="0.4">
      <c r="K207" s="115"/>
      <c r="L207" s="115"/>
      <c r="M207" s="115"/>
      <c r="N207" s="115"/>
      <c r="O207" s="115"/>
      <c r="P207" s="26"/>
      <c r="Q207" s="13"/>
      <c r="V207" s="117"/>
      <c r="W207" s="123"/>
      <c r="X207" s="123"/>
      <c r="Y207" s="123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25"/>
      <c r="AO207" s="15"/>
      <c r="AR207" s="114"/>
    </row>
    <row r="208" spans="6:44" ht="19.5" x14ac:dyDescent="0.4">
      <c r="K208" s="115"/>
      <c r="L208" s="115"/>
      <c r="M208" s="115"/>
      <c r="N208" s="115"/>
      <c r="O208" s="115"/>
      <c r="P208" s="17"/>
      <c r="Q208" s="13"/>
      <c r="V208" s="117"/>
      <c r="W208" s="123"/>
      <c r="X208" s="123"/>
      <c r="Y208" s="123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25"/>
      <c r="AO208" s="15"/>
      <c r="AR208" s="114"/>
    </row>
    <row r="209" spans="6:44" ht="19.5" x14ac:dyDescent="0.4"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26"/>
      <c r="Q209" s="13"/>
      <c r="V209" s="117"/>
      <c r="W209" s="123"/>
      <c r="X209" s="123"/>
      <c r="Y209" s="123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25"/>
      <c r="AO209" s="15"/>
      <c r="AR209" s="114"/>
    </row>
    <row r="210" spans="6:44" ht="19.5" x14ac:dyDescent="0.4"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7"/>
      <c r="Q210" s="13"/>
      <c r="V210" s="117"/>
      <c r="W210" s="123"/>
      <c r="X210" s="123"/>
      <c r="Y210" s="123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25"/>
      <c r="AO210" s="15"/>
      <c r="AR210" s="114"/>
    </row>
    <row r="211" spans="6:44" ht="19.5" x14ac:dyDescent="0.4"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26"/>
      <c r="Q211" s="25"/>
      <c r="V211" s="117"/>
      <c r="W211" s="123"/>
      <c r="X211" s="123"/>
      <c r="Y211" s="123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25"/>
      <c r="AO211" s="15"/>
      <c r="AR211" s="114"/>
    </row>
    <row r="212" spans="6:44" ht="19.5" x14ac:dyDescent="0.4"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7"/>
      <c r="Q212" s="13"/>
      <c r="V212" s="117"/>
      <c r="W212" s="123"/>
      <c r="X212" s="123"/>
      <c r="Y212" s="123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25"/>
      <c r="AO212" s="15"/>
      <c r="AR212" s="114"/>
    </row>
    <row r="213" spans="6:44" ht="19.5" x14ac:dyDescent="0.4"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26"/>
      <c r="Q213" s="13"/>
      <c r="V213" s="117"/>
      <c r="W213" s="123"/>
      <c r="X213" s="123"/>
      <c r="Y213" s="123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25"/>
      <c r="AO213" s="15"/>
      <c r="AR213" s="114"/>
    </row>
    <row r="214" spans="6:44" ht="19.5" x14ac:dyDescent="0.4">
      <c r="P214" s="26"/>
      <c r="Q214" s="13"/>
      <c r="V214" s="117"/>
      <c r="W214" s="123"/>
      <c r="X214" s="123"/>
      <c r="Y214" s="123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25">
        <v>45272</v>
      </c>
      <c r="AO214" s="15" t="s">
        <v>162</v>
      </c>
      <c r="AR214" s="114"/>
    </row>
    <row r="215" spans="6:44" ht="19.5" x14ac:dyDescent="0.4">
      <c r="L215" s="115"/>
      <c r="M215" s="115"/>
      <c r="N215" s="115"/>
      <c r="O215" s="115"/>
      <c r="P215" s="17"/>
      <c r="Q215" s="13"/>
      <c r="V215" s="117"/>
      <c r="W215" s="123"/>
      <c r="X215" s="123"/>
      <c r="Y215" s="123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25"/>
      <c r="AO215" s="15"/>
      <c r="AR215" s="114"/>
    </row>
    <row r="216" spans="6:44" ht="19.5" x14ac:dyDescent="0.4">
      <c r="K216" s="115"/>
      <c r="L216" s="115"/>
      <c r="M216" s="115"/>
      <c r="N216" s="115"/>
      <c r="O216" s="115"/>
      <c r="P216" s="26"/>
      <c r="Q216" s="13"/>
      <c r="V216" s="117"/>
      <c r="W216" s="123"/>
      <c r="X216" s="123"/>
      <c r="Y216" s="123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25"/>
      <c r="AO216" s="15"/>
      <c r="AR216" s="114"/>
    </row>
    <row r="217" spans="6:44" ht="19.5" x14ac:dyDescent="0.4">
      <c r="K217" s="115"/>
      <c r="L217" s="115"/>
      <c r="M217" s="115"/>
      <c r="N217" s="115"/>
      <c r="O217" s="115"/>
      <c r="P217" s="17"/>
      <c r="Q217" s="13"/>
      <c r="V217" s="117"/>
      <c r="W217" s="123"/>
      <c r="X217" s="123"/>
      <c r="Y217" s="123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25"/>
      <c r="AO217" s="15"/>
      <c r="AR217" s="114"/>
    </row>
    <row r="218" spans="6:44" ht="19.5" x14ac:dyDescent="0.4">
      <c r="K218" s="115"/>
      <c r="L218" s="115"/>
      <c r="M218" s="115"/>
      <c r="N218" s="115"/>
      <c r="O218" s="115"/>
      <c r="P218" s="17"/>
      <c r="Q218" s="13"/>
      <c r="V218" s="117"/>
      <c r="W218" s="123"/>
      <c r="X218" s="123"/>
      <c r="Y218" s="123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25"/>
      <c r="AO218" s="15"/>
      <c r="AR218" s="114"/>
    </row>
    <row r="219" spans="6:44" ht="19.5" x14ac:dyDescent="0.4">
      <c r="H219" s="115"/>
      <c r="I219" s="115"/>
      <c r="J219" s="115"/>
      <c r="K219" s="115"/>
      <c r="L219" s="115"/>
      <c r="M219" s="115"/>
      <c r="N219" s="115"/>
      <c r="O219" s="115"/>
      <c r="P219" s="26"/>
      <c r="Q219" s="13"/>
      <c r="V219" s="117"/>
      <c r="W219" s="123"/>
      <c r="X219" s="123"/>
      <c r="Y219" s="123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25"/>
      <c r="AO219" s="15"/>
      <c r="AR219" s="114"/>
    </row>
    <row r="220" spans="6:44" ht="19.5" x14ac:dyDescent="0.4">
      <c r="H220" s="115"/>
      <c r="I220" s="115"/>
      <c r="J220" s="115"/>
      <c r="K220" s="115"/>
      <c r="L220" s="115"/>
      <c r="M220" s="115"/>
      <c r="N220" s="115"/>
      <c r="O220" s="115"/>
      <c r="P220" s="20"/>
      <c r="Q220" s="13"/>
      <c r="V220" s="117"/>
      <c r="W220" s="123"/>
      <c r="X220" s="123"/>
      <c r="Y220" s="123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25"/>
      <c r="AO220" s="15"/>
      <c r="AR220" s="114"/>
    </row>
    <row r="221" spans="6:44" ht="19.5" x14ac:dyDescent="0.4">
      <c r="H221" s="115"/>
      <c r="I221" s="115"/>
      <c r="J221" s="115"/>
      <c r="K221" s="115"/>
      <c r="L221" s="115"/>
      <c r="M221" s="115"/>
      <c r="N221" s="115"/>
      <c r="O221" s="115"/>
      <c r="P221" s="20"/>
      <c r="Q221" s="13"/>
      <c r="V221" s="117"/>
      <c r="W221" s="123"/>
      <c r="X221" s="123"/>
      <c r="Y221" s="123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25"/>
      <c r="AO221" s="15"/>
      <c r="AR221" s="114"/>
    </row>
    <row r="222" spans="6:44" ht="19.5" x14ac:dyDescent="0.4">
      <c r="H222" s="115"/>
      <c r="I222" s="115"/>
      <c r="J222" s="115"/>
      <c r="K222" s="115"/>
      <c r="L222" s="115"/>
      <c r="M222" s="115"/>
      <c r="N222" s="115"/>
      <c r="O222" s="115"/>
      <c r="P222" s="25"/>
      <c r="Q222" s="15"/>
      <c r="V222" s="117"/>
      <c r="W222" s="123"/>
      <c r="X222" s="123"/>
      <c r="Y222" s="123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25"/>
      <c r="AO222" s="15"/>
      <c r="AR222" s="114"/>
    </row>
    <row r="223" spans="6:44" ht="19.5" x14ac:dyDescent="0.4"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25"/>
      <c r="Q223" s="15"/>
      <c r="V223" s="117"/>
      <c r="W223" s="123"/>
      <c r="X223" s="123"/>
      <c r="Y223" s="123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25"/>
      <c r="AO223" s="15"/>
      <c r="AR223" s="114"/>
    </row>
    <row r="224" spans="6:44" ht="19.5" x14ac:dyDescent="0.4"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25"/>
      <c r="Q224" s="15"/>
      <c r="V224" s="117"/>
      <c r="W224" s="123"/>
      <c r="X224" s="123"/>
      <c r="Y224" s="123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25"/>
      <c r="AO224" s="15"/>
      <c r="AR224" s="114"/>
    </row>
    <row r="225" spans="7:44" ht="19.5" x14ac:dyDescent="0.4">
      <c r="P225" s="26"/>
      <c r="Q225" s="15"/>
      <c r="V225" s="117"/>
      <c r="W225" s="123"/>
      <c r="X225" s="123"/>
      <c r="Y225" s="123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25">
        <v>45272</v>
      </c>
      <c r="AO225" s="15" t="s">
        <v>162</v>
      </c>
      <c r="AR225" s="114"/>
    </row>
    <row r="226" spans="7:44" ht="19.5" x14ac:dyDescent="0.4">
      <c r="P226" s="26"/>
      <c r="Q226" s="13"/>
      <c r="V226" s="117"/>
      <c r="W226" s="123"/>
      <c r="X226" s="123"/>
      <c r="Y226" s="123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25"/>
      <c r="AO226" s="15"/>
      <c r="AR226" s="114"/>
    </row>
    <row r="227" spans="7:44" ht="19.5" x14ac:dyDescent="0.4">
      <c r="G227" s="115"/>
      <c r="H227" s="115"/>
      <c r="I227" s="115"/>
      <c r="J227" s="115"/>
      <c r="K227" s="115"/>
      <c r="L227" s="115"/>
      <c r="M227" s="115"/>
      <c r="N227" s="115"/>
      <c r="O227" s="115"/>
      <c r="P227" s="26"/>
      <c r="Q227" s="13"/>
      <c r="V227" s="117"/>
      <c r="W227" s="123"/>
      <c r="X227" s="123"/>
      <c r="Y227" s="123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25"/>
      <c r="AO227" s="15"/>
      <c r="AR227" s="114"/>
    </row>
    <row r="228" spans="7:44" ht="19.5" x14ac:dyDescent="0.4">
      <c r="P228" s="26"/>
      <c r="Q228" s="13"/>
      <c r="V228" s="117"/>
      <c r="W228" s="123"/>
      <c r="X228" s="123"/>
      <c r="Y228" s="123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25">
        <v>45272</v>
      </c>
      <c r="AO228" s="15" t="s">
        <v>162</v>
      </c>
      <c r="AR228" s="114"/>
    </row>
    <row r="229" spans="7:44" ht="19.5" x14ac:dyDescent="0.4">
      <c r="J229" s="115"/>
      <c r="K229" s="115"/>
      <c r="L229" s="115"/>
      <c r="M229" s="115"/>
      <c r="N229" s="115"/>
      <c r="O229" s="115"/>
      <c r="P229" s="17"/>
      <c r="Q229" s="13"/>
      <c r="V229" s="117"/>
      <c r="W229" s="123"/>
      <c r="X229" s="123"/>
      <c r="Y229" s="123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25"/>
      <c r="AO229" s="15"/>
      <c r="AR229" s="114"/>
    </row>
    <row r="230" spans="7:44" ht="19.5" x14ac:dyDescent="0.4">
      <c r="P230" s="26"/>
      <c r="Q230" s="13"/>
      <c r="V230" s="117"/>
      <c r="W230" s="123"/>
      <c r="X230" s="123"/>
      <c r="Y230" s="123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25"/>
      <c r="AO230" s="15"/>
      <c r="AR230" s="114"/>
    </row>
    <row r="231" spans="7:44" ht="19.5" x14ac:dyDescent="0.4">
      <c r="H231" s="115"/>
      <c r="I231" s="115"/>
      <c r="J231" s="115"/>
      <c r="K231" s="115"/>
      <c r="L231" s="115"/>
      <c r="M231" s="115"/>
      <c r="N231" s="115"/>
      <c r="O231" s="115"/>
      <c r="P231" s="26"/>
      <c r="Q231" s="13"/>
      <c r="V231" s="117"/>
      <c r="W231" s="123"/>
      <c r="X231" s="123"/>
      <c r="Y231" s="123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25"/>
      <c r="AO231" s="15"/>
      <c r="AR231" s="114"/>
    </row>
    <row r="232" spans="7:44" ht="19.5" x14ac:dyDescent="0.4">
      <c r="P232" s="26"/>
      <c r="Q232" s="13"/>
      <c r="V232" s="117"/>
      <c r="W232" s="123"/>
      <c r="X232" s="123"/>
      <c r="Y232" s="123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25">
        <v>45272</v>
      </c>
      <c r="AO232" s="15" t="s">
        <v>162</v>
      </c>
      <c r="AR232" s="114"/>
    </row>
    <row r="233" spans="7:44" ht="19.5" x14ac:dyDescent="0.4">
      <c r="P233" s="26"/>
      <c r="Q233" s="13"/>
      <c r="V233" s="117"/>
      <c r="W233" s="123"/>
      <c r="X233" s="123"/>
      <c r="Y233" s="123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 t="s">
        <v>166</v>
      </c>
      <c r="AN233" s="13">
        <f>SUBTOTAL(3,AN181:AN232)</f>
        <v>13</v>
      </c>
      <c r="AO233" s="15">
        <f>SUBTOTAL(3,AO181:AO232)</f>
        <v>13</v>
      </c>
      <c r="AR233" s="114"/>
    </row>
    <row r="234" spans="7:44" ht="19.5" x14ac:dyDescent="0.4">
      <c r="J234" s="115"/>
      <c r="K234" s="115"/>
      <c r="L234" s="115"/>
      <c r="M234" s="115"/>
      <c r="N234" s="115"/>
      <c r="O234" s="115"/>
      <c r="P234" s="17"/>
      <c r="Q234" s="13"/>
      <c r="V234" s="117"/>
      <c r="W234" s="123"/>
      <c r="X234" s="123"/>
      <c r="Y234" s="123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3"/>
      <c r="AO234" s="15"/>
      <c r="AR234" s="114"/>
    </row>
    <row r="235" spans="7:44" ht="19.5" x14ac:dyDescent="0.4">
      <c r="P235" s="26"/>
      <c r="Q235" s="13"/>
      <c r="V235" s="117"/>
      <c r="W235" s="123"/>
      <c r="X235" s="123"/>
      <c r="Y235" s="123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25">
        <v>45273</v>
      </c>
      <c r="AO235" s="105" t="s">
        <v>164</v>
      </c>
      <c r="AR235" s="114"/>
    </row>
    <row r="236" spans="7:44" ht="19.5" x14ac:dyDescent="0.4">
      <c r="P236" s="26"/>
      <c r="Q236" s="13"/>
      <c r="V236" s="117"/>
      <c r="W236" s="123"/>
      <c r="X236" s="123"/>
      <c r="Y236" s="123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25">
        <v>45273</v>
      </c>
      <c r="AO236" s="15" t="s">
        <v>164</v>
      </c>
      <c r="AR236" s="114"/>
    </row>
    <row r="237" spans="7:44" ht="19.5" x14ac:dyDescent="0.4">
      <c r="G237" s="115"/>
      <c r="H237" s="115"/>
      <c r="I237" s="115"/>
      <c r="J237" s="115"/>
      <c r="K237" s="115"/>
      <c r="L237" s="115"/>
      <c r="M237" s="115"/>
      <c r="N237" s="115"/>
      <c r="O237" s="115"/>
      <c r="P237" s="26"/>
      <c r="Q237" s="13"/>
      <c r="V237" s="117"/>
      <c r="W237" s="123"/>
      <c r="X237" s="123"/>
      <c r="Y237" s="123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25"/>
      <c r="AO237" s="13"/>
      <c r="AR237" s="114"/>
    </row>
    <row r="238" spans="7:44" ht="19.5" x14ac:dyDescent="0.4">
      <c r="P238" s="26"/>
      <c r="Q238" s="13"/>
      <c r="V238" s="117"/>
      <c r="W238" s="123"/>
      <c r="X238" s="123"/>
      <c r="Y238" s="123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25">
        <v>45273</v>
      </c>
      <c r="AO238" s="13" t="s">
        <v>164</v>
      </c>
      <c r="AR238" s="114"/>
    </row>
    <row r="239" spans="7:44" ht="19.5" x14ac:dyDescent="0.4">
      <c r="P239" s="26"/>
      <c r="Q239" s="13"/>
      <c r="V239" s="117"/>
      <c r="W239" s="123"/>
      <c r="X239" s="123"/>
      <c r="Y239" s="123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25">
        <v>45273</v>
      </c>
      <c r="AO239" s="15" t="s">
        <v>164</v>
      </c>
      <c r="AR239" s="114"/>
    </row>
    <row r="240" spans="7:44" ht="19.5" x14ac:dyDescent="0.4">
      <c r="P240" s="26"/>
      <c r="Q240" s="13"/>
      <c r="V240" s="117"/>
      <c r="W240" s="123"/>
      <c r="X240" s="123"/>
      <c r="Y240" s="123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25">
        <v>45273</v>
      </c>
      <c r="AO240" s="15" t="s">
        <v>162</v>
      </c>
      <c r="AR240" s="114"/>
    </row>
    <row r="241" spans="8:44" ht="19.5" x14ac:dyDescent="0.4">
      <c r="I241" s="115"/>
      <c r="J241" s="115"/>
      <c r="K241" s="115"/>
      <c r="L241" s="115"/>
      <c r="M241" s="115"/>
      <c r="N241" s="115"/>
      <c r="O241" s="115"/>
      <c r="P241" s="26"/>
      <c r="Q241" s="13"/>
      <c r="V241" s="117"/>
      <c r="W241" s="123"/>
      <c r="X241" s="123"/>
      <c r="Y241" s="123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25"/>
      <c r="AO241" s="15"/>
      <c r="AR241" s="114"/>
    </row>
    <row r="242" spans="8:44" ht="19.5" x14ac:dyDescent="0.4">
      <c r="P242" s="26"/>
      <c r="Q242" s="13"/>
      <c r="V242" s="117"/>
      <c r="W242" s="123"/>
      <c r="X242" s="123"/>
      <c r="Y242" s="123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25">
        <v>45273</v>
      </c>
      <c r="AO242" s="15" t="s">
        <v>162</v>
      </c>
      <c r="AR242" s="114"/>
    </row>
    <row r="243" spans="8:44" ht="19.5" x14ac:dyDescent="0.4">
      <c r="P243" s="26"/>
      <c r="Q243" s="13"/>
      <c r="V243" s="117"/>
      <c r="W243" s="123"/>
      <c r="X243" s="123"/>
      <c r="Y243" s="123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25">
        <v>45273</v>
      </c>
      <c r="AO243" s="15" t="s">
        <v>162</v>
      </c>
      <c r="AR243" s="114"/>
    </row>
    <row r="244" spans="8:44" ht="19.5" x14ac:dyDescent="0.4">
      <c r="P244" s="26"/>
      <c r="Q244" s="13"/>
      <c r="V244" s="117"/>
      <c r="W244" s="123"/>
      <c r="X244" s="123"/>
      <c r="Y244" s="123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25">
        <v>45273</v>
      </c>
      <c r="AO244" s="15" t="s">
        <v>162</v>
      </c>
      <c r="AR244" s="114"/>
    </row>
    <row r="245" spans="8:44" ht="19.5" x14ac:dyDescent="0.4">
      <c r="H245" s="115"/>
      <c r="I245" s="115"/>
      <c r="J245" s="115"/>
      <c r="K245" s="115"/>
      <c r="L245" s="115"/>
      <c r="M245" s="115"/>
      <c r="N245" s="115"/>
      <c r="O245" s="115"/>
      <c r="P245" s="26"/>
      <c r="Q245" s="13"/>
      <c r="V245" s="117"/>
      <c r="W245" s="123"/>
      <c r="X245" s="123"/>
      <c r="Y245" s="123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25"/>
      <c r="AO245" s="15"/>
      <c r="AR245" s="114"/>
    </row>
    <row r="246" spans="8:44" ht="19.5" x14ac:dyDescent="0.4">
      <c r="P246" s="26"/>
      <c r="Q246" s="13"/>
      <c r="V246" s="117"/>
      <c r="W246" s="123"/>
      <c r="X246" s="123"/>
      <c r="Y246" s="123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25">
        <v>45273</v>
      </c>
      <c r="AO246" s="15" t="s">
        <v>162</v>
      </c>
      <c r="AR246" s="114"/>
    </row>
    <row r="247" spans="8:44" ht="19.5" x14ac:dyDescent="0.4">
      <c r="P247" s="26"/>
      <c r="Q247" s="13"/>
      <c r="V247" s="117"/>
      <c r="W247" s="123"/>
      <c r="X247" s="123"/>
      <c r="Y247" s="123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25">
        <v>45273</v>
      </c>
      <c r="AO247" s="15" t="s">
        <v>162</v>
      </c>
      <c r="AR247" s="114"/>
    </row>
    <row r="248" spans="8:44" ht="19.5" x14ac:dyDescent="0.4">
      <c r="P248" s="26"/>
      <c r="Q248" s="13"/>
      <c r="V248" s="117"/>
      <c r="W248" s="123"/>
      <c r="X248" s="123"/>
      <c r="Y248" s="123"/>
      <c r="Z248" s="115"/>
      <c r="AA248" s="115"/>
      <c r="AB248" s="115"/>
      <c r="AC248" s="115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25">
        <v>45273</v>
      </c>
      <c r="AO248" s="15" t="s">
        <v>162</v>
      </c>
      <c r="AR248" s="114"/>
    </row>
    <row r="249" spans="8:44" ht="19.5" x14ac:dyDescent="0.4">
      <c r="P249" s="26"/>
      <c r="Q249" s="13"/>
      <c r="V249" s="117"/>
      <c r="W249" s="123"/>
      <c r="X249" s="123"/>
      <c r="Y249" s="123"/>
      <c r="Z249" s="115"/>
      <c r="AA249" s="115"/>
      <c r="AB249" s="115"/>
      <c r="AC249" s="115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25">
        <v>45273</v>
      </c>
      <c r="AO249" s="15" t="s">
        <v>162</v>
      </c>
      <c r="AR249" s="114"/>
    </row>
    <row r="250" spans="8:44" ht="19.5" x14ac:dyDescent="0.4">
      <c r="J250" s="115"/>
      <c r="K250" s="115"/>
      <c r="L250" s="115"/>
      <c r="M250" s="115"/>
      <c r="N250" s="115"/>
      <c r="O250" s="115"/>
      <c r="P250" s="17"/>
      <c r="Q250" s="13"/>
      <c r="V250" s="117"/>
      <c r="W250" s="123"/>
      <c r="X250" s="123"/>
      <c r="Y250" s="123"/>
      <c r="Z250" s="115"/>
      <c r="AA250" s="115"/>
      <c r="AB250" s="115"/>
      <c r="AC250" s="115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25"/>
      <c r="AO250" s="15"/>
      <c r="AR250" s="114"/>
    </row>
    <row r="251" spans="8:44" ht="19.5" x14ac:dyDescent="0.4">
      <c r="P251" s="26"/>
      <c r="Q251" s="13"/>
      <c r="V251" s="117"/>
      <c r="W251" s="123"/>
      <c r="X251" s="123"/>
      <c r="Y251" s="123"/>
      <c r="Z251" s="115"/>
      <c r="AA251" s="115"/>
      <c r="AB251" s="115"/>
      <c r="AC251" s="115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25">
        <v>45273</v>
      </c>
      <c r="AO251" s="15" t="s">
        <v>162</v>
      </c>
      <c r="AR251" s="114"/>
    </row>
    <row r="252" spans="8:44" ht="19.5" x14ac:dyDescent="0.4">
      <c r="J252" s="115"/>
      <c r="K252" s="115"/>
      <c r="L252" s="115"/>
      <c r="M252" s="115"/>
      <c r="N252" s="115"/>
      <c r="O252" s="115"/>
      <c r="P252" s="17"/>
      <c r="Q252" s="13"/>
      <c r="V252" s="117"/>
      <c r="W252" s="123"/>
      <c r="X252" s="123"/>
      <c r="Y252" s="123"/>
      <c r="Z252" s="115"/>
      <c r="AA252" s="115"/>
      <c r="AB252" s="115"/>
      <c r="AC252" s="115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25"/>
      <c r="AO252" s="15"/>
      <c r="AR252" s="114"/>
    </row>
    <row r="253" spans="8:44" ht="19.5" x14ac:dyDescent="0.4">
      <c r="P253" s="26"/>
      <c r="Q253" s="13"/>
      <c r="V253" s="117"/>
      <c r="W253" s="123"/>
      <c r="X253" s="123"/>
      <c r="Y253" s="123"/>
      <c r="Z253" s="115"/>
      <c r="AA253" s="115"/>
      <c r="AB253" s="115"/>
      <c r="AC253" s="115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25">
        <v>45273</v>
      </c>
      <c r="AO253" s="15" t="s">
        <v>162</v>
      </c>
      <c r="AR253" s="114"/>
    </row>
    <row r="254" spans="8:44" ht="19.5" x14ac:dyDescent="0.4">
      <c r="P254" s="26"/>
      <c r="Q254" s="13"/>
      <c r="V254" s="117"/>
      <c r="W254" s="123"/>
      <c r="X254" s="123"/>
      <c r="Y254" s="123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25">
        <v>45273</v>
      </c>
      <c r="AO254" s="13" t="s">
        <v>162</v>
      </c>
      <c r="AR254" s="114"/>
    </row>
    <row r="255" spans="8:44" ht="19.5" x14ac:dyDescent="0.4">
      <c r="P255" s="26"/>
      <c r="Q255" s="13"/>
      <c r="V255" s="117"/>
      <c r="W255" s="123"/>
      <c r="X255" s="123"/>
      <c r="Y255" s="123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25">
        <v>45273</v>
      </c>
      <c r="AO255" s="15" t="s">
        <v>162</v>
      </c>
      <c r="AR255" s="114"/>
    </row>
    <row r="256" spans="8:44" ht="19.5" x14ac:dyDescent="0.4">
      <c r="P256" s="26"/>
      <c r="Q256" s="13"/>
      <c r="V256" s="117"/>
      <c r="W256" s="123"/>
      <c r="X256" s="123"/>
      <c r="Y256" s="123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25">
        <v>45273</v>
      </c>
      <c r="AO256" s="15" t="s">
        <v>162</v>
      </c>
      <c r="AR256" s="114"/>
    </row>
    <row r="257" spans="6:44" ht="19.5" x14ac:dyDescent="0.4">
      <c r="G257" s="115"/>
      <c r="H257" s="115"/>
      <c r="I257" s="115"/>
      <c r="J257" s="115"/>
      <c r="K257" s="115"/>
      <c r="L257" s="115"/>
      <c r="M257" s="115"/>
      <c r="N257" s="115"/>
      <c r="O257" s="115"/>
      <c r="P257" s="26"/>
      <c r="Q257" s="25"/>
      <c r="V257" s="117"/>
      <c r="W257" s="123"/>
      <c r="X257" s="123"/>
      <c r="Y257" s="123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25"/>
      <c r="AO257" s="15"/>
      <c r="AR257" s="114"/>
    </row>
    <row r="258" spans="6:44" ht="19.5" x14ac:dyDescent="0.4">
      <c r="P258" s="26"/>
      <c r="Q258" s="25"/>
      <c r="V258" s="117"/>
      <c r="W258" s="123"/>
      <c r="X258" s="123"/>
      <c r="Y258" s="123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25">
        <v>45273</v>
      </c>
      <c r="AO258" s="15" t="s">
        <v>162</v>
      </c>
      <c r="AR258" s="114"/>
    </row>
    <row r="259" spans="6:44" ht="19.5" x14ac:dyDescent="0.4">
      <c r="P259" s="26"/>
      <c r="Q259" s="13"/>
      <c r="V259" s="117"/>
      <c r="W259" s="123"/>
      <c r="X259" s="123"/>
      <c r="Y259" s="123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25">
        <v>45273</v>
      </c>
      <c r="AO259" s="15" t="s">
        <v>162</v>
      </c>
      <c r="AR259" s="114"/>
    </row>
    <row r="260" spans="6:44" ht="19.5" x14ac:dyDescent="0.4"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26"/>
      <c r="Q260" s="13"/>
      <c r="V260" s="117"/>
      <c r="W260" s="123"/>
      <c r="X260" s="123"/>
      <c r="Y260" s="123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25"/>
      <c r="AO260" s="15"/>
      <c r="AR260" s="114"/>
    </row>
    <row r="261" spans="6:44" ht="19.5" x14ac:dyDescent="0.4"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26"/>
      <c r="Q261" s="13"/>
      <c r="V261" s="117"/>
      <c r="W261" s="123"/>
      <c r="X261" s="123"/>
      <c r="Y261" s="123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25"/>
      <c r="AO261" s="15"/>
      <c r="AR261" s="114"/>
    </row>
    <row r="262" spans="6:44" ht="19.5" x14ac:dyDescent="0.4">
      <c r="P262" s="26"/>
      <c r="Q262" s="13"/>
      <c r="V262" s="117"/>
      <c r="W262" s="123"/>
      <c r="X262" s="123"/>
      <c r="Y262" s="123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25">
        <v>45273</v>
      </c>
      <c r="AO262" s="15" t="s">
        <v>162</v>
      </c>
      <c r="AR262" s="114"/>
    </row>
    <row r="263" spans="6:44" ht="19.5" x14ac:dyDescent="0.4">
      <c r="P263" s="26"/>
      <c r="Q263" s="13"/>
      <c r="V263" s="117"/>
      <c r="W263" s="123"/>
      <c r="X263" s="123"/>
      <c r="Y263" s="123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25">
        <v>45273</v>
      </c>
      <c r="AO263" s="15" t="s">
        <v>162</v>
      </c>
      <c r="AR263" s="114"/>
    </row>
    <row r="264" spans="6:44" ht="19.5" x14ac:dyDescent="0.4">
      <c r="P264" s="26"/>
      <c r="Q264" s="13"/>
      <c r="V264" s="117"/>
      <c r="W264" s="123"/>
      <c r="X264" s="123"/>
      <c r="Y264" s="123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25">
        <v>45273</v>
      </c>
      <c r="AO264" s="13" t="s">
        <v>163</v>
      </c>
      <c r="AR264" s="114"/>
    </row>
    <row r="265" spans="6:44" ht="19.5" x14ac:dyDescent="0.4">
      <c r="P265" s="26"/>
      <c r="Q265" s="13"/>
      <c r="V265" s="117"/>
      <c r="W265" s="123"/>
      <c r="X265" s="123"/>
      <c r="Y265" s="123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25"/>
      <c r="AO265" s="13"/>
      <c r="AR265" s="114"/>
    </row>
    <row r="266" spans="6:44" ht="19.5" x14ac:dyDescent="0.4">
      <c r="P266" s="26"/>
      <c r="Q266" s="13"/>
      <c r="V266" s="117"/>
      <c r="W266" s="123"/>
      <c r="X266" s="123"/>
      <c r="Y266" s="123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 t="s">
        <v>152</v>
      </c>
      <c r="AN266" s="13">
        <f>SUBTOTAL(3,AN235:AN264)</f>
        <v>22</v>
      </c>
      <c r="AO266" s="13">
        <f>SUBTOTAL(3,AO235:AO264)</f>
        <v>22</v>
      </c>
      <c r="AR266" s="114"/>
    </row>
    <row r="267" spans="6:44" ht="19.5" x14ac:dyDescent="0.4">
      <c r="P267" s="26"/>
      <c r="Q267" s="13"/>
      <c r="V267" s="117"/>
      <c r="W267" s="123"/>
      <c r="X267" s="123"/>
      <c r="Y267" s="123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25">
        <v>45274</v>
      </c>
      <c r="AO267" s="15" t="s">
        <v>162</v>
      </c>
      <c r="AR267" s="114"/>
    </row>
    <row r="268" spans="6:44" ht="19.5" x14ac:dyDescent="0.4">
      <c r="H268" s="115"/>
      <c r="I268" s="115"/>
      <c r="J268" s="115"/>
      <c r="K268" s="115"/>
      <c r="L268" s="115"/>
      <c r="M268" s="115"/>
      <c r="N268" s="115"/>
      <c r="O268" s="115"/>
      <c r="P268" s="26"/>
      <c r="Q268" s="13"/>
      <c r="V268" s="117"/>
      <c r="W268" s="123"/>
      <c r="X268" s="123"/>
      <c r="Y268" s="123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25"/>
      <c r="AO268" s="15"/>
      <c r="AR268" s="114"/>
    </row>
    <row r="269" spans="6:44" ht="19.5" x14ac:dyDescent="0.4">
      <c r="H269" s="115"/>
      <c r="I269" s="115"/>
      <c r="J269" s="115"/>
      <c r="K269" s="115"/>
      <c r="L269" s="115"/>
      <c r="M269" s="115"/>
      <c r="N269" s="115"/>
      <c r="O269" s="115"/>
      <c r="P269" s="26"/>
      <c r="Q269" s="13"/>
      <c r="V269" s="117"/>
      <c r="W269" s="123"/>
      <c r="X269" s="123"/>
      <c r="Y269" s="123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25"/>
      <c r="AO269" s="15"/>
      <c r="AR269" s="114"/>
    </row>
    <row r="270" spans="6:44" ht="19.5" x14ac:dyDescent="0.4">
      <c r="P270" s="26"/>
      <c r="Q270" s="13"/>
      <c r="V270" s="117"/>
      <c r="W270" s="123"/>
      <c r="X270" s="123"/>
      <c r="Y270" s="123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25">
        <v>45274</v>
      </c>
      <c r="AO270" s="15" t="s">
        <v>162</v>
      </c>
      <c r="AR270" s="114"/>
    </row>
    <row r="271" spans="6:44" ht="19.5" x14ac:dyDescent="0.4">
      <c r="I271" s="115"/>
      <c r="J271" s="115"/>
      <c r="K271" s="115"/>
      <c r="L271" s="115"/>
      <c r="M271" s="115"/>
      <c r="N271" s="115"/>
      <c r="O271" s="115"/>
      <c r="P271" s="26"/>
      <c r="Q271" s="13"/>
      <c r="V271" s="117"/>
      <c r="W271" s="123"/>
      <c r="X271" s="123"/>
      <c r="Y271" s="123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25"/>
      <c r="AO271" s="15"/>
      <c r="AR271" s="114"/>
    </row>
    <row r="272" spans="6:44" ht="19.5" x14ac:dyDescent="0.4">
      <c r="H272" s="115"/>
      <c r="I272" s="115"/>
      <c r="J272" s="115"/>
      <c r="K272" s="115"/>
      <c r="L272" s="115"/>
      <c r="M272" s="115"/>
      <c r="N272" s="115"/>
      <c r="O272" s="115"/>
      <c r="P272" s="26"/>
      <c r="Q272" s="13"/>
      <c r="V272" s="117"/>
      <c r="W272" s="123"/>
      <c r="X272" s="123"/>
      <c r="Y272" s="123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25"/>
      <c r="AO272" s="15"/>
      <c r="AR272" s="114"/>
    </row>
    <row r="273" spans="6:44" ht="19.5" x14ac:dyDescent="0.4"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26"/>
      <c r="Q273" s="13"/>
      <c r="V273" s="117"/>
      <c r="W273" s="123"/>
      <c r="X273" s="123"/>
      <c r="Y273" s="123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25"/>
      <c r="AO273" s="15"/>
      <c r="AR273" s="114"/>
    </row>
    <row r="274" spans="6:44" ht="19.5" x14ac:dyDescent="0.4">
      <c r="P274" s="26"/>
      <c r="Q274" s="13"/>
      <c r="V274" s="117"/>
      <c r="W274" s="123"/>
      <c r="X274" s="123"/>
      <c r="Y274" s="123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25">
        <v>45274</v>
      </c>
      <c r="AO274" s="15" t="s">
        <v>162</v>
      </c>
      <c r="AR274" s="114"/>
    </row>
    <row r="275" spans="6:44" ht="19.5" x14ac:dyDescent="0.4">
      <c r="G275" s="115"/>
      <c r="H275" s="115"/>
      <c r="I275" s="115"/>
      <c r="J275" s="115"/>
      <c r="K275" s="115"/>
      <c r="L275" s="115"/>
      <c r="M275" s="115"/>
      <c r="N275" s="115"/>
      <c r="O275" s="115"/>
      <c r="P275" s="26"/>
      <c r="Q275" s="13"/>
      <c r="V275" s="117"/>
      <c r="W275" s="123"/>
      <c r="X275" s="123"/>
      <c r="Y275" s="123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25"/>
      <c r="AO275" s="15"/>
      <c r="AR275" s="114"/>
    </row>
    <row r="276" spans="6:44" ht="19.5" x14ac:dyDescent="0.4">
      <c r="P276" s="26"/>
      <c r="Q276" s="13"/>
      <c r="V276" s="117"/>
      <c r="W276" s="123"/>
      <c r="X276" s="123"/>
      <c r="Y276" s="123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25">
        <v>45274</v>
      </c>
      <c r="AO276" s="15" t="s">
        <v>162</v>
      </c>
      <c r="AR276" s="114"/>
    </row>
    <row r="277" spans="6:44" ht="19.5" x14ac:dyDescent="0.4">
      <c r="P277" s="26"/>
      <c r="Q277" s="13"/>
      <c r="V277" s="117"/>
      <c r="W277" s="123"/>
      <c r="X277" s="123"/>
      <c r="Y277" s="123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25">
        <v>45274</v>
      </c>
      <c r="AO277" s="15" t="s">
        <v>163</v>
      </c>
      <c r="AR277" s="114"/>
    </row>
    <row r="278" spans="6:44" ht="19.5" x14ac:dyDescent="0.4">
      <c r="J278" s="115"/>
      <c r="K278" s="115"/>
      <c r="L278" s="115"/>
      <c r="M278" s="115"/>
      <c r="N278" s="115"/>
      <c r="O278" s="115"/>
      <c r="P278" s="17"/>
      <c r="Q278" s="13"/>
      <c r="V278" s="117"/>
      <c r="W278" s="123"/>
      <c r="X278" s="123"/>
      <c r="Y278" s="123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25"/>
      <c r="AO278" s="15"/>
      <c r="AR278" s="114"/>
    </row>
    <row r="279" spans="6:44" ht="19.5" x14ac:dyDescent="0.4">
      <c r="H279" s="115"/>
      <c r="I279" s="115"/>
      <c r="J279" s="115"/>
      <c r="K279" s="115"/>
      <c r="L279" s="115"/>
      <c r="M279" s="115"/>
      <c r="N279" s="115"/>
      <c r="O279" s="115"/>
      <c r="P279" s="26"/>
      <c r="Q279" s="13"/>
      <c r="V279" s="117"/>
      <c r="W279" s="123"/>
      <c r="X279" s="123"/>
      <c r="Y279" s="123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25"/>
      <c r="AO279" s="15"/>
      <c r="AR279" s="114"/>
    </row>
    <row r="280" spans="6:44" ht="19.5" x14ac:dyDescent="0.4">
      <c r="P280" s="26"/>
      <c r="Q280" s="25"/>
      <c r="V280" s="117"/>
      <c r="W280" s="123"/>
      <c r="X280" s="123"/>
      <c r="Y280" s="123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15" t="s">
        <v>167</v>
      </c>
      <c r="AN280" s="13">
        <f>SUBTOTAL(3,AN267:AN277)</f>
        <v>5</v>
      </c>
      <c r="AO280" s="15">
        <f>SUBTOTAL(3,AO267:AO277)</f>
        <v>5</v>
      </c>
      <c r="AR280" s="114"/>
    </row>
    <row r="281" spans="6:44" ht="19.5" x14ac:dyDescent="0.4">
      <c r="H281" s="115"/>
      <c r="I281" s="115"/>
      <c r="J281" s="115"/>
      <c r="K281" s="115"/>
      <c r="L281" s="115"/>
      <c r="M281" s="115"/>
      <c r="N281" s="115"/>
      <c r="O281" s="115"/>
      <c r="P281" s="26"/>
      <c r="Q281" s="105"/>
      <c r="V281" s="117"/>
      <c r="W281" s="123"/>
      <c r="X281" s="123"/>
      <c r="Y281" s="123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3"/>
      <c r="AO281" s="15"/>
      <c r="AR281" s="114"/>
    </row>
    <row r="282" spans="6:44" ht="19.5" x14ac:dyDescent="0.4">
      <c r="P282" s="26"/>
      <c r="Q282" s="105"/>
      <c r="V282" s="117"/>
      <c r="W282" s="123"/>
      <c r="X282" s="123"/>
      <c r="Y282" s="123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3"/>
      <c r="AO282" s="15"/>
      <c r="AR282" s="114"/>
    </row>
    <row r="283" spans="6:44" ht="19.5" x14ac:dyDescent="0.4">
      <c r="J283" s="115"/>
      <c r="K283" s="115"/>
      <c r="L283" s="115"/>
      <c r="M283" s="115"/>
      <c r="N283" s="115"/>
      <c r="O283" s="115"/>
      <c r="P283" s="17"/>
      <c r="Q283" s="15"/>
      <c r="V283" s="117"/>
      <c r="W283" s="123"/>
      <c r="X283" s="123"/>
      <c r="Y283" s="123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3"/>
      <c r="AO283" s="15"/>
      <c r="AR283" s="114"/>
    </row>
    <row r="284" spans="6:44" ht="19.5" x14ac:dyDescent="0.4">
      <c r="H284" s="115"/>
      <c r="I284" s="115"/>
      <c r="J284" s="115"/>
      <c r="K284" s="115"/>
      <c r="L284" s="115"/>
      <c r="M284" s="115"/>
      <c r="N284" s="115"/>
      <c r="O284" s="115"/>
      <c r="P284" s="26"/>
      <c r="Q284" s="15"/>
      <c r="V284" s="117"/>
      <c r="W284" s="123"/>
      <c r="X284" s="123"/>
      <c r="Y284" s="123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3"/>
      <c r="AO284" s="15"/>
      <c r="AR284" s="114"/>
    </row>
    <row r="285" spans="6:44" ht="19.5" x14ac:dyDescent="0.4">
      <c r="H285" s="115"/>
      <c r="I285" s="115"/>
      <c r="J285" s="115"/>
      <c r="K285" s="115"/>
      <c r="L285" s="115"/>
      <c r="M285" s="115"/>
      <c r="N285" s="115"/>
      <c r="O285" s="115"/>
      <c r="P285" s="26"/>
      <c r="Q285" s="15"/>
      <c r="V285" s="117"/>
      <c r="W285" s="123"/>
      <c r="X285" s="123"/>
      <c r="Y285" s="123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3"/>
      <c r="AO285" s="15"/>
      <c r="AR285" s="114"/>
    </row>
    <row r="286" spans="6:44" ht="19.5" x14ac:dyDescent="0.4">
      <c r="H286" s="115"/>
      <c r="I286" s="115"/>
      <c r="J286" s="115"/>
      <c r="K286" s="115"/>
      <c r="L286" s="115"/>
      <c r="M286" s="115"/>
      <c r="N286" s="115"/>
      <c r="O286" s="115"/>
      <c r="P286" s="26"/>
      <c r="Q286" s="15"/>
      <c r="V286" s="117"/>
      <c r="W286" s="123"/>
      <c r="X286" s="123"/>
      <c r="Y286" s="123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3"/>
      <c r="AO286" s="15"/>
      <c r="AR286" s="114"/>
    </row>
    <row r="287" spans="6:44" ht="19.5" x14ac:dyDescent="0.4">
      <c r="G287" s="115"/>
      <c r="H287" s="115"/>
      <c r="I287" s="115"/>
      <c r="J287" s="115"/>
      <c r="K287" s="115"/>
      <c r="L287" s="115"/>
      <c r="M287" s="115"/>
      <c r="N287" s="115"/>
      <c r="O287" s="115"/>
      <c r="P287" s="26"/>
      <c r="Q287" s="15"/>
      <c r="V287" s="117"/>
      <c r="W287" s="123"/>
      <c r="X287" s="123"/>
      <c r="Y287" s="123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3"/>
      <c r="AO287" s="15"/>
      <c r="AR287" s="114"/>
    </row>
    <row r="288" spans="6:44" ht="19.5" x14ac:dyDescent="0.4">
      <c r="P288" s="26"/>
      <c r="Q288" s="15"/>
      <c r="V288" s="117"/>
      <c r="W288" s="123"/>
      <c r="X288" s="123"/>
      <c r="Y288" s="123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25">
        <v>45275</v>
      </c>
      <c r="AO288" s="15" t="s">
        <v>163</v>
      </c>
      <c r="AR288" s="114"/>
    </row>
    <row r="289" spans="6:44" ht="19.5" x14ac:dyDescent="0.4">
      <c r="P289" s="26"/>
      <c r="Q289" s="15"/>
      <c r="V289" s="117"/>
      <c r="W289" s="123"/>
      <c r="X289" s="123"/>
      <c r="Y289" s="123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 t="s">
        <v>168</v>
      </c>
      <c r="AN289" s="13">
        <f>SUBTOTAL(3,AN288:AN288)</f>
        <v>1</v>
      </c>
      <c r="AO289" s="15">
        <f>SUBTOTAL(3,AO288:AO288)</f>
        <v>1</v>
      </c>
      <c r="AR289" s="114"/>
    </row>
    <row r="290" spans="6:44" ht="19.5" x14ac:dyDescent="0.4">
      <c r="P290" s="26"/>
      <c r="Q290" s="15"/>
      <c r="V290" s="117"/>
      <c r="W290" s="123"/>
      <c r="X290" s="123"/>
      <c r="Y290" s="123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25">
        <v>45276</v>
      </c>
      <c r="AO290" s="15" t="s">
        <v>164</v>
      </c>
      <c r="AR290" s="114"/>
    </row>
    <row r="291" spans="6:44" ht="19.5" x14ac:dyDescent="0.4">
      <c r="P291" s="26"/>
      <c r="Q291" s="15"/>
      <c r="V291" s="117"/>
      <c r="W291" s="123"/>
      <c r="X291" s="123"/>
      <c r="Y291" s="123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25">
        <v>45276</v>
      </c>
      <c r="AO291" s="15" t="s">
        <v>162</v>
      </c>
      <c r="AR291" s="114"/>
    </row>
    <row r="292" spans="6:44" ht="19.5" x14ac:dyDescent="0.4">
      <c r="P292" s="26"/>
      <c r="Q292" s="15"/>
      <c r="V292" s="117"/>
      <c r="W292" s="123"/>
      <c r="X292" s="123"/>
      <c r="Y292" s="123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25">
        <v>45276</v>
      </c>
      <c r="AO292" s="15" t="s">
        <v>162</v>
      </c>
      <c r="AR292" s="114"/>
    </row>
    <row r="293" spans="6:44" ht="19.5" x14ac:dyDescent="0.4">
      <c r="P293" s="26"/>
      <c r="Q293" s="15"/>
      <c r="V293" s="117"/>
      <c r="W293" s="123"/>
      <c r="X293" s="123"/>
      <c r="Y293" s="123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25">
        <v>45276</v>
      </c>
      <c r="AO293" s="15" t="s">
        <v>162</v>
      </c>
      <c r="AR293" s="114"/>
    </row>
    <row r="294" spans="6:44" ht="19.5" x14ac:dyDescent="0.4">
      <c r="P294" s="26"/>
      <c r="Q294" s="15"/>
      <c r="V294" s="117"/>
      <c r="W294" s="123"/>
      <c r="X294" s="123"/>
      <c r="Y294" s="123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25">
        <v>45276</v>
      </c>
      <c r="AO294" s="15" t="s">
        <v>162</v>
      </c>
      <c r="AR294" s="114"/>
    </row>
    <row r="295" spans="6:44" ht="19.5" x14ac:dyDescent="0.4"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26"/>
      <c r="Q295" s="15"/>
      <c r="V295" s="117"/>
      <c r="W295" s="123"/>
      <c r="X295" s="123"/>
      <c r="Y295" s="123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25"/>
      <c r="AO295" s="15"/>
      <c r="AR295" s="114"/>
    </row>
    <row r="296" spans="6:44" ht="19.5" x14ac:dyDescent="0.4">
      <c r="P296" s="26"/>
      <c r="Q296" s="15"/>
      <c r="V296" s="117"/>
      <c r="W296" s="123"/>
      <c r="X296" s="123"/>
      <c r="Y296" s="123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25">
        <v>45276</v>
      </c>
      <c r="AO296" s="15" t="s">
        <v>162</v>
      </c>
      <c r="AR296" s="114"/>
    </row>
    <row r="297" spans="6:44" ht="19.5" x14ac:dyDescent="0.4">
      <c r="P297" s="26"/>
      <c r="Q297" s="15"/>
      <c r="V297" s="117"/>
      <c r="W297" s="123"/>
      <c r="X297" s="123"/>
      <c r="Y297" s="123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25">
        <v>45276</v>
      </c>
      <c r="AO297" s="15" t="s">
        <v>162</v>
      </c>
      <c r="AR297" s="114"/>
    </row>
    <row r="298" spans="6:44" ht="19.5" x14ac:dyDescent="0.4">
      <c r="J298" s="115"/>
      <c r="K298" s="115"/>
      <c r="L298" s="115"/>
      <c r="M298" s="115"/>
      <c r="N298" s="115"/>
      <c r="O298" s="115"/>
      <c r="P298" s="17"/>
      <c r="Q298" s="15"/>
      <c r="V298" s="117"/>
      <c r="W298" s="123"/>
      <c r="X298" s="123"/>
      <c r="Y298" s="123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25"/>
      <c r="AO298" s="15"/>
      <c r="AR298" s="114"/>
    </row>
    <row r="299" spans="6:44" ht="19.5" x14ac:dyDescent="0.4"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26"/>
      <c r="Q299" s="15"/>
      <c r="V299" s="117"/>
      <c r="W299" s="123"/>
      <c r="X299" s="123"/>
      <c r="Y299" s="123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25"/>
      <c r="AO299" s="15"/>
      <c r="AR299" s="114"/>
    </row>
    <row r="300" spans="6:44" ht="19.5" x14ac:dyDescent="0.4"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26"/>
      <c r="Q300" s="15"/>
      <c r="V300" s="117"/>
      <c r="W300" s="123"/>
      <c r="X300" s="123"/>
      <c r="Y300" s="123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25"/>
      <c r="AO300" s="15"/>
      <c r="AR300" s="114"/>
    </row>
    <row r="301" spans="6:44" ht="19.5" x14ac:dyDescent="0.4"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26"/>
      <c r="Q301" s="15"/>
      <c r="V301" s="117"/>
      <c r="W301" s="123"/>
      <c r="X301" s="123"/>
      <c r="Y301" s="123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25"/>
      <c r="AO301" s="15"/>
      <c r="AR301" s="114"/>
    </row>
    <row r="302" spans="6:44" ht="19.5" x14ac:dyDescent="0.4">
      <c r="P302" s="26"/>
      <c r="Q302" s="15"/>
      <c r="U302" s="115"/>
      <c r="V302" s="117"/>
      <c r="W302" s="123"/>
      <c r="X302" s="123"/>
      <c r="Y302" s="123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25">
        <v>45276</v>
      </c>
      <c r="AO302" s="15" t="s">
        <v>162</v>
      </c>
      <c r="AR302" s="114"/>
    </row>
    <row r="303" spans="6:44" ht="19.5" x14ac:dyDescent="0.4">
      <c r="P303" s="26"/>
      <c r="Q303" s="15"/>
      <c r="U303" s="115"/>
      <c r="V303" s="117"/>
      <c r="W303" s="123"/>
      <c r="X303" s="123"/>
      <c r="Y303" s="123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25">
        <v>45276</v>
      </c>
      <c r="AO303" s="15" t="s">
        <v>162</v>
      </c>
      <c r="AR303" s="114"/>
    </row>
    <row r="304" spans="6:44" ht="19.5" x14ac:dyDescent="0.4">
      <c r="P304" s="26"/>
      <c r="Q304" s="15"/>
      <c r="U304" s="115"/>
      <c r="V304" s="117"/>
      <c r="W304" s="123"/>
      <c r="X304" s="123"/>
      <c r="Y304" s="123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25">
        <v>45276</v>
      </c>
      <c r="AO304" s="15" t="s">
        <v>162</v>
      </c>
      <c r="AR304" s="114"/>
    </row>
    <row r="305" spans="6:44" ht="19.5" x14ac:dyDescent="0.4">
      <c r="J305" s="115"/>
      <c r="K305" s="115"/>
      <c r="L305" s="115"/>
      <c r="M305" s="115"/>
      <c r="N305" s="115"/>
      <c r="O305" s="115"/>
      <c r="P305" s="17"/>
      <c r="Q305" s="15"/>
      <c r="U305" s="115"/>
      <c r="V305" s="117"/>
      <c r="W305" s="123"/>
      <c r="X305" s="123"/>
      <c r="Y305" s="123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25"/>
      <c r="AO305" s="15"/>
      <c r="AR305" s="114"/>
    </row>
    <row r="306" spans="6:44" ht="19.5" x14ac:dyDescent="0.4">
      <c r="G306" s="115"/>
      <c r="H306" s="115"/>
      <c r="I306" s="115"/>
      <c r="J306" s="115"/>
      <c r="K306" s="115"/>
      <c r="L306" s="115"/>
      <c r="M306" s="115"/>
      <c r="N306" s="115"/>
      <c r="O306" s="115"/>
      <c r="P306" s="26"/>
      <c r="Q306" s="15"/>
      <c r="U306" s="115"/>
      <c r="V306" s="117"/>
      <c r="W306" s="123"/>
      <c r="X306" s="123"/>
      <c r="Y306" s="123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25"/>
      <c r="AO306" s="15"/>
      <c r="AR306" s="114"/>
    </row>
    <row r="307" spans="6:44" ht="19.5" x14ac:dyDescent="0.4">
      <c r="G307" s="115"/>
      <c r="H307" s="115"/>
      <c r="I307" s="115"/>
      <c r="J307" s="115"/>
      <c r="K307" s="115"/>
      <c r="L307" s="115"/>
      <c r="M307" s="115"/>
      <c r="N307" s="115"/>
      <c r="O307" s="115"/>
      <c r="P307" s="17"/>
      <c r="Q307" s="15"/>
      <c r="U307" s="115"/>
      <c r="V307" s="117"/>
      <c r="W307" s="123"/>
      <c r="X307" s="123"/>
      <c r="Y307" s="123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25"/>
      <c r="AO307" s="15"/>
      <c r="AR307" s="114"/>
    </row>
    <row r="308" spans="6:44" ht="19.5" x14ac:dyDescent="0.4">
      <c r="P308" s="26"/>
      <c r="Q308" s="15"/>
      <c r="U308" s="115"/>
      <c r="V308" s="117"/>
      <c r="W308" s="123"/>
      <c r="X308" s="123"/>
      <c r="Y308" s="123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25"/>
      <c r="AO308" s="15"/>
      <c r="AR308" s="114"/>
    </row>
    <row r="309" spans="6:44" ht="19.5" x14ac:dyDescent="0.4"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26"/>
      <c r="Q309" s="15"/>
      <c r="U309" s="115"/>
      <c r="V309" s="117"/>
      <c r="W309" s="123"/>
      <c r="X309" s="123"/>
      <c r="Y309" s="123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25"/>
      <c r="AO309" s="15"/>
      <c r="AR309" s="114"/>
    </row>
    <row r="310" spans="6:44" ht="19.5" x14ac:dyDescent="0.4">
      <c r="P310" s="26"/>
      <c r="Q310" s="15"/>
      <c r="U310" s="115"/>
      <c r="V310" s="117"/>
      <c r="W310" s="123"/>
      <c r="X310" s="123"/>
      <c r="Y310" s="123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25">
        <v>45276</v>
      </c>
      <c r="AO310" s="15" t="s">
        <v>162</v>
      </c>
      <c r="AR310" s="114"/>
    </row>
    <row r="311" spans="6:44" ht="19.5" x14ac:dyDescent="0.4">
      <c r="J311" s="115"/>
      <c r="K311" s="115"/>
      <c r="L311" s="115"/>
      <c r="M311" s="115"/>
      <c r="N311" s="115"/>
      <c r="O311" s="115"/>
      <c r="P311" s="17"/>
      <c r="Q311" s="15"/>
      <c r="U311" s="115"/>
      <c r="V311" s="117"/>
      <c r="W311" s="123"/>
      <c r="X311" s="123"/>
      <c r="Y311" s="123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25"/>
      <c r="AO311" s="15"/>
      <c r="AR311" s="114"/>
    </row>
    <row r="312" spans="6:44" ht="19.5" x14ac:dyDescent="0.4">
      <c r="P312" s="26"/>
      <c r="Q312" s="15"/>
      <c r="U312" s="115"/>
      <c r="V312" s="117"/>
      <c r="W312" s="123"/>
      <c r="X312" s="123"/>
      <c r="Y312" s="123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25">
        <v>45276</v>
      </c>
      <c r="AO312" s="15" t="s">
        <v>162</v>
      </c>
      <c r="AR312" s="114"/>
    </row>
    <row r="313" spans="6:44" ht="19.5" x14ac:dyDescent="0.4">
      <c r="J313" s="115"/>
      <c r="K313" s="115"/>
      <c r="L313" s="115"/>
      <c r="M313" s="115"/>
      <c r="N313" s="115"/>
      <c r="O313" s="115"/>
      <c r="P313" s="17"/>
      <c r="Q313" s="15"/>
      <c r="U313" s="115"/>
      <c r="V313" s="117"/>
      <c r="W313" s="123"/>
      <c r="X313" s="123"/>
      <c r="Y313" s="123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25"/>
      <c r="AO313" s="15"/>
      <c r="AR313" s="114"/>
    </row>
    <row r="314" spans="6:44" ht="19.5" x14ac:dyDescent="0.4">
      <c r="I314" s="115"/>
      <c r="J314" s="115"/>
      <c r="K314" s="115"/>
      <c r="L314" s="115"/>
      <c r="M314" s="115"/>
      <c r="N314" s="115"/>
      <c r="O314" s="115"/>
      <c r="P314" s="26"/>
      <c r="Q314" s="15"/>
      <c r="U314" s="115"/>
      <c r="V314" s="117"/>
      <c r="W314" s="123"/>
      <c r="X314" s="123"/>
      <c r="Y314" s="123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25"/>
      <c r="AO314" s="15"/>
      <c r="AR314" s="114"/>
    </row>
    <row r="315" spans="6:44" ht="19.5" x14ac:dyDescent="0.4">
      <c r="I315" s="115"/>
      <c r="J315" s="115"/>
      <c r="K315" s="115"/>
      <c r="L315" s="115"/>
      <c r="M315" s="115"/>
      <c r="N315" s="115"/>
      <c r="O315" s="115"/>
      <c r="P315" s="17"/>
      <c r="Q315" s="15"/>
      <c r="U315" s="115"/>
      <c r="V315" s="117"/>
      <c r="W315" s="123"/>
      <c r="X315" s="123"/>
      <c r="Y315" s="123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25"/>
      <c r="AO315" s="15"/>
      <c r="AR315" s="114"/>
    </row>
    <row r="316" spans="6:44" ht="19.5" x14ac:dyDescent="0.4">
      <c r="P316" s="26"/>
      <c r="Q316" s="15"/>
      <c r="U316" s="115"/>
      <c r="V316" s="117"/>
      <c r="W316" s="123"/>
      <c r="X316" s="123"/>
      <c r="Y316" s="123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25">
        <v>45276</v>
      </c>
      <c r="AO316" s="15" t="s">
        <v>162</v>
      </c>
      <c r="AR316" s="114"/>
    </row>
    <row r="317" spans="6:44" ht="19.5" x14ac:dyDescent="0.4">
      <c r="P317" s="26"/>
      <c r="Q317" s="15"/>
      <c r="U317" s="115"/>
      <c r="V317" s="117"/>
      <c r="W317" s="123"/>
      <c r="X317" s="123"/>
      <c r="Y317" s="123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25">
        <v>45276</v>
      </c>
      <c r="AO317" s="15" t="s">
        <v>162</v>
      </c>
      <c r="AR317" s="114"/>
    </row>
    <row r="318" spans="6:44" ht="19.5" x14ac:dyDescent="0.4">
      <c r="P318" s="26"/>
      <c r="Q318" s="15"/>
      <c r="U318" s="115"/>
      <c r="V318" s="117"/>
      <c r="W318" s="123"/>
      <c r="X318" s="123"/>
      <c r="Y318" s="123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25">
        <v>45276</v>
      </c>
      <c r="AO318" s="15" t="s">
        <v>162</v>
      </c>
      <c r="AR318" s="114"/>
    </row>
    <row r="319" spans="6:44" ht="19.5" x14ac:dyDescent="0.4">
      <c r="P319" s="26"/>
      <c r="Q319" s="15"/>
      <c r="U319" s="115"/>
      <c r="V319" s="117"/>
      <c r="W319" s="123"/>
      <c r="X319" s="123"/>
      <c r="Y319" s="123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25"/>
      <c r="AO319" s="15"/>
      <c r="AR319" s="114"/>
    </row>
    <row r="320" spans="6:44" ht="19.5" x14ac:dyDescent="0.4">
      <c r="J320" s="115"/>
      <c r="K320" s="115"/>
      <c r="L320" s="115"/>
      <c r="M320" s="115"/>
      <c r="N320" s="115"/>
      <c r="O320" s="115"/>
      <c r="P320" s="17"/>
      <c r="Q320" s="15"/>
      <c r="U320" s="115"/>
      <c r="V320" s="117"/>
      <c r="W320" s="123"/>
      <c r="X320" s="123"/>
      <c r="Y320" s="123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25"/>
      <c r="AO320" s="15"/>
      <c r="AR320" s="114"/>
    </row>
    <row r="321" spans="7:44" ht="19.5" x14ac:dyDescent="0.4">
      <c r="P321" s="26"/>
      <c r="Q321" s="15"/>
      <c r="U321" s="115"/>
      <c r="V321" s="117"/>
      <c r="W321" s="123"/>
      <c r="X321" s="123"/>
      <c r="Y321" s="123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25">
        <v>45276</v>
      </c>
      <c r="AO321" s="15" t="s">
        <v>162</v>
      </c>
      <c r="AR321" s="114"/>
    </row>
    <row r="322" spans="7:44" ht="19.5" x14ac:dyDescent="0.4">
      <c r="P322" s="26"/>
      <c r="Q322" s="15"/>
      <c r="U322" s="115"/>
      <c r="V322" s="117"/>
      <c r="W322" s="123"/>
      <c r="X322" s="123"/>
      <c r="Y322" s="123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25">
        <v>45276</v>
      </c>
      <c r="AO322" s="15" t="s">
        <v>162</v>
      </c>
      <c r="AR322" s="114"/>
    </row>
    <row r="323" spans="7:44" ht="19.5" x14ac:dyDescent="0.4">
      <c r="J323" s="115"/>
      <c r="K323" s="115"/>
      <c r="L323" s="115"/>
      <c r="M323" s="115"/>
      <c r="N323" s="115"/>
      <c r="O323" s="115"/>
      <c r="P323" s="17"/>
      <c r="Q323" s="15"/>
      <c r="U323" s="115"/>
      <c r="V323" s="117"/>
      <c r="W323" s="123"/>
      <c r="X323" s="123"/>
      <c r="Y323" s="123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25"/>
      <c r="AO323" s="15"/>
      <c r="AR323" s="114"/>
    </row>
    <row r="324" spans="7:44" ht="19.5" x14ac:dyDescent="0.4">
      <c r="G324" s="115"/>
      <c r="H324" s="115"/>
      <c r="I324" s="115"/>
      <c r="J324" s="115"/>
      <c r="K324" s="115"/>
      <c r="L324" s="115"/>
      <c r="M324" s="115"/>
      <c r="N324" s="115"/>
      <c r="O324" s="115"/>
      <c r="P324" s="26"/>
      <c r="Q324" s="15"/>
      <c r="U324" s="115"/>
      <c r="V324" s="117"/>
      <c r="W324" s="123"/>
      <c r="X324" s="123"/>
      <c r="Y324" s="123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25"/>
      <c r="AO324" s="15"/>
      <c r="AR324" s="114"/>
    </row>
    <row r="325" spans="7:44" ht="19.5" x14ac:dyDescent="0.4">
      <c r="G325" s="115"/>
      <c r="H325" s="115"/>
      <c r="I325" s="115"/>
      <c r="J325" s="115"/>
      <c r="K325" s="115"/>
      <c r="L325" s="115"/>
      <c r="M325" s="115"/>
      <c r="N325" s="115"/>
      <c r="O325" s="115"/>
      <c r="P325" s="17"/>
      <c r="Q325" s="15"/>
      <c r="U325" s="115"/>
      <c r="V325" s="117"/>
      <c r="W325" s="123"/>
      <c r="X325" s="123"/>
      <c r="Y325" s="123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25"/>
      <c r="AO325" s="15"/>
      <c r="AR325" s="114"/>
    </row>
    <row r="326" spans="7:44" ht="19.5" x14ac:dyDescent="0.4">
      <c r="G326" s="115"/>
      <c r="H326" s="115"/>
      <c r="I326" s="115"/>
      <c r="J326" s="115"/>
      <c r="K326" s="115"/>
      <c r="L326" s="115"/>
      <c r="M326" s="115"/>
      <c r="N326" s="115"/>
      <c r="O326" s="115"/>
      <c r="P326" s="26"/>
      <c r="Q326" s="15"/>
      <c r="U326" s="115"/>
      <c r="V326" s="117"/>
      <c r="W326" s="123"/>
      <c r="X326" s="123"/>
      <c r="Y326" s="123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25"/>
      <c r="AO326" s="15"/>
      <c r="AR326" s="114"/>
    </row>
    <row r="327" spans="7:44" ht="19.5" x14ac:dyDescent="0.4">
      <c r="P327" s="26"/>
      <c r="Q327" s="15"/>
      <c r="U327" s="115"/>
      <c r="V327" s="117"/>
      <c r="W327" s="123"/>
      <c r="X327" s="123"/>
      <c r="Y327" s="123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 t="s">
        <v>169</v>
      </c>
      <c r="AN327" s="13">
        <f>SUBTOTAL(3,AN290:AN322)</f>
        <v>17</v>
      </c>
      <c r="AO327" s="15">
        <f>SUBTOTAL(3,AO290:AO322)</f>
        <v>17</v>
      </c>
      <c r="AR327" s="114"/>
    </row>
    <row r="328" spans="7:44" ht="19.5" x14ac:dyDescent="0.4">
      <c r="G328" s="115"/>
      <c r="H328" s="115"/>
      <c r="I328" s="115"/>
      <c r="J328" s="115"/>
      <c r="K328" s="115"/>
      <c r="L328" s="115"/>
      <c r="M328" s="115"/>
      <c r="N328" s="115"/>
      <c r="O328" s="115"/>
      <c r="P328" s="26"/>
      <c r="Q328" s="15"/>
      <c r="U328" s="115"/>
      <c r="V328" s="117"/>
      <c r="W328" s="123"/>
      <c r="X328" s="123"/>
      <c r="Y328" s="123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3"/>
      <c r="AO328" s="15"/>
      <c r="AR328" s="114"/>
    </row>
    <row r="329" spans="7:44" ht="19.5" x14ac:dyDescent="0.4">
      <c r="P329" s="26"/>
      <c r="Q329" s="15"/>
      <c r="U329" s="115"/>
      <c r="V329" s="117"/>
      <c r="W329" s="123"/>
      <c r="X329" s="123"/>
      <c r="Y329" s="123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25">
        <v>45277</v>
      </c>
      <c r="AO329" s="15" t="s">
        <v>162</v>
      </c>
      <c r="AR329" s="114"/>
    </row>
    <row r="330" spans="7:44" ht="19.5" x14ac:dyDescent="0.4">
      <c r="J330" s="115"/>
      <c r="K330" s="115"/>
      <c r="L330" s="115"/>
      <c r="M330" s="115"/>
      <c r="N330" s="115"/>
      <c r="O330" s="115"/>
      <c r="P330" s="17"/>
      <c r="Q330" s="15"/>
      <c r="U330" s="115"/>
      <c r="V330" s="117"/>
      <c r="W330" s="123"/>
      <c r="X330" s="123"/>
      <c r="Y330" s="123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25"/>
      <c r="AO330" s="15"/>
      <c r="AR330" s="114"/>
    </row>
    <row r="331" spans="7:44" ht="19.5" x14ac:dyDescent="0.4">
      <c r="G331" s="115"/>
      <c r="H331" s="115"/>
      <c r="I331" s="115"/>
      <c r="J331" s="115"/>
      <c r="K331" s="115"/>
      <c r="L331" s="115"/>
      <c r="M331" s="115"/>
      <c r="N331" s="115"/>
      <c r="O331" s="115"/>
      <c r="P331" s="26"/>
      <c r="Q331" s="15"/>
      <c r="U331" s="115"/>
      <c r="V331" s="117"/>
      <c r="W331" s="123"/>
      <c r="X331" s="123"/>
      <c r="Y331" s="123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25"/>
      <c r="AO331" s="15"/>
      <c r="AR331" s="114"/>
    </row>
    <row r="332" spans="7:44" ht="19.5" x14ac:dyDescent="0.4">
      <c r="G332" s="115"/>
      <c r="H332" s="115"/>
      <c r="I332" s="115"/>
      <c r="J332" s="115"/>
      <c r="K332" s="115"/>
      <c r="L332" s="115"/>
      <c r="M332" s="115"/>
      <c r="N332" s="115"/>
      <c r="O332" s="115"/>
      <c r="P332" s="17"/>
      <c r="Q332" s="15"/>
      <c r="U332" s="115"/>
      <c r="V332" s="117"/>
      <c r="W332" s="123"/>
      <c r="X332" s="123"/>
      <c r="Y332" s="123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25"/>
      <c r="AO332" s="15"/>
      <c r="AR332" s="114"/>
    </row>
    <row r="333" spans="7:44" ht="19.5" x14ac:dyDescent="0.4">
      <c r="G333" s="115"/>
      <c r="H333" s="115"/>
      <c r="I333" s="115"/>
      <c r="J333" s="115"/>
      <c r="K333" s="115"/>
      <c r="L333" s="115"/>
      <c r="M333" s="115"/>
      <c r="N333" s="115"/>
      <c r="O333" s="115"/>
      <c r="P333" s="17"/>
      <c r="Q333" s="15"/>
      <c r="U333" s="115"/>
      <c r="V333" s="117"/>
      <c r="W333" s="123"/>
      <c r="X333" s="123"/>
      <c r="Y333" s="123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25"/>
      <c r="AO333" s="15"/>
      <c r="AR333" s="114"/>
    </row>
    <row r="334" spans="7:44" ht="19.5" x14ac:dyDescent="0.4">
      <c r="P334" s="26"/>
      <c r="Q334" s="15"/>
      <c r="U334" s="115"/>
      <c r="V334" s="117"/>
      <c r="W334" s="123"/>
      <c r="X334" s="123"/>
      <c r="Y334" s="123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25">
        <v>45277</v>
      </c>
      <c r="AO334" s="15" t="s">
        <v>162</v>
      </c>
      <c r="AR334" s="114"/>
    </row>
    <row r="335" spans="7:44" ht="19.5" x14ac:dyDescent="0.4">
      <c r="I335" s="115"/>
      <c r="J335" s="115"/>
      <c r="K335" s="115"/>
      <c r="L335" s="115"/>
      <c r="M335" s="115"/>
      <c r="N335" s="115"/>
      <c r="O335" s="115"/>
      <c r="P335" s="17"/>
      <c r="Q335" s="15"/>
      <c r="U335" s="115"/>
      <c r="V335" s="117"/>
      <c r="W335" s="123"/>
      <c r="X335" s="123"/>
      <c r="Y335" s="123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31"/>
      <c r="AO335" s="13"/>
      <c r="AR335" s="114"/>
    </row>
    <row r="336" spans="7:44" ht="19.5" x14ac:dyDescent="0.4">
      <c r="P336" s="26"/>
      <c r="Q336" s="15"/>
      <c r="U336" s="115"/>
      <c r="V336" s="117"/>
      <c r="W336" s="123"/>
      <c r="X336" s="123"/>
      <c r="Y336" s="123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26">
        <v>45277</v>
      </c>
      <c r="AO336" s="13" t="s">
        <v>162</v>
      </c>
      <c r="AR336" s="114"/>
    </row>
    <row r="337" spans="6:44" ht="19.5" x14ac:dyDescent="0.4">
      <c r="P337" s="26"/>
      <c r="Q337" s="15"/>
      <c r="U337" s="115"/>
      <c r="V337" s="117"/>
      <c r="W337" s="123"/>
      <c r="X337" s="123"/>
      <c r="Y337" s="123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26">
        <v>45277</v>
      </c>
      <c r="AO337" s="15" t="s">
        <v>162</v>
      </c>
      <c r="AR337" s="114"/>
    </row>
    <row r="338" spans="6:44" ht="19.5" x14ac:dyDescent="0.4"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26"/>
      <c r="Q338" s="15"/>
      <c r="U338" s="115"/>
      <c r="V338" s="117"/>
      <c r="W338" s="123"/>
      <c r="X338" s="123"/>
      <c r="Y338" s="123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26"/>
      <c r="AO338" s="15"/>
      <c r="AR338" s="114"/>
    </row>
    <row r="339" spans="6:44" ht="19.5" x14ac:dyDescent="0.4">
      <c r="P339" s="26"/>
      <c r="Q339" s="15"/>
      <c r="U339" s="115"/>
      <c r="V339" s="117"/>
      <c r="W339" s="123"/>
      <c r="X339" s="123"/>
      <c r="Y339" s="123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26">
        <v>45277</v>
      </c>
      <c r="AO339" s="15" t="s">
        <v>162</v>
      </c>
      <c r="AR339" s="114"/>
    </row>
    <row r="340" spans="6:44" ht="19.5" x14ac:dyDescent="0.4">
      <c r="P340" s="26"/>
      <c r="Q340" s="15"/>
      <c r="U340" s="115"/>
      <c r="V340" s="117"/>
      <c r="W340" s="123"/>
      <c r="X340" s="123"/>
      <c r="Y340" s="123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 t="s">
        <v>160</v>
      </c>
      <c r="AN340" s="17">
        <f>SUBTOTAL(3,AN329:AN339)</f>
        <v>5</v>
      </c>
      <c r="AO340" s="15">
        <f>SUBTOTAL(3,AO329:AO339)</f>
        <v>5</v>
      </c>
      <c r="AR340" s="114"/>
    </row>
    <row r="341" spans="6:44" ht="19.5" x14ac:dyDescent="0.4"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26"/>
      <c r="Q341" s="15"/>
      <c r="U341" s="115"/>
      <c r="V341" s="117"/>
      <c r="W341" s="123"/>
      <c r="X341" s="123"/>
      <c r="Y341" s="123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7"/>
      <c r="AO341" s="15"/>
      <c r="AR341" s="114"/>
    </row>
    <row r="342" spans="6:44" ht="19.5" x14ac:dyDescent="0.4"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26"/>
      <c r="Q342" s="15"/>
      <c r="U342" s="115"/>
      <c r="V342" s="117"/>
      <c r="W342" s="123"/>
      <c r="X342" s="123"/>
      <c r="Y342" s="123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7"/>
      <c r="AO342" s="15"/>
      <c r="AR342" s="114"/>
    </row>
    <row r="343" spans="6:44" ht="19.5" x14ac:dyDescent="0.4">
      <c r="P343" s="26"/>
      <c r="Q343" s="15"/>
      <c r="U343" s="115"/>
      <c r="V343" s="117"/>
      <c r="W343" s="123"/>
      <c r="X343" s="123"/>
      <c r="Y343" s="123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26">
        <v>45278</v>
      </c>
      <c r="AO343" s="15" t="s">
        <v>164</v>
      </c>
      <c r="AR343" s="114"/>
    </row>
    <row r="344" spans="6:44" ht="19.5" x14ac:dyDescent="0.4">
      <c r="P344" s="26"/>
      <c r="Q344" s="15"/>
      <c r="U344" s="115"/>
      <c r="V344" s="117"/>
      <c r="W344" s="123"/>
      <c r="X344" s="123"/>
      <c r="Y344" s="123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26">
        <v>45278</v>
      </c>
      <c r="AO344" s="15" t="s">
        <v>164</v>
      </c>
      <c r="AR344" s="114"/>
    </row>
    <row r="345" spans="6:44" ht="19.5" x14ac:dyDescent="0.4">
      <c r="G345" s="115"/>
      <c r="H345" s="115"/>
      <c r="I345" s="115"/>
      <c r="J345" s="115"/>
      <c r="K345" s="115"/>
      <c r="L345" s="115"/>
      <c r="M345" s="115"/>
      <c r="N345" s="115"/>
      <c r="O345" s="115"/>
      <c r="P345" s="26"/>
      <c r="Q345" s="15"/>
      <c r="U345" s="115"/>
      <c r="V345" s="117"/>
      <c r="W345" s="123"/>
      <c r="X345" s="123"/>
      <c r="Y345" s="123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26"/>
      <c r="AO345" s="15"/>
      <c r="AR345" s="114"/>
    </row>
    <row r="346" spans="6:44" ht="19.5" x14ac:dyDescent="0.4">
      <c r="P346" s="26"/>
      <c r="Q346" s="15"/>
      <c r="U346" s="115"/>
      <c r="V346" s="117"/>
      <c r="W346" s="123"/>
      <c r="X346" s="123"/>
      <c r="Y346" s="123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26">
        <v>45278</v>
      </c>
      <c r="AO346" s="15" t="s">
        <v>162</v>
      </c>
      <c r="AR346" s="114"/>
    </row>
    <row r="347" spans="6:44" ht="19.5" x14ac:dyDescent="0.4">
      <c r="I347" s="115"/>
      <c r="J347" s="115"/>
      <c r="K347" s="115"/>
      <c r="L347" s="115"/>
      <c r="M347" s="115"/>
      <c r="N347" s="115"/>
      <c r="O347" s="115"/>
      <c r="P347" s="17"/>
      <c r="Q347" s="15"/>
      <c r="U347" s="115"/>
      <c r="V347" s="117"/>
      <c r="W347" s="123"/>
      <c r="X347" s="123"/>
      <c r="Y347" s="123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26"/>
      <c r="AO347" s="15"/>
      <c r="AR347" s="114"/>
    </row>
    <row r="348" spans="6:44" ht="19.5" x14ac:dyDescent="0.4">
      <c r="G348" s="115"/>
      <c r="H348" s="115"/>
      <c r="I348" s="115"/>
      <c r="J348" s="115"/>
      <c r="K348" s="115"/>
      <c r="L348" s="115"/>
      <c r="M348" s="115"/>
      <c r="N348" s="115"/>
      <c r="O348" s="115"/>
      <c r="P348" s="26"/>
      <c r="Q348" s="15"/>
      <c r="U348" s="115"/>
      <c r="V348" s="117"/>
      <c r="W348" s="123"/>
      <c r="X348" s="123"/>
      <c r="Y348" s="123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26"/>
      <c r="AO348" s="15"/>
      <c r="AR348" s="114"/>
    </row>
    <row r="349" spans="6:44" ht="19.5" x14ac:dyDescent="0.4">
      <c r="G349" s="115"/>
      <c r="H349" s="115"/>
      <c r="I349" s="115"/>
      <c r="J349" s="115"/>
      <c r="K349" s="115"/>
      <c r="L349" s="115"/>
      <c r="M349" s="115"/>
      <c r="N349" s="115"/>
      <c r="O349" s="115"/>
      <c r="P349" s="17"/>
      <c r="Q349" s="15"/>
      <c r="U349" s="115"/>
      <c r="V349" s="117"/>
      <c r="W349" s="123"/>
      <c r="X349" s="123"/>
      <c r="Y349" s="123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26"/>
      <c r="AO349" s="15"/>
      <c r="AR349" s="114"/>
    </row>
    <row r="350" spans="6:44" ht="19.5" x14ac:dyDescent="0.4">
      <c r="P350" s="26"/>
      <c r="Q350" s="15"/>
      <c r="U350" s="115"/>
      <c r="V350" s="117"/>
      <c r="W350" s="123"/>
      <c r="X350" s="123"/>
      <c r="Y350" s="123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26">
        <v>45278</v>
      </c>
      <c r="AO350" s="15" t="s">
        <v>142</v>
      </c>
      <c r="AR350" s="114"/>
    </row>
    <row r="351" spans="6:44" ht="19.5" x14ac:dyDescent="0.4">
      <c r="P351" s="26"/>
      <c r="Q351" s="15"/>
      <c r="U351" s="115"/>
      <c r="V351" s="117"/>
      <c r="W351" s="123"/>
      <c r="X351" s="123"/>
      <c r="Y351" s="123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26">
        <v>45278</v>
      </c>
      <c r="AO351" s="15" t="s">
        <v>162</v>
      </c>
      <c r="AR351" s="114"/>
    </row>
    <row r="352" spans="6:44" ht="19.5" x14ac:dyDescent="0.4">
      <c r="P352" s="26"/>
      <c r="Q352" s="15"/>
      <c r="U352" s="115"/>
      <c r="V352" s="117"/>
      <c r="W352" s="123"/>
      <c r="X352" s="123"/>
      <c r="Y352" s="123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26">
        <v>45278</v>
      </c>
      <c r="AO352" s="15" t="s">
        <v>162</v>
      </c>
      <c r="AR352" s="114"/>
    </row>
    <row r="353" spans="6:44" ht="19.5" x14ac:dyDescent="0.4">
      <c r="I353" s="115"/>
      <c r="J353" s="115"/>
      <c r="K353" s="115"/>
      <c r="L353" s="115"/>
      <c r="M353" s="115"/>
      <c r="N353" s="115"/>
      <c r="O353" s="115"/>
      <c r="P353" s="17"/>
      <c r="Q353" s="15"/>
      <c r="U353" s="115"/>
      <c r="V353" s="117"/>
      <c r="W353" s="123"/>
      <c r="X353" s="123"/>
      <c r="Y353" s="123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26"/>
      <c r="AO353" s="15"/>
      <c r="AR353" s="114"/>
    </row>
    <row r="354" spans="6:44" ht="19.5" x14ac:dyDescent="0.4">
      <c r="G354" s="115"/>
      <c r="H354" s="115"/>
      <c r="I354" s="115"/>
      <c r="J354" s="115"/>
      <c r="K354" s="115"/>
      <c r="L354" s="115"/>
      <c r="M354" s="115"/>
      <c r="N354" s="115"/>
      <c r="O354" s="115"/>
      <c r="P354" s="26"/>
      <c r="Q354" s="15"/>
      <c r="U354" s="115"/>
      <c r="V354" s="117"/>
      <c r="W354" s="123"/>
      <c r="X354" s="123"/>
      <c r="Y354" s="123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26"/>
      <c r="AO354" s="15"/>
      <c r="AR354" s="114"/>
    </row>
    <row r="355" spans="6:44" ht="19.5" x14ac:dyDescent="0.4"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26"/>
      <c r="Q355" s="15"/>
      <c r="U355" s="115"/>
      <c r="V355" s="117"/>
      <c r="W355" s="123"/>
      <c r="X355" s="123"/>
      <c r="Y355" s="123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26"/>
      <c r="AO355" s="15"/>
      <c r="AR355" s="114"/>
    </row>
    <row r="356" spans="6:44" ht="19.5" x14ac:dyDescent="0.4"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7"/>
      <c r="Q356" s="15"/>
      <c r="U356" s="115"/>
      <c r="V356" s="117"/>
      <c r="W356" s="123"/>
      <c r="X356" s="123"/>
      <c r="Y356" s="123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26"/>
      <c r="AO356" s="15"/>
      <c r="AR356" s="114"/>
    </row>
    <row r="357" spans="6:44" ht="19.5" x14ac:dyDescent="0.4"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26"/>
      <c r="Q357" s="15"/>
      <c r="U357" s="115"/>
      <c r="V357" s="117"/>
      <c r="W357" s="123"/>
      <c r="X357" s="123"/>
      <c r="Y357" s="123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26"/>
      <c r="AO357" s="15"/>
      <c r="AR357" s="114"/>
    </row>
    <row r="358" spans="6:44" ht="19.5" x14ac:dyDescent="0.4">
      <c r="P358" s="26"/>
      <c r="Q358" s="15"/>
      <c r="U358" s="115"/>
      <c r="V358" s="117"/>
      <c r="W358" s="123"/>
      <c r="X358" s="123"/>
      <c r="Y358" s="123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26">
        <v>45278</v>
      </c>
      <c r="AO358" s="15" t="s">
        <v>162</v>
      </c>
      <c r="AR358" s="114"/>
    </row>
    <row r="359" spans="6:44" ht="19.5" x14ac:dyDescent="0.4">
      <c r="G359" s="115"/>
      <c r="H359" s="115"/>
      <c r="I359" s="115"/>
      <c r="J359" s="115"/>
      <c r="K359" s="115"/>
      <c r="L359" s="115"/>
      <c r="M359" s="115"/>
      <c r="N359" s="115"/>
      <c r="O359" s="115"/>
      <c r="P359" s="26"/>
      <c r="Q359" s="15"/>
      <c r="U359" s="115"/>
      <c r="V359" s="117"/>
      <c r="W359" s="123"/>
      <c r="X359" s="123"/>
      <c r="Y359" s="123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26"/>
      <c r="AO359" s="15"/>
      <c r="AR359" s="114"/>
    </row>
    <row r="360" spans="6:44" ht="19.5" x14ac:dyDescent="0.4">
      <c r="P360" s="26"/>
      <c r="Q360" s="15"/>
      <c r="U360" s="115"/>
      <c r="V360" s="117"/>
      <c r="W360" s="123"/>
      <c r="X360" s="123"/>
      <c r="Y360" s="123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26">
        <v>45278</v>
      </c>
      <c r="AO360" s="15" t="s">
        <v>163</v>
      </c>
      <c r="AR360" s="114"/>
    </row>
    <row r="361" spans="6:44" ht="19.5" x14ac:dyDescent="0.4">
      <c r="P361" s="26"/>
      <c r="Q361" s="15"/>
      <c r="U361" s="115"/>
      <c r="V361" s="117"/>
      <c r="W361" s="123"/>
      <c r="X361" s="123"/>
      <c r="Y361" s="123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26">
        <v>45278</v>
      </c>
      <c r="AO361" s="105" t="s">
        <v>163</v>
      </c>
      <c r="AR361" s="114"/>
    </row>
    <row r="362" spans="6:44" ht="19.5" x14ac:dyDescent="0.4">
      <c r="P362" s="25"/>
      <c r="Q362" s="13"/>
      <c r="U362" s="115"/>
      <c r="V362" s="117"/>
      <c r="W362" s="123"/>
      <c r="X362" s="123"/>
      <c r="Y362" s="123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26">
        <v>45278</v>
      </c>
      <c r="AO362" s="15" t="s">
        <v>163</v>
      </c>
      <c r="AR362" s="114"/>
    </row>
    <row r="363" spans="6:44" ht="19.5" x14ac:dyDescent="0.4"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25"/>
      <c r="Q363" s="13"/>
      <c r="U363" s="115"/>
      <c r="V363" s="117"/>
      <c r="W363" s="123"/>
      <c r="X363" s="123"/>
      <c r="Y363" s="123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26"/>
      <c r="AO363" s="15"/>
      <c r="AR363" s="114"/>
    </row>
    <row r="364" spans="6:44" ht="19.5" x14ac:dyDescent="0.4"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25"/>
      <c r="Q364" s="13"/>
      <c r="U364" s="115"/>
      <c r="V364" s="117"/>
      <c r="W364" s="123"/>
      <c r="X364" s="123"/>
      <c r="Y364" s="123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26"/>
      <c r="AO364" s="15"/>
      <c r="AR364" s="114"/>
    </row>
    <row r="365" spans="6:44" ht="19.5" x14ac:dyDescent="0.4"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25"/>
      <c r="Q365" s="13"/>
      <c r="U365" s="115"/>
      <c r="V365" s="117"/>
      <c r="W365" s="123"/>
      <c r="X365" s="123"/>
      <c r="Y365" s="123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26"/>
      <c r="AO365" s="15"/>
      <c r="AR365" s="114"/>
    </row>
    <row r="366" spans="6:44" ht="19.5" x14ac:dyDescent="0.4"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25"/>
      <c r="Q366" s="13"/>
      <c r="U366" s="115"/>
      <c r="V366" s="117"/>
      <c r="W366" s="123"/>
      <c r="X366" s="123"/>
      <c r="Y366" s="123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26"/>
      <c r="AO366" s="15"/>
      <c r="AR366" s="114"/>
    </row>
    <row r="367" spans="6:44" ht="19.5" x14ac:dyDescent="0.4"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25"/>
      <c r="Q367" s="13"/>
      <c r="U367" s="115"/>
      <c r="V367" s="117"/>
      <c r="W367" s="123"/>
      <c r="X367" s="123"/>
      <c r="Y367" s="123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26"/>
      <c r="AO367" s="15"/>
      <c r="AR367" s="114"/>
    </row>
    <row r="368" spans="6:44" ht="19.5" x14ac:dyDescent="0.4"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25"/>
      <c r="Q368" s="13"/>
      <c r="U368" s="115"/>
      <c r="V368" s="117"/>
      <c r="W368" s="123"/>
      <c r="X368" s="123"/>
      <c r="Y368" s="123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26"/>
      <c r="AO368" s="15"/>
      <c r="AR368" s="114"/>
    </row>
    <row r="369" spans="9:44" ht="19.5" x14ac:dyDescent="0.4">
      <c r="P369" s="25"/>
      <c r="Q369" s="13"/>
      <c r="U369" s="115"/>
      <c r="V369" s="117"/>
      <c r="W369" s="123"/>
      <c r="X369" s="123"/>
      <c r="Y369" s="123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26">
        <v>45278</v>
      </c>
      <c r="AO369" s="15" t="s">
        <v>163</v>
      </c>
      <c r="AR369" s="114"/>
    </row>
    <row r="370" spans="9:44" ht="19.5" x14ac:dyDescent="0.4">
      <c r="P370" s="25"/>
      <c r="Q370" s="13"/>
      <c r="U370" s="115"/>
      <c r="V370" s="117"/>
      <c r="W370" s="123"/>
      <c r="X370" s="123"/>
      <c r="Y370" s="123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26"/>
      <c r="AO370" s="15"/>
      <c r="AR370" s="114"/>
    </row>
    <row r="371" spans="9:44" ht="19.5" x14ac:dyDescent="0.4">
      <c r="I371" s="115"/>
      <c r="J371" s="115"/>
      <c r="K371" s="115"/>
      <c r="L371" s="115"/>
      <c r="M371" s="115"/>
      <c r="N371" s="115"/>
      <c r="O371" s="115"/>
      <c r="P371" s="13"/>
      <c r="Q371" s="13"/>
      <c r="U371" s="115"/>
      <c r="V371" s="117"/>
      <c r="W371" s="123"/>
      <c r="X371" s="123"/>
      <c r="Y371" s="123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26"/>
      <c r="AO371" s="15"/>
      <c r="AR371" s="114"/>
    </row>
    <row r="372" spans="9:44" ht="19.5" x14ac:dyDescent="0.4">
      <c r="P372" s="25"/>
      <c r="Q372" s="13"/>
      <c r="U372" s="115"/>
      <c r="V372" s="117"/>
      <c r="W372" s="123"/>
      <c r="X372" s="123"/>
      <c r="Y372" s="123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26">
        <v>45278</v>
      </c>
      <c r="AO372" s="15" t="s">
        <v>163</v>
      </c>
      <c r="AR372" s="114"/>
    </row>
    <row r="373" spans="9:44" ht="19.5" x14ac:dyDescent="0.4">
      <c r="I373" s="115"/>
      <c r="J373" s="115"/>
      <c r="K373" s="115"/>
      <c r="L373" s="115"/>
      <c r="M373" s="115"/>
      <c r="N373" s="115"/>
      <c r="O373" s="115"/>
      <c r="P373" s="13"/>
      <c r="Q373" s="13"/>
      <c r="U373" s="115"/>
      <c r="V373" s="117"/>
      <c r="W373" s="123"/>
      <c r="X373" s="123"/>
      <c r="Y373" s="123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26"/>
      <c r="AO373" s="13"/>
      <c r="AR373" s="114"/>
    </row>
    <row r="374" spans="9:44" ht="19.5" x14ac:dyDescent="0.4">
      <c r="P374" s="25"/>
      <c r="Q374" s="13"/>
      <c r="U374" s="115"/>
      <c r="V374" s="117"/>
      <c r="W374" s="123"/>
      <c r="X374" s="123"/>
      <c r="Y374" s="123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 t="s">
        <v>153</v>
      </c>
      <c r="AN374" s="17">
        <f>SUBTOTAL(3,AN343:AN372)</f>
        <v>12</v>
      </c>
      <c r="AO374" s="13">
        <f>SUBTOTAL(3,AO343:AO372)</f>
        <v>12</v>
      </c>
      <c r="AR374" s="114"/>
    </row>
    <row r="375" spans="9:44" ht="19.5" x14ac:dyDescent="0.4">
      <c r="I375" s="115"/>
      <c r="J375" s="115"/>
      <c r="K375" s="115"/>
      <c r="L375" s="115"/>
      <c r="M375" s="115"/>
      <c r="N375" s="115"/>
      <c r="O375" s="115"/>
      <c r="P375" s="13"/>
      <c r="Q375" s="13"/>
      <c r="U375" s="115"/>
      <c r="V375" s="117"/>
      <c r="W375" s="123"/>
      <c r="X375" s="123"/>
      <c r="Y375" s="123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7"/>
      <c r="AO375" s="13"/>
      <c r="AR375" s="114"/>
    </row>
    <row r="376" spans="9:44" ht="19.5" x14ac:dyDescent="0.4">
      <c r="P376" s="25"/>
      <c r="Q376" s="13"/>
      <c r="U376" s="115"/>
      <c r="V376" s="117"/>
      <c r="W376" s="123"/>
      <c r="X376" s="123"/>
      <c r="Y376" s="123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26">
        <v>45279</v>
      </c>
      <c r="AO376" s="25" t="s">
        <v>162</v>
      </c>
      <c r="AR376" s="114"/>
    </row>
    <row r="377" spans="9:44" ht="19.5" x14ac:dyDescent="0.4">
      <c r="P377" s="25"/>
      <c r="Q377" s="13"/>
      <c r="U377" s="115"/>
      <c r="V377" s="117"/>
      <c r="W377" s="123"/>
      <c r="X377" s="123"/>
      <c r="Y377" s="123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26">
        <v>45279</v>
      </c>
      <c r="AO377" s="13" t="s">
        <v>162</v>
      </c>
      <c r="AR377" s="114"/>
    </row>
    <row r="378" spans="9:44" ht="19.5" x14ac:dyDescent="0.4">
      <c r="I378" s="115"/>
      <c r="J378" s="115"/>
      <c r="K378" s="115"/>
      <c r="L378" s="115"/>
      <c r="M378" s="115"/>
      <c r="N378" s="115"/>
      <c r="O378" s="115"/>
      <c r="P378" s="20"/>
      <c r="Q378" s="13"/>
      <c r="U378" s="115"/>
      <c r="V378" s="117"/>
      <c r="W378" s="123"/>
      <c r="X378" s="123"/>
      <c r="Y378" s="123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26"/>
      <c r="AO378" s="13"/>
      <c r="AR378" s="114"/>
    </row>
    <row r="379" spans="9:44" ht="19.5" x14ac:dyDescent="0.4">
      <c r="I379" s="115"/>
      <c r="J379" s="115"/>
      <c r="K379" s="115"/>
      <c r="L379" s="115"/>
      <c r="M379" s="115"/>
      <c r="N379" s="115"/>
      <c r="O379" s="115"/>
      <c r="P379" s="20"/>
      <c r="Q379" s="13"/>
      <c r="U379" s="115"/>
      <c r="V379" s="117"/>
      <c r="W379" s="123"/>
      <c r="X379" s="123"/>
      <c r="Y379" s="123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26"/>
      <c r="AO379" s="13"/>
      <c r="AR379" s="114"/>
    </row>
    <row r="380" spans="9:44" ht="19.5" x14ac:dyDescent="0.4">
      <c r="P380" s="26"/>
      <c r="Q380" s="13"/>
      <c r="U380" s="115"/>
      <c r="V380" s="117"/>
      <c r="W380" s="123"/>
      <c r="X380" s="123"/>
      <c r="Y380" s="123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26">
        <v>45279</v>
      </c>
      <c r="AO380" s="13" t="s">
        <v>162</v>
      </c>
      <c r="AR380" s="114"/>
    </row>
    <row r="381" spans="9:44" ht="19.5" x14ac:dyDescent="0.4">
      <c r="P381" s="26"/>
      <c r="Q381" s="13"/>
      <c r="U381" s="115"/>
      <c r="V381" s="117"/>
      <c r="W381" s="123"/>
      <c r="X381" s="123"/>
      <c r="Y381" s="123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26">
        <v>45279</v>
      </c>
      <c r="AO381" s="13" t="s">
        <v>162</v>
      </c>
      <c r="AR381" s="114"/>
    </row>
    <row r="382" spans="9:44" ht="19.5" x14ac:dyDescent="0.4">
      <c r="P382" s="129"/>
      <c r="Q382" s="13"/>
      <c r="U382" s="115"/>
      <c r="V382" s="117"/>
      <c r="W382" s="123"/>
      <c r="X382" s="123"/>
      <c r="Y382" s="123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26"/>
      <c r="AO382" s="13"/>
      <c r="AR382" s="114"/>
    </row>
    <row r="383" spans="9:44" ht="19.5" x14ac:dyDescent="0.4">
      <c r="P383" s="26"/>
      <c r="Q383" s="13"/>
      <c r="U383" s="115"/>
      <c r="V383" s="117"/>
      <c r="W383" s="123"/>
      <c r="X383" s="123"/>
      <c r="Y383" s="123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26">
        <v>45279</v>
      </c>
      <c r="AO383" s="13" t="s">
        <v>162</v>
      </c>
      <c r="AR383" s="114"/>
    </row>
    <row r="384" spans="9:44" ht="19.5" x14ac:dyDescent="0.4">
      <c r="P384" s="26"/>
      <c r="Q384" s="13"/>
      <c r="U384" s="115"/>
      <c r="V384" s="117"/>
      <c r="W384" s="123"/>
      <c r="X384" s="123"/>
      <c r="Y384" s="123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26">
        <v>45279</v>
      </c>
      <c r="AO384" s="13" t="s">
        <v>162</v>
      </c>
      <c r="AR384" s="114"/>
    </row>
    <row r="385" spans="16:44" ht="19.5" x14ac:dyDescent="0.4">
      <c r="P385" s="26"/>
      <c r="Q385" s="13"/>
      <c r="U385" s="115"/>
      <c r="V385" s="117"/>
      <c r="W385" s="123"/>
      <c r="X385" s="123"/>
      <c r="Y385" s="123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 t="s">
        <v>170</v>
      </c>
      <c r="AN385" s="17">
        <f>SUBTOTAL(3,AN376:AN384)</f>
        <v>6</v>
      </c>
      <c r="AO385" s="13">
        <f>SUBTOTAL(3,AO376:AO384)</f>
        <v>6</v>
      </c>
      <c r="AR385" s="114"/>
    </row>
    <row r="386" spans="16:44" ht="19.5" x14ac:dyDescent="0.4">
      <c r="P386" s="129"/>
      <c r="Q386" s="13"/>
      <c r="U386" s="115"/>
      <c r="V386" s="117"/>
      <c r="W386" s="123"/>
      <c r="X386" s="123"/>
      <c r="Y386" s="123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7"/>
      <c r="AO386" s="13"/>
      <c r="AR386" s="114"/>
    </row>
    <row r="387" spans="16:44" ht="19.5" x14ac:dyDescent="0.4">
      <c r="P387" s="26"/>
      <c r="Q387" s="13"/>
      <c r="U387" s="115"/>
      <c r="V387" s="117"/>
      <c r="W387" s="123"/>
      <c r="X387" s="123"/>
      <c r="Y387" s="123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26">
        <v>45280</v>
      </c>
      <c r="AO387" s="13" t="s">
        <v>162</v>
      </c>
      <c r="AR387" s="114"/>
    </row>
    <row r="388" spans="16:44" ht="19.5" x14ac:dyDescent="0.4">
      <c r="P388" s="26"/>
      <c r="Q388" s="13"/>
      <c r="U388" s="115"/>
      <c r="V388" s="116"/>
      <c r="W388" s="123"/>
      <c r="X388" s="123"/>
      <c r="Y388" s="123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26">
        <v>45280</v>
      </c>
      <c r="AO388" s="13" t="s">
        <v>162</v>
      </c>
      <c r="AR388" s="114"/>
    </row>
    <row r="389" spans="16:44" ht="19.5" x14ac:dyDescent="0.4">
      <c r="P389" s="26"/>
      <c r="Q389" s="13"/>
      <c r="U389" s="115"/>
      <c r="V389" s="116"/>
      <c r="W389" s="123"/>
      <c r="X389" s="123"/>
      <c r="Y389" s="123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26">
        <v>45280</v>
      </c>
      <c r="AO389" s="13" t="s">
        <v>162</v>
      </c>
      <c r="AR389" s="114"/>
    </row>
    <row r="390" spans="16:44" ht="19.5" x14ac:dyDescent="0.4">
      <c r="P390" s="26"/>
      <c r="Q390" s="13"/>
      <c r="U390" s="115"/>
      <c r="V390" s="116"/>
      <c r="W390" s="123"/>
      <c r="X390" s="123"/>
      <c r="Y390" s="123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26">
        <v>45280</v>
      </c>
      <c r="AO390" s="13" t="s">
        <v>162</v>
      </c>
      <c r="AR390" s="114"/>
    </row>
    <row r="391" spans="16:44" ht="19.5" x14ac:dyDescent="0.4">
      <c r="P391" s="129"/>
      <c r="Q391" s="13"/>
      <c r="U391" s="115"/>
      <c r="V391" s="116"/>
      <c r="W391" s="123"/>
      <c r="X391" s="123"/>
      <c r="Y391" s="123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26"/>
      <c r="AO391" s="13"/>
      <c r="AR391" s="114"/>
    </row>
    <row r="392" spans="16:44" ht="19.5" x14ac:dyDescent="0.4">
      <c r="P392" s="26"/>
      <c r="Q392" s="13"/>
      <c r="U392" s="115"/>
      <c r="V392" s="116"/>
      <c r="W392" s="123"/>
      <c r="X392" s="123"/>
      <c r="Y392" s="123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26">
        <v>45280</v>
      </c>
      <c r="AO392" s="13" t="s">
        <v>162</v>
      </c>
      <c r="AR392" s="114"/>
    </row>
    <row r="393" spans="16:44" ht="19.5" x14ac:dyDescent="0.4">
      <c r="P393" s="130"/>
      <c r="Q393" s="119"/>
      <c r="U393" s="115"/>
      <c r="V393" s="116"/>
      <c r="W393" s="123"/>
      <c r="X393" s="123"/>
      <c r="Y393" s="123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26"/>
      <c r="AO393" s="13"/>
      <c r="AR393" s="114"/>
    </row>
    <row r="394" spans="16:44" ht="19.5" x14ac:dyDescent="0.4">
      <c r="P394" s="130"/>
      <c r="Q394" s="119"/>
      <c r="U394" s="115"/>
      <c r="V394" s="116"/>
      <c r="W394" s="123"/>
      <c r="X394" s="123"/>
      <c r="Y394" s="123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26"/>
      <c r="AO394" s="13"/>
      <c r="AR394" s="114"/>
    </row>
    <row r="395" spans="16:44" ht="19.5" x14ac:dyDescent="0.4">
      <c r="U395" s="115"/>
      <c r="V395" s="116"/>
      <c r="W395" s="123"/>
      <c r="X395" s="123"/>
      <c r="Y395" s="123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26">
        <v>45280</v>
      </c>
      <c r="AO395" s="13" t="s">
        <v>162</v>
      </c>
      <c r="AR395" s="114"/>
    </row>
    <row r="396" spans="16:44" ht="19.5" x14ac:dyDescent="0.4">
      <c r="U396" s="115"/>
      <c r="V396" s="116"/>
      <c r="W396" s="123"/>
      <c r="X396" s="123"/>
      <c r="Y396" s="123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26">
        <v>45280</v>
      </c>
      <c r="AO396" s="13" t="s">
        <v>162</v>
      </c>
      <c r="AR396" s="114"/>
    </row>
    <row r="397" spans="16:44" ht="19.5" x14ac:dyDescent="0.4">
      <c r="U397" s="115"/>
      <c r="V397" s="116"/>
      <c r="W397" s="123"/>
      <c r="X397" s="123"/>
      <c r="Y397" s="123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26">
        <v>45280</v>
      </c>
      <c r="AO397" s="13" t="s">
        <v>162</v>
      </c>
      <c r="AR397" s="114"/>
    </row>
    <row r="398" spans="16:44" ht="19.5" x14ac:dyDescent="0.4">
      <c r="T398" s="115"/>
      <c r="U398" s="115"/>
      <c r="V398" s="116"/>
      <c r="W398" s="123"/>
      <c r="X398" s="123"/>
      <c r="Y398" s="123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26">
        <v>45280</v>
      </c>
      <c r="AO398" s="13" t="s">
        <v>162</v>
      </c>
      <c r="AR398" s="114"/>
    </row>
    <row r="399" spans="16:44" ht="19.5" x14ac:dyDescent="0.4">
      <c r="T399" s="115"/>
      <c r="U399" s="115"/>
      <c r="V399" s="116"/>
      <c r="W399" s="123"/>
      <c r="X399" s="123"/>
      <c r="Y399" s="123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26">
        <v>45280</v>
      </c>
      <c r="AO399" s="13" t="s">
        <v>162</v>
      </c>
      <c r="AR399" s="114"/>
    </row>
    <row r="400" spans="16:44" ht="19.5" x14ac:dyDescent="0.4">
      <c r="R400" s="115"/>
      <c r="S400" s="115"/>
      <c r="T400" s="115"/>
      <c r="U400" s="115"/>
      <c r="V400" s="116"/>
      <c r="W400" s="123"/>
      <c r="X400" s="123"/>
      <c r="Y400" s="123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26">
        <v>45280</v>
      </c>
      <c r="AO400" s="13" t="s">
        <v>162</v>
      </c>
      <c r="AR400" s="114"/>
    </row>
    <row r="401" spans="18:44" x14ac:dyDescent="0.4">
      <c r="R401" s="115"/>
      <c r="S401" s="115"/>
      <c r="T401" s="115"/>
      <c r="U401" s="115"/>
      <c r="V401" s="115"/>
      <c r="W401" s="122"/>
      <c r="X401" s="122"/>
      <c r="Y401" s="122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26">
        <v>45280</v>
      </c>
      <c r="AO401" s="13" t="s">
        <v>162</v>
      </c>
      <c r="AR401" s="114"/>
    </row>
    <row r="402" spans="18:44" x14ac:dyDescent="0.4">
      <c r="R402" s="115"/>
      <c r="S402" s="115"/>
      <c r="T402" s="115"/>
      <c r="U402" s="115"/>
      <c r="V402" s="115"/>
      <c r="W402" s="122"/>
      <c r="X402" s="122"/>
      <c r="Y402" s="122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26">
        <v>45280</v>
      </c>
      <c r="AO402" s="13" t="s">
        <v>162</v>
      </c>
      <c r="AR402" s="114"/>
    </row>
    <row r="403" spans="18:44" x14ac:dyDescent="0.4">
      <c r="R403" s="115"/>
      <c r="S403" s="115"/>
      <c r="T403" s="115"/>
      <c r="U403" s="115"/>
      <c r="V403" s="115"/>
      <c r="W403" s="122"/>
      <c r="X403" s="122"/>
      <c r="Y403" s="122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 t="s">
        <v>171</v>
      </c>
      <c r="AN403" s="17">
        <f>SUBTOTAL(3,AN387:AN402)</f>
        <v>13</v>
      </c>
      <c r="AO403" s="13">
        <f>SUBTOTAL(3,AO387:AO402)</f>
        <v>13</v>
      </c>
      <c r="AR403" s="114"/>
    </row>
    <row r="404" spans="18:44" x14ac:dyDescent="0.4">
      <c r="R404" s="115"/>
      <c r="S404" s="115"/>
      <c r="T404" s="115"/>
      <c r="U404" s="115"/>
      <c r="V404" s="115"/>
      <c r="W404" s="122"/>
      <c r="X404" s="122"/>
      <c r="Y404" s="122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26">
        <v>45283</v>
      </c>
      <c r="AO404" s="13" t="s">
        <v>162</v>
      </c>
      <c r="AR404" s="114"/>
    </row>
    <row r="405" spans="18:44" x14ac:dyDescent="0.4">
      <c r="R405" s="115"/>
      <c r="S405" s="115"/>
      <c r="T405" s="115"/>
      <c r="U405" s="115"/>
      <c r="V405" s="115"/>
      <c r="W405" s="122"/>
      <c r="X405" s="122"/>
      <c r="Y405" s="122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26">
        <v>45283</v>
      </c>
      <c r="AO405" s="13" t="s">
        <v>162</v>
      </c>
      <c r="AR405" s="114"/>
    </row>
    <row r="406" spans="18:44" x14ac:dyDescent="0.4">
      <c r="R406" s="115"/>
      <c r="S406" s="115"/>
      <c r="T406" s="115"/>
      <c r="U406" s="115"/>
      <c r="V406" s="115"/>
      <c r="W406" s="122"/>
      <c r="X406" s="122"/>
      <c r="Y406" s="122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26">
        <v>45283</v>
      </c>
      <c r="AO406" s="13" t="s">
        <v>162</v>
      </c>
      <c r="AR406" s="114"/>
    </row>
    <row r="407" spans="18:44" x14ac:dyDescent="0.4">
      <c r="R407" s="115"/>
      <c r="S407" s="115"/>
      <c r="T407" s="115"/>
      <c r="U407" s="115"/>
      <c r="V407" s="115"/>
      <c r="W407" s="122"/>
      <c r="X407" s="122"/>
      <c r="Y407" s="122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26">
        <v>45283</v>
      </c>
      <c r="AO407" s="13" t="s">
        <v>162</v>
      </c>
      <c r="AR407" s="114"/>
    </row>
    <row r="408" spans="18:44" x14ac:dyDescent="0.4">
      <c r="R408" s="115"/>
      <c r="S408" s="115"/>
      <c r="T408" s="115"/>
      <c r="U408" s="115"/>
      <c r="V408" s="115"/>
      <c r="W408" s="122"/>
      <c r="X408" s="122"/>
      <c r="Y408" s="122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26">
        <v>45283</v>
      </c>
      <c r="AO408" s="13" t="s">
        <v>162</v>
      </c>
      <c r="AR408" s="114"/>
    </row>
    <row r="409" spans="18:44" x14ac:dyDescent="0.4">
      <c r="R409" s="115"/>
      <c r="S409" s="115"/>
      <c r="T409" s="115"/>
      <c r="U409" s="115"/>
      <c r="V409" s="115"/>
      <c r="W409" s="122"/>
      <c r="X409" s="122"/>
      <c r="Y409" s="122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26">
        <v>45283</v>
      </c>
      <c r="AO409" s="13" t="s">
        <v>162</v>
      </c>
      <c r="AR409" s="114"/>
    </row>
    <row r="410" spans="18:44" x14ac:dyDescent="0.4">
      <c r="R410" s="115"/>
      <c r="S410" s="115"/>
      <c r="T410" s="115"/>
      <c r="U410" s="115"/>
      <c r="V410" s="115"/>
      <c r="W410" s="122"/>
      <c r="X410" s="122"/>
      <c r="Y410" s="122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26">
        <v>45283</v>
      </c>
      <c r="AO410" s="13" t="s">
        <v>162</v>
      </c>
      <c r="AR410" s="114"/>
    </row>
    <row r="411" spans="18:44" x14ac:dyDescent="0.4">
      <c r="R411" s="115"/>
      <c r="S411" s="115"/>
      <c r="T411" s="115"/>
      <c r="U411" s="115"/>
      <c r="V411" s="115"/>
      <c r="W411" s="122"/>
      <c r="X411" s="122"/>
      <c r="Y411" s="122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26">
        <v>45283</v>
      </c>
      <c r="AO411" s="13" t="s">
        <v>162</v>
      </c>
      <c r="AR411" s="114"/>
    </row>
    <row r="412" spans="18:44" x14ac:dyDescent="0.4">
      <c r="R412" s="115"/>
      <c r="S412" s="115"/>
      <c r="T412" s="115"/>
      <c r="U412" s="115"/>
      <c r="V412" s="115"/>
      <c r="W412" s="122"/>
      <c r="X412" s="122"/>
      <c r="Y412" s="122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26">
        <v>45283</v>
      </c>
      <c r="AO412" s="13" t="s">
        <v>162</v>
      </c>
      <c r="AR412" s="114"/>
    </row>
    <row r="413" spans="18:44" x14ac:dyDescent="0.4">
      <c r="R413" s="115"/>
      <c r="S413" s="115"/>
      <c r="T413" s="115"/>
      <c r="U413" s="115"/>
      <c r="V413" s="115"/>
      <c r="W413" s="122"/>
      <c r="X413" s="122"/>
      <c r="Y413" s="122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26">
        <v>45283</v>
      </c>
      <c r="AO413" s="13" t="s">
        <v>162</v>
      </c>
      <c r="AR413" s="114"/>
    </row>
    <row r="414" spans="18:44" x14ac:dyDescent="0.4">
      <c r="R414" s="115"/>
      <c r="S414" s="115"/>
      <c r="T414" s="115"/>
      <c r="U414" s="115"/>
      <c r="V414" s="115"/>
      <c r="W414" s="122"/>
      <c r="X414" s="122"/>
      <c r="Y414" s="122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26">
        <v>45283</v>
      </c>
      <c r="AO414" s="13" t="s">
        <v>163</v>
      </c>
      <c r="AR414" s="114"/>
    </row>
    <row r="415" spans="18:44" x14ac:dyDescent="0.4">
      <c r="R415" s="115"/>
      <c r="S415" s="115"/>
      <c r="T415" s="115"/>
      <c r="U415" s="115"/>
      <c r="V415" s="115"/>
      <c r="W415" s="122"/>
      <c r="X415" s="122"/>
      <c r="Y415" s="122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26">
        <v>45283</v>
      </c>
      <c r="AO415" s="13" t="s">
        <v>163</v>
      </c>
      <c r="AR415" s="114"/>
    </row>
    <row r="416" spans="18:44" x14ac:dyDescent="0.4">
      <c r="R416" s="115"/>
      <c r="S416" s="115"/>
      <c r="T416" s="115"/>
      <c r="U416" s="115"/>
      <c r="V416" s="115"/>
      <c r="W416" s="122"/>
      <c r="X416" s="122"/>
      <c r="Y416" s="122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26">
        <v>45283</v>
      </c>
      <c r="AO416" s="13" t="s">
        <v>163</v>
      </c>
      <c r="AR416" s="114"/>
    </row>
    <row r="417" spans="18:44" x14ac:dyDescent="0.4">
      <c r="R417" s="115"/>
      <c r="S417" s="115"/>
      <c r="T417" s="115"/>
      <c r="U417" s="115"/>
      <c r="V417" s="115"/>
      <c r="W417" s="122"/>
      <c r="X417" s="122"/>
      <c r="Y417" s="122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 t="s">
        <v>161</v>
      </c>
      <c r="AN417" s="17">
        <f>SUBTOTAL(3,AN404:AN416)</f>
        <v>13</v>
      </c>
      <c r="AO417" s="13">
        <f>SUBTOTAL(3,AO404:AO416)</f>
        <v>13</v>
      </c>
      <c r="AR417" s="114"/>
    </row>
    <row r="418" spans="18:44" x14ac:dyDescent="0.4">
      <c r="R418" s="115"/>
      <c r="S418" s="115"/>
      <c r="T418" s="115"/>
      <c r="U418" s="115"/>
      <c r="V418" s="115"/>
      <c r="W418" s="122"/>
      <c r="X418" s="122"/>
      <c r="Y418" s="122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26">
        <v>45285</v>
      </c>
      <c r="AO418" s="13" t="s">
        <v>163</v>
      </c>
      <c r="AR418" s="114"/>
    </row>
    <row r="419" spans="18:44" x14ac:dyDescent="0.4">
      <c r="R419" s="115"/>
      <c r="S419" s="115"/>
      <c r="T419" s="115"/>
      <c r="U419" s="115"/>
      <c r="V419" s="115"/>
      <c r="W419" s="122"/>
      <c r="X419" s="122"/>
      <c r="Y419" s="122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 t="s">
        <v>172</v>
      </c>
      <c r="AN419" s="17">
        <f>SUBTOTAL(3,AN418:AN418)</f>
        <v>1</v>
      </c>
      <c r="AO419" s="13">
        <f>SUBTOTAL(3,AO418:AO418)</f>
        <v>1</v>
      </c>
      <c r="AR419" s="114"/>
    </row>
    <row r="420" spans="18:44" x14ac:dyDescent="0.4">
      <c r="R420" s="115"/>
      <c r="S420" s="115"/>
      <c r="T420" s="115"/>
      <c r="U420" s="115"/>
      <c r="V420" s="115"/>
      <c r="W420" s="122"/>
      <c r="X420" s="122"/>
      <c r="Y420" s="122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26">
        <v>45299</v>
      </c>
      <c r="AO420" s="13" t="s">
        <v>164</v>
      </c>
      <c r="AR420" s="114"/>
    </row>
    <row r="421" spans="18:44" x14ac:dyDescent="0.4">
      <c r="R421" s="115"/>
      <c r="S421" s="115"/>
      <c r="T421" s="115"/>
      <c r="U421" s="115"/>
      <c r="V421" s="115"/>
      <c r="W421" s="122"/>
      <c r="X421" s="122"/>
      <c r="Y421" s="122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26">
        <v>45299</v>
      </c>
      <c r="AO421" s="13" t="s">
        <v>162</v>
      </c>
      <c r="AR421" s="114"/>
    </row>
    <row r="422" spans="18:44" x14ac:dyDescent="0.4">
      <c r="R422" s="115"/>
      <c r="S422" s="115"/>
      <c r="T422" s="115"/>
      <c r="U422" s="115"/>
      <c r="V422" s="115"/>
      <c r="W422" s="122"/>
      <c r="X422" s="122"/>
      <c r="Y422" s="122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26">
        <v>45299</v>
      </c>
      <c r="AO422" s="13" t="s">
        <v>162</v>
      </c>
      <c r="AR422" s="114"/>
    </row>
    <row r="423" spans="18:44" x14ac:dyDescent="0.4">
      <c r="R423" s="115"/>
      <c r="S423" s="115"/>
      <c r="T423" s="115"/>
      <c r="U423" s="115"/>
      <c r="V423" s="115"/>
      <c r="W423" s="122"/>
      <c r="X423" s="122"/>
      <c r="Y423" s="122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26">
        <v>45299</v>
      </c>
      <c r="AO423" s="15" t="s">
        <v>162</v>
      </c>
      <c r="AR423" s="114"/>
    </row>
    <row r="424" spans="18:44" x14ac:dyDescent="0.4">
      <c r="R424" s="115"/>
      <c r="S424" s="115"/>
      <c r="T424" s="115"/>
      <c r="U424" s="115"/>
      <c r="V424" s="115"/>
      <c r="W424" s="122"/>
      <c r="X424" s="122"/>
      <c r="Y424" s="122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 t="s">
        <v>173</v>
      </c>
      <c r="AN424" s="17">
        <f>SUBTOTAL(3,AN420:AN423)</f>
        <v>4</v>
      </c>
      <c r="AO424" s="13">
        <f>SUBTOTAL(3,AO420:AO423)</f>
        <v>4</v>
      </c>
      <c r="AR424" s="114"/>
    </row>
    <row r="425" spans="18:44" x14ac:dyDescent="0.4">
      <c r="R425" s="115"/>
      <c r="S425" s="115"/>
      <c r="T425" s="115"/>
      <c r="U425" s="115"/>
      <c r="V425" s="115"/>
      <c r="W425" s="122"/>
      <c r="X425" s="122"/>
      <c r="Y425" s="122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 t="s">
        <v>145</v>
      </c>
      <c r="AN425" s="17">
        <f>SUBTOTAL(3,AN2:AN423)</f>
        <v>136</v>
      </c>
      <c r="AO425" s="13">
        <f>SUBTOTAL(3,AO2:AO423)</f>
        <v>136</v>
      </c>
      <c r="AR425" s="114"/>
    </row>
    <row r="426" spans="18:44" x14ac:dyDescent="0.4">
      <c r="R426" s="115"/>
      <c r="S426" s="115"/>
      <c r="T426" s="115"/>
      <c r="U426" s="115"/>
      <c r="V426" s="115"/>
      <c r="W426" s="122"/>
      <c r="X426" s="122"/>
      <c r="Y426" s="122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 t="s">
        <v>145</v>
      </c>
      <c r="AL426" s="115"/>
      <c r="AM426" s="115"/>
      <c r="AN426" s="26"/>
      <c r="AO426" s="13"/>
      <c r="AR426" s="114"/>
    </row>
    <row r="427" spans="18:44" x14ac:dyDescent="0.4">
      <c r="R427" s="115"/>
      <c r="S427" s="115"/>
      <c r="T427" s="115"/>
      <c r="U427" s="115"/>
      <c r="V427" s="115"/>
      <c r="W427" s="122"/>
      <c r="X427" s="122"/>
      <c r="Y427" s="122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7"/>
      <c r="AO427" s="13"/>
      <c r="AR427" s="114"/>
    </row>
    <row r="428" spans="18:44" x14ac:dyDescent="0.4">
      <c r="R428" s="115"/>
      <c r="S428" s="115"/>
      <c r="T428" s="115"/>
      <c r="U428" s="115"/>
      <c r="V428" s="115"/>
      <c r="W428" s="122"/>
      <c r="X428" s="122"/>
      <c r="Y428" s="122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26"/>
      <c r="AO428" s="13"/>
      <c r="AR428" s="114"/>
    </row>
    <row r="429" spans="18:44" x14ac:dyDescent="0.4">
      <c r="R429" s="115"/>
      <c r="S429" s="115"/>
      <c r="T429" s="115"/>
      <c r="U429" s="115"/>
      <c r="V429" s="115"/>
      <c r="W429" s="122"/>
      <c r="X429" s="122"/>
      <c r="Y429" s="122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7"/>
      <c r="AO429" s="13"/>
      <c r="AR429" s="114"/>
    </row>
    <row r="430" spans="18:44" x14ac:dyDescent="0.4">
      <c r="R430" s="115"/>
      <c r="S430" s="115"/>
      <c r="T430" s="115"/>
      <c r="U430" s="115"/>
      <c r="V430" s="115"/>
      <c r="W430" s="122"/>
      <c r="X430" s="122"/>
      <c r="Y430" s="122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26"/>
      <c r="AO430" s="13"/>
      <c r="AR430" s="114"/>
    </row>
    <row r="431" spans="18:44" x14ac:dyDescent="0.4">
      <c r="R431" s="115"/>
      <c r="S431" s="115"/>
      <c r="T431" s="115"/>
      <c r="U431" s="115"/>
      <c r="V431" s="115"/>
      <c r="W431" s="122"/>
      <c r="X431" s="122"/>
      <c r="Y431" s="122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26"/>
      <c r="AO431" s="13"/>
      <c r="AR431" s="114"/>
    </row>
    <row r="432" spans="18:44" x14ac:dyDescent="0.4">
      <c r="R432" s="115"/>
      <c r="S432" s="115"/>
      <c r="T432" s="115"/>
      <c r="U432" s="115"/>
      <c r="V432" s="115"/>
      <c r="W432" s="122"/>
      <c r="X432" s="122"/>
      <c r="Y432" s="122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26"/>
      <c r="AO432" s="13"/>
      <c r="AR432" s="114"/>
    </row>
    <row r="433" spans="18:44" x14ac:dyDescent="0.4">
      <c r="R433" s="115"/>
      <c r="S433" s="115"/>
      <c r="T433" s="115"/>
      <c r="U433" s="115"/>
      <c r="V433" s="115"/>
      <c r="W433" s="122"/>
      <c r="X433" s="122"/>
      <c r="Y433" s="122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7"/>
      <c r="AO433" s="13"/>
      <c r="AR433" s="114"/>
    </row>
    <row r="434" spans="18:44" x14ac:dyDescent="0.4">
      <c r="R434" s="115"/>
      <c r="S434" s="115"/>
      <c r="T434" s="115"/>
      <c r="U434" s="115"/>
      <c r="V434" s="115"/>
      <c r="W434" s="122"/>
      <c r="X434" s="122"/>
      <c r="Y434" s="122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26"/>
      <c r="AO434" s="13"/>
      <c r="AR434" s="114"/>
    </row>
    <row r="435" spans="18:44" x14ac:dyDescent="0.4">
      <c r="R435" s="115"/>
      <c r="S435" s="115"/>
      <c r="T435" s="115"/>
      <c r="U435" s="115"/>
      <c r="V435" s="115"/>
      <c r="W435" s="122"/>
      <c r="X435" s="122"/>
      <c r="Y435" s="122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7"/>
      <c r="AO435" s="13"/>
      <c r="AR435" s="114"/>
    </row>
    <row r="436" spans="18:44" x14ac:dyDescent="0.4">
      <c r="R436" s="115"/>
      <c r="S436" s="115"/>
      <c r="T436" s="115"/>
      <c r="U436" s="115"/>
      <c r="V436" s="115"/>
      <c r="W436" s="122"/>
      <c r="X436" s="122"/>
      <c r="Y436" s="122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26"/>
      <c r="AO436" s="13"/>
      <c r="AR436" s="114"/>
    </row>
    <row r="437" spans="18:44" x14ac:dyDescent="0.4">
      <c r="R437" s="115"/>
      <c r="S437" s="115"/>
      <c r="T437" s="115"/>
      <c r="U437" s="115"/>
      <c r="V437" s="115"/>
      <c r="W437" s="122"/>
      <c r="X437" s="122"/>
      <c r="Y437" s="122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7"/>
      <c r="AO437" s="13"/>
      <c r="AR437" s="114"/>
    </row>
    <row r="438" spans="18:44" x14ac:dyDescent="0.4">
      <c r="R438" s="115"/>
      <c r="S438" s="115"/>
      <c r="T438" s="115"/>
      <c r="U438" s="115"/>
      <c r="V438" s="115"/>
      <c r="W438" s="122"/>
      <c r="X438" s="122"/>
      <c r="Y438" s="122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7"/>
      <c r="AO438" s="13"/>
      <c r="AR438" s="114"/>
    </row>
    <row r="439" spans="18:44" x14ac:dyDescent="0.4">
      <c r="R439" s="115"/>
      <c r="S439" s="115"/>
      <c r="T439" s="115"/>
      <c r="U439" s="115"/>
      <c r="V439" s="115"/>
      <c r="W439" s="122"/>
      <c r="X439" s="122"/>
      <c r="Y439" s="122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7"/>
      <c r="AO439" s="13"/>
      <c r="AR439" s="114"/>
    </row>
    <row r="440" spans="18:44" x14ac:dyDescent="0.4">
      <c r="R440" s="115"/>
      <c r="S440" s="115"/>
      <c r="T440" s="115"/>
      <c r="U440" s="115"/>
      <c r="V440" s="115"/>
      <c r="W440" s="122"/>
      <c r="X440" s="122"/>
      <c r="Y440" s="122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26"/>
      <c r="AO440" s="13"/>
      <c r="AR440" s="114"/>
    </row>
    <row r="441" spans="18:44" x14ac:dyDescent="0.4">
      <c r="R441" s="115"/>
      <c r="S441" s="115"/>
      <c r="T441" s="115"/>
      <c r="U441" s="115"/>
      <c r="V441" s="115"/>
      <c r="W441" s="122"/>
      <c r="X441" s="122"/>
      <c r="Y441" s="122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7"/>
      <c r="AO441" s="13"/>
      <c r="AR441" s="114"/>
    </row>
    <row r="442" spans="18:44" x14ac:dyDescent="0.4">
      <c r="R442" s="115"/>
      <c r="S442" s="115"/>
      <c r="T442" s="115"/>
      <c r="U442" s="115"/>
      <c r="V442" s="115"/>
      <c r="W442" s="122"/>
      <c r="X442" s="122"/>
      <c r="Y442" s="122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26"/>
      <c r="AO442" s="13"/>
      <c r="AR442" s="114"/>
    </row>
    <row r="443" spans="18:44" x14ac:dyDescent="0.4">
      <c r="R443" s="115"/>
      <c r="S443" s="115"/>
      <c r="T443" s="115"/>
      <c r="U443" s="115"/>
      <c r="V443" s="115"/>
      <c r="W443" s="122"/>
      <c r="X443" s="122"/>
      <c r="Y443" s="122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7"/>
      <c r="AO443" s="13"/>
      <c r="AR443" s="114"/>
    </row>
    <row r="444" spans="18:44" x14ac:dyDescent="0.4">
      <c r="R444" s="115"/>
      <c r="S444" s="115"/>
      <c r="T444" s="115"/>
      <c r="U444" s="115"/>
      <c r="V444" s="115"/>
      <c r="W444" s="122"/>
      <c r="X444" s="122"/>
      <c r="Y444" s="122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26"/>
      <c r="AO444" s="25"/>
      <c r="AR444" s="114"/>
    </row>
    <row r="445" spans="18:44" x14ac:dyDescent="0.4">
      <c r="R445" s="115"/>
      <c r="S445" s="115"/>
      <c r="T445" s="115"/>
      <c r="U445" s="115"/>
      <c r="V445" s="115"/>
      <c r="W445" s="122"/>
      <c r="X445" s="122"/>
      <c r="Y445" s="122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7"/>
      <c r="AO445" s="13"/>
      <c r="AR445" s="114"/>
    </row>
    <row r="446" spans="18:44" x14ac:dyDescent="0.4">
      <c r="R446" s="115"/>
      <c r="S446" s="115"/>
      <c r="T446" s="115"/>
      <c r="U446" s="115"/>
      <c r="V446" s="115"/>
      <c r="W446" s="122"/>
      <c r="X446" s="122"/>
      <c r="Y446" s="122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7"/>
      <c r="AO446" s="13"/>
      <c r="AR446" s="114"/>
    </row>
    <row r="447" spans="18:44" x14ac:dyDescent="0.4">
      <c r="R447" s="115"/>
      <c r="S447" s="115"/>
      <c r="T447" s="115"/>
      <c r="U447" s="115"/>
      <c r="V447" s="115"/>
      <c r="W447" s="122"/>
      <c r="X447" s="122"/>
      <c r="Y447" s="122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26"/>
      <c r="AO447" s="15"/>
      <c r="AR447" s="114"/>
    </row>
    <row r="448" spans="18:44" x14ac:dyDescent="0.4">
      <c r="R448" s="115"/>
      <c r="S448" s="115"/>
      <c r="T448" s="115"/>
      <c r="U448" s="115"/>
      <c r="V448" s="115"/>
      <c r="W448" s="122"/>
      <c r="X448" s="122"/>
      <c r="Y448" s="122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26"/>
      <c r="AO448" s="15"/>
      <c r="AR448" s="114"/>
    </row>
    <row r="449" spans="18:44" x14ac:dyDescent="0.4">
      <c r="R449" s="115"/>
      <c r="S449" s="115"/>
      <c r="T449" s="115"/>
      <c r="U449" s="115"/>
      <c r="V449" s="115"/>
      <c r="W449" s="122"/>
      <c r="X449" s="122"/>
      <c r="Y449" s="122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26"/>
      <c r="AO449" s="15"/>
      <c r="AR449" s="114"/>
    </row>
    <row r="450" spans="18:44" x14ac:dyDescent="0.4">
      <c r="R450" s="115"/>
      <c r="S450" s="115"/>
      <c r="T450" s="115"/>
      <c r="U450" s="115"/>
      <c r="V450" s="115"/>
      <c r="W450" s="122"/>
      <c r="X450" s="122"/>
      <c r="Y450" s="122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26"/>
      <c r="AO450" s="15"/>
      <c r="AR450" s="114"/>
    </row>
    <row r="451" spans="18:44" x14ac:dyDescent="0.4">
      <c r="R451" s="115"/>
      <c r="S451" s="115"/>
      <c r="T451" s="115"/>
      <c r="U451" s="115"/>
      <c r="V451" s="115"/>
      <c r="W451" s="122"/>
      <c r="X451" s="122"/>
      <c r="Y451" s="122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26"/>
      <c r="AO451" s="15"/>
      <c r="AR451" s="114"/>
    </row>
    <row r="452" spans="18:44" x14ac:dyDescent="0.4">
      <c r="R452" s="115"/>
      <c r="S452" s="115"/>
      <c r="T452" s="115"/>
      <c r="U452" s="115"/>
      <c r="V452" s="115"/>
      <c r="W452" s="122"/>
      <c r="X452" s="122"/>
      <c r="Y452" s="122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26"/>
      <c r="AO452" s="15"/>
      <c r="AR452" s="114"/>
    </row>
    <row r="453" spans="18:44" x14ac:dyDescent="0.4">
      <c r="R453" s="115"/>
      <c r="S453" s="115"/>
      <c r="T453" s="115"/>
      <c r="U453" s="115"/>
      <c r="V453" s="115"/>
      <c r="W453" s="122"/>
      <c r="X453" s="122"/>
      <c r="Y453" s="122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26"/>
      <c r="AO453" s="15"/>
      <c r="AR453" s="114"/>
    </row>
    <row r="454" spans="18:44" x14ac:dyDescent="0.4">
      <c r="R454" s="115"/>
      <c r="S454" s="115"/>
      <c r="T454" s="115"/>
      <c r="U454" s="115"/>
      <c r="V454" s="115"/>
      <c r="W454" s="122"/>
      <c r="X454" s="122"/>
      <c r="Y454" s="122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26"/>
      <c r="AO454" s="15"/>
      <c r="AR454" s="114"/>
    </row>
    <row r="455" spans="18:44" x14ac:dyDescent="0.4">
      <c r="R455" s="115"/>
      <c r="S455" s="115"/>
      <c r="T455" s="115"/>
      <c r="U455" s="115"/>
      <c r="V455" s="115"/>
      <c r="W455" s="122"/>
      <c r="X455" s="122"/>
      <c r="Y455" s="122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7"/>
      <c r="AO455" s="15"/>
      <c r="AR455" s="114"/>
    </row>
    <row r="456" spans="18:44" x14ac:dyDescent="0.4">
      <c r="R456" s="115"/>
      <c r="S456" s="115"/>
      <c r="T456" s="115"/>
      <c r="U456" s="115"/>
      <c r="V456" s="115"/>
      <c r="W456" s="122"/>
      <c r="X456" s="122"/>
      <c r="Y456" s="122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26"/>
      <c r="AO456" s="15"/>
      <c r="AR456" s="114"/>
    </row>
    <row r="457" spans="18:44" x14ac:dyDescent="0.4">
      <c r="R457" s="115"/>
      <c r="S457" s="115"/>
      <c r="T457" s="115"/>
      <c r="U457" s="115"/>
      <c r="V457" s="115"/>
      <c r="W457" s="122"/>
      <c r="X457" s="122"/>
      <c r="Y457" s="122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26"/>
      <c r="AO457" s="13"/>
      <c r="AR457" s="114"/>
    </row>
    <row r="458" spans="18:44" x14ac:dyDescent="0.4">
      <c r="R458" s="115"/>
      <c r="S458" s="115"/>
      <c r="T458" s="115"/>
      <c r="U458" s="115"/>
      <c r="V458" s="115"/>
      <c r="W458" s="122"/>
      <c r="X458" s="122"/>
      <c r="Y458" s="122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26"/>
      <c r="AO458" s="13"/>
      <c r="AR458" s="114"/>
    </row>
    <row r="459" spans="18:44" x14ac:dyDescent="0.4">
      <c r="R459" s="115"/>
      <c r="S459" s="115"/>
      <c r="T459" s="115"/>
      <c r="U459" s="115"/>
      <c r="V459" s="115"/>
      <c r="W459" s="122"/>
      <c r="X459" s="122"/>
      <c r="Y459" s="122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26"/>
      <c r="AO459" s="13"/>
      <c r="AR459" s="114"/>
    </row>
    <row r="460" spans="18:44" x14ac:dyDescent="0.4">
      <c r="R460" s="115"/>
      <c r="S460" s="115"/>
      <c r="T460" s="115"/>
      <c r="U460" s="115"/>
      <c r="V460" s="115"/>
      <c r="W460" s="122"/>
      <c r="X460" s="122"/>
      <c r="Y460" s="122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26"/>
      <c r="AO460" s="13"/>
      <c r="AR460" s="114"/>
    </row>
    <row r="461" spans="18:44" x14ac:dyDescent="0.4">
      <c r="R461" s="115"/>
      <c r="S461" s="115"/>
      <c r="T461" s="115"/>
      <c r="U461" s="115"/>
      <c r="V461" s="115"/>
      <c r="W461" s="122"/>
      <c r="X461" s="122"/>
      <c r="Y461" s="122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26"/>
      <c r="AO461" s="13"/>
      <c r="AR461" s="114"/>
    </row>
    <row r="462" spans="18:44" x14ac:dyDescent="0.4">
      <c r="R462" s="115"/>
      <c r="S462" s="115"/>
      <c r="T462" s="115"/>
      <c r="U462" s="115"/>
      <c r="V462" s="115"/>
      <c r="W462" s="122"/>
      <c r="X462" s="122"/>
      <c r="Y462" s="122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26"/>
      <c r="AO462" s="13"/>
      <c r="AR462" s="114"/>
    </row>
    <row r="463" spans="18:44" x14ac:dyDescent="0.4">
      <c r="R463" s="115"/>
      <c r="S463" s="115"/>
      <c r="T463" s="115"/>
      <c r="U463" s="115"/>
      <c r="V463" s="115"/>
      <c r="W463" s="122"/>
      <c r="X463" s="122"/>
      <c r="Y463" s="122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26"/>
      <c r="AO463" s="13"/>
      <c r="AR463" s="114"/>
    </row>
    <row r="464" spans="18:44" x14ac:dyDescent="0.4">
      <c r="R464" s="115"/>
      <c r="S464" s="115"/>
      <c r="T464" s="115"/>
      <c r="U464" s="115"/>
      <c r="V464" s="115"/>
      <c r="W464" s="122"/>
      <c r="X464" s="122"/>
      <c r="Y464" s="122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26"/>
      <c r="AO464" s="13"/>
      <c r="AR464" s="114"/>
    </row>
    <row r="465" spans="17:44" x14ac:dyDescent="0.4">
      <c r="R465" s="115"/>
      <c r="S465" s="115"/>
      <c r="T465" s="115"/>
      <c r="U465" s="115"/>
      <c r="V465" s="115"/>
      <c r="W465" s="122"/>
      <c r="X465" s="122"/>
      <c r="Y465" s="122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26"/>
      <c r="AO465" s="13"/>
      <c r="AR465" s="114"/>
    </row>
    <row r="466" spans="17:44" x14ac:dyDescent="0.4">
      <c r="R466" s="115"/>
      <c r="S466" s="115"/>
      <c r="T466" s="115"/>
      <c r="U466" s="115"/>
      <c r="V466" s="115"/>
      <c r="W466" s="122"/>
      <c r="X466" s="122"/>
      <c r="Y466" s="122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26"/>
      <c r="AO466" s="13"/>
      <c r="AR466" s="114"/>
    </row>
    <row r="467" spans="17:44" x14ac:dyDescent="0.4">
      <c r="R467" s="115"/>
      <c r="S467" s="115"/>
      <c r="T467" s="115"/>
      <c r="U467" s="115"/>
      <c r="V467" s="115"/>
      <c r="W467" s="122"/>
      <c r="X467" s="122"/>
      <c r="Y467" s="122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26"/>
      <c r="AO467" s="13"/>
      <c r="AR467" s="114"/>
    </row>
    <row r="468" spans="17:44" x14ac:dyDescent="0.4">
      <c r="R468" s="115"/>
      <c r="S468" s="115"/>
      <c r="T468" s="115"/>
      <c r="U468" s="115"/>
      <c r="V468" s="115"/>
      <c r="W468" s="122"/>
      <c r="X468" s="122"/>
      <c r="Y468" s="122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7"/>
      <c r="AO468" s="13"/>
      <c r="AR468" s="114"/>
    </row>
    <row r="469" spans="17:44" x14ac:dyDescent="0.4">
      <c r="R469" s="115"/>
      <c r="S469" s="115"/>
      <c r="T469" s="115"/>
      <c r="U469" s="115"/>
      <c r="V469" s="115"/>
      <c r="W469" s="122"/>
      <c r="X469" s="122"/>
      <c r="Y469" s="122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26"/>
      <c r="AO469" s="13"/>
      <c r="AR469" s="114"/>
    </row>
    <row r="470" spans="17:44" x14ac:dyDescent="0.4">
      <c r="R470" s="115"/>
      <c r="S470" s="115"/>
      <c r="T470" s="115"/>
      <c r="U470" s="115"/>
      <c r="V470" s="115"/>
      <c r="W470" s="122"/>
      <c r="X470" s="122"/>
      <c r="Y470" s="122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26"/>
      <c r="AO470" s="13"/>
      <c r="AR470" s="114"/>
    </row>
    <row r="471" spans="17:44" x14ac:dyDescent="0.4">
      <c r="R471" s="115"/>
      <c r="S471" s="115"/>
      <c r="T471" s="115"/>
      <c r="U471" s="115"/>
      <c r="V471" s="115"/>
      <c r="W471" s="122"/>
      <c r="X471" s="122"/>
      <c r="Y471" s="122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26"/>
      <c r="AO471" s="13"/>
      <c r="AR471" s="114"/>
    </row>
    <row r="472" spans="17:44" x14ac:dyDescent="0.4">
      <c r="R472" s="115"/>
      <c r="S472" s="115"/>
      <c r="T472" s="115"/>
      <c r="U472" s="115"/>
      <c r="V472" s="115"/>
      <c r="W472" s="122"/>
      <c r="X472" s="122"/>
      <c r="Y472" s="122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7"/>
      <c r="AO472" s="13"/>
      <c r="AR472" s="114"/>
    </row>
    <row r="473" spans="17:44" x14ac:dyDescent="0.4">
      <c r="R473" s="115"/>
      <c r="S473" s="115"/>
      <c r="T473" s="115"/>
      <c r="U473" s="115"/>
      <c r="V473" s="115"/>
      <c r="W473" s="122"/>
      <c r="X473" s="122"/>
      <c r="Y473" s="122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26"/>
      <c r="AO473" s="13"/>
      <c r="AR473" s="114"/>
    </row>
    <row r="474" spans="17:44" x14ac:dyDescent="0.4">
      <c r="R474" s="115"/>
      <c r="S474" s="115"/>
      <c r="T474" s="115"/>
      <c r="U474" s="115"/>
      <c r="V474" s="115"/>
      <c r="W474" s="122"/>
      <c r="X474" s="122"/>
      <c r="Y474" s="122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7"/>
      <c r="AO474" s="13"/>
      <c r="AR474" s="114"/>
    </row>
    <row r="475" spans="17:44" x14ac:dyDescent="0.4">
      <c r="R475" s="115"/>
      <c r="S475" s="115"/>
      <c r="T475" s="115"/>
      <c r="U475" s="115"/>
      <c r="V475" s="115"/>
      <c r="W475" s="122"/>
      <c r="X475" s="122"/>
      <c r="Y475" s="122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26"/>
      <c r="AO475" s="13"/>
      <c r="AR475" s="114"/>
    </row>
    <row r="476" spans="17:44" x14ac:dyDescent="0.4">
      <c r="R476" s="115"/>
      <c r="S476" s="115"/>
      <c r="T476" s="115"/>
      <c r="U476" s="115"/>
      <c r="V476" s="115"/>
      <c r="W476" s="122"/>
      <c r="X476" s="122"/>
      <c r="Y476" s="122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26"/>
      <c r="AO476" s="15"/>
      <c r="AR476" s="114"/>
    </row>
    <row r="477" spans="17:44" x14ac:dyDescent="0.4">
      <c r="R477" s="115"/>
      <c r="S477" s="115"/>
      <c r="T477" s="115"/>
      <c r="U477" s="115"/>
      <c r="V477" s="115"/>
      <c r="W477" s="122"/>
      <c r="X477" s="122"/>
      <c r="Y477" s="122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7"/>
      <c r="AO477" s="15"/>
      <c r="AR477" s="114"/>
    </row>
    <row r="478" spans="17:44" x14ac:dyDescent="0.4">
      <c r="R478" s="115"/>
      <c r="S478" s="115"/>
      <c r="T478" s="115"/>
      <c r="U478" s="115"/>
      <c r="V478" s="115"/>
      <c r="W478" s="122"/>
      <c r="X478" s="122"/>
      <c r="Y478" s="122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7"/>
      <c r="AO478" s="15"/>
      <c r="AR478" s="114"/>
    </row>
    <row r="479" spans="17:44" x14ac:dyDescent="0.4">
      <c r="Q479" s="115"/>
      <c r="R479" s="115"/>
      <c r="S479" s="115"/>
      <c r="T479" s="115"/>
      <c r="U479" s="115"/>
      <c r="V479" s="115"/>
      <c r="W479" s="122"/>
      <c r="X479" s="122"/>
      <c r="Y479" s="122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26"/>
      <c r="AO479" s="15"/>
      <c r="AR479" s="114"/>
    </row>
    <row r="480" spans="17:44" x14ac:dyDescent="0.4">
      <c r="Q480" s="115"/>
      <c r="R480" s="115"/>
      <c r="S480" s="115"/>
      <c r="T480" s="115"/>
      <c r="U480" s="115"/>
      <c r="V480" s="115"/>
      <c r="W480" s="122"/>
      <c r="X480" s="122"/>
      <c r="Y480" s="122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7"/>
      <c r="AO480" s="15"/>
      <c r="AR480" s="114"/>
    </row>
    <row r="481" spans="17:44" x14ac:dyDescent="0.4">
      <c r="Q481" s="115"/>
      <c r="R481" s="115"/>
      <c r="S481" s="115"/>
      <c r="T481" s="115"/>
      <c r="U481" s="115"/>
      <c r="V481" s="115"/>
      <c r="W481" s="122"/>
      <c r="X481" s="122"/>
      <c r="Y481" s="122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26"/>
      <c r="AO481" s="15"/>
      <c r="AR481" s="114"/>
    </row>
    <row r="482" spans="17:44" x14ac:dyDescent="0.4">
      <c r="Q482" s="115"/>
      <c r="R482" s="115"/>
      <c r="S482" s="115"/>
      <c r="T482" s="115"/>
      <c r="U482" s="115"/>
      <c r="V482" s="115"/>
      <c r="W482" s="122"/>
      <c r="X482" s="122"/>
      <c r="Y482" s="122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26"/>
      <c r="AO482" s="15"/>
      <c r="AR482" s="114"/>
    </row>
    <row r="483" spans="17:44" x14ac:dyDescent="0.4">
      <c r="Q483" s="115"/>
      <c r="R483" s="115"/>
      <c r="S483" s="115"/>
      <c r="T483" s="115"/>
      <c r="U483" s="115"/>
      <c r="V483" s="115"/>
      <c r="W483" s="122"/>
      <c r="X483" s="122"/>
      <c r="Y483" s="122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7"/>
      <c r="AO483" s="15"/>
      <c r="AR483" s="114"/>
    </row>
    <row r="484" spans="17:44" x14ac:dyDescent="0.4">
      <c r="Q484" s="115"/>
      <c r="R484" s="115"/>
      <c r="S484" s="115"/>
      <c r="T484" s="115"/>
      <c r="U484" s="115"/>
      <c r="V484" s="115"/>
      <c r="W484" s="122"/>
      <c r="X484" s="122"/>
      <c r="Y484" s="122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26"/>
      <c r="AO484" s="15"/>
      <c r="AR484" s="114"/>
    </row>
    <row r="485" spans="17:44" x14ac:dyDescent="0.4">
      <c r="Q485" s="115"/>
      <c r="R485" s="115"/>
      <c r="S485" s="115"/>
      <c r="T485" s="115"/>
      <c r="U485" s="115"/>
      <c r="V485" s="115"/>
      <c r="W485" s="122"/>
      <c r="X485" s="122"/>
      <c r="Y485" s="122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7"/>
      <c r="AO485" s="15"/>
      <c r="AR485" s="114"/>
    </row>
    <row r="486" spans="17:44" x14ac:dyDescent="0.4">
      <c r="Q486" s="115"/>
      <c r="R486" s="115"/>
      <c r="S486" s="115"/>
      <c r="T486" s="115"/>
      <c r="U486" s="115"/>
      <c r="V486" s="115"/>
      <c r="W486" s="122"/>
      <c r="X486" s="122"/>
      <c r="Y486" s="122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7"/>
      <c r="AO486" s="15"/>
      <c r="AR486" s="114"/>
    </row>
    <row r="487" spans="17:44" x14ac:dyDescent="0.4">
      <c r="Q487" s="115"/>
      <c r="R487" s="115"/>
      <c r="S487" s="115"/>
      <c r="T487" s="115"/>
      <c r="U487" s="115"/>
      <c r="V487" s="115"/>
      <c r="W487" s="122"/>
      <c r="X487" s="122"/>
      <c r="Y487" s="122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26"/>
      <c r="AO487" s="15"/>
      <c r="AR487" s="114"/>
    </row>
    <row r="488" spans="17:44" x14ac:dyDescent="0.4">
      <c r="Q488" s="115"/>
      <c r="R488" s="115"/>
      <c r="S488" s="115"/>
      <c r="T488" s="115"/>
      <c r="U488" s="115"/>
      <c r="V488" s="115"/>
      <c r="W488" s="122"/>
      <c r="X488" s="122"/>
      <c r="Y488" s="122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26"/>
      <c r="AO488" s="15"/>
      <c r="AR488" s="114"/>
    </row>
    <row r="489" spans="17:44" x14ac:dyDescent="0.4">
      <c r="Q489" s="115"/>
      <c r="R489" s="115"/>
      <c r="S489" s="115"/>
      <c r="T489" s="115"/>
      <c r="U489" s="115"/>
      <c r="V489" s="115"/>
      <c r="W489" s="122"/>
      <c r="X489" s="122"/>
      <c r="Y489" s="122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26"/>
      <c r="AO489" s="15"/>
      <c r="AR489" s="114"/>
    </row>
    <row r="490" spans="17:44" x14ac:dyDescent="0.4">
      <c r="Q490" s="115"/>
      <c r="R490" s="115"/>
      <c r="S490" s="115"/>
      <c r="T490" s="115"/>
      <c r="U490" s="115"/>
      <c r="V490" s="115"/>
      <c r="W490" s="122"/>
      <c r="X490" s="122"/>
      <c r="Y490" s="122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26"/>
      <c r="AO490" s="15"/>
      <c r="AR490" s="114"/>
    </row>
    <row r="491" spans="17:44" x14ac:dyDescent="0.4">
      <c r="Q491" s="115"/>
      <c r="R491" s="115"/>
      <c r="S491" s="115"/>
      <c r="T491" s="115"/>
      <c r="U491" s="115"/>
      <c r="V491" s="115"/>
      <c r="W491" s="122"/>
      <c r="X491" s="122"/>
      <c r="Y491" s="122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26"/>
      <c r="AO491" s="15"/>
      <c r="AR491" s="114"/>
    </row>
    <row r="492" spans="17:44" x14ac:dyDescent="0.4">
      <c r="Q492" s="115"/>
      <c r="R492" s="115"/>
      <c r="S492" s="115"/>
      <c r="T492" s="115"/>
      <c r="U492" s="115"/>
      <c r="V492" s="115"/>
      <c r="W492" s="122"/>
      <c r="X492" s="122"/>
      <c r="Y492" s="122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26"/>
      <c r="AO492" s="15"/>
      <c r="AR492" s="114"/>
    </row>
    <row r="493" spans="17:44" x14ac:dyDescent="0.4">
      <c r="Q493" s="115"/>
      <c r="R493" s="115"/>
      <c r="S493" s="115"/>
      <c r="T493" s="115"/>
      <c r="U493" s="115"/>
      <c r="V493" s="115"/>
      <c r="W493" s="122"/>
      <c r="X493" s="122"/>
      <c r="Y493" s="122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26"/>
      <c r="AO493" s="15"/>
      <c r="AR493" s="114"/>
    </row>
    <row r="494" spans="17:44" x14ac:dyDescent="0.4">
      <c r="Q494" s="115"/>
      <c r="R494" s="115"/>
      <c r="S494" s="115"/>
      <c r="T494" s="115"/>
      <c r="U494" s="115"/>
      <c r="V494" s="115"/>
      <c r="W494" s="122"/>
      <c r="X494" s="122"/>
      <c r="Y494" s="122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7"/>
      <c r="AO494" s="15"/>
      <c r="AR494" s="114"/>
    </row>
    <row r="495" spans="17:44" x14ac:dyDescent="0.4">
      <c r="Q495" s="115"/>
      <c r="R495" s="115"/>
      <c r="S495" s="115"/>
      <c r="T495" s="115"/>
      <c r="U495" s="115"/>
      <c r="V495" s="115"/>
      <c r="W495" s="122"/>
      <c r="X495" s="122"/>
      <c r="Y495" s="122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26"/>
      <c r="AO495" s="15"/>
      <c r="AR495" s="114"/>
    </row>
    <row r="496" spans="17:44" x14ac:dyDescent="0.4">
      <c r="Q496" s="115"/>
      <c r="R496" s="115"/>
      <c r="S496" s="115"/>
      <c r="T496" s="115"/>
      <c r="U496" s="115"/>
      <c r="V496" s="115"/>
      <c r="W496" s="122"/>
      <c r="X496" s="122"/>
      <c r="Y496" s="122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26"/>
      <c r="AO496" s="15"/>
      <c r="AR496" s="114"/>
    </row>
    <row r="497" spans="5:44" x14ac:dyDescent="0.4">
      <c r="Q497" s="115"/>
      <c r="R497" s="115"/>
      <c r="S497" s="115"/>
      <c r="T497" s="115"/>
      <c r="U497" s="115"/>
      <c r="V497" s="115"/>
      <c r="W497" s="122"/>
      <c r="X497" s="122"/>
      <c r="Y497" s="122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26"/>
      <c r="AO497" s="15"/>
      <c r="AR497" s="114"/>
    </row>
    <row r="498" spans="5:44" x14ac:dyDescent="0.4">
      <c r="Q498" s="115"/>
      <c r="R498" s="115"/>
      <c r="S498" s="115"/>
      <c r="T498" s="115"/>
      <c r="U498" s="115"/>
      <c r="V498" s="115"/>
      <c r="W498" s="122"/>
      <c r="X498" s="122"/>
      <c r="Y498" s="122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26"/>
      <c r="AO498" s="13"/>
      <c r="AR498" s="114"/>
    </row>
    <row r="499" spans="5:44" x14ac:dyDescent="0.4">
      <c r="Q499" s="115"/>
      <c r="R499" s="115"/>
      <c r="S499" s="115"/>
      <c r="T499" s="115"/>
      <c r="U499" s="115"/>
      <c r="V499" s="115"/>
      <c r="W499" s="122"/>
      <c r="X499" s="122"/>
      <c r="Y499" s="122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7"/>
      <c r="AO499" s="13"/>
      <c r="AR499" s="114"/>
    </row>
    <row r="500" spans="5:44" x14ac:dyDescent="0.4">
      <c r="Q500" s="115"/>
      <c r="R500" s="115"/>
      <c r="S500" s="115"/>
      <c r="T500" s="115"/>
      <c r="U500" s="115"/>
      <c r="V500" s="115"/>
      <c r="W500" s="122"/>
      <c r="X500" s="122"/>
      <c r="Y500" s="122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26"/>
      <c r="AO500" s="13"/>
      <c r="AR500" s="114"/>
    </row>
    <row r="501" spans="5:44" x14ac:dyDescent="0.4">
      <c r="Q501" s="115"/>
      <c r="R501" s="115"/>
      <c r="S501" s="115"/>
      <c r="T501" s="115"/>
      <c r="U501" s="115"/>
      <c r="V501" s="115"/>
      <c r="W501" s="122"/>
      <c r="X501" s="122"/>
      <c r="Y501" s="122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26"/>
      <c r="AO501" s="13"/>
      <c r="AR501" s="114"/>
    </row>
    <row r="502" spans="5:44" x14ac:dyDescent="0.4">
      <c r="Q502" s="115"/>
      <c r="R502" s="115"/>
      <c r="S502" s="115"/>
      <c r="T502" s="115"/>
      <c r="U502" s="115"/>
      <c r="V502" s="115"/>
      <c r="W502" s="122"/>
      <c r="X502" s="122"/>
      <c r="Y502" s="122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26"/>
      <c r="AO502" s="13"/>
      <c r="AR502" s="114"/>
    </row>
    <row r="503" spans="5:44" x14ac:dyDescent="0.4">
      <c r="Q503" s="115"/>
      <c r="R503" s="115"/>
      <c r="S503" s="115"/>
      <c r="T503" s="115"/>
      <c r="U503" s="115"/>
      <c r="V503" s="115"/>
      <c r="W503" s="122"/>
      <c r="X503" s="122"/>
      <c r="Y503" s="122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26"/>
      <c r="AO503" s="13"/>
      <c r="AR503" s="114"/>
    </row>
    <row r="504" spans="5:44" x14ac:dyDescent="0.4">
      <c r="Q504" s="115"/>
      <c r="R504" s="115"/>
      <c r="S504" s="115"/>
      <c r="T504" s="115"/>
      <c r="U504" s="115"/>
      <c r="V504" s="115"/>
      <c r="W504" s="122"/>
      <c r="X504" s="122"/>
      <c r="Y504" s="122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26"/>
      <c r="AO504" s="13"/>
      <c r="AR504" s="114"/>
    </row>
    <row r="505" spans="5:44" x14ac:dyDescent="0.4">
      <c r="Q505" s="115"/>
      <c r="R505" s="115"/>
      <c r="S505" s="115"/>
      <c r="T505" s="115"/>
      <c r="U505" s="115"/>
      <c r="V505" s="115"/>
      <c r="W505" s="122"/>
      <c r="X505" s="122"/>
      <c r="Y505" s="122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26"/>
      <c r="AO505" s="13"/>
      <c r="AR505" s="114"/>
    </row>
    <row r="506" spans="5:44" x14ac:dyDescent="0.4">
      <c r="Q506" s="115"/>
      <c r="R506" s="115"/>
      <c r="S506" s="115"/>
      <c r="T506" s="115"/>
      <c r="U506" s="115"/>
      <c r="V506" s="115"/>
      <c r="W506" s="122"/>
      <c r="X506" s="122"/>
      <c r="Y506" s="122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7"/>
      <c r="AO506" s="13"/>
      <c r="AR506" s="114"/>
    </row>
    <row r="507" spans="5:44" x14ac:dyDescent="0.4">
      <c r="Q507" s="115"/>
      <c r="R507" s="115"/>
      <c r="S507" s="115"/>
      <c r="T507" s="115"/>
      <c r="U507" s="115"/>
      <c r="V507" s="115"/>
      <c r="W507" s="122"/>
      <c r="X507" s="122"/>
      <c r="Y507" s="122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26"/>
      <c r="AO507" s="13"/>
      <c r="AR507" s="114"/>
    </row>
    <row r="508" spans="5:44" x14ac:dyDescent="0.4">
      <c r="Q508" s="115"/>
      <c r="R508" s="115"/>
      <c r="S508" s="115"/>
      <c r="T508" s="115"/>
      <c r="U508" s="115"/>
      <c r="V508" s="115"/>
      <c r="W508" s="122"/>
      <c r="X508" s="122"/>
      <c r="Y508" s="122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26"/>
      <c r="AO508" s="13"/>
      <c r="AR508" s="114"/>
    </row>
    <row r="509" spans="5:44" x14ac:dyDescent="0.4"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22"/>
      <c r="X509" s="122"/>
      <c r="Y509" s="122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26"/>
      <c r="AO509" s="13"/>
      <c r="AR509" s="114"/>
    </row>
    <row r="510" spans="5:44" x14ac:dyDescent="0.4"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22"/>
      <c r="X510" s="122"/>
      <c r="Y510" s="122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26"/>
      <c r="AO510" s="13"/>
      <c r="AR510" s="114"/>
    </row>
    <row r="511" spans="5:44" x14ac:dyDescent="0.4"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22"/>
      <c r="X511" s="122"/>
      <c r="Y511" s="122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26"/>
      <c r="AO511" s="13"/>
      <c r="AR511" s="114"/>
    </row>
    <row r="512" spans="5:44" x14ac:dyDescent="0.4"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22"/>
      <c r="X512" s="122"/>
      <c r="Y512" s="122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26"/>
      <c r="AO512" s="13"/>
      <c r="AR512" s="114"/>
    </row>
    <row r="513" spans="4:44" x14ac:dyDescent="0.4"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22"/>
      <c r="X513" s="122"/>
      <c r="Y513" s="122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26"/>
      <c r="AO513" s="13"/>
      <c r="AR513" s="114"/>
    </row>
    <row r="514" spans="4:44" x14ac:dyDescent="0.4"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22"/>
      <c r="X514" s="122"/>
      <c r="Y514" s="122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26"/>
      <c r="AO514" s="13"/>
      <c r="AR514" s="114"/>
    </row>
    <row r="515" spans="4:44" x14ac:dyDescent="0.4"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22"/>
      <c r="X515" s="122"/>
      <c r="Y515" s="122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26"/>
      <c r="AO515" s="13"/>
      <c r="AR515" s="114"/>
    </row>
    <row r="516" spans="4:44" x14ac:dyDescent="0.4"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22"/>
      <c r="X516" s="122"/>
      <c r="Y516" s="122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26"/>
      <c r="AO516" s="13"/>
      <c r="AR516" s="114"/>
    </row>
    <row r="517" spans="4:44" x14ac:dyDescent="0.4"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22"/>
      <c r="X517" s="122"/>
      <c r="Y517" s="122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26"/>
      <c r="AO517" s="13"/>
      <c r="AR517" s="114"/>
    </row>
    <row r="518" spans="4:44" x14ac:dyDescent="0.4"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22"/>
      <c r="X518" s="122"/>
      <c r="Y518" s="122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26"/>
      <c r="AO518" s="13"/>
      <c r="AR518" s="114"/>
    </row>
    <row r="519" spans="4:44" x14ac:dyDescent="0.4"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22"/>
      <c r="X519" s="122"/>
      <c r="Y519" s="122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26"/>
      <c r="AO519" s="13"/>
      <c r="AR519" s="114"/>
    </row>
    <row r="520" spans="4:44" x14ac:dyDescent="0.4"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22"/>
      <c r="X520" s="122"/>
      <c r="Y520" s="122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26"/>
      <c r="AO520" s="13"/>
      <c r="AR520" s="114"/>
    </row>
    <row r="521" spans="4:44" x14ac:dyDescent="0.4"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22"/>
      <c r="X521" s="122"/>
      <c r="Y521" s="122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26"/>
      <c r="AO521" s="13"/>
      <c r="AR521" s="114"/>
    </row>
    <row r="522" spans="4:44" x14ac:dyDescent="0.4"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22"/>
      <c r="X522" s="122"/>
      <c r="Y522" s="122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26"/>
      <c r="AO522" s="13"/>
      <c r="AR522" s="114"/>
    </row>
    <row r="523" spans="4:44" x14ac:dyDescent="0.4"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22"/>
      <c r="X523" s="122"/>
      <c r="Y523" s="122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26"/>
      <c r="AO523" s="13"/>
      <c r="AR523" s="114"/>
    </row>
    <row r="524" spans="4:44" x14ac:dyDescent="0.4"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22"/>
      <c r="X524" s="122"/>
      <c r="Y524" s="122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26"/>
      <c r="AO524" s="13"/>
      <c r="AR524" s="114"/>
    </row>
    <row r="525" spans="4:44" x14ac:dyDescent="0.4"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22"/>
      <c r="X525" s="122"/>
      <c r="Y525" s="122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7"/>
      <c r="AO525" s="13"/>
      <c r="AR525" s="114"/>
    </row>
    <row r="526" spans="4:44" x14ac:dyDescent="0.4"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22"/>
      <c r="X526" s="122"/>
      <c r="Y526" s="122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26"/>
      <c r="AO526" s="13"/>
      <c r="AR526" s="114"/>
    </row>
    <row r="527" spans="4:44" x14ac:dyDescent="0.4"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22"/>
      <c r="X527" s="122"/>
      <c r="Y527" s="122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26"/>
      <c r="AO527" s="13"/>
      <c r="AR527" s="114"/>
    </row>
    <row r="528" spans="4:44" x14ac:dyDescent="0.4"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22"/>
      <c r="X528" s="122"/>
      <c r="Y528" s="122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26"/>
      <c r="AO528" s="13"/>
      <c r="AR528" s="114"/>
    </row>
    <row r="529" spans="3:44" x14ac:dyDescent="0.4"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22"/>
      <c r="X529" s="122"/>
      <c r="Y529" s="122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26"/>
      <c r="AO529" s="15"/>
      <c r="AR529" s="114"/>
    </row>
    <row r="530" spans="3:44" x14ac:dyDescent="0.4"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22"/>
      <c r="X530" s="122"/>
      <c r="Y530" s="122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26"/>
      <c r="AO530" s="15"/>
      <c r="AR530" s="114"/>
    </row>
    <row r="531" spans="3:44" x14ac:dyDescent="0.4"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22"/>
      <c r="X531" s="122"/>
      <c r="Y531" s="122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26"/>
      <c r="AO531" s="15"/>
      <c r="AR531" s="114"/>
    </row>
    <row r="532" spans="3:44" x14ac:dyDescent="0.4"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22"/>
      <c r="X532" s="122"/>
      <c r="Y532" s="122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26"/>
      <c r="AO532" s="13"/>
      <c r="AR532" s="114"/>
    </row>
    <row r="533" spans="3:44" x14ac:dyDescent="0.4"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22"/>
      <c r="X533" s="122"/>
      <c r="Y533" s="122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26"/>
      <c r="AO533" s="13"/>
      <c r="AR533" s="114"/>
    </row>
    <row r="534" spans="3:44" x14ac:dyDescent="0.4"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22"/>
      <c r="X534" s="122"/>
      <c r="Y534" s="122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26"/>
      <c r="AO534" s="13"/>
      <c r="AR534" s="114"/>
    </row>
    <row r="535" spans="3:44" x14ac:dyDescent="0.4"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22"/>
      <c r="X535" s="122"/>
      <c r="Y535" s="122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7"/>
      <c r="AO535" s="13"/>
      <c r="AR535" s="114"/>
    </row>
    <row r="536" spans="3:44" x14ac:dyDescent="0.4"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22"/>
      <c r="X536" s="122"/>
      <c r="Y536" s="122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26"/>
      <c r="AO536" s="13"/>
      <c r="AR536" s="114"/>
    </row>
    <row r="537" spans="3:44" x14ac:dyDescent="0.4"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22"/>
      <c r="X537" s="122"/>
      <c r="Y537" s="122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26"/>
      <c r="AO537" s="25"/>
      <c r="AR537" s="114"/>
    </row>
    <row r="538" spans="3:44" x14ac:dyDescent="0.4"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22"/>
      <c r="X538" s="122"/>
      <c r="Y538" s="122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26"/>
      <c r="AO538" s="13"/>
      <c r="AR538" s="114"/>
    </row>
    <row r="539" spans="3:44" x14ac:dyDescent="0.4"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22"/>
      <c r="X539" s="122"/>
      <c r="Y539" s="122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26"/>
      <c r="AO539" s="13"/>
      <c r="AR539" s="114"/>
    </row>
    <row r="540" spans="3:44" x14ac:dyDescent="0.4"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22"/>
      <c r="X540" s="122"/>
      <c r="Y540" s="122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26"/>
      <c r="AO540" s="13"/>
      <c r="AR540" s="114"/>
    </row>
    <row r="541" spans="3:44" x14ac:dyDescent="0.4"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22"/>
      <c r="X541" s="122"/>
      <c r="Y541" s="122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26"/>
      <c r="AO541" s="13"/>
      <c r="AR541" s="114"/>
    </row>
    <row r="542" spans="3:44" x14ac:dyDescent="0.4"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22"/>
      <c r="X542" s="122"/>
      <c r="Y542" s="122"/>
      <c r="Z542" s="115"/>
      <c r="AA542" s="115"/>
      <c r="AB542" s="115"/>
      <c r="AC542" s="115"/>
      <c r="AN542" s="26"/>
      <c r="AO542" s="13"/>
      <c r="AR542" s="114"/>
    </row>
    <row r="543" spans="3:44" x14ac:dyDescent="0.4"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22"/>
      <c r="X543" s="122"/>
      <c r="Y543" s="122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26"/>
      <c r="AO543" s="13"/>
      <c r="AR543" s="114"/>
    </row>
    <row r="544" spans="3:44" x14ac:dyDescent="0.4"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22"/>
      <c r="X544" s="122"/>
      <c r="Y544" s="122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7"/>
      <c r="AO544" s="13"/>
      <c r="AR544" s="114"/>
    </row>
    <row r="545" spans="1:44" x14ac:dyDescent="0.4"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22"/>
      <c r="X545" s="122"/>
      <c r="Y545" s="122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26"/>
      <c r="AO545" s="13"/>
      <c r="AR545" s="114"/>
    </row>
    <row r="546" spans="1:44" x14ac:dyDescent="0.4"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22"/>
      <c r="X546" s="122"/>
      <c r="Y546" s="122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26"/>
      <c r="AO546" s="15"/>
      <c r="AR546" s="114"/>
    </row>
    <row r="547" spans="1:44" x14ac:dyDescent="0.4"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22"/>
      <c r="X547" s="122"/>
      <c r="Y547" s="122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7"/>
      <c r="AO547" s="15"/>
      <c r="AR547" s="114"/>
    </row>
    <row r="548" spans="1:44" x14ac:dyDescent="0.4"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22"/>
      <c r="X548" s="122"/>
      <c r="Y548" s="122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26"/>
      <c r="AO548" s="15"/>
      <c r="AR548" s="114"/>
    </row>
    <row r="549" spans="1:44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22"/>
      <c r="X549" s="122"/>
      <c r="Y549" s="122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26"/>
      <c r="AO549" s="15"/>
      <c r="AR549" s="114"/>
    </row>
    <row r="550" spans="1:44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22"/>
      <c r="X550" s="122"/>
      <c r="Y550" s="122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7"/>
      <c r="AO550" s="13"/>
      <c r="AR550" s="114"/>
    </row>
    <row r="551" spans="1:44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22"/>
      <c r="X551" s="122"/>
      <c r="Y551" s="122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7"/>
      <c r="AO551" s="13"/>
      <c r="AR551" s="114"/>
    </row>
    <row r="552" spans="1:44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22"/>
      <c r="X552" s="122"/>
      <c r="Y552" s="122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26"/>
      <c r="AO552" s="13"/>
      <c r="AR552" s="114"/>
    </row>
    <row r="553" spans="1:44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22"/>
      <c r="X553" s="122"/>
      <c r="Y553" s="122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26"/>
      <c r="AO553" s="13"/>
      <c r="AR553" s="114"/>
    </row>
    <row r="554" spans="1:44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22"/>
      <c r="X554" s="122"/>
      <c r="Y554" s="122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7"/>
      <c r="AO554" s="13"/>
      <c r="AR554" s="114"/>
    </row>
    <row r="555" spans="1:44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22"/>
      <c r="X555" s="122"/>
      <c r="Y555" s="122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26"/>
      <c r="AO555" s="15"/>
      <c r="AR555" s="114"/>
    </row>
    <row r="556" spans="1:44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22"/>
      <c r="X556" s="122"/>
      <c r="Y556" s="122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26"/>
      <c r="AO556" s="15"/>
      <c r="AR556" s="114"/>
    </row>
    <row r="557" spans="1:44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22"/>
      <c r="X557" s="122"/>
      <c r="Y557" s="122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26"/>
      <c r="AO557" s="15"/>
      <c r="AR557" s="114"/>
    </row>
    <row r="558" spans="1:44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22"/>
      <c r="X558" s="122"/>
      <c r="Y558" s="122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26"/>
      <c r="AO558" s="13"/>
      <c r="AR558" s="114"/>
    </row>
    <row r="559" spans="1:44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22"/>
      <c r="X559" s="122"/>
      <c r="Y559" s="122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26"/>
      <c r="AO559" s="25"/>
      <c r="AR559" s="114"/>
    </row>
    <row r="560" spans="1:44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22"/>
      <c r="X560" s="122"/>
      <c r="Y560" s="122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26"/>
      <c r="AO560" s="13"/>
      <c r="AR560" s="114"/>
    </row>
    <row r="561" spans="1:44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22"/>
      <c r="X561" s="122"/>
      <c r="Y561" s="122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26"/>
      <c r="AO561" s="13"/>
      <c r="AR561" s="114"/>
    </row>
    <row r="562" spans="1:44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22"/>
      <c r="X562" s="122"/>
      <c r="Y562" s="122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26"/>
      <c r="AO562" s="13"/>
      <c r="AR562" s="114"/>
    </row>
    <row r="563" spans="1:44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22"/>
      <c r="X563" s="122"/>
      <c r="Y563" s="122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26"/>
      <c r="AO563" s="13"/>
      <c r="AR563" s="114"/>
    </row>
    <row r="564" spans="1:44" x14ac:dyDescent="0.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22"/>
      <c r="X564" s="122"/>
      <c r="Y564" s="122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26"/>
      <c r="AO564" s="13"/>
      <c r="AR564" s="114"/>
    </row>
    <row r="565" spans="1:44" x14ac:dyDescent="0.4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22"/>
      <c r="X565" s="122"/>
      <c r="Y565" s="122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26"/>
      <c r="AO565" s="13"/>
      <c r="AR565" s="114"/>
    </row>
    <row r="566" spans="1:44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22"/>
      <c r="X566" s="122"/>
      <c r="Y566" s="122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26"/>
      <c r="AO566" s="13"/>
      <c r="AR566" s="114"/>
    </row>
    <row r="567" spans="1:44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22"/>
      <c r="X567" s="122"/>
      <c r="Y567" s="122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26"/>
      <c r="AO567" s="13"/>
      <c r="AR567" s="114"/>
    </row>
    <row r="568" spans="1:44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22"/>
      <c r="X568" s="122"/>
      <c r="Y568" s="122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26"/>
      <c r="AO568" s="13"/>
      <c r="AR568" s="114"/>
    </row>
    <row r="569" spans="1:44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22"/>
      <c r="X569" s="122"/>
      <c r="Y569" s="122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26"/>
      <c r="AO569" s="13"/>
      <c r="AR569" s="114"/>
    </row>
    <row r="570" spans="1:44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22"/>
      <c r="X570" s="122"/>
      <c r="Y570" s="122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26"/>
      <c r="AO570" s="15"/>
      <c r="AR570" s="114"/>
    </row>
    <row r="571" spans="1:44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22"/>
      <c r="X571" s="122"/>
      <c r="Y571" s="122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26"/>
      <c r="AO571" s="15"/>
      <c r="AR571" s="114"/>
    </row>
    <row r="572" spans="1:44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22"/>
      <c r="X572" s="122"/>
      <c r="Y572" s="122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26"/>
      <c r="AO572" s="15"/>
      <c r="AR572" s="114"/>
    </row>
    <row r="573" spans="1:44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22"/>
      <c r="X573" s="122"/>
      <c r="Y573" s="122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26"/>
      <c r="AO573" s="15"/>
      <c r="AR573" s="114"/>
    </row>
    <row r="574" spans="1:44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22"/>
      <c r="X574" s="122"/>
      <c r="Y574" s="122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26"/>
      <c r="AO574" s="13"/>
      <c r="AR574" s="114"/>
    </row>
    <row r="575" spans="1:44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22"/>
      <c r="X575" s="122"/>
      <c r="Y575" s="122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26"/>
      <c r="AO575" s="15"/>
      <c r="AR575" s="114"/>
    </row>
    <row r="576" spans="1:44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22"/>
      <c r="X576" s="122"/>
      <c r="Y576" s="122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26"/>
      <c r="AO576" s="15"/>
      <c r="AR576" s="114"/>
    </row>
    <row r="577" spans="1:44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22"/>
      <c r="X577" s="122"/>
      <c r="Y577" s="122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26"/>
      <c r="AO577" s="15"/>
      <c r="AR577" s="114"/>
    </row>
    <row r="578" spans="1:44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22"/>
      <c r="X578" s="122"/>
      <c r="Y578" s="122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26"/>
      <c r="AO578" s="15"/>
      <c r="AR578" s="114"/>
    </row>
    <row r="579" spans="1:44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22"/>
      <c r="X579" s="122"/>
      <c r="Y579" s="122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26"/>
      <c r="AO579" s="15"/>
      <c r="AR579" s="114"/>
    </row>
    <row r="580" spans="1:44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22"/>
      <c r="X580" s="122"/>
      <c r="Y580" s="122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26"/>
      <c r="AO580" s="105"/>
      <c r="AR580" s="114"/>
    </row>
    <row r="581" spans="1:44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22"/>
      <c r="X581" s="122"/>
      <c r="Y581" s="122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7"/>
      <c r="AO581" s="15"/>
      <c r="AR581" s="114"/>
    </row>
    <row r="582" spans="1:44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22"/>
      <c r="X582" s="122"/>
      <c r="Y582" s="122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26"/>
      <c r="AO582" s="15"/>
      <c r="AR582" s="114"/>
    </row>
    <row r="583" spans="1:44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22"/>
      <c r="X583" s="122"/>
      <c r="Y583" s="122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26"/>
      <c r="AO583" s="15"/>
      <c r="AR583" s="114"/>
    </row>
    <row r="584" spans="1:44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22"/>
      <c r="X584" s="122"/>
      <c r="Y584" s="122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26"/>
      <c r="AO584" s="105"/>
      <c r="AR584" s="114"/>
    </row>
    <row r="585" spans="1:44" x14ac:dyDescent="0.4">
      <c r="AN585" s="26"/>
      <c r="AO585" s="15"/>
      <c r="AR585" s="114"/>
    </row>
    <row r="586" spans="1:44" x14ac:dyDescent="0.4">
      <c r="X586" s="122"/>
      <c r="Y586" s="122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26"/>
      <c r="AO586" s="15"/>
      <c r="AR586" s="114"/>
    </row>
    <row r="587" spans="1:44" x14ac:dyDescent="0.4">
      <c r="T587" s="115"/>
      <c r="U587" s="115"/>
      <c r="V587" s="115"/>
      <c r="W587" s="122"/>
      <c r="X587" s="122"/>
      <c r="Y587" s="122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26"/>
      <c r="AO587" s="15"/>
      <c r="AR587" s="114"/>
    </row>
    <row r="588" spans="1:44" x14ac:dyDescent="0.4"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22"/>
      <c r="X588" s="122"/>
      <c r="Y588" s="122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26"/>
      <c r="AO588" s="15"/>
      <c r="AR588" s="114"/>
    </row>
    <row r="589" spans="1:44" x14ac:dyDescent="0.4"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22"/>
      <c r="X589" s="122"/>
      <c r="Y589" s="122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7"/>
      <c r="AO589" s="15"/>
      <c r="AR589" s="114"/>
    </row>
    <row r="590" spans="1:44" x14ac:dyDescent="0.4"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22"/>
      <c r="X590" s="122"/>
      <c r="Y590" s="122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26"/>
      <c r="AO590" s="15"/>
      <c r="AR590" s="114"/>
    </row>
    <row r="591" spans="1:44" x14ac:dyDescent="0.4"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22"/>
      <c r="X591" s="122"/>
      <c r="Y591" s="122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26"/>
      <c r="AO591" s="15"/>
      <c r="AR591" s="114"/>
    </row>
    <row r="592" spans="1:44" x14ac:dyDescent="0.4"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22"/>
      <c r="X592" s="122"/>
      <c r="Y592" s="122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26"/>
      <c r="AO592" s="15"/>
      <c r="AR592" s="114"/>
    </row>
    <row r="593" spans="2:44" x14ac:dyDescent="0.4"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22"/>
      <c r="X593" s="122"/>
      <c r="Y593" s="122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26"/>
      <c r="AO593" s="15"/>
      <c r="AR593" s="114"/>
    </row>
    <row r="594" spans="2:44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22"/>
      <c r="X594" s="122"/>
      <c r="Y594" s="122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26"/>
      <c r="AO594" s="15"/>
      <c r="AR594" s="114"/>
    </row>
    <row r="595" spans="2:44" x14ac:dyDescent="0.4"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22"/>
      <c r="X595" s="122"/>
      <c r="Y595" s="122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26"/>
      <c r="AO595" s="15"/>
      <c r="AR595" s="114"/>
    </row>
    <row r="596" spans="2:44" x14ac:dyDescent="0.4"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22"/>
      <c r="X596" s="122"/>
      <c r="Y596" s="122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26"/>
      <c r="AO596" s="15"/>
      <c r="AR596" s="114"/>
    </row>
    <row r="597" spans="2:44" x14ac:dyDescent="0.4"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22"/>
      <c r="X597" s="122"/>
      <c r="Y597" s="122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7"/>
      <c r="AO597" s="15"/>
      <c r="AR597" s="114"/>
    </row>
    <row r="598" spans="2:44" x14ac:dyDescent="0.4"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22"/>
      <c r="X598" s="122"/>
      <c r="Y598" s="122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26"/>
      <c r="AO598" s="15"/>
      <c r="AR598" s="114"/>
    </row>
    <row r="599" spans="2:44" x14ac:dyDescent="0.4"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22"/>
      <c r="X599" s="122"/>
      <c r="Y599" s="122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26"/>
      <c r="AO599" s="15"/>
      <c r="AR599" s="114"/>
    </row>
    <row r="600" spans="2:44" x14ac:dyDescent="0.4"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22"/>
      <c r="X600" s="122"/>
      <c r="Y600" s="122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26"/>
      <c r="AO600" s="15"/>
      <c r="AR600" s="114"/>
    </row>
    <row r="601" spans="2:44" x14ac:dyDescent="0.4"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22"/>
      <c r="X601" s="122"/>
      <c r="Y601" s="122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26"/>
      <c r="AO601" s="15"/>
      <c r="AR601" s="114"/>
    </row>
    <row r="602" spans="2:44" x14ac:dyDescent="0.4"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22"/>
      <c r="X602" s="122"/>
      <c r="Y602" s="122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26"/>
      <c r="AO602" s="15"/>
      <c r="AR602" s="114"/>
    </row>
    <row r="603" spans="2:44" x14ac:dyDescent="0.4"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22"/>
      <c r="X603" s="122"/>
      <c r="Y603" s="122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26"/>
      <c r="AO603" s="15"/>
      <c r="AR603" s="114"/>
    </row>
    <row r="604" spans="2:44" x14ac:dyDescent="0.4"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22"/>
      <c r="X604" s="122"/>
      <c r="Y604" s="122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26"/>
      <c r="AO604" s="15"/>
      <c r="AR604" s="114"/>
    </row>
    <row r="605" spans="2:44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22"/>
      <c r="X605" s="122"/>
      <c r="Y605" s="122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7"/>
      <c r="AO605" s="15"/>
      <c r="AR605" s="114"/>
    </row>
    <row r="606" spans="2:44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22"/>
      <c r="X606" s="122"/>
      <c r="Y606" s="122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26"/>
      <c r="AO606" s="15"/>
      <c r="AR606" s="114"/>
    </row>
    <row r="607" spans="2:44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22"/>
      <c r="X607" s="122"/>
      <c r="Y607" s="122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26"/>
      <c r="AO607" s="15"/>
      <c r="AR607" s="114"/>
    </row>
    <row r="608" spans="2:44" x14ac:dyDescent="0.4"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22"/>
      <c r="X608" s="122"/>
      <c r="Y608" s="122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26"/>
      <c r="AO608" s="15"/>
      <c r="AR608" s="114"/>
    </row>
    <row r="609" spans="1:44" x14ac:dyDescent="0.4"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22"/>
      <c r="X609" s="122"/>
      <c r="Y609" s="122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26"/>
      <c r="AO609" s="15"/>
      <c r="AR609" s="114"/>
    </row>
    <row r="610" spans="1:44" x14ac:dyDescent="0.4"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22"/>
      <c r="X610" s="122"/>
      <c r="Y610" s="122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26"/>
      <c r="AO610" s="15"/>
      <c r="AR610" s="114"/>
    </row>
    <row r="611" spans="1:44" x14ac:dyDescent="0.4"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22"/>
      <c r="X611" s="122"/>
      <c r="Y611" s="122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26"/>
      <c r="AO611" s="15"/>
      <c r="AR611" s="114"/>
    </row>
    <row r="612" spans="1:44" x14ac:dyDescent="0.4"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22"/>
      <c r="X612" s="122"/>
      <c r="Y612" s="122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26"/>
      <c r="AO612" s="15"/>
      <c r="AR612" s="114"/>
    </row>
    <row r="613" spans="1:44" x14ac:dyDescent="0.4"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22"/>
      <c r="X613" s="122"/>
      <c r="Y613" s="122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26"/>
      <c r="AO613" s="15"/>
      <c r="AR613" s="114"/>
    </row>
    <row r="614" spans="1:44" x14ac:dyDescent="0.4"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22"/>
      <c r="X614" s="122"/>
      <c r="Y614" s="122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7"/>
      <c r="AO614" s="15"/>
      <c r="AR614" s="114"/>
    </row>
    <row r="615" spans="1:44" x14ac:dyDescent="0.4"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22"/>
      <c r="X615" s="122"/>
      <c r="Y615" s="122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26"/>
      <c r="AO615" s="15"/>
      <c r="AR615" s="114"/>
    </row>
    <row r="616" spans="1:44" x14ac:dyDescent="0.4"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22"/>
      <c r="X616" s="122"/>
      <c r="Y616" s="122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7"/>
      <c r="AO616" s="15"/>
      <c r="AR616" s="114"/>
    </row>
    <row r="617" spans="1:44" x14ac:dyDescent="0.4"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22"/>
      <c r="X617" s="122"/>
      <c r="Y617" s="122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26"/>
      <c r="AO617" s="15"/>
      <c r="AR617" s="114"/>
    </row>
    <row r="618" spans="1:44" x14ac:dyDescent="0.4"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22"/>
      <c r="X618" s="122"/>
      <c r="Y618" s="122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7"/>
      <c r="AO618" s="15"/>
      <c r="AR618" s="114"/>
    </row>
    <row r="619" spans="1:44" x14ac:dyDescent="0.4"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22"/>
      <c r="X619" s="122"/>
      <c r="Y619" s="122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26"/>
      <c r="AO619" s="15"/>
      <c r="AR619" s="114"/>
    </row>
    <row r="620" spans="1:44" x14ac:dyDescent="0.4"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22"/>
      <c r="X620" s="122"/>
      <c r="Y620" s="122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26"/>
      <c r="AO620" s="15"/>
      <c r="AR620" s="114"/>
    </row>
    <row r="621" spans="1:44" x14ac:dyDescent="0.4"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22"/>
      <c r="X621" s="122"/>
      <c r="Y621" s="122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7"/>
      <c r="AO621" s="15"/>
      <c r="AR621" s="114"/>
    </row>
    <row r="622" spans="1:44" x14ac:dyDescent="0.4"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22"/>
      <c r="X622" s="122"/>
      <c r="Y622" s="122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26"/>
      <c r="AO622" s="15"/>
      <c r="AR622" s="114"/>
    </row>
    <row r="623" spans="1:44" x14ac:dyDescent="0.4"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22"/>
      <c r="X623" s="122"/>
      <c r="Y623" s="122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26"/>
      <c r="AO623" s="15"/>
      <c r="AR623" s="114"/>
    </row>
    <row r="624" spans="1:44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22"/>
      <c r="X624" s="122"/>
      <c r="Y624" s="122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26"/>
      <c r="AO624" s="105"/>
      <c r="AR624" s="114"/>
    </row>
    <row r="625" spans="1:44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22"/>
      <c r="X625" s="122"/>
      <c r="Y625" s="122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7"/>
      <c r="AO625" s="15"/>
      <c r="AR625" s="114"/>
    </row>
    <row r="626" spans="1:44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22"/>
      <c r="X626" s="122"/>
      <c r="Y626" s="122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7"/>
      <c r="AO626" s="15"/>
      <c r="AR626" s="114"/>
    </row>
    <row r="627" spans="1:44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22"/>
      <c r="X627" s="122"/>
      <c r="Y627" s="122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26"/>
      <c r="AO627" s="15"/>
      <c r="AR627" s="114"/>
    </row>
    <row r="628" spans="1:44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22"/>
      <c r="X628" s="122"/>
      <c r="Y628" s="122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26"/>
      <c r="AO628" s="15"/>
      <c r="AR628" s="114"/>
    </row>
    <row r="629" spans="1:44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22"/>
      <c r="X629" s="122"/>
      <c r="Y629" s="122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26"/>
      <c r="AO629" s="15"/>
      <c r="AR629" s="114"/>
    </row>
    <row r="630" spans="1:44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22"/>
      <c r="X630" s="122"/>
      <c r="Y630" s="122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26"/>
      <c r="AO630" s="15"/>
      <c r="AR630" s="114"/>
    </row>
    <row r="631" spans="1:44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22"/>
      <c r="X631" s="122"/>
      <c r="Y631" s="122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26"/>
      <c r="AO631" s="15"/>
      <c r="AR631" s="114"/>
    </row>
    <row r="632" spans="1:44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22"/>
      <c r="X632" s="122"/>
      <c r="Y632" s="122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26"/>
      <c r="AO632" s="15"/>
      <c r="AR632" s="114"/>
    </row>
    <row r="633" spans="1:44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22"/>
      <c r="X633" s="122"/>
      <c r="Y633" s="122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26"/>
      <c r="AO633" s="15"/>
      <c r="AR633" s="114"/>
    </row>
    <row r="634" spans="1:44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22"/>
      <c r="X634" s="122"/>
      <c r="Y634" s="122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26"/>
      <c r="AO634" s="15"/>
      <c r="AR634" s="114"/>
    </row>
    <row r="635" spans="1:44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22"/>
      <c r="X635" s="122"/>
      <c r="Y635" s="122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26"/>
      <c r="AO635" s="105"/>
      <c r="AR635" s="114"/>
    </row>
    <row r="636" spans="1:44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22"/>
      <c r="X636" s="122"/>
      <c r="Y636" s="122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26"/>
      <c r="AO636" s="15"/>
      <c r="AR636" s="114"/>
    </row>
    <row r="637" spans="1:44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22"/>
      <c r="X637" s="122"/>
      <c r="Y637" s="122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26"/>
      <c r="AO637" s="15"/>
      <c r="AR637" s="114"/>
    </row>
    <row r="638" spans="1:44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22"/>
      <c r="X638" s="122"/>
      <c r="Y638" s="122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26"/>
      <c r="AO638" s="13"/>
      <c r="AR638" s="114"/>
    </row>
    <row r="639" spans="1:44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22"/>
      <c r="X639" s="122"/>
      <c r="Y639" s="122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7"/>
      <c r="AO639" s="13"/>
      <c r="AR639" s="114"/>
    </row>
    <row r="640" spans="1:44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22"/>
      <c r="X640" s="122"/>
      <c r="Y640" s="122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26"/>
      <c r="AO640" s="13"/>
      <c r="AR640" s="114"/>
    </row>
    <row r="641" spans="1:44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22"/>
      <c r="X641" s="122"/>
      <c r="Y641" s="122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26"/>
      <c r="AO641" s="13"/>
      <c r="AR641" s="114"/>
    </row>
    <row r="642" spans="1:44" x14ac:dyDescent="0.4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22"/>
      <c r="X642" s="122"/>
      <c r="Y642" s="122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26"/>
      <c r="AO642" s="13"/>
      <c r="AR642" s="114"/>
    </row>
    <row r="643" spans="1:44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22"/>
      <c r="X643" s="122"/>
      <c r="Y643" s="122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26"/>
      <c r="AO643" s="13"/>
      <c r="AR643" s="114"/>
    </row>
    <row r="644" spans="1:44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22"/>
      <c r="X644" s="122"/>
      <c r="Y644" s="122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26"/>
      <c r="AO644" s="13"/>
      <c r="AR644" s="114"/>
    </row>
    <row r="645" spans="1:44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22"/>
      <c r="X645" s="122"/>
      <c r="Y645" s="122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26"/>
      <c r="AO645" s="13"/>
      <c r="AR645" s="114"/>
    </row>
    <row r="646" spans="1:44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22"/>
      <c r="X646" s="122"/>
      <c r="Y646" s="122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7"/>
      <c r="AO646" s="13"/>
      <c r="AR646" s="114"/>
    </row>
    <row r="647" spans="1:44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22"/>
      <c r="X647" s="122"/>
      <c r="Y647" s="122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26"/>
      <c r="AO647" s="13"/>
      <c r="AR647" s="114"/>
    </row>
    <row r="648" spans="1:44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22"/>
      <c r="X648" s="122"/>
      <c r="Y648" s="122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26"/>
      <c r="AO648" s="13"/>
      <c r="AR648" s="114"/>
    </row>
    <row r="649" spans="1:44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22"/>
      <c r="X649" s="122"/>
      <c r="Y649" s="122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26"/>
      <c r="AO649" s="13"/>
      <c r="AR649" s="114"/>
    </row>
    <row r="650" spans="1:44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22"/>
      <c r="X650" s="122"/>
      <c r="Y650" s="122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26"/>
      <c r="AO650" s="13"/>
      <c r="AR650" s="114"/>
    </row>
    <row r="651" spans="1:44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22"/>
      <c r="X651" s="122"/>
      <c r="Y651" s="122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26"/>
      <c r="AO651" s="25"/>
      <c r="AR651" s="114"/>
    </row>
    <row r="652" spans="1:44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22"/>
      <c r="X652" s="122"/>
      <c r="Y652" s="122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7"/>
      <c r="AO652" s="13"/>
      <c r="AR652" s="114"/>
    </row>
    <row r="653" spans="1:44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22"/>
      <c r="X653" s="122"/>
      <c r="Y653" s="122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26"/>
      <c r="AO653" s="15"/>
      <c r="AR653" s="114"/>
    </row>
    <row r="654" spans="1:44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22"/>
      <c r="X654" s="122"/>
      <c r="Y654" s="122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26"/>
      <c r="AO654" s="15"/>
      <c r="AR654" s="114"/>
    </row>
    <row r="655" spans="1:44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22"/>
      <c r="X655" s="122"/>
      <c r="Y655" s="122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7"/>
      <c r="AO655" s="15"/>
      <c r="AR655" s="114"/>
    </row>
    <row r="656" spans="1:44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22"/>
      <c r="X656" s="122"/>
      <c r="Y656" s="122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26"/>
      <c r="AO656" s="15"/>
      <c r="AR656" s="114"/>
    </row>
    <row r="657" spans="1:44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22"/>
      <c r="X657" s="122"/>
      <c r="Y657" s="122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26"/>
      <c r="AO657" s="15"/>
      <c r="AR657" s="114"/>
    </row>
    <row r="658" spans="1:44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22"/>
      <c r="X658" s="122"/>
      <c r="Y658" s="122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26"/>
      <c r="AO658" s="13"/>
      <c r="AR658" s="114"/>
    </row>
    <row r="659" spans="1:44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22"/>
      <c r="X659" s="122"/>
      <c r="Y659" s="122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26"/>
      <c r="AO659" s="13"/>
      <c r="AR659" s="114"/>
    </row>
    <row r="660" spans="1:44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22"/>
      <c r="X660" s="122"/>
      <c r="Y660" s="122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26"/>
      <c r="AO660" s="13"/>
      <c r="AR660" s="114"/>
    </row>
    <row r="661" spans="1:44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22"/>
      <c r="X661" s="122"/>
      <c r="Y661" s="122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26"/>
      <c r="AO661" s="13"/>
      <c r="AR661" s="114"/>
    </row>
    <row r="662" spans="1:44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22"/>
      <c r="X662" s="122"/>
      <c r="Y662" s="122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26"/>
      <c r="AO662" s="13"/>
      <c r="AR662" s="114"/>
    </row>
    <row r="663" spans="1:44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22"/>
      <c r="X663" s="122"/>
      <c r="Y663" s="122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26"/>
      <c r="AO663" s="13"/>
      <c r="AR663" s="114"/>
    </row>
    <row r="664" spans="1:44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22"/>
      <c r="X664" s="122"/>
      <c r="Y664" s="122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26"/>
      <c r="AO664" s="13"/>
      <c r="AR664" s="114"/>
    </row>
    <row r="665" spans="1:44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22"/>
      <c r="X665" s="122"/>
      <c r="Y665" s="122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26"/>
      <c r="AO665" s="13"/>
      <c r="AR665" s="114"/>
    </row>
    <row r="666" spans="1:44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22"/>
      <c r="X666" s="122"/>
      <c r="Y666" s="122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7"/>
      <c r="AO666" s="13"/>
      <c r="AR666" s="114"/>
    </row>
    <row r="667" spans="1:44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22"/>
      <c r="X667" s="122"/>
      <c r="Y667" s="122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26"/>
      <c r="AO667" s="13"/>
      <c r="AR667" s="114"/>
    </row>
    <row r="668" spans="1:44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22"/>
      <c r="X668" s="122"/>
      <c r="Y668" s="122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7"/>
      <c r="AO668" s="13"/>
      <c r="AR668" s="114"/>
    </row>
    <row r="669" spans="1:44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22"/>
      <c r="X669" s="122"/>
      <c r="Y669" s="122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26"/>
      <c r="AO669" s="13"/>
      <c r="AR669" s="114"/>
    </row>
    <row r="670" spans="1:44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22"/>
      <c r="X670" s="122"/>
      <c r="Y670" s="122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26"/>
      <c r="AO670" s="13"/>
      <c r="AR670" s="114"/>
    </row>
    <row r="671" spans="1:44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22"/>
      <c r="X671" s="122"/>
      <c r="Y671" s="122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26"/>
      <c r="AO671" s="13"/>
      <c r="AR671" s="114"/>
    </row>
    <row r="672" spans="1:44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22"/>
      <c r="X672" s="122"/>
      <c r="Y672" s="122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26"/>
      <c r="AO672" s="15"/>
      <c r="AR672" s="114"/>
    </row>
    <row r="673" spans="1:45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22"/>
      <c r="X673" s="122"/>
      <c r="Y673" s="122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26"/>
      <c r="AO673" s="15"/>
      <c r="AR673" s="114"/>
    </row>
    <row r="674" spans="1:45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22"/>
      <c r="X674" s="122"/>
      <c r="Y674" s="122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26"/>
      <c r="AO674" s="15"/>
      <c r="AR674" s="114"/>
    </row>
    <row r="675" spans="1:45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22"/>
      <c r="X675" s="122"/>
      <c r="Y675" s="122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26"/>
      <c r="AO675" s="13"/>
      <c r="AR675" s="114"/>
    </row>
    <row r="676" spans="1:45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22"/>
      <c r="X676" s="122"/>
      <c r="Y676" s="122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26"/>
      <c r="AO676" s="15"/>
      <c r="AR676" s="114"/>
    </row>
    <row r="677" spans="1:45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22"/>
      <c r="X677" s="122"/>
      <c r="Y677" s="122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26"/>
      <c r="AO677" s="15"/>
      <c r="AR677" s="114"/>
      <c r="AS677" s="120"/>
    </row>
    <row r="678" spans="1:45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22"/>
      <c r="X678" s="122"/>
      <c r="Y678" s="122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26"/>
      <c r="AO678" s="15"/>
      <c r="AR678" s="114"/>
      <c r="AS678" s="120"/>
    </row>
    <row r="679" spans="1:45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22"/>
      <c r="X679" s="122"/>
      <c r="Y679" s="122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26"/>
      <c r="AO679" s="15"/>
      <c r="AR679" s="114"/>
      <c r="AS679" s="120"/>
    </row>
    <row r="680" spans="1:4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22"/>
      <c r="X680" s="122"/>
      <c r="Y680" s="122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26"/>
      <c r="AO680" s="15"/>
      <c r="AR680" s="114"/>
      <c r="AS680" s="120"/>
    </row>
    <row r="681" spans="1:4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22"/>
      <c r="X681" s="122"/>
      <c r="Y681" s="122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26"/>
      <c r="AO681" s="15"/>
      <c r="AR681" s="114"/>
      <c r="AS681" s="120"/>
    </row>
    <row r="682" spans="1:4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22"/>
      <c r="X682" s="122"/>
      <c r="Y682" s="122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26"/>
      <c r="AO682" s="15"/>
      <c r="AR682" s="114"/>
      <c r="AS682" s="120"/>
    </row>
    <row r="683" spans="1:4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22"/>
      <c r="X683" s="122"/>
      <c r="Y683" s="122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26"/>
      <c r="AO683" s="15"/>
      <c r="AR683" s="114"/>
      <c r="AS683" s="120"/>
    </row>
    <row r="684" spans="1:45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22"/>
      <c r="X684" s="122"/>
      <c r="Y684" s="122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7"/>
      <c r="AO684" s="15"/>
      <c r="AR684" s="114"/>
      <c r="AS684" s="120"/>
    </row>
    <row r="685" spans="1:45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22"/>
      <c r="X685" s="122"/>
      <c r="Y685" s="122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26"/>
      <c r="AO685" s="15"/>
      <c r="AR685" s="114"/>
      <c r="AS685" s="120"/>
    </row>
    <row r="686" spans="1:45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22"/>
      <c r="X686" s="122"/>
      <c r="Y686" s="122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26"/>
      <c r="AO686" s="15"/>
      <c r="AR686" s="114"/>
    </row>
    <row r="687" spans="1:45" x14ac:dyDescent="0.4">
      <c r="AN687" s="26"/>
      <c r="AO687" s="15"/>
      <c r="AR687" s="114"/>
    </row>
    <row r="688" spans="1:45" x14ac:dyDescent="0.4"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7"/>
      <c r="AO688" s="15"/>
      <c r="AR688" s="114"/>
    </row>
    <row r="689" spans="4:48" x14ac:dyDescent="0.4"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7"/>
      <c r="AO689" s="15"/>
      <c r="AR689" s="114"/>
    </row>
    <row r="690" spans="4:48" x14ac:dyDescent="0.4">
      <c r="Y690" s="122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7"/>
      <c r="AO690" s="15"/>
      <c r="AR690" s="114"/>
    </row>
    <row r="691" spans="4:48" x14ac:dyDescent="0.4">
      <c r="T691" s="115"/>
      <c r="U691" s="115"/>
      <c r="V691" s="115"/>
      <c r="W691" s="122"/>
      <c r="X691" s="122"/>
      <c r="Y691" s="122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26"/>
      <c r="AO691" s="15"/>
      <c r="AR691" s="114"/>
    </row>
    <row r="692" spans="4:48" x14ac:dyDescent="0.4">
      <c r="T692" s="115"/>
      <c r="U692" s="115"/>
      <c r="V692" s="115"/>
      <c r="W692" s="122"/>
      <c r="X692" s="122"/>
      <c r="Y692" s="122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7"/>
      <c r="AO692" s="15"/>
      <c r="AR692" s="114"/>
    </row>
    <row r="693" spans="4:48" x14ac:dyDescent="0.4">
      <c r="S693" s="115"/>
      <c r="T693" s="115"/>
      <c r="U693" s="115"/>
      <c r="V693" s="115"/>
      <c r="W693" s="122"/>
      <c r="X693" s="122"/>
      <c r="Y693" s="122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26"/>
      <c r="AO693" s="15"/>
      <c r="AR693" s="114"/>
    </row>
    <row r="694" spans="4:48" x14ac:dyDescent="0.4">
      <c r="S694" s="115"/>
      <c r="T694" s="115"/>
      <c r="U694" s="115"/>
      <c r="V694" s="115"/>
      <c r="W694" s="122"/>
      <c r="X694" s="122"/>
      <c r="Y694" s="122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7"/>
      <c r="AO694" s="15"/>
      <c r="AR694" s="114"/>
    </row>
    <row r="695" spans="4:48" x14ac:dyDescent="0.4">
      <c r="S695" s="115"/>
      <c r="T695" s="115"/>
      <c r="U695" s="115"/>
      <c r="V695" s="115"/>
      <c r="W695" s="122"/>
      <c r="X695" s="122"/>
      <c r="Y695" s="122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7"/>
      <c r="AO695" s="15"/>
      <c r="AR695" s="114"/>
    </row>
    <row r="696" spans="4:48" x14ac:dyDescent="0.4">
      <c r="S696" s="115"/>
      <c r="T696" s="115"/>
      <c r="U696" s="115"/>
      <c r="V696" s="115"/>
      <c r="W696" s="122"/>
      <c r="X696" s="122"/>
      <c r="Y696" s="122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7"/>
      <c r="AO696" s="15"/>
      <c r="AR696" s="114"/>
    </row>
    <row r="697" spans="4:48" x14ac:dyDescent="0.4">
      <c r="S697" s="115"/>
      <c r="T697" s="115"/>
      <c r="U697" s="115"/>
      <c r="V697" s="115"/>
      <c r="W697" s="122"/>
      <c r="X697" s="122"/>
      <c r="Y697" s="122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26"/>
      <c r="AO697" s="15"/>
      <c r="AR697" s="114"/>
    </row>
    <row r="698" spans="4:48" x14ac:dyDescent="0.4">
      <c r="S698" s="115"/>
      <c r="T698" s="115"/>
      <c r="U698" s="115"/>
      <c r="V698" s="115"/>
      <c r="W698" s="122"/>
      <c r="X698" s="122"/>
      <c r="Y698" s="122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7"/>
      <c r="AO698" s="15"/>
      <c r="AR698" s="114"/>
    </row>
    <row r="699" spans="4:48" ht="19.5" x14ac:dyDescent="0.4">
      <c r="AN699" s="26"/>
      <c r="AO699" s="15"/>
      <c r="AS699" s="116"/>
      <c r="AT699" s="116"/>
      <c r="AU699" s="116"/>
      <c r="AV699" s="116"/>
    </row>
    <row r="700" spans="4:48" ht="19.5" x14ac:dyDescent="0.4">
      <c r="X700" s="122"/>
      <c r="Y700" s="122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7"/>
      <c r="AO700" s="15"/>
      <c r="AS700" s="117"/>
      <c r="AT700" s="116"/>
      <c r="AU700" s="116"/>
      <c r="AV700" s="116"/>
    </row>
    <row r="701" spans="4:48" ht="19.5" x14ac:dyDescent="0.4">
      <c r="P701" s="115"/>
      <c r="Q701" s="115"/>
      <c r="R701" s="115"/>
      <c r="S701" s="115"/>
      <c r="T701" s="115"/>
      <c r="U701" s="115"/>
      <c r="V701" s="115"/>
      <c r="W701" s="122"/>
      <c r="X701" s="122"/>
      <c r="Y701" s="122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26"/>
      <c r="AO701" s="15"/>
      <c r="AS701" s="117"/>
      <c r="AT701" s="116"/>
      <c r="AU701" s="116"/>
      <c r="AV701" s="116"/>
    </row>
    <row r="702" spans="4:48" ht="19.5" x14ac:dyDescent="0.4"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22"/>
      <c r="X702" s="122"/>
      <c r="Y702" s="122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26"/>
      <c r="AO702" s="13"/>
      <c r="AS702" s="117"/>
      <c r="AT702" s="116"/>
      <c r="AU702" s="116"/>
      <c r="AV702" s="116"/>
    </row>
    <row r="703" spans="4:48" ht="19.5" x14ac:dyDescent="0.4"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22"/>
      <c r="X703" s="122"/>
      <c r="Y703" s="122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26"/>
      <c r="AO703" s="15"/>
      <c r="AS703" s="117"/>
      <c r="AT703" s="116"/>
      <c r="AU703" s="116"/>
      <c r="AV703" s="116"/>
    </row>
    <row r="704" spans="4:48" ht="19.5" x14ac:dyDescent="0.4"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22"/>
      <c r="X704" s="122"/>
      <c r="Y704" s="122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7"/>
      <c r="AO704" s="15"/>
      <c r="AS704" s="117"/>
      <c r="AT704" s="116"/>
      <c r="AU704" s="116"/>
      <c r="AV704" s="116"/>
    </row>
    <row r="705" spans="1:48" ht="19.5" x14ac:dyDescent="0.4"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22"/>
      <c r="X705" s="122"/>
      <c r="Y705" s="122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26"/>
      <c r="AO705" s="15"/>
      <c r="AS705" s="117"/>
      <c r="AT705" s="116"/>
      <c r="AU705" s="116"/>
      <c r="AV705" s="116"/>
    </row>
    <row r="706" spans="1:48" ht="19.5" x14ac:dyDescent="0.4"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22"/>
      <c r="X706" s="122"/>
      <c r="Y706" s="122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26"/>
      <c r="AO706" s="15"/>
      <c r="AS706" s="117"/>
      <c r="AT706" s="116"/>
      <c r="AU706" s="116"/>
      <c r="AV706" s="116"/>
    </row>
    <row r="707" spans="1:48" ht="19.5" x14ac:dyDescent="0.4"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22"/>
      <c r="X707" s="122"/>
      <c r="Y707" s="122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7"/>
      <c r="AO707" s="15"/>
      <c r="AS707" s="117"/>
      <c r="AT707" s="116"/>
      <c r="AU707" s="116"/>
      <c r="AV707" s="116"/>
    </row>
    <row r="708" spans="1:48" ht="19.5" x14ac:dyDescent="0.4"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22"/>
      <c r="X708" s="122"/>
      <c r="Y708" s="122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26"/>
      <c r="AO708" s="15"/>
      <c r="AS708" s="117"/>
      <c r="AT708" s="116"/>
      <c r="AU708" s="116"/>
      <c r="AV708" s="116"/>
    </row>
    <row r="709" spans="1:48" ht="19.5" x14ac:dyDescent="0.4">
      <c r="AN709" s="26"/>
      <c r="AO709" s="15"/>
      <c r="AS709" s="117"/>
      <c r="AT709" s="116"/>
      <c r="AU709" s="116"/>
      <c r="AV709" s="116"/>
    </row>
    <row r="710" spans="1:48" ht="19.5" x14ac:dyDescent="0.4">
      <c r="X710" s="122"/>
      <c r="Y710" s="122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7"/>
      <c r="AO710" s="15"/>
      <c r="AS710" s="117"/>
      <c r="AT710" s="116"/>
      <c r="AU710" s="116"/>
      <c r="AV710" s="116"/>
    </row>
    <row r="711" spans="1:48" ht="19.5" x14ac:dyDescent="0.4">
      <c r="U711" s="115"/>
      <c r="V711" s="115"/>
      <c r="W711" s="122"/>
      <c r="X711" s="122"/>
      <c r="Y711" s="122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26"/>
      <c r="AO711" s="15"/>
      <c r="AS711" s="117"/>
      <c r="AT711" s="116"/>
      <c r="AU711" s="116"/>
      <c r="AV711" s="116"/>
    </row>
    <row r="712" spans="1:48" ht="19.5" x14ac:dyDescent="0.4">
      <c r="U712" s="115"/>
      <c r="V712" s="115"/>
      <c r="W712" s="122"/>
      <c r="X712" s="122"/>
      <c r="Y712" s="122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7"/>
      <c r="AO712" s="15"/>
      <c r="AS712" s="117"/>
      <c r="AT712" s="116"/>
      <c r="AU712" s="116"/>
      <c r="AV712" s="116"/>
    </row>
    <row r="713" spans="1:48" ht="19.5" x14ac:dyDescent="0.4">
      <c r="T713" s="115"/>
      <c r="U713" s="115"/>
      <c r="V713" s="115"/>
      <c r="W713" s="122"/>
      <c r="X713" s="122"/>
      <c r="Y713" s="122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26"/>
      <c r="AO713" s="15"/>
      <c r="AS713" s="117"/>
      <c r="AT713" s="116"/>
      <c r="AU713" s="116"/>
      <c r="AV713" s="116"/>
    </row>
    <row r="714" spans="1:48" ht="19.5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22"/>
      <c r="X714" s="122"/>
      <c r="Y714" s="122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26"/>
      <c r="AO714" s="15"/>
      <c r="AS714" s="117"/>
      <c r="AT714" s="116"/>
      <c r="AU714" s="116"/>
      <c r="AV714" s="116"/>
    </row>
    <row r="715" spans="1:48" ht="19.5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22"/>
      <c r="X715" s="122"/>
      <c r="Y715" s="122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26"/>
      <c r="AO715" s="15"/>
      <c r="AS715" s="117"/>
      <c r="AT715" s="116"/>
      <c r="AU715" s="116"/>
      <c r="AV715" s="116"/>
    </row>
    <row r="716" spans="1:48" ht="19.5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22"/>
      <c r="X716" s="122"/>
      <c r="Y716" s="122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26"/>
      <c r="AO716" s="15"/>
      <c r="AS716" s="117"/>
      <c r="AT716" s="116"/>
      <c r="AU716" s="116"/>
      <c r="AV716" s="116"/>
    </row>
    <row r="717" spans="1:48" ht="19.5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22"/>
      <c r="X717" s="122"/>
      <c r="Y717" s="122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26"/>
      <c r="AO717" s="105"/>
      <c r="AS717" s="117"/>
      <c r="AT717" s="116"/>
      <c r="AU717" s="116"/>
      <c r="AV717" s="116"/>
    </row>
    <row r="718" spans="1:48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22"/>
      <c r="X718" s="122"/>
      <c r="Y718" s="122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26"/>
      <c r="AO718" s="105"/>
      <c r="AS718" s="117"/>
      <c r="AT718" s="116"/>
      <c r="AU718" s="116"/>
      <c r="AV718" s="116"/>
    </row>
    <row r="719" spans="1:48" ht="19.5" x14ac:dyDescent="0.4">
      <c r="AN719" s="26"/>
      <c r="AO719" s="13"/>
      <c r="AS719" s="117"/>
      <c r="AT719" s="116"/>
      <c r="AU719" s="116"/>
      <c r="AV719" s="116"/>
    </row>
    <row r="720" spans="1:48" ht="19.5" x14ac:dyDescent="0.4">
      <c r="U720" s="115"/>
      <c r="V720" s="115"/>
      <c r="W720" s="122"/>
      <c r="X720" s="122"/>
      <c r="Y720" s="122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26"/>
      <c r="AO720" s="13"/>
      <c r="AS720" s="117"/>
      <c r="AT720" s="116"/>
      <c r="AU720" s="116"/>
      <c r="AV720" s="116"/>
    </row>
    <row r="721" spans="3:48" ht="19.5" x14ac:dyDescent="0.4">
      <c r="P721" s="115"/>
      <c r="Q721" s="115"/>
      <c r="R721" s="115"/>
      <c r="S721" s="115"/>
      <c r="T721" s="115"/>
      <c r="U721" s="115"/>
      <c r="V721" s="115"/>
      <c r="W721" s="122"/>
      <c r="X721" s="122"/>
      <c r="Y721" s="122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26"/>
      <c r="AO721" s="13"/>
      <c r="AS721" s="117"/>
      <c r="AT721" s="116"/>
      <c r="AU721" s="116"/>
      <c r="AV721" s="116"/>
    </row>
    <row r="722" spans="3:48" ht="19.5" x14ac:dyDescent="0.4">
      <c r="AN722" s="26"/>
      <c r="AO722" s="13"/>
      <c r="AS722" s="117"/>
      <c r="AT722" s="116"/>
      <c r="AU722" s="116"/>
      <c r="AV722" s="116"/>
    </row>
    <row r="723" spans="3:48" ht="19.5" x14ac:dyDescent="0.4"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22"/>
      <c r="X723" s="122"/>
      <c r="Y723" s="122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26"/>
      <c r="AO723" s="13"/>
      <c r="AS723" s="117"/>
      <c r="AT723" s="116"/>
      <c r="AU723" s="116"/>
      <c r="AV723" s="116"/>
    </row>
    <row r="724" spans="3:48" ht="19.5" x14ac:dyDescent="0.4"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22"/>
      <c r="X724" s="122"/>
      <c r="Y724" s="122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26"/>
      <c r="AO724" s="13"/>
      <c r="AS724" s="117"/>
      <c r="AT724" s="116"/>
      <c r="AU724" s="116"/>
      <c r="AV724" s="116"/>
    </row>
    <row r="725" spans="3:48" ht="19.5" x14ac:dyDescent="0.4"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22"/>
      <c r="X725" s="122"/>
      <c r="Y725" s="122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26"/>
      <c r="AO725" s="13"/>
      <c r="AS725" s="117"/>
      <c r="AT725" s="116"/>
      <c r="AU725" s="116"/>
      <c r="AV725" s="116"/>
    </row>
    <row r="726" spans="3:48" ht="19.5" x14ac:dyDescent="0.4"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22"/>
      <c r="X726" s="122"/>
      <c r="Y726" s="122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26"/>
      <c r="AO726" s="13"/>
      <c r="AS726" s="117"/>
      <c r="AT726" s="116"/>
      <c r="AU726" s="116"/>
      <c r="AV726" s="116"/>
    </row>
    <row r="727" spans="3:48" ht="19.5" x14ac:dyDescent="0.4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22"/>
      <c r="X727" s="122"/>
      <c r="Y727" s="122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26"/>
      <c r="AO727" s="13"/>
      <c r="AS727" s="117"/>
      <c r="AT727" s="116"/>
      <c r="AU727" s="116"/>
      <c r="AV727" s="116"/>
    </row>
    <row r="728" spans="3:48" ht="19.5" x14ac:dyDescent="0.4"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22"/>
      <c r="X728" s="122"/>
      <c r="Y728" s="122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26"/>
      <c r="AO728" s="13"/>
      <c r="AS728" s="117"/>
      <c r="AT728" s="116"/>
      <c r="AU728" s="116"/>
      <c r="AV728" s="116"/>
    </row>
    <row r="729" spans="3:48" ht="19.5" x14ac:dyDescent="0.4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22"/>
      <c r="X729" s="122"/>
      <c r="Y729" s="122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26"/>
      <c r="AO729" s="13"/>
      <c r="AS729" s="117"/>
      <c r="AT729" s="116"/>
      <c r="AU729" s="116"/>
      <c r="AV729" s="116"/>
    </row>
    <row r="730" spans="3:48" ht="19.5" x14ac:dyDescent="0.4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22"/>
      <c r="X730" s="122"/>
      <c r="Y730" s="122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26"/>
      <c r="AO730" s="13"/>
      <c r="AS730" s="117"/>
      <c r="AT730" s="116"/>
      <c r="AU730" s="116"/>
      <c r="AV730" s="116"/>
    </row>
    <row r="731" spans="3:48" ht="19.5" x14ac:dyDescent="0.4">
      <c r="AN731" s="26"/>
      <c r="AO731" s="15"/>
      <c r="AS731" s="117"/>
      <c r="AT731" s="116"/>
      <c r="AU731" s="116"/>
      <c r="AV731" s="116"/>
    </row>
    <row r="732" spans="3:48" ht="19.5" x14ac:dyDescent="0.4"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22"/>
      <c r="X732" s="122"/>
      <c r="Y732" s="122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26"/>
      <c r="AO732" s="15"/>
      <c r="AS732" s="117"/>
      <c r="AT732" s="116"/>
      <c r="AU732" s="116"/>
      <c r="AV732" s="116"/>
    </row>
    <row r="733" spans="3:48" ht="19.5" x14ac:dyDescent="0.4"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22"/>
      <c r="X733" s="122"/>
      <c r="Y733" s="122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7"/>
      <c r="AO733" s="15"/>
      <c r="AS733" s="117"/>
      <c r="AT733" s="116"/>
      <c r="AU733" s="116"/>
      <c r="AV733" s="116"/>
    </row>
    <row r="734" spans="3:48" ht="19.5" x14ac:dyDescent="0.4">
      <c r="AN734" s="26"/>
      <c r="AO734" s="15"/>
      <c r="AS734" s="117"/>
      <c r="AT734" s="116"/>
      <c r="AU734" s="116"/>
      <c r="AV734" s="116"/>
    </row>
    <row r="735" spans="3:48" ht="19.5" x14ac:dyDescent="0.4">
      <c r="AN735" s="26"/>
      <c r="AO735" s="13"/>
      <c r="AS735" s="117"/>
      <c r="AT735" s="116"/>
      <c r="AU735" s="116"/>
      <c r="AV735" s="116"/>
    </row>
    <row r="736" spans="3:48" ht="19.5" x14ac:dyDescent="0.4">
      <c r="T736" s="115"/>
      <c r="U736" s="115"/>
      <c r="V736" s="115"/>
      <c r="W736" s="122"/>
      <c r="X736" s="122"/>
      <c r="Y736" s="122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26"/>
      <c r="AO736" s="13"/>
      <c r="AS736" s="117"/>
      <c r="AT736" s="116"/>
      <c r="AU736" s="116"/>
      <c r="AV736" s="116"/>
    </row>
    <row r="737" spans="1:48" ht="19.5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22"/>
      <c r="X737" s="122"/>
      <c r="Y737" s="122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26"/>
      <c r="AO737" s="13"/>
      <c r="AS737" s="117"/>
      <c r="AT737" s="116"/>
      <c r="AU737" s="116"/>
      <c r="AV737" s="116"/>
    </row>
    <row r="738" spans="1:48" ht="19.5" x14ac:dyDescent="0.4"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22"/>
      <c r="X738" s="122"/>
      <c r="Y738" s="122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7"/>
      <c r="AO738" s="13"/>
      <c r="AS738" s="117"/>
      <c r="AT738" s="116"/>
      <c r="AU738" s="116"/>
      <c r="AV738" s="116"/>
    </row>
    <row r="739" spans="1:48" ht="19.5" x14ac:dyDescent="0.4"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22"/>
      <c r="X739" s="122"/>
      <c r="Y739" s="122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26"/>
      <c r="AO739" s="25"/>
      <c r="AS739" s="117"/>
      <c r="AT739" s="116"/>
      <c r="AU739" s="116"/>
      <c r="AV739" s="116"/>
    </row>
    <row r="740" spans="1:48" ht="19.5" x14ac:dyDescent="0.4"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22"/>
      <c r="X740" s="122"/>
      <c r="Y740" s="122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7"/>
      <c r="AO740" s="13"/>
      <c r="AS740" s="117"/>
      <c r="AT740" s="116"/>
      <c r="AU740" s="116"/>
      <c r="AV740" s="116"/>
    </row>
    <row r="741" spans="1:48" ht="19.5" x14ac:dyDescent="0.4"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22"/>
      <c r="X741" s="122"/>
      <c r="Y741" s="122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26"/>
      <c r="AO741" s="13"/>
      <c r="AS741" s="117"/>
      <c r="AT741" s="116"/>
      <c r="AU741" s="116"/>
      <c r="AV741" s="116"/>
    </row>
    <row r="742" spans="1:48" ht="19.5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22"/>
      <c r="X742" s="122"/>
      <c r="Y742" s="122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26"/>
      <c r="AO742" s="13"/>
      <c r="AS742" s="117"/>
      <c r="AT742" s="116"/>
      <c r="AU742" s="116"/>
      <c r="AV742" s="116"/>
    </row>
    <row r="743" spans="1:48" ht="19.5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22"/>
      <c r="X743" s="122"/>
      <c r="Y743" s="122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26"/>
      <c r="AO743" s="13"/>
      <c r="AS743" s="117"/>
      <c r="AT743" s="116"/>
      <c r="AU743" s="116"/>
      <c r="AV743" s="116"/>
    </row>
    <row r="744" spans="1:48" ht="19.5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22"/>
      <c r="X744" s="122"/>
      <c r="Y744" s="122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26"/>
      <c r="AO744" s="13"/>
      <c r="AS744" s="117"/>
      <c r="AT744" s="116"/>
      <c r="AU744" s="116"/>
      <c r="AV744" s="116"/>
    </row>
    <row r="745" spans="1:48" ht="19.5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22"/>
      <c r="X745" s="122"/>
      <c r="Y745" s="122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26"/>
      <c r="AO745" s="13"/>
      <c r="AS745" s="117"/>
      <c r="AT745" s="116"/>
      <c r="AU745" s="116"/>
      <c r="AV745" s="116"/>
    </row>
    <row r="746" spans="1:48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22"/>
      <c r="X746" s="122"/>
      <c r="Y746" s="122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26"/>
      <c r="AO746" s="13"/>
      <c r="AS746" s="117"/>
      <c r="AT746" s="116"/>
      <c r="AU746" s="116"/>
      <c r="AV746" s="116"/>
    </row>
    <row r="747" spans="1:48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22"/>
      <c r="X747" s="122"/>
      <c r="Y747" s="122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26"/>
      <c r="AO747" s="13"/>
      <c r="AS747" s="117"/>
      <c r="AT747" s="116"/>
      <c r="AU747" s="116"/>
      <c r="AV747" s="116"/>
    </row>
    <row r="748" spans="1:48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22"/>
      <c r="X748" s="122"/>
      <c r="Y748" s="122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26"/>
      <c r="AO748" s="13"/>
      <c r="AS748" s="117"/>
      <c r="AT748" s="116"/>
      <c r="AU748" s="116"/>
      <c r="AV748" s="116"/>
    </row>
    <row r="749" spans="1:48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22"/>
      <c r="X749" s="122"/>
      <c r="Y749" s="122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26"/>
      <c r="AO749" s="15"/>
      <c r="AS749" s="117"/>
      <c r="AT749" s="116"/>
      <c r="AU749" s="116"/>
      <c r="AV749" s="116"/>
    </row>
    <row r="750" spans="1:48" ht="19.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22"/>
      <c r="X750" s="122"/>
      <c r="Y750" s="122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26"/>
      <c r="AO750" s="15"/>
      <c r="AS750" s="117"/>
      <c r="AT750" s="116"/>
      <c r="AU750" s="116"/>
      <c r="AV750" s="116"/>
    </row>
    <row r="751" spans="1:48" ht="19.5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22"/>
      <c r="X751" s="122"/>
      <c r="Y751" s="122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26"/>
      <c r="AO751" s="15"/>
      <c r="AS751" s="117"/>
      <c r="AT751" s="116"/>
      <c r="AU751" s="116"/>
      <c r="AV751" s="116"/>
    </row>
    <row r="752" spans="1:48" ht="19.5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22"/>
      <c r="X752" s="122"/>
      <c r="Y752" s="122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26"/>
      <c r="AO752" s="15"/>
      <c r="AS752" s="117"/>
      <c r="AT752" s="116"/>
      <c r="AU752" s="116"/>
      <c r="AV752" s="116"/>
    </row>
    <row r="753" spans="1:48" ht="19.5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22"/>
      <c r="X753" s="122"/>
      <c r="Y753" s="122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26"/>
      <c r="AO753" s="25"/>
      <c r="AS753" s="117"/>
      <c r="AT753" s="116"/>
      <c r="AU753" s="116"/>
      <c r="AV753" s="116"/>
    </row>
    <row r="754" spans="1:48" ht="19.5" x14ac:dyDescent="0.4">
      <c r="AN754" s="26"/>
      <c r="AO754" s="15"/>
      <c r="AS754" s="117"/>
      <c r="AT754" s="116"/>
      <c r="AU754" s="116"/>
      <c r="AV754" s="116"/>
    </row>
    <row r="755" spans="1:48" ht="19.5" x14ac:dyDescent="0.4">
      <c r="V755" s="115"/>
      <c r="W755" s="122"/>
      <c r="X755" s="122"/>
      <c r="Y755" s="122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26"/>
      <c r="AO755" s="15"/>
      <c r="AS755" s="117"/>
      <c r="AT755" s="116"/>
      <c r="AU755" s="116"/>
      <c r="AV755" s="116"/>
    </row>
    <row r="756" spans="1:48" ht="19.5" x14ac:dyDescent="0.4">
      <c r="T756" s="115"/>
      <c r="U756" s="115"/>
      <c r="V756" s="115"/>
      <c r="W756" s="122"/>
      <c r="X756" s="122"/>
      <c r="Y756" s="122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26"/>
      <c r="AO756" s="15"/>
      <c r="AS756" s="117"/>
      <c r="AT756" s="116"/>
      <c r="AU756" s="116"/>
      <c r="AV756" s="116"/>
    </row>
    <row r="757" spans="1:48" ht="19.5" x14ac:dyDescent="0.4">
      <c r="T757" s="115"/>
      <c r="U757" s="115"/>
      <c r="V757" s="115"/>
      <c r="W757" s="122"/>
      <c r="X757" s="122"/>
      <c r="Y757" s="122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7"/>
      <c r="AO757" s="15"/>
      <c r="AS757" s="117"/>
      <c r="AT757" s="116"/>
      <c r="AU757" s="116"/>
      <c r="AV757" s="116"/>
    </row>
    <row r="758" spans="1:48" ht="19.5" x14ac:dyDescent="0.4">
      <c r="Q758" s="115"/>
      <c r="R758" s="115"/>
      <c r="S758" s="115"/>
      <c r="T758" s="115"/>
      <c r="U758" s="115"/>
      <c r="V758" s="115"/>
      <c r="W758" s="122"/>
      <c r="X758" s="122"/>
      <c r="Y758" s="122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26"/>
      <c r="AO758" s="15"/>
      <c r="AS758" s="117"/>
      <c r="AT758" s="116"/>
      <c r="AU758" s="116"/>
      <c r="AV758" s="116"/>
    </row>
    <row r="759" spans="1:48" ht="19.5" x14ac:dyDescent="0.4">
      <c r="Q759" s="115"/>
      <c r="R759" s="115"/>
      <c r="S759" s="115"/>
      <c r="T759" s="115"/>
      <c r="U759" s="115"/>
      <c r="V759" s="115"/>
      <c r="W759" s="122"/>
      <c r="X759" s="122"/>
      <c r="Y759" s="122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7"/>
      <c r="AO759" s="15"/>
      <c r="AS759" s="117"/>
      <c r="AT759" s="116"/>
      <c r="AU759" s="116"/>
      <c r="AV759" s="116"/>
    </row>
    <row r="760" spans="1:48" ht="19.5" x14ac:dyDescent="0.4">
      <c r="Q760" s="115"/>
      <c r="R760" s="115"/>
      <c r="S760" s="115"/>
      <c r="T760" s="115"/>
      <c r="U760" s="115"/>
      <c r="V760" s="115"/>
      <c r="W760" s="122"/>
      <c r="X760" s="122"/>
      <c r="Y760" s="122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26"/>
      <c r="AO760" s="15"/>
      <c r="AS760" s="117"/>
      <c r="AT760" s="116"/>
      <c r="AU760" s="116"/>
      <c r="AV760" s="116"/>
    </row>
    <row r="761" spans="1:48" ht="19.5" x14ac:dyDescent="0.4">
      <c r="Q761" s="115"/>
      <c r="R761" s="115"/>
      <c r="S761" s="115"/>
      <c r="T761" s="115"/>
      <c r="U761" s="115"/>
      <c r="V761" s="115"/>
      <c r="W761" s="122"/>
      <c r="X761" s="122"/>
      <c r="Y761" s="122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7"/>
      <c r="AO761" s="13"/>
      <c r="AS761" s="117"/>
      <c r="AT761" s="116"/>
      <c r="AU761" s="116"/>
      <c r="AV761" s="116"/>
    </row>
    <row r="762" spans="1:48" ht="19.5" x14ac:dyDescent="0.4">
      <c r="Q762" s="115"/>
      <c r="R762" s="115"/>
      <c r="S762" s="115"/>
      <c r="T762" s="115"/>
      <c r="U762" s="115"/>
      <c r="V762" s="115"/>
      <c r="W762" s="122"/>
      <c r="X762" s="122"/>
      <c r="Y762" s="122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7"/>
      <c r="AO762" s="13"/>
      <c r="AS762" s="117"/>
      <c r="AT762" s="116"/>
      <c r="AU762" s="116"/>
      <c r="AV762" s="116"/>
    </row>
    <row r="763" spans="1:48" ht="19.5" x14ac:dyDescent="0.4">
      <c r="AN763" s="26"/>
      <c r="AO763" s="13"/>
      <c r="AS763" s="117"/>
      <c r="AT763" s="116"/>
      <c r="AU763" s="116"/>
      <c r="AV763" s="116"/>
    </row>
    <row r="764" spans="1:48" ht="19.5" x14ac:dyDescent="0.4">
      <c r="V764" s="115"/>
      <c r="W764" s="122"/>
      <c r="X764" s="122"/>
      <c r="Y764" s="122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7"/>
      <c r="AO764" s="13"/>
      <c r="AS764" s="117"/>
      <c r="AT764" s="116"/>
      <c r="AU764" s="116"/>
      <c r="AV764" s="116"/>
    </row>
    <row r="765" spans="1:48" ht="19.5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22"/>
      <c r="X765" s="122"/>
      <c r="Y765" s="122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26"/>
      <c r="AO765" s="13"/>
      <c r="AS765" s="117"/>
      <c r="AT765" s="116"/>
      <c r="AU765" s="116"/>
      <c r="AV765" s="116"/>
    </row>
    <row r="766" spans="1:48" ht="19.5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22"/>
      <c r="X766" s="122"/>
      <c r="Y766" s="122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26"/>
      <c r="AO766" s="13"/>
      <c r="AS766" s="117"/>
      <c r="AT766" s="116"/>
      <c r="AU766" s="116"/>
      <c r="AV766" s="116"/>
    </row>
    <row r="767" spans="1:48" ht="19.5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22"/>
      <c r="X767" s="122"/>
      <c r="Y767" s="122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26"/>
      <c r="AO767" s="13"/>
      <c r="AS767" s="117"/>
      <c r="AT767" s="116"/>
      <c r="AU767" s="116"/>
      <c r="AV767" s="116"/>
    </row>
    <row r="768" spans="1:48" ht="19.5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22"/>
      <c r="X768" s="122"/>
      <c r="Y768" s="122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26"/>
      <c r="AO768" s="13"/>
      <c r="AS768" s="117"/>
      <c r="AT768" s="116"/>
      <c r="AU768" s="116"/>
      <c r="AV768" s="116"/>
    </row>
    <row r="769" spans="1:48" ht="19.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22"/>
      <c r="X769" s="122"/>
      <c r="Y769" s="122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7"/>
      <c r="AO769" s="13"/>
      <c r="AS769" s="117"/>
      <c r="AT769" s="116"/>
      <c r="AU769" s="116"/>
      <c r="AV769" s="116"/>
    </row>
    <row r="770" spans="1:48" ht="19.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22"/>
      <c r="X770" s="122"/>
      <c r="Y770" s="122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26"/>
      <c r="AO770" s="13"/>
      <c r="AS770" s="117"/>
      <c r="AT770" s="116"/>
      <c r="AU770" s="116"/>
      <c r="AV770" s="116"/>
    </row>
    <row r="771" spans="1:48" ht="19.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22"/>
      <c r="X771" s="122"/>
      <c r="Y771" s="122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26"/>
      <c r="AO771" s="15"/>
      <c r="AS771" s="117"/>
      <c r="AT771" s="116"/>
      <c r="AU771" s="116"/>
      <c r="AV771" s="116"/>
    </row>
    <row r="772" spans="1:48" ht="19.5" x14ac:dyDescent="0.4">
      <c r="AN772" s="26"/>
      <c r="AO772" s="15"/>
      <c r="AS772" s="117"/>
      <c r="AT772" s="116"/>
      <c r="AU772" s="116"/>
      <c r="AV772" s="116"/>
    </row>
    <row r="773" spans="1:48" ht="19.5" x14ac:dyDescent="0.4">
      <c r="U773" s="115"/>
      <c r="V773" s="115"/>
      <c r="W773" s="122"/>
      <c r="X773" s="122"/>
      <c r="Y773" s="122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26"/>
      <c r="AO773" s="13"/>
      <c r="AS773" s="117"/>
      <c r="AT773" s="116"/>
      <c r="AU773" s="116"/>
      <c r="AV773" s="116"/>
    </row>
    <row r="774" spans="1:48" ht="19.5" x14ac:dyDescent="0.4">
      <c r="S774" s="115"/>
      <c r="T774" s="115"/>
      <c r="U774" s="115"/>
      <c r="V774" s="115"/>
      <c r="W774" s="122"/>
      <c r="X774" s="122"/>
      <c r="Y774" s="122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26"/>
      <c r="AO774" s="15"/>
      <c r="AS774" s="117"/>
      <c r="AT774" s="116"/>
      <c r="AU774" s="116"/>
      <c r="AV774" s="116"/>
    </row>
    <row r="775" spans="1:48" ht="19.5" x14ac:dyDescent="0.4">
      <c r="S775" s="115"/>
      <c r="T775" s="115"/>
      <c r="U775" s="115"/>
      <c r="V775" s="115"/>
      <c r="W775" s="122"/>
      <c r="X775" s="122"/>
      <c r="Y775" s="122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26"/>
      <c r="AO775" s="15"/>
      <c r="AS775" s="117"/>
      <c r="AT775" s="116"/>
      <c r="AU775" s="116"/>
      <c r="AV775" s="116"/>
    </row>
    <row r="776" spans="1:48" ht="19.5" x14ac:dyDescent="0.4">
      <c r="S776" s="115"/>
      <c r="T776" s="115"/>
      <c r="U776" s="115"/>
      <c r="V776" s="115"/>
      <c r="W776" s="122"/>
      <c r="X776" s="122"/>
      <c r="Y776" s="122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7"/>
      <c r="AO776" s="15"/>
      <c r="AS776" s="117"/>
      <c r="AT776" s="116"/>
      <c r="AU776" s="116"/>
      <c r="AV776" s="116"/>
    </row>
    <row r="777" spans="1:48" ht="19.5" x14ac:dyDescent="0.4">
      <c r="R777" s="115"/>
      <c r="S777" s="115"/>
      <c r="T777" s="115"/>
      <c r="U777" s="115"/>
      <c r="V777" s="115"/>
      <c r="W777" s="122"/>
      <c r="X777" s="122"/>
      <c r="Y777" s="122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26"/>
      <c r="AO777" s="15"/>
      <c r="AS777" s="117"/>
      <c r="AT777" s="116"/>
      <c r="AU777" s="116"/>
      <c r="AV777" s="116"/>
    </row>
    <row r="778" spans="1:48" ht="19.5" x14ac:dyDescent="0.4">
      <c r="R778" s="115"/>
      <c r="S778" s="115"/>
      <c r="T778" s="115"/>
      <c r="U778" s="115"/>
      <c r="V778" s="115"/>
      <c r="W778" s="122"/>
      <c r="X778" s="122"/>
      <c r="Y778" s="122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26"/>
      <c r="AO778" s="15"/>
      <c r="AS778" s="117"/>
      <c r="AT778" s="116"/>
      <c r="AU778" s="116"/>
      <c r="AV778" s="116"/>
    </row>
    <row r="779" spans="1:48" ht="19.5" x14ac:dyDescent="0.4">
      <c r="R779" s="115"/>
      <c r="S779" s="115"/>
      <c r="T779" s="115"/>
      <c r="U779" s="115"/>
      <c r="V779" s="115"/>
      <c r="W779" s="122"/>
      <c r="X779" s="122"/>
      <c r="Y779" s="122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26"/>
      <c r="AO779" s="105"/>
      <c r="AS779" s="117"/>
      <c r="AT779" s="116"/>
      <c r="AU779" s="116"/>
      <c r="AV779" s="116"/>
    </row>
    <row r="780" spans="1:48" ht="19.5" x14ac:dyDescent="0.4">
      <c r="R780" s="115"/>
      <c r="S780" s="115"/>
      <c r="T780" s="115"/>
      <c r="U780" s="115"/>
      <c r="V780" s="115"/>
      <c r="W780" s="122"/>
      <c r="X780" s="122"/>
      <c r="Y780" s="122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7"/>
      <c r="AO780" s="15"/>
      <c r="AS780" s="117"/>
      <c r="AT780" s="116"/>
      <c r="AU780" s="116"/>
      <c r="AV780" s="116"/>
    </row>
    <row r="781" spans="1:48" ht="19.5" x14ac:dyDescent="0.4">
      <c r="R781" s="115"/>
      <c r="S781" s="115"/>
      <c r="T781" s="115"/>
      <c r="U781" s="115"/>
      <c r="V781" s="115"/>
      <c r="W781" s="122"/>
      <c r="X781" s="122"/>
      <c r="Y781" s="122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26"/>
      <c r="AO781" s="15"/>
      <c r="AS781" s="117"/>
      <c r="AT781" s="116"/>
      <c r="AU781" s="116"/>
      <c r="AV781" s="116"/>
    </row>
    <row r="782" spans="1:48" ht="19.5" x14ac:dyDescent="0.4">
      <c r="R782" s="115"/>
      <c r="S782" s="115"/>
      <c r="T782" s="115"/>
      <c r="U782" s="115"/>
      <c r="V782" s="115"/>
      <c r="W782" s="122"/>
      <c r="X782" s="122"/>
      <c r="Y782" s="122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7"/>
      <c r="AO782" s="15"/>
      <c r="AS782" s="117"/>
      <c r="AT782" s="116"/>
      <c r="AU782" s="116"/>
      <c r="AV782" s="116"/>
    </row>
    <row r="783" spans="1:48" ht="19.5" x14ac:dyDescent="0.4"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22"/>
      <c r="X783" s="122"/>
      <c r="Y783" s="122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26"/>
      <c r="AO783" s="15"/>
      <c r="AS783" s="117"/>
      <c r="AT783" s="116"/>
      <c r="AU783" s="116"/>
      <c r="AV783" s="116"/>
    </row>
    <row r="784" spans="1:48" ht="19.5" x14ac:dyDescent="0.4"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22"/>
      <c r="X784" s="122"/>
      <c r="Y784" s="122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7"/>
      <c r="AO784" s="15"/>
      <c r="AS784" s="117"/>
      <c r="AT784" s="116"/>
      <c r="AU784" s="116"/>
      <c r="AV784" s="116"/>
    </row>
    <row r="785" spans="1:48" ht="19.5" x14ac:dyDescent="0.4"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22"/>
      <c r="X785" s="122"/>
      <c r="Y785" s="122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26"/>
      <c r="AO785" s="15"/>
      <c r="AS785" s="117"/>
      <c r="AT785" s="116"/>
      <c r="AU785" s="116"/>
      <c r="AV785" s="116"/>
    </row>
    <row r="786" spans="1:48" ht="19.5" x14ac:dyDescent="0.4"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22"/>
      <c r="X786" s="122"/>
      <c r="Y786" s="122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7"/>
      <c r="AO786" s="15"/>
      <c r="AS786" s="117"/>
      <c r="AT786" s="116"/>
      <c r="AU786" s="116"/>
      <c r="AV786" s="116"/>
    </row>
    <row r="787" spans="1:48" ht="19.5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22"/>
      <c r="X787" s="122"/>
      <c r="Y787" s="122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26"/>
      <c r="AO787" s="15"/>
      <c r="AS787" s="117"/>
      <c r="AT787" s="116"/>
      <c r="AU787" s="116"/>
      <c r="AV787" s="116"/>
    </row>
    <row r="788" spans="1:48" ht="19.5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22"/>
      <c r="X788" s="122"/>
      <c r="Y788" s="122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26"/>
      <c r="AO788" s="15"/>
      <c r="AS788" s="117"/>
      <c r="AT788" s="116"/>
      <c r="AU788" s="116"/>
      <c r="AV788" s="116"/>
    </row>
    <row r="789" spans="1:48" ht="19.5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22"/>
      <c r="X789" s="122"/>
      <c r="Y789" s="122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26"/>
      <c r="AO789" s="15"/>
      <c r="AS789" s="117"/>
      <c r="AT789" s="116"/>
      <c r="AU789" s="116"/>
      <c r="AV789" s="116"/>
    </row>
    <row r="790" spans="1:48" ht="19.5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22"/>
      <c r="X790" s="122"/>
      <c r="Y790" s="122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26"/>
      <c r="AO790" s="15"/>
      <c r="AS790" s="117"/>
      <c r="AT790" s="116"/>
      <c r="AU790" s="116"/>
      <c r="AV790" s="116"/>
    </row>
    <row r="791" spans="1:48" ht="19.5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22"/>
      <c r="X791" s="122"/>
      <c r="Y791" s="122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26"/>
      <c r="AO791" s="15"/>
      <c r="AS791" s="117"/>
      <c r="AT791" s="116"/>
      <c r="AU791" s="116"/>
      <c r="AV791" s="116"/>
    </row>
    <row r="792" spans="1:48" ht="19.5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22"/>
      <c r="X792" s="122"/>
      <c r="Y792" s="122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26"/>
      <c r="AO792" s="15"/>
      <c r="AS792" s="117"/>
      <c r="AT792" s="116"/>
      <c r="AU792" s="116"/>
      <c r="AV792" s="116"/>
    </row>
    <row r="793" spans="1:48" ht="19.5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22"/>
      <c r="X793" s="122"/>
      <c r="Y793" s="122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7"/>
      <c r="AO793" s="15"/>
      <c r="AS793" s="117"/>
      <c r="AT793" s="116"/>
      <c r="AU793" s="116"/>
      <c r="AV793" s="116"/>
    </row>
    <row r="794" spans="1:48" ht="19.5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22"/>
      <c r="X794" s="122"/>
      <c r="Y794" s="122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26"/>
      <c r="AO794" s="15"/>
      <c r="AS794" s="117"/>
      <c r="AT794" s="116"/>
      <c r="AU794" s="116"/>
      <c r="AV794" s="116"/>
    </row>
    <row r="795" spans="1:48" ht="19.5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22"/>
      <c r="X795" s="122"/>
      <c r="Y795" s="122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7"/>
      <c r="AO795" s="15"/>
      <c r="AS795" s="117"/>
      <c r="AT795" s="116"/>
      <c r="AU795" s="116"/>
      <c r="AV795" s="116"/>
    </row>
    <row r="796" spans="1:48" ht="19.5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22"/>
      <c r="X796" s="122"/>
      <c r="Y796" s="122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26"/>
      <c r="AO796" s="15"/>
      <c r="AS796" s="117"/>
      <c r="AT796" s="116"/>
      <c r="AU796" s="116"/>
      <c r="AV796" s="116"/>
    </row>
    <row r="797" spans="1:48" ht="19.5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22"/>
      <c r="X797" s="122"/>
      <c r="Y797" s="122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20"/>
      <c r="AO797" s="15"/>
      <c r="AS797" s="117"/>
      <c r="AT797" s="116"/>
      <c r="AU797" s="116"/>
      <c r="AV797" s="116"/>
    </row>
    <row r="798" spans="1:48" ht="19.5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22"/>
      <c r="X798" s="122"/>
      <c r="Y798" s="122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20"/>
      <c r="AO798" s="15"/>
      <c r="AS798" s="117"/>
      <c r="AT798" s="116"/>
      <c r="AU798" s="116"/>
      <c r="AV798" s="116"/>
    </row>
    <row r="799" spans="1:48" ht="19.5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22"/>
      <c r="X799" s="122"/>
      <c r="Y799" s="122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20"/>
      <c r="AO799" s="15"/>
      <c r="AS799" s="117"/>
      <c r="AT799" s="116"/>
      <c r="AU799" s="116"/>
      <c r="AV799" s="116"/>
    </row>
    <row r="800" spans="1:48" ht="19.5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22"/>
      <c r="X800" s="122"/>
      <c r="Y800" s="122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20"/>
      <c r="AO800" s="15"/>
      <c r="AS800" s="117"/>
      <c r="AT800" s="116"/>
      <c r="AU800" s="116"/>
      <c r="AV800" s="116"/>
    </row>
    <row r="801" spans="1:48" ht="19.5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22"/>
      <c r="X801" s="122"/>
      <c r="Y801" s="122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25"/>
      <c r="AO801" s="15"/>
      <c r="AS801" s="117"/>
      <c r="AT801" s="116"/>
      <c r="AU801" s="116"/>
      <c r="AV801" s="116"/>
    </row>
    <row r="802" spans="1:48" ht="19.5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22"/>
      <c r="X802" s="122"/>
      <c r="Y802" s="122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3"/>
      <c r="AO802" s="15"/>
      <c r="AS802" s="117"/>
      <c r="AT802" s="116"/>
      <c r="AU802" s="116"/>
      <c r="AV802" s="116"/>
    </row>
    <row r="803" spans="1:48" ht="19.5" x14ac:dyDescent="0.4">
      <c r="AN803" s="25"/>
      <c r="AO803" s="15"/>
      <c r="AS803" s="117"/>
      <c r="AT803" s="116"/>
      <c r="AU803" s="116"/>
      <c r="AV803" s="116"/>
    </row>
    <row r="804" spans="1:48" ht="19.5" x14ac:dyDescent="0.4">
      <c r="T804" s="115"/>
      <c r="U804" s="115"/>
      <c r="V804" s="115"/>
      <c r="W804" s="122"/>
      <c r="X804" s="122"/>
      <c r="Y804" s="122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3"/>
      <c r="AO804" s="15"/>
      <c r="AS804" s="117"/>
      <c r="AT804" s="116"/>
      <c r="AU804" s="116"/>
      <c r="AV804" s="116"/>
    </row>
    <row r="805" spans="1:48" ht="19.5" x14ac:dyDescent="0.4"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22"/>
      <c r="X805" s="122"/>
      <c r="Y805" s="122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25"/>
      <c r="AO805" s="15"/>
      <c r="AS805" s="117"/>
      <c r="AT805" s="116"/>
      <c r="AU805" s="116"/>
      <c r="AV805" s="116"/>
    </row>
    <row r="806" spans="1:48" ht="19.5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22"/>
      <c r="X806" s="122"/>
      <c r="Y806" s="122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25"/>
      <c r="AO806" s="15"/>
      <c r="AS806" s="117"/>
      <c r="AT806" s="116"/>
      <c r="AU806" s="116"/>
      <c r="AV806" s="116"/>
    </row>
    <row r="807" spans="1:48" ht="19.5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22"/>
      <c r="X807" s="122"/>
      <c r="Y807" s="122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3"/>
      <c r="AO807" s="15"/>
      <c r="AS807" s="117"/>
      <c r="AT807" s="116"/>
      <c r="AU807" s="116"/>
      <c r="AV807" s="116"/>
    </row>
    <row r="808" spans="1:48" ht="19.5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22"/>
      <c r="X808" s="122"/>
      <c r="Y808" s="122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25"/>
      <c r="AO808" s="15"/>
      <c r="AS808" s="117"/>
      <c r="AT808" s="116"/>
      <c r="AU808" s="116"/>
      <c r="AV808" s="116"/>
    </row>
    <row r="809" spans="1:48" ht="19.5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22"/>
      <c r="X809" s="122"/>
      <c r="Y809" s="122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3"/>
      <c r="AO809" s="15"/>
      <c r="AS809" s="117"/>
      <c r="AT809" s="116"/>
      <c r="AU809" s="116"/>
      <c r="AV809" s="116"/>
    </row>
    <row r="810" spans="1:48" ht="19.5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22"/>
      <c r="X810" s="122"/>
      <c r="Y810" s="122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25"/>
      <c r="AO810" s="15"/>
      <c r="AS810" s="117"/>
      <c r="AT810" s="116"/>
      <c r="AU810" s="116"/>
      <c r="AV810" s="116"/>
    </row>
    <row r="811" spans="1:48" ht="19.5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22"/>
      <c r="X811" s="122"/>
      <c r="Y811" s="122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26"/>
      <c r="AO811" s="15"/>
      <c r="AS811" s="117"/>
      <c r="AT811" s="116"/>
      <c r="AU811" s="116"/>
      <c r="AV811" s="116"/>
    </row>
    <row r="812" spans="1:48" ht="19.5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22"/>
      <c r="X812" s="122"/>
      <c r="Y812" s="122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7"/>
      <c r="AO812" s="13"/>
      <c r="AS812" s="117"/>
      <c r="AT812" s="116"/>
      <c r="AU812" s="116"/>
      <c r="AV812" s="116"/>
    </row>
    <row r="813" spans="1:48" ht="19.5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22"/>
      <c r="X813" s="122"/>
      <c r="Y813" s="122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26"/>
      <c r="AO813" s="13"/>
      <c r="AS813" s="117"/>
      <c r="AT813" s="116"/>
      <c r="AU813" s="116"/>
      <c r="AV813" s="116"/>
    </row>
    <row r="814" spans="1:48" ht="19.5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22"/>
      <c r="X814" s="122"/>
      <c r="Y814" s="122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7"/>
      <c r="AO814" s="13"/>
      <c r="AS814" s="117"/>
      <c r="AT814" s="116"/>
      <c r="AU814" s="116"/>
      <c r="AV814" s="116"/>
    </row>
    <row r="815" spans="1:48" ht="19.5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22"/>
      <c r="X815" s="122"/>
      <c r="Y815" s="122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26"/>
      <c r="AO815" s="15"/>
      <c r="AS815" s="117"/>
      <c r="AT815" s="116"/>
      <c r="AU815" s="116"/>
      <c r="AV815" s="116"/>
    </row>
    <row r="816" spans="1:48" ht="19.5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22"/>
      <c r="X816" s="122"/>
      <c r="Y816" s="122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7"/>
      <c r="AO816" s="15"/>
      <c r="AS816" s="117"/>
      <c r="AT816" s="116"/>
      <c r="AU816" s="116"/>
      <c r="AV816" s="116"/>
    </row>
    <row r="817" spans="1:48" ht="19.5" x14ac:dyDescent="0.4">
      <c r="AN817" s="26"/>
      <c r="AO817" s="105"/>
      <c r="AS817" s="117"/>
      <c r="AT817" s="116"/>
      <c r="AU817" s="116"/>
      <c r="AV817" s="116"/>
    </row>
    <row r="818" spans="1:48" ht="19.5" x14ac:dyDescent="0.4">
      <c r="T818" s="115"/>
      <c r="U818" s="115"/>
      <c r="V818" s="115"/>
      <c r="W818" s="122"/>
      <c r="X818" s="122"/>
      <c r="Y818" s="122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7"/>
      <c r="AO818" s="15"/>
      <c r="AS818" s="117"/>
      <c r="AT818" s="116"/>
      <c r="AU818" s="116"/>
      <c r="AV818" s="116"/>
    </row>
    <row r="819" spans="1:48" ht="19.5" x14ac:dyDescent="0.4">
      <c r="Q819" s="115"/>
      <c r="R819" s="115"/>
      <c r="S819" s="115"/>
      <c r="T819" s="115"/>
      <c r="U819" s="115"/>
      <c r="V819" s="115"/>
      <c r="W819" s="122"/>
      <c r="X819" s="122"/>
      <c r="Y819" s="122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26"/>
      <c r="AO819" s="15"/>
      <c r="AS819" s="117"/>
      <c r="AT819" s="116"/>
      <c r="AU819" s="116"/>
      <c r="AV819" s="116"/>
    </row>
    <row r="820" spans="1:48" ht="19.5" x14ac:dyDescent="0.4">
      <c r="Q820" s="115"/>
      <c r="R820" s="115"/>
      <c r="S820" s="115"/>
      <c r="T820" s="115"/>
      <c r="U820" s="115"/>
      <c r="V820" s="115"/>
      <c r="W820" s="122"/>
      <c r="X820" s="122"/>
      <c r="Y820" s="122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7"/>
      <c r="AO820" s="15"/>
      <c r="AS820" s="117"/>
      <c r="AT820" s="116"/>
      <c r="AU820" s="116"/>
      <c r="AV820" s="116"/>
    </row>
    <row r="821" spans="1:48" ht="19.5" x14ac:dyDescent="0.4"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22"/>
      <c r="X821" s="122"/>
      <c r="Y821" s="122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26"/>
      <c r="AO821" s="15"/>
      <c r="AS821" s="117"/>
      <c r="AT821" s="116"/>
      <c r="AU821" s="116"/>
      <c r="AV821" s="116"/>
    </row>
    <row r="822" spans="1:48" ht="19.5" x14ac:dyDescent="0.4"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22"/>
      <c r="X822" s="122"/>
      <c r="Y822" s="122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7"/>
      <c r="AO822" s="15"/>
      <c r="AS822" s="117"/>
      <c r="AT822" s="116"/>
      <c r="AU822" s="116"/>
      <c r="AV822" s="116"/>
    </row>
    <row r="823" spans="1:48" ht="19.5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22"/>
      <c r="X823" s="122"/>
      <c r="Y823" s="122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26"/>
      <c r="AO823" s="15"/>
      <c r="AS823" s="117"/>
      <c r="AT823" s="116"/>
      <c r="AU823" s="116"/>
      <c r="AV823" s="116"/>
    </row>
    <row r="824" spans="1:48" ht="19.5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22"/>
      <c r="X824" s="122"/>
      <c r="Y824" s="122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26"/>
      <c r="AO824" s="15"/>
      <c r="AS824" s="117"/>
      <c r="AT824" s="116"/>
      <c r="AU824" s="116"/>
      <c r="AV824" s="116"/>
    </row>
    <row r="825" spans="1:48" ht="19.5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22"/>
      <c r="X825" s="122"/>
      <c r="Y825" s="122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7"/>
      <c r="AO825" s="15"/>
      <c r="AS825" s="117"/>
      <c r="AT825" s="116"/>
      <c r="AU825" s="116"/>
      <c r="AV825" s="116"/>
    </row>
    <row r="826" spans="1:48" ht="19.5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22"/>
      <c r="X826" s="122"/>
      <c r="Y826" s="122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26"/>
      <c r="AO826" s="15"/>
      <c r="AS826" s="117"/>
      <c r="AT826" s="116"/>
      <c r="AU826" s="116"/>
      <c r="AV826" s="116"/>
    </row>
    <row r="827" spans="1:48" ht="19.5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22"/>
      <c r="X827" s="122"/>
      <c r="Y827" s="122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7"/>
      <c r="AO827" s="15"/>
      <c r="AS827" s="117"/>
      <c r="AT827" s="116"/>
      <c r="AU827" s="116"/>
      <c r="AV827" s="116"/>
    </row>
    <row r="828" spans="1:48" ht="19.5" x14ac:dyDescent="0.4">
      <c r="AN828" s="26"/>
      <c r="AO828" s="15"/>
      <c r="AS828" s="117"/>
      <c r="AT828" s="116"/>
      <c r="AU828" s="116"/>
      <c r="AV828" s="116"/>
    </row>
    <row r="829" spans="1:48" ht="19.5" x14ac:dyDescent="0.4">
      <c r="T829" s="115"/>
      <c r="U829" s="115"/>
      <c r="V829" s="115"/>
      <c r="W829" s="122"/>
      <c r="X829" s="122"/>
      <c r="Y829" s="122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7"/>
      <c r="AO829" s="15"/>
      <c r="AS829" s="117"/>
      <c r="AT829" s="116"/>
      <c r="AU829" s="116"/>
      <c r="AV829" s="116"/>
    </row>
    <row r="830" spans="1:48" ht="19.5" x14ac:dyDescent="0.4">
      <c r="AN830" s="26"/>
      <c r="AO830" s="15"/>
      <c r="AS830" s="117"/>
      <c r="AT830" s="116"/>
      <c r="AU830" s="116"/>
      <c r="AV830" s="116"/>
    </row>
    <row r="831" spans="1:48" ht="19.5" x14ac:dyDescent="0.4">
      <c r="T831" s="115"/>
      <c r="U831" s="115"/>
      <c r="V831" s="115"/>
      <c r="W831" s="122"/>
      <c r="X831" s="122"/>
      <c r="Y831" s="122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7"/>
      <c r="AO831" s="15"/>
      <c r="AS831" s="117"/>
      <c r="AT831" s="116"/>
      <c r="AU831" s="116"/>
      <c r="AV831" s="116"/>
    </row>
    <row r="832" spans="1:48" ht="19.5" x14ac:dyDescent="0.4">
      <c r="AN832" s="26"/>
      <c r="AO832" s="15"/>
      <c r="AS832" s="117"/>
      <c r="AT832" s="116"/>
      <c r="AU832" s="116"/>
      <c r="AV832" s="116"/>
    </row>
    <row r="833" spans="2:48" ht="19.5" x14ac:dyDescent="0.4">
      <c r="T833" s="115"/>
      <c r="U833" s="115"/>
      <c r="V833" s="115"/>
      <c r="W833" s="122"/>
      <c r="X833" s="122"/>
      <c r="Y833" s="122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7"/>
      <c r="AO833" s="15"/>
      <c r="AS833" s="117"/>
      <c r="AT833" s="116"/>
      <c r="AU833" s="116"/>
      <c r="AV833" s="116"/>
    </row>
    <row r="834" spans="2:48" ht="19.5" x14ac:dyDescent="0.4"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22"/>
      <c r="X834" s="122"/>
      <c r="Y834" s="122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26"/>
      <c r="AO834" s="15"/>
      <c r="AS834" s="117"/>
      <c r="AT834" s="116"/>
      <c r="AU834" s="116"/>
      <c r="AV834" s="116"/>
    </row>
    <row r="835" spans="2:48" ht="19.5" x14ac:dyDescent="0.4"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22"/>
      <c r="X835" s="122"/>
      <c r="Y835" s="122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7"/>
      <c r="AO835" s="15"/>
      <c r="AS835" s="117"/>
      <c r="AT835" s="116"/>
      <c r="AU835" s="116"/>
      <c r="AV835" s="116"/>
    </row>
    <row r="836" spans="2:48" ht="19.5" x14ac:dyDescent="0.4"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22"/>
      <c r="X836" s="122"/>
      <c r="Y836" s="122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26"/>
      <c r="AO836" s="15"/>
      <c r="AS836" s="117"/>
      <c r="AT836" s="116"/>
      <c r="AU836" s="116"/>
      <c r="AV836" s="116"/>
    </row>
    <row r="837" spans="2:48" ht="19.5" x14ac:dyDescent="0.4">
      <c r="AN837" s="26"/>
      <c r="AO837" s="15"/>
      <c r="AS837" s="117"/>
      <c r="AT837" s="116"/>
      <c r="AU837" s="116"/>
      <c r="AV837" s="116"/>
    </row>
    <row r="838" spans="2:48" ht="19.5" x14ac:dyDescent="0.4">
      <c r="T838" s="115"/>
      <c r="U838" s="115"/>
      <c r="V838" s="115"/>
      <c r="W838" s="122"/>
      <c r="X838" s="122"/>
      <c r="Y838" s="122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7"/>
      <c r="AO838" s="15"/>
      <c r="AS838" s="117"/>
      <c r="AT838" s="116"/>
      <c r="AU838" s="116"/>
      <c r="AV838" s="116"/>
    </row>
    <row r="839" spans="2:48" ht="19.5" x14ac:dyDescent="0.4">
      <c r="R839" s="115"/>
      <c r="S839" s="115"/>
      <c r="T839" s="115"/>
      <c r="U839" s="115"/>
      <c r="V839" s="115"/>
      <c r="W839" s="122"/>
      <c r="X839" s="122"/>
      <c r="Y839" s="122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26"/>
      <c r="AO839" s="15"/>
      <c r="AS839" s="117"/>
      <c r="AT839" s="116"/>
      <c r="AU839" s="116"/>
      <c r="AV839" s="116"/>
    </row>
    <row r="840" spans="2:48" ht="19.5" x14ac:dyDescent="0.4">
      <c r="R840" s="115"/>
      <c r="S840" s="115"/>
      <c r="T840" s="115"/>
      <c r="U840" s="115"/>
      <c r="V840" s="115"/>
      <c r="W840" s="122"/>
      <c r="X840" s="122"/>
      <c r="Y840" s="122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7"/>
      <c r="AO840" s="13"/>
      <c r="AS840" s="117"/>
      <c r="AT840" s="116"/>
      <c r="AU840" s="116"/>
      <c r="AV840" s="116"/>
    </row>
    <row r="841" spans="2:48" ht="19.5" x14ac:dyDescent="0.4">
      <c r="Q841" s="115"/>
      <c r="R841" s="115"/>
      <c r="S841" s="115"/>
      <c r="T841" s="115"/>
      <c r="U841" s="115"/>
      <c r="V841" s="115"/>
      <c r="W841" s="122"/>
      <c r="X841" s="122"/>
      <c r="Y841" s="122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26"/>
      <c r="AO841" s="13"/>
      <c r="AS841" s="117"/>
      <c r="AT841" s="116"/>
      <c r="AU841" s="116"/>
      <c r="AV841" s="116"/>
    </row>
    <row r="842" spans="2:48" ht="19.5" x14ac:dyDescent="0.4">
      <c r="Q842" s="115"/>
      <c r="R842" s="115"/>
      <c r="S842" s="115"/>
      <c r="T842" s="115"/>
      <c r="U842" s="115"/>
      <c r="V842" s="115"/>
      <c r="W842" s="122"/>
      <c r="X842" s="122"/>
      <c r="Y842" s="122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7"/>
      <c r="AO842" s="13"/>
      <c r="AS842" s="117"/>
      <c r="AT842" s="116"/>
      <c r="AU842" s="116"/>
      <c r="AV842" s="116"/>
    </row>
    <row r="843" spans="2:48" ht="19.5" x14ac:dyDescent="0.4"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22"/>
      <c r="X843" s="122"/>
      <c r="Y843" s="122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26"/>
      <c r="AO843" s="15"/>
      <c r="AS843" s="117"/>
      <c r="AT843" s="116"/>
      <c r="AU843" s="116"/>
      <c r="AV843" s="116"/>
    </row>
    <row r="844" spans="2:48" ht="19.5" x14ac:dyDescent="0.4"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22"/>
      <c r="X844" s="122"/>
      <c r="Y844" s="122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7"/>
      <c r="AO844" s="15"/>
      <c r="AS844" s="117"/>
      <c r="AT844" s="116"/>
      <c r="AU844" s="116"/>
      <c r="AV844" s="116"/>
    </row>
    <row r="845" spans="2:48" ht="19.5" x14ac:dyDescent="0.4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22"/>
      <c r="X845" s="122"/>
      <c r="Y845" s="122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26"/>
      <c r="AO845" s="105"/>
      <c r="AS845" s="117"/>
      <c r="AT845" s="116"/>
      <c r="AU845" s="116"/>
      <c r="AV845" s="116"/>
    </row>
    <row r="846" spans="2:48" ht="19.5" x14ac:dyDescent="0.4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22"/>
      <c r="X846" s="122"/>
      <c r="Y846" s="122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7"/>
      <c r="AO846" s="15"/>
      <c r="AS846" s="117"/>
      <c r="AT846" s="116"/>
      <c r="AU846" s="116"/>
      <c r="AV846" s="116"/>
    </row>
    <row r="847" spans="2:48" ht="19.5" x14ac:dyDescent="0.4"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22"/>
      <c r="X847" s="122"/>
      <c r="Y847" s="122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26"/>
      <c r="AO847" s="15"/>
      <c r="AS847" s="117"/>
      <c r="AT847" s="116"/>
      <c r="AU847" s="116"/>
      <c r="AV847" s="116"/>
    </row>
    <row r="848" spans="2:48" ht="19.5" x14ac:dyDescent="0.4"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22"/>
      <c r="X848" s="122"/>
      <c r="Y848" s="122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26"/>
      <c r="AO848" s="15"/>
      <c r="AS848" s="117"/>
      <c r="AT848" s="116"/>
      <c r="AU848" s="116"/>
      <c r="AV848" s="116"/>
    </row>
    <row r="849" spans="1:48" ht="19.5" x14ac:dyDescent="0.4">
      <c r="AN849" s="26"/>
      <c r="AO849" s="15"/>
      <c r="AS849" s="117"/>
      <c r="AT849" s="116"/>
      <c r="AU849" s="116"/>
      <c r="AV849" s="116"/>
    </row>
    <row r="850" spans="1:48" ht="19.5" x14ac:dyDescent="0.4">
      <c r="S850" s="115"/>
      <c r="T850" s="115"/>
      <c r="U850" s="115"/>
      <c r="V850" s="115"/>
      <c r="W850" s="122"/>
      <c r="X850" s="122"/>
      <c r="Y850" s="122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26"/>
      <c r="AO850" s="15"/>
      <c r="AS850" s="117"/>
      <c r="AT850" s="116"/>
      <c r="AU850" s="116"/>
      <c r="AV850" s="116"/>
    </row>
    <row r="851" spans="1:48" ht="19.5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22"/>
      <c r="X851" s="122"/>
      <c r="Y851" s="122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26"/>
      <c r="AO851" s="15"/>
      <c r="AS851" s="117"/>
      <c r="AT851" s="116"/>
      <c r="AU851" s="116"/>
      <c r="AV851" s="116"/>
    </row>
    <row r="852" spans="1:48" ht="19.5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22"/>
      <c r="X852" s="122"/>
      <c r="Y852" s="122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26"/>
      <c r="AO852" s="15"/>
      <c r="AS852" s="117"/>
      <c r="AT852" s="116"/>
      <c r="AU852" s="116"/>
      <c r="AV852" s="116"/>
    </row>
    <row r="853" spans="1:48" ht="19.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22"/>
      <c r="X853" s="122"/>
      <c r="Y853" s="122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7"/>
      <c r="AO853" s="15"/>
      <c r="AS853" s="117"/>
      <c r="AT853" s="116"/>
      <c r="AU853" s="116"/>
      <c r="AV853" s="116"/>
    </row>
    <row r="854" spans="1:48" ht="19.5" x14ac:dyDescent="0.4">
      <c r="AN854" s="26"/>
      <c r="AO854" s="15"/>
      <c r="AS854" s="117"/>
      <c r="AT854" s="116"/>
      <c r="AU854" s="116"/>
      <c r="AV854" s="116"/>
    </row>
    <row r="855" spans="1:48" ht="19.5" x14ac:dyDescent="0.4">
      <c r="T855" s="115"/>
      <c r="U855" s="115"/>
      <c r="V855" s="115"/>
      <c r="W855" s="122"/>
      <c r="X855" s="122"/>
      <c r="Y855" s="122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7"/>
      <c r="AO855" s="15"/>
      <c r="AS855" s="117"/>
      <c r="AT855" s="116"/>
      <c r="AU855" s="116"/>
      <c r="AV855" s="116"/>
    </row>
    <row r="856" spans="1:48" ht="19.5" x14ac:dyDescent="0.4">
      <c r="S856" s="115"/>
      <c r="T856" s="115"/>
      <c r="U856" s="115"/>
      <c r="V856" s="115"/>
      <c r="W856" s="122"/>
      <c r="X856" s="122"/>
      <c r="Y856" s="122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26"/>
      <c r="AO856" s="15"/>
      <c r="AS856" s="117"/>
      <c r="AT856" s="116"/>
      <c r="AU856" s="116"/>
      <c r="AV856" s="116"/>
    </row>
    <row r="857" spans="1:48" ht="19.5" x14ac:dyDescent="0.4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22"/>
      <c r="X857" s="122"/>
      <c r="Y857" s="122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26"/>
      <c r="AO857" s="15"/>
      <c r="AS857" s="117"/>
      <c r="AT857" s="116"/>
      <c r="AU857" s="116"/>
      <c r="AV857" s="116"/>
    </row>
    <row r="858" spans="1:48" ht="19.5" x14ac:dyDescent="0.4"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22"/>
      <c r="X858" s="122"/>
      <c r="Y858" s="122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26"/>
      <c r="AO858" s="15"/>
      <c r="AS858" s="117"/>
      <c r="AT858" s="116"/>
      <c r="AU858" s="116"/>
      <c r="AV858" s="116"/>
    </row>
    <row r="859" spans="1:48" ht="19.5" x14ac:dyDescent="0.4"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22"/>
      <c r="X859" s="122"/>
      <c r="Y859" s="122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26"/>
      <c r="AO859" s="15"/>
      <c r="AS859" s="117"/>
      <c r="AT859" s="116"/>
      <c r="AU859" s="116"/>
      <c r="AV859" s="116"/>
    </row>
    <row r="860" spans="1:48" ht="19.5" x14ac:dyDescent="0.4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22"/>
      <c r="X860" s="122"/>
      <c r="Y860" s="122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26"/>
      <c r="AO860" s="15"/>
      <c r="AS860" s="117"/>
      <c r="AT860" s="116"/>
      <c r="AU860" s="116"/>
      <c r="AV860" s="116"/>
    </row>
    <row r="861" spans="1:48" ht="19.5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22"/>
      <c r="X861" s="122"/>
      <c r="Y861" s="122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26"/>
      <c r="AO861" s="15"/>
      <c r="AS861" s="117"/>
      <c r="AT861" s="116"/>
      <c r="AU861" s="116"/>
      <c r="AV861" s="116"/>
    </row>
    <row r="862" spans="1:48" ht="19.5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22"/>
      <c r="X862" s="122"/>
      <c r="Y862" s="122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7"/>
      <c r="AO862" s="15"/>
      <c r="AS862" s="117"/>
      <c r="AT862" s="116"/>
      <c r="AU862" s="116"/>
      <c r="AV862" s="116"/>
    </row>
    <row r="863" spans="1:48" ht="19.5" x14ac:dyDescent="0.4">
      <c r="AN863" s="26"/>
      <c r="AO863" s="15"/>
      <c r="AS863" s="117"/>
      <c r="AT863" s="116"/>
      <c r="AU863" s="116"/>
      <c r="AV863" s="116"/>
    </row>
    <row r="864" spans="1:48" ht="19.5" x14ac:dyDescent="0.4">
      <c r="T864" s="115"/>
      <c r="U864" s="115"/>
      <c r="V864" s="115"/>
      <c r="W864" s="122"/>
      <c r="X864" s="122"/>
      <c r="Y864" s="122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7"/>
      <c r="AO864" s="13"/>
      <c r="AS864" s="117"/>
      <c r="AT864" s="116"/>
      <c r="AU864" s="116"/>
      <c r="AV864" s="116"/>
    </row>
    <row r="865" spans="1:48" ht="19.5" x14ac:dyDescent="0.4">
      <c r="T865" s="115"/>
      <c r="U865" s="115"/>
      <c r="V865" s="115"/>
      <c r="W865" s="122"/>
      <c r="X865" s="122"/>
      <c r="Y865" s="122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7"/>
      <c r="AO865" s="13"/>
      <c r="AS865" s="117"/>
      <c r="AT865" s="116"/>
      <c r="AU865" s="116"/>
      <c r="AV865" s="116"/>
    </row>
    <row r="866" spans="1:48" ht="19.5" x14ac:dyDescent="0.4">
      <c r="AN866" s="26"/>
      <c r="AO866" s="13"/>
      <c r="AS866" s="117"/>
      <c r="AT866" s="116"/>
      <c r="AU866" s="116"/>
      <c r="AV866" s="116"/>
    </row>
    <row r="867" spans="1:48" ht="19.5" x14ac:dyDescent="0.4">
      <c r="AN867" s="26"/>
      <c r="AO867" s="13"/>
      <c r="AS867" s="116"/>
      <c r="AT867" s="116"/>
      <c r="AU867" s="116"/>
      <c r="AV867" s="116"/>
    </row>
    <row r="868" spans="1:48" ht="19.5" x14ac:dyDescent="0.4"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22"/>
      <c r="X868" s="122"/>
      <c r="Y868" s="122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26"/>
      <c r="AO868" s="13"/>
      <c r="AS868" s="118"/>
      <c r="AT868" s="118"/>
      <c r="AU868" s="118"/>
      <c r="AV868" s="118"/>
    </row>
    <row r="869" spans="1:48" ht="19.5" x14ac:dyDescent="0.4"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22"/>
      <c r="X869" s="122"/>
      <c r="Y869" s="122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26"/>
      <c r="AO869" s="13"/>
      <c r="AS869" s="118"/>
      <c r="AT869" s="118"/>
      <c r="AU869" s="118"/>
      <c r="AV869" s="118"/>
    </row>
    <row r="870" spans="1:48" ht="19.5" x14ac:dyDescent="0.4"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22"/>
      <c r="X870" s="122"/>
      <c r="Y870" s="122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26"/>
      <c r="AO870" s="13"/>
      <c r="AS870" s="118"/>
      <c r="AT870" s="118"/>
      <c r="AU870" s="118"/>
      <c r="AV870" s="118"/>
    </row>
    <row r="871" spans="1:48" ht="19.5" x14ac:dyDescent="0.4"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22"/>
      <c r="X871" s="122"/>
      <c r="Y871" s="122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26"/>
      <c r="AO871" s="15"/>
      <c r="AS871" s="118"/>
      <c r="AT871" s="118"/>
      <c r="AU871" s="118"/>
      <c r="AV871" s="118"/>
    </row>
    <row r="872" spans="1:48" ht="19.5" x14ac:dyDescent="0.4"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22"/>
      <c r="X872" s="122"/>
      <c r="Y872" s="122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26"/>
      <c r="AO872" s="15"/>
      <c r="AS872" s="118"/>
      <c r="AT872" s="118"/>
      <c r="AU872" s="118"/>
      <c r="AV872" s="118"/>
    </row>
    <row r="873" spans="1:48" ht="19.5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22"/>
      <c r="X873" s="122"/>
      <c r="Y873" s="122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26"/>
      <c r="AO873" s="15"/>
      <c r="AS873" s="118"/>
      <c r="AT873" s="118"/>
      <c r="AU873" s="118"/>
      <c r="AV873" s="118"/>
    </row>
    <row r="874" spans="1:48" ht="19.5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22"/>
      <c r="X874" s="122"/>
      <c r="Y874" s="122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26"/>
      <c r="AO874" s="15"/>
      <c r="AS874" s="118"/>
      <c r="AT874" s="118"/>
      <c r="AU874" s="118"/>
      <c r="AV874" s="118"/>
    </row>
    <row r="875" spans="1:48" ht="20.25" customHeight="1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22"/>
      <c r="X875" s="122"/>
      <c r="Y875" s="122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26"/>
      <c r="AO875" s="15"/>
      <c r="AS875" s="118"/>
      <c r="AT875" s="118"/>
      <c r="AU875" s="118"/>
      <c r="AV875" s="118"/>
    </row>
    <row r="876" spans="1:48" x14ac:dyDescent="0.4">
      <c r="AN876" s="26"/>
      <c r="AO876" s="15"/>
    </row>
    <row r="877" spans="1:48" x14ac:dyDescent="0.4">
      <c r="AN877" s="26"/>
      <c r="AO877" s="13"/>
    </row>
    <row r="878" spans="1:48" x14ac:dyDescent="0.4">
      <c r="R878" s="115"/>
      <c r="S878" s="115"/>
      <c r="T878" s="115"/>
      <c r="U878" s="115"/>
      <c r="V878" s="115"/>
      <c r="W878" s="122"/>
      <c r="X878" s="122"/>
      <c r="Y878" s="122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26"/>
      <c r="AO878" s="13"/>
    </row>
    <row r="879" spans="1:48" x14ac:dyDescent="0.4">
      <c r="R879" s="115"/>
      <c r="S879" s="115"/>
      <c r="T879" s="115"/>
      <c r="U879" s="115"/>
      <c r="V879" s="115"/>
      <c r="W879" s="122"/>
      <c r="X879" s="122"/>
      <c r="Y879" s="122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7"/>
      <c r="AO879" s="13"/>
    </row>
    <row r="880" spans="1:48" x14ac:dyDescent="0.4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22"/>
      <c r="X880" s="122"/>
      <c r="Y880" s="122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26"/>
      <c r="AO880" s="13"/>
    </row>
    <row r="881" spans="1:41" x14ac:dyDescent="0.4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22"/>
      <c r="X881" s="122"/>
      <c r="Y881" s="122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26"/>
      <c r="AO881" s="13"/>
    </row>
    <row r="882" spans="1:41" x14ac:dyDescent="0.4">
      <c r="AN882" s="26"/>
      <c r="AO882" s="13"/>
    </row>
    <row r="883" spans="1:41" x14ac:dyDescent="0.4"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22"/>
      <c r="X883" s="122"/>
      <c r="Y883" s="122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26"/>
      <c r="AO883" s="13"/>
    </row>
    <row r="884" spans="1:41" x14ac:dyDescent="0.4"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22"/>
      <c r="X884" s="122"/>
      <c r="Y884" s="122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26"/>
      <c r="AO884" s="13"/>
    </row>
    <row r="885" spans="1:41" x14ac:dyDescent="0.4">
      <c r="AN885" s="26"/>
      <c r="AO885" s="13"/>
    </row>
    <row r="886" spans="1:41" x14ac:dyDescent="0.4"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22"/>
      <c r="X886" s="122"/>
      <c r="Y886" s="122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26"/>
      <c r="AO886" s="13"/>
    </row>
    <row r="887" spans="1:41" x14ac:dyDescent="0.4">
      <c r="AN887" s="26"/>
      <c r="AO887" s="13"/>
    </row>
    <row r="888" spans="1:41" x14ac:dyDescent="0.4">
      <c r="Q888" s="115"/>
      <c r="R888" s="115"/>
      <c r="S888" s="115"/>
      <c r="T888" s="115"/>
      <c r="U888" s="115"/>
      <c r="V888" s="115"/>
      <c r="W888" s="122"/>
      <c r="X888" s="122"/>
      <c r="Y888" s="122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26"/>
      <c r="AO888" s="13"/>
    </row>
    <row r="889" spans="1:41" x14ac:dyDescent="0.4">
      <c r="AN889" s="26"/>
      <c r="AO889" s="13"/>
    </row>
    <row r="890" spans="1:41" x14ac:dyDescent="0.4"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22"/>
      <c r="X890" s="122"/>
      <c r="Y890" s="122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26"/>
      <c r="AO890" s="15"/>
    </row>
    <row r="891" spans="1:41" x14ac:dyDescent="0.4"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22"/>
      <c r="X891" s="122"/>
      <c r="Y891" s="122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26"/>
      <c r="AO891" s="15"/>
    </row>
    <row r="892" spans="1:41" x14ac:dyDescent="0.4"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22"/>
      <c r="X892" s="122"/>
      <c r="Y892" s="122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26"/>
      <c r="AO892" s="15"/>
    </row>
    <row r="893" spans="1:41" x14ac:dyDescent="0.4">
      <c r="AN893" s="26"/>
      <c r="AO893" s="13"/>
    </row>
    <row r="894" spans="1:41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22"/>
      <c r="X894" s="122"/>
      <c r="Y894" s="122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26"/>
      <c r="AO894" s="15"/>
    </row>
    <row r="895" spans="1:41" x14ac:dyDescent="0.4">
      <c r="AN895" s="26"/>
      <c r="AO895" s="15"/>
    </row>
    <row r="896" spans="1:41" x14ac:dyDescent="0.4">
      <c r="AN896" s="26"/>
      <c r="AO896" s="15"/>
    </row>
    <row r="897" spans="3:41" x14ac:dyDescent="0.4"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22"/>
      <c r="X897" s="122"/>
      <c r="Y897" s="122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26"/>
      <c r="AO897" s="15"/>
    </row>
    <row r="898" spans="3:41" x14ac:dyDescent="0.4"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22"/>
      <c r="X898" s="122"/>
      <c r="Y898" s="122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26"/>
      <c r="AO898" s="15"/>
    </row>
    <row r="899" spans="3:41" x14ac:dyDescent="0.4">
      <c r="AN899" s="26"/>
      <c r="AO899" s="15"/>
    </row>
    <row r="900" spans="3:41" x14ac:dyDescent="0.4">
      <c r="P900" s="115"/>
      <c r="Q900" s="115"/>
      <c r="R900" s="115"/>
      <c r="S900" s="115"/>
      <c r="T900" s="115"/>
      <c r="U900" s="115"/>
      <c r="V900" s="115"/>
      <c r="W900" s="122"/>
      <c r="X900" s="122"/>
      <c r="Y900" s="122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26"/>
      <c r="AO900" s="15"/>
    </row>
    <row r="901" spans="3:41" x14ac:dyDescent="0.4"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22"/>
      <c r="X901" s="122"/>
      <c r="Y901" s="122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26"/>
      <c r="AO901" s="15"/>
    </row>
    <row r="902" spans="3:41" x14ac:dyDescent="0.4"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22"/>
      <c r="X902" s="122"/>
      <c r="Y902" s="122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26"/>
      <c r="AO902" s="15"/>
    </row>
    <row r="903" spans="3:41" x14ac:dyDescent="0.4"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22"/>
      <c r="X903" s="122"/>
      <c r="Y903" s="122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26"/>
      <c r="AO903" s="15"/>
    </row>
    <row r="904" spans="3:41" x14ac:dyDescent="0.4"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22"/>
      <c r="X904" s="122"/>
      <c r="Y904" s="122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26"/>
      <c r="AO904" s="15"/>
    </row>
    <row r="905" spans="3:41" x14ac:dyDescent="0.4">
      <c r="AN905" s="26"/>
      <c r="AO905" s="15"/>
    </row>
    <row r="906" spans="3:41" x14ac:dyDescent="0.4">
      <c r="S906" s="115"/>
      <c r="T906" s="115"/>
      <c r="U906" s="115"/>
      <c r="V906" s="115"/>
      <c r="W906" s="122"/>
      <c r="X906" s="122"/>
      <c r="Y906" s="122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7"/>
      <c r="AO906" s="15"/>
    </row>
    <row r="907" spans="3:41" x14ac:dyDescent="0.4">
      <c r="AN907" s="26"/>
      <c r="AO907" s="15"/>
    </row>
    <row r="908" spans="3:41" x14ac:dyDescent="0.4">
      <c r="Q908" s="115"/>
      <c r="R908" s="115"/>
      <c r="S908" s="115"/>
      <c r="T908" s="115"/>
      <c r="U908" s="115"/>
      <c r="V908" s="115"/>
      <c r="W908" s="122"/>
      <c r="X908" s="122"/>
      <c r="Y908" s="122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26"/>
      <c r="AO908" s="15"/>
    </row>
    <row r="909" spans="3:41" x14ac:dyDescent="0.4">
      <c r="AN909" s="26"/>
      <c r="AO909" s="15"/>
    </row>
    <row r="910" spans="3:41" x14ac:dyDescent="0.4">
      <c r="AN910" s="26"/>
      <c r="AO910" s="15"/>
    </row>
    <row r="911" spans="3:41" x14ac:dyDescent="0.4"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22"/>
      <c r="X911" s="122"/>
      <c r="Y911" s="122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26"/>
      <c r="AO911" s="15"/>
    </row>
    <row r="912" spans="3:41" x14ac:dyDescent="0.4"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22"/>
      <c r="X912" s="122"/>
      <c r="Y912" s="122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26"/>
      <c r="AO912" s="15"/>
    </row>
    <row r="913" spans="1:41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22"/>
      <c r="X913" s="122"/>
      <c r="Y913" s="122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26"/>
      <c r="AO913" s="15"/>
    </row>
    <row r="914" spans="1:41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22"/>
      <c r="X914" s="122"/>
      <c r="Y914" s="122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26"/>
      <c r="AO914" s="15"/>
    </row>
    <row r="915" spans="1:41" x14ac:dyDescent="0.4">
      <c r="AN915" s="26"/>
      <c r="AO915" s="15"/>
    </row>
    <row r="916" spans="1:41" x14ac:dyDescent="0.4">
      <c r="S916" s="115"/>
      <c r="T916" s="115"/>
      <c r="U916" s="115"/>
      <c r="V916" s="115"/>
      <c r="W916" s="122"/>
      <c r="X916" s="122"/>
      <c r="Y916" s="122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7"/>
      <c r="AO916" s="15"/>
    </row>
    <row r="917" spans="1:41" x14ac:dyDescent="0.4">
      <c r="AN917" s="26"/>
      <c r="AO917" s="15"/>
    </row>
    <row r="918" spans="1:41" x14ac:dyDescent="0.4"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22"/>
      <c r="X918" s="122"/>
      <c r="Y918" s="122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26"/>
      <c r="AO918" s="15"/>
    </row>
    <row r="919" spans="1:41" x14ac:dyDescent="0.4"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22"/>
      <c r="X919" s="122"/>
      <c r="Y919" s="122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26"/>
      <c r="AO919" s="15"/>
    </row>
    <row r="920" spans="1:41" x14ac:dyDescent="0.4"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22"/>
      <c r="X920" s="122"/>
      <c r="Y920" s="122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7"/>
      <c r="AO920" s="15"/>
    </row>
    <row r="921" spans="1:41" x14ac:dyDescent="0.4">
      <c r="AN921" s="26"/>
      <c r="AO921" s="15"/>
    </row>
    <row r="922" spans="1:41" x14ac:dyDescent="0.4"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22"/>
      <c r="X922" s="122"/>
      <c r="Y922" s="122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26"/>
      <c r="AO922" s="15"/>
    </row>
    <row r="923" spans="1:41" x14ac:dyDescent="0.4"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22"/>
      <c r="X923" s="122"/>
      <c r="Y923" s="122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7"/>
      <c r="AO923" s="15"/>
    </row>
    <row r="924" spans="1:41" x14ac:dyDescent="0.4">
      <c r="AN924" s="26"/>
      <c r="AO924" s="15"/>
    </row>
    <row r="925" spans="1:41" x14ac:dyDescent="0.4">
      <c r="S925" s="115"/>
      <c r="T925" s="115"/>
      <c r="U925" s="115"/>
      <c r="V925" s="115"/>
      <c r="W925" s="122"/>
      <c r="X925" s="122"/>
      <c r="Y925" s="122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7"/>
      <c r="AO925" s="15"/>
    </row>
    <row r="926" spans="1:41" x14ac:dyDescent="0.4"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22"/>
      <c r="X926" s="122"/>
      <c r="Y926" s="122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26"/>
      <c r="AO926" s="15"/>
    </row>
    <row r="927" spans="1:41" x14ac:dyDescent="0.4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22"/>
      <c r="X927" s="122"/>
      <c r="Y927" s="122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7"/>
      <c r="AO927" s="15"/>
    </row>
    <row r="928" spans="1:41" x14ac:dyDescent="0.4">
      <c r="AN928" s="26"/>
      <c r="AO928" s="15"/>
    </row>
    <row r="929" spans="3:41" x14ac:dyDescent="0.4">
      <c r="AN929" s="26"/>
      <c r="AO929" s="15"/>
    </row>
    <row r="930" spans="3:41" x14ac:dyDescent="0.4">
      <c r="R930" s="115"/>
      <c r="S930" s="115"/>
      <c r="T930" s="115"/>
      <c r="U930" s="115"/>
      <c r="V930" s="115"/>
      <c r="W930" s="122"/>
      <c r="X930" s="122"/>
      <c r="Y930" s="122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26"/>
      <c r="AO930" s="15"/>
    </row>
    <row r="931" spans="3:41" x14ac:dyDescent="0.4">
      <c r="P931" s="115"/>
      <c r="Q931" s="115"/>
      <c r="R931" s="115"/>
      <c r="S931" s="115"/>
      <c r="T931" s="115"/>
      <c r="U931" s="115"/>
      <c r="V931" s="115"/>
      <c r="W931" s="122"/>
      <c r="X931" s="122"/>
      <c r="Y931" s="122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26"/>
      <c r="AO931" s="15"/>
    </row>
    <row r="932" spans="3:41" x14ac:dyDescent="0.4">
      <c r="P932" s="115"/>
      <c r="Q932" s="115"/>
      <c r="R932" s="115"/>
      <c r="S932" s="115"/>
      <c r="T932" s="115"/>
      <c r="U932" s="115"/>
      <c r="V932" s="115"/>
      <c r="W932" s="122"/>
      <c r="X932" s="122"/>
      <c r="Y932" s="122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26"/>
      <c r="AO932" s="15"/>
    </row>
    <row r="933" spans="3:41" x14ac:dyDescent="0.4"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22"/>
      <c r="X933" s="122"/>
      <c r="Y933" s="122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26"/>
      <c r="AO933" s="15"/>
    </row>
    <row r="934" spans="3:41" x14ac:dyDescent="0.4"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22"/>
      <c r="X934" s="122"/>
      <c r="Y934" s="122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26"/>
      <c r="AO934" s="15"/>
    </row>
    <row r="935" spans="3:41" x14ac:dyDescent="0.4">
      <c r="AN935" s="26"/>
      <c r="AO935" s="15"/>
    </row>
    <row r="936" spans="3:41" x14ac:dyDescent="0.4">
      <c r="R936" s="115"/>
      <c r="S936" s="115"/>
      <c r="T936" s="115"/>
      <c r="U936" s="115"/>
      <c r="V936" s="115"/>
      <c r="W936" s="122"/>
      <c r="X936" s="122"/>
      <c r="Y936" s="122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26"/>
      <c r="AO936" s="15"/>
    </row>
    <row r="937" spans="3:41" x14ac:dyDescent="0.4">
      <c r="AN937" s="26"/>
      <c r="AO937" s="15"/>
    </row>
    <row r="938" spans="3:41" x14ac:dyDescent="0.4">
      <c r="S938" s="115"/>
      <c r="T938" s="115"/>
      <c r="U938" s="115"/>
      <c r="V938" s="115"/>
      <c r="W938" s="122"/>
      <c r="X938" s="122"/>
      <c r="Y938" s="122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7"/>
      <c r="AO938" s="15"/>
    </row>
    <row r="939" spans="3:41" x14ac:dyDescent="0.4">
      <c r="R939" s="115"/>
      <c r="S939" s="115"/>
      <c r="T939" s="115"/>
      <c r="U939" s="115"/>
      <c r="V939" s="115"/>
      <c r="W939" s="122"/>
      <c r="X939" s="122"/>
      <c r="Y939" s="122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26"/>
      <c r="AO939" s="15"/>
    </row>
    <row r="940" spans="3:41" x14ac:dyDescent="0.4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22"/>
      <c r="X940" s="122"/>
      <c r="Y940" s="122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26"/>
      <c r="AO940" s="15"/>
    </row>
    <row r="941" spans="3:41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22"/>
      <c r="X941" s="122"/>
      <c r="Y941" s="122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7"/>
      <c r="AO941" s="15"/>
    </row>
    <row r="942" spans="3:41" x14ac:dyDescent="0.4">
      <c r="AN942" s="26"/>
      <c r="AO942" s="15"/>
    </row>
    <row r="943" spans="3:41" x14ac:dyDescent="0.4">
      <c r="S943" s="115"/>
      <c r="T943" s="115"/>
      <c r="U943" s="115"/>
      <c r="V943" s="115"/>
      <c r="W943" s="122"/>
      <c r="X943" s="122"/>
      <c r="Y943" s="122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7"/>
      <c r="AO943" s="15"/>
    </row>
    <row r="944" spans="3:41" x14ac:dyDescent="0.4">
      <c r="R944" s="115"/>
      <c r="S944" s="115"/>
      <c r="T944" s="115"/>
      <c r="U944" s="115"/>
      <c r="V944" s="115"/>
      <c r="W944" s="122"/>
      <c r="X944" s="122"/>
      <c r="Y944" s="122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26"/>
      <c r="AO944" s="15"/>
    </row>
    <row r="945" spans="4:41" x14ac:dyDescent="0.4">
      <c r="R945" s="115"/>
      <c r="S945" s="115"/>
      <c r="T945" s="115"/>
      <c r="U945" s="115"/>
      <c r="V945" s="115"/>
      <c r="W945" s="122"/>
      <c r="X945" s="122"/>
      <c r="Y945" s="122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7"/>
      <c r="AO945" s="15"/>
    </row>
    <row r="946" spans="4:41" x14ac:dyDescent="0.4">
      <c r="R946" s="115"/>
      <c r="S946" s="115"/>
      <c r="T946" s="115"/>
      <c r="U946" s="115"/>
      <c r="V946" s="115"/>
      <c r="W946" s="122"/>
      <c r="X946" s="122"/>
      <c r="Y946" s="122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7"/>
      <c r="AO946" s="15"/>
    </row>
    <row r="947" spans="4:41" x14ac:dyDescent="0.4"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22"/>
      <c r="X947" s="122"/>
      <c r="Y947" s="122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26"/>
      <c r="AO947" s="15"/>
    </row>
    <row r="948" spans="4:41" x14ac:dyDescent="0.4"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22"/>
      <c r="X948" s="122"/>
      <c r="Y948" s="122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26"/>
      <c r="AO948" s="15"/>
    </row>
    <row r="949" spans="4:41" x14ac:dyDescent="0.4"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22"/>
      <c r="X949" s="122"/>
      <c r="Y949" s="122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26"/>
      <c r="AO949" s="15"/>
    </row>
    <row r="950" spans="4:41" x14ac:dyDescent="0.4"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22"/>
      <c r="X950" s="122"/>
      <c r="Y950" s="122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26"/>
      <c r="AO950" s="15"/>
    </row>
    <row r="951" spans="4:41" x14ac:dyDescent="0.4"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22"/>
      <c r="X951" s="122"/>
      <c r="Y951" s="122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26"/>
      <c r="AO951" s="15"/>
    </row>
    <row r="952" spans="4:41" x14ac:dyDescent="0.4"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22"/>
      <c r="X952" s="122"/>
      <c r="Y952" s="122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7"/>
      <c r="AO952" s="15"/>
    </row>
    <row r="953" spans="4:41" x14ac:dyDescent="0.4">
      <c r="AN953" s="26"/>
      <c r="AO953" s="15"/>
    </row>
    <row r="954" spans="4:41" x14ac:dyDescent="0.4">
      <c r="R954" s="115"/>
      <c r="S954" s="115"/>
      <c r="T954" s="115"/>
      <c r="U954" s="115"/>
      <c r="V954" s="115"/>
      <c r="W954" s="122"/>
      <c r="X954" s="122"/>
      <c r="Y954" s="122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7"/>
      <c r="AO954" s="13"/>
    </row>
    <row r="955" spans="4:41" x14ac:dyDescent="0.4">
      <c r="R955" s="115"/>
      <c r="S955" s="115"/>
      <c r="T955" s="115"/>
      <c r="U955" s="115"/>
      <c r="V955" s="115"/>
      <c r="W955" s="122"/>
      <c r="X955" s="122"/>
      <c r="Y955" s="122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7"/>
      <c r="AO955" s="13"/>
    </row>
    <row r="956" spans="4:41" x14ac:dyDescent="0.4">
      <c r="P956" s="115"/>
      <c r="Q956" s="115"/>
      <c r="R956" s="115"/>
      <c r="S956" s="115"/>
      <c r="T956" s="115"/>
      <c r="U956" s="115"/>
      <c r="V956" s="115"/>
      <c r="W956" s="122"/>
      <c r="X956" s="122"/>
      <c r="Y956" s="122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26"/>
      <c r="AO956" s="13"/>
    </row>
    <row r="957" spans="4:41" x14ac:dyDescent="0.4">
      <c r="P957" s="115"/>
      <c r="Q957" s="115"/>
      <c r="R957" s="115"/>
      <c r="S957" s="115"/>
      <c r="T957" s="115"/>
      <c r="U957" s="115"/>
      <c r="V957" s="115"/>
      <c r="W957" s="122"/>
      <c r="X957" s="122"/>
      <c r="Y957" s="122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7"/>
      <c r="AO957" s="13"/>
    </row>
    <row r="958" spans="4:41" x14ac:dyDescent="0.4">
      <c r="AN958" s="26"/>
      <c r="AO958" s="13"/>
    </row>
    <row r="959" spans="4:41" x14ac:dyDescent="0.4">
      <c r="Q959" s="115"/>
      <c r="R959" s="115"/>
      <c r="S959" s="115"/>
      <c r="T959" s="115"/>
      <c r="U959" s="115"/>
      <c r="V959" s="115"/>
      <c r="W959" s="122"/>
      <c r="X959" s="122"/>
      <c r="Y959" s="122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7"/>
      <c r="AO959" s="13"/>
    </row>
    <row r="960" spans="4:41" x14ac:dyDescent="0.4">
      <c r="AN960" s="26"/>
      <c r="AO960" s="13"/>
    </row>
    <row r="961" spans="3:41" x14ac:dyDescent="0.4">
      <c r="AN961" s="26"/>
      <c r="AO961" s="13"/>
    </row>
    <row r="962" spans="3:41" x14ac:dyDescent="0.4"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22"/>
      <c r="X962" s="122"/>
      <c r="Y962" s="122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26"/>
      <c r="AO962" s="13"/>
    </row>
    <row r="963" spans="3:41" x14ac:dyDescent="0.4"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22"/>
      <c r="X963" s="122"/>
      <c r="Y963" s="122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26"/>
      <c r="AO963" s="13"/>
    </row>
    <row r="964" spans="3:41" x14ac:dyDescent="0.4">
      <c r="AN964" s="26"/>
      <c r="AO964" s="13"/>
    </row>
    <row r="965" spans="3:41" x14ac:dyDescent="0.4">
      <c r="AN965" s="26"/>
      <c r="AO965" s="13"/>
    </row>
    <row r="966" spans="3:41" x14ac:dyDescent="0.4"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22"/>
      <c r="X966" s="122"/>
      <c r="Y966" s="122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26"/>
      <c r="AO966" s="13"/>
    </row>
    <row r="967" spans="3:41" x14ac:dyDescent="0.4">
      <c r="AN967" s="26"/>
      <c r="AO967" s="105"/>
    </row>
    <row r="968" spans="3:41" x14ac:dyDescent="0.4"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22"/>
      <c r="X968" s="122"/>
      <c r="Y968" s="122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26"/>
      <c r="AO968" s="15"/>
    </row>
    <row r="969" spans="3:41" x14ac:dyDescent="0.4"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22"/>
      <c r="X969" s="122"/>
      <c r="Y969" s="122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7"/>
      <c r="AO969" s="15"/>
    </row>
    <row r="970" spans="3:41" x14ac:dyDescent="0.4">
      <c r="AN970" s="26"/>
      <c r="AO970" s="15"/>
    </row>
    <row r="971" spans="3:41" x14ac:dyDescent="0.4"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22"/>
      <c r="X971" s="122"/>
      <c r="Y971" s="122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26"/>
      <c r="AO971" s="15"/>
    </row>
    <row r="972" spans="3:41" x14ac:dyDescent="0.4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22"/>
      <c r="X972" s="122"/>
      <c r="Y972" s="122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26"/>
      <c r="AO972" s="15"/>
    </row>
    <row r="973" spans="3:41" x14ac:dyDescent="0.4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22"/>
      <c r="X973" s="122"/>
      <c r="Y973" s="122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26"/>
      <c r="AO973" s="13"/>
    </row>
    <row r="974" spans="3:41" x14ac:dyDescent="0.4">
      <c r="AN974" s="26"/>
      <c r="AO974" s="15"/>
    </row>
    <row r="975" spans="3:41" x14ac:dyDescent="0.4"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22"/>
      <c r="X975" s="122"/>
      <c r="Y975" s="122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26"/>
      <c r="AO975" s="15"/>
    </row>
    <row r="976" spans="3:41" x14ac:dyDescent="0.4"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22"/>
      <c r="X976" s="122"/>
      <c r="Y976" s="122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26"/>
      <c r="AO976" s="15"/>
    </row>
    <row r="977" spans="2:41" x14ac:dyDescent="0.4"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22"/>
      <c r="X977" s="122"/>
      <c r="Y977" s="122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26"/>
      <c r="AO977" s="15"/>
    </row>
    <row r="978" spans="2:41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22"/>
      <c r="X978" s="122"/>
      <c r="Y978" s="122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26"/>
      <c r="AO978" s="15"/>
    </row>
    <row r="979" spans="2:41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22"/>
      <c r="X979" s="122"/>
      <c r="Y979" s="122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26"/>
      <c r="AO979" s="15"/>
    </row>
    <row r="980" spans="2:41" x14ac:dyDescent="0.4"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22"/>
      <c r="X980" s="122"/>
      <c r="Y980" s="122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26"/>
      <c r="AO980" s="15"/>
    </row>
    <row r="981" spans="2:41" ht="19.5" customHeight="1" x14ac:dyDescent="0.4"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22"/>
      <c r="X981" s="122"/>
      <c r="Y981" s="122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26"/>
      <c r="AO981" s="15"/>
    </row>
    <row r="982" spans="2:41" ht="19.5" customHeight="1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22"/>
      <c r="X982" s="122"/>
      <c r="Y982" s="122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26"/>
      <c r="AO982" s="15"/>
    </row>
    <row r="983" spans="2:41" x14ac:dyDescent="0.4">
      <c r="AN983" s="26"/>
      <c r="AO983" s="15"/>
    </row>
    <row r="984" spans="2:41" x14ac:dyDescent="0.4"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22"/>
      <c r="X984" s="122"/>
      <c r="Y984" s="122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26"/>
      <c r="AO984" s="15"/>
    </row>
    <row r="985" spans="2:41" x14ac:dyDescent="0.4"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22"/>
      <c r="X985" s="122"/>
      <c r="Y985" s="122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26"/>
      <c r="AO985" s="15"/>
    </row>
    <row r="986" spans="2:41" x14ac:dyDescent="0.4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22"/>
      <c r="X986" s="122"/>
      <c r="Y986" s="122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7"/>
      <c r="AO986" s="15"/>
    </row>
    <row r="987" spans="2:41" x14ac:dyDescent="0.4">
      <c r="AN987" s="26"/>
      <c r="AO987" s="15"/>
    </row>
    <row r="988" spans="2:41" x14ac:dyDescent="0.4">
      <c r="Q988" s="115"/>
      <c r="R988" s="115"/>
      <c r="S988" s="115"/>
      <c r="T988" s="115"/>
      <c r="U988" s="115"/>
      <c r="V988" s="115"/>
      <c r="W988" s="122"/>
      <c r="X988" s="122"/>
      <c r="Y988" s="122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7"/>
      <c r="AO988" s="15"/>
    </row>
    <row r="989" spans="2:41" x14ac:dyDescent="0.4"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22"/>
      <c r="X989" s="122"/>
      <c r="Y989" s="122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26"/>
      <c r="AO989" s="15"/>
    </row>
    <row r="990" spans="2:41" x14ac:dyDescent="0.4">
      <c r="AN990" s="26"/>
      <c r="AO990" s="15"/>
    </row>
    <row r="991" spans="2:41" x14ac:dyDescent="0.4">
      <c r="AN991" s="26"/>
      <c r="AO991" s="15"/>
    </row>
    <row r="992" spans="2:41" x14ac:dyDescent="0.4">
      <c r="P992" s="115"/>
      <c r="Q992" s="115"/>
      <c r="R992" s="115"/>
      <c r="S992" s="115"/>
      <c r="T992" s="115"/>
      <c r="U992" s="115"/>
      <c r="V992" s="115"/>
      <c r="W992" s="122"/>
      <c r="X992" s="122"/>
      <c r="Y992" s="122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26"/>
      <c r="AO992" s="15"/>
    </row>
    <row r="993" spans="1:41" x14ac:dyDescent="0.4">
      <c r="AN993" s="26"/>
      <c r="AO993" s="15"/>
    </row>
    <row r="994" spans="1:41" x14ac:dyDescent="0.4">
      <c r="Q994" s="115"/>
      <c r="R994" s="115"/>
      <c r="S994" s="115"/>
      <c r="T994" s="115"/>
      <c r="U994" s="115"/>
      <c r="V994" s="115"/>
      <c r="W994" s="122"/>
      <c r="X994" s="122"/>
      <c r="Y994" s="122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7"/>
      <c r="AO994" s="15"/>
    </row>
    <row r="995" spans="1:41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22"/>
      <c r="X995" s="122"/>
      <c r="Y995" s="122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26"/>
      <c r="AO995" s="15"/>
    </row>
    <row r="996" spans="1:41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22"/>
      <c r="X996" s="122"/>
      <c r="Y996" s="122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7"/>
      <c r="AO996" s="13"/>
    </row>
    <row r="997" spans="1:41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22"/>
      <c r="X997" s="122"/>
      <c r="Y997" s="122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7"/>
      <c r="AO997" s="13"/>
    </row>
    <row r="998" spans="1:41" x14ac:dyDescent="0.4">
      <c r="AN998" s="26"/>
      <c r="AO998" s="13"/>
    </row>
    <row r="999" spans="1:41" x14ac:dyDescent="0.4"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22"/>
      <c r="X999" s="122"/>
      <c r="Y999" s="122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26"/>
      <c r="AO999" s="15"/>
    </row>
    <row r="1000" spans="1:41" x14ac:dyDescent="0.4"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22"/>
      <c r="X1000" s="122"/>
      <c r="Y1000" s="122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26"/>
      <c r="AO1000" s="15"/>
    </row>
    <row r="1001" spans="1:41" x14ac:dyDescent="0.4">
      <c r="AN1001" s="26"/>
      <c r="AO1001" s="15"/>
    </row>
    <row r="1002" spans="1:41" x14ac:dyDescent="0.4"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22"/>
      <c r="X1002" s="122"/>
      <c r="Y1002" s="122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26"/>
      <c r="AO1002" s="15"/>
    </row>
    <row r="1003" spans="1:41" x14ac:dyDescent="0.4"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22"/>
      <c r="X1003" s="122"/>
      <c r="Y1003" s="122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26"/>
      <c r="AO1003" s="15"/>
    </row>
    <row r="1004" spans="1:41" x14ac:dyDescent="0.4"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22"/>
      <c r="X1004" s="122"/>
      <c r="Y1004" s="122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26"/>
      <c r="AO1004" s="15"/>
    </row>
    <row r="1005" spans="1:41" x14ac:dyDescent="0.4"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22"/>
      <c r="X1005" s="122"/>
      <c r="Y1005" s="122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26"/>
      <c r="AO1005" s="15"/>
    </row>
    <row r="1006" spans="1:41" x14ac:dyDescent="0.4">
      <c r="AN1006" s="26"/>
      <c r="AO1006" s="15"/>
    </row>
    <row r="1007" spans="1:41" x14ac:dyDescent="0.4"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22"/>
      <c r="X1007" s="122"/>
      <c r="Y1007" s="122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26"/>
      <c r="AO1007" s="15"/>
    </row>
    <row r="1008" spans="1:41" x14ac:dyDescent="0.4">
      <c r="AN1008" s="26"/>
      <c r="AO1008" s="15"/>
    </row>
    <row r="1009" spans="1:41" x14ac:dyDescent="0.4"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22"/>
      <c r="X1009" s="122"/>
      <c r="Y1009" s="122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26"/>
      <c r="AO1009" s="15"/>
    </row>
    <row r="1010" spans="1:41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22"/>
      <c r="X1010" s="122"/>
      <c r="Y1010" s="122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26"/>
      <c r="AO1010" s="15"/>
    </row>
    <row r="1011" spans="1:41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22"/>
      <c r="X1011" s="122"/>
      <c r="Y1011" s="122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7"/>
      <c r="AO1011" s="15"/>
    </row>
    <row r="1012" spans="1:41" x14ac:dyDescent="0.4">
      <c r="AN1012" s="26"/>
      <c r="AO1012" s="15"/>
    </row>
    <row r="1013" spans="1:41" x14ac:dyDescent="0.4">
      <c r="AN1013" s="26"/>
      <c r="AO1013" s="15"/>
    </row>
    <row r="1014" spans="1:41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22"/>
      <c r="X1014" s="122"/>
      <c r="Y1014" s="122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26"/>
      <c r="AO1014" s="15"/>
    </row>
    <row r="1015" spans="1:41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22"/>
      <c r="X1015" s="122"/>
      <c r="Y1015" s="122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7"/>
      <c r="AO1015" s="15"/>
    </row>
    <row r="1016" spans="1:41" x14ac:dyDescent="0.4">
      <c r="AN1016" s="26"/>
      <c r="AO1016" s="15"/>
    </row>
    <row r="1017" spans="1:41" ht="17.25" customHeight="1" x14ac:dyDescent="0.4"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22"/>
      <c r="X1017" s="122"/>
      <c r="Y1017" s="122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26"/>
      <c r="AO1017" s="15"/>
    </row>
    <row r="1018" spans="1:41" x14ac:dyDescent="0.4">
      <c r="AN1018" s="26"/>
      <c r="AO1018" s="15"/>
    </row>
    <row r="1019" spans="1:41" x14ac:dyDescent="0.4">
      <c r="P1019" s="115"/>
      <c r="Q1019" s="115"/>
      <c r="R1019" s="115"/>
      <c r="S1019" s="115"/>
      <c r="T1019" s="115"/>
      <c r="U1019" s="115"/>
      <c r="V1019" s="115"/>
      <c r="W1019" s="122"/>
      <c r="X1019" s="122"/>
      <c r="Y1019" s="122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7"/>
      <c r="AO1019" s="15"/>
    </row>
    <row r="1020" spans="1:41" ht="16.5" customHeight="1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22"/>
      <c r="X1020" s="122"/>
      <c r="Y1020" s="122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26"/>
      <c r="AO1020" s="15"/>
    </row>
    <row r="1021" spans="1:41" ht="22.5" customHeight="1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22"/>
      <c r="X1021" s="122"/>
      <c r="Y1021" s="122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26"/>
      <c r="AO1021" s="15"/>
    </row>
    <row r="1022" spans="1:41" x14ac:dyDescent="0.4">
      <c r="AN1022" s="26"/>
      <c r="AO1022" s="15"/>
    </row>
    <row r="1023" spans="1:41" x14ac:dyDescent="0.4">
      <c r="AN1023" s="26"/>
      <c r="AO1023" s="105"/>
    </row>
    <row r="1024" spans="1:41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22"/>
      <c r="X1024" s="122"/>
      <c r="Y1024" s="122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26"/>
      <c r="AO1024" s="15"/>
    </row>
    <row r="1025" spans="1:41" x14ac:dyDescent="0.4">
      <c r="AN1025" s="26"/>
      <c r="AO1025" s="15"/>
    </row>
    <row r="1026" spans="1:41" x14ac:dyDescent="0.4">
      <c r="AN1026" s="26"/>
      <c r="AO1026" s="15"/>
    </row>
    <row r="1027" spans="1:41" x14ac:dyDescent="0.4">
      <c r="AN1027" s="26"/>
      <c r="AO1027" s="15"/>
    </row>
    <row r="1028" spans="1:41" x14ac:dyDescent="0.4">
      <c r="AN1028" s="26"/>
      <c r="AO1028" s="15"/>
    </row>
    <row r="1029" spans="1:41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22"/>
      <c r="X1029" s="122"/>
      <c r="Y1029" s="122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26"/>
      <c r="AO1029" s="15"/>
    </row>
    <row r="1030" spans="1:41" x14ac:dyDescent="0.4">
      <c r="AN1030" s="26"/>
      <c r="AO1030" s="15"/>
    </row>
    <row r="1031" spans="1:41" x14ac:dyDescent="0.4">
      <c r="AN1031" s="26"/>
      <c r="AO1031" s="15"/>
    </row>
    <row r="1032" spans="1:41" x14ac:dyDescent="0.4">
      <c r="AN1032" s="26"/>
      <c r="AO1032" s="15"/>
    </row>
    <row r="1033" spans="1:41" x14ac:dyDescent="0.4">
      <c r="AN1033" s="26"/>
      <c r="AO1033" s="15"/>
    </row>
    <row r="1034" spans="1:41" ht="18.75" customHeight="1" x14ac:dyDescent="0.4"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22"/>
      <c r="X1034" s="122"/>
      <c r="Y1034" s="122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26"/>
      <c r="AO1034" s="15"/>
    </row>
    <row r="1035" spans="1:41" x14ac:dyDescent="0.4">
      <c r="AN1035" s="26"/>
      <c r="AO1035" s="15"/>
    </row>
    <row r="1036" spans="1:41" x14ac:dyDescent="0.4">
      <c r="AN1036" s="26"/>
      <c r="AO1036" s="15"/>
    </row>
    <row r="1037" spans="1:41" x14ac:dyDescent="0.4"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22"/>
      <c r="X1037" s="122"/>
      <c r="Y1037" s="122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26"/>
      <c r="AO1037" s="15"/>
    </row>
    <row r="1038" spans="1:41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22"/>
      <c r="X1038" s="122"/>
      <c r="Y1038" s="122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26"/>
      <c r="AO1038" s="15"/>
    </row>
    <row r="1039" spans="1:41" x14ac:dyDescent="0.4">
      <c r="AN1039" s="26"/>
      <c r="AO1039" s="15"/>
    </row>
    <row r="1040" spans="1:41" x14ac:dyDescent="0.4">
      <c r="P1040" s="115"/>
      <c r="Q1040" s="115"/>
      <c r="R1040" s="115"/>
      <c r="S1040" s="115"/>
      <c r="T1040" s="115"/>
      <c r="U1040" s="115"/>
      <c r="V1040" s="115"/>
      <c r="W1040" s="122"/>
      <c r="X1040" s="122"/>
      <c r="Y1040" s="122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7"/>
      <c r="AO1040" s="15"/>
    </row>
    <row r="1041" spans="1:41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22"/>
      <c r="X1041" s="122"/>
      <c r="Y1041" s="122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26"/>
      <c r="AO1041" s="15"/>
    </row>
    <row r="1042" spans="1:41" x14ac:dyDescent="0.4">
      <c r="AN1042" s="26"/>
      <c r="AO1042" s="15"/>
    </row>
    <row r="1043" spans="1:41" x14ac:dyDescent="0.4">
      <c r="P1043" s="115"/>
      <c r="Q1043" s="115"/>
      <c r="R1043" s="115"/>
      <c r="S1043" s="115"/>
      <c r="T1043" s="115"/>
      <c r="U1043" s="115"/>
      <c r="V1043" s="115"/>
      <c r="W1043" s="122"/>
      <c r="X1043" s="122"/>
      <c r="Y1043" s="122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7"/>
      <c r="AO1043" s="15"/>
    </row>
    <row r="1044" spans="1:41" x14ac:dyDescent="0.4">
      <c r="AN1044" s="26"/>
      <c r="AO1044" s="15"/>
    </row>
    <row r="1045" spans="1:41" x14ac:dyDescent="0.4"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22"/>
      <c r="X1045" s="122"/>
      <c r="Y1045" s="122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26"/>
      <c r="AO1045" s="15"/>
    </row>
    <row r="1046" spans="1:41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22"/>
      <c r="X1046" s="122"/>
      <c r="Y1046" s="122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26"/>
      <c r="AO1046" s="15"/>
    </row>
    <row r="1047" spans="1:41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22"/>
      <c r="X1047" s="122"/>
      <c r="Y1047" s="122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26"/>
      <c r="AO1047" s="15"/>
    </row>
    <row r="1048" spans="1:41" x14ac:dyDescent="0.4">
      <c r="AN1048" s="26"/>
      <c r="AO1048" s="15"/>
    </row>
    <row r="1049" spans="1:41" x14ac:dyDescent="0.4"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22"/>
      <c r="X1049" s="122"/>
      <c r="Y1049" s="122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26"/>
      <c r="AO1049" s="15"/>
    </row>
    <row r="1050" spans="1:41" x14ac:dyDescent="0.4">
      <c r="AN1050" s="26"/>
      <c r="AO1050" s="15"/>
    </row>
    <row r="1051" spans="1:41" x14ac:dyDescent="0.4"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22"/>
      <c r="X1051" s="122"/>
      <c r="Y1051" s="122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26"/>
      <c r="AO1051" s="15"/>
    </row>
    <row r="1052" spans="1:41" x14ac:dyDescent="0.4">
      <c r="AN1052" s="26"/>
      <c r="AO1052" s="15"/>
    </row>
    <row r="1053" spans="1:41" x14ac:dyDescent="0.4">
      <c r="AN1053" s="26"/>
      <c r="AO1053" s="15"/>
    </row>
    <row r="1054" spans="1:41" x14ac:dyDescent="0.4">
      <c r="AN1054" s="26"/>
      <c r="AO1054" s="15"/>
    </row>
    <row r="1055" spans="1:41" x14ac:dyDescent="0.4">
      <c r="AN1055" s="26"/>
      <c r="AO1055" s="15"/>
    </row>
    <row r="1056" spans="1:41" x14ac:dyDescent="0.4">
      <c r="AN1056" s="26"/>
      <c r="AO1056" s="15"/>
    </row>
    <row r="1057" spans="1:41" x14ac:dyDescent="0.4">
      <c r="AN1057" s="26"/>
      <c r="AO1057" s="15"/>
    </row>
    <row r="1058" spans="1:41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22"/>
      <c r="X1058" s="122"/>
      <c r="Y1058" s="122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26"/>
      <c r="AO1058" s="15"/>
    </row>
    <row r="1059" spans="1:41" x14ac:dyDescent="0.4">
      <c r="AN1059" s="26"/>
      <c r="AO1059" s="15"/>
    </row>
    <row r="1060" spans="1:41" x14ac:dyDescent="0.4">
      <c r="AN1060" s="26"/>
      <c r="AO1060" s="15"/>
    </row>
    <row r="1061" spans="1:41" x14ac:dyDescent="0.4">
      <c r="AN1061" s="26"/>
      <c r="AO1061" s="15"/>
    </row>
    <row r="1062" spans="1:41" x14ac:dyDescent="0.4">
      <c r="AN1062" s="26"/>
      <c r="AO1062" s="15"/>
    </row>
    <row r="1063" spans="1:41" x14ac:dyDescent="0.4">
      <c r="AN1063" s="26"/>
      <c r="AO1063" s="15"/>
    </row>
    <row r="1064" spans="1:41" x14ac:dyDescent="0.4">
      <c r="P1064" s="115"/>
      <c r="Q1064" s="115"/>
      <c r="R1064" s="115"/>
      <c r="S1064" s="115"/>
      <c r="T1064" s="115"/>
      <c r="U1064" s="115"/>
      <c r="V1064" s="115"/>
      <c r="W1064" s="122"/>
      <c r="X1064" s="122"/>
      <c r="Y1064" s="122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7"/>
      <c r="AO1064" s="15"/>
    </row>
    <row r="1065" spans="1:41" x14ac:dyDescent="0.4">
      <c r="P1065" s="115"/>
      <c r="Q1065" s="115"/>
      <c r="R1065" s="115"/>
      <c r="S1065" s="115"/>
      <c r="T1065" s="115"/>
      <c r="U1065" s="115"/>
      <c r="V1065" s="115"/>
      <c r="W1065" s="122"/>
      <c r="X1065" s="122"/>
      <c r="Y1065" s="122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7"/>
      <c r="AO1065" s="15"/>
    </row>
    <row r="1066" spans="1:41" x14ac:dyDescent="0.4">
      <c r="AN1066" s="26"/>
      <c r="AO1066" s="15"/>
    </row>
    <row r="1067" spans="1:41" x14ac:dyDescent="0.4">
      <c r="AN1067" s="26"/>
      <c r="AO1067" s="15"/>
    </row>
    <row r="1068" spans="1:41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22"/>
      <c r="X1068" s="122"/>
      <c r="Y1068" s="122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26"/>
      <c r="AO1068" s="15"/>
    </row>
    <row r="1069" spans="1:41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22"/>
      <c r="X1069" s="122"/>
      <c r="Y1069" s="122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26"/>
      <c r="AO1069" s="13"/>
    </row>
    <row r="1070" spans="1:41" x14ac:dyDescent="0.4">
      <c r="AN1070" s="26"/>
      <c r="AO1070" s="15"/>
    </row>
    <row r="1071" spans="1:41" x14ac:dyDescent="0.4"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22"/>
      <c r="X1071" s="122"/>
      <c r="Y1071" s="122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26"/>
      <c r="AO1071" s="15"/>
    </row>
    <row r="1072" spans="1:41" x14ac:dyDescent="0.4">
      <c r="AN1072" s="26"/>
      <c r="AO1072" s="15"/>
    </row>
    <row r="1073" spans="1:41" x14ac:dyDescent="0.4">
      <c r="AN1073" s="26"/>
      <c r="AO1073" s="15"/>
    </row>
    <row r="1074" spans="1:41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22"/>
      <c r="X1074" s="122"/>
      <c r="Y1074" s="122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26"/>
      <c r="AO1074" s="15"/>
    </row>
    <row r="1075" spans="1:41" x14ac:dyDescent="0.4">
      <c r="AN1075" s="26"/>
      <c r="AO1075" s="13"/>
    </row>
    <row r="1076" spans="1:41" x14ac:dyDescent="0.4">
      <c r="AN1076" s="26"/>
      <c r="AO1076" s="13"/>
    </row>
    <row r="1077" spans="1:41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22"/>
      <c r="X1077" s="122"/>
      <c r="Y1077" s="122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26"/>
      <c r="AO1077" s="13"/>
    </row>
    <row r="1078" spans="1:41" x14ac:dyDescent="0.4">
      <c r="AN1078" s="26"/>
      <c r="AO1078" s="13"/>
    </row>
    <row r="1079" spans="1:41" x14ac:dyDescent="0.4">
      <c r="AN1079" s="26"/>
      <c r="AO1079" s="13"/>
    </row>
    <row r="1080" spans="1:41" x14ac:dyDescent="0.4">
      <c r="AN1080" s="26"/>
      <c r="AO1080" s="13"/>
    </row>
    <row r="1081" spans="1:41" x14ac:dyDescent="0.4">
      <c r="AN1081" s="26"/>
      <c r="AO1081" s="13"/>
    </row>
    <row r="1082" spans="1:41" x14ac:dyDescent="0.4">
      <c r="AN1082" s="26"/>
      <c r="AO1082" s="13"/>
    </row>
    <row r="1083" spans="1:41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22"/>
      <c r="X1083" s="122"/>
      <c r="Y1083" s="122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26"/>
      <c r="AO1083" s="25"/>
    </row>
    <row r="1084" spans="1:41" x14ac:dyDescent="0.4">
      <c r="AN1084" s="26"/>
      <c r="AO1084" s="13"/>
    </row>
    <row r="1085" spans="1:41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22"/>
      <c r="X1085" s="122"/>
      <c r="Y1085" s="122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26"/>
      <c r="AO1085" s="13"/>
    </row>
    <row r="1086" spans="1:41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22"/>
      <c r="X1086" s="122"/>
      <c r="Y1086" s="122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26"/>
      <c r="AO1086" s="13"/>
    </row>
    <row r="1087" spans="1:41" x14ac:dyDescent="0.4">
      <c r="AN1087" s="26"/>
      <c r="AO1087" s="15"/>
    </row>
    <row r="1088" spans="1:41" x14ac:dyDescent="0.4">
      <c r="AN1088" s="26"/>
      <c r="AO1088" s="15"/>
    </row>
    <row r="1089" spans="2:41" x14ac:dyDescent="0.4">
      <c r="AN1089" s="26"/>
      <c r="AO1089" s="15"/>
    </row>
    <row r="1090" spans="2:41" x14ac:dyDescent="0.4">
      <c r="AN1090" s="26"/>
      <c r="AO1090" s="13"/>
    </row>
    <row r="1091" spans="2:41" x14ac:dyDescent="0.4">
      <c r="AN1091" s="26"/>
      <c r="AO1091" s="15"/>
    </row>
    <row r="1092" spans="2:41" x14ac:dyDescent="0.4"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22"/>
      <c r="X1092" s="122"/>
      <c r="Y1092" s="122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7"/>
      <c r="AO1092" s="15"/>
    </row>
    <row r="1093" spans="2:41" x14ac:dyDescent="0.4">
      <c r="AN1093" s="26"/>
      <c r="AO1093" s="15"/>
    </row>
    <row r="1094" spans="2:41" x14ac:dyDescent="0.4"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22"/>
      <c r="X1094" s="122"/>
      <c r="Y1094" s="122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7"/>
      <c r="AO1094" s="15"/>
    </row>
    <row r="1095" spans="2:41" x14ac:dyDescent="0.4">
      <c r="AN1095" s="26"/>
      <c r="AO1095" s="15"/>
    </row>
    <row r="1096" spans="2:41" x14ac:dyDescent="0.4">
      <c r="AN1096" s="26"/>
      <c r="AO1096" s="15"/>
    </row>
    <row r="1097" spans="2:41" x14ac:dyDescent="0.4"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22"/>
      <c r="X1097" s="122"/>
      <c r="Y1097" s="122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7"/>
      <c r="AO1097" s="15"/>
    </row>
    <row r="1098" spans="2:41" x14ac:dyDescent="0.4">
      <c r="AN1098" s="26"/>
      <c r="AO1098" s="15"/>
    </row>
    <row r="1099" spans="2:41" x14ac:dyDescent="0.4">
      <c r="AN1099" s="26"/>
      <c r="AO1099" s="15"/>
    </row>
    <row r="1100" spans="2:41" x14ac:dyDescent="0.4">
      <c r="AN1100" s="26"/>
      <c r="AO1100" s="105"/>
    </row>
    <row r="1101" spans="2:41" x14ac:dyDescent="0.4">
      <c r="AN1101" s="26"/>
      <c r="AO1101" s="15"/>
    </row>
    <row r="1102" spans="2:41" x14ac:dyDescent="0.4">
      <c r="AN1102" s="26"/>
      <c r="AO1102" s="15"/>
    </row>
    <row r="1103" spans="2:41" x14ac:dyDescent="0.4">
      <c r="AN1103" s="26"/>
      <c r="AO1103" s="15"/>
    </row>
    <row r="1104" spans="2:41" x14ac:dyDescent="0.4">
      <c r="AN1104" s="26"/>
      <c r="AO1104" s="15"/>
    </row>
    <row r="1105" spans="2:41" x14ac:dyDescent="0.4">
      <c r="AN1105" s="26"/>
      <c r="AO1105" s="15"/>
    </row>
    <row r="1106" spans="2:41" x14ac:dyDescent="0.4"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22"/>
      <c r="X1106" s="122"/>
      <c r="Y1106" s="122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9"/>
      <c r="AO1106" s="119"/>
    </row>
    <row r="1107" spans="2:41" x14ac:dyDescent="0.4"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22"/>
      <c r="X1107" s="122"/>
      <c r="Y1107" s="122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9"/>
      <c r="AO1107" s="119"/>
    </row>
  </sheetData>
  <sortState xmlns:xlrd2="http://schemas.microsoft.com/office/spreadsheetml/2017/richdata2" ref="P2:Q140">
    <sortCondition ref="P2:P140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2024-12-12T06:49:33Z</cp:lastPrinted>
  <dcterms:created xsi:type="dcterms:W3CDTF">2020-05-08T06:29:04Z</dcterms:created>
  <dcterms:modified xsi:type="dcterms:W3CDTF">2024-12-13T01:38:17Z</dcterms:modified>
</cp:coreProperties>
</file>