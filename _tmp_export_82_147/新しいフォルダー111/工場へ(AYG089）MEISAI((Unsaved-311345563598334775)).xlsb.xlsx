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8CCB4AFF-80E2-4EA6-9C1A-F8F92785C7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3" l="1"/>
  <c r="D30" i="3"/>
  <c r="C30" i="3"/>
  <c r="B30" i="3"/>
  <c r="K144" i="3"/>
  <c r="J144" i="3"/>
  <c r="K142" i="3"/>
  <c r="J142" i="3"/>
  <c r="K140" i="3"/>
  <c r="J140" i="3"/>
  <c r="K138" i="3"/>
  <c r="J138" i="3"/>
  <c r="K136" i="3"/>
  <c r="J136" i="3"/>
  <c r="K134" i="3"/>
  <c r="J134" i="3"/>
  <c r="K132" i="3"/>
  <c r="J132" i="3"/>
  <c r="K130" i="3"/>
  <c r="J130" i="3"/>
  <c r="K127" i="3"/>
  <c r="J127" i="3"/>
  <c r="K122" i="3"/>
  <c r="J122" i="3"/>
  <c r="K120" i="3"/>
  <c r="J120" i="3"/>
  <c r="K108" i="3"/>
  <c r="J108" i="3"/>
  <c r="K84" i="3"/>
  <c r="J84" i="3"/>
  <c r="K78" i="3"/>
  <c r="J78" i="3"/>
  <c r="K70" i="3"/>
  <c r="J70" i="3"/>
  <c r="K48" i="3"/>
  <c r="J48" i="3"/>
  <c r="K40" i="3"/>
  <c r="J40" i="3"/>
  <c r="K34" i="3"/>
  <c r="J34" i="3"/>
  <c r="K26" i="3"/>
  <c r="J26" i="3"/>
  <c r="K22" i="3"/>
  <c r="J22" i="3"/>
  <c r="K20" i="3"/>
  <c r="J20" i="3"/>
  <c r="K14" i="3"/>
  <c r="J14" i="3"/>
  <c r="K12" i="3"/>
  <c r="J12" i="3"/>
  <c r="K9" i="3"/>
  <c r="J9" i="3"/>
  <c r="K7" i="3"/>
  <c r="J7" i="3"/>
  <c r="K5" i="3"/>
  <c r="J5" i="3"/>
  <c r="K3" i="3"/>
  <c r="K145" i="3" s="1"/>
  <c r="J3" i="3"/>
  <c r="J145" i="3" s="1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AI281" i="3"/>
  <c r="AH281" i="3"/>
  <c r="AI276" i="3"/>
  <c r="AH276" i="3"/>
  <c r="AI274" i="3"/>
  <c r="AH274" i="3"/>
  <c r="AI260" i="3"/>
  <c r="AH260" i="3"/>
  <c r="AI242" i="3"/>
  <c r="AH242" i="3"/>
  <c r="AI234" i="3"/>
  <c r="AH234" i="3"/>
  <c r="AI206" i="3"/>
  <c r="AH206" i="3"/>
  <c r="AI197" i="3"/>
  <c r="AH197" i="3"/>
  <c r="AI170" i="3"/>
  <c r="AH170" i="3"/>
  <c r="AI163" i="3"/>
  <c r="AH163" i="3"/>
  <c r="AI152" i="3"/>
  <c r="AH152" i="3"/>
  <c r="AI111" i="3"/>
  <c r="AH111" i="3"/>
  <c r="AI77" i="3"/>
  <c r="AH77" i="3"/>
  <c r="AI73" i="3"/>
  <c r="AH73" i="3"/>
  <c r="AI60" i="3"/>
  <c r="AH60" i="3"/>
  <c r="AI56" i="3"/>
  <c r="AH56" i="3"/>
  <c r="AI51" i="3"/>
  <c r="AH51" i="3"/>
  <c r="AI47" i="3"/>
  <c r="AH47" i="3"/>
  <c r="AI41" i="3"/>
  <c r="AH41" i="3"/>
  <c r="AI31" i="3"/>
  <c r="AH31" i="3"/>
  <c r="AI28" i="3"/>
  <c r="AH28" i="3"/>
  <c r="AI15" i="3"/>
  <c r="AH15" i="3"/>
  <c r="B61" i="1"/>
  <c r="A241" i="1"/>
  <c r="A151" i="1"/>
  <c r="AB43" i="1"/>
  <c r="AH282" i="3" l="1"/>
  <c r="AI282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<sst xmlns="http://schemas.openxmlformats.org/spreadsheetml/2006/main" count="2318" uniqueCount="364">
  <si>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</si>
  <si>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</si>
  <si>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</si>
  <si>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</si>
  <si>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</si>
  <si>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</si>
  <si>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</si>
  <si>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</si>
  <si>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</si>
  <si>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</si>
  <si>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</si>
  <si>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</si>
  <si>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</si>
  <si>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</si>
  <si>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</si>
  <si>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</si>
  <si>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</si>
  <si>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</si>
  <si>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</si>
  <si>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</si>
  <si>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</si>
  <si>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</si>
  <si>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</si>
  <si>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</si>
  <si>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</si>
  <si>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</si>
  <si>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</si>
  <si>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</si>
  <si>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</si>
  <si>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</si>
  <si>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</si>
  <si>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</si>
  <si>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</si>
  <si>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</si>
  <si>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</si>
  <si>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</si>
  <si>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</si>
  <si>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</si>
  <si>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</si>
  <si>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</si>
  <si>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</si>
  <si>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</si>
  <si>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</si>
  <si>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</si>
  <si>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</si>
  <si>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</si>
  <si>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</si>
  <si>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</si>
  <si>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</si>
  <si>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</si>
  <si>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</si>
  <si>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</si>
  <si>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</si>
  <si>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</si>
  <si>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</si>
  <si>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</si>
  <si>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</si>
  <si>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</si>
  <si>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</si>
  <si>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</si>
  <si>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</si>
  <si>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</si>
  <si>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</si>
  <si>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</si>
  <si>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</si>
  <si>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</si>
  <si>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</si>
  <si>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</si>
  <si>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</si>
  <si>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</si>
  <si>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</si>
  <si>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</si>
  <si>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</si>
  <si>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</si>
  <si>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</si>
  <si>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</si>
  <si>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</si>
  <si>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</si>
  <si>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</si>
  <si>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</si>
  <si>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</si>
  <si>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</si>
  <si>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</si>
  <si>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</si>
  <si>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</si>
  <si>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</si>
  <si>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</si>
  <si>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</si>
  <si>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</si>
  <si>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</si>
  <si>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</si>
  <si>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</si>
  <si>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</si>
  <si>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</si>
  <si>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</si>
  <si>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</si>
  <si>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</si>
  <si>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</si>
  <si>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</si>
  <si>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</si>
  <si>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</si>
  <si>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</si>
  <si>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</si>
  <si>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</si>
  <si>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</si>
  <si>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</si>
  <si>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</si>
  <si>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</si>
  <si>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</si>
  <si>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</si>
  <si>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</si>
  <si>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</si>
  <si>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</si>
  <si>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</si>
  <si>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</si>
  <si>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</si>
  <si>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</si>
  <si>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</si>
  <si>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</si>
  <si>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</si>
  <si>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</si>
  <si>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</si>
  <si>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</si>
  <si>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</si>
  <si>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</si>
  <si>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</si>
  <si>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</si>
  <si>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</si>
  <si>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</si>
  <si>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</si>
  <si>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</si>
  <si>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</si>
  <si>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</si>
  <si>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</si>
  <si>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</si>
  <si>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</si>
  <si>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</si>
  <si>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</si>
  <si>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</si>
  <si>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</si>
  <si>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</si>
  <si>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</si>
  <si>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</si>
  <si>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</si>
  <si>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</si>
  <si>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</si>
  <si>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</si>
  <si>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</si>
  <si>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</si>
  <si>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</si>
  <si>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</si>
  <si>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</si>
  <si>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</si>
  <si>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</si>
  <si>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</si>
  <si>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</si>
  <si>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</si>
  <si>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</si>
  <si>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</si>
  <si>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</si>
  <si>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</si>
  <si>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</si>
  <si>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</si>
  <si>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</si>
  <si>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</si>
  <si>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</si>
  <si>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</si>
  <si>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</si>
  <si>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</si>
  <si>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</si>
  <si>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</si>
  <si>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</si>
  <si>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</si>
  <si>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</si>
  <si>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</si>
  <si>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</si>
  <si>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</si>
  <si>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AYG089</t>
    <phoneticPr fontId="1"/>
  </si>
  <si>
    <t>06090085</t>
    <phoneticPr fontId="1"/>
  </si>
  <si>
    <t>A755</t>
    <phoneticPr fontId="1"/>
  </si>
  <si>
    <t>FR</t>
    <phoneticPr fontId="1"/>
  </si>
  <si>
    <t>S</t>
    <phoneticPr fontId="1"/>
  </si>
  <si>
    <t>K</t>
    <phoneticPr fontId="1"/>
  </si>
  <si>
    <t>R</t>
    <phoneticPr fontId="1"/>
  </si>
  <si>
    <t>TM</t>
    <phoneticPr fontId="1"/>
  </si>
  <si>
    <t>M032</t>
    <phoneticPr fontId="1"/>
  </si>
  <si>
    <t>06090140</t>
    <phoneticPr fontId="1"/>
  </si>
  <si>
    <t>06090158</t>
    <phoneticPr fontId="1"/>
  </si>
  <si>
    <t>A505</t>
    <phoneticPr fontId="1"/>
  </si>
  <si>
    <t>TK</t>
    <phoneticPr fontId="1"/>
  </si>
  <si>
    <t>E</t>
    <phoneticPr fontId="1"/>
  </si>
  <si>
    <t>A336</t>
    <phoneticPr fontId="1"/>
  </si>
  <si>
    <t>06090191</t>
    <phoneticPr fontId="1"/>
  </si>
  <si>
    <t>06090192</t>
    <phoneticPr fontId="1"/>
  </si>
  <si>
    <t>KM</t>
    <phoneticPr fontId="1"/>
  </si>
  <si>
    <t>IR</t>
    <phoneticPr fontId="1"/>
  </si>
  <si>
    <t>06090193</t>
    <phoneticPr fontId="1"/>
  </si>
  <si>
    <t>06090196</t>
    <phoneticPr fontId="1"/>
  </si>
  <si>
    <t>A185</t>
    <phoneticPr fontId="1"/>
  </si>
  <si>
    <t>HM</t>
    <phoneticPr fontId="1"/>
  </si>
  <si>
    <t>A199</t>
    <phoneticPr fontId="1"/>
  </si>
  <si>
    <t>06090197</t>
    <phoneticPr fontId="1"/>
  </si>
  <si>
    <t>06090198</t>
    <phoneticPr fontId="1"/>
  </si>
  <si>
    <t>A913</t>
    <phoneticPr fontId="1"/>
  </si>
  <si>
    <t>06090199</t>
    <phoneticPr fontId="1"/>
  </si>
  <si>
    <t>06090203</t>
    <phoneticPr fontId="1"/>
  </si>
  <si>
    <t>J</t>
    <phoneticPr fontId="1"/>
  </si>
  <si>
    <t>NA</t>
    <phoneticPr fontId="1"/>
  </si>
  <si>
    <t>06090204</t>
    <phoneticPr fontId="1"/>
  </si>
  <si>
    <t>06090219</t>
    <phoneticPr fontId="1"/>
  </si>
  <si>
    <t>M078</t>
    <phoneticPr fontId="1"/>
  </si>
  <si>
    <t>06090220</t>
    <phoneticPr fontId="1"/>
  </si>
  <si>
    <t>06090165</t>
    <phoneticPr fontId="1"/>
  </si>
  <si>
    <t>M037</t>
    <phoneticPr fontId="1"/>
  </si>
  <si>
    <t>06090168</t>
    <phoneticPr fontId="1"/>
  </si>
  <si>
    <t>06090169</t>
    <phoneticPr fontId="1"/>
  </si>
  <si>
    <t>06090176</t>
    <phoneticPr fontId="1"/>
  </si>
  <si>
    <t>06090245</t>
    <phoneticPr fontId="1"/>
  </si>
  <si>
    <t>06090249</t>
    <phoneticPr fontId="1"/>
  </si>
  <si>
    <t>06090250</t>
    <phoneticPr fontId="1"/>
  </si>
  <si>
    <t>06090251</t>
    <phoneticPr fontId="1"/>
  </si>
  <si>
    <t>06090257</t>
    <phoneticPr fontId="1"/>
  </si>
  <si>
    <t>A623</t>
    <phoneticPr fontId="1"/>
  </si>
  <si>
    <t>CO</t>
    <phoneticPr fontId="1"/>
  </si>
  <si>
    <t>06090258</t>
    <phoneticPr fontId="1"/>
  </si>
  <si>
    <t>06090259</t>
    <phoneticPr fontId="1"/>
  </si>
  <si>
    <t>A633</t>
    <phoneticPr fontId="1"/>
  </si>
  <si>
    <t>06090273</t>
    <phoneticPr fontId="1"/>
  </si>
  <si>
    <t>06090306</t>
    <phoneticPr fontId="1"/>
  </si>
  <si>
    <t>M028</t>
    <phoneticPr fontId="1"/>
  </si>
  <si>
    <t>06090307</t>
    <phoneticPr fontId="1"/>
  </si>
  <si>
    <t>06090261</t>
    <phoneticPr fontId="1"/>
  </si>
  <si>
    <t>A700</t>
    <phoneticPr fontId="1"/>
  </si>
  <si>
    <t>06090262</t>
    <phoneticPr fontId="1"/>
  </si>
  <si>
    <t>06090263</t>
    <phoneticPr fontId="1"/>
  </si>
  <si>
    <t>06090264</t>
    <phoneticPr fontId="1"/>
  </si>
  <si>
    <t>06090296</t>
    <phoneticPr fontId="1"/>
  </si>
  <si>
    <t>06090297</t>
    <phoneticPr fontId="1"/>
  </si>
  <si>
    <t>06090043</t>
    <phoneticPr fontId="1"/>
  </si>
  <si>
    <t>06090167</t>
    <phoneticPr fontId="1"/>
  </si>
  <si>
    <t>06090175</t>
    <phoneticPr fontId="1"/>
  </si>
  <si>
    <t>06090201</t>
    <phoneticPr fontId="1"/>
  </si>
  <si>
    <t>06090202</t>
    <phoneticPr fontId="1"/>
  </si>
  <si>
    <t>06090205</t>
    <phoneticPr fontId="1"/>
  </si>
  <si>
    <t>06090221</t>
    <phoneticPr fontId="1"/>
  </si>
  <si>
    <t>06090222</t>
    <phoneticPr fontId="1"/>
  </si>
  <si>
    <t>06090265</t>
    <phoneticPr fontId="1"/>
  </si>
  <si>
    <t>A335</t>
    <phoneticPr fontId="1"/>
  </si>
  <si>
    <t>HA</t>
    <phoneticPr fontId="1"/>
  </si>
  <si>
    <t>06090266</t>
    <phoneticPr fontId="1"/>
  </si>
  <si>
    <t>06090267</t>
    <phoneticPr fontId="1"/>
  </si>
  <si>
    <t>CK</t>
    <phoneticPr fontId="1"/>
  </si>
  <si>
    <t>06090268</t>
    <phoneticPr fontId="1"/>
  </si>
  <si>
    <t>06090269</t>
    <phoneticPr fontId="1"/>
  </si>
  <si>
    <t>06090270</t>
    <phoneticPr fontId="1"/>
  </si>
  <si>
    <t>06090271</t>
    <phoneticPr fontId="1"/>
  </si>
  <si>
    <t>A501</t>
    <phoneticPr fontId="1"/>
  </si>
  <si>
    <t>06090283</t>
    <phoneticPr fontId="1"/>
  </si>
  <si>
    <t>06090284</t>
    <phoneticPr fontId="1"/>
  </si>
  <si>
    <t>06090272</t>
    <phoneticPr fontId="1"/>
  </si>
  <si>
    <t>06090293</t>
    <phoneticPr fontId="1"/>
  </si>
  <si>
    <t>06090298</t>
    <phoneticPr fontId="1"/>
  </si>
  <si>
    <t>06090303</t>
    <phoneticPr fontId="1"/>
  </si>
  <si>
    <t>06090304</t>
    <phoneticPr fontId="1"/>
  </si>
  <si>
    <t>M070</t>
    <phoneticPr fontId="1"/>
  </si>
  <si>
    <t>M074</t>
    <phoneticPr fontId="1"/>
  </si>
  <si>
    <t>06090305</t>
    <phoneticPr fontId="1"/>
  </si>
  <si>
    <t>06090308</t>
    <phoneticPr fontId="1"/>
  </si>
  <si>
    <t>06090309</t>
    <phoneticPr fontId="1"/>
  </si>
  <si>
    <t>06090310</t>
  </si>
  <si>
    <t>06090311</t>
  </si>
  <si>
    <t>06090312</t>
  </si>
  <si>
    <t>06090313</t>
  </si>
  <si>
    <t>06090314</t>
  </si>
  <si>
    <t>NF</t>
    <phoneticPr fontId="1"/>
  </si>
  <si>
    <t>A181</t>
    <phoneticPr fontId="1"/>
  </si>
  <si>
    <t>A545</t>
    <phoneticPr fontId="1"/>
  </si>
  <si>
    <t>06090317</t>
    <phoneticPr fontId="1"/>
  </si>
  <si>
    <t>06090322</t>
    <phoneticPr fontId="1"/>
  </si>
  <si>
    <t>06090323</t>
    <phoneticPr fontId="1"/>
  </si>
  <si>
    <t>06090200</t>
    <phoneticPr fontId="1"/>
  </si>
  <si>
    <t>06090206</t>
    <phoneticPr fontId="1"/>
  </si>
  <si>
    <t>06090246</t>
    <phoneticPr fontId="1"/>
  </si>
  <si>
    <t>06090252</t>
    <phoneticPr fontId="1"/>
  </si>
  <si>
    <t>06090253</t>
    <phoneticPr fontId="1"/>
  </si>
  <si>
    <t>06090254</t>
    <phoneticPr fontId="1"/>
  </si>
  <si>
    <t>06090255</t>
    <phoneticPr fontId="1"/>
  </si>
  <si>
    <t>M079</t>
    <phoneticPr fontId="1"/>
  </si>
  <si>
    <t>06090274</t>
    <phoneticPr fontId="1"/>
  </si>
  <si>
    <t>06090281</t>
    <phoneticPr fontId="1"/>
  </si>
  <si>
    <t>06090282</t>
    <phoneticPr fontId="1"/>
  </si>
  <si>
    <t>06090372</t>
    <phoneticPr fontId="1"/>
  </si>
  <si>
    <t>A552</t>
    <phoneticPr fontId="1"/>
  </si>
  <si>
    <t>06090373</t>
    <phoneticPr fontId="1"/>
  </si>
  <si>
    <t>06090374</t>
    <phoneticPr fontId="1"/>
  </si>
  <si>
    <t>06090375</t>
    <phoneticPr fontId="1"/>
  </si>
  <si>
    <t>06090376</t>
    <phoneticPr fontId="1"/>
  </si>
  <si>
    <t>06090377</t>
    <phoneticPr fontId="1"/>
  </si>
  <si>
    <t>06090194</t>
    <phoneticPr fontId="1"/>
  </si>
  <si>
    <t>A120</t>
    <phoneticPr fontId="1"/>
  </si>
  <si>
    <t>06090195</t>
    <phoneticPr fontId="1"/>
  </si>
  <si>
    <t>06090382</t>
    <phoneticPr fontId="1"/>
  </si>
  <si>
    <t>06090387</t>
    <phoneticPr fontId="1"/>
  </si>
  <si>
    <t>06080406</t>
    <phoneticPr fontId="1"/>
  </si>
  <si>
    <t>06080408</t>
    <phoneticPr fontId="1"/>
  </si>
  <si>
    <t>06080409</t>
    <phoneticPr fontId="1"/>
  </si>
  <si>
    <t>06080410</t>
    <phoneticPr fontId="1"/>
  </si>
  <si>
    <t>06090414</t>
    <phoneticPr fontId="1"/>
  </si>
  <si>
    <t>06090073</t>
    <phoneticPr fontId="1"/>
  </si>
  <si>
    <t>06090411</t>
    <phoneticPr fontId="1"/>
  </si>
  <si>
    <t>06090412</t>
    <phoneticPr fontId="1"/>
  </si>
  <si>
    <t>06090413</t>
    <phoneticPr fontId="1"/>
  </si>
  <si>
    <t>A523</t>
    <phoneticPr fontId="1"/>
  </si>
  <si>
    <t>06090423</t>
    <phoneticPr fontId="1"/>
  </si>
  <si>
    <t>06090427</t>
    <phoneticPr fontId="1"/>
  </si>
  <si>
    <t>C</t>
    <phoneticPr fontId="1"/>
  </si>
  <si>
    <t>YK</t>
    <phoneticPr fontId="1"/>
  </si>
  <si>
    <t>A550</t>
    <phoneticPr fontId="1"/>
  </si>
  <si>
    <t>06090431</t>
    <phoneticPr fontId="1"/>
  </si>
  <si>
    <t>06090435</t>
    <phoneticPr fontId="1"/>
  </si>
  <si>
    <t>A330</t>
    <phoneticPr fontId="1"/>
  </si>
  <si>
    <t>06090436</t>
  </si>
  <si>
    <t>06090437</t>
  </si>
  <si>
    <t>06090438</t>
  </si>
  <si>
    <t>06090439</t>
  </si>
  <si>
    <t>06090440</t>
  </si>
  <si>
    <t>06090441</t>
  </si>
  <si>
    <t>06090442</t>
  </si>
  <si>
    <t>06090443</t>
  </si>
  <si>
    <t>06090444</t>
  </si>
  <si>
    <t>06090445</t>
  </si>
  <si>
    <t>06090446</t>
  </si>
  <si>
    <t>06090447</t>
  </si>
  <si>
    <t>06090448</t>
  </si>
  <si>
    <t>06090449</t>
  </si>
  <si>
    <t>06090450</t>
  </si>
  <si>
    <t>2024/10/2 個数</t>
  </si>
  <si>
    <t>2024/10/8 個数</t>
  </si>
  <si>
    <t>2024/10/9 個数</t>
  </si>
  <si>
    <t>2024/10/13 個数</t>
  </si>
  <si>
    <t>2024/10/14 個数</t>
  </si>
  <si>
    <t>2024/10/15 個数</t>
  </si>
  <si>
    <t>2024/10/16 個数</t>
  </si>
  <si>
    <t>2024/10/18 個数</t>
  </si>
  <si>
    <t>2024/10/19 個数</t>
  </si>
  <si>
    <t>2024/10/20 個数</t>
  </si>
  <si>
    <t>2024/10/21 個数</t>
  </si>
  <si>
    <t>2024/10/22 個数</t>
  </si>
  <si>
    <t>2024/10/23 個数</t>
  </si>
  <si>
    <t>2024/10/26 個数</t>
  </si>
  <si>
    <t>2024/10/27 個数</t>
  </si>
  <si>
    <t>2024/10/28 個数</t>
  </si>
  <si>
    <t>2024/10/29 個数</t>
  </si>
  <si>
    <t>2024/10/30 個数</t>
  </si>
  <si>
    <t>2024/11/2 個数</t>
  </si>
  <si>
    <t>2024/11/3 個数</t>
  </si>
  <si>
    <t>2024/11/4 個数</t>
  </si>
  <si>
    <t>2024/11/5 個数</t>
  </si>
  <si>
    <t>2024/11/6 個数</t>
  </si>
  <si>
    <t>2024/11/7 個数</t>
  </si>
  <si>
    <t>2024/11/8 個数</t>
  </si>
  <si>
    <t>2024/11/10 個数</t>
  </si>
  <si>
    <t>2024/11/13 個数</t>
  </si>
  <si>
    <t>06090430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</si>
</sst>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58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478"/>
  <sheetViews>
    <sheetView tabSelected="1" topLeftCell="A191" zoomScale="106" zoomScaleNormal="106" workbookViewId="0">
      <selection activeCell="J198" sqref="J198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177</v>
      </c>
      <c r="B1" s="24">
        <v>45565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1" t="s">
        <v>105</v>
      </c>
      <c r="Y2" s="132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33">
        <v>1</v>
      </c>
      <c r="B3" s="136">
        <v>21.2</v>
      </c>
      <c r="C3" s="85" t="s">
        <v>178</v>
      </c>
      <c r="D3" s="109" t="s">
        <v>179</v>
      </c>
      <c r="E3" s="15" t="s">
        <v>180</v>
      </c>
      <c r="F3" s="14"/>
      <c r="G3" s="12" t="s">
        <v>181</v>
      </c>
      <c r="H3" s="13"/>
      <c r="I3" s="13"/>
      <c r="J3" s="13">
        <v>1</v>
      </c>
      <c r="K3" s="13">
        <v>1</v>
      </c>
      <c r="L3" s="13"/>
      <c r="M3" s="13"/>
      <c r="N3" s="13"/>
      <c r="O3" s="13"/>
      <c r="P3" s="13"/>
      <c r="Q3" s="13"/>
      <c r="R3" s="13"/>
      <c r="S3" s="13"/>
      <c r="T3" s="25">
        <v>45592</v>
      </c>
      <c r="U3" s="13" t="s">
        <v>182</v>
      </c>
      <c r="V3">
        <v>1</v>
      </c>
      <c r="X3" s="51" t="s">
        <v>106</v>
      </c>
      <c r="Y3" s="52">
        <f>COUNTIF(U3:U27,"K")</f>
        <v>7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34"/>
      <c r="B4" s="137"/>
      <c r="C4" s="85" t="s">
        <v>186</v>
      </c>
      <c r="D4" s="109" t="s">
        <v>185</v>
      </c>
      <c r="E4" s="15" t="s">
        <v>184</v>
      </c>
      <c r="F4" s="16"/>
      <c r="G4" s="12" t="s">
        <v>181</v>
      </c>
      <c r="H4" s="15"/>
      <c r="I4" s="13"/>
      <c r="J4" s="15"/>
      <c r="K4" s="15"/>
      <c r="L4" s="17"/>
      <c r="M4" s="17">
        <v>1</v>
      </c>
      <c r="N4" s="13">
        <v>1</v>
      </c>
      <c r="O4" s="17"/>
      <c r="P4" s="17"/>
      <c r="Q4" s="17">
        <v>1</v>
      </c>
      <c r="R4" s="17"/>
      <c r="S4" s="15"/>
      <c r="T4" s="25">
        <v>45579</v>
      </c>
      <c r="U4" s="13" t="s">
        <v>183</v>
      </c>
      <c r="V4">
        <v>2</v>
      </c>
      <c r="X4" s="51" t="s">
        <v>107</v>
      </c>
      <c r="Y4" s="52">
        <f>COUNTIF(U3:U27,"R")</f>
        <v>5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34"/>
      <c r="B5" s="137"/>
      <c r="C5" s="85" t="s">
        <v>187</v>
      </c>
      <c r="D5" s="109" t="s">
        <v>188</v>
      </c>
      <c r="E5" s="15" t="s">
        <v>189</v>
      </c>
      <c r="F5" s="16"/>
      <c r="G5" s="12" t="s">
        <v>181</v>
      </c>
      <c r="H5" s="13"/>
      <c r="I5" s="13"/>
      <c r="J5" s="15">
        <v>1</v>
      </c>
      <c r="K5" s="15">
        <v>1</v>
      </c>
      <c r="L5" s="17"/>
      <c r="M5" s="17"/>
      <c r="N5" s="13"/>
      <c r="O5" s="17"/>
      <c r="P5" s="17"/>
      <c r="Q5" s="17"/>
      <c r="R5" s="17"/>
      <c r="S5" s="15"/>
      <c r="T5" s="25">
        <v>45578</v>
      </c>
      <c r="U5" s="13" t="s">
        <v>182</v>
      </c>
      <c r="V5">
        <v>3</v>
      </c>
      <c r="X5" s="53" t="s">
        <v>108</v>
      </c>
      <c r="Y5" s="54">
        <f>COUNTIF(U3:U27,"J")</f>
        <v>2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34"/>
      <c r="B6" s="137"/>
      <c r="C6" s="85" t="s">
        <v>192</v>
      </c>
      <c r="D6" s="109" t="s">
        <v>191</v>
      </c>
      <c r="E6" s="15" t="s">
        <v>189</v>
      </c>
      <c r="F6" s="16"/>
      <c r="G6" s="12" t="s">
        <v>181</v>
      </c>
      <c r="H6" s="15" t="s">
        <v>190</v>
      </c>
      <c r="I6" s="13"/>
      <c r="J6" s="13">
        <v>1</v>
      </c>
      <c r="K6" s="15">
        <v>1</v>
      </c>
      <c r="L6" s="17"/>
      <c r="M6" s="17"/>
      <c r="N6" s="13"/>
      <c r="O6" s="17"/>
      <c r="P6" s="17"/>
      <c r="Q6" s="17"/>
      <c r="R6" s="17"/>
      <c r="S6" s="15"/>
      <c r="T6" s="25">
        <v>45588</v>
      </c>
      <c r="U6" s="13" t="s">
        <v>182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34"/>
      <c r="B7" s="137"/>
      <c r="C7" s="85" t="s">
        <v>193</v>
      </c>
      <c r="D7" s="109" t="s">
        <v>191</v>
      </c>
      <c r="E7" s="15" t="s">
        <v>194</v>
      </c>
      <c r="F7" s="16"/>
      <c r="G7" s="12" t="s">
        <v>181</v>
      </c>
      <c r="H7" s="15"/>
      <c r="I7" s="13"/>
      <c r="J7" s="15">
        <v>1</v>
      </c>
      <c r="K7" s="15">
        <v>1</v>
      </c>
      <c r="L7" s="17"/>
      <c r="M7" s="17"/>
      <c r="N7" s="13"/>
      <c r="O7" s="17"/>
      <c r="P7" s="17"/>
      <c r="Q7" s="17"/>
      <c r="R7" s="17"/>
      <c r="S7" s="15"/>
      <c r="T7" s="25">
        <v>45588</v>
      </c>
      <c r="U7" s="13" t="s">
        <v>182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34"/>
      <c r="B8" s="137"/>
      <c r="C8" s="85" t="s">
        <v>196</v>
      </c>
      <c r="D8" s="109" t="s">
        <v>191</v>
      </c>
      <c r="E8" s="15" t="s">
        <v>195</v>
      </c>
      <c r="F8" s="16"/>
      <c r="G8" s="12" t="s">
        <v>181</v>
      </c>
      <c r="H8" s="13"/>
      <c r="I8" s="13"/>
      <c r="J8" s="15"/>
      <c r="K8" s="15"/>
      <c r="L8" s="17"/>
      <c r="M8" s="17">
        <v>1</v>
      </c>
      <c r="N8" s="13">
        <v>1</v>
      </c>
      <c r="O8" s="17"/>
      <c r="P8" s="17"/>
      <c r="Q8" s="17">
        <v>1</v>
      </c>
      <c r="R8" s="17"/>
      <c r="S8" s="15"/>
      <c r="T8" s="25">
        <v>45588</v>
      </c>
      <c r="U8" s="13" t="s">
        <v>183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34"/>
      <c r="B9" s="137"/>
      <c r="C9" s="85" t="s">
        <v>197</v>
      </c>
      <c r="D9" s="109" t="s">
        <v>198</v>
      </c>
      <c r="E9" s="15" t="s">
        <v>199</v>
      </c>
      <c r="F9" s="16"/>
      <c r="G9" s="12" t="s">
        <v>181</v>
      </c>
      <c r="H9" s="15"/>
      <c r="I9" s="13"/>
      <c r="J9" s="15">
        <v>1</v>
      </c>
      <c r="K9" s="15">
        <v>1</v>
      </c>
      <c r="L9" s="17"/>
      <c r="M9" s="17"/>
      <c r="N9" s="13"/>
      <c r="O9" s="17"/>
      <c r="P9" s="17"/>
      <c r="Q9" s="17"/>
      <c r="R9" s="17"/>
      <c r="S9" s="15"/>
      <c r="T9" s="25">
        <v>45585</v>
      </c>
      <c r="U9" s="13" t="s">
        <v>182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34"/>
      <c r="B10" s="137"/>
      <c r="C10" s="85" t="s">
        <v>201</v>
      </c>
      <c r="D10" s="109" t="s">
        <v>200</v>
      </c>
      <c r="E10" s="15" t="s">
        <v>199</v>
      </c>
      <c r="F10" s="16"/>
      <c r="G10" s="12" t="s">
        <v>181</v>
      </c>
      <c r="H10" s="15"/>
      <c r="I10" s="13"/>
      <c r="J10" s="15">
        <v>1</v>
      </c>
      <c r="K10" s="15">
        <v>1</v>
      </c>
      <c r="L10" s="17"/>
      <c r="M10" s="17"/>
      <c r="N10" s="13"/>
      <c r="O10" s="17"/>
      <c r="P10" s="17"/>
      <c r="Q10" s="17"/>
      <c r="R10" s="17"/>
      <c r="S10" s="15"/>
      <c r="T10" s="25">
        <v>45585</v>
      </c>
      <c r="U10" s="13" t="s">
        <v>182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34"/>
      <c r="B11" s="137"/>
      <c r="C11" s="85" t="s">
        <v>202</v>
      </c>
      <c r="D11" s="109" t="s">
        <v>198</v>
      </c>
      <c r="E11" s="15" t="s">
        <v>199</v>
      </c>
      <c r="F11" s="16"/>
      <c r="G11" s="12" t="s">
        <v>181</v>
      </c>
      <c r="H11" s="15" t="s">
        <v>190</v>
      </c>
      <c r="I11" s="13"/>
      <c r="J11" s="15">
        <v>1</v>
      </c>
      <c r="K11" s="15">
        <v>1</v>
      </c>
      <c r="L11" s="17"/>
      <c r="M11" s="17"/>
      <c r="N11" s="13"/>
      <c r="O11" s="17"/>
      <c r="P11" s="17"/>
      <c r="Q11" s="17"/>
      <c r="R11" s="17"/>
      <c r="S11" s="15"/>
      <c r="T11" s="25">
        <v>45585</v>
      </c>
      <c r="U11" s="13" t="s">
        <v>182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34"/>
      <c r="B12" s="137"/>
      <c r="C12" s="85" t="s">
        <v>204</v>
      </c>
      <c r="D12" s="109" t="s">
        <v>203</v>
      </c>
      <c r="E12" s="15" t="s">
        <v>184</v>
      </c>
      <c r="F12" s="16"/>
      <c r="G12" s="12" t="s">
        <v>181</v>
      </c>
      <c r="H12" s="15"/>
      <c r="I12" s="15"/>
      <c r="J12" s="15"/>
      <c r="K12" s="15"/>
      <c r="L12" s="17"/>
      <c r="M12" s="17">
        <v>1</v>
      </c>
      <c r="N12" s="17">
        <v>1</v>
      </c>
      <c r="O12" s="17"/>
      <c r="P12" s="17"/>
      <c r="Q12" s="17">
        <v>1</v>
      </c>
      <c r="R12" s="17"/>
      <c r="S12" s="15"/>
      <c r="T12" s="25">
        <v>45587</v>
      </c>
      <c r="U12" s="13" t="s">
        <v>183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34"/>
      <c r="B13" s="137"/>
      <c r="C13" s="85" t="s">
        <v>205</v>
      </c>
      <c r="D13" s="109" t="s">
        <v>185</v>
      </c>
      <c r="E13" s="15" t="s">
        <v>184</v>
      </c>
      <c r="F13" s="16"/>
      <c r="G13" s="12" t="s">
        <v>181</v>
      </c>
      <c r="H13" s="15"/>
      <c r="I13" s="15"/>
      <c r="J13" s="15"/>
      <c r="K13" s="15"/>
      <c r="L13" s="17"/>
      <c r="M13" s="17">
        <v>1</v>
      </c>
      <c r="N13" s="17">
        <v>1</v>
      </c>
      <c r="O13" s="17"/>
      <c r="P13" s="17"/>
      <c r="Q13" s="17">
        <v>1</v>
      </c>
      <c r="R13" s="17"/>
      <c r="S13" s="15"/>
      <c r="T13" s="25">
        <v>45584</v>
      </c>
      <c r="U13" s="13" t="s">
        <v>183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34"/>
      <c r="B14" s="137"/>
      <c r="C14" s="85" t="s">
        <v>208</v>
      </c>
      <c r="D14" s="109" t="s">
        <v>185</v>
      </c>
      <c r="E14" s="15" t="s">
        <v>207</v>
      </c>
      <c r="F14" s="16"/>
      <c r="G14" s="12" t="s">
        <v>181</v>
      </c>
      <c r="H14" s="15"/>
      <c r="I14" s="15"/>
      <c r="J14" s="15"/>
      <c r="K14" s="15"/>
      <c r="L14" s="17"/>
      <c r="M14" s="17"/>
      <c r="N14" s="17"/>
      <c r="O14" s="17">
        <v>1</v>
      </c>
      <c r="P14" s="17">
        <v>1</v>
      </c>
      <c r="Q14" s="17">
        <v>1</v>
      </c>
      <c r="R14" s="17">
        <v>1</v>
      </c>
      <c r="S14" s="15"/>
      <c r="T14" s="25">
        <v>45585</v>
      </c>
      <c r="U14" s="13" t="s">
        <v>206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34"/>
      <c r="B15" s="137"/>
      <c r="C15" s="85" t="s">
        <v>209</v>
      </c>
      <c r="D15" s="109" t="s">
        <v>185</v>
      </c>
      <c r="E15" s="15" t="s">
        <v>184</v>
      </c>
      <c r="F15" s="16"/>
      <c r="G15" s="12" t="s">
        <v>181</v>
      </c>
      <c r="H15" s="15"/>
      <c r="I15" s="15"/>
      <c r="J15" s="15"/>
      <c r="K15" s="15"/>
      <c r="L15" s="17"/>
      <c r="M15" s="17">
        <v>1</v>
      </c>
      <c r="N15" s="17">
        <v>1</v>
      </c>
      <c r="O15" s="17"/>
      <c r="P15" s="17"/>
      <c r="Q15" s="17">
        <v>1</v>
      </c>
      <c r="R15" s="17"/>
      <c r="S15" s="15"/>
      <c r="T15" s="25">
        <v>45581</v>
      </c>
      <c r="U15" s="13" t="s">
        <v>183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34"/>
      <c r="B16" s="137"/>
      <c r="C16" s="85" t="s">
        <v>211</v>
      </c>
      <c r="D16" s="109" t="s">
        <v>210</v>
      </c>
      <c r="E16" s="15" t="s">
        <v>207</v>
      </c>
      <c r="F16" s="16"/>
      <c r="G16" s="12" t="s">
        <v>181</v>
      </c>
      <c r="H16" s="15"/>
      <c r="I16" s="15"/>
      <c r="J16" s="15"/>
      <c r="K16" s="15"/>
      <c r="L16" s="17"/>
      <c r="M16" s="17"/>
      <c r="N16" s="17"/>
      <c r="O16" s="17">
        <v>1</v>
      </c>
      <c r="P16" s="17">
        <v>1</v>
      </c>
      <c r="Q16" s="17">
        <v>1</v>
      </c>
      <c r="R16" s="17">
        <v>1</v>
      </c>
      <c r="S16" s="15"/>
      <c r="T16" s="25">
        <v>45592</v>
      </c>
      <c r="U16" s="13" t="s">
        <v>206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34"/>
      <c r="B17" s="137"/>
      <c r="C17" s="85"/>
      <c r="D17" s="106"/>
      <c r="E17" s="15"/>
      <c r="F17" s="16"/>
      <c r="G17" s="15"/>
      <c r="H17" s="15"/>
      <c r="I17" s="15"/>
      <c r="J17" s="15"/>
      <c r="K17" s="15"/>
      <c r="L17" s="17"/>
      <c r="M17" s="17"/>
      <c r="N17" s="17"/>
      <c r="O17" s="17"/>
      <c r="P17" s="17"/>
      <c r="Q17" s="17"/>
      <c r="R17" s="17"/>
      <c r="S17" s="15"/>
      <c r="T17" s="25"/>
      <c r="U17" s="15"/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34"/>
      <c r="B18" s="137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34"/>
      <c r="B19" s="137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34"/>
      <c r="B20" s="137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34"/>
      <c r="B21" s="137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34"/>
      <c r="B22" s="137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34"/>
      <c r="B23" s="137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34"/>
      <c r="B24" s="137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34"/>
      <c r="B25" s="137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234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34"/>
      <c r="B26" s="137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35"/>
      <c r="B27" s="138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116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14</v>
      </c>
      <c r="D28" s="112"/>
      <c r="E28" s="29"/>
      <c r="F28" s="29" t="s">
        <v>34</v>
      </c>
      <c r="G28" s="29">
        <f>COUNTIF(G3:G27,"S")</f>
        <v>14</v>
      </c>
      <c r="H28" s="29">
        <f>COUNTIF(H3:H27,"E")</f>
        <v>2</v>
      </c>
      <c r="I28" s="29">
        <f t="shared" ref="I28:S28" si="0">SUM(I3:I27)</f>
        <v>0</v>
      </c>
      <c r="J28" s="29">
        <f t="shared" si="0"/>
        <v>7</v>
      </c>
      <c r="K28" s="29">
        <f t="shared" si="0"/>
        <v>7</v>
      </c>
      <c r="L28" s="29">
        <f t="shared" si="0"/>
        <v>0</v>
      </c>
      <c r="M28" s="29">
        <f t="shared" si="0"/>
        <v>5</v>
      </c>
      <c r="N28" s="29">
        <f t="shared" si="0"/>
        <v>5</v>
      </c>
      <c r="O28" s="29">
        <f t="shared" si="0"/>
        <v>2</v>
      </c>
      <c r="P28" s="29">
        <f t="shared" si="0"/>
        <v>2</v>
      </c>
      <c r="Q28" s="29">
        <f t="shared" si="0"/>
        <v>7</v>
      </c>
      <c r="R28" s="29">
        <f t="shared" si="0"/>
        <v>2</v>
      </c>
      <c r="S28" s="29">
        <f t="shared" si="0"/>
        <v>0</v>
      </c>
      <c r="T28" s="29" t="s">
        <v>64</v>
      </c>
      <c r="U28" s="29">
        <f>COUNTIF(H3:H27,"M")</f>
        <v>0</v>
      </c>
      <c r="AA28" s="147" t="s">
        <v>104</v>
      </c>
      <c r="AB28" s="148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37</v>
      </c>
      <c r="T29" s="29"/>
      <c r="U29" s="29"/>
      <c r="X29" t="s">
        <v>136</v>
      </c>
      <c r="AA29" s="149"/>
      <c r="AB29" s="150"/>
      <c r="AC29" s="142">
        <f>SUM(AC28:AE28)</f>
        <v>0</v>
      </c>
      <c r="AD29" s="143"/>
      <c r="AE29" s="144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AYG089</v>
      </c>
      <c r="B31" s="24">
        <f>B1</f>
        <v>45565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1" t="s">
        <v>119</v>
      </c>
      <c r="Y32" s="132"/>
      <c r="AA32" s="151" t="s">
        <v>47</v>
      </c>
      <c r="AB32" s="152"/>
    </row>
    <row r="33" spans="1:29" ht="19.5" thickTop="1" x14ac:dyDescent="0.4">
      <c r="A33" s="133">
        <v>2</v>
      </c>
      <c r="B33" s="136">
        <v>16.2</v>
      </c>
      <c r="C33" s="85" t="s">
        <v>212</v>
      </c>
      <c r="D33" s="109" t="s">
        <v>213</v>
      </c>
      <c r="E33" s="109" t="s">
        <v>199</v>
      </c>
      <c r="F33" s="16"/>
      <c r="G33" s="12" t="s">
        <v>181</v>
      </c>
      <c r="H33" s="15"/>
      <c r="I33" s="15"/>
      <c r="J33" s="15">
        <v>1</v>
      </c>
      <c r="K33" s="15">
        <v>1</v>
      </c>
      <c r="L33" s="17"/>
      <c r="M33" s="17"/>
      <c r="N33" s="17"/>
      <c r="O33" s="17"/>
      <c r="P33" s="17"/>
      <c r="Q33" s="17"/>
      <c r="R33" s="17"/>
      <c r="S33" s="15"/>
      <c r="T33" s="25">
        <v>45584</v>
      </c>
      <c r="U33" s="13" t="s">
        <v>182</v>
      </c>
      <c r="V33">
        <v>1</v>
      </c>
      <c r="X33" s="51" t="s">
        <v>106</v>
      </c>
      <c r="Y33" s="52">
        <f>COUNTIF(U33:U57,"K")</f>
        <v>3</v>
      </c>
      <c r="AA33" s="31" t="s">
        <v>46</v>
      </c>
      <c r="AB33" s="32">
        <f>J28+J178+J148+J118+J208+J238+J268+J298+J328+J358</f>
        <v>45</v>
      </c>
    </row>
    <row r="34" spans="1:29" x14ac:dyDescent="0.4">
      <c r="A34" s="134"/>
      <c r="B34" s="137"/>
      <c r="C34" s="85" t="s">
        <v>214</v>
      </c>
      <c r="D34" s="109" t="s">
        <v>185</v>
      </c>
      <c r="E34" s="109" t="s">
        <v>184</v>
      </c>
      <c r="F34" s="16"/>
      <c r="G34" s="12" t="s">
        <v>181</v>
      </c>
      <c r="H34" s="15"/>
      <c r="I34" s="13"/>
      <c r="J34" s="15"/>
      <c r="K34" s="15"/>
      <c r="L34" s="17"/>
      <c r="M34" s="17">
        <v>1</v>
      </c>
      <c r="N34" s="17">
        <v>1</v>
      </c>
      <c r="O34" s="17"/>
      <c r="P34" s="17"/>
      <c r="Q34" s="17">
        <v>1</v>
      </c>
      <c r="R34" s="17"/>
      <c r="S34" s="15"/>
      <c r="T34" s="25">
        <v>45593</v>
      </c>
      <c r="U34" s="13" t="s">
        <v>183</v>
      </c>
      <c r="V34">
        <v>2</v>
      </c>
      <c r="X34" s="51" t="s">
        <v>107</v>
      </c>
      <c r="Y34" s="52">
        <f>COUNTIF(U33:U57,"R")</f>
        <v>6</v>
      </c>
      <c r="AA34" s="31" t="s">
        <v>48</v>
      </c>
      <c r="AB34" s="32">
        <f>K28+K178+K148+K118+K208+K238+K268+K298+K328+K358</f>
        <v>37</v>
      </c>
    </row>
    <row r="35" spans="1:29" ht="19.5" thickBot="1" x14ac:dyDescent="0.45">
      <c r="A35" s="134"/>
      <c r="B35" s="137"/>
      <c r="C35" s="85" t="s">
        <v>215</v>
      </c>
      <c r="D35" s="109" t="s">
        <v>213</v>
      </c>
      <c r="E35" s="109" t="s">
        <v>184</v>
      </c>
      <c r="F35" s="16"/>
      <c r="G35" s="12" t="s">
        <v>181</v>
      </c>
      <c r="H35" s="13"/>
      <c r="I35" s="13"/>
      <c r="J35" s="15"/>
      <c r="K35" s="15"/>
      <c r="L35" s="17"/>
      <c r="M35" s="17">
        <v>1</v>
      </c>
      <c r="N35" s="17">
        <v>1</v>
      </c>
      <c r="O35" s="17"/>
      <c r="P35" s="17"/>
      <c r="Q35" s="17">
        <v>1</v>
      </c>
      <c r="R35" s="17"/>
      <c r="S35" s="15"/>
      <c r="T35" s="25">
        <v>45581</v>
      </c>
      <c r="U35" s="13" t="s">
        <v>183</v>
      </c>
      <c r="V35">
        <v>3</v>
      </c>
      <c r="X35" s="53" t="s">
        <v>108</v>
      </c>
      <c r="Y35" s="54">
        <f>COUNTIF(U33:U57,"J")</f>
        <v>5</v>
      </c>
      <c r="AA35" s="31" t="s">
        <v>49</v>
      </c>
      <c r="AB35" s="32">
        <f>L28+L178+L148+L118+L208+L238+L268+L298+L328+L358</f>
        <v>0</v>
      </c>
    </row>
    <row r="36" spans="1:29" x14ac:dyDescent="0.4">
      <c r="A36" s="134"/>
      <c r="B36" s="137"/>
      <c r="C36" s="85" t="s">
        <v>216</v>
      </c>
      <c r="D36" s="109" t="s">
        <v>185</v>
      </c>
      <c r="E36" s="109" t="s">
        <v>184</v>
      </c>
      <c r="F36" s="16"/>
      <c r="G36" s="12" t="s">
        <v>181</v>
      </c>
      <c r="H36" s="15"/>
      <c r="I36" s="13"/>
      <c r="J36" s="13"/>
      <c r="K36" s="15"/>
      <c r="L36" s="17"/>
      <c r="M36" s="17">
        <v>1</v>
      </c>
      <c r="N36" s="17">
        <v>1</v>
      </c>
      <c r="O36" s="17"/>
      <c r="P36" s="17"/>
      <c r="Q36" s="17">
        <v>1</v>
      </c>
      <c r="R36" s="17"/>
      <c r="S36" s="15"/>
      <c r="T36" s="25">
        <v>45585</v>
      </c>
      <c r="U36" s="13" t="s">
        <v>183</v>
      </c>
      <c r="V36">
        <v>4</v>
      </c>
      <c r="AA36" s="31" t="s">
        <v>50</v>
      </c>
      <c r="AB36" s="32">
        <f>M28+M178+M148+M118+M208+M238+M268+M298+M328+M358</f>
        <v>25</v>
      </c>
    </row>
    <row r="37" spans="1:29" x14ac:dyDescent="0.4">
      <c r="A37" s="134"/>
      <c r="B37" s="137"/>
      <c r="C37" s="85" t="s">
        <v>217</v>
      </c>
      <c r="D37" s="109" t="s">
        <v>185</v>
      </c>
      <c r="E37" s="109" t="s">
        <v>207</v>
      </c>
      <c r="F37" s="16"/>
      <c r="G37" s="12" t="s">
        <v>181</v>
      </c>
      <c r="H37" s="15"/>
      <c r="I37" s="15"/>
      <c r="J37" s="15"/>
      <c r="K37" s="15"/>
      <c r="L37" s="17"/>
      <c r="M37" s="17"/>
      <c r="N37" s="17"/>
      <c r="O37" s="17">
        <v>1</v>
      </c>
      <c r="P37" s="17">
        <v>1</v>
      </c>
      <c r="Q37" s="17">
        <v>1</v>
      </c>
      <c r="R37" s="17">
        <v>1</v>
      </c>
      <c r="S37" s="15"/>
      <c r="T37" s="25">
        <v>45588</v>
      </c>
      <c r="U37" s="13" t="s">
        <v>206</v>
      </c>
      <c r="V37">
        <v>5</v>
      </c>
      <c r="AA37" s="31" t="s">
        <v>51</v>
      </c>
      <c r="AB37" s="32">
        <f>N28+N178+N148+N118+N208+N238+N268+N298+N328+N358</f>
        <v>24</v>
      </c>
    </row>
    <row r="38" spans="1:29" x14ac:dyDescent="0.4">
      <c r="A38" s="134"/>
      <c r="B38" s="137"/>
      <c r="C38" s="85" t="s">
        <v>218</v>
      </c>
      <c r="D38" s="109" t="s">
        <v>185</v>
      </c>
      <c r="E38" s="109" t="s">
        <v>207</v>
      </c>
      <c r="F38" s="16"/>
      <c r="G38" s="12" t="s">
        <v>181</v>
      </c>
      <c r="H38" s="13"/>
      <c r="I38" s="15"/>
      <c r="J38" s="15"/>
      <c r="K38" s="15"/>
      <c r="L38" s="17"/>
      <c r="M38" s="17"/>
      <c r="N38" s="17"/>
      <c r="O38" s="17">
        <v>1</v>
      </c>
      <c r="P38" s="17">
        <v>1</v>
      </c>
      <c r="Q38" s="17">
        <v>1</v>
      </c>
      <c r="R38" s="17">
        <v>1</v>
      </c>
      <c r="S38" s="15"/>
      <c r="T38" s="25">
        <v>45591</v>
      </c>
      <c r="U38" s="13" t="s">
        <v>206</v>
      </c>
      <c r="V38">
        <v>6</v>
      </c>
      <c r="AA38" s="31" t="s">
        <v>52</v>
      </c>
      <c r="AB38" s="32">
        <f>O28+O178+O148+O118+O208+O238+O268+O298+O328+O358</f>
        <v>12</v>
      </c>
    </row>
    <row r="39" spans="1:29" x14ac:dyDescent="0.4">
      <c r="A39" s="134"/>
      <c r="B39" s="137"/>
      <c r="C39" s="85" t="s">
        <v>219</v>
      </c>
      <c r="D39" s="109" t="s">
        <v>185</v>
      </c>
      <c r="E39" s="109" t="s">
        <v>207</v>
      </c>
      <c r="F39" s="16"/>
      <c r="G39" s="12" t="s">
        <v>181</v>
      </c>
      <c r="H39" s="15"/>
      <c r="I39" s="15"/>
      <c r="J39" s="15"/>
      <c r="K39" s="15"/>
      <c r="L39" s="17"/>
      <c r="M39" s="17"/>
      <c r="N39" s="17"/>
      <c r="O39" s="17">
        <v>1</v>
      </c>
      <c r="P39" s="17">
        <v>1</v>
      </c>
      <c r="Q39" s="17">
        <v>1</v>
      </c>
      <c r="R39" s="17">
        <v>1</v>
      </c>
      <c r="S39" s="15"/>
      <c r="T39" s="25">
        <v>45591</v>
      </c>
      <c r="U39" s="13" t="s">
        <v>206</v>
      </c>
      <c r="V39">
        <v>7</v>
      </c>
      <c r="AA39" s="31" t="s">
        <v>53</v>
      </c>
      <c r="AB39" s="32">
        <f>P28+P178+P148+P118+P208+P238+P268+P298+P328+P358</f>
        <v>13</v>
      </c>
    </row>
    <row r="40" spans="1:29" x14ac:dyDescent="0.4">
      <c r="A40" s="134"/>
      <c r="B40" s="137"/>
      <c r="C40" s="85" t="s">
        <v>220</v>
      </c>
      <c r="D40" s="109" t="s">
        <v>185</v>
      </c>
      <c r="E40" s="109" t="s">
        <v>207</v>
      </c>
      <c r="F40" s="16"/>
      <c r="G40" s="12" t="s">
        <v>181</v>
      </c>
      <c r="H40" s="15"/>
      <c r="I40" s="15"/>
      <c r="J40" s="15"/>
      <c r="K40" s="15"/>
      <c r="L40" s="17"/>
      <c r="M40" s="17"/>
      <c r="N40" s="17"/>
      <c r="O40" s="17">
        <v>1</v>
      </c>
      <c r="P40" s="17">
        <v>1</v>
      </c>
      <c r="Q40" s="17"/>
      <c r="R40" s="17"/>
      <c r="S40" s="15"/>
      <c r="T40" s="25">
        <v>45591</v>
      </c>
      <c r="U40" s="13" t="s">
        <v>206</v>
      </c>
      <c r="V40">
        <v>8</v>
      </c>
      <c r="AA40" s="31" t="s">
        <v>54</v>
      </c>
      <c r="AB40" s="32">
        <f>Q28+Q178+Q148+Q118+Q208+Q238+Q268+Q298+Q328+Q358</f>
        <v>30</v>
      </c>
    </row>
    <row r="41" spans="1:29" x14ac:dyDescent="0.4">
      <c r="A41" s="134"/>
      <c r="B41" s="137"/>
      <c r="C41" s="85" t="s">
        <v>221</v>
      </c>
      <c r="D41" s="109" t="s">
        <v>222</v>
      </c>
      <c r="E41" s="109" t="s">
        <v>223</v>
      </c>
      <c r="F41" s="16"/>
      <c r="G41" s="12" t="s">
        <v>181</v>
      </c>
      <c r="H41" s="15"/>
      <c r="I41" s="15"/>
      <c r="J41" s="15"/>
      <c r="K41" s="15"/>
      <c r="L41" s="17"/>
      <c r="M41" s="17"/>
      <c r="N41" s="17"/>
      <c r="O41" s="17"/>
      <c r="P41" s="17"/>
      <c r="Q41" s="17"/>
      <c r="R41" s="17"/>
      <c r="S41" s="15"/>
      <c r="T41" s="25">
        <v>45592</v>
      </c>
      <c r="U41" s="13" t="s">
        <v>183</v>
      </c>
      <c r="V41">
        <v>9</v>
      </c>
      <c r="AA41" s="31" t="s">
        <v>55</v>
      </c>
      <c r="AB41" s="32">
        <f>R28+R178+R148+R118+R208+R238+R268+R298+R328+R358</f>
        <v>6</v>
      </c>
      <c r="AC41" t="s">
        <v>123</v>
      </c>
    </row>
    <row r="42" spans="1:29" ht="19.5" thickBot="1" x14ac:dyDescent="0.45">
      <c r="A42" s="134"/>
      <c r="B42" s="137"/>
      <c r="C42" s="85" t="s">
        <v>224</v>
      </c>
      <c r="D42" s="109" t="s">
        <v>222</v>
      </c>
      <c r="E42" s="109" t="s">
        <v>199</v>
      </c>
      <c r="F42" s="16"/>
      <c r="G42" s="12" t="s">
        <v>181</v>
      </c>
      <c r="H42" s="15"/>
      <c r="I42" s="15"/>
      <c r="J42" s="15">
        <v>1</v>
      </c>
      <c r="K42" s="15">
        <v>1</v>
      </c>
      <c r="L42" s="17"/>
      <c r="M42" s="17"/>
      <c r="N42" s="17"/>
      <c r="O42" s="17"/>
      <c r="P42" s="17"/>
      <c r="Q42" s="17"/>
      <c r="R42" s="17"/>
      <c r="S42" s="15"/>
      <c r="T42" s="25">
        <v>45592</v>
      </c>
      <c r="U42" s="13" t="s">
        <v>182</v>
      </c>
      <c r="V42">
        <v>10</v>
      </c>
      <c r="AA42" s="33" t="s">
        <v>56</v>
      </c>
      <c r="AB42" s="34">
        <f>S28+S178+S148+S118+S208+S238+S268+S298+S328+S358</f>
        <v>2</v>
      </c>
      <c r="AC42" s="73">
        <f>SUM(AB33:AB42)</f>
        <v>194</v>
      </c>
    </row>
    <row r="43" spans="1:29" ht="19.5" thickBot="1" x14ac:dyDescent="0.45">
      <c r="A43" s="134"/>
      <c r="B43" s="137"/>
      <c r="C43" s="85" t="s">
        <v>225</v>
      </c>
      <c r="D43" s="109" t="s">
        <v>222</v>
      </c>
      <c r="E43" s="109" t="s">
        <v>223</v>
      </c>
      <c r="F43" s="16"/>
      <c r="G43" s="12" t="s">
        <v>181</v>
      </c>
      <c r="H43" s="15"/>
      <c r="I43" s="15"/>
      <c r="J43" s="15"/>
      <c r="K43" s="15"/>
      <c r="L43" s="17"/>
      <c r="M43" s="17"/>
      <c r="N43" s="17"/>
      <c r="O43" s="17"/>
      <c r="P43" s="17"/>
      <c r="Q43" s="17"/>
      <c r="R43" s="17"/>
      <c r="S43" s="15"/>
      <c r="T43" s="25">
        <v>45592</v>
      </c>
      <c r="U43" s="13" t="s">
        <v>183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34"/>
      <c r="B44" s="137"/>
      <c r="C44" s="85" t="s">
        <v>227</v>
      </c>
      <c r="D44" s="109" t="s">
        <v>226</v>
      </c>
      <c r="E44" s="109" t="s">
        <v>207</v>
      </c>
      <c r="F44" s="16"/>
      <c r="G44" s="12" t="s">
        <v>181</v>
      </c>
      <c r="H44" s="15"/>
      <c r="I44" s="15"/>
      <c r="J44" s="15"/>
      <c r="K44" s="15"/>
      <c r="L44" s="17"/>
      <c r="M44" s="17"/>
      <c r="N44" s="17"/>
      <c r="O44" s="17">
        <v>1</v>
      </c>
      <c r="P44" s="17"/>
      <c r="Q44" s="17">
        <v>1</v>
      </c>
      <c r="R44" s="17">
        <v>1</v>
      </c>
      <c r="S44" s="15"/>
      <c r="T44" s="25">
        <v>45585</v>
      </c>
      <c r="U44" s="13" t="s">
        <v>206</v>
      </c>
      <c r="V44">
        <v>12</v>
      </c>
      <c r="AA44" s="103" t="s">
        <v>66</v>
      </c>
      <c r="AB44" s="104">
        <f>H28+H58+H88+H118+H148+H178+H208+H238+H268+H298+H328+H358</f>
        <v>2</v>
      </c>
    </row>
    <row r="45" spans="1:29" x14ac:dyDescent="0.4">
      <c r="A45" s="134"/>
      <c r="B45" s="137"/>
      <c r="C45" s="85" t="s">
        <v>228</v>
      </c>
      <c r="D45" s="109" t="s">
        <v>229</v>
      </c>
      <c r="E45" s="109" t="s">
        <v>184</v>
      </c>
      <c r="F45" s="16"/>
      <c r="G45" s="12" t="s">
        <v>181</v>
      </c>
      <c r="H45" s="15"/>
      <c r="I45" s="15"/>
      <c r="J45" s="15"/>
      <c r="K45" s="15"/>
      <c r="L45" s="17"/>
      <c r="M45" s="17">
        <v>1</v>
      </c>
      <c r="N45" s="17"/>
      <c r="O45" s="17"/>
      <c r="P45" s="17"/>
      <c r="Q45" s="17">
        <v>1</v>
      </c>
      <c r="R45" s="17"/>
      <c r="S45" s="15"/>
      <c r="T45" s="25">
        <v>45588</v>
      </c>
      <c r="U45" s="13" t="s">
        <v>183</v>
      </c>
      <c r="V45">
        <v>13</v>
      </c>
      <c r="AA45" s="35" t="s">
        <v>65</v>
      </c>
      <c r="AB45" s="36">
        <f>H29+H59+H89+H119+H149+H179+H209+H239+H269+H299+H329+H359</f>
        <v>1</v>
      </c>
    </row>
    <row r="46" spans="1:29" x14ac:dyDescent="0.4">
      <c r="A46" s="134"/>
      <c r="B46" s="137"/>
      <c r="C46" s="85" t="s">
        <v>230</v>
      </c>
      <c r="D46" s="109" t="s">
        <v>229</v>
      </c>
      <c r="E46" s="109" t="s">
        <v>199</v>
      </c>
      <c r="F46" s="16"/>
      <c r="G46" s="12" t="s">
        <v>181</v>
      </c>
      <c r="H46" s="15"/>
      <c r="I46" s="15"/>
      <c r="J46" s="15">
        <v>1</v>
      </c>
      <c r="K46" s="15">
        <v>1</v>
      </c>
      <c r="L46" s="17"/>
      <c r="M46" s="17"/>
      <c r="N46" s="17"/>
      <c r="O46" s="17"/>
      <c r="P46" s="17"/>
      <c r="Q46" s="17"/>
      <c r="R46" s="17"/>
      <c r="S46" s="15"/>
      <c r="T46" s="25">
        <v>45588</v>
      </c>
      <c r="U46" s="13" t="s">
        <v>182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34"/>
      <c r="B47" s="137"/>
      <c r="C47" s="85"/>
      <c r="D47" s="109"/>
      <c r="E47" s="109"/>
      <c r="F47" s="16"/>
      <c r="G47" s="12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3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34"/>
      <c r="B48" s="137"/>
      <c r="C48" s="85"/>
      <c r="D48" s="109"/>
      <c r="E48" s="110"/>
      <c r="F48" s="16"/>
      <c r="G48" s="12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3"/>
      <c r="V48" s="73">
        <v>16</v>
      </c>
    </row>
    <row r="49" spans="1:28" x14ac:dyDescent="0.4">
      <c r="A49" s="134"/>
      <c r="B49" s="137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115</v>
      </c>
    </row>
    <row r="50" spans="1:28" ht="19.5" thickBot="1" x14ac:dyDescent="0.45">
      <c r="A50" s="134"/>
      <c r="B50" s="137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0</v>
      </c>
    </row>
    <row r="51" spans="1:28" ht="19.5" thickBot="1" x14ac:dyDescent="0.45">
      <c r="A51" s="134"/>
      <c r="B51" s="137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34"/>
      <c r="B52" s="137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3">
        <v>76</v>
      </c>
    </row>
    <row r="53" spans="1:28" ht="19.5" thickBot="1" x14ac:dyDescent="0.45">
      <c r="A53" s="134"/>
      <c r="B53" s="137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4"/>
    </row>
    <row r="54" spans="1:28" ht="19.5" thickBot="1" x14ac:dyDescent="0.45">
      <c r="A54" s="134"/>
      <c r="B54" s="137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34"/>
      <c r="B55" s="137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1" t="s">
        <v>73</v>
      </c>
      <c r="AB55" s="45"/>
    </row>
    <row r="56" spans="1:28" ht="19.5" thickBot="1" x14ac:dyDescent="0.45">
      <c r="A56" s="134"/>
      <c r="B56" s="137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46"/>
      <c r="AB56" s="46"/>
    </row>
    <row r="57" spans="1:28" ht="19.5" thickBot="1" x14ac:dyDescent="0.45">
      <c r="A57" s="135"/>
      <c r="B57" s="138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1"/>
      <c r="AB57" s="45">
        <v>7</v>
      </c>
    </row>
    <row r="58" spans="1:28" ht="19.5" thickBot="1" x14ac:dyDescent="0.45">
      <c r="A58" s="27"/>
      <c r="B58" s="28"/>
      <c r="C58" s="88">
        <f>COUNTA(C33:C57)</f>
        <v>14</v>
      </c>
      <c r="D58" s="112"/>
      <c r="E58" s="29"/>
      <c r="F58" s="29" t="s">
        <v>34</v>
      </c>
      <c r="G58" s="29">
        <f>COUNTIF(G33:G57,"S")</f>
        <v>14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3</v>
      </c>
      <c r="K58" s="29">
        <f t="shared" si="1"/>
        <v>3</v>
      </c>
      <c r="L58" s="29">
        <f t="shared" si="1"/>
        <v>0</v>
      </c>
      <c r="M58" s="29">
        <f t="shared" si="1"/>
        <v>4</v>
      </c>
      <c r="N58" s="29">
        <f t="shared" si="1"/>
        <v>3</v>
      </c>
      <c r="O58" s="29">
        <f t="shared" si="1"/>
        <v>5</v>
      </c>
      <c r="P58" s="29">
        <f t="shared" si="1"/>
        <v>4</v>
      </c>
      <c r="Q58" s="29">
        <f t="shared" si="1"/>
        <v>8</v>
      </c>
      <c r="R58" s="29">
        <f t="shared" si="1"/>
        <v>4</v>
      </c>
      <c r="S58" s="29">
        <f t="shared" si="1"/>
        <v>0</v>
      </c>
      <c r="T58" s="29" t="s">
        <v>64</v>
      </c>
      <c r="U58" s="29">
        <f>COUNTIF(H33:H57,"M")</f>
        <v>0</v>
      </c>
      <c r="AA58" s="146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34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AYG089</v>
      </c>
      <c r="B61" s="24">
        <f>B1</f>
        <v>45565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1" t="s">
        <v>118</v>
      </c>
      <c r="Y62" s="132"/>
    </row>
    <row r="63" spans="1:28" ht="20.25" thickTop="1" thickBot="1" x14ac:dyDescent="0.45">
      <c r="A63" s="133">
        <v>3</v>
      </c>
      <c r="B63" s="139">
        <v>22.6</v>
      </c>
      <c r="C63" s="85" t="s">
        <v>231</v>
      </c>
      <c r="D63" s="109" t="s">
        <v>232</v>
      </c>
      <c r="E63" s="15" t="s">
        <v>180</v>
      </c>
      <c r="F63" s="14"/>
      <c r="G63" s="12" t="s">
        <v>181</v>
      </c>
      <c r="H63" s="13"/>
      <c r="I63" s="13"/>
      <c r="J63" s="13">
        <v>1</v>
      </c>
      <c r="K63" s="13"/>
      <c r="L63" s="13">
        <v>1</v>
      </c>
      <c r="M63" s="13"/>
      <c r="N63" s="13"/>
      <c r="O63" s="13"/>
      <c r="P63" s="13"/>
      <c r="Q63" s="13"/>
      <c r="R63" s="13"/>
      <c r="S63" s="13"/>
      <c r="T63" s="25">
        <v>45588</v>
      </c>
      <c r="U63" s="13" t="s">
        <v>182</v>
      </c>
      <c r="V63">
        <v>1</v>
      </c>
      <c r="X63" s="51" t="s">
        <v>106</v>
      </c>
      <c r="Y63" s="52">
        <f>COUNTIF(U63:U87,"K")</f>
        <v>6</v>
      </c>
      <c r="AA63" s="59" t="s">
        <v>120</v>
      </c>
      <c r="AB63" s="60" t="s">
        <v>121</v>
      </c>
    </row>
    <row r="64" spans="1:28" x14ac:dyDescent="0.4">
      <c r="A64" s="134"/>
      <c r="B64" s="140"/>
      <c r="C64" s="85" t="s">
        <v>233</v>
      </c>
      <c r="D64" s="109" t="s">
        <v>232</v>
      </c>
      <c r="E64" s="15" t="s">
        <v>180</v>
      </c>
      <c r="F64" s="16"/>
      <c r="G64" s="12" t="s">
        <v>181</v>
      </c>
      <c r="H64" s="15"/>
      <c r="I64" s="15"/>
      <c r="J64" s="13">
        <v>1</v>
      </c>
      <c r="K64" s="15"/>
      <c r="L64" s="13">
        <v>1</v>
      </c>
      <c r="M64" s="17"/>
      <c r="N64" s="17"/>
      <c r="O64" s="17"/>
      <c r="P64" s="17"/>
      <c r="Q64" s="17"/>
      <c r="R64" s="17"/>
      <c r="S64" s="15"/>
      <c r="T64" s="25">
        <v>45588</v>
      </c>
      <c r="U64" s="13" t="s">
        <v>182</v>
      </c>
      <c r="V64">
        <v>2</v>
      </c>
      <c r="X64" s="51" t="s">
        <v>107</v>
      </c>
      <c r="Y64" s="52">
        <f>COUNTIF(U63:U87,"R")</f>
        <v>0</v>
      </c>
      <c r="AA64" s="47" t="s">
        <v>81</v>
      </c>
      <c r="AB64" s="48" t="s">
        <v>60</v>
      </c>
    </row>
    <row r="65" spans="1:28" ht="19.5" thickBot="1" x14ac:dyDescent="0.45">
      <c r="A65" s="134"/>
      <c r="B65" s="140"/>
      <c r="C65" s="85" t="s">
        <v>234</v>
      </c>
      <c r="D65" s="109" t="s">
        <v>232</v>
      </c>
      <c r="E65" s="15" t="s">
        <v>180</v>
      </c>
      <c r="F65" s="16"/>
      <c r="G65" s="12" t="s">
        <v>181</v>
      </c>
      <c r="H65" s="15"/>
      <c r="I65" s="15"/>
      <c r="J65" s="13">
        <v>1</v>
      </c>
      <c r="K65" s="15"/>
      <c r="L65" s="13">
        <v>1</v>
      </c>
      <c r="M65" s="17"/>
      <c r="N65" s="17"/>
      <c r="O65" s="17"/>
      <c r="P65" s="17"/>
      <c r="Q65" s="17"/>
      <c r="R65" s="17"/>
      <c r="S65" s="15"/>
      <c r="T65" s="25">
        <v>45588</v>
      </c>
      <c r="U65" s="13" t="s">
        <v>182</v>
      </c>
      <c r="V65">
        <v>3</v>
      </c>
      <c r="X65" s="53" t="s">
        <v>108</v>
      </c>
      <c r="Y65" s="54">
        <f>COUNTIF(U63:U87,"J")</f>
        <v>0</v>
      </c>
      <c r="AA65" s="49" t="s">
        <v>82</v>
      </c>
      <c r="AB65" s="50" t="s">
        <v>39</v>
      </c>
    </row>
    <row r="66" spans="1:28" x14ac:dyDescent="0.4">
      <c r="A66" s="134"/>
      <c r="B66" s="140"/>
      <c r="C66" s="85" t="s">
        <v>235</v>
      </c>
      <c r="D66" s="109" t="s">
        <v>232</v>
      </c>
      <c r="E66" s="15" t="s">
        <v>180</v>
      </c>
      <c r="F66" s="16"/>
      <c r="G66" s="12" t="s">
        <v>181</v>
      </c>
      <c r="H66" s="13"/>
      <c r="I66" s="15"/>
      <c r="J66" s="13">
        <v>1</v>
      </c>
      <c r="K66" s="15"/>
      <c r="L66" s="13">
        <v>1</v>
      </c>
      <c r="M66" s="17"/>
      <c r="N66" s="17"/>
      <c r="O66" s="17"/>
      <c r="P66" s="17"/>
      <c r="Q66" s="17"/>
      <c r="R66" s="17"/>
      <c r="S66" s="15"/>
      <c r="T66" s="25">
        <v>45588</v>
      </c>
      <c r="U66" s="13" t="s">
        <v>182</v>
      </c>
      <c r="V66">
        <v>4</v>
      </c>
      <c r="AA66" s="49" t="s">
        <v>83</v>
      </c>
      <c r="AB66" s="50" t="s">
        <v>38</v>
      </c>
    </row>
    <row r="67" spans="1:28" x14ac:dyDescent="0.4">
      <c r="A67" s="134"/>
      <c r="B67" s="140"/>
      <c r="C67" s="85" t="s">
        <v>236</v>
      </c>
      <c r="D67" s="109" t="s">
        <v>232</v>
      </c>
      <c r="E67" s="15" t="s">
        <v>180</v>
      </c>
      <c r="F67" s="16"/>
      <c r="G67" s="12" t="s">
        <v>181</v>
      </c>
      <c r="H67" s="15"/>
      <c r="I67" s="15"/>
      <c r="J67" s="13">
        <v>1</v>
      </c>
      <c r="K67" s="15"/>
      <c r="L67" s="13">
        <v>1</v>
      </c>
      <c r="M67" s="17"/>
      <c r="N67" s="17"/>
      <c r="O67" s="17"/>
      <c r="P67" s="17"/>
      <c r="Q67" s="17"/>
      <c r="R67" s="17"/>
      <c r="S67" s="15"/>
      <c r="T67" s="25">
        <v>45593</v>
      </c>
      <c r="U67" s="13" t="s">
        <v>182</v>
      </c>
      <c r="V67">
        <v>5</v>
      </c>
      <c r="AA67" s="49" t="s">
        <v>84</v>
      </c>
      <c r="AB67" s="50" t="s">
        <v>44</v>
      </c>
    </row>
    <row r="68" spans="1:28" x14ac:dyDescent="0.4">
      <c r="A68" s="134"/>
      <c r="B68" s="140"/>
      <c r="C68" s="85" t="s">
        <v>237</v>
      </c>
      <c r="D68" s="109" t="s">
        <v>232</v>
      </c>
      <c r="E68" s="15" t="s">
        <v>180</v>
      </c>
      <c r="F68" s="16"/>
      <c r="G68" s="12" t="s">
        <v>181</v>
      </c>
      <c r="H68" s="15"/>
      <c r="I68" s="15"/>
      <c r="J68" s="13">
        <v>1</v>
      </c>
      <c r="K68" s="15"/>
      <c r="L68" s="13">
        <v>1</v>
      </c>
      <c r="M68" s="17"/>
      <c r="N68" s="17"/>
      <c r="O68" s="17"/>
      <c r="P68" s="17"/>
      <c r="Q68" s="17"/>
      <c r="R68" s="17"/>
      <c r="S68" s="15"/>
      <c r="T68" s="25">
        <v>45591</v>
      </c>
      <c r="U68" s="13" t="s">
        <v>182</v>
      </c>
      <c r="V68">
        <v>6</v>
      </c>
      <c r="AA68" s="49" t="s">
        <v>85</v>
      </c>
      <c r="AB68" s="50" t="s">
        <v>43</v>
      </c>
    </row>
    <row r="69" spans="1:28" x14ac:dyDescent="0.4">
      <c r="A69" s="134"/>
      <c r="B69" s="140"/>
      <c r="C69" s="85"/>
      <c r="D69" s="109"/>
      <c r="E69" s="15"/>
      <c r="F69" s="16"/>
      <c r="G69" s="12"/>
      <c r="H69" s="15"/>
      <c r="I69" s="15"/>
      <c r="J69" s="13"/>
      <c r="K69" s="15"/>
      <c r="L69" s="13"/>
      <c r="M69" s="17"/>
      <c r="N69" s="17"/>
      <c r="O69" s="17"/>
      <c r="P69" s="17"/>
      <c r="Q69" s="17"/>
      <c r="R69" s="17"/>
      <c r="S69" s="15"/>
      <c r="T69" s="25"/>
      <c r="U69" s="13"/>
      <c r="V69">
        <v>7</v>
      </c>
      <c r="AA69" s="49" t="s">
        <v>86</v>
      </c>
      <c r="AB69" s="50" t="s">
        <v>45</v>
      </c>
    </row>
    <row r="70" spans="1:28" x14ac:dyDescent="0.4">
      <c r="A70" s="134"/>
      <c r="B70" s="140"/>
      <c r="C70" s="85"/>
      <c r="D70" s="109"/>
      <c r="E70" s="15"/>
      <c r="F70" s="16"/>
      <c r="G70" s="12"/>
      <c r="H70" s="15"/>
      <c r="I70" s="15"/>
      <c r="J70" s="13"/>
      <c r="K70" s="15"/>
      <c r="L70" s="13"/>
      <c r="M70" s="17"/>
      <c r="N70" s="17"/>
      <c r="O70" s="17"/>
      <c r="P70" s="17"/>
      <c r="Q70" s="17"/>
      <c r="R70" s="17"/>
      <c r="S70" s="15"/>
      <c r="T70" s="25"/>
      <c r="U70" s="13"/>
      <c r="V70">
        <v>8</v>
      </c>
      <c r="AA70" s="49" t="s">
        <v>87</v>
      </c>
      <c r="AB70" s="50" t="s">
        <v>37</v>
      </c>
    </row>
    <row r="71" spans="1:28" x14ac:dyDescent="0.4">
      <c r="A71" s="134"/>
      <c r="B71" s="140"/>
      <c r="C71" s="85"/>
      <c r="D71" s="109"/>
      <c r="E71" s="15"/>
      <c r="F71" s="16"/>
      <c r="G71" s="12"/>
      <c r="H71" s="15"/>
      <c r="I71" s="15"/>
      <c r="J71" s="13"/>
      <c r="K71" s="15"/>
      <c r="L71" s="13"/>
      <c r="M71" s="17"/>
      <c r="N71" s="17"/>
      <c r="O71" s="17"/>
      <c r="P71" s="17"/>
      <c r="Q71" s="17"/>
      <c r="R71" s="17"/>
      <c r="S71" s="15"/>
      <c r="T71" s="25"/>
      <c r="U71" s="13"/>
      <c r="V71">
        <v>9</v>
      </c>
      <c r="AA71" s="49" t="s">
        <v>88</v>
      </c>
      <c r="AB71" s="50" t="s">
        <v>74</v>
      </c>
    </row>
    <row r="72" spans="1:28" x14ac:dyDescent="0.4">
      <c r="A72" s="134"/>
      <c r="B72" s="140"/>
      <c r="C72" s="85"/>
      <c r="D72" s="109"/>
      <c r="E72" s="15"/>
      <c r="F72" s="16"/>
      <c r="G72" s="12"/>
      <c r="H72" s="15"/>
      <c r="I72" s="15"/>
      <c r="J72" s="13"/>
      <c r="K72" s="15"/>
      <c r="L72" s="13"/>
      <c r="M72" s="17"/>
      <c r="N72" s="17"/>
      <c r="O72" s="17"/>
      <c r="P72" s="17"/>
      <c r="Q72" s="17"/>
      <c r="R72" s="17"/>
      <c r="S72" s="15"/>
      <c r="T72" s="25"/>
      <c r="U72" s="13"/>
      <c r="V72">
        <v>10</v>
      </c>
      <c r="AA72" s="49" t="s">
        <v>89</v>
      </c>
      <c r="AB72" s="50" t="s">
        <v>36</v>
      </c>
    </row>
    <row r="73" spans="1:28" x14ac:dyDescent="0.4">
      <c r="A73" s="134"/>
      <c r="B73" s="140"/>
      <c r="C73" s="85"/>
      <c r="D73" s="109"/>
      <c r="E73" s="15"/>
      <c r="F73" s="16"/>
      <c r="G73" s="15"/>
      <c r="H73" s="15"/>
      <c r="I73" s="15"/>
      <c r="J73" s="15"/>
      <c r="K73" s="15"/>
      <c r="L73" s="17"/>
      <c r="M73" s="17"/>
      <c r="N73" s="17"/>
      <c r="O73" s="17"/>
      <c r="P73" s="17"/>
      <c r="Q73" s="17"/>
      <c r="R73" s="17"/>
      <c r="S73" s="15"/>
      <c r="T73" s="25"/>
      <c r="U73" s="15"/>
      <c r="V73">
        <v>11</v>
      </c>
      <c r="AA73" s="49" t="s">
        <v>90</v>
      </c>
      <c r="AB73" s="50" t="s">
        <v>58</v>
      </c>
    </row>
    <row r="74" spans="1:28" x14ac:dyDescent="0.4">
      <c r="A74" s="134"/>
      <c r="B74" s="140"/>
      <c r="C74" s="85"/>
      <c r="D74" s="109"/>
      <c r="E74" s="15"/>
      <c r="F74" s="16"/>
      <c r="G74" s="15"/>
      <c r="H74" s="15"/>
      <c r="I74" s="15"/>
      <c r="J74" s="15"/>
      <c r="K74" s="15"/>
      <c r="L74" s="17"/>
      <c r="M74" s="17"/>
      <c r="N74" s="17"/>
      <c r="O74" s="17"/>
      <c r="P74" s="17"/>
      <c r="Q74" s="17"/>
      <c r="R74" s="17"/>
      <c r="S74" s="15"/>
      <c r="T74" s="25"/>
      <c r="U74" s="15"/>
      <c r="V74">
        <v>12</v>
      </c>
      <c r="AA74" s="49" t="s">
        <v>91</v>
      </c>
      <c r="AB74" s="50" t="s">
        <v>75</v>
      </c>
    </row>
    <row r="75" spans="1:28" x14ac:dyDescent="0.4">
      <c r="A75" s="134"/>
      <c r="B75" s="140"/>
      <c r="C75" s="85"/>
      <c r="D75" s="109"/>
      <c r="E75" s="15"/>
      <c r="F75" s="16"/>
      <c r="G75" s="15"/>
      <c r="H75" s="15"/>
      <c r="I75" s="15"/>
      <c r="J75" s="15"/>
      <c r="K75" s="15"/>
      <c r="L75" s="17"/>
      <c r="M75" s="17"/>
      <c r="N75" s="17"/>
      <c r="O75" s="17"/>
      <c r="P75" s="17"/>
      <c r="Q75" s="17"/>
      <c r="R75" s="17"/>
      <c r="S75" s="15"/>
      <c r="T75" s="25"/>
      <c r="U75" s="15"/>
      <c r="V75">
        <v>13</v>
      </c>
      <c r="AA75" s="49" t="s">
        <v>92</v>
      </c>
      <c r="AB75" s="50" t="s">
        <v>40</v>
      </c>
    </row>
    <row r="76" spans="1:28" x14ac:dyDescent="0.4">
      <c r="A76" s="134"/>
      <c r="B76" s="140"/>
      <c r="C76" s="85"/>
      <c r="D76" s="109"/>
      <c r="E76" s="15"/>
      <c r="F76" s="16"/>
      <c r="G76" s="15"/>
      <c r="H76" s="15"/>
      <c r="I76" s="15"/>
      <c r="J76" s="15"/>
      <c r="K76" s="15"/>
      <c r="L76" s="17"/>
      <c r="M76" s="17"/>
      <c r="N76" s="17"/>
      <c r="O76" s="17"/>
      <c r="P76" s="17"/>
      <c r="Q76" s="17"/>
      <c r="R76" s="17"/>
      <c r="S76" s="15"/>
      <c r="T76" s="25"/>
      <c r="U76" s="15"/>
      <c r="V76">
        <v>14</v>
      </c>
      <c r="AA76" s="49" t="s">
        <v>93</v>
      </c>
      <c r="AB76" s="50" t="s">
        <v>57</v>
      </c>
    </row>
    <row r="77" spans="1:28" x14ac:dyDescent="0.4">
      <c r="A77" s="134"/>
      <c r="B77" s="140"/>
      <c r="C77" s="85"/>
      <c r="D77" s="109"/>
      <c r="E77" s="15"/>
      <c r="F77" s="16"/>
      <c r="G77" s="15"/>
      <c r="H77" s="15"/>
      <c r="I77" s="15"/>
      <c r="J77" s="15"/>
      <c r="K77" s="15"/>
      <c r="L77" s="17"/>
      <c r="M77" s="17"/>
      <c r="N77" s="17"/>
      <c r="O77" s="17"/>
      <c r="P77" s="17"/>
      <c r="Q77" s="17"/>
      <c r="R77" s="17"/>
      <c r="S77" s="15"/>
      <c r="T77" s="25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34"/>
      <c r="B78" s="140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34"/>
      <c r="B79" s="140"/>
      <c r="C79" s="85"/>
      <c r="D79" s="110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34"/>
      <c r="B80" s="140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34"/>
      <c r="B81" s="140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34"/>
      <c r="B82" s="140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34"/>
      <c r="B83" s="140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34"/>
      <c r="B84" s="140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34"/>
      <c r="B85" s="140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34"/>
      <c r="B86" s="140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35"/>
      <c r="B87" s="141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6</v>
      </c>
      <c r="D88" s="112"/>
      <c r="E88" s="29"/>
      <c r="F88" s="29" t="s">
        <v>34</v>
      </c>
      <c r="G88" s="29">
        <f>COUNTIF(G63:G87,"S")</f>
        <v>6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0</v>
      </c>
      <c r="L88" s="29">
        <f t="shared" si="2"/>
        <v>6</v>
      </c>
      <c r="M88" s="29">
        <f t="shared" si="2"/>
        <v>0</v>
      </c>
      <c r="N88" s="29">
        <f t="shared" si="2"/>
        <v>0</v>
      </c>
      <c r="O88" s="29">
        <f t="shared" si="2"/>
        <v>0</v>
      </c>
      <c r="P88" s="29">
        <f t="shared" si="2"/>
        <v>0</v>
      </c>
      <c r="Q88" s="29">
        <f t="shared" si="2"/>
        <v>0</v>
      </c>
      <c r="R88" s="29">
        <f t="shared" si="2"/>
        <v>0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6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AYG089</v>
      </c>
      <c r="B91" s="24">
        <f>B1</f>
        <v>45565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1" t="s">
        <v>117</v>
      </c>
      <c r="Y92" s="132"/>
    </row>
    <row r="93" spans="1:28" ht="20.25" thickTop="1" thickBot="1" x14ac:dyDescent="0.45">
      <c r="A93" s="133">
        <v>4</v>
      </c>
      <c r="B93" s="136">
        <v>21.8</v>
      </c>
      <c r="C93" s="85" t="s">
        <v>238</v>
      </c>
      <c r="D93" s="109" t="s">
        <v>185</v>
      </c>
      <c r="E93" s="15" t="s">
        <v>195</v>
      </c>
      <c r="F93" s="14"/>
      <c r="G93" s="12" t="s">
        <v>181</v>
      </c>
      <c r="H93" s="13"/>
      <c r="I93" s="13"/>
      <c r="J93" s="13"/>
      <c r="K93" s="13"/>
      <c r="L93" s="13"/>
      <c r="M93" s="13">
        <v>1</v>
      </c>
      <c r="N93" s="13">
        <v>1</v>
      </c>
      <c r="O93" s="13"/>
      <c r="P93" s="13"/>
      <c r="Q93" s="13">
        <v>1</v>
      </c>
      <c r="R93" s="13"/>
      <c r="S93" s="13"/>
      <c r="T93" s="25">
        <v>45574</v>
      </c>
      <c r="U93" s="13" t="s">
        <v>183</v>
      </c>
      <c r="V93">
        <v>1</v>
      </c>
      <c r="X93" s="51" t="s">
        <v>106</v>
      </c>
      <c r="Y93" s="52">
        <f>COUNTIF(U93:U117,"K")</f>
        <v>8</v>
      </c>
      <c r="AA93" s="59" t="s">
        <v>120</v>
      </c>
      <c r="AB93" s="60" t="s">
        <v>121</v>
      </c>
    </row>
    <row r="94" spans="1:28" x14ac:dyDescent="0.4">
      <c r="A94" s="134"/>
      <c r="B94" s="137"/>
      <c r="C94" s="85" t="s">
        <v>239</v>
      </c>
      <c r="D94" s="109" t="s">
        <v>185</v>
      </c>
      <c r="E94" s="15" t="s">
        <v>184</v>
      </c>
      <c r="F94" s="16"/>
      <c r="G94" s="12" t="s">
        <v>181</v>
      </c>
      <c r="H94" s="15"/>
      <c r="I94" s="15"/>
      <c r="J94" s="15"/>
      <c r="K94" s="15"/>
      <c r="L94" s="17"/>
      <c r="M94" s="17">
        <v>1</v>
      </c>
      <c r="N94" s="17">
        <v>1</v>
      </c>
      <c r="O94" s="17"/>
      <c r="P94" s="17"/>
      <c r="Q94" s="17">
        <v>1</v>
      </c>
      <c r="R94" s="17"/>
      <c r="S94" s="15"/>
      <c r="T94" s="25">
        <v>45593</v>
      </c>
      <c r="U94" s="15" t="s">
        <v>183</v>
      </c>
      <c r="V94">
        <v>2</v>
      </c>
      <c r="X94" s="51" t="s">
        <v>107</v>
      </c>
      <c r="Y94" s="52">
        <f>COUNTIF(U93:U117,"R")</f>
        <v>8</v>
      </c>
      <c r="AA94" s="47" t="s">
        <v>81</v>
      </c>
      <c r="AB94" s="48" t="s">
        <v>60</v>
      </c>
    </row>
    <row r="95" spans="1:28" ht="19.5" thickBot="1" x14ac:dyDescent="0.45">
      <c r="A95" s="134"/>
      <c r="B95" s="137"/>
      <c r="C95" s="85" t="s">
        <v>240</v>
      </c>
      <c r="D95" s="109" t="s">
        <v>185</v>
      </c>
      <c r="E95" s="15" t="s">
        <v>184</v>
      </c>
      <c r="F95" s="16"/>
      <c r="G95" s="12" t="s">
        <v>181</v>
      </c>
      <c r="H95" s="15"/>
      <c r="I95" s="15"/>
      <c r="J95" s="15"/>
      <c r="K95" s="15"/>
      <c r="L95" s="17"/>
      <c r="M95" s="17">
        <v>1</v>
      </c>
      <c r="N95" s="17">
        <v>1</v>
      </c>
      <c r="O95" s="17"/>
      <c r="P95" s="17"/>
      <c r="Q95" s="17">
        <v>1</v>
      </c>
      <c r="R95" s="17"/>
      <c r="S95" s="15"/>
      <c r="T95" s="25">
        <v>45580</v>
      </c>
      <c r="U95" s="15" t="s">
        <v>183</v>
      </c>
      <c r="V95">
        <v>3</v>
      </c>
      <c r="X95" s="53" t="s">
        <v>108</v>
      </c>
      <c r="Y95" s="54">
        <f>COUNTIF(U93:U117,"J")</f>
        <v>1</v>
      </c>
      <c r="AA95" s="49" t="s">
        <v>122</v>
      </c>
      <c r="AB95" s="50" t="s">
        <v>39</v>
      </c>
    </row>
    <row r="96" spans="1:28" x14ac:dyDescent="0.4">
      <c r="A96" s="134"/>
      <c r="B96" s="137"/>
      <c r="C96" s="85" t="s">
        <v>241</v>
      </c>
      <c r="D96" s="109" t="s">
        <v>203</v>
      </c>
      <c r="E96" s="15" t="s">
        <v>184</v>
      </c>
      <c r="F96" s="16"/>
      <c r="G96" s="12" t="s">
        <v>181</v>
      </c>
      <c r="H96" s="15"/>
      <c r="I96" s="15"/>
      <c r="J96" s="15"/>
      <c r="K96" s="15">
        <v>1</v>
      </c>
      <c r="L96" s="17"/>
      <c r="M96" s="17"/>
      <c r="N96" s="17"/>
      <c r="O96" s="17"/>
      <c r="P96" s="17"/>
      <c r="Q96" s="17"/>
      <c r="R96" s="17"/>
      <c r="S96" s="15"/>
      <c r="T96" s="25">
        <v>45583</v>
      </c>
      <c r="U96" s="15" t="s">
        <v>142</v>
      </c>
      <c r="V96">
        <v>4</v>
      </c>
      <c r="AA96" s="49" t="s">
        <v>83</v>
      </c>
      <c r="AB96" s="50" t="s">
        <v>38</v>
      </c>
    </row>
    <row r="97" spans="1:28" x14ac:dyDescent="0.4">
      <c r="A97" s="134"/>
      <c r="B97" s="137"/>
      <c r="C97" s="85" t="s">
        <v>242</v>
      </c>
      <c r="D97" s="109" t="s">
        <v>203</v>
      </c>
      <c r="E97" s="15" t="s">
        <v>189</v>
      </c>
      <c r="F97" s="16"/>
      <c r="G97" s="12" t="s">
        <v>181</v>
      </c>
      <c r="H97" s="15"/>
      <c r="I97" s="15"/>
      <c r="J97" s="15"/>
      <c r="K97" s="15">
        <v>1</v>
      </c>
      <c r="L97" s="17"/>
      <c r="M97" s="17"/>
      <c r="N97" s="17"/>
      <c r="O97" s="17"/>
      <c r="P97" s="17"/>
      <c r="Q97" s="17"/>
      <c r="R97" s="17"/>
      <c r="S97" s="15"/>
      <c r="T97" s="25">
        <v>45581</v>
      </c>
      <c r="U97" s="15" t="s">
        <v>182</v>
      </c>
      <c r="V97">
        <v>5</v>
      </c>
      <c r="AA97" s="49" t="s">
        <v>84</v>
      </c>
      <c r="AB97" s="50" t="s">
        <v>44</v>
      </c>
    </row>
    <row r="98" spans="1:28" x14ac:dyDescent="0.4">
      <c r="A98" s="134"/>
      <c r="B98" s="137"/>
      <c r="C98" s="85" t="s">
        <v>243</v>
      </c>
      <c r="D98" s="109" t="s">
        <v>185</v>
      </c>
      <c r="E98" s="15" t="s">
        <v>184</v>
      </c>
      <c r="F98" s="16"/>
      <c r="G98" s="12" t="s">
        <v>181</v>
      </c>
      <c r="H98" s="13"/>
      <c r="I98" s="15"/>
      <c r="J98" s="15"/>
      <c r="K98" s="15"/>
      <c r="L98" s="17"/>
      <c r="M98" s="17">
        <v>1</v>
      </c>
      <c r="N98" s="17">
        <v>1</v>
      </c>
      <c r="O98" s="17"/>
      <c r="P98" s="17"/>
      <c r="Q98" s="17">
        <v>1</v>
      </c>
      <c r="R98" s="17"/>
      <c r="S98" s="15"/>
      <c r="T98" s="25">
        <v>45586</v>
      </c>
      <c r="U98" s="15" t="s">
        <v>183</v>
      </c>
      <c r="V98">
        <v>6</v>
      </c>
      <c r="AA98" s="49" t="s">
        <v>85</v>
      </c>
      <c r="AB98" s="50" t="s">
        <v>43</v>
      </c>
    </row>
    <row r="99" spans="1:28" x14ac:dyDescent="0.4">
      <c r="A99" s="134"/>
      <c r="B99" s="137"/>
      <c r="C99" s="85" t="s">
        <v>244</v>
      </c>
      <c r="D99" s="109" t="s">
        <v>210</v>
      </c>
      <c r="E99" s="15" t="s">
        <v>194</v>
      </c>
      <c r="F99" s="16"/>
      <c r="G99" s="12" t="s">
        <v>181</v>
      </c>
      <c r="H99" s="15" t="s">
        <v>183</v>
      </c>
      <c r="I99" s="15"/>
      <c r="J99" s="15"/>
      <c r="K99" s="15"/>
      <c r="L99" s="17"/>
      <c r="M99" s="17">
        <v>1</v>
      </c>
      <c r="N99" s="17">
        <v>1</v>
      </c>
      <c r="O99" s="17"/>
      <c r="P99" s="17"/>
      <c r="Q99" s="17">
        <v>1</v>
      </c>
      <c r="R99" s="17"/>
      <c r="S99" s="15"/>
      <c r="T99" s="25">
        <v>45584</v>
      </c>
      <c r="U99" s="15" t="s">
        <v>183</v>
      </c>
      <c r="V99">
        <v>7</v>
      </c>
      <c r="AA99" s="49" t="s">
        <v>86</v>
      </c>
      <c r="AB99" s="50" t="s">
        <v>45</v>
      </c>
    </row>
    <row r="100" spans="1:28" x14ac:dyDescent="0.4">
      <c r="A100" s="134"/>
      <c r="B100" s="137"/>
      <c r="C100" s="85" t="s">
        <v>245</v>
      </c>
      <c r="D100" s="109" t="s">
        <v>185</v>
      </c>
      <c r="E100" s="15" t="s">
        <v>184</v>
      </c>
      <c r="F100" s="16"/>
      <c r="G100" s="12" t="s">
        <v>181</v>
      </c>
      <c r="H100" s="15"/>
      <c r="I100" s="15"/>
      <c r="J100" s="15"/>
      <c r="K100" s="15"/>
      <c r="L100" s="17"/>
      <c r="M100" s="17">
        <v>1</v>
      </c>
      <c r="N100" s="17">
        <v>1</v>
      </c>
      <c r="O100" s="17"/>
      <c r="P100" s="17"/>
      <c r="Q100" s="17">
        <v>1</v>
      </c>
      <c r="R100" s="17"/>
      <c r="S100" s="15"/>
      <c r="T100" s="25">
        <v>45579</v>
      </c>
      <c r="U100" s="15" t="s">
        <v>183</v>
      </c>
      <c r="V100">
        <v>8</v>
      </c>
      <c r="AA100" s="49" t="s">
        <v>87</v>
      </c>
      <c r="AB100" s="50" t="s">
        <v>37</v>
      </c>
    </row>
    <row r="101" spans="1:28" x14ac:dyDescent="0.4">
      <c r="A101" s="134"/>
      <c r="B101" s="137"/>
      <c r="C101" s="85" t="s">
        <v>246</v>
      </c>
      <c r="D101" s="109" t="s">
        <v>247</v>
      </c>
      <c r="E101" s="15" t="s">
        <v>248</v>
      </c>
      <c r="F101" s="16"/>
      <c r="G101" s="12" t="s">
        <v>181</v>
      </c>
      <c r="H101" s="15"/>
      <c r="I101" s="15"/>
      <c r="J101" s="15"/>
      <c r="K101" s="15"/>
      <c r="L101" s="17"/>
      <c r="M101" s="17"/>
      <c r="N101" s="17"/>
      <c r="O101" s="17"/>
      <c r="P101" s="17"/>
      <c r="Q101" s="17"/>
      <c r="R101" s="17"/>
      <c r="S101" s="15"/>
      <c r="T101" s="25">
        <v>45588</v>
      </c>
      <c r="U101" s="15" t="s">
        <v>183</v>
      </c>
      <c r="V101">
        <v>9</v>
      </c>
      <c r="AA101" s="49" t="s">
        <v>88</v>
      </c>
      <c r="AB101" s="50" t="s">
        <v>74</v>
      </c>
    </row>
    <row r="102" spans="1:28" x14ac:dyDescent="0.4">
      <c r="A102" s="134"/>
      <c r="B102" s="137"/>
      <c r="C102" s="85" t="s">
        <v>249</v>
      </c>
      <c r="D102" s="109" t="s">
        <v>247</v>
      </c>
      <c r="E102" s="15" t="s">
        <v>195</v>
      </c>
      <c r="F102" s="16"/>
      <c r="G102" s="12" t="s">
        <v>181</v>
      </c>
      <c r="H102" s="15"/>
      <c r="I102" s="15"/>
      <c r="J102" s="15">
        <v>1</v>
      </c>
      <c r="K102" s="15">
        <v>1</v>
      </c>
      <c r="L102" s="17"/>
      <c r="M102" s="17"/>
      <c r="N102" s="17"/>
      <c r="O102" s="17"/>
      <c r="P102" s="17"/>
      <c r="Q102" s="17"/>
      <c r="R102" s="17"/>
      <c r="S102" s="15"/>
      <c r="T102" s="25">
        <v>45587</v>
      </c>
      <c r="U102" s="15" t="s">
        <v>182</v>
      </c>
      <c r="V102">
        <v>10</v>
      </c>
      <c r="AA102" s="49" t="s">
        <v>89</v>
      </c>
      <c r="AB102" s="50" t="s">
        <v>36</v>
      </c>
    </row>
    <row r="103" spans="1:28" x14ac:dyDescent="0.4">
      <c r="A103" s="134"/>
      <c r="B103" s="137"/>
      <c r="C103" s="85" t="s">
        <v>250</v>
      </c>
      <c r="D103" s="109" t="s">
        <v>247</v>
      </c>
      <c r="E103" s="15" t="s">
        <v>199</v>
      </c>
      <c r="F103" s="16"/>
      <c r="G103" s="12" t="s">
        <v>181</v>
      </c>
      <c r="H103" s="15"/>
      <c r="I103" s="15"/>
      <c r="J103" s="15">
        <v>1</v>
      </c>
      <c r="K103" s="15">
        <v>1</v>
      </c>
      <c r="L103" s="17"/>
      <c r="M103" s="17"/>
      <c r="N103" s="17"/>
      <c r="O103" s="17"/>
      <c r="P103" s="17"/>
      <c r="Q103" s="17"/>
      <c r="R103" s="17"/>
      <c r="S103" s="15"/>
      <c r="T103" s="25">
        <v>45587</v>
      </c>
      <c r="U103" s="15" t="s">
        <v>182</v>
      </c>
      <c r="V103">
        <v>11</v>
      </c>
      <c r="AA103" s="49" t="s">
        <v>90</v>
      </c>
      <c r="AB103" s="50" t="s">
        <v>58</v>
      </c>
    </row>
    <row r="104" spans="1:28" x14ac:dyDescent="0.4">
      <c r="A104" s="134"/>
      <c r="B104" s="137"/>
      <c r="C104" s="85" t="s">
        <v>252</v>
      </c>
      <c r="D104" s="109" t="s">
        <v>247</v>
      </c>
      <c r="E104" s="15" t="s">
        <v>251</v>
      </c>
      <c r="F104" s="16"/>
      <c r="G104" s="12" t="s">
        <v>181</v>
      </c>
      <c r="H104" s="15"/>
      <c r="I104" s="15"/>
      <c r="J104" s="15">
        <v>1</v>
      </c>
      <c r="K104" s="15">
        <v>1</v>
      </c>
      <c r="L104" s="17"/>
      <c r="M104" s="17"/>
      <c r="N104" s="17"/>
      <c r="O104" s="17"/>
      <c r="P104" s="17"/>
      <c r="Q104" s="17"/>
      <c r="R104" s="17"/>
      <c r="S104" s="15"/>
      <c r="T104" s="25">
        <v>45587</v>
      </c>
      <c r="U104" s="15" t="s">
        <v>182</v>
      </c>
      <c r="V104">
        <v>12</v>
      </c>
      <c r="AA104" s="49" t="s">
        <v>91</v>
      </c>
      <c r="AB104" s="50" t="s">
        <v>75</v>
      </c>
    </row>
    <row r="105" spans="1:28" x14ac:dyDescent="0.4">
      <c r="A105" s="134"/>
      <c r="B105" s="137"/>
      <c r="C105" s="85" t="s">
        <v>253</v>
      </c>
      <c r="D105" s="109" t="s">
        <v>247</v>
      </c>
      <c r="E105" s="15" t="s">
        <v>195</v>
      </c>
      <c r="F105" s="16"/>
      <c r="G105" s="12" t="s">
        <v>181</v>
      </c>
      <c r="H105" s="15"/>
      <c r="I105" s="15"/>
      <c r="J105" s="15">
        <v>1</v>
      </c>
      <c r="K105" s="15">
        <v>1</v>
      </c>
      <c r="L105" s="17"/>
      <c r="M105" s="17"/>
      <c r="N105" s="17"/>
      <c r="O105" s="17"/>
      <c r="P105" s="17"/>
      <c r="Q105" s="17"/>
      <c r="R105" s="17"/>
      <c r="S105" s="15"/>
      <c r="T105" s="25">
        <v>45587</v>
      </c>
      <c r="U105" s="15" t="s">
        <v>182</v>
      </c>
      <c r="V105">
        <v>13</v>
      </c>
      <c r="AA105" s="49" t="s">
        <v>92</v>
      </c>
      <c r="AB105" s="50" t="s">
        <v>40</v>
      </c>
    </row>
    <row r="106" spans="1:28" x14ac:dyDescent="0.4">
      <c r="A106" s="134"/>
      <c r="B106" s="137"/>
      <c r="C106" s="85" t="s">
        <v>254</v>
      </c>
      <c r="D106" s="109" t="s">
        <v>247</v>
      </c>
      <c r="E106" s="15" t="s">
        <v>189</v>
      </c>
      <c r="F106" s="16"/>
      <c r="G106" s="12" t="s">
        <v>181</v>
      </c>
      <c r="H106" s="15"/>
      <c r="I106" s="15"/>
      <c r="J106" s="15">
        <v>1</v>
      </c>
      <c r="K106" s="15">
        <v>1</v>
      </c>
      <c r="L106" s="17"/>
      <c r="M106" s="17"/>
      <c r="N106" s="17"/>
      <c r="O106" s="17"/>
      <c r="P106" s="17"/>
      <c r="Q106" s="17"/>
      <c r="R106" s="17"/>
      <c r="S106" s="15"/>
      <c r="T106" s="25">
        <v>45587</v>
      </c>
      <c r="U106" s="15" t="s">
        <v>182</v>
      </c>
      <c r="V106">
        <v>14</v>
      </c>
      <c r="AA106" s="49" t="s">
        <v>93</v>
      </c>
      <c r="AB106" s="50" t="s">
        <v>57</v>
      </c>
    </row>
    <row r="107" spans="1:28" x14ac:dyDescent="0.4">
      <c r="A107" s="134"/>
      <c r="B107" s="137"/>
      <c r="C107" s="85" t="s">
        <v>255</v>
      </c>
      <c r="D107" s="109" t="s">
        <v>247</v>
      </c>
      <c r="E107" s="15" t="s">
        <v>207</v>
      </c>
      <c r="F107" s="16"/>
      <c r="G107" s="15" t="s">
        <v>181</v>
      </c>
      <c r="H107" s="15"/>
      <c r="I107" s="15"/>
      <c r="J107" s="15"/>
      <c r="K107" s="15"/>
      <c r="L107" s="17"/>
      <c r="M107" s="17"/>
      <c r="N107" s="17"/>
      <c r="O107" s="17">
        <v>1</v>
      </c>
      <c r="P107" s="17">
        <v>1</v>
      </c>
      <c r="Q107" s="17"/>
      <c r="R107" s="17"/>
      <c r="S107" s="15"/>
      <c r="T107" s="25">
        <v>45587</v>
      </c>
      <c r="U107" s="15" t="s">
        <v>206</v>
      </c>
      <c r="V107">
        <v>15</v>
      </c>
      <c r="AA107" s="49" t="s">
        <v>94</v>
      </c>
      <c r="AB107" s="50" t="s">
        <v>41</v>
      </c>
    </row>
    <row r="108" spans="1:28" x14ac:dyDescent="0.4">
      <c r="A108" s="134"/>
      <c r="B108" s="137"/>
      <c r="C108" s="85" t="s">
        <v>257</v>
      </c>
      <c r="D108" s="109" t="s">
        <v>256</v>
      </c>
      <c r="E108" s="15" t="s">
        <v>223</v>
      </c>
      <c r="F108" s="16"/>
      <c r="G108" s="15" t="s">
        <v>181</v>
      </c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>
        <v>1</v>
      </c>
      <c r="T108" s="25">
        <v>45594</v>
      </c>
      <c r="U108" s="15" t="s">
        <v>182</v>
      </c>
      <c r="V108">
        <v>16</v>
      </c>
      <c r="AA108" s="49" t="s">
        <v>95</v>
      </c>
      <c r="AB108" s="50" t="s">
        <v>42</v>
      </c>
    </row>
    <row r="109" spans="1:28" x14ac:dyDescent="0.4">
      <c r="A109" s="134"/>
      <c r="B109" s="137"/>
      <c r="C109" s="85" t="s">
        <v>258</v>
      </c>
      <c r="D109" s="110" t="s">
        <v>256</v>
      </c>
      <c r="E109" s="15" t="s">
        <v>194</v>
      </c>
      <c r="F109" s="16"/>
      <c r="G109" s="18" t="s">
        <v>181</v>
      </c>
      <c r="H109" s="15"/>
      <c r="I109" s="15"/>
      <c r="J109" s="18"/>
      <c r="K109" s="15"/>
      <c r="L109" s="19"/>
      <c r="M109" s="19">
        <v>1</v>
      </c>
      <c r="N109" s="19">
        <v>1</v>
      </c>
      <c r="O109" s="19"/>
      <c r="P109" s="19"/>
      <c r="Q109" s="19"/>
      <c r="R109" s="19"/>
      <c r="S109" s="15"/>
      <c r="T109" s="26">
        <v>45594</v>
      </c>
      <c r="U109" s="15" t="s">
        <v>183</v>
      </c>
      <c r="V109">
        <v>17</v>
      </c>
      <c r="AA109" s="49" t="s">
        <v>96</v>
      </c>
      <c r="AB109" s="50" t="s">
        <v>61</v>
      </c>
    </row>
    <row r="110" spans="1:28" x14ac:dyDescent="0.4">
      <c r="A110" s="134"/>
      <c r="B110" s="137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34"/>
      <c r="B111" s="137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34"/>
      <c r="B112" s="137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34"/>
      <c r="B113" s="137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34"/>
      <c r="B114" s="137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34"/>
      <c r="B115" s="137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19.5" thickBot="1" x14ac:dyDescent="0.45">
      <c r="A116" s="134"/>
      <c r="B116" s="137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35"/>
      <c r="B117" s="138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17</v>
      </c>
      <c r="D118" s="112"/>
      <c r="E118" s="29"/>
      <c r="F118" s="29" t="s">
        <v>34</v>
      </c>
      <c r="G118" s="29">
        <f>COUNTIF(G93:G117,"S")</f>
        <v>17</v>
      </c>
      <c r="H118" s="29">
        <f>COUNTIF(H93:H117,"E")</f>
        <v>0</v>
      </c>
      <c r="I118" s="29">
        <f t="shared" ref="I118:S118" si="3">SUM(I93:I117)</f>
        <v>0</v>
      </c>
      <c r="J118" s="29">
        <f t="shared" si="3"/>
        <v>5</v>
      </c>
      <c r="K118" s="29">
        <f t="shared" si="3"/>
        <v>7</v>
      </c>
      <c r="L118" s="29">
        <f t="shared" si="3"/>
        <v>0</v>
      </c>
      <c r="M118" s="29">
        <f t="shared" si="3"/>
        <v>7</v>
      </c>
      <c r="N118" s="29">
        <f t="shared" si="3"/>
        <v>7</v>
      </c>
      <c r="O118" s="29">
        <f t="shared" si="3"/>
        <v>1</v>
      </c>
      <c r="P118" s="29">
        <f t="shared" si="3"/>
        <v>1</v>
      </c>
      <c r="Q118" s="29">
        <f t="shared" si="3"/>
        <v>6</v>
      </c>
      <c r="R118" s="29">
        <f t="shared" si="3"/>
        <v>0</v>
      </c>
      <c r="S118" s="29">
        <f t="shared" si="3"/>
        <v>1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1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35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AYG089</v>
      </c>
      <c r="B121" s="24">
        <f>B1</f>
        <v>45565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1" t="s">
        <v>116</v>
      </c>
      <c r="Y122" s="132"/>
    </row>
    <row r="123" spans="1:28" ht="20.25" thickTop="1" thickBot="1" x14ac:dyDescent="0.45">
      <c r="A123" s="133">
        <v>5</v>
      </c>
      <c r="B123" s="136">
        <v>18.2</v>
      </c>
      <c r="C123" s="85" t="s">
        <v>259</v>
      </c>
      <c r="D123" s="106" t="s">
        <v>226</v>
      </c>
      <c r="E123" s="106" t="s">
        <v>199</v>
      </c>
      <c r="F123" s="14"/>
      <c r="G123" s="12" t="s">
        <v>181</v>
      </c>
      <c r="H123" s="13"/>
      <c r="I123" s="13"/>
      <c r="J123" s="13">
        <v>1</v>
      </c>
      <c r="K123" s="13">
        <v>1</v>
      </c>
      <c r="L123" s="13"/>
      <c r="M123" s="13"/>
      <c r="N123" s="13"/>
      <c r="O123" s="13"/>
      <c r="P123" s="13"/>
      <c r="Q123" s="13"/>
      <c r="R123" s="13"/>
      <c r="S123" s="13"/>
      <c r="T123" s="25">
        <v>45585</v>
      </c>
      <c r="U123" s="13" t="s">
        <v>182</v>
      </c>
      <c r="V123">
        <v>1</v>
      </c>
      <c r="X123" s="51" t="s">
        <v>106</v>
      </c>
      <c r="Y123" s="52">
        <f>COUNTIF(U123:U147,"K")</f>
        <v>5</v>
      </c>
      <c r="AA123" s="59" t="s">
        <v>120</v>
      </c>
      <c r="AB123" s="60" t="s">
        <v>121</v>
      </c>
    </row>
    <row r="124" spans="1:28" x14ac:dyDescent="0.4">
      <c r="A124" s="134"/>
      <c r="B124" s="137"/>
      <c r="C124" s="85" t="s">
        <v>260</v>
      </c>
      <c r="D124" s="106" t="s">
        <v>232</v>
      </c>
      <c r="E124" s="106" t="s">
        <v>180</v>
      </c>
      <c r="F124" s="16"/>
      <c r="G124" s="12" t="s">
        <v>181</v>
      </c>
      <c r="H124" s="15"/>
      <c r="I124" s="15"/>
      <c r="J124" s="15">
        <v>1</v>
      </c>
      <c r="K124" s="15">
        <v>1</v>
      </c>
      <c r="L124" s="17"/>
      <c r="M124" s="17"/>
      <c r="N124" s="17"/>
      <c r="O124" s="17">
        <v>1</v>
      </c>
      <c r="P124" s="17">
        <v>1</v>
      </c>
      <c r="Q124" s="17"/>
      <c r="R124" s="17"/>
      <c r="S124" s="15"/>
      <c r="T124" s="25">
        <v>45591</v>
      </c>
      <c r="U124" s="13" t="s">
        <v>182</v>
      </c>
      <c r="V124">
        <v>2</v>
      </c>
      <c r="X124" s="51" t="s">
        <v>107</v>
      </c>
      <c r="Y124" s="52">
        <f>COUNTIF(U123:U147,"R")</f>
        <v>3</v>
      </c>
      <c r="AA124" s="47" t="s">
        <v>81</v>
      </c>
      <c r="AB124" s="48" t="s">
        <v>60</v>
      </c>
    </row>
    <row r="125" spans="1:28" ht="19.5" thickBot="1" x14ac:dyDescent="0.45">
      <c r="A125" s="134"/>
      <c r="B125" s="137"/>
      <c r="C125" s="85" t="s">
        <v>261</v>
      </c>
      <c r="D125" s="106" t="s">
        <v>185</v>
      </c>
      <c r="E125" s="106" t="s">
        <v>207</v>
      </c>
      <c r="F125" s="16"/>
      <c r="G125" s="12" t="s">
        <v>181</v>
      </c>
      <c r="H125" s="13"/>
      <c r="I125" s="15"/>
      <c r="J125" s="15"/>
      <c r="K125" s="15"/>
      <c r="L125" s="17"/>
      <c r="M125" s="17"/>
      <c r="N125" s="17"/>
      <c r="O125" s="17">
        <v>1</v>
      </c>
      <c r="P125" s="17"/>
      <c r="Q125" s="17"/>
      <c r="R125" s="17"/>
      <c r="S125" s="15"/>
      <c r="T125" s="25">
        <v>45588</v>
      </c>
      <c r="U125" s="13" t="s">
        <v>206</v>
      </c>
      <c r="V125">
        <v>3</v>
      </c>
      <c r="X125" s="53" t="s">
        <v>108</v>
      </c>
      <c r="Y125" s="54">
        <f>COUNTIF(U123:U147,"J")</f>
        <v>8</v>
      </c>
      <c r="AA125" s="49" t="s">
        <v>82</v>
      </c>
      <c r="AB125" s="50" t="s">
        <v>39</v>
      </c>
    </row>
    <row r="126" spans="1:28" x14ac:dyDescent="0.4">
      <c r="A126" s="134"/>
      <c r="B126" s="137"/>
      <c r="C126" s="85" t="s">
        <v>262</v>
      </c>
      <c r="D126" s="106" t="s">
        <v>185</v>
      </c>
      <c r="E126" s="106" t="s">
        <v>248</v>
      </c>
      <c r="F126" s="16"/>
      <c r="G126" s="12" t="s">
        <v>181</v>
      </c>
      <c r="H126" s="15"/>
      <c r="I126" s="15"/>
      <c r="J126" s="15"/>
      <c r="K126" s="15"/>
      <c r="L126" s="17"/>
      <c r="M126" s="17"/>
      <c r="N126" s="17"/>
      <c r="O126" s="17"/>
      <c r="P126" s="17"/>
      <c r="Q126" s="17"/>
      <c r="R126" s="17"/>
      <c r="S126" s="15"/>
      <c r="T126" s="25">
        <v>45588</v>
      </c>
      <c r="U126" s="13" t="s">
        <v>183</v>
      </c>
      <c r="V126">
        <v>4</v>
      </c>
      <c r="AA126" s="49" t="s">
        <v>83</v>
      </c>
      <c r="AB126" s="50" t="s">
        <v>38</v>
      </c>
    </row>
    <row r="127" spans="1:28" x14ac:dyDescent="0.4">
      <c r="A127" s="134"/>
      <c r="B127" s="137"/>
      <c r="C127" s="85" t="s">
        <v>263</v>
      </c>
      <c r="D127" s="106" t="s">
        <v>264</v>
      </c>
      <c r="E127" s="106" t="s">
        <v>207</v>
      </c>
      <c r="F127" s="16"/>
      <c r="G127" s="12" t="s">
        <v>181</v>
      </c>
      <c r="H127" s="15"/>
      <c r="I127" s="15"/>
      <c r="J127" s="15"/>
      <c r="K127" s="15"/>
      <c r="L127" s="17"/>
      <c r="M127" s="17"/>
      <c r="N127" s="17"/>
      <c r="O127" s="17">
        <v>1</v>
      </c>
      <c r="P127" s="17">
        <v>1</v>
      </c>
      <c r="Q127" s="17">
        <v>1</v>
      </c>
      <c r="R127" s="17"/>
      <c r="S127" s="15"/>
      <c r="T127" s="25">
        <v>45588</v>
      </c>
      <c r="U127" s="13" t="s">
        <v>206</v>
      </c>
      <c r="V127">
        <v>5</v>
      </c>
      <c r="AA127" s="49" t="s">
        <v>84</v>
      </c>
      <c r="AB127" s="50" t="s">
        <v>44</v>
      </c>
    </row>
    <row r="128" spans="1:28" x14ac:dyDescent="0.4">
      <c r="A128" s="134"/>
      <c r="B128" s="137"/>
      <c r="C128" s="85" t="s">
        <v>266</v>
      </c>
      <c r="D128" s="106" t="s">
        <v>265</v>
      </c>
      <c r="E128" s="106" t="s">
        <v>207</v>
      </c>
      <c r="F128" s="16"/>
      <c r="G128" s="12" t="s">
        <v>181</v>
      </c>
      <c r="H128" s="13"/>
      <c r="I128" s="15"/>
      <c r="J128" s="15"/>
      <c r="K128" s="15"/>
      <c r="L128" s="17"/>
      <c r="M128" s="17"/>
      <c r="N128" s="17"/>
      <c r="O128" s="17">
        <v>1</v>
      </c>
      <c r="P128" s="17">
        <v>1</v>
      </c>
      <c r="Q128" s="17">
        <v>1</v>
      </c>
      <c r="R128" s="17">
        <v>1</v>
      </c>
      <c r="S128" s="15"/>
      <c r="T128" s="25">
        <v>45573</v>
      </c>
      <c r="U128" s="13" t="s">
        <v>206</v>
      </c>
      <c r="V128">
        <v>6</v>
      </c>
      <c r="AA128" s="49" t="s">
        <v>85</v>
      </c>
      <c r="AB128" s="50" t="s">
        <v>43</v>
      </c>
    </row>
    <row r="129" spans="1:28" x14ac:dyDescent="0.4">
      <c r="A129" s="134"/>
      <c r="B129" s="137"/>
      <c r="C129" s="85" t="s">
        <v>267</v>
      </c>
      <c r="D129" s="106" t="s">
        <v>191</v>
      </c>
      <c r="E129" s="106" t="s">
        <v>184</v>
      </c>
      <c r="F129" s="16"/>
      <c r="G129" s="12" t="s">
        <v>181</v>
      </c>
      <c r="H129" s="15"/>
      <c r="I129" s="15"/>
      <c r="J129" s="15"/>
      <c r="K129" s="15"/>
      <c r="L129" s="17"/>
      <c r="M129" s="17">
        <v>1</v>
      </c>
      <c r="N129" s="17">
        <v>1</v>
      </c>
      <c r="O129" s="17"/>
      <c r="P129" s="17"/>
      <c r="Q129" s="17">
        <v>1</v>
      </c>
      <c r="R129" s="17"/>
      <c r="S129" s="15"/>
      <c r="T129" s="25">
        <v>45606</v>
      </c>
      <c r="U129" s="13" t="s">
        <v>183</v>
      </c>
      <c r="V129">
        <v>7</v>
      </c>
      <c r="AA129" s="49" t="s">
        <v>86</v>
      </c>
      <c r="AB129" s="50" t="s">
        <v>45</v>
      </c>
    </row>
    <row r="130" spans="1:28" x14ac:dyDescent="0.4">
      <c r="A130" s="134"/>
      <c r="B130" s="137"/>
      <c r="C130" s="85" t="s">
        <v>268</v>
      </c>
      <c r="D130" s="106" t="s">
        <v>191</v>
      </c>
      <c r="E130" s="106" t="s">
        <v>184</v>
      </c>
      <c r="F130" s="16"/>
      <c r="G130" s="12" t="s">
        <v>181</v>
      </c>
      <c r="H130" s="15"/>
      <c r="I130" s="15"/>
      <c r="J130" s="15">
        <v>1</v>
      </c>
      <c r="K130" s="15">
        <v>1</v>
      </c>
      <c r="L130" s="17"/>
      <c r="M130" s="17"/>
      <c r="N130" s="17"/>
      <c r="O130" s="17"/>
      <c r="P130" s="17"/>
      <c r="Q130" s="17"/>
      <c r="R130" s="17"/>
      <c r="S130" s="15"/>
      <c r="T130" s="25">
        <v>45567</v>
      </c>
      <c r="U130" s="13" t="s">
        <v>182</v>
      </c>
      <c r="V130">
        <v>8</v>
      </c>
      <c r="AA130" s="49" t="s">
        <v>87</v>
      </c>
      <c r="AB130" s="50" t="s">
        <v>37</v>
      </c>
    </row>
    <row r="131" spans="1:28" x14ac:dyDescent="0.4">
      <c r="A131" s="134"/>
      <c r="B131" s="137"/>
      <c r="C131" s="85" t="s">
        <v>269</v>
      </c>
      <c r="D131" s="106" t="s">
        <v>191</v>
      </c>
      <c r="E131" s="106" t="s">
        <v>195</v>
      </c>
      <c r="F131" s="16"/>
      <c r="G131" s="12" t="s">
        <v>181</v>
      </c>
      <c r="H131" s="15"/>
      <c r="I131" s="15"/>
      <c r="J131" s="15">
        <v>1</v>
      </c>
      <c r="K131" s="15">
        <v>1</v>
      </c>
      <c r="L131" s="17"/>
      <c r="M131" s="17"/>
      <c r="N131" s="17"/>
      <c r="O131" s="17"/>
      <c r="P131" s="17"/>
      <c r="Q131" s="17"/>
      <c r="R131" s="17"/>
      <c r="S131" s="15"/>
      <c r="T131" s="25">
        <v>45598</v>
      </c>
      <c r="U131" s="13" t="s">
        <v>182</v>
      </c>
      <c r="V131">
        <v>9</v>
      </c>
      <c r="AA131" s="49" t="s">
        <v>88</v>
      </c>
      <c r="AB131" s="50" t="s">
        <v>74</v>
      </c>
    </row>
    <row r="132" spans="1:28" x14ac:dyDescent="0.4">
      <c r="A132" s="134"/>
      <c r="B132" s="137"/>
      <c r="C132" s="85" t="s">
        <v>270</v>
      </c>
      <c r="D132" s="106" t="s">
        <v>191</v>
      </c>
      <c r="E132" s="106" t="s">
        <v>274</v>
      </c>
      <c r="F132" s="106"/>
      <c r="G132" s="12" t="s">
        <v>181</v>
      </c>
      <c r="H132" s="15"/>
      <c r="I132" s="15"/>
      <c r="J132" s="15"/>
      <c r="K132" s="15"/>
      <c r="L132" s="17"/>
      <c r="M132" s="17"/>
      <c r="N132" s="17"/>
      <c r="O132" s="17">
        <v>1</v>
      </c>
      <c r="P132" s="17">
        <v>1</v>
      </c>
      <c r="Q132" s="17">
        <v>1</v>
      </c>
      <c r="R132" s="17">
        <v>1</v>
      </c>
      <c r="S132" s="15"/>
      <c r="T132" s="25">
        <v>45598</v>
      </c>
      <c r="U132" s="13" t="s">
        <v>206</v>
      </c>
      <c r="V132">
        <v>10</v>
      </c>
      <c r="AA132" s="49" t="s">
        <v>89</v>
      </c>
      <c r="AB132" s="50" t="s">
        <v>36</v>
      </c>
    </row>
    <row r="133" spans="1:28" x14ac:dyDescent="0.4">
      <c r="A133" s="134"/>
      <c r="B133" s="137"/>
      <c r="C133" s="85" t="s">
        <v>271</v>
      </c>
      <c r="D133" s="106" t="s">
        <v>191</v>
      </c>
      <c r="E133" s="106" t="s">
        <v>207</v>
      </c>
      <c r="F133" s="16"/>
      <c r="G133" s="12" t="s">
        <v>181</v>
      </c>
      <c r="H133" s="15"/>
      <c r="I133" s="15"/>
      <c r="J133" s="15"/>
      <c r="K133" s="15"/>
      <c r="L133" s="17"/>
      <c r="M133" s="17"/>
      <c r="N133" s="17"/>
      <c r="O133" s="17"/>
      <c r="P133" s="17">
        <v>1</v>
      </c>
      <c r="Q133" s="17"/>
      <c r="R133" s="17"/>
      <c r="S133" s="15"/>
      <c r="T133" s="25">
        <v>45598</v>
      </c>
      <c r="U133" s="13" t="s">
        <v>206</v>
      </c>
      <c r="V133">
        <v>11</v>
      </c>
      <c r="AA133" s="49" t="s">
        <v>90</v>
      </c>
      <c r="AB133" s="50" t="s">
        <v>58</v>
      </c>
    </row>
    <row r="134" spans="1:28" x14ac:dyDescent="0.4">
      <c r="A134" s="134"/>
      <c r="B134" s="137"/>
      <c r="C134" s="85" t="s">
        <v>272</v>
      </c>
      <c r="D134" s="106" t="s">
        <v>191</v>
      </c>
      <c r="E134" s="106" t="s">
        <v>207</v>
      </c>
      <c r="F134" s="16"/>
      <c r="G134" s="12" t="s">
        <v>181</v>
      </c>
      <c r="H134" s="15"/>
      <c r="I134" s="15"/>
      <c r="J134" s="15"/>
      <c r="K134" s="15"/>
      <c r="L134" s="17"/>
      <c r="M134" s="17"/>
      <c r="N134" s="17"/>
      <c r="O134" s="17"/>
      <c r="P134" s="17"/>
      <c r="Q134" s="17"/>
      <c r="R134" s="17"/>
      <c r="S134" s="15"/>
      <c r="T134" s="25">
        <v>45598</v>
      </c>
      <c r="U134" s="13" t="s">
        <v>206</v>
      </c>
      <c r="V134">
        <v>12</v>
      </c>
      <c r="AA134" s="49" t="s">
        <v>91</v>
      </c>
      <c r="AB134" s="50" t="s">
        <v>75</v>
      </c>
    </row>
    <row r="135" spans="1:28" x14ac:dyDescent="0.4">
      <c r="A135" s="134"/>
      <c r="B135" s="137"/>
      <c r="C135" s="85" t="s">
        <v>273</v>
      </c>
      <c r="D135" s="106" t="s">
        <v>275</v>
      </c>
      <c r="E135" s="106" t="s">
        <v>184</v>
      </c>
      <c r="F135" s="16"/>
      <c r="G135" s="12" t="s">
        <v>181</v>
      </c>
      <c r="H135" s="15"/>
      <c r="I135" s="15"/>
      <c r="J135" s="15">
        <v>1</v>
      </c>
      <c r="K135" s="15">
        <v>1</v>
      </c>
      <c r="L135" s="17"/>
      <c r="M135" s="17"/>
      <c r="N135" s="17"/>
      <c r="O135" s="17"/>
      <c r="P135" s="17"/>
      <c r="Q135" s="17"/>
      <c r="R135" s="17"/>
      <c r="S135" s="15"/>
      <c r="T135" s="25">
        <v>45594</v>
      </c>
      <c r="U135" s="13" t="s">
        <v>182</v>
      </c>
      <c r="V135">
        <v>13</v>
      </c>
      <c r="AA135" s="49" t="s">
        <v>92</v>
      </c>
      <c r="AB135" s="50" t="s">
        <v>40</v>
      </c>
    </row>
    <row r="136" spans="1:28" x14ac:dyDescent="0.4">
      <c r="A136" s="134"/>
      <c r="B136" s="137"/>
      <c r="C136" s="85" t="s">
        <v>277</v>
      </c>
      <c r="D136" s="106" t="s">
        <v>276</v>
      </c>
      <c r="E136" s="106" t="s">
        <v>184</v>
      </c>
      <c r="F136" s="16"/>
      <c r="G136" s="12" t="s">
        <v>181</v>
      </c>
      <c r="H136" s="15"/>
      <c r="I136" s="15"/>
      <c r="J136" s="15"/>
      <c r="K136" s="15"/>
      <c r="L136" s="17"/>
      <c r="M136" s="17">
        <v>1</v>
      </c>
      <c r="N136" s="17"/>
      <c r="O136" s="17"/>
      <c r="P136" s="17"/>
      <c r="Q136" s="17">
        <v>1</v>
      </c>
      <c r="R136" s="17"/>
      <c r="S136" s="15"/>
      <c r="T136" s="25">
        <v>45594</v>
      </c>
      <c r="U136" s="13" t="s">
        <v>183</v>
      </c>
      <c r="V136">
        <v>14</v>
      </c>
      <c r="AA136" s="49" t="s">
        <v>93</v>
      </c>
      <c r="AB136" s="50" t="s">
        <v>57</v>
      </c>
    </row>
    <row r="137" spans="1:28" x14ac:dyDescent="0.4">
      <c r="A137" s="134"/>
      <c r="B137" s="137"/>
      <c r="C137" s="85" t="s">
        <v>278</v>
      </c>
      <c r="D137" s="106" t="s">
        <v>210</v>
      </c>
      <c r="E137" s="106" t="s">
        <v>207</v>
      </c>
      <c r="F137" s="16"/>
      <c r="G137" s="12" t="s">
        <v>181</v>
      </c>
      <c r="H137" s="15"/>
      <c r="I137" s="15"/>
      <c r="J137" s="15"/>
      <c r="K137" s="15"/>
      <c r="L137" s="17"/>
      <c r="M137" s="17"/>
      <c r="N137" s="17"/>
      <c r="O137" s="17">
        <v>1</v>
      </c>
      <c r="P137" s="17">
        <v>1</v>
      </c>
      <c r="Q137" s="17"/>
      <c r="R137" s="17"/>
      <c r="S137" s="15"/>
      <c r="T137" s="25">
        <v>45581</v>
      </c>
      <c r="U137" s="13" t="s">
        <v>206</v>
      </c>
      <c r="V137">
        <v>15</v>
      </c>
      <c r="AA137" s="49" t="s">
        <v>94</v>
      </c>
      <c r="AB137" s="50" t="s">
        <v>41</v>
      </c>
    </row>
    <row r="138" spans="1:28" x14ac:dyDescent="0.4">
      <c r="A138" s="134"/>
      <c r="B138" s="137"/>
      <c r="C138" s="85" t="s">
        <v>279</v>
      </c>
      <c r="D138" s="106" t="s">
        <v>210</v>
      </c>
      <c r="E138" s="106" t="s">
        <v>207</v>
      </c>
      <c r="F138" s="16"/>
      <c r="G138" s="12" t="s">
        <v>181</v>
      </c>
      <c r="H138" s="15"/>
      <c r="I138" s="15"/>
      <c r="J138" s="18"/>
      <c r="K138" s="15">
        <v>1</v>
      </c>
      <c r="L138" s="19"/>
      <c r="M138" s="19"/>
      <c r="N138" s="19"/>
      <c r="O138" s="19"/>
      <c r="P138" s="19">
        <v>1</v>
      </c>
      <c r="Q138" s="19">
        <v>1</v>
      </c>
      <c r="R138" s="19">
        <v>1</v>
      </c>
      <c r="S138" s="15"/>
      <c r="T138" s="25">
        <v>45591</v>
      </c>
      <c r="U138" s="13" t="s">
        <v>206</v>
      </c>
      <c r="V138" s="73">
        <v>16</v>
      </c>
      <c r="AA138" s="49" t="s">
        <v>95</v>
      </c>
      <c r="AB138" s="50" t="s">
        <v>42</v>
      </c>
    </row>
    <row r="139" spans="1:28" x14ac:dyDescent="0.4">
      <c r="A139" s="134"/>
      <c r="B139" s="137"/>
      <c r="C139" s="85"/>
      <c r="D139" s="106"/>
      <c r="E139" s="106"/>
      <c r="F139" s="16"/>
      <c r="G139" s="12"/>
      <c r="H139" s="15"/>
      <c r="I139" s="15"/>
      <c r="J139" s="18"/>
      <c r="K139" s="15"/>
      <c r="L139" s="19"/>
      <c r="M139" s="19"/>
      <c r="N139" s="19"/>
      <c r="O139" s="19"/>
      <c r="P139" s="19"/>
      <c r="Q139" s="19"/>
      <c r="R139" s="19"/>
      <c r="S139" s="15"/>
      <c r="T139" s="25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34"/>
      <c r="B140" s="137"/>
      <c r="C140" s="85"/>
      <c r="D140" s="106"/>
      <c r="E140" s="106"/>
      <c r="F140" s="16"/>
      <c r="G140" s="12"/>
      <c r="H140" s="15"/>
      <c r="I140" s="15"/>
      <c r="J140" s="18"/>
      <c r="K140" s="15"/>
      <c r="L140" s="19"/>
      <c r="M140" s="19"/>
      <c r="N140" s="19"/>
      <c r="O140" s="19"/>
      <c r="P140" s="19"/>
      <c r="Q140" s="19"/>
      <c r="R140" s="19"/>
      <c r="S140" s="15"/>
      <c r="T140" s="25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34"/>
      <c r="B141" s="137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34"/>
      <c r="B142" s="137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34"/>
      <c r="B143" s="137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34"/>
      <c r="B144" s="137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34"/>
      <c r="B145" s="137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34"/>
      <c r="B146" s="137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35"/>
      <c r="B147" s="138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16</v>
      </c>
      <c r="D148" s="112"/>
      <c r="E148" s="29"/>
      <c r="F148" s="29" t="s">
        <v>34</v>
      </c>
      <c r="G148" s="29">
        <f>COUNTIF(G123:G147,"S")</f>
        <v>16</v>
      </c>
      <c r="H148" s="29">
        <f>COUNTIF(H123:H147,"E")</f>
        <v>0</v>
      </c>
      <c r="I148" s="29">
        <f t="shared" ref="I148:S148" si="4">SUM(I123:I147)</f>
        <v>0</v>
      </c>
      <c r="J148" s="29">
        <f t="shared" si="4"/>
        <v>5</v>
      </c>
      <c r="K148" s="29">
        <f t="shared" si="4"/>
        <v>6</v>
      </c>
      <c r="L148" s="29">
        <f t="shared" si="4"/>
        <v>0</v>
      </c>
      <c r="M148" s="29">
        <f t="shared" si="4"/>
        <v>2</v>
      </c>
      <c r="N148" s="29">
        <f t="shared" si="4"/>
        <v>1</v>
      </c>
      <c r="O148" s="29">
        <f t="shared" si="4"/>
        <v>6</v>
      </c>
      <c r="P148" s="29">
        <f t="shared" si="4"/>
        <v>7</v>
      </c>
      <c r="Q148" s="29">
        <f t="shared" si="4"/>
        <v>6</v>
      </c>
      <c r="R148" s="29">
        <f t="shared" si="4"/>
        <v>3</v>
      </c>
      <c r="S148" s="29">
        <f t="shared" si="4"/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36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AYG089</v>
      </c>
      <c r="B151" s="24">
        <f>B1</f>
        <v>45565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>
        <v>20.2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1" t="s">
        <v>115</v>
      </c>
      <c r="Y152" s="132"/>
    </row>
    <row r="153" spans="1:28" ht="20.25" thickTop="1" thickBot="1" x14ac:dyDescent="0.45">
      <c r="A153" s="133">
        <v>6</v>
      </c>
      <c r="B153" s="139">
        <v>20.6</v>
      </c>
      <c r="C153" s="85" t="s">
        <v>280</v>
      </c>
      <c r="D153" s="106" t="s">
        <v>203</v>
      </c>
      <c r="E153" s="15" t="s">
        <v>184</v>
      </c>
      <c r="F153" s="14"/>
      <c r="G153" s="12" t="s">
        <v>181</v>
      </c>
      <c r="H153" s="13"/>
      <c r="I153" s="13"/>
      <c r="J153" s="13">
        <v>1</v>
      </c>
      <c r="K153" s="13">
        <v>1</v>
      </c>
      <c r="L153" s="13"/>
      <c r="M153" s="13"/>
      <c r="N153" s="13"/>
      <c r="O153" s="13"/>
      <c r="P153" s="13"/>
      <c r="Q153" s="13"/>
      <c r="R153" s="13"/>
      <c r="S153" s="13"/>
      <c r="T153" s="25">
        <v>45593</v>
      </c>
      <c r="U153" s="13" t="s">
        <v>182</v>
      </c>
      <c r="V153">
        <v>1</v>
      </c>
      <c r="X153" s="51" t="s">
        <v>106</v>
      </c>
      <c r="Y153" s="52">
        <f>COUNTIF(U153:U177,"K")</f>
        <v>8</v>
      </c>
      <c r="AA153" s="59" t="s">
        <v>120</v>
      </c>
      <c r="AB153" s="60" t="s">
        <v>121</v>
      </c>
    </row>
    <row r="154" spans="1:28" x14ac:dyDescent="0.4">
      <c r="A154" s="134"/>
      <c r="B154" s="140"/>
      <c r="C154" s="85" t="s">
        <v>281</v>
      </c>
      <c r="D154" s="106" t="s">
        <v>203</v>
      </c>
      <c r="E154" s="15" t="s">
        <v>207</v>
      </c>
      <c r="F154" s="16"/>
      <c r="G154" s="15" t="s">
        <v>181</v>
      </c>
      <c r="H154" s="15"/>
      <c r="I154" s="15"/>
      <c r="J154" s="15"/>
      <c r="K154" s="15"/>
      <c r="L154" s="17"/>
      <c r="M154" s="17"/>
      <c r="N154" s="17"/>
      <c r="O154" s="17">
        <v>1</v>
      </c>
      <c r="P154" s="17">
        <v>1</v>
      </c>
      <c r="Q154" s="17"/>
      <c r="R154" s="17"/>
      <c r="S154" s="15"/>
      <c r="T154" s="25">
        <v>45594</v>
      </c>
      <c r="U154" s="15" t="s">
        <v>206</v>
      </c>
      <c r="V154">
        <v>2</v>
      </c>
      <c r="X154" s="51" t="s">
        <v>107</v>
      </c>
      <c r="Y154" s="52">
        <f>COUNTIF(U153:U177,"R")</f>
        <v>7</v>
      </c>
      <c r="AA154" s="47" t="s">
        <v>81</v>
      </c>
      <c r="AB154" s="48" t="s">
        <v>60</v>
      </c>
    </row>
    <row r="155" spans="1:28" ht="19.5" thickBot="1" x14ac:dyDescent="0.45">
      <c r="A155" s="134"/>
      <c r="B155" s="140"/>
      <c r="C155" s="85" t="s">
        <v>282</v>
      </c>
      <c r="D155" s="106" t="s">
        <v>213</v>
      </c>
      <c r="E155" s="15" t="s">
        <v>194</v>
      </c>
      <c r="F155" s="16"/>
      <c r="G155" s="15" t="s">
        <v>181</v>
      </c>
      <c r="H155" s="13"/>
      <c r="I155" s="15"/>
      <c r="J155" s="15">
        <v>1</v>
      </c>
      <c r="K155" s="15">
        <v>1</v>
      </c>
      <c r="L155" s="17"/>
      <c r="M155" s="17"/>
      <c r="N155" s="17"/>
      <c r="O155" s="17"/>
      <c r="P155" s="17"/>
      <c r="Q155" s="17"/>
      <c r="R155" s="17"/>
      <c r="S155" s="15"/>
      <c r="T155" s="25">
        <v>45588</v>
      </c>
      <c r="U155" s="15" t="s">
        <v>182</v>
      </c>
      <c r="V155">
        <v>3</v>
      </c>
      <c r="X155" s="53" t="s">
        <v>108</v>
      </c>
      <c r="Y155" s="54">
        <f>COUNTIF(U153:U177,"J")</f>
        <v>1</v>
      </c>
      <c r="AA155" s="49" t="s">
        <v>82</v>
      </c>
      <c r="AB155" s="50" t="s">
        <v>39</v>
      </c>
    </row>
    <row r="156" spans="1:28" x14ac:dyDescent="0.4">
      <c r="A156" s="134"/>
      <c r="B156" s="140"/>
      <c r="C156" s="85" t="s">
        <v>283</v>
      </c>
      <c r="D156" s="106" t="s">
        <v>185</v>
      </c>
      <c r="E156" s="15" t="s">
        <v>184</v>
      </c>
      <c r="F156" s="16"/>
      <c r="G156" s="15" t="s">
        <v>181</v>
      </c>
      <c r="H156" s="15"/>
      <c r="I156" s="15"/>
      <c r="J156" s="15"/>
      <c r="K156" s="15"/>
      <c r="L156" s="17"/>
      <c r="M156" s="17">
        <v>1</v>
      </c>
      <c r="N156" s="17">
        <v>1</v>
      </c>
      <c r="O156" s="17"/>
      <c r="P156" s="17"/>
      <c r="Q156" s="17">
        <v>1</v>
      </c>
      <c r="R156" s="17"/>
      <c r="S156" s="15"/>
      <c r="T156" s="25">
        <v>45586</v>
      </c>
      <c r="U156" s="15" t="s">
        <v>183</v>
      </c>
      <c r="V156">
        <v>4</v>
      </c>
      <c r="AA156" s="49" t="s">
        <v>83</v>
      </c>
      <c r="AB156" s="50" t="s">
        <v>38</v>
      </c>
    </row>
    <row r="157" spans="1:28" x14ac:dyDescent="0.4">
      <c r="A157" s="134"/>
      <c r="B157" s="140"/>
      <c r="C157" s="85" t="s">
        <v>284</v>
      </c>
      <c r="D157" s="106" t="s">
        <v>185</v>
      </c>
      <c r="E157" s="15" t="s">
        <v>194</v>
      </c>
      <c r="F157" s="16"/>
      <c r="G157" s="15" t="s">
        <v>181</v>
      </c>
      <c r="H157" s="15"/>
      <c r="I157" s="15"/>
      <c r="J157" s="15"/>
      <c r="K157" s="15"/>
      <c r="L157" s="17"/>
      <c r="M157" s="17">
        <v>1</v>
      </c>
      <c r="N157" s="17">
        <v>1</v>
      </c>
      <c r="O157" s="17"/>
      <c r="P157" s="17"/>
      <c r="Q157" s="17">
        <v>1</v>
      </c>
      <c r="R157" s="17"/>
      <c r="S157" s="15"/>
      <c r="T157" s="25">
        <v>45586</v>
      </c>
      <c r="U157" s="15" t="s">
        <v>183</v>
      </c>
      <c r="V157">
        <v>5</v>
      </c>
      <c r="AA157" s="49" t="s">
        <v>84</v>
      </c>
      <c r="AB157" s="50" t="s">
        <v>44</v>
      </c>
    </row>
    <row r="158" spans="1:28" x14ac:dyDescent="0.4">
      <c r="A158" s="134"/>
      <c r="B158" s="140"/>
      <c r="C158" s="85" t="s">
        <v>285</v>
      </c>
      <c r="D158" s="106" t="s">
        <v>203</v>
      </c>
      <c r="E158" s="15" t="s">
        <v>194</v>
      </c>
      <c r="F158" s="16"/>
      <c r="G158" s="13" t="s">
        <v>181</v>
      </c>
      <c r="H158" s="13"/>
      <c r="I158" s="15"/>
      <c r="J158" s="15"/>
      <c r="K158" s="15">
        <v>1</v>
      </c>
      <c r="L158" s="17"/>
      <c r="M158" s="17"/>
      <c r="N158" s="17"/>
      <c r="O158" s="17"/>
      <c r="P158" s="17"/>
      <c r="Q158" s="17"/>
      <c r="R158" s="17"/>
      <c r="S158" s="15"/>
      <c r="T158" s="25">
        <v>45588</v>
      </c>
      <c r="U158" s="15" t="s">
        <v>182</v>
      </c>
      <c r="V158">
        <v>6</v>
      </c>
      <c r="AA158" s="49" t="s">
        <v>85</v>
      </c>
      <c r="AB158" s="50" t="s">
        <v>43</v>
      </c>
    </row>
    <row r="159" spans="1:28" x14ac:dyDescent="0.4">
      <c r="A159" s="134"/>
      <c r="B159" s="140"/>
      <c r="C159" s="85" t="s">
        <v>286</v>
      </c>
      <c r="D159" s="106" t="s">
        <v>203</v>
      </c>
      <c r="E159" s="15" t="s">
        <v>189</v>
      </c>
      <c r="F159" s="16"/>
      <c r="G159" s="15" t="s">
        <v>181</v>
      </c>
      <c r="H159" s="15"/>
      <c r="I159" s="15"/>
      <c r="J159" s="15">
        <v>1</v>
      </c>
      <c r="K159" s="15">
        <v>1</v>
      </c>
      <c r="L159" s="17"/>
      <c r="M159" s="17"/>
      <c r="N159" s="17"/>
      <c r="O159" s="17"/>
      <c r="P159" s="17"/>
      <c r="Q159" s="17"/>
      <c r="R159" s="17"/>
      <c r="S159" s="15"/>
      <c r="T159" s="25">
        <v>45588</v>
      </c>
      <c r="U159" s="15" t="s">
        <v>182</v>
      </c>
      <c r="V159">
        <v>7</v>
      </c>
      <c r="AA159" s="49" t="s">
        <v>86</v>
      </c>
      <c r="AB159" s="50" t="s">
        <v>45</v>
      </c>
    </row>
    <row r="160" spans="1:28" x14ac:dyDescent="0.4">
      <c r="A160" s="134"/>
      <c r="B160" s="140"/>
      <c r="C160" s="85" t="s">
        <v>288</v>
      </c>
      <c r="D160" s="106" t="s">
        <v>287</v>
      </c>
      <c r="E160" s="15" t="s">
        <v>194</v>
      </c>
      <c r="F160" s="16"/>
      <c r="G160" s="15" t="s">
        <v>181</v>
      </c>
      <c r="H160" s="15"/>
      <c r="I160" s="15"/>
      <c r="J160" s="15"/>
      <c r="K160" s="15"/>
      <c r="L160" s="17"/>
      <c r="M160" s="17">
        <v>1</v>
      </c>
      <c r="N160" s="17">
        <v>1</v>
      </c>
      <c r="O160" s="17"/>
      <c r="P160" s="17"/>
      <c r="Q160" s="17">
        <v>1</v>
      </c>
      <c r="R160" s="17"/>
      <c r="S160" s="15"/>
      <c r="T160" s="25">
        <v>45595</v>
      </c>
      <c r="U160" s="15" t="s">
        <v>183</v>
      </c>
      <c r="V160">
        <v>8</v>
      </c>
      <c r="AA160" s="49" t="s">
        <v>87</v>
      </c>
      <c r="AB160" s="50" t="s">
        <v>37</v>
      </c>
    </row>
    <row r="161" spans="1:28" x14ac:dyDescent="0.4">
      <c r="A161" s="134"/>
      <c r="B161" s="140"/>
      <c r="C161" s="85" t="s">
        <v>289</v>
      </c>
      <c r="D161" s="106" t="s">
        <v>185</v>
      </c>
      <c r="E161" s="15" t="s">
        <v>184</v>
      </c>
      <c r="F161" s="16"/>
      <c r="G161" s="15" t="s">
        <v>181</v>
      </c>
      <c r="H161" s="15"/>
      <c r="I161" s="15"/>
      <c r="J161" s="15"/>
      <c r="K161" s="15"/>
      <c r="L161" s="17"/>
      <c r="M161" s="17">
        <v>1</v>
      </c>
      <c r="N161" s="17">
        <v>1</v>
      </c>
      <c r="O161" s="17"/>
      <c r="P161" s="17"/>
      <c r="Q161" s="17"/>
      <c r="R161" s="17"/>
      <c r="S161" s="15"/>
      <c r="T161" s="25">
        <v>45593</v>
      </c>
      <c r="U161" s="15" t="s">
        <v>183</v>
      </c>
      <c r="V161">
        <v>9</v>
      </c>
      <c r="AA161" s="49" t="s">
        <v>88</v>
      </c>
      <c r="AB161" s="50" t="s">
        <v>74</v>
      </c>
    </row>
    <row r="162" spans="1:28" x14ac:dyDescent="0.4">
      <c r="A162" s="134"/>
      <c r="B162" s="140"/>
      <c r="C162" s="85" t="s">
        <v>290</v>
      </c>
      <c r="D162" s="106" t="s">
        <v>213</v>
      </c>
      <c r="E162" s="15" t="s">
        <v>194</v>
      </c>
      <c r="F162" s="16"/>
      <c r="G162" s="15" t="s">
        <v>181</v>
      </c>
      <c r="H162" s="15"/>
      <c r="I162" s="15"/>
      <c r="J162" s="15"/>
      <c r="K162" s="15"/>
      <c r="L162" s="17"/>
      <c r="M162" s="17">
        <v>1</v>
      </c>
      <c r="N162" s="17">
        <v>1</v>
      </c>
      <c r="O162" s="17"/>
      <c r="P162" s="17"/>
      <c r="Q162" s="17">
        <v>1</v>
      </c>
      <c r="R162" s="17"/>
      <c r="S162" s="15"/>
      <c r="T162" s="25">
        <v>45588</v>
      </c>
      <c r="U162" s="15" t="s">
        <v>183</v>
      </c>
      <c r="V162">
        <v>10</v>
      </c>
      <c r="AA162" s="49" t="s">
        <v>89</v>
      </c>
      <c r="AB162" s="50" t="s">
        <v>36</v>
      </c>
    </row>
    <row r="163" spans="1:28" x14ac:dyDescent="0.4">
      <c r="A163" s="134"/>
      <c r="B163" s="140"/>
      <c r="C163" s="85" t="s">
        <v>291</v>
      </c>
      <c r="D163" s="106" t="s">
        <v>292</v>
      </c>
      <c r="E163" s="15" t="s">
        <v>195</v>
      </c>
      <c r="F163" s="16"/>
      <c r="G163" s="15" t="s">
        <v>181</v>
      </c>
      <c r="H163" s="15"/>
      <c r="I163" s="15"/>
      <c r="J163" s="15">
        <v>1</v>
      </c>
      <c r="K163" s="15">
        <v>1</v>
      </c>
      <c r="L163" s="17"/>
      <c r="M163" s="17"/>
      <c r="N163" s="17"/>
      <c r="O163" s="17"/>
      <c r="P163" s="17"/>
      <c r="Q163" s="17"/>
      <c r="R163" s="17"/>
      <c r="S163" s="15"/>
      <c r="T163" s="25">
        <v>45594</v>
      </c>
      <c r="U163" s="15" t="s">
        <v>182</v>
      </c>
      <c r="V163">
        <v>11</v>
      </c>
      <c r="AA163" s="49" t="s">
        <v>90</v>
      </c>
      <c r="AB163" s="50" t="s">
        <v>58</v>
      </c>
    </row>
    <row r="164" spans="1:28" x14ac:dyDescent="0.4">
      <c r="A164" s="134"/>
      <c r="B164" s="140"/>
      <c r="C164" s="85" t="s">
        <v>293</v>
      </c>
      <c r="D164" s="106">
        <v>1101</v>
      </c>
      <c r="E164" s="15" t="s">
        <v>194</v>
      </c>
      <c r="F164" s="16"/>
      <c r="G164" s="15" t="s">
        <v>181</v>
      </c>
      <c r="H164" s="15"/>
      <c r="I164" s="15"/>
      <c r="J164" s="15">
        <v>1</v>
      </c>
      <c r="K164" s="15">
        <v>1</v>
      </c>
      <c r="L164" s="17"/>
      <c r="M164" s="17"/>
      <c r="N164" s="17"/>
      <c r="O164" s="17"/>
      <c r="P164" s="17"/>
      <c r="Q164" s="17"/>
      <c r="R164" s="17"/>
      <c r="S164" s="15"/>
      <c r="T164" s="25">
        <v>45594</v>
      </c>
      <c r="U164" s="15" t="s">
        <v>182</v>
      </c>
      <c r="V164">
        <v>12</v>
      </c>
      <c r="AA164" s="49" t="s">
        <v>91</v>
      </c>
      <c r="AB164" s="50" t="s">
        <v>75</v>
      </c>
    </row>
    <row r="165" spans="1:28" x14ac:dyDescent="0.4">
      <c r="A165" s="134"/>
      <c r="B165" s="140"/>
      <c r="C165" s="85" t="s">
        <v>294</v>
      </c>
      <c r="D165" s="106">
        <v>1101</v>
      </c>
      <c r="E165" s="15" t="s">
        <v>223</v>
      </c>
      <c r="F165" s="16"/>
      <c r="G165" s="15" t="s">
        <v>181</v>
      </c>
      <c r="H165" s="15"/>
      <c r="I165" s="15"/>
      <c r="J165" s="15"/>
      <c r="K165" s="15"/>
      <c r="L165" s="17"/>
      <c r="M165" s="17"/>
      <c r="N165" s="17"/>
      <c r="O165" s="17"/>
      <c r="P165" s="17"/>
      <c r="Q165" s="17"/>
      <c r="R165" s="17"/>
      <c r="S165" s="15"/>
      <c r="T165" s="25">
        <v>45594</v>
      </c>
      <c r="U165" s="105" t="s">
        <v>183</v>
      </c>
      <c r="V165">
        <v>13</v>
      </c>
      <c r="AA165" s="49" t="s">
        <v>92</v>
      </c>
      <c r="AB165" s="50" t="s">
        <v>40</v>
      </c>
    </row>
    <row r="166" spans="1:28" x14ac:dyDescent="0.4">
      <c r="A166" s="134"/>
      <c r="B166" s="140"/>
      <c r="C166" s="85" t="s">
        <v>295</v>
      </c>
      <c r="D166" s="106" t="s">
        <v>275</v>
      </c>
      <c r="E166" s="15" t="s">
        <v>195</v>
      </c>
      <c r="F166" s="16"/>
      <c r="G166" s="15" t="s">
        <v>181</v>
      </c>
      <c r="H166" s="15"/>
      <c r="I166" s="15"/>
      <c r="J166" s="15">
        <v>1</v>
      </c>
      <c r="K166" s="15">
        <v>1</v>
      </c>
      <c r="L166" s="17"/>
      <c r="M166" s="17"/>
      <c r="N166" s="17"/>
      <c r="O166" s="17"/>
      <c r="P166" s="17"/>
      <c r="Q166" s="17"/>
      <c r="R166" s="17"/>
      <c r="S166" s="15"/>
      <c r="T166" s="25">
        <v>45594</v>
      </c>
      <c r="U166" s="15" t="s">
        <v>182</v>
      </c>
      <c r="V166">
        <v>14</v>
      </c>
      <c r="AA166" s="49" t="s">
        <v>93</v>
      </c>
      <c r="AB166" s="50" t="s">
        <v>57</v>
      </c>
    </row>
    <row r="167" spans="1:28" x14ac:dyDescent="0.4">
      <c r="A167" s="134"/>
      <c r="B167" s="140"/>
      <c r="C167" s="85" t="s">
        <v>296</v>
      </c>
      <c r="D167" s="106" t="s">
        <v>275</v>
      </c>
      <c r="E167" s="15" t="s">
        <v>195</v>
      </c>
      <c r="F167" s="16"/>
      <c r="G167" s="15" t="s">
        <v>181</v>
      </c>
      <c r="H167" s="15"/>
      <c r="I167" s="15"/>
      <c r="J167" s="15">
        <v>1</v>
      </c>
      <c r="K167" s="15">
        <v>1</v>
      </c>
      <c r="L167" s="17"/>
      <c r="M167" s="17"/>
      <c r="N167" s="17"/>
      <c r="O167" s="17"/>
      <c r="P167" s="17"/>
      <c r="Q167" s="17"/>
      <c r="R167" s="17"/>
      <c r="S167" s="15"/>
      <c r="T167" s="25">
        <v>45594</v>
      </c>
      <c r="U167" s="25" t="s">
        <v>182</v>
      </c>
      <c r="V167">
        <v>15</v>
      </c>
      <c r="AA167" s="49" t="s">
        <v>94</v>
      </c>
      <c r="AB167" s="50" t="s">
        <v>41</v>
      </c>
    </row>
    <row r="168" spans="1:28" x14ac:dyDescent="0.4">
      <c r="A168" s="134"/>
      <c r="B168" s="140"/>
      <c r="C168" s="85" t="s">
        <v>297</v>
      </c>
      <c r="D168" s="106" t="s">
        <v>275</v>
      </c>
      <c r="E168" s="15" t="s">
        <v>248</v>
      </c>
      <c r="F168" s="16"/>
      <c r="G168" s="15" t="s">
        <v>181</v>
      </c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>
        <v>45594</v>
      </c>
      <c r="U168" s="15" t="s">
        <v>183</v>
      </c>
      <c r="V168">
        <v>16</v>
      </c>
      <c r="AA168" s="49" t="s">
        <v>95</v>
      </c>
      <c r="AB168" s="50" t="s">
        <v>42</v>
      </c>
    </row>
    <row r="169" spans="1:28" x14ac:dyDescent="0.4">
      <c r="A169" s="134"/>
      <c r="B169" s="140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34"/>
      <c r="B170" s="140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34"/>
      <c r="B171" s="140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34"/>
      <c r="B172" s="140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34"/>
      <c r="B173" s="140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34"/>
      <c r="B174" s="140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34"/>
      <c r="B175" s="140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34"/>
      <c r="B176" s="140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35"/>
      <c r="B177" s="141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16</v>
      </c>
      <c r="D178" s="112"/>
      <c r="E178" s="29"/>
      <c r="F178" s="29" t="s">
        <v>34</v>
      </c>
      <c r="G178" s="29">
        <f>COUNTIF(G153:G177,"S")</f>
        <v>16</v>
      </c>
      <c r="H178" s="29">
        <f>COUNTIF(H153:H177,"E")</f>
        <v>0</v>
      </c>
      <c r="I178" s="29">
        <f t="shared" ref="I178:S178" si="5">SUM(I153:I177)</f>
        <v>0</v>
      </c>
      <c r="J178" s="29">
        <f t="shared" si="5"/>
        <v>7</v>
      </c>
      <c r="K178" s="29">
        <f t="shared" si="5"/>
        <v>8</v>
      </c>
      <c r="L178" s="29">
        <f t="shared" si="5"/>
        <v>0</v>
      </c>
      <c r="M178" s="29">
        <f t="shared" si="5"/>
        <v>5</v>
      </c>
      <c r="N178" s="29">
        <f t="shared" si="5"/>
        <v>5</v>
      </c>
      <c r="O178" s="29">
        <f t="shared" si="5"/>
        <v>1</v>
      </c>
      <c r="P178" s="29">
        <f t="shared" si="5"/>
        <v>1</v>
      </c>
      <c r="Q178" s="29">
        <f t="shared" si="5"/>
        <v>4</v>
      </c>
      <c r="R178" s="29">
        <f t="shared" si="5"/>
        <v>0</v>
      </c>
      <c r="S178" s="29">
        <f t="shared" si="5"/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31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174</v>
      </c>
      <c r="B181" s="24">
        <v>45358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1" t="s">
        <v>114</v>
      </c>
      <c r="Y182" s="132"/>
    </row>
    <row r="183" spans="1:28" ht="20.25" thickTop="1" thickBot="1" x14ac:dyDescent="0.45">
      <c r="A183" s="133">
        <v>7</v>
      </c>
      <c r="B183" s="139">
        <v>24.4</v>
      </c>
      <c r="C183" s="85" t="s">
        <v>298</v>
      </c>
      <c r="D183" s="110" t="s">
        <v>299</v>
      </c>
      <c r="E183" s="18" t="s">
        <v>184</v>
      </c>
      <c r="F183" s="16"/>
      <c r="G183" s="18" t="s">
        <v>181</v>
      </c>
      <c r="H183" s="15"/>
      <c r="I183" s="15"/>
      <c r="J183" s="18">
        <v>1</v>
      </c>
      <c r="K183" s="15">
        <v>1</v>
      </c>
      <c r="L183" s="19"/>
      <c r="M183" s="19"/>
      <c r="N183" s="19"/>
      <c r="O183" s="19"/>
      <c r="P183" s="19"/>
      <c r="Q183" s="19"/>
      <c r="R183" s="19"/>
      <c r="S183" s="15"/>
      <c r="T183" s="25">
        <v>45586</v>
      </c>
      <c r="U183" s="15" t="s">
        <v>182</v>
      </c>
      <c r="V183">
        <v>1</v>
      </c>
      <c r="X183" s="51" t="s">
        <v>106</v>
      </c>
      <c r="Y183" s="52">
        <f>COUNTIF(U183:U207,"K")</f>
        <v>8</v>
      </c>
      <c r="AA183" s="59" t="s">
        <v>120</v>
      </c>
      <c r="AB183" s="60" t="s">
        <v>121</v>
      </c>
    </row>
    <row r="184" spans="1:28" x14ac:dyDescent="0.4">
      <c r="A184" s="134"/>
      <c r="B184" s="140"/>
      <c r="C184" s="85" t="s">
        <v>300</v>
      </c>
      <c r="D184" s="106" t="s">
        <v>299</v>
      </c>
      <c r="E184" s="15" t="s">
        <v>223</v>
      </c>
      <c r="F184" s="16"/>
      <c r="G184" s="18" t="s">
        <v>181</v>
      </c>
      <c r="H184" s="15"/>
      <c r="I184" s="15"/>
      <c r="J184" s="18"/>
      <c r="K184" s="15"/>
      <c r="L184" s="19"/>
      <c r="M184" s="19"/>
      <c r="N184" s="19"/>
      <c r="O184" s="19"/>
      <c r="P184" s="19"/>
      <c r="Q184" s="19"/>
      <c r="R184" s="19"/>
      <c r="S184" s="15">
        <v>1</v>
      </c>
      <c r="T184" s="25">
        <v>45586</v>
      </c>
      <c r="U184" s="15" t="s">
        <v>182</v>
      </c>
      <c r="V184">
        <v>2</v>
      </c>
      <c r="X184" s="51" t="s">
        <v>107</v>
      </c>
      <c r="Y184" s="52">
        <f>COUNTIF(U183:U207,"R")</f>
        <v>9</v>
      </c>
      <c r="AA184" s="47" t="s">
        <v>81</v>
      </c>
      <c r="AB184" s="48" t="s">
        <v>60</v>
      </c>
    </row>
    <row r="185" spans="1:28" ht="19.5" thickBot="1" x14ac:dyDescent="0.45">
      <c r="A185" s="134"/>
      <c r="B185" s="140"/>
      <c r="C185" s="85" t="s">
        <v>301</v>
      </c>
      <c r="D185" s="106">
        <v>1183</v>
      </c>
      <c r="E185" s="15" t="s">
        <v>194</v>
      </c>
      <c r="F185" s="16"/>
      <c r="G185" s="18" t="s">
        <v>181</v>
      </c>
      <c r="H185" s="15"/>
      <c r="I185" s="15"/>
      <c r="J185" s="15"/>
      <c r="K185" s="15"/>
      <c r="L185" s="17"/>
      <c r="M185" s="17">
        <v>1</v>
      </c>
      <c r="N185" s="17">
        <v>1</v>
      </c>
      <c r="O185" s="17"/>
      <c r="P185" s="17"/>
      <c r="Q185" s="17">
        <v>1</v>
      </c>
      <c r="R185" s="17"/>
      <c r="S185" s="15"/>
      <c r="T185" s="25">
        <v>45600</v>
      </c>
      <c r="U185" s="15" t="s">
        <v>183</v>
      </c>
      <c r="V185">
        <v>3</v>
      </c>
      <c r="X185" s="53" t="s">
        <v>108</v>
      </c>
      <c r="Y185" s="54">
        <f>COUNTIF(U183:U207,"J")</f>
        <v>0</v>
      </c>
      <c r="AA185" s="49" t="s">
        <v>82</v>
      </c>
      <c r="AB185" s="50" t="s">
        <v>39</v>
      </c>
    </row>
    <row r="186" spans="1:28" x14ac:dyDescent="0.4">
      <c r="A186" s="134"/>
      <c r="B186" s="140"/>
      <c r="C186" s="85" t="s">
        <v>302</v>
      </c>
      <c r="D186" s="106" t="s">
        <v>185</v>
      </c>
      <c r="E186" s="13" t="s">
        <v>184</v>
      </c>
      <c r="F186" s="16"/>
      <c r="G186" s="18" t="s">
        <v>181</v>
      </c>
      <c r="H186" s="15"/>
      <c r="I186" s="15"/>
      <c r="J186" s="15"/>
      <c r="K186" s="15">
        <v>1</v>
      </c>
      <c r="L186" s="17"/>
      <c r="M186" s="17">
        <v>1</v>
      </c>
      <c r="N186" s="17">
        <v>1</v>
      </c>
      <c r="O186" s="17"/>
      <c r="P186" s="17"/>
      <c r="Q186" s="17">
        <v>1</v>
      </c>
      <c r="R186" s="17"/>
      <c r="S186" s="15"/>
      <c r="T186" s="25">
        <v>45591</v>
      </c>
      <c r="U186" s="25" t="s">
        <v>183</v>
      </c>
      <c r="V186">
        <v>4</v>
      </c>
      <c r="AA186" s="49" t="s">
        <v>83</v>
      </c>
      <c r="AB186" s="50" t="s">
        <v>38</v>
      </c>
    </row>
    <row r="187" spans="1:28" x14ac:dyDescent="0.4">
      <c r="A187" s="134"/>
      <c r="B187" s="140"/>
      <c r="C187" s="85" t="s">
        <v>303</v>
      </c>
      <c r="D187" s="106" t="s">
        <v>292</v>
      </c>
      <c r="E187" s="13" t="s">
        <v>195</v>
      </c>
      <c r="F187" s="16"/>
      <c r="G187" s="18" t="s">
        <v>181</v>
      </c>
      <c r="H187" s="15"/>
      <c r="I187" s="15"/>
      <c r="J187" s="15">
        <v>1</v>
      </c>
      <c r="K187" s="15"/>
      <c r="L187" s="17"/>
      <c r="M187" s="17"/>
      <c r="N187" s="17"/>
      <c r="O187" s="17"/>
      <c r="P187" s="17"/>
      <c r="Q187" s="17"/>
      <c r="R187" s="17"/>
      <c r="S187" s="15"/>
      <c r="T187" s="25">
        <v>45603</v>
      </c>
      <c r="U187" s="25" t="s">
        <v>182</v>
      </c>
      <c r="V187">
        <v>5</v>
      </c>
      <c r="AA187" s="49" t="s">
        <v>84</v>
      </c>
      <c r="AB187" s="50" t="s">
        <v>44</v>
      </c>
    </row>
    <row r="188" spans="1:28" x14ac:dyDescent="0.4">
      <c r="A188" s="134"/>
      <c r="B188" s="140"/>
      <c r="C188" s="85" t="s">
        <v>304</v>
      </c>
      <c r="D188" s="106" t="s">
        <v>276</v>
      </c>
      <c r="E188" s="13" t="s">
        <v>189</v>
      </c>
      <c r="F188" s="16"/>
      <c r="G188" s="18" t="s">
        <v>181</v>
      </c>
      <c r="H188" s="13"/>
      <c r="I188" s="15"/>
      <c r="J188" s="15"/>
      <c r="K188" s="15">
        <v>1</v>
      </c>
      <c r="L188" s="17"/>
      <c r="M188" s="17"/>
      <c r="N188" s="17"/>
      <c r="O188" s="17"/>
      <c r="P188" s="17"/>
      <c r="Q188" s="17"/>
      <c r="R188" s="17"/>
      <c r="S188" s="15"/>
      <c r="T188" s="25">
        <v>45588</v>
      </c>
      <c r="U188" s="25" t="s">
        <v>182</v>
      </c>
      <c r="V188">
        <v>6</v>
      </c>
      <c r="AA188" s="49" t="s">
        <v>85</v>
      </c>
      <c r="AB188" s="50" t="s">
        <v>43</v>
      </c>
    </row>
    <row r="189" spans="1:28" x14ac:dyDescent="0.4">
      <c r="A189" s="134"/>
      <c r="B189" s="140"/>
      <c r="C189" s="85" t="s">
        <v>305</v>
      </c>
      <c r="D189" s="106" t="s">
        <v>276</v>
      </c>
      <c r="E189" s="13" t="s">
        <v>184</v>
      </c>
      <c r="F189" s="16"/>
      <c r="G189" s="18" t="s">
        <v>181</v>
      </c>
      <c r="H189" s="15"/>
      <c r="I189" s="15"/>
      <c r="J189" s="15">
        <v>1</v>
      </c>
      <c r="K189" s="15">
        <v>1</v>
      </c>
      <c r="L189" s="17"/>
      <c r="M189" s="17"/>
      <c r="N189" s="17"/>
      <c r="O189" s="17"/>
      <c r="P189" s="17"/>
      <c r="Q189" s="17"/>
      <c r="R189" s="17"/>
      <c r="S189" s="15"/>
      <c r="T189" s="25">
        <v>45588</v>
      </c>
      <c r="U189" s="25" t="s">
        <v>182</v>
      </c>
      <c r="V189">
        <v>7</v>
      </c>
      <c r="AA189" s="49" t="s">
        <v>86</v>
      </c>
      <c r="AB189" s="50" t="s">
        <v>45</v>
      </c>
    </row>
    <row r="190" spans="1:28" x14ac:dyDescent="0.4">
      <c r="A190" s="134"/>
      <c r="B190" s="140"/>
      <c r="C190" s="85" t="s">
        <v>306</v>
      </c>
      <c r="D190" s="106" t="s">
        <v>276</v>
      </c>
      <c r="E190" s="13" t="s">
        <v>184</v>
      </c>
      <c r="F190" s="16"/>
      <c r="G190" s="18" t="s">
        <v>181</v>
      </c>
      <c r="H190" s="15"/>
      <c r="I190" s="15"/>
      <c r="J190" s="15"/>
      <c r="K190" s="15"/>
      <c r="L190" s="17"/>
      <c r="M190" s="17"/>
      <c r="N190" s="17"/>
      <c r="O190" s="17"/>
      <c r="P190" s="17"/>
      <c r="Q190" s="17"/>
      <c r="R190" s="17"/>
      <c r="S190" s="15"/>
      <c r="T190" s="25">
        <v>45588</v>
      </c>
      <c r="U190" s="25" t="s">
        <v>182</v>
      </c>
      <c r="V190">
        <v>8</v>
      </c>
      <c r="AA190" s="49" t="s">
        <v>87</v>
      </c>
      <c r="AB190" s="50" t="s">
        <v>37</v>
      </c>
    </row>
    <row r="191" spans="1:28" x14ac:dyDescent="0.4">
      <c r="A191" s="134"/>
      <c r="B191" s="140"/>
      <c r="C191" s="85" t="s">
        <v>307</v>
      </c>
      <c r="D191" s="106" t="s">
        <v>185</v>
      </c>
      <c r="E191" s="13" t="s">
        <v>199</v>
      </c>
      <c r="F191" s="16"/>
      <c r="G191" s="18" t="s">
        <v>181</v>
      </c>
      <c r="H191" s="15"/>
      <c r="I191" s="15"/>
      <c r="J191" s="15"/>
      <c r="K191" s="15"/>
      <c r="L191" s="17"/>
      <c r="M191" s="17">
        <v>1</v>
      </c>
      <c r="N191" s="17">
        <v>1</v>
      </c>
      <c r="O191" s="17"/>
      <c r="P191" s="17"/>
      <c r="Q191" s="17">
        <v>1</v>
      </c>
      <c r="R191" s="17"/>
      <c r="S191" s="15"/>
      <c r="T191" s="25">
        <v>45593</v>
      </c>
      <c r="U191" s="25" t="s">
        <v>183</v>
      </c>
      <c r="V191">
        <v>9</v>
      </c>
      <c r="AA191" s="49" t="s">
        <v>88</v>
      </c>
      <c r="AB191" s="50" t="s">
        <v>74</v>
      </c>
    </row>
    <row r="192" spans="1:28" x14ac:dyDescent="0.4">
      <c r="A192" s="134"/>
      <c r="B192" s="140"/>
      <c r="C192" s="85" t="s">
        <v>308</v>
      </c>
      <c r="D192" s="106" t="s">
        <v>287</v>
      </c>
      <c r="E192" s="13" t="s">
        <v>194</v>
      </c>
      <c r="F192" s="16"/>
      <c r="G192" s="18" t="s">
        <v>181</v>
      </c>
      <c r="H192" s="15"/>
      <c r="I192" s="15"/>
      <c r="J192" s="15">
        <v>1</v>
      </c>
      <c r="K192" s="15">
        <v>1</v>
      </c>
      <c r="L192" s="17"/>
      <c r="M192" s="17"/>
      <c r="N192" s="17"/>
      <c r="O192" s="17"/>
      <c r="P192" s="17"/>
      <c r="Q192" s="17"/>
      <c r="R192" s="17"/>
      <c r="S192" s="15"/>
      <c r="T192" s="25">
        <v>45581</v>
      </c>
      <c r="U192" s="15" t="s">
        <v>182</v>
      </c>
      <c r="V192">
        <v>10</v>
      </c>
      <c r="AA192" s="49" t="s">
        <v>89</v>
      </c>
      <c r="AB192" s="50" t="s">
        <v>36</v>
      </c>
    </row>
    <row r="193" spans="1:28" x14ac:dyDescent="0.4">
      <c r="A193" s="134"/>
      <c r="B193" s="140"/>
      <c r="C193" s="85" t="s">
        <v>309</v>
      </c>
      <c r="D193" s="106" t="s">
        <v>185</v>
      </c>
      <c r="E193" s="13" t="s">
        <v>207</v>
      </c>
      <c r="F193" s="16"/>
      <c r="G193" s="18" t="s">
        <v>181</v>
      </c>
      <c r="H193" s="15"/>
      <c r="I193" s="15"/>
      <c r="J193" s="15"/>
      <c r="K193" s="15"/>
      <c r="L193" s="17"/>
      <c r="M193" s="17"/>
      <c r="N193" s="17"/>
      <c r="O193" s="17">
        <v>1</v>
      </c>
      <c r="P193" s="17">
        <v>1</v>
      </c>
      <c r="Q193" s="17"/>
      <c r="R193" s="17"/>
      <c r="S193" s="15"/>
      <c r="T193" s="25">
        <v>45599</v>
      </c>
      <c r="U193" s="15" t="s">
        <v>183</v>
      </c>
      <c r="V193">
        <v>11</v>
      </c>
      <c r="AA193" s="49" t="s">
        <v>90</v>
      </c>
      <c r="AB193" s="50" t="s">
        <v>58</v>
      </c>
    </row>
    <row r="194" spans="1:28" x14ac:dyDescent="0.4">
      <c r="A194" s="134"/>
      <c r="B194" s="140"/>
      <c r="C194" s="85" t="s">
        <v>310</v>
      </c>
      <c r="D194" s="106" t="s">
        <v>185</v>
      </c>
      <c r="E194" s="13" t="s">
        <v>207</v>
      </c>
      <c r="F194" s="16"/>
      <c r="G194" s="18" t="s">
        <v>181</v>
      </c>
      <c r="H194" s="15"/>
      <c r="I194" s="15"/>
      <c r="J194" s="15"/>
      <c r="K194" s="15"/>
      <c r="L194" s="17"/>
      <c r="M194" s="17"/>
      <c r="N194" s="17"/>
      <c r="O194" s="17">
        <v>1</v>
      </c>
      <c r="P194" s="17">
        <v>1</v>
      </c>
      <c r="Q194" s="17">
        <v>1</v>
      </c>
      <c r="R194" s="17">
        <v>1</v>
      </c>
      <c r="S194" s="15"/>
      <c r="T194" s="25">
        <v>45599</v>
      </c>
      <c r="U194" s="15" t="s">
        <v>183</v>
      </c>
      <c r="V194">
        <v>12</v>
      </c>
      <c r="AA194" s="49" t="s">
        <v>91</v>
      </c>
      <c r="AB194" s="50" t="s">
        <v>75</v>
      </c>
    </row>
    <row r="195" spans="1:28" x14ac:dyDescent="0.4">
      <c r="A195" s="134"/>
      <c r="B195" s="140"/>
      <c r="C195" s="85" t="s">
        <v>311</v>
      </c>
      <c r="D195" s="106" t="s">
        <v>185</v>
      </c>
      <c r="E195" s="15" t="s">
        <v>199</v>
      </c>
      <c r="F195" s="16"/>
      <c r="G195" s="18" t="s">
        <v>181</v>
      </c>
      <c r="H195" s="15"/>
      <c r="I195" s="15"/>
      <c r="J195" s="15"/>
      <c r="K195" s="15"/>
      <c r="L195" s="17"/>
      <c r="M195" s="17">
        <v>1</v>
      </c>
      <c r="N195" s="17">
        <v>1</v>
      </c>
      <c r="O195" s="17"/>
      <c r="P195" s="17"/>
      <c r="Q195" s="17">
        <v>1</v>
      </c>
      <c r="R195" s="17"/>
      <c r="S195" s="15"/>
      <c r="T195" s="25">
        <v>45593</v>
      </c>
      <c r="U195" s="15" t="s">
        <v>183</v>
      </c>
      <c r="V195">
        <v>13</v>
      </c>
      <c r="AA195" s="49" t="s">
        <v>92</v>
      </c>
      <c r="AB195" s="50" t="s">
        <v>40</v>
      </c>
    </row>
    <row r="196" spans="1:28" x14ac:dyDescent="0.4">
      <c r="A196" s="134"/>
      <c r="B196" s="140"/>
      <c r="C196" s="85" t="s">
        <v>313</v>
      </c>
      <c r="D196" s="106" t="s">
        <v>312</v>
      </c>
      <c r="E196" s="15" t="s">
        <v>194</v>
      </c>
      <c r="F196" s="16"/>
      <c r="G196" s="18" t="s">
        <v>181</v>
      </c>
      <c r="H196" s="15"/>
      <c r="I196" s="15"/>
      <c r="J196" s="15"/>
      <c r="K196" s="15"/>
      <c r="L196" s="17"/>
      <c r="M196" s="17">
        <v>1</v>
      </c>
      <c r="N196" s="17">
        <v>1</v>
      </c>
      <c r="O196" s="17"/>
      <c r="P196" s="17"/>
      <c r="Q196" s="17">
        <v>1</v>
      </c>
      <c r="R196" s="17"/>
      <c r="S196" s="15"/>
      <c r="T196" s="25">
        <v>45604</v>
      </c>
      <c r="U196" s="15" t="s">
        <v>183</v>
      </c>
      <c r="V196">
        <v>14</v>
      </c>
      <c r="AA196" s="49" t="s">
        <v>93</v>
      </c>
      <c r="AB196" s="50" t="s">
        <v>57</v>
      </c>
    </row>
    <row r="197" spans="1:28" x14ac:dyDescent="0.4">
      <c r="A197" s="134"/>
      <c r="B197" s="140"/>
      <c r="C197" s="85" t="s">
        <v>314</v>
      </c>
      <c r="D197" s="106" t="s">
        <v>247</v>
      </c>
      <c r="E197" s="15" t="s">
        <v>194</v>
      </c>
      <c r="F197" s="16"/>
      <c r="G197" s="15" t="s">
        <v>181</v>
      </c>
      <c r="H197" s="15"/>
      <c r="I197" s="15"/>
      <c r="J197" s="15"/>
      <c r="K197" s="15"/>
      <c r="L197" s="17"/>
      <c r="M197" s="17">
        <v>1</v>
      </c>
      <c r="N197" s="17">
        <v>1</v>
      </c>
      <c r="O197" s="17"/>
      <c r="P197" s="17"/>
      <c r="Q197" s="17">
        <v>1</v>
      </c>
      <c r="R197" s="17"/>
      <c r="S197" s="15"/>
      <c r="T197" s="25">
        <v>45609</v>
      </c>
      <c r="U197" s="15" t="s">
        <v>183</v>
      </c>
      <c r="V197">
        <v>15</v>
      </c>
      <c r="AA197" s="49" t="s">
        <v>94</v>
      </c>
      <c r="AB197" s="50" t="s">
        <v>41</v>
      </c>
    </row>
    <row r="198" spans="1:28" x14ac:dyDescent="0.4">
      <c r="A198" s="134"/>
      <c r="B198" s="140"/>
      <c r="C198" s="85" t="s">
        <v>363</v>
      </c>
      <c r="D198" s="106" t="s">
        <v>317</v>
      </c>
      <c r="E198" s="15" t="s">
        <v>316</v>
      </c>
      <c r="F198" s="16"/>
      <c r="G198" s="15" t="s">
        <v>315</v>
      </c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>
        <v>45602</v>
      </c>
      <c r="U198" s="15" t="s">
        <v>183</v>
      </c>
      <c r="V198">
        <v>16</v>
      </c>
      <c r="AA198" s="49" t="s">
        <v>95</v>
      </c>
      <c r="AB198" s="50" t="s">
        <v>42</v>
      </c>
    </row>
    <row r="199" spans="1:28" x14ac:dyDescent="0.4">
      <c r="A199" s="134"/>
      <c r="B199" s="140"/>
      <c r="C199" s="85" t="s">
        <v>318</v>
      </c>
      <c r="D199" s="110" t="s">
        <v>317</v>
      </c>
      <c r="E199" s="18" t="s">
        <v>195</v>
      </c>
      <c r="F199" s="16"/>
      <c r="G199" s="18" t="s">
        <v>181</v>
      </c>
      <c r="H199" s="15"/>
      <c r="I199" s="15"/>
      <c r="J199" s="18">
        <v>1</v>
      </c>
      <c r="K199" s="15">
        <v>1</v>
      </c>
      <c r="L199" s="19"/>
      <c r="M199" s="19"/>
      <c r="N199" s="19"/>
      <c r="O199" s="19"/>
      <c r="P199" s="19"/>
      <c r="Q199" s="19"/>
      <c r="R199" s="19"/>
      <c r="S199" s="15"/>
      <c r="T199" s="25">
        <v>45601</v>
      </c>
      <c r="U199" s="15" t="s">
        <v>182</v>
      </c>
      <c r="V199">
        <v>17</v>
      </c>
      <c r="AA199" s="49" t="s">
        <v>96</v>
      </c>
      <c r="AB199" s="50" t="s">
        <v>61</v>
      </c>
    </row>
    <row r="200" spans="1:28" x14ac:dyDescent="0.4">
      <c r="A200" s="134"/>
      <c r="B200" s="140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34"/>
      <c r="B201" s="140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34"/>
      <c r="B202" s="140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34"/>
      <c r="B203" s="140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34"/>
      <c r="B204" s="140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34"/>
      <c r="B205" s="140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34"/>
      <c r="B206" s="140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35"/>
      <c r="B207" s="141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17</v>
      </c>
      <c r="D208" s="112"/>
      <c r="E208" s="29"/>
      <c r="F208" s="29" t="s">
        <v>34</v>
      </c>
      <c r="G208" s="29">
        <f>COUNTIF(G183:G207,"S")</f>
        <v>16</v>
      </c>
      <c r="H208" s="29">
        <f>COUNTIF(H183:H207,"E")</f>
        <v>0</v>
      </c>
      <c r="I208" s="29">
        <f t="shared" ref="I208:S208" si="6">SUM(I183:I207)</f>
        <v>0</v>
      </c>
      <c r="J208" s="29">
        <f t="shared" si="6"/>
        <v>5</v>
      </c>
      <c r="K208" s="29">
        <f t="shared" si="6"/>
        <v>6</v>
      </c>
      <c r="L208" s="29">
        <f t="shared" si="6"/>
        <v>0</v>
      </c>
      <c r="M208" s="29">
        <f t="shared" si="6"/>
        <v>6</v>
      </c>
      <c r="N208" s="29">
        <f t="shared" si="6"/>
        <v>6</v>
      </c>
      <c r="O208" s="29">
        <f t="shared" si="6"/>
        <v>2</v>
      </c>
      <c r="P208" s="29">
        <f t="shared" si="6"/>
        <v>2</v>
      </c>
      <c r="Q208" s="29">
        <f t="shared" si="6"/>
        <v>7</v>
      </c>
      <c r="R208" s="29">
        <f t="shared" si="6"/>
        <v>1</v>
      </c>
      <c r="S208" s="29">
        <f t="shared" si="6"/>
        <v>1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36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AYG089</v>
      </c>
      <c r="B211" s="24">
        <f>B1</f>
        <v>45565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1" t="s">
        <v>113</v>
      </c>
      <c r="Y212" s="132"/>
    </row>
    <row r="213" spans="1:28" ht="20.25" thickTop="1" thickBot="1" x14ac:dyDescent="0.45">
      <c r="A213" s="133">
        <v>8</v>
      </c>
      <c r="B213" s="139">
        <v>23.9</v>
      </c>
      <c r="C213" s="85" t="s">
        <v>319</v>
      </c>
      <c r="D213" s="106" t="s">
        <v>320</v>
      </c>
      <c r="E213" s="15" t="s">
        <v>199</v>
      </c>
      <c r="F213" s="16"/>
      <c r="G213" s="15" t="s">
        <v>181</v>
      </c>
      <c r="H213" s="15"/>
      <c r="I213" s="15"/>
      <c r="J213" s="15">
        <v>1</v>
      </c>
      <c r="K213" s="15"/>
      <c r="L213" s="17"/>
      <c r="M213" s="17"/>
      <c r="N213" s="17"/>
      <c r="O213" s="17"/>
      <c r="P213" s="17"/>
      <c r="Q213" s="17"/>
      <c r="R213" s="17"/>
      <c r="S213" s="15"/>
      <c r="T213" s="25">
        <v>45593</v>
      </c>
      <c r="U213" s="15" t="s">
        <v>182</v>
      </c>
      <c r="V213">
        <v>1</v>
      </c>
      <c r="X213" s="51" t="s">
        <v>106</v>
      </c>
      <c r="Y213" s="52">
        <f>COUNTIF(U213:U237,"K")</f>
        <v>16</v>
      </c>
      <c r="AA213" s="59" t="s">
        <v>120</v>
      </c>
      <c r="AB213" s="60" t="s">
        <v>121</v>
      </c>
    </row>
    <row r="214" spans="1:28" x14ac:dyDescent="0.4">
      <c r="A214" s="134"/>
      <c r="B214" s="140"/>
      <c r="C214" s="85" t="s">
        <v>321</v>
      </c>
      <c r="D214" s="106" t="s">
        <v>320</v>
      </c>
      <c r="E214" s="15" t="s">
        <v>199</v>
      </c>
      <c r="F214" s="16"/>
      <c r="G214" s="15" t="s">
        <v>181</v>
      </c>
      <c r="H214" s="15"/>
      <c r="I214" s="15"/>
      <c r="J214" s="15">
        <v>1</v>
      </c>
      <c r="K214" s="15"/>
      <c r="L214" s="17"/>
      <c r="M214" s="17"/>
      <c r="N214" s="17"/>
      <c r="O214" s="17"/>
      <c r="P214" s="17"/>
      <c r="Q214" s="17"/>
      <c r="R214" s="17"/>
      <c r="S214" s="15"/>
      <c r="T214" s="25">
        <v>45593</v>
      </c>
      <c r="U214" s="15" t="s">
        <v>182</v>
      </c>
      <c r="V214">
        <v>2</v>
      </c>
      <c r="X214" s="51" t="s">
        <v>107</v>
      </c>
      <c r="Y214" s="52">
        <f>COUNTIF(U213:U237,"R")</f>
        <v>0</v>
      </c>
      <c r="AA214" s="47" t="s">
        <v>81</v>
      </c>
      <c r="AB214" s="48" t="s">
        <v>60</v>
      </c>
    </row>
    <row r="215" spans="1:28" ht="19.5" thickBot="1" x14ac:dyDescent="0.45">
      <c r="A215" s="134"/>
      <c r="B215" s="140"/>
      <c r="C215" s="85" t="s">
        <v>322</v>
      </c>
      <c r="D215" s="106" t="s">
        <v>320</v>
      </c>
      <c r="E215" s="15" t="s">
        <v>199</v>
      </c>
      <c r="F215" s="16"/>
      <c r="G215" s="15" t="s">
        <v>181</v>
      </c>
      <c r="H215" s="15"/>
      <c r="I215" s="15"/>
      <c r="J215" s="15">
        <v>1</v>
      </c>
      <c r="K215" s="15"/>
      <c r="L215" s="17"/>
      <c r="M215" s="17"/>
      <c r="N215" s="17"/>
      <c r="O215" s="17"/>
      <c r="P215" s="17"/>
      <c r="Q215" s="17"/>
      <c r="R215" s="17"/>
      <c r="S215" s="15"/>
      <c r="T215" s="25">
        <v>45593</v>
      </c>
      <c r="U215" s="15" t="s">
        <v>182</v>
      </c>
      <c r="V215">
        <v>3</v>
      </c>
      <c r="X215" s="53" t="s">
        <v>108</v>
      </c>
      <c r="Y215" s="54">
        <f>COUNTIF(U213:U237,"J")</f>
        <v>0</v>
      </c>
      <c r="AA215" s="49" t="s">
        <v>82</v>
      </c>
      <c r="AB215" s="50" t="s">
        <v>39</v>
      </c>
    </row>
    <row r="216" spans="1:28" x14ac:dyDescent="0.4">
      <c r="A216" s="134"/>
      <c r="B216" s="140"/>
      <c r="C216" s="85" t="s">
        <v>323</v>
      </c>
      <c r="D216" s="106" t="s">
        <v>320</v>
      </c>
      <c r="E216" s="15" t="s">
        <v>199</v>
      </c>
      <c r="F216" s="16"/>
      <c r="G216" s="15" t="s">
        <v>181</v>
      </c>
      <c r="H216" s="15"/>
      <c r="I216" s="15"/>
      <c r="J216" s="15">
        <v>1</v>
      </c>
      <c r="K216" s="15"/>
      <c r="L216" s="19"/>
      <c r="M216" s="19"/>
      <c r="N216" s="19"/>
      <c r="O216" s="19"/>
      <c r="P216" s="19"/>
      <c r="Q216" s="19"/>
      <c r="R216" s="19"/>
      <c r="S216" s="15"/>
      <c r="T216" s="25">
        <v>45593</v>
      </c>
      <c r="U216" s="15" t="s">
        <v>182</v>
      </c>
      <c r="V216">
        <v>4</v>
      </c>
      <c r="AA216" s="49" t="s">
        <v>83</v>
      </c>
      <c r="AB216" s="50" t="s">
        <v>38</v>
      </c>
    </row>
    <row r="217" spans="1:28" x14ac:dyDescent="0.4">
      <c r="A217" s="134"/>
      <c r="B217" s="140"/>
      <c r="C217" s="85" t="s">
        <v>324</v>
      </c>
      <c r="D217" s="106" t="s">
        <v>320</v>
      </c>
      <c r="E217" s="15" t="s">
        <v>199</v>
      </c>
      <c r="F217" s="16"/>
      <c r="G217" s="15" t="s">
        <v>181</v>
      </c>
      <c r="H217" s="15"/>
      <c r="I217" s="15"/>
      <c r="J217" s="18">
        <v>1</v>
      </c>
      <c r="K217" s="15"/>
      <c r="L217" s="19"/>
      <c r="M217" s="19"/>
      <c r="N217" s="19"/>
      <c r="O217" s="19"/>
      <c r="P217" s="19"/>
      <c r="Q217" s="19"/>
      <c r="R217" s="19"/>
      <c r="S217" s="15"/>
      <c r="T217" s="25">
        <v>45593</v>
      </c>
      <c r="U217" s="15" t="s">
        <v>182</v>
      </c>
      <c r="V217">
        <v>5</v>
      </c>
      <c r="AA217" s="49" t="s">
        <v>84</v>
      </c>
      <c r="AB217" s="50" t="s">
        <v>44</v>
      </c>
    </row>
    <row r="218" spans="1:28" x14ac:dyDescent="0.4">
      <c r="A218" s="134"/>
      <c r="B218" s="140"/>
      <c r="C218" s="85" t="s">
        <v>325</v>
      </c>
      <c r="D218" s="106" t="s">
        <v>320</v>
      </c>
      <c r="E218" s="15" t="s">
        <v>199</v>
      </c>
      <c r="F218" s="16"/>
      <c r="G218" s="15" t="s">
        <v>181</v>
      </c>
      <c r="H218" s="15"/>
      <c r="I218" s="15"/>
      <c r="J218" s="18">
        <v>1</v>
      </c>
      <c r="K218" s="15"/>
      <c r="L218" s="19"/>
      <c r="M218" s="19"/>
      <c r="N218" s="19"/>
      <c r="O218" s="19"/>
      <c r="P218" s="19"/>
      <c r="Q218" s="19"/>
      <c r="R218" s="19"/>
      <c r="S218" s="15"/>
      <c r="T218" s="25">
        <v>45593</v>
      </c>
      <c r="U218" s="15" t="s">
        <v>182</v>
      </c>
      <c r="V218">
        <v>6</v>
      </c>
      <c r="AA218" s="49" t="s">
        <v>85</v>
      </c>
      <c r="AB218" s="50" t="s">
        <v>43</v>
      </c>
    </row>
    <row r="219" spans="1:28" x14ac:dyDescent="0.4">
      <c r="A219" s="134"/>
      <c r="B219" s="140"/>
      <c r="C219" s="85" t="s">
        <v>326</v>
      </c>
      <c r="D219" s="106" t="s">
        <v>320</v>
      </c>
      <c r="E219" s="15" t="s">
        <v>199</v>
      </c>
      <c r="F219" s="16"/>
      <c r="G219" s="15" t="s">
        <v>181</v>
      </c>
      <c r="H219" s="15"/>
      <c r="I219" s="15"/>
      <c r="J219" s="18">
        <v>1</v>
      </c>
      <c r="K219" s="15"/>
      <c r="L219" s="19"/>
      <c r="M219" s="19"/>
      <c r="N219" s="19"/>
      <c r="O219" s="19"/>
      <c r="P219" s="19"/>
      <c r="Q219" s="19"/>
      <c r="R219" s="19"/>
      <c r="S219" s="15"/>
      <c r="T219" s="25">
        <v>45593</v>
      </c>
      <c r="U219" s="15" t="s">
        <v>182</v>
      </c>
      <c r="V219">
        <v>7</v>
      </c>
      <c r="AA219" s="49" t="s">
        <v>86</v>
      </c>
      <c r="AB219" s="50" t="s">
        <v>45</v>
      </c>
    </row>
    <row r="220" spans="1:28" x14ac:dyDescent="0.4">
      <c r="A220" s="134"/>
      <c r="B220" s="140"/>
      <c r="C220" s="85" t="s">
        <v>327</v>
      </c>
      <c r="D220" s="106" t="s">
        <v>320</v>
      </c>
      <c r="E220" s="15" t="s">
        <v>199</v>
      </c>
      <c r="F220" s="16"/>
      <c r="G220" s="15" t="s">
        <v>181</v>
      </c>
      <c r="H220" s="15"/>
      <c r="I220" s="15"/>
      <c r="J220" s="18">
        <v>1</v>
      </c>
      <c r="K220" s="15"/>
      <c r="L220" s="19"/>
      <c r="M220" s="19"/>
      <c r="N220" s="19"/>
      <c r="O220" s="19"/>
      <c r="P220" s="19"/>
      <c r="Q220" s="19"/>
      <c r="R220" s="19"/>
      <c r="S220" s="15"/>
      <c r="T220" s="25">
        <v>45593</v>
      </c>
      <c r="U220" s="15" t="s">
        <v>182</v>
      </c>
      <c r="V220">
        <v>8</v>
      </c>
      <c r="AA220" s="49" t="s">
        <v>87</v>
      </c>
      <c r="AB220" s="50" t="s">
        <v>37</v>
      </c>
    </row>
    <row r="221" spans="1:28" x14ac:dyDescent="0.4">
      <c r="A221" s="134"/>
      <c r="B221" s="140"/>
      <c r="C221" s="85" t="s">
        <v>328</v>
      </c>
      <c r="D221" s="106" t="s">
        <v>320</v>
      </c>
      <c r="E221" s="15" t="s">
        <v>199</v>
      </c>
      <c r="F221" s="16"/>
      <c r="G221" s="15" t="s">
        <v>181</v>
      </c>
      <c r="H221" s="15"/>
      <c r="I221" s="15"/>
      <c r="J221" s="18">
        <v>1</v>
      </c>
      <c r="K221" s="15"/>
      <c r="L221" s="19"/>
      <c r="M221" s="19"/>
      <c r="N221" s="19"/>
      <c r="O221" s="19"/>
      <c r="P221" s="19"/>
      <c r="Q221" s="19"/>
      <c r="R221" s="19"/>
      <c r="S221" s="15"/>
      <c r="T221" s="25">
        <v>45593</v>
      </c>
      <c r="U221" s="15" t="s">
        <v>182</v>
      </c>
      <c r="V221">
        <v>9</v>
      </c>
      <c r="AA221" s="49" t="s">
        <v>88</v>
      </c>
      <c r="AB221" s="50" t="s">
        <v>74</v>
      </c>
    </row>
    <row r="222" spans="1:28" x14ac:dyDescent="0.4">
      <c r="A222" s="134"/>
      <c r="B222" s="140"/>
      <c r="C222" s="85" t="s">
        <v>329</v>
      </c>
      <c r="D222" s="106" t="s">
        <v>320</v>
      </c>
      <c r="E222" s="15" t="s">
        <v>199</v>
      </c>
      <c r="F222" s="16"/>
      <c r="G222" s="15" t="s">
        <v>181</v>
      </c>
      <c r="H222" s="15"/>
      <c r="I222" s="15"/>
      <c r="J222" s="15">
        <v>1</v>
      </c>
      <c r="K222" s="15"/>
      <c r="L222" s="17"/>
      <c r="M222" s="17"/>
      <c r="N222" s="17"/>
      <c r="O222" s="17"/>
      <c r="P222" s="17"/>
      <c r="Q222" s="17"/>
      <c r="R222" s="17"/>
      <c r="S222" s="15"/>
      <c r="T222" s="25">
        <v>45593</v>
      </c>
      <c r="U222" s="15" t="s">
        <v>182</v>
      </c>
      <c r="V222">
        <v>10</v>
      </c>
      <c r="AA222" s="49" t="s">
        <v>89</v>
      </c>
      <c r="AB222" s="50" t="s">
        <v>36</v>
      </c>
    </row>
    <row r="223" spans="1:28" x14ac:dyDescent="0.4">
      <c r="A223" s="134"/>
      <c r="B223" s="140"/>
      <c r="C223" s="85" t="s">
        <v>330</v>
      </c>
      <c r="D223" s="106" t="s">
        <v>320</v>
      </c>
      <c r="E223" s="15" t="s">
        <v>199</v>
      </c>
      <c r="F223" s="16"/>
      <c r="G223" s="15" t="s">
        <v>181</v>
      </c>
      <c r="H223" s="15"/>
      <c r="I223" s="15"/>
      <c r="J223" s="15">
        <v>1</v>
      </c>
      <c r="K223" s="15"/>
      <c r="L223" s="17"/>
      <c r="M223" s="17"/>
      <c r="N223" s="17"/>
      <c r="O223" s="17"/>
      <c r="P223" s="17"/>
      <c r="Q223" s="17"/>
      <c r="R223" s="17"/>
      <c r="S223" s="15"/>
      <c r="T223" s="25">
        <v>45593</v>
      </c>
      <c r="U223" s="15" t="s">
        <v>182</v>
      </c>
      <c r="V223">
        <v>11</v>
      </c>
      <c r="AA223" s="49" t="s">
        <v>90</v>
      </c>
      <c r="AB223" s="50" t="s">
        <v>58</v>
      </c>
    </row>
    <row r="224" spans="1:28" x14ac:dyDescent="0.4">
      <c r="A224" s="134"/>
      <c r="B224" s="140"/>
      <c r="C224" s="85" t="s">
        <v>331</v>
      </c>
      <c r="D224" s="106" t="s">
        <v>320</v>
      </c>
      <c r="E224" s="15" t="s">
        <v>199</v>
      </c>
      <c r="F224" s="16"/>
      <c r="G224" s="15" t="s">
        <v>181</v>
      </c>
      <c r="H224" s="15"/>
      <c r="I224" s="15"/>
      <c r="J224" s="15">
        <v>1</v>
      </c>
      <c r="K224" s="15"/>
      <c r="L224" s="17"/>
      <c r="M224" s="17"/>
      <c r="N224" s="17"/>
      <c r="O224" s="17"/>
      <c r="P224" s="17"/>
      <c r="Q224" s="17"/>
      <c r="R224" s="17"/>
      <c r="S224" s="15"/>
      <c r="T224" s="25">
        <v>45593</v>
      </c>
      <c r="U224" s="15" t="s">
        <v>182</v>
      </c>
      <c r="V224">
        <v>12</v>
      </c>
      <c r="AA224" s="49" t="s">
        <v>91</v>
      </c>
      <c r="AB224" s="50" t="s">
        <v>75</v>
      </c>
    </row>
    <row r="225" spans="1:28" x14ac:dyDescent="0.4">
      <c r="A225" s="134"/>
      <c r="B225" s="140"/>
      <c r="C225" s="85" t="s">
        <v>332</v>
      </c>
      <c r="D225" s="106" t="s">
        <v>320</v>
      </c>
      <c r="E225" s="15" t="s">
        <v>199</v>
      </c>
      <c r="F225" s="16"/>
      <c r="G225" s="15" t="s">
        <v>181</v>
      </c>
      <c r="H225" s="15"/>
      <c r="I225" s="15"/>
      <c r="J225" s="15">
        <v>1</v>
      </c>
      <c r="K225" s="15"/>
      <c r="L225" s="17"/>
      <c r="M225" s="17"/>
      <c r="N225" s="17"/>
      <c r="O225" s="17"/>
      <c r="P225" s="17"/>
      <c r="Q225" s="17"/>
      <c r="R225" s="17"/>
      <c r="S225" s="15"/>
      <c r="T225" s="25">
        <v>45593</v>
      </c>
      <c r="U225" s="15" t="s">
        <v>182</v>
      </c>
      <c r="V225">
        <v>13</v>
      </c>
      <c r="AA225" s="49" t="s">
        <v>92</v>
      </c>
      <c r="AB225" s="50" t="s">
        <v>40</v>
      </c>
    </row>
    <row r="226" spans="1:28" x14ac:dyDescent="0.4">
      <c r="A226" s="134"/>
      <c r="B226" s="140"/>
      <c r="C226" s="85" t="s">
        <v>333</v>
      </c>
      <c r="D226" s="106" t="s">
        <v>320</v>
      </c>
      <c r="E226" s="13" t="s">
        <v>189</v>
      </c>
      <c r="F226" s="16"/>
      <c r="G226" s="15" t="s">
        <v>181</v>
      </c>
      <c r="H226" s="15"/>
      <c r="I226" s="15"/>
      <c r="J226" s="15">
        <v>1</v>
      </c>
      <c r="K226" s="15">
        <v>1</v>
      </c>
      <c r="L226" s="17"/>
      <c r="M226" s="17"/>
      <c r="N226" s="17"/>
      <c r="O226" s="17"/>
      <c r="P226" s="17"/>
      <c r="Q226" s="17"/>
      <c r="R226" s="17"/>
      <c r="S226" s="15"/>
      <c r="T226" s="25">
        <v>45593</v>
      </c>
      <c r="U226" s="15" t="s">
        <v>182</v>
      </c>
      <c r="V226">
        <v>14</v>
      </c>
      <c r="AA226" s="49" t="s">
        <v>93</v>
      </c>
      <c r="AB226" s="50" t="s">
        <v>57</v>
      </c>
    </row>
    <row r="227" spans="1:28" x14ac:dyDescent="0.4">
      <c r="A227" s="134"/>
      <c r="B227" s="140"/>
      <c r="C227" s="85" t="s">
        <v>334</v>
      </c>
      <c r="D227" s="109" t="s">
        <v>320</v>
      </c>
      <c r="E227" s="15" t="s">
        <v>189</v>
      </c>
      <c r="F227" s="16"/>
      <c r="G227" s="15" t="s">
        <v>181</v>
      </c>
      <c r="H227" s="15"/>
      <c r="I227" s="15"/>
      <c r="J227" s="15">
        <v>1</v>
      </c>
      <c r="K227" s="15">
        <v>1</v>
      </c>
      <c r="L227" s="17"/>
      <c r="M227" s="17"/>
      <c r="N227" s="17"/>
      <c r="O227" s="17"/>
      <c r="P227" s="17"/>
      <c r="Q227" s="17"/>
      <c r="R227" s="17"/>
      <c r="S227" s="15"/>
      <c r="T227" s="25">
        <v>45593</v>
      </c>
      <c r="U227" s="15" t="s">
        <v>182</v>
      </c>
      <c r="V227">
        <v>15</v>
      </c>
      <c r="AA227" s="49" t="s">
        <v>94</v>
      </c>
      <c r="AB227" s="50" t="s">
        <v>41</v>
      </c>
    </row>
    <row r="228" spans="1:28" x14ac:dyDescent="0.4">
      <c r="A228" s="134"/>
      <c r="B228" s="140"/>
      <c r="C228" s="85" t="s">
        <v>335</v>
      </c>
      <c r="D228" s="109" t="s">
        <v>320</v>
      </c>
      <c r="E228" s="15" t="s">
        <v>189</v>
      </c>
      <c r="F228" s="16"/>
      <c r="G228" s="15" t="s">
        <v>181</v>
      </c>
      <c r="H228" s="15"/>
      <c r="I228" s="15"/>
      <c r="J228" s="15">
        <v>1</v>
      </c>
      <c r="K228" s="15">
        <v>1</v>
      </c>
      <c r="L228" s="19"/>
      <c r="M228" s="19"/>
      <c r="N228" s="19"/>
      <c r="O228" s="19"/>
      <c r="P228" s="19"/>
      <c r="Q228" s="19"/>
      <c r="R228" s="19"/>
      <c r="S228" s="15"/>
      <c r="T228" s="25">
        <v>45593</v>
      </c>
      <c r="U228" s="15" t="s">
        <v>182</v>
      </c>
      <c r="V228">
        <v>16</v>
      </c>
      <c r="AA228" s="49" t="s">
        <v>95</v>
      </c>
      <c r="AB228" s="50" t="s">
        <v>42</v>
      </c>
    </row>
    <row r="229" spans="1:28" x14ac:dyDescent="0.4">
      <c r="A229" s="134"/>
      <c r="B229" s="140"/>
      <c r="C229" s="85"/>
      <c r="D229" s="110"/>
      <c r="E229" s="18"/>
      <c r="F229" s="16"/>
      <c r="G229" s="18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6"/>
      <c r="U229" s="15"/>
      <c r="V229">
        <v>17</v>
      </c>
      <c r="AA229" s="49" t="s">
        <v>96</v>
      </c>
      <c r="AB229" s="50" t="s">
        <v>61</v>
      </c>
    </row>
    <row r="230" spans="1:28" x14ac:dyDescent="0.4">
      <c r="A230" s="134"/>
      <c r="B230" s="140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34"/>
      <c r="B231" s="140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34"/>
      <c r="B232" s="140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19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34"/>
      <c r="B233" s="140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19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34"/>
      <c r="B234" s="140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34"/>
      <c r="B235" s="140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34"/>
      <c r="B236" s="140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35"/>
      <c r="B237" s="141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16</v>
      </c>
      <c r="D238" s="112"/>
      <c r="E238" s="29"/>
      <c r="F238" s="29" t="s">
        <v>34</v>
      </c>
      <c r="G238" s="29">
        <f>COUNTIF(G213:G237,"S")</f>
        <v>16</v>
      </c>
      <c r="H238" s="29">
        <f>COUNTIF(H213:H237,"E")</f>
        <v>0</v>
      </c>
      <c r="I238" s="29">
        <f t="shared" ref="I238:S238" si="7">SUM(I213:I237)</f>
        <v>0</v>
      </c>
      <c r="J238" s="29">
        <f t="shared" si="7"/>
        <v>16</v>
      </c>
      <c r="K238" s="29">
        <f t="shared" si="7"/>
        <v>3</v>
      </c>
      <c r="L238" s="29">
        <f t="shared" si="7"/>
        <v>0</v>
      </c>
      <c r="M238" s="29">
        <f t="shared" si="7"/>
        <v>0</v>
      </c>
      <c r="N238" s="29">
        <f t="shared" si="7"/>
        <v>0</v>
      </c>
      <c r="O238" s="29">
        <f t="shared" si="7"/>
        <v>0</v>
      </c>
      <c r="P238" s="29">
        <f t="shared" si="7"/>
        <v>0</v>
      </c>
      <c r="Q238" s="29">
        <f t="shared" si="7"/>
        <v>0</v>
      </c>
      <c r="R238" s="29">
        <f t="shared" si="7"/>
        <v>0</v>
      </c>
      <c r="S238" s="29">
        <f t="shared" si="7"/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19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AYG089</v>
      </c>
      <c r="B241" s="24">
        <f>B1</f>
        <v>45565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45" t="s">
        <v>112</v>
      </c>
      <c r="Y242" s="145"/>
    </row>
    <row r="243" spans="1:28" ht="20.25" thickTop="1" thickBot="1" x14ac:dyDescent="0.45">
      <c r="A243" s="133">
        <v>9</v>
      </c>
      <c r="B243" s="139"/>
      <c r="C243" s="85"/>
      <c r="D243" s="109"/>
      <c r="E243" s="13"/>
      <c r="F243" s="14"/>
      <c r="G243" s="12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26"/>
      <c r="U243" s="13"/>
      <c r="V243">
        <v>1</v>
      </c>
      <c r="X243" t="s">
        <v>106</v>
      </c>
      <c r="Y243">
        <f>COUNTIF(U243:U267,"K")</f>
        <v>0</v>
      </c>
      <c r="AA243" s="59" t="s">
        <v>120</v>
      </c>
      <c r="AB243" s="60" t="s">
        <v>121</v>
      </c>
    </row>
    <row r="244" spans="1:28" x14ac:dyDescent="0.4">
      <c r="A244" s="134"/>
      <c r="B244" s="140"/>
      <c r="C244" s="85"/>
      <c r="D244" s="109"/>
      <c r="E244" s="13"/>
      <c r="F244" s="16"/>
      <c r="G244" s="12"/>
      <c r="H244" s="15"/>
      <c r="I244" s="15"/>
      <c r="J244" s="15"/>
      <c r="K244" s="15"/>
      <c r="L244" s="17"/>
      <c r="M244" s="17"/>
      <c r="N244" s="17"/>
      <c r="O244" s="17"/>
      <c r="P244" s="17"/>
      <c r="Q244" s="17"/>
      <c r="R244" s="17"/>
      <c r="S244" s="15"/>
      <c r="T244" s="26"/>
      <c r="U244" s="13"/>
      <c r="V244">
        <v>2</v>
      </c>
      <c r="X244" t="s">
        <v>107</v>
      </c>
      <c r="Y244">
        <f>COUNTIF(U243:U267,"R")</f>
        <v>0</v>
      </c>
      <c r="AA244" s="47" t="s">
        <v>81</v>
      </c>
      <c r="AB244" s="48" t="s">
        <v>60</v>
      </c>
    </row>
    <row r="245" spans="1:28" x14ac:dyDescent="0.4">
      <c r="A245" s="134"/>
      <c r="B245" s="140"/>
      <c r="C245" s="85"/>
      <c r="D245" s="109"/>
      <c r="E245" s="13"/>
      <c r="F245" s="16"/>
      <c r="G245" s="12"/>
      <c r="H245" s="15"/>
      <c r="I245" s="15"/>
      <c r="J245" s="15"/>
      <c r="K245" s="15"/>
      <c r="L245" s="17"/>
      <c r="M245" s="17"/>
      <c r="N245" s="17"/>
      <c r="O245" s="17"/>
      <c r="P245" s="17"/>
      <c r="Q245" s="17"/>
      <c r="R245" s="17"/>
      <c r="S245" s="15"/>
      <c r="T245" s="26"/>
      <c r="U245" s="13"/>
      <c r="V245">
        <v>3</v>
      </c>
      <c r="X245" t="s">
        <v>108</v>
      </c>
      <c r="Y245">
        <f>COUNTIF(U243:U267,"J")</f>
        <v>0</v>
      </c>
      <c r="AA245" s="49" t="s">
        <v>82</v>
      </c>
      <c r="AB245" s="50" t="s">
        <v>39</v>
      </c>
    </row>
    <row r="246" spans="1:28" x14ac:dyDescent="0.4">
      <c r="A246" s="134"/>
      <c r="B246" s="140"/>
      <c r="C246" s="85"/>
      <c r="D246" s="109"/>
      <c r="E246" s="13"/>
      <c r="F246" s="16"/>
      <c r="G246" s="12"/>
      <c r="H246" s="15"/>
      <c r="I246" s="15"/>
      <c r="J246" s="15"/>
      <c r="K246" s="15"/>
      <c r="L246" s="17"/>
      <c r="M246" s="17"/>
      <c r="N246" s="17"/>
      <c r="O246" s="17"/>
      <c r="P246" s="17"/>
      <c r="Q246" s="17"/>
      <c r="R246" s="17"/>
      <c r="S246" s="15"/>
      <c r="T246" s="26"/>
      <c r="U246" s="13"/>
      <c r="V246">
        <v>4</v>
      </c>
      <c r="AA246" s="49" t="s">
        <v>83</v>
      </c>
      <c r="AB246" s="50" t="s">
        <v>38</v>
      </c>
    </row>
    <row r="247" spans="1:28" x14ac:dyDescent="0.4">
      <c r="A247" s="134"/>
      <c r="B247" s="140"/>
      <c r="C247" s="85"/>
      <c r="D247" s="109"/>
      <c r="E247" s="13"/>
      <c r="F247" s="16"/>
      <c r="G247" s="12"/>
      <c r="H247" s="15"/>
      <c r="I247" s="15"/>
      <c r="J247" s="15"/>
      <c r="K247" s="15"/>
      <c r="L247" s="17"/>
      <c r="M247" s="17"/>
      <c r="N247" s="17"/>
      <c r="O247" s="17"/>
      <c r="P247" s="17"/>
      <c r="Q247" s="17"/>
      <c r="R247" s="17"/>
      <c r="S247" s="15"/>
      <c r="T247" s="26"/>
      <c r="U247" s="13"/>
      <c r="V247">
        <v>5</v>
      </c>
      <c r="AA247" s="49" t="s">
        <v>84</v>
      </c>
      <c r="AB247" s="50" t="s">
        <v>44</v>
      </c>
    </row>
    <row r="248" spans="1:28" x14ac:dyDescent="0.4">
      <c r="A248" s="134"/>
      <c r="B248" s="140"/>
      <c r="C248" s="85"/>
      <c r="D248" s="109"/>
      <c r="E248" s="13"/>
      <c r="F248" s="16"/>
      <c r="G248" s="12"/>
      <c r="H248" s="13"/>
      <c r="I248" s="15"/>
      <c r="J248" s="15"/>
      <c r="K248" s="15"/>
      <c r="L248" s="17"/>
      <c r="M248" s="17"/>
      <c r="N248" s="17"/>
      <c r="O248" s="17"/>
      <c r="P248" s="17"/>
      <c r="Q248" s="17"/>
      <c r="R248" s="17"/>
      <c r="S248" s="15"/>
      <c r="T248" s="26"/>
      <c r="U248" s="13"/>
      <c r="V248">
        <v>6</v>
      </c>
      <c r="AA248" s="49" t="s">
        <v>85</v>
      </c>
      <c r="AB248" s="50" t="s">
        <v>43</v>
      </c>
    </row>
    <row r="249" spans="1:28" x14ac:dyDescent="0.4">
      <c r="A249" s="134"/>
      <c r="B249" s="140"/>
      <c r="C249" s="85"/>
      <c r="D249" s="109"/>
      <c r="E249" s="13"/>
      <c r="F249" s="16"/>
      <c r="G249" s="12"/>
      <c r="H249" s="15"/>
      <c r="I249" s="15"/>
      <c r="J249" s="15"/>
      <c r="K249" s="15"/>
      <c r="L249" s="17"/>
      <c r="M249" s="17"/>
      <c r="N249" s="17"/>
      <c r="O249" s="17"/>
      <c r="P249" s="17"/>
      <c r="Q249" s="17"/>
      <c r="R249" s="17"/>
      <c r="S249" s="15"/>
      <c r="T249" s="26"/>
      <c r="U249" s="13"/>
      <c r="V249">
        <v>7</v>
      </c>
      <c r="AA249" s="49" t="s">
        <v>86</v>
      </c>
      <c r="AB249" s="50" t="s">
        <v>45</v>
      </c>
    </row>
    <row r="250" spans="1:28" x14ac:dyDescent="0.4">
      <c r="A250" s="134"/>
      <c r="B250" s="140"/>
      <c r="C250" s="85"/>
      <c r="D250" s="109"/>
      <c r="E250" s="13"/>
      <c r="F250" s="16"/>
      <c r="G250" s="12"/>
      <c r="H250" s="15"/>
      <c r="I250" s="15"/>
      <c r="J250" s="15"/>
      <c r="K250" s="15"/>
      <c r="L250" s="17"/>
      <c r="M250" s="17"/>
      <c r="N250" s="17"/>
      <c r="O250" s="17"/>
      <c r="P250" s="17"/>
      <c r="Q250" s="17"/>
      <c r="R250" s="17"/>
      <c r="S250" s="15"/>
      <c r="T250" s="26"/>
      <c r="U250" s="13"/>
      <c r="V250">
        <v>8</v>
      </c>
      <c r="AA250" s="49" t="s">
        <v>87</v>
      </c>
      <c r="AB250" s="50" t="s">
        <v>37</v>
      </c>
    </row>
    <row r="251" spans="1:28" x14ac:dyDescent="0.4">
      <c r="A251" s="134"/>
      <c r="B251" s="140"/>
      <c r="C251" s="85"/>
      <c r="D251" s="109"/>
      <c r="E251" s="13"/>
      <c r="F251" s="16"/>
      <c r="G251" s="12"/>
      <c r="H251" s="15"/>
      <c r="I251" s="15"/>
      <c r="J251" s="15"/>
      <c r="K251" s="15"/>
      <c r="L251" s="17"/>
      <c r="M251" s="17"/>
      <c r="N251" s="17"/>
      <c r="O251" s="17"/>
      <c r="P251" s="17"/>
      <c r="Q251" s="17"/>
      <c r="R251" s="17"/>
      <c r="S251" s="15"/>
      <c r="T251" s="26"/>
      <c r="U251" s="13"/>
      <c r="V251">
        <v>9</v>
      </c>
      <c r="AA251" s="49" t="s">
        <v>88</v>
      </c>
      <c r="AB251" s="50" t="s">
        <v>74</v>
      </c>
    </row>
    <row r="252" spans="1:28" x14ac:dyDescent="0.4">
      <c r="A252" s="134"/>
      <c r="B252" s="140"/>
      <c r="C252" s="85"/>
      <c r="D252" s="109"/>
      <c r="E252" s="13"/>
      <c r="F252" s="16"/>
      <c r="G252" s="12"/>
      <c r="H252" s="15"/>
      <c r="I252" s="15"/>
      <c r="J252" s="15"/>
      <c r="K252" s="15"/>
      <c r="L252" s="17"/>
      <c r="M252" s="17"/>
      <c r="N252" s="17"/>
      <c r="O252" s="17"/>
      <c r="P252" s="17"/>
      <c r="Q252" s="17"/>
      <c r="R252" s="17"/>
      <c r="S252" s="15"/>
      <c r="T252" s="26"/>
      <c r="U252" s="13"/>
      <c r="V252">
        <v>10</v>
      </c>
      <c r="AA252" s="49" t="s">
        <v>89</v>
      </c>
      <c r="AB252" s="50" t="s">
        <v>36</v>
      </c>
    </row>
    <row r="253" spans="1:28" x14ac:dyDescent="0.4">
      <c r="A253" s="134"/>
      <c r="B253" s="140"/>
      <c r="C253" s="85"/>
      <c r="D253" s="109"/>
      <c r="E253" s="13"/>
      <c r="F253" s="16"/>
      <c r="G253" s="12"/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/>
      <c r="T253" s="26"/>
      <c r="U253" s="13"/>
      <c r="V253">
        <v>11</v>
      </c>
      <c r="AA253" s="49" t="s">
        <v>90</v>
      </c>
      <c r="AB253" s="50" t="s">
        <v>58</v>
      </c>
    </row>
    <row r="254" spans="1:28" x14ac:dyDescent="0.4">
      <c r="A254" s="134"/>
      <c r="B254" s="140"/>
      <c r="C254" s="85"/>
      <c r="D254" s="109"/>
      <c r="E254" s="13"/>
      <c r="F254" s="16"/>
      <c r="G254" s="12"/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6"/>
      <c r="U254" s="13"/>
      <c r="V254">
        <v>12</v>
      </c>
      <c r="AA254" s="49" t="s">
        <v>91</v>
      </c>
      <c r="AB254" s="50" t="s">
        <v>75</v>
      </c>
    </row>
    <row r="255" spans="1:28" x14ac:dyDescent="0.4">
      <c r="A255" s="134"/>
      <c r="B255" s="140"/>
      <c r="C255" s="85"/>
      <c r="D255" s="109"/>
      <c r="E255" s="13"/>
      <c r="F255" s="16"/>
      <c r="G255" s="12"/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6"/>
      <c r="U255" s="13"/>
      <c r="V255">
        <v>13</v>
      </c>
      <c r="AA255" s="49" t="s">
        <v>92</v>
      </c>
      <c r="AB255" s="50" t="s">
        <v>40</v>
      </c>
    </row>
    <row r="256" spans="1:28" x14ac:dyDescent="0.4">
      <c r="A256" s="134"/>
      <c r="B256" s="140"/>
      <c r="C256" s="85"/>
      <c r="D256" s="109"/>
      <c r="E256" s="13"/>
      <c r="F256" s="16"/>
      <c r="G256" s="15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6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34"/>
      <c r="B257" s="140"/>
      <c r="C257" s="85"/>
      <c r="D257" s="109"/>
      <c r="E257" s="13"/>
      <c r="F257" s="16"/>
      <c r="G257" s="15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6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34"/>
      <c r="B258" s="140"/>
      <c r="C258" s="85"/>
      <c r="D258" s="109"/>
      <c r="E258" s="15"/>
      <c r="F258" s="16"/>
      <c r="G258" s="15"/>
      <c r="H258" s="15"/>
      <c r="I258" s="15"/>
      <c r="J258" s="15"/>
      <c r="K258" s="15"/>
      <c r="L258" s="19"/>
      <c r="M258" s="19"/>
      <c r="N258" s="19"/>
      <c r="O258" s="19"/>
      <c r="P258" s="19"/>
      <c r="Q258" s="19"/>
      <c r="R258" s="19"/>
      <c r="S258" s="15"/>
      <c r="T258" s="26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34"/>
      <c r="B259" s="140"/>
      <c r="C259" s="85"/>
      <c r="D259" s="110"/>
      <c r="E259" s="18"/>
      <c r="F259" s="16"/>
      <c r="G259" s="18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6"/>
      <c r="U259" s="15"/>
      <c r="V259">
        <v>17</v>
      </c>
      <c r="AA259" s="49" t="s">
        <v>96</v>
      </c>
      <c r="AB259" s="50" t="s">
        <v>61</v>
      </c>
    </row>
    <row r="260" spans="1:28" x14ac:dyDescent="0.4">
      <c r="A260" s="134"/>
      <c r="B260" s="140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34"/>
      <c r="B261" s="140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34"/>
      <c r="B262" s="140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26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34"/>
      <c r="B263" s="140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26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34"/>
      <c r="B264" s="140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34"/>
      <c r="B265" s="140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34"/>
      <c r="B266" s="140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35"/>
      <c r="B267" s="141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0</v>
      </c>
      <c r="D268" s="112"/>
      <c r="E268" s="29"/>
      <c r="F268" s="29" t="s">
        <v>34</v>
      </c>
      <c r="G268" s="29">
        <f>COUNTIF(G243:G267,"S")</f>
        <v>0</v>
      </c>
      <c r="H268" s="29">
        <f>COUNTIF(H243:H267,"E")</f>
        <v>0</v>
      </c>
      <c r="I268" s="29">
        <f t="shared" ref="I268:S268" si="8">SUM(I243:I267)</f>
        <v>0</v>
      </c>
      <c r="J268" s="29">
        <f t="shared" si="8"/>
        <v>0</v>
      </c>
      <c r="K268" s="29">
        <f t="shared" si="8"/>
        <v>0</v>
      </c>
      <c r="L268" s="29">
        <f t="shared" si="8"/>
        <v>0</v>
      </c>
      <c r="M268" s="29">
        <f t="shared" si="8"/>
        <v>0</v>
      </c>
      <c r="N268" s="29">
        <f t="shared" si="8"/>
        <v>0</v>
      </c>
      <c r="O268" s="29">
        <f t="shared" si="8"/>
        <v>0</v>
      </c>
      <c r="P268" s="29">
        <f t="shared" si="8"/>
        <v>0</v>
      </c>
      <c r="Q268" s="29">
        <f t="shared" si="8"/>
        <v>0</v>
      </c>
      <c r="R268" s="29">
        <f t="shared" si="8"/>
        <v>0</v>
      </c>
      <c r="S268" s="29">
        <f t="shared" si="8"/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0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AYG089</v>
      </c>
      <c r="B271" s="24">
        <f>B1</f>
        <v>45565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1" t="s">
        <v>111</v>
      </c>
      <c r="Y272" s="132"/>
    </row>
    <row r="273" spans="1:28" ht="20.25" thickTop="1" thickBot="1" x14ac:dyDescent="0.45">
      <c r="A273" s="133">
        <v>10</v>
      </c>
      <c r="B273" s="139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34"/>
      <c r="B274" s="140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34"/>
      <c r="B275" s="140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34"/>
      <c r="B276" s="140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34"/>
      <c r="B277" s="140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34"/>
      <c r="B278" s="140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34"/>
      <c r="B279" s="140"/>
      <c r="C279" s="85"/>
      <c r="D279" s="109"/>
      <c r="E279" s="13"/>
      <c r="F279" s="16"/>
      <c r="G279" s="12"/>
      <c r="H279" s="15"/>
      <c r="I279" s="15"/>
      <c r="J279" s="15"/>
      <c r="K279" s="15"/>
      <c r="L279" s="17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34"/>
      <c r="B280" s="140"/>
      <c r="C280" s="85"/>
      <c r="D280" s="109"/>
      <c r="E280" s="13"/>
      <c r="F280" s="16"/>
      <c r="G280" s="12"/>
      <c r="H280" s="15"/>
      <c r="I280" s="15"/>
      <c r="J280" s="15"/>
      <c r="K280" s="15"/>
      <c r="L280" s="17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34"/>
      <c r="B281" s="140"/>
      <c r="C281" s="85"/>
      <c r="D281" s="109"/>
      <c r="E281" s="13"/>
      <c r="F281" s="16"/>
      <c r="G281" s="12"/>
      <c r="H281" s="15"/>
      <c r="I281" s="15"/>
      <c r="J281" s="15"/>
      <c r="K281" s="15"/>
      <c r="L281" s="17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34"/>
      <c r="B282" s="140"/>
      <c r="C282" s="85"/>
      <c r="D282" s="109"/>
      <c r="E282" s="13"/>
      <c r="F282" s="16"/>
      <c r="G282" s="12"/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34"/>
      <c r="B283" s="140"/>
      <c r="C283" s="85"/>
      <c r="D283" s="109"/>
      <c r="E283" s="13"/>
      <c r="F283" s="16"/>
      <c r="G283" s="12"/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34"/>
      <c r="B284" s="140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34"/>
      <c r="B285" s="140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34"/>
      <c r="B286" s="140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5"/>
      <c r="V286">
        <v>14</v>
      </c>
      <c r="AA286" s="49" t="s">
        <v>93</v>
      </c>
      <c r="AB286" s="50" t="s">
        <v>57</v>
      </c>
    </row>
    <row r="287" spans="1:28" x14ac:dyDescent="0.4">
      <c r="A287" s="134"/>
      <c r="B287" s="140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34"/>
      <c r="B288" s="140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34"/>
      <c r="B289" s="140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34"/>
      <c r="B290" s="140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34"/>
      <c r="B291" s="140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34"/>
      <c r="B292" s="140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34"/>
      <c r="B293" s="140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34"/>
      <c r="B294" s="140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34"/>
      <c r="B295" s="140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34"/>
      <c r="B296" s="140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35"/>
      <c r="B297" s="141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 t="shared" ref="I298:S298" si="9">SUM(I273:I297)</f>
        <v>0</v>
      </c>
      <c r="J298" s="29">
        <f t="shared" si="9"/>
        <v>0</v>
      </c>
      <c r="K298" s="29">
        <f t="shared" si="9"/>
        <v>0</v>
      </c>
      <c r="L298" s="29">
        <f t="shared" si="9"/>
        <v>0</v>
      </c>
      <c r="M298" s="29">
        <f t="shared" si="9"/>
        <v>0</v>
      </c>
      <c r="N298" s="29">
        <f t="shared" si="9"/>
        <v>0</v>
      </c>
      <c r="O298" s="29">
        <f t="shared" si="9"/>
        <v>0</v>
      </c>
      <c r="P298" s="29">
        <f t="shared" si="9"/>
        <v>0</v>
      </c>
      <c r="Q298" s="29">
        <f t="shared" si="9"/>
        <v>0</v>
      </c>
      <c r="R298" s="29">
        <f t="shared" si="9"/>
        <v>0</v>
      </c>
      <c r="S298" s="29">
        <f t="shared" si="9"/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AYG089</v>
      </c>
      <c r="B301" s="24">
        <f>B1</f>
        <v>45565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1" t="s">
        <v>110</v>
      </c>
      <c r="Y302" s="132"/>
    </row>
    <row r="303" spans="1:28" ht="20.25" thickTop="1" thickBot="1" x14ac:dyDescent="0.45">
      <c r="A303" s="133">
        <v>11</v>
      </c>
      <c r="B303" s="139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34"/>
      <c r="B304" s="140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34"/>
      <c r="B305" s="140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34"/>
      <c r="B306" s="140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34"/>
      <c r="B307" s="140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34"/>
      <c r="B308" s="140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34"/>
      <c r="B309" s="140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34"/>
      <c r="B310" s="140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34"/>
      <c r="B311" s="140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34"/>
      <c r="B312" s="140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34"/>
      <c r="B313" s="140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34"/>
      <c r="B314" s="140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34"/>
      <c r="B315" s="140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34"/>
      <c r="B316" s="140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34"/>
      <c r="B317" s="140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34"/>
      <c r="B318" s="140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34"/>
      <c r="B319" s="140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34"/>
      <c r="B320" s="140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34"/>
      <c r="B321" s="140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34"/>
      <c r="B322" s="140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34"/>
      <c r="B323" s="140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34"/>
      <c r="B324" s="140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34"/>
      <c r="B325" s="140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34"/>
      <c r="B326" s="140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35"/>
      <c r="B327" s="141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 t="shared" ref="I328:S328" si="10">SUM(I303:I327)</f>
        <v>0</v>
      </c>
      <c r="J328" s="29">
        <f t="shared" si="10"/>
        <v>0</v>
      </c>
      <c r="K328" s="29">
        <f t="shared" si="10"/>
        <v>0</v>
      </c>
      <c r="L328" s="29">
        <f t="shared" si="10"/>
        <v>0</v>
      </c>
      <c r="M328" s="29">
        <f t="shared" si="10"/>
        <v>0</v>
      </c>
      <c r="N328" s="29">
        <f t="shared" si="10"/>
        <v>0</v>
      </c>
      <c r="O328" s="29">
        <f t="shared" si="10"/>
        <v>0</v>
      </c>
      <c r="P328" s="29">
        <f t="shared" si="10"/>
        <v>0</v>
      </c>
      <c r="Q328" s="29">
        <f t="shared" si="10"/>
        <v>0</v>
      </c>
      <c r="R328" s="29">
        <f t="shared" si="10"/>
        <v>0</v>
      </c>
      <c r="S328" s="29">
        <f t="shared" si="10"/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AYG089</v>
      </c>
      <c r="B331" s="24">
        <f>B151</f>
        <v>45565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1" t="s">
        <v>109</v>
      </c>
      <c r="Y332" s="132"/>
    </row>
    <row r="333" spans="1:28" ht="20.25" thickTop="1" thickBot="1" x14ac:dyDescent="0.45">
      <c r="A333" s="133">
        <v>12</v>
      </c>
      <c r="B333" s="139"/>
      <c r="C333" s="86"/>
      <c r="D333" s="109"/>
      <c r="E333" s="13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34"/>
      <c r="B334" s="140"/>
      <c r="C334" s="86"/>
      <c r="D334" s="109"/>
      <c r="E334" s="15"/>
      <c r="F334" s="16"/>
      <c r="G334" s="15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34"/>
      <c r="B335" s="140"/>
      <c r="C335" s="86"/>
      <c r="D335" s="109"/>
      <c r="E335" s="15"/>
      <c r="F335" s="16"/>
      <c r="G335" s="15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34"/>
      <c r="B336" s="140"/>
      <c r="C336" s="86"/>
      <c r="D336" s="109"/>
      <c r="E336" s="15"/>
      <c r="F336" s="16"/>
      <c r="G336" s="15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34"/>
      <c r="B337" s="140"/>
      <c r="C337" s="86"/>
      <c r="D337" s="109"/>
      <c r="E337" s="15"/>
      <c r="F337" s="16"/>
      <c r="G337" s="15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34"/>
      <c r="B338" s="140"/>
      <c r="C338" s="86"/>
      <c r="D338" s="109"/>
      <c r="E338" s="15"/>
      <c r="F338" s="16"/>
      <c r="G338" s="15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34"/>
      <c r="B339" s="140"/>
      <c r="C339" s="86"/>
      <c r="D339" s="109"/>
      <c r="E339" s="15"/>
      <c r="F339" s="16"/>
      <c r="G339" s="15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34"/>
      <c r="B340" s="140"/>
      <c r="C340" s="86"/>
      <c r="D340" s="109"/>
      <c r="E340" s="15"/>
      <c r="F340" s="16"/>
      <c r="G340" s="15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34"/>
      <c r="B341" s="140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34"/>
      <c r="B342" s="140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34"/>
      <c r="B343" s="140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34"/>
      <c r="B344" s="140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34"/>
      <c r="B345" s="140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34"/>
      <c r="B346" s="140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34"/>
      <c r="B347" s="140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34"/>
      <c r="B348" s="140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34"/>
      <c r="B349" s="140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34"/>
      <c r="B350" s="140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34"/>
      <c r="B351" s="140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34"/>
      <c r="B352" s="140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34"/>
      <c r="B353" s="140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34"/>
      <c r="B354" s="140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34"/>
      <c r="B355" s="140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34"/>
      <c r="B356" s="140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35"/>
      <c r="B357" s="141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11">SUM(J333:J357)</f>
        <v>0</v>
      </c>
      <c r="K358" s="29">
        <f t="shared" si="11"/>
        <v>0</v>
      </c>
      <c r="L358" s="29">
        <f t="shared" si="11"/>
        <v>0</v>
      </c>
      <c r="M358" s="29">
        <f t="shared" si="11"/>
        <v>0</v>
      </c>
      <c r="N358" s="29">
        <f t="shared" si="11"/>
        <v>0</v>
      </c>
      <c r="O358" s="29">
        <f t="shared" si="11"/>
        <v>0</v>
      </c>
      <c r="P358" s="29">
        <f t="shared" si="11"/>
        <v>0</v>
      </c>
      <c r="Q358" s="29">
        <f t="shared" si="11"/>
        <v>0</v>
      </c>
      <c r="R358" s="29">
        <f t="shared" si="11"/>
        <v>0</v>
      </c>
      <c r="S358" s="29">
        <f t="shared" si="11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174</v>
      </c>
      <c r="B361" s="24">
        <v>45372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1" t="s">
        <v>138</v>
      </c>
      <c r="Y362" s="132"/>
    </row>
    <row r="363" spans="1:28" ht="19.5" thickTop="1" x14ac:dyDescent="0.4">
      <c r="A363" s="133">
        <v>13</v>
      </c>
      <c r="B363" s="139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34"/>
      <c r="B364" s="140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34"/>
      <c r="B365" s="140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34"/>
      <c r="B366" s="140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34"/>
      <c r="B367" s="140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34"/>
      <c r="B368" s="140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34"/>
      <c r="B369" s="140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34"/>
      <c r="B370" s="140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34"/>
      <c r="B371" s="140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34"/>
      <c r="B372" s="140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34"/>
      <c r="B373" s="140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34"/>
      <c r="B374" s="140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34"/>
      <c r="B375" s="140"/>
      <c r="C375" s="86"/>
      <c r="D375" s="106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34"/>
      <c r="B376" s="140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34"/>
      <c r="B377" s="140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34"/>
      <c r="B378" s="140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34"/>
      <c r="B379" s="140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34"/>
      <c r="B380" s="140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34"/>
      <c r="B381" s="140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34"/>
      <c r="B382" s="140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34"/>
      <c r="B383" s="140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34"/>
      <c r="B384" s="140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34"/>
      <c r="B385" s="140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34"/>
      <c r="B386" s="140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35"/>
      <c r="B387" s="141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12">SUM(J363:J387)</f>
        <v>0</v>
      </c>
      <c r="K388" s="29">
        <f t="shared" si="12"/>
        <v>0</v>
      </c>
      <c r="L388" s="29">
        <f t="shared" si="12"/>
        <v>0</v>
      </c>
      <c r="M388" s="29">
        <f t="shared" si="12"/>
        <v>0</v>
      </c>
      <c r="N388" s="29">
        <f t="shared" si="12"/>
        <v>0</v>
      </c>
      <c r="O388" s="29">
        <f t="shared" si="12"/>
        <v>0</v>
      </c>
      <c r="P388" s="29">
        <f t="shared" si="12"/>
        <v>0</v>
      </c>
      <c r="Q388" s="29">
        <f t="shared" si="12"/>
        <v>0</v>
      </c>
      <c r="R388" s="29">
        <f t="shared" si="12"/>
        <v>0</v>
      </c>
      <c r="S388" s="29">
        <f t="shared" si="12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1" t="s">
        <v>139</v>
      </c>
      <c r="Y392" s="132"/>
    </row>
    <row r="393" spans="1:25" ht="19.5" thickTop="1" x14ac:dyDescent="0.4">
      <c r="A393" s="133">
        <v>14</v>
      </c>
      <c r="B393" s="139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34"/>
      <c r="B394" s="140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34"/>
      <c r="B395" s="140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34"/>
      <c r="B396" s="140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34"/>
      <c r="B397" s="140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34"/>
      <c r="B398" s="140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34"/>
      <c r="B399" s="140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34"/>
      <c r="B400" s="140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34"/>
      <c r="B401" s="140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34"/>
      <c r="B402" s="140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34"/>
      <c r="B403" s="140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34"/>
      <c r="B404" s="140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34"/>
      <c r="B405" s="140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34"/>
      <c r="B406" s="140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34"/>
      <c r="B407" s="140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34"/>
      <c r="B408" s="140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34"/>
      <c r="B409" s="140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34"/>
      <c r="B410" s="140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34"/>
      <c r="B411" s="140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34"/>
      <c r="B412" s="140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34"/>
      <c r="B413" s="140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34"/>
      <c r="B414" s="140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34"/>
      <c r="B415" s="140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34"/>
      <c r="B416" s="140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35"/>
      <c r="B417" s="141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13">SUM(J393:J417)</f>
        <v>0</v>
      </c>
      <c r="K418" s="29">
        <f t="shared" si="13"/>
        <v>0</v>
      </c>
      <c r="L418" s="29">
        <f t="shared" si="13"/>
        <v>0</v>
      </c>
      <c r="M418" s="29">
        <f t="shared" si="13"/>
        <v>0</v>
      </c>
      <c r="N418" s="29">
        <f t="shared" si="13"/>
        <v>0</v>
      </c>
      <c r="O418" s="29">
        <f t="shared" si="13"/>
        <v>0</v>
      </c>
      <c r="P418" s="29">
        <f t="shared" si="13"/>
        <v>0</v>
      </c>
      <c r="Q418" s="29">
        <f t="shared" si="13"/>
        <v>0</v>
      </c>
      <c r="R418" s="29">
        <f t="shared" si="13"/>
        <v>0</v>
      </c>
      <c r="S418" s="29">
        <f t="shared" si="13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1" t="s">
        <v>140</v>
      </c>
      <c r="Y422" s="132"/>
    </row>
    <row r="423" spans="1:25" ht="19.5" thickTop="1" x14ac:dyDescent="0.4">
      <c r="A423" s="133">
        <v>15</v>
      </c>
      <c r="B423" s="139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34"/>
      <c r="B424" s="140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34"/>
      <c r="B425" s="140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34"/>
      <c r="B426" s="140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34"/>
      <c r="B427" s="140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34"/>
      <c r="B428" s="140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34"/>
      <c r="B429" s="140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34"/>
      <c r="B430" s="140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34"/>
      <c r="B431" s="140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34"/>
      <c r="B432" s="140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34"/>
      <c r="B433" s="140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34"/>
      <c r="B434" s="140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34"/>
      <c r="B435" s="140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34"/>
      <c r="B436" s="140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34"/>
      <c r="B437" s="140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34"/>
      <c r="B438" s="140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34"/>
      <c r="B439" s="140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34"/>
      <c r="B440" s="140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34"/>
      <c r="B441" s="140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34"/>
      <c r="B442" s="140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34"/>
      <c r="B443" s="140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34"/>
      <c r="B444" s="140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34"/>
      <c r="B445" s="140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34"/>
      <c r="B446" s="140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35"/>
      <c r="B447" s="141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14">SUM(J423:J447)</f>
        <v>0</v>
      </c>
      <c r="K448" s="29">
        <f t="shared" si="14"/>
        <v>0</v>
      </c>
      <c r="L448" s="29">
        <f t="shared" si="14"/>
        <v>0</v>
      </c>
      <c r="M448" s="29">
        <f t="shared" si="14"/>
        <v>0</v>
      </c>
      <c r="N448" s="29">
        <f t="shared" si="14"/>
        <v>0</v>
      </c>
      <c r="O448" s="29">
        <f t="shared" si="14"/>
        <v>0</v>
      </c>
      <c r="P448" s="29">
        <f t="shared" si="14"/>
        <v>0</v>
      </c>
      <c r="Q448" s="29">
        <f t="shared" si="14"/>
        <v>0</v>
      </c>
      <c r="R448" s="29">
        <f t="shared" si="14"/>
        <v>0</v>
      </c>
      <c r="S448" s="29">
        <f t="shared" si="14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1" t="s">
        <v>105</v>
      </c>
      <c r="Y451" s="132"/>
    </row>
    <row r="452" spans="1:25" ht="19.5" thickTop="1" x14ac:dyDescent="0.4">
      <c r="A452" s="133">
        <v>16</v>
      </c>
      <c r="B452" s="136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34"/>
      <c r="B453" s="137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34"/>
      <c r="B454" s="137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34"/>
      <c r="B455" s="137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34"/>
      <c r="B456" s="137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34"/>
      <c r="B457" s="137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34"/>
      <c r="B458" s="137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34"/>
      <c r="B459" s="137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34"/>
      <c r="B460" s="137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34"/>
      <c r="B461" s="137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34"/>
      <c r="B462" s="137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34"/>
      <c r="B463" s="137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34"/>
      <c r="B464" s="137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34"/>
      <c r="B465" s="137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34"/>
      <c r="B466" s="137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34"/>
      <c r="B467" s="137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34"/>
      <c r="B468" s="137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34"/>
      <c r="B469" s="137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34"/>
      <c r="B470" s="137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34"/>
      <c r="B471" s="137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34"/>
      <c r="B472" s="137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34"/>
      <c r="B473" s="137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34"/>
      <c r="B474" s="137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34"/>
      <c r="B475" s="137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35"/>
      <c r="B476" s="138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15">SUM(I452:I476)</f>
        <v>0</v>
      </c>
      <c r="J477" s="29">
        <f t="shared" si="15"/>
        <v>0</v>
      </c>
      <c r="K477" s="29">
        <f t="shared" si="15"/>
        <v>0</v>
      </c>
      <c r="L477" s="29">
        <f t="shared" si="15"/>
        <v>0</v>
      </c>
      <c r="M477" s="29">
        <f t="shared" si="15"/>
        <v>0</v>
      </c>
      <c r="N477" s="29">
        <f t="shared" si="15"/>
        <v>0</v>
      </c>
      <c r="O477" s="29">
        <f t="shared" si="15"/>
        <v>0</v>
      </c>
      <c r="P477" s="29">
        <f t="shared" si="15"/>
        <v>0</v>
      </c>
      <c r="Q477" s="29">
        <f t="shared" si="15"/>
        <v>0</v>
      </c>
      <c r="R477" s="29">
        <f t="shared" si="15"/>
        <v>0</v>
      </c>
      <c r="S477" s="29">
        <f t="shared" si="15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</mergeCells>
  <phoneticPr fontId="1"/>
  <pageMargins left="3.937007874015748E-2" right="3.937007874015748E-2" top="0" bottom="0" header="0.31496062992125984" footer="0.31496062992125984"/>
  <pageSetup paperSize="9" scale="14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5" t="s">
        <v>47</v>
      </c>
      <c r="C26" s="155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56"/>
      <c r="C27" s="156"/>
      <c r="D27" s="157">
        <f>SUM(D26:F26)</f>
        <v>116</v>
      </c>
      <c r="E27" s="157"/>
      <c r="F27" s="157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6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AP964"/>
  <sheetViews>
    <sheetView topLeftCell="A7" zoomScaleNormal="100" workbookViewId="0">
      <selection sqref="A1:D32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15" width="16.625" customWidth="1"/>
    <col min="16" max="16" width="11" customWidth="1"/>
    <col min="17" max="17" width="10.5" style="121" customWidth="1"/>
    <col min="18" max="18" width="10.25" style="121" customWidth="1"/>
    <col min="19" max="19" width="10.875" style="121" customWidth="1"/>
    <col min="20" max="33" width="16.625" customWidth="1"/>
    <col min="34" max="34" width="20.5" customWidth="1"/>
    <col min="39" max="39" width="12.375" customWidth="1"/>
    <col min="40" max="40" width="11.25" customWidth="1"/>
    <col min="41" max="41" width="10.5" customWidth="1"/>
    <col min="42" max="42" width="10.25" customWidth="1"/>
  </cols>
  <sheetData>
    <row r="1" spans="1:38" x14ac:dyDescent="0.4">
      <c r="A1" s="120" t="s">
        <v>177</v>
      </c>
      <c r="B1" s="121"/>
      <c r="C1" s="121"/>
      <c r="D1" s="121"/>
      <c r="J1" t="s">
        <v>143</v>
      </c>
      <c r="K1" t="s">
        <v>144</v>
      </c>
      <c r="P1" s="120"/>
      <c r="AH1" t="s">
        <v>143</v>
      </c>
      <c r="AI1" t="s">
        <v>144</v>
      </c>
    </row>
    <row r="2" spans="1:38" ht="19.5" x14ac:dyDescent="0.4">
      <c r="A2" s="116"/>
      <c r="B2" s="123" t="s">
        <v>146</v>
      </c>
      <c r="C2" s="123" t="s">
        <v>147</v>
      </c>
      <c r="D2" s="123" t="s">
        <v>148</v>
      </c>
      <c r="J2" s="25">
        <v>45567</v>
      </c>
      <c r="K2" s="13" t="s">
        <v>182</v>
      </c>
      <c r="P2" s="116"/>
      <c r="Q2" s="123"/>
      <c r="R2" s="123"/>
      <c r="S2" s="123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25">
        <v>45258</v>
      </c>
      <c r="AI2" s="13" t="s">
        <v>162</v>
      </c>
      <c r="AL2" s="114"/>
    </row>
    <row r="3" spans="1:38" ht="19.5" x14ac:dyDescent="0.4">
      <c r="A3" s="117">
        <v>45567</v>
      </c>
      <c r="B3" s="123">
        <v>1</v>
      </c>
      <c r="C3" s="123"/>
      <c r="D3" s="123"/>
      <c r="I3" s="115" t="s">
        <v>336</v>
      </c>
      <c r="J3" s="13">
        <f>SUBTOTAL(3,J2:J2)</f>
        <v>1</v>
      </c>
      <c r="K3" s="13">
        <f>SUBTOTAL(3,K2:K2)</f>
        <v>1</v>
      </c>
      <c r="P3" s="116"/>
      <c r="Q3" s="123"/>
      <c r="R3" s="123"/>
      <c r="S3" s="123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25"/>
      <c r="AI3" s="13"/>
      <c r="AL3" s="114"/>
    </row>
    <row r="4" spans="1:38" ht="19.5" x14ac:dyDescent="0.4">
      <c r="A4" s="117">
        <v>45573</v>
      </c>
      <c r="B4" s="123"/>
      <c r="C4" s="123"/>
      <c r="D4" s="123">
        <v>1</v>
      </c>
      <c r="G4" s="115"/>
      <c r="H4" s="115"/>
      <c r="I4" s="115"/>
      <c r="J4" s="25">
        <v>45573</v>
      </c>
      <c r="K4" s="13" t="s">
        <v>206</v>
      </c>
      <c r="P4" s="116"/>
      <c r="Q4" s="123"/>
      <c r="R4" s="123"/>
      <c r="S4" s="123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25"/>
      <c r="AI4" s="13"/>
      <c r="AL4" s="114"/>
    </row>
    <row r="5" spans="1:38" ht="19.5" x14ac:dyDescent="0.4">
      <c r="A5" s="117">
        <v>45574</v>
      </c>
      <c r="B5" s="123"/>
      <c r="C5" s="123">
        <v>1</v>
      </c>
      <c r="D5" s="123"/>
      <c r="G5" s="115"/>
      <c r="H5" s="115"/>
      <c r="I5" s="115" t="s">
        <v>337</v>
      </c>
      <c r="J5" s="13">
        <f>SUBTOTAL(3,J4:J4)</f>
        <v>1</v>
      </c>
      <c r="K5" s="13">
        <f>SUBTOTAL(3,K4:K4)</f>
        <v>1</v>
      </c>
      <c r="P5" s="116"/>
      <c r="Q5" s="123"/>
      <c r="R5" s="123"/>
      <c r="S5" s="123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25"/>
      <c r="AI5" s="13"/>
      <c r="AL5" s="114"/>
    </row>
    <row r="6" spans="1:38" ht="19.5" x14ac:dyDescent="0.4">
      <c r="A6" s="117">
        <v>45578</v>
      </c>
      <c r="B6" s="123">
        <v>1</v>
      </c>
      <c r="C6" s="123"/>
      <c r="D6" s="123"/>
      <c r="J6" s="25">
        <v>45574</v>
      </c>
      <c r="K6" s="13" t="s">
        <v>183</v>
      </c>
      <c r="P6" s="116"/>
      <c r="Q6" s="123"/>
      <c r="R6" s="123"/>
      <c r="S6" s="123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25"/>
      <c r="AI6" s="13"/>
      <c r="AL6" s="114"/>
    </row>
    <row r="7" spans="1:38" ht="19.5" x14ac:dyDescent="0.4">
      <c r="A7" s="117">
        <v>45579</v>
      </c>
      <c r="B7" s="123"/>
      <c r="C7" s="123">
        <v>2</v>
      </c>
      <c r="D7" s="123"/>
      <c r="I7" s="115" t="s">
        <v>338</v>
      </c>
      <c r="J7" s="13">
        <f>SUBTOTAL(3,J6:J6)</f>
        <v>1</v>
      </c>
      <c r="K7" s="13">
        <f>SUBTOTAL(3,K6:K6)</f>
        <v>1</v>
      </c>
      <c r="P7" s="116"/>
      <c r="Q7" s="123"/>
      <c r="R7" s="123"/>
      <c r="S7" s="123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25"/>
      <c r="AI7" s="13"/>
      <c r="AL7" s="114"/>
    </row>
    <row r="8" spans="1:38" ht="19.5" x14ac:dyDescent="0.4">
      <c r="A8" s="117">
        <v>45580</v>
      </c>
      <c r="B8" s="123"/>
      <c r="C8" s="123">
        <v>1</v>
      </c>
      <c r="D8" s="123"/>
      <c r="F8" s="115"/>
      <c r="G8" s="115"/>
      <c r="H8" s="115"/>
      <c r="I8" s="115"/>
      <c r="J8" s="25">
        <v>45578</v>
      </c>
      <c r="K8" s="13" t="s">
        <v>182</v>
      </c>
      <c r="P8" s="116"/>
      <c r="Q8" s="123"/>
      <c r="R8" s="123"/>
      <c r="S8" s="123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25"/>
      <c r="AI8" s="13"/>
      <c r="AL8" s="114"/>
    </row>
    <row r="9" spans="1:38" ht="19.5" x14ac:dyDescent="0.4">
      <c r="A9" s="117">
        <v>45581</v>
      </c>
      <c r="B9" s="123">
        <v>2</v>
      </c>
      <c r="C9" s="123">
        <v>2</v>
      </c>
      <c r="D9" s="123">
        <v>1</v>
      </c>
      <c r="F9" s="115"/>
      <c r="G9" s="115"/>
      <c r="H9" s="115"/>
      <c r="I9" s="115" t="s">
        <v>339</v>
      </c>
      <c r="J9" s="13">
        <f>SUBTOTAL(3,J8:J8)</f>
        <v>1</v>
      </c>
      <c r="K9" s="13">
        <f>SUBTOTAL(3,K8:K8)</f>
        <v>1</v>
      </c>
      <c r="P9" s="116"/>
      <c r="Q9" s="123"/>
      <c r="R9" s="123"/>
      <c r="S9" s="123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25"/>
      <c r="AI9" s="13"/>
      <c r="AL9" s="114"/>
    </row>
    <row r="10" spans="1:38" ht="19.5" x14ac:dyDescent="0.4">
      <c r="A10" s="117">
        <v>45583</v>
      </c>
      <c r="B10" s="123">
        <v>1</v>
      </c>
      <c r="C10" s="123"/>
      <c r="D10" s="123"/>
      <c r="F10" s="115"/>
      <c r="G10" s="115"/>
      <c r="H10" s="115"/>
      <c r="I10" s="115"/>
      <c r="J10" s="25">
        <v>45579</v>
      </c>
      <c r="K10" s="13" t="s">
        <v>183</v>
      </c>
      <c r="P10" s="116"/>
      <c r="Q10" s="123"/>
      <c r="R10" s="123"/>
      <c r="S10" s="123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25"/>
      <c r="AI10" s="13"/>
      <c r="AL10" s="114"/>
    </row>
    <row r="11" spans="1:38" ht="19.5" x14ac:dyDescent="0.4">
      <c r="A11" s="117">
        <v>45584</v>
      </c>
      <c r="B11" s="123">
        <v>1</v>
      </c>
      <c r="C11" s="123">
        <v>2</v>
      </c>
      <c r="D11" s="123"/>
      <c r="F11" s="115"/>
      <c r="G11" s="115"/>
      <c r="H11" s="115"/>
      <c r="I11" s="115"/>
      <c r="J11" s="25">
        <v>45579</v>
      </c>
      <c r="K11" s="13" t="s">
        <v>183</v>
      </c>
      <c r="P11" s="116"/>
      <c r="Q11" s="123"/>
      <c r="R11" s="123"/>
      <c r="S11" s="123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25"/>
      <c r="AI11" s="13"/>
      <c r="AL11" s="114"/>
    </row>
    <row r="12" spans="1:38" ht="19.5" x14ac:dyDescent="0.4">
      <c r="A12" s="117">
        <v>45585</v>
      </c>
      <c r="B12" s="123">
        <v>4</v>
      </c>
      <c r="C12" s="123">
        <v>1</v>
      </c>
      <c r="D12" s="123">
        <v>2</v>
      </c>
      <c r="F12" s="115"/>
      <c r="G12" s="115"/>
      <c r="H12" s="115"/>
      <c r="I12" s="115" t="s">
        <v>340</v>
      </c>
      <c r="J12" s="13">
        <f>SUBTOTAL(3,J10:J11)</f>
        <v>2</v>
      </c>
      <c r="K12" s="13">
        <f>SUBTOTAL(3,K10:K11)</f>
        <v>2</v>
      </c>
      <c r="P12" s="116"/>
      <c r="Q12" s="123"/>
      <c r="R12" s="123"/>
      <c r="S12" s="123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25"/>
      <c r="AI12" s="13"/>
      <c r="AL12" s="114"/>
    </row>
    <row r="13" spans="1:38" ht="19.5" x14ac:dyDescent="0.4">
      <c r="A13" s="117">
        <v>45586</v>
      </c>
      <c r="B13" s="123">
        <v>2</v>
      </c>
      <c r="C13" s="123">
        <v>3</v>
      </c>
      <c r="D13" s="123"/>
      <c r="F13" s="115"/>
      <c r="G13" s="115"/>
      <c r="H13" s="115"/>
      <c r="I13" s="115"/>
      <c r="J13" s="25">
        <v>45580</v>
      </c>
      <c r="K13" s="13" t="s">
        <v>183</v>
      </c>
      <c r="P13" s="116"/>
      <c r="Q13" s="123"/>
      <c r="R13" s="123"/>
      <c r="S13" s="123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25"/>
      <c r="AI13" s="13"/>
      <c r="AL13" s="114"/>
    </row>
    <row r="14" spans="1:38" ht="19.5" x14ac:dyDescent="0.4">
      <c r="A14" s="117">
        <v>45587</v>
      </c>
      <c r="B14" s="123">
        <v>5</v>
      </c>
      <c r="C14" s="123">
        <v>1</v>
      </c>
      <c r="D14" s="123">
        <v>1</v>
      </c>
      <c r="F14" s="115"/>
      <c r="G14" s="115"/>
      <c r="H14" s="115"/>
      <c r="I14" s="115" t="s">
        <v>341</v>
      </c>
      <c r="J14" s="13">
        <f>SUBTOTAL(3,J13:J13)</f>
        <v>1</v>
      </c>
      <c r="K14" s="13">
        <f>SUBTOTAL(3,K13:K13)</f>
        <v>1</v>
      </c>
      <c r="P14" s="116"/>
      <c r="Q14" s="123"/>
      <c r="R14" s="123"/>
      <c r="S14" s="123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25"/>
      <c r="AI14" s="13"/>
      <c r="AL14" s="114"/>
    </row>
    <row r="15" spans="1:38" ht="19.5" x14ac:dyDescent="0.4">
      <c r="A15" s="117">
        <v>45588</v>
      </c>
      <c r="B15" s="123">
        <v>13</v>
      </c>
      <c r="C15" s="123">
        <v>5</v>
      </c>
      <c r="D15" s="123">
        <v>3</v>
      </c>
      <c r="J15" s="25">
        <v>45581</v>
      </c>
      <c r="K15" s="13" t="s">
        <v>183</v>
      </c>
      <c r="P15" s="117"/>
      <c r="Q15" s="123"/>
      <c r="R15" s="123"/>
      <c r="S15" s="123"/>
      <c r="X15" s="115"/>
      <c r="Y15" s="115"/>
      <c r="Z15" s="115"/>
      <c r="AA15" s="115"/>
      <c r="AB15" s="115"/>
      <c r="AC15" s="115"/>
      <c r="AD15" s="115"/>
      <c r="AE15" s="115"/>
      <c r="AF15" s="115"/>
      <c r="AG15" s="115" t="s">
        <v>149</v>
      </c>
      <c r="AH15" s="13">
        <f>SUBTOTAL(3,AH2:AH2)</f>
        <v>1</v>
      </c>
      <c r="AI15" s="13">
        <f>SUBTOTAL(3,AI2:AI2)</f>
        <v>1</v>
      </c>
      <c r="AL15" s="114"/>
    </row>
    <row r="16" spans="1:38" ht="19.5" x14ac:dyDescent="0.4">
      <c r="A16" s="117">
        <v>45591</v>
      </c>
      <c r="B16" s="123">
        <v>2</v>
      </c>
      <c r="C16" s="123">
        <v>1</v>
      </c>
      <c r="D16" s="123">
        <v>4</v>
      </c>
      <c r="G16" s="115"/>
      <c r="H16" s="115"/>
      <c r="I16" s="115"/>
      <c r="J16" s="25">
        <v>45581</v>
      </c>
      <c r="K16" s="13" t="s">
        <v>183</v>
      </c>
      <c r="P16" s="117"/>
      <c r="Q16" s="123"/>
      <c r="R16" s="123"/>
      <c r="S16" s="123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3"/>
      <c r="AI16" s="13"/>
      <c r="AL16" s="114"/>
    </row>
    <row r="17" spans="1:38" ht="19.5" x14ac:dyDescent="0.4">
      <c r="A17" s="117">
        <v>45592</v>
      </c>
      <c r="B17" s="123">
        <v>2</v>
      </c>
      <c r="C17" s="123">
        <v>2</v>
      </c>
      <c r="D17" s="123">
        <v>1</v>
      </c>
      <c r="J17" s="25">
        <v>45581</v>
      </c>
      <c r="K17" s="13" t="s">
        <v>182</v>
      </c>
      <c r="P17" s="117"/>
      <c r="Q17" s="123"/>
      <c r="R17" s="123"/>
      <c r="S17" s="123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3"/>
      <c r="AI17" s="13"/>
      <c r="AL17" s="114"/>
    </row>
    <row r="18" spans="1:38" ht="19.5" x14ac:dyDescent="0.4">
      <c r="A18" s="117">
        <v>45593</v>
      </c>
      <c r="B18" s="123">
        <v>18</v>
      </c>
      <c r="C18" s="123">
        <v>5</v>
      </c>
      <c r="D18" s="123"/>
      <c r="G18" s="115"/>
      <c r="H18" s="115"/>
      <c r="I18" s="115"/>
      <c r="J18" s="25">
        <v>45581</v>
      </c>
      <c r="K18" s="13" t="s">
        <v>206</v>
      </c>
      <c r="P18" s="117"/>
      <c r="Q18" s="123"/>
      <c r="R18" s="123"/>
      <c r="S18" s="123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3"/>
      <c r="AI18" s="13"/>
      <c r="AL18" s="114"/>
    </row>
    <row r="19" spans="1:38" ht="19.5" x14ac:dyDescent="0.4">
      <c r="A19" s="117">
        <v>45594</v>
      </c>
      <c r="B19" s="123">
        <v>6</v>
      </c>
      <c r="C19" s="123">
        <v>4</v>
      </c>
      <c r="D19" s="123">
        <v>1</v>
      </c>
      <c r="G19" s="115"/>
      <c r="H19" s="115"/>
      <c r="I19" s="115"/>
      <c r="J19" s="25">
        <v>45581</v>
      </c>
      <c r="K19" s="13" t="s">
        <v>182</v>
      </c>
      <c r="P19" s="117"/>
      <c r="Q19" s="123"/>
      <c r="R19" s="123"/>
      <c r="S19" s="123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3"/>
      <c r="AI19" s="13"/>
      <c r="AL19" s="114"/>
    </row>
    <row r="20" spans="1:38" ht="19.5" x14ac:dyDescent="0.4">
      <c r="A20" s="117">
        <v>45595</v>
      </c>
      <c r="B20" s="123"/>
      <c r="C20" s="123">
        <v>1</v>
      </c>
      <c r="D20" s="123"/>
      <c r="G20" s="115"/>
      <c r="H20" s="115"/>
      <c r="I20" s="115" t="s">
        <v>342</v>
      </c>
      <c r="J20" s="13">
        <f>SUBTOTAL(3,J15:J19)</f>
        <v>5</v>
      </c>
      <c r="K20" s="13">
        <f>SUBTOTAL(3,K15:K19)</f>
        <v>5</v>
      </c>
      <c r="P20" s="117"/>
      <c r="Q20" s="123"/>
      <c r="R20" s="123"/>
      <c r="S20" s="123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3"/>
      <c r="AI20" s="13"/>
      <c r="AL20" s="114"/>
    </row>
    <row r="21" spans="1:38" ht="19.5" x14ac:dyDescent="0.4">
      <c r="A21" s="117">
        <v>45598</v>
      </c>
      <c r="B21" s="123">
        <v>1</v>
      </c>
      <c r="C21" s="123"/>
      <c r="D21" s="123">
        <v>3</v>
      </c>
      <c r="F21" s="115"/>
      <c r="G21" s="115"/>
      <c r="H21" s="115"/>
      <c r="I21" s="115"/>
      <c r="J21" s="25">
        <v>45583</v>
      </c>
      <c r="K21" s="13" t="s">
        <v>142</v>
      </c>
      <c r="P21" s="117"/>
      <c r="Q21" s="123"/>
      <c r="R21" s="123"/>
      <c r="S21" s="123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3"/>
      <c r="AI21" s="13"/>
      <c r="AL21" s="114"/>
    </row>
    <row r="22" spans="1:38" ht="19.5" x14ac:dyDescent="0.4">
      <c r="A22" s="117">
        <v>45599</v>
      </c>
      <c r="B22" s="123"/>
      <c r="C22" s="123">
        <v>2</v>
      </c>
      <c r="D22" s="123"/>
      <c r="F22" s="115"/>
      <c r="G22" s="115"/>
      <c r="H22" s="115"/>
      <c r="I22" s="115" t="s">
        <v>343</v>
      </c>
      <c r="J22" s="13">
        <f>SUBTOTAL(3,J21:J21)</f>
        <v>1</v>
      </c>
      <c r="K22" s="13">
        <f>SUBTOTAL(3,K21:K21)</f>
        <v>1</v>
      </c>
      <c r="P22" s="117"/>
      <c r="Q22" s="123"/>
      <c r="R22" s="123"/>
      <c r="S22" s="123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3"/>
      <c r="AI22" s="13"/>
      <c r="AL22" s="114"/>
    </row>
    <row r="23" spans="1:38" ht="19.5" x14ac:dyDescent="0.4">
      <c r="A23" s="117">
        <v>45600</v>
      </c>
      <c r="B23" s="123"/>
      <c r="C23" s="123">
        <v>1</v>
      </c>
      <c r="D23" s="123"/>
      <c r="F23" s="115"/>
      <c r="G23" s="115"/>
      <c r="H23" s="115"/>
      <c r="I23" s="115"/>
      <c r="J23" s="25">
        <v>45584</v>
      </c>
      <c r="K23" s="13" t="s">
        <v>183</v>
      </c>
      <c r="P23" s="117"/>
      <c r="Q23" s="123"/>
      <c r="R23" s="123"/>
      <c r="S23" s="123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3"/>
      <c r="AI23" s="13"/>
      <c r="AL23" s="114"/>
    </row>
    <row r="24" spans="1:38" ht="19.5" x14ac:dyDescent="0.4">
      <c r="A24" s="117">
        <v>45601</v>
      </c>
      <c r="B24" s="123">
        <v>1</v>
      </c>
      <c r="C24" s="123"/>
      <c r="D24" s="123"/>
      <c r="F24" s="115"/>
      <c r="G24" s="115"/>
      <c r="H24" s="115"/>
      <c r="I24" s="115"/>
      <c r="J24" s="25">
        <v>45584</v>
      </c>
      <c r="K24" s="13" t="s">
        <v>182</v>
      </c>
      <c r="P24" s="117"/>
      <c r="Q24" s="123"/>
      <c r="R24" s="123"/>
      <c r="S24" s="123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3"/>
      <c r="AI24" s="13"/>
      <c r="AL24" s="114"/>
    </row>
    <row r="25" spans="1:38" ht="19.5" x14ac:dyDescent="0.4">
      <c r="A25" s="117">
        <v>45602</v>
      </c>
      <c r="B25" s="123"/>
      <c r="C25" s="123">
        <v>1</v>
      </c>
      <c r="D25" s="123"/>
      <c r="J25" s="25">
        <v>45584</v>
      </c>
      <c r="K25" s="13" t="s">
        <v>183</v>
      </c>
      <c r="P25" s="117"/>
      <c r="Q25" s="123"/>
      <c r="R25" s="123"/>
      <c r="S25" s="123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25">
        <v>45263</v>
      </c>
      <c r="AI25" s="13" t="s">
        <v>162</v>
      </c>
      <c r="AL25" s="114"/>
    </row>
    <row r="26" spans="1:38" ht="19.5" x14ac:dyDescent="0.4">
      <c r="A26" s="117">
        <v>45603</v>
      </c>
      <c r="B26" s="123">
        <v>1</v>
      </c>
      <c r="C26" s="123"/>
      <c r="D26" s="123"/>
      <c r="I26" s="115" t="s">
        <v>344</v>
      </c>
      <c r="J26" s="13">
        <f>SUBTOTAL(3,J23:J25)</f>
        <v>3</v>
      </c>
      <c r="K26" s="13">
        <f>SUBTOTAL(3,K23:K25)</f>
        <v>3</v>
      </c>
      <c r="P26" s="117"/>
      <c r="Q26" s="123"/>
      <c r="R26" s="123"/>
      <c r="S26" s="123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25"/>
      <c r="AI26" s="13"/>
      <c r="AL26" s="114"/>
    </row>
    <row r="27" spans="1:38" ht="19.5" x14ac:dyDescent="0.4">
      <c r="A27" s="117">
        <v>45604</v>
      </c>
      <c r="B27" s="123"/>
      <c r="C27" s="123">
        <v>2</v>
      </c>
      <c r="D27" s="123"/>
      <c r="G27" s="115"/>
      <c r="H27" s="115"/>
      <c r="I27" s="115"/>
      <c r="J27" s="25">
        <v>45585</v>
      </c>
      <c r="K27" s="13" t="s">
        <v>182</v>
      </c>
      <c r="P27" s="117"/>
      <c r="Q27" s="123"/>
      <c r="R27" s="123"/>
      <c r="S27" s="123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25"/>
      <c r="AI27" s="13"/>
      <c r="AL27" s="114"/>
    </row>
    <row r="28" spans="1:38" ht="19.5" x14ac:dyDescent="0.4">
      <c r="A28" s="117">
        <v>45606</v>
      </c>
      <c r="B28" s="123"/>
      <c r="C28" s="123">
        <v>1</v>
      </c>
      <c r="D28" s="123"/>
      <c r="J28" s="25">
        <v>45585</v>
      </c>
      <c r="K28" s="13" t="s">
        <v>182</v>
      </c>
      <c r="P28" s="117"/>
      <c r="Q28" s="123"/>
      <c r="R28" s="123"/>
      <c r="S28" s="123"/>
      <c r="X28" s="115"/>
      <c r="Y28" s="115"/>
      <c r="Z28" s="115"/>
      <c r="AA28" s="115"/>
      <c r="AB28" s="115"/>
      <c r="AC28" s="115"/>
      <c r="AD28" s="115"/>
      <c r="AE28" s="115"/>
      <c r="AF28" s="115"/>
      <c r="AG28" s="115" t="s">
        <v>150</v>
      </c>
      <c r="AH28" s="13">
        <f>SUBTOTAL(3,AH25:AH25)</f>
        <v>1</v>
      </c>
      <c r="AI28" s="13">
        <f>SUBTOTAL(3,AI25:AI25)</f>
        <v>1</v>
      </c>
      <c r="AL28" s="114"/>
    </row>
    <row r="29" spans="1:38" ht="19.5" x14ac:dyDescent="0.4">
      <c r="A29" s="117">
        <v>45609</v>
      </c>
      <c r="B29" s="123"/>
      <c r="C29" s="123">
        <v>1</v>
      </c>
      <c r="D29" s="123"/>
      <c r="G29" s="115"/>
      <c r="H29" s="115"/>
      <c r="I29" s="115"/>
      <c r="J29" s="25">
        <v>45585</v>
      </c>
      <c r="K29" s="13" t="s">
        <v>182</v>
      </c>
      <c r="P29" s="117"/>
      <c r="Q29" s="123"/>
      <c r="R29" s="123"/>
      <c r="S29" s="123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3"/>
      <c r="AI29" s="13"/>
      <c r="AL29" s="114"/>
    </row>
    <row r="30" spans="1:38" ht="19.5" x14ac:dyDescent="0.4">
      <c r="A30" s="117"/>
      <c r="B30" s="123">
        <f>SUM(B3:B29)</f>
        <v>61</v>
      </c>
      <c r="C30" s="123">
        <f>SUM(C3:C29)</f>
        <v>39</v>
      </c>
      <c r="D30" s="123">
        <f>SUM(D3:D29)</f>
        <v>17</v>
      </c>
      <c r="J30" s="25">
        <v>45585</v>
      </c>
      <c r="K30" s="13" t="s">
        <v>206</v>
      </c>
      <c r="P30" s="117"/>
      <c r="Q30" s="123"/>
      <c r="R30" s="123"/>
      <c r="S30" s="123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25">
        <v>45264</v>
      </c>
      <c r="AI30" s="13" t="s">
        <v>162</v>
      </c>
      <c r="AL30" s="114"/>
    </row>
    <row r="31" spans="1:38" ht="19.5" x14ac:dyDescent="0.4">
      <c r="A31" s="117"/>
      <c r="B31" s="123"/>
      <c r="C31" s="123"/>
      <c r="D31" s="123">
        <f>SUM(B30:D30)</f>
        <v>117</v>
      </c>
      <c r="J31" s="25">
        <v>45585</v>
      </c>
      <c r="K31" s="13" t="s">
        <v>183</v>
      </c>
      <c r="P31" s="117"/>
      <c r="Q31" s="123"/>
      <c r="R31" s="123"/>
      <c r="S31" s="123"/>
      <c r="X31" s="115"/>
      <c r="Y31" s="115"/>
      <c r="Z31" s="115"/>
      <c r="AA31" s="115"/>
      <c r="AB31" s="115"/>
      <c r="AC31" s="115"/>
      <c r="AD31" s="115"/>
      <c r="AE31" s="115"/>
      <c r="AF31" s="115"/>
      <c r="AG31" s="115" t="s">
        <v>154</v>
      </c>
      <c r="AH31" s="13">
        <f>SUBTOTAL(3,AH30:AH30)</f>
        <v>1</v>
      </c>
      <c r="AI31" s="13">
        <f>SUBTOTAL(3,AI30:AI30)</f>
        <v>1</v>
      </c>
      <c r="AL31" s="114"/>
    </row>
    <row r="32" spans="1:38" ht="19.5" x14ac:dyDescent="0.4">
      <c r="A32" s="117"/>
      <c r="B32" s="123"/>
      <c r="C32" s="123"/>
      <c r="D32" s="123"/>
      <c r="J32" s="25">
        <v>45585</v>
      </c>
      <c r="K32" s="13" t="s">
        <v>206</v>
      </c>
      <c r="P32" s="117"/>
      <c r="Q32" s="123"/>
      <c r="R32" s="123"/>
      <c r="S32" s="123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25">
        <v>45265</v>
      </c>
      <c r="AI32" s="13" t="s">
        <v>162</v>
      </c>
      <c r="AL32" s="114"/>
    </row>
    <row r="33" spans="1:38" ht="19.5" x14ac:dyDescent="0.4">
      <c r="A33" s="117"/>
      <c r="B33" s="123"/>
      <c r="C33" s="123"/>
      <c r="D33" s="123"/>
      <c r="J33" s="25">
        <v>45585</v>
      </c>
      <c r="K33" s="13" t="s">
        <v>182</v>
      </c>
      <c r="P33" s="117"/>
      <c r="Q33" s="123"/>
      <c r="R33" s="123"/>
      <c r="S33" s="123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25">
        <v>45265</v>
      </c>
      <c r="AI33" s="25" t="s">
        <v>162</v>
      </c>
      <c r="AL33" s="114"/>
    </row>
    <row r="34" spans="1:38" ht="19.5" x14ac:dyDescent="0.4">
      <c r="A34" s="117"/>
      <c r="B34" s="123"/>
      <c r="C34" s="123"/>
      <c r="D34" s="123"/>
      <c r="I34" s="115" t="s">
        <v>345</v>
      </c>
      <c r="J34" s="13">
        <f>SUBTOTAL(3,J27:J33)</f>
        <v>7</v>
      </c>
      <c r="K34" s="13">
        <f>SUBTOTAL(3,K27:K33)</f>
        <v>7</v>
      </c>
      <c r="P34" s="117"/>
      <c r="Q34" s="123"/>
      <c r="R34" s="123"/>
      <c r="S34" s="123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25"/>
      <c r="AI34" s="25"/>
      <c r="AL34" s="114"/>
    </row>
    <row r="35" spans="1:38" ht="19.5" x14ac:dyDescent="0.4">
      <c r="A35" s="117"/>
      <c r="B35" s="123"/>
      <c r="C35" s="123"/>
      <c r="D35" s="123"/>
      <c r="H35" s="115"/>
      <c r="I35" s="115"/>
      <c r="J35" s="25">
        <v>45586</v>
      </c>
      <c r="K35" s="13" t="s">
        <v>183</v>
      </c>
      <c r="P35" s="117"/>
      <c r="Q35" s="123"/>
      <c r="R35" s="123"/>
      <c r="S35" s="123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25"/>
      <c r="AI35" s="25"/>
      <c r="AL35" s="114"/>
    </row>
    <row r="36" spans="1:38" ht="19.5" x14ac:dyDescent="0.4">
      <c r="A36" s="117"/>
      <c r="B36" s="123"/>
      <c r="C36" s="123"/>
      <c r="D36" s="123"/>
      <c r="J36" s="25">
        <v>45586</v>
      </c>
      <c r="K36" s="13" t="s">
        <v>183</v>
      </c>
      <c r="P36" s="117"/>
      <c r="Q36" s="123"/>
      <c r="R36" s="123"/>
      <c r="S36" s="123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25">
        <v>45265</v>
      </c>
      <c r="AI36" s="13" t="s">
        <v>162</v>
      </c>
      <c r="AL36" s="114"/>
    </row>
    <row r="37" spans="1:38" ht="19.5" x14ac:dyDescent="0.4">
      <c r="A37" s="117"/>
      <c r="B37" s="123"/>
      <c r="C37" s="123"/>
      <c r="D37" s="123"/>
      <c r="J37" s="25">
        <v>45586</v>
      </c>
      <c r="K37" s="13" t="s">
        <v>183</v>
      </c>
      <c r="P37" s="117"/>
      <c r="Q37" s="123"/>
      <c r="R37" s="123"/>
      <c r="S37" s="123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25">
        <v>45265</v>
      </c>
      <c r="AI37" s="13" t="s">
        <v>162</v>
      </c>
      <c r="AL37" s="114"/>
    </row>
    <row r="38" spans="1:38" ht="19.5" x14ac:dyDescent="0.4">
      <c r="A38" s="117"/>
      <c r="B38" s="123"/>
      <c r="C38" s="123"/>
      <c r="D38" s="123"/>
      <c r="G38" s="115"/>
      <c r="H38" s="115"/>
      <c r="I38" s="115"/>
      <c r="J38" s="25">
        <v>45586</v>
      </c>
      <c r="K38" s="13" t="s">
        <v>182</v>
      </c>
      <c r="P38" s="117"/>
      <c r="Q38" s="123"/>
      <c r="R38" s="123"/>
      <c r="S38" s="123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25"/>
      <c r="AI38" s="13"/>
      <c r="AL38" s="114"/>
    </row>
    <row r="39" spans="1:38" ht="19.5" x14ac:dyDescent="0.4">
      <c r="A39" s="117"/>
      <c r="B39" s="123"/>
      <c r="C39" s="123"/>
      <c r="D39" s="123"/>
      <c r="J39" s="25">
        <v>45586</v>
      </c>
      <c r="K39" s="13" t="s">
        <v>182</v>
      </c>
      <c r="P39" s="117"/>
      <c r="Q39" s="123"/>
      <c r="R39" s="123"/>
      <c r="S39" s="123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25">
        <v>45265</v>
      </c>
      <c r="AI39" s="13" t="s">
        <v>163</v>
      </c>
      <c r="AL39" s="114"/>
    </row>
    <row r="40" spans="1:38" ht="19.5" x14ac:dyDescent="0.4">
      <c r="A40" s="117"/>
      <c r="B40" s="123"/>
      <c r="C40" s="123"/>
      <c r="D40" s="123"/>
      <c r="I40" s="115" t="s">
        <v>346</v>
      </c>
      <c r="J40" s="13">
        <f>SUBTOTAL(3,J35:J39)</f>
        <v>5</v>
      </c>
      <c r="K40" s="13">
        <f>SUBTOTAL(3,K35:K39)</f>
        <v>5</v>
      </c>
      <c r="P40" s="117"/>
      <c r="Q40" s="123"/>
      <c r="R40" s="123"/>
      <c r="S40" s="123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25"/>
      <c r="AI40" s="13"/>
      <c r="AL40" s="114"/>
    </row>
    <row r="41" spans="1:38" ht="19.5" x14ac:dyDescent="0.4">
      <c r="A41" s="117"/>
      <c r="B41" s="123"/>
      <c r="C41" s="123"/>
      <c r="D41" s="123"/>
      <c r="J41" s="25">
        <v>45587</v>
      </c>
      <c r="K41" s="13" t="s">
        <v>183</v>
      </c>
      <c r="P41" s="117"/>
      <c r="Q41" s="123"/>
      <c r="R41" s="123"/>
      <c r="S41" s="123"/>
      <c r="X41" s="115"/>
      <c r="Y41" s="115"/>
      <c r="Z41" s="115"/>
      <c r="AA41" s="115"/>
      <c r="AB41" s="115"/>
      <c r="AC41" s="115"/>
      <c r="AD41" s="115"/>
      <c r="AE41" s="115"/>
      <c r="AF41" s="115"/>
      <c r="AG41" s="115" t="s">
        <v>155</v>
      </c>
      <c r="AH41" s="13">
        <f>SUBTOTAL(3,AH32:AH39)</f>
        <v>5</v>
      </c>
      <c r="AI41" s="13">
        <f>SUBTOTAL(3,AI32:AI39)</f>
        <v>5</v>
      </c>
      <c r="AL41" s="114"/>
    </row>
    <row r="42" spans="1:38" ht="19.5" x14ac:dyDescent="0.4">
      <c r="A42" s="117"/>
      <c r="B42" s="123"/>
      <c r="C42" s="123"/>
      <c r="D42" s="123"/>
      <c r="G42" s="115"/>
      <c r="H42" s="115"/>
      <c r="I42" s="115"/>
      <c r="J42" s="25">
        <v>45587</v>
      </c>
      <c r="K42" s="13" t="s">
        <v>182</v>
      </c>
      <c r="P42" s="117"/>
      <c r="Q42" s="123"/>
      <c r="R42" s="123"/>
      <c r="S42" s="123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3"/>
      <c r="AI42" s="13"/>
      <c r="AL42" s="114"/>
    </row>
    <row r="43" spans="1:38" ht="19.5" x14ac:dyDescent="0.4">
      <c r="A43" s="117"/>
      <c r="B43" s="123"/>
      <c r="C43" s="123"/>
      <c r="D43" s="123"/>
      <c r="F43" s="115"/>
      <c r="G43" s="115"/>
      <c r="H43" s="115"/>
      <c r="I43" s="115"/>
      <c r="J43" s="25">
        <v>45587</v>
      </c>
      <c r="K43" s="13" t="s">
        <v>182</v>
      </c>
      <c r="P43" s="117"/>
      <c r="Q43" s="123"/>
      <c r="R43" s="123"/>
      <c r="S43" s="123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3"/>
      <c r="AI43" s="13"/>
      <c r="AL43" s="114"/>
    </row>
    <row r="44" spans="1:38" ht="19.5" x14ac:dyDescent="0.4">
      <c r="A44" s="117"/>
      <c r="B44" s="123"/>
      <c r="C44" s="123"/>
      <c r="D44" s="123"/>
      <c r="F44" s="115"/>
      <c r="G44" s="115"/>
      <c r="H44" s="115"/>
      <c r="I44" s="115"/>
      <c r="J44" s="25">
        <v>45587</v>
      </c>
      <c r="K44" s="13" t="s">
        <v>182</v>
      </c>
      <c r="P44" s="117"/>
      <c r="Q44" s="123"/>
      <c r="R44" s="123"/>
      <c r="S44" s="123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3"/>
      <c r="AI44" s="13"/>
      <c r="AL44" s="114"/>
    </row>
    <row r="45" spans="1:38" ht="19.5" x14ac:dyDescent="0.4">
      <c r="A45" s="117"/>
      <c r="B45" s="123"/>
      <c r="C45" s="123"/>
      <c r="D45" s="123"/>
      <c r="F45" s="115"/>
      <c r="G45" s="115"/>
      <c r="H45" s="115"/>
      <c r="I45" s="115"/>
      <c r="J45" s="25">
        <v>45587</v>
      </c>
      <c r="K45" s="13" t="s">
        <v>182</v>
      </c>
      <c r="P45" s="117"/>
      <c r="Q45" s="123"/>
      <c r="R45" s="123"/>
      <c r="S45" s="123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3"/>
      <c r="AI45" s="13"/>
      <c r="AL45" s="114"/>
    </row>
    <row r="46" spans="1:38" ht="19.5" x14ac:dyDescent="0.4">
      <c r="A46" s="117"/>
      <c r="B46" s="123"/>
      <c r="C46" s="123"/>
      <c r="D46" s="123"/>
      <c r="J46" s="25">
        <v>45587</v>
      </c>
      <c r="K46" s="13" t="s">
        <v>182</v>
      </c>
      <c r="P46" s="117"/>
      <c r="Q46" s="123"/>
      <c r="R46" s="123"/>
      <c r="S46" s="123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25">
        <v>45266</v>
      </c>
      <c r="AI46" s="25" t="s">
        <v>162</v>
      </c>
      <c r="AL46" s="114"/>
    </row>
    <row r="47" spans="1:38" ht="19.5" x14ac:dyDescent="0.4">
      <c r="A47" s="117"/>
      <c r="B47" s="123"/>
      <c r="C47" s="123"/>
      <c r="D47" s="123"/>
      <c r="J47" s="25">
        <v>45587</v>
      </c>
      <c r="K47" s="13" t="s">
        <v>206</v>
      </c>
      <c r="P47" s="117"/>
      <c r="Q47" s="123"/>
      <c r="R47" s="123"/>
      <c r="S47" s="123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 t="s">
        <v>156</v>
      </c>
      <c r="AH47" s="13">
        <f>SUBTOTAL(3,AH46:AH46)</f>
        <v>1</v>
      </c>
      <c r="AI47" s="13">
        <f>SUBTOTAL(3,AI46:AI46)</f>
        <v>1</v>
      </c>
      <c r="AL47" s="114"/>
    </row>
    <row r="48" spans="1:38" ht="19.5" x14ac:dyDescent="0.4">
      <c r="A48" s="117"/>
      <c r="B48" s="123"/>
      <c r="C48" s="123"/>
      <c r="D48" s="123"/>
      <c r="I48" s="115" t="s">
        <v>347</v>
      </c>
      <c r="J48" s="13">
        <f>SUBTOTAL(3,J41:J47)</f>
        <v>7</v>
      </c>
      <c r="K48" s="13">
        <f>SUBTOTAL(3,K41:K47)</f>
        <v>7</v>
      </c>
      <c r="P48" s="117"/>
      <c r="Q48" s="123"/>
      <c r="R48" s="123"/>
      <c r="S48" s="123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3"/>
      <c r="AI48" s="13"/>
      <c r="AL48" s="114"/>
    </row>
    <row r="49" spans="1:38" ht="19.5" x14ac:dyDescent="0.4">
      <c r="A49" s="117"/>
      <c r="B49" s="123"/>
      <c r="C49" s="123"/>
      <c r="D49" s="123"/>
      <c r="H49" s="115"/>
      <c r="I49" s="115"/>
      <c r="J49" s="25">
        <v>45588</v>
      </c>
      <c r="K49" s="15" t="s">
        <v>182</v>
      </c>
      <c r="P49" s="117"/>
      <c r="Q49" s="123"/>
      <c r="R49" s="123"/>
      <c r="S49" s="123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3"/>
      <c r="AI49" s="13"/>
      <c r="AL49" s="114"/>
    </row>
    <row r="50" spans="1:38" ht="19.5" x14ac:dyDescent="0.4">
      <c r="A50" s="117"/>
      <c r="B50" s="123"/>
      <c r="C50" s="123"/>
      <c r="D50" s="123"/>
      <c r="J50" s="25">
        <v>45588</v>
      </c>
      <c r="K50" s="15" t="s">
        <v>182</v>
      </c>
      <c r="P50" s="117"/>
      <c r="Q50" s="123"/>
      <c r="R50" s="123"/>
      <c r="S50" s="123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25">
        <v>45267</v>
      </c>
      <c r="AI50" s="13" t="s">
        <v>142</v>
      </c>
      <c r="AL50" s="114"/>
    </row>
    <row r="51" spans="1:38" ht="19.5" x14ac:dyDescent="0.4">
      <c r="A51" s="117"/>
      <c r="B51" s="123"/>
      <c r="C51" s="123"/>
      <c r="D51" s="123"/>
      <c r="J51" s="25">
        <v>45588</v>
      </c>
      <c r="K51" s="15" t="s">
        <v>183</v>
      </c>
      <c r="P51" s="117"/>
      <c r="Q51" s="123"/>
      <c r="R51" s="123"/>
      <c r="S51" s="123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 t="s">
        <v>157</v>
      </c>
      <c r="AH51" s="13">
        <f>SUBTOTAL(3,AH50:AH50)</f>
        <v>1</v>
      </c>
      <c r="AI51" s="13">
        <f>SUBTOTAL(3,AI50:AI50)</f>
        <v>1</v>
      </c>
      <c r="AL51" s="114"/>
    </row>
    <row r="52" spans="1:38" ht="19.5" x14ac:dyDescent="0.4">
      <c r="A52" s="117"/>
      <c r="B52" s="123"/>
      <c r="C52" s="123"/>
      <c r="D52" s="123"/>
      <c r="J52" s="25">
        <v>45588</v>
      </c>
      <c r="K52" s="15" t="s">
        <v>206</v>
      </c>
      <c r="P52" s="117"/>
      <c r="Q52" s="123"/>
      <c r="R52" s="123"/>
      <c r="S52" s="123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25">
        <v>45268</v>
      </c>
      <c r="AI52" s="13" t="s">
        <v>162</v>
      </c>
      <c r="AL52" s="114"/>
    </row>
    <row r="53" spans="1:38" ht="19.5" x14ac:dyDescent="0.4">
      <c r="A53" s="117"/>
      <c r="B53" s="123"/>
      <c r="C53" s="123"/>
      <c r="D53" s="123"/>
      <c r="J53" s="25">
        <v>45588</v>
      </c>
      <c r="K53" s="15" t="s">
        <v>183</v>
      </c>
      <c r="P53" s="117"/>
      <c r="Q53" s="123"/>
      <c r="R53" s="123"/>
      <c r="S53" s="123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25">
        <v>45268</v>
      </c>
      <c r="AI53" s="13" t="s">
        <v>162</v>
      </c>
      <c r="AL53" s="114"/>
    </row>
    <row r="54" spans="1:38" ht="19.5" x14ac:dyDescent="0.4">
      <c r="A54" s="117"/>
      <c r="B54" s="123"/>
      <c r="C54" s="123"/>
      <c r="D54" s="123"/>
      <c r="J54" s="25">
        <v>45588</v>
      </c>
      <c r="K54" s="15" t="s">
        <v>182</v>
      </c>
      <c r="P54" s="117"/>
      <c r="Q54" s="123"/>
      <c r="R54" s="123"/>
      <c r="S54" s="123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25">
        <v>45268</v>
      </c>
      <c r="AI54" s="13" t="s">
        <v>163</v>
      </c>
      <c r="AL54" s="114"/>
    </row>
    <row r="55" spans="1:38" ht="19.5" x14ac:dyDescent="0.4">
      <c r="A55" s="117"/>
      <c r="B55" s="123"/>
      <c r="C55" s="123"/>
      <c r="D55" s="123"/>
      <c r="J55" s="25">
        <v>45588</v>
      </c>
      <c r="K55" s="15" t="s">
        <v>182</v>
      </c>
      <c r="P55" s="117"/>
      <c r="Q55" s="123"/>
      <c r="R55" s="123"/>
      <c r="S55" s="123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25">
        <v>45268</v>
      </c>
      <c r="AI55" s="13" t="s">
        <v>163</v>
      </c>
      <c r="AL55" s="114"/>
    </row>
    <row r="56" spans="1:38" ht="19.5" x14ac:dyDescent="0.4">
      <c r="A56" s="117"/>
      <c r="B56" s="123"/>
      <c r="C56" s="123"/>
      <c r="D56" s="123"/>
      <c r="J56" s="25">
        <v>45588</v>
      </c>
      <c r="K56" s="15" t="s">
        <v>182</v>
      </c>
      <c r="P56" s="117"/>
      <c r="Q56" s="123"/>
      <c r="R56" s="123"/>
      <c r="S56" s="123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 t="s">
        <v>158</v>
      </c>
      <c r="AH56" s="13">
        <f>SUBTOTAL(3,AH52:AH55)</f>
        <v>4</v>
      </c>
      <c r="AI56" s="13">
        <f>SUBTOTAL(3,AI52:AI55)</f>
        <v>4</v>
      </c>
      <c r="AL56" s="114"/>
    </row>
    <row r="57" spans="1:38" ht="19.5" x14ac:dyDescent="0.4">
      <c r="A57" s="117"/>
      <c r="B57" s="123"/>
      <c r="C57" s="123"/>
      <c r="D57" s="123"/>
      <c r="J57" s="25">
        <v>45588</v>
      </c>
      <c r="K57" s="15" t="s">
        <v>182</v>
      </c>
      <c r="P57" s="117"/>
      <c r="Q57" s="123"/>
      <c r="R57" s="123"/>
      <c r="S57" s="123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25">
        <v>45269</v>
      </c>
      <c r="AI57" s="13" t="s">
        <v>163</v>
      </c>
      <c r="AL57" s="114"/>
    </row>
    <row r="58" spans="1:38" ht="19.5" x14ac:dyDescent="0.4">
      <c r="A58" s="117"/>
      <c r="B58" s="123"/>
      <c r="C58" s="123"/>
      <c r="D58" s="123"/>
      <c r="H58" s="115"/>
      <c r="I58" s="115"/>
      <c r="J58" s="25">
        <v>45588</v>
      </c>
      <c r="K58" s="15" t="s">
        <v>182</v>
      </c>
      <c r="P58" s="117"/>
      <c r="Q58" s="123"/>
      <c r="R58" s="123"/>
      <c r="S58" s="123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25"/>
      <c r="AI58" s="13"/>
      <c r="AL58" s="114"/>
    </row>
    <row r="59" spans="1:38" ht="19.5" x14ac:dyDescent="0.4">
      <c r="A59" s="117"/>
      <c r="B59" s="123"/>
      <c r="C59" s="123"/>
      <c r="D59" s="123"/>
      <c r="J59" s="25">
        <v>45588</v>
      </c>
      <c r="K59" s="15" t="s">
        <v>183</v>
      </c>
      <c r="P59" s="117"/>
      <c r="Q59" s="123"/>
      <c r="R59" s="123"/>
      <c r="S59" s="123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25">
        <v>45269</v>
      </c>
      <c r="AI59" s="13" t="s">
        <v>163</v>
      </c>
      <c r="AL59" s="114"/>
    </row>
    <row r="60" spans="1:38" ht="19.5" x14ac:dyDescent="0.4">
      <c r="A60" s="117"/>
      <c r="B60" s="123"/>
      <c r="C60" s="123"/>
      <c r="D60" s="123"/>
      <c r="J60" s="25">
        <v>45588</v>
      </c>
      <c r="K60" s="15" t="s">
        <v>206</v>
      </c>
      <c r="P60" s="117"/>
      <c r="Q60" s="123"/>
      <c r="R60" s="123"/>
      <c r="S60" s="123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 t="s">
        <v>159</v>
      </c>
      <c r="AH60" s="13">
        <f>SUBTOTAL(3,AH57:AH59)</f>
        <v>2</v>
      </c>
      <c r="AI60" s="13">
        <f>SUBTOTAL(3,AI57:AI59)</f>
        <v>2</v>
      </c>
      <c r="AL60" s="114"/>
    </row>
    <row r="61" spans="1:38" ht="19.5" x14ac:dyDescent="0.4">
      <c r="A61" s="117"/>
      <c r="B61" s="123"/>
      <c r="C61" s="123"/>
      <c r="D61" s="123"/>
      <c r="G61" s="115"/>
      <c r="H61" s="115"/>
      <c r="I61" s="115"/>
      <c r="J61" s="25">
        <v>45588</v>
      </c>
      <c r="K61" s="15" t="s">
        <v>183</v>
      </c>
      <c r="P61" s="117"/>
      <c r="Q61" s="123"/>
      <c r="R61" s="123"/>
      <c r="S61" s="123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5"/>
      <c r="AF61" s="115"/>
      <c r="AG61" s="115"/>
      <c r="AH61" s="13"/>
      <c r="AI61" s="13"/>
      <c r="AL61" s="114"/>
    </row>
    <row r="62" spans="1:38" ht="19.5" x14ac:dyDescent="0.4">
      <c r="A62" s="117"/>
      <c r="B62" s="123"/>
      <c r="C62" s="123"/>
      <c r="D62" s="123"/>
      <c r="F62" s="115"/>
      <c r="G62" s="115"/>
      <c r="H62" s="115"/>
      <c r="I62" s="115"/>
      <c r="J62" s="25">
        <v>45588</v>
      </c>
      <c r="K62" s="15" t="s">
        <v>206</v>
      </c>
      <c r="P62" s="117"/>
      <c r="Q62" s="123"/>
      <c r="R62" s="123"/>
      <c r="S62" s="123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  <c r="AG62" s="115"/>
      <c r="AH62" s="13"/>
      <c r="AI62" s="13"/>
      <c r="AL62" s="114"/>
    </row>
    <row r="63" spans="1:38" ht="19.5" x14ac:dyDescent="0.4">
      <c r="A63" s="117"/>
      <c r="B63" s="123"/>
      <c r="C63" s="123"/>
      <c r="D63" s="123"/>
      <c r="J63" s="25">
        <v>45588</v>
      </c>
      <c r="K63" s="15" t="s">
        <v>182</v>
      </c>
      <c r="P63" s="117"/>
      <c r="Q63" s="123"/>
      <c r="R63" s="123"/>
      <c r="S63" s="123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115"/>
      <c r="AG63" s="115"/>
      <c r="AH63" s="25">
        <v>45270</v>
      </c>
      <c r="AI63" s="13" t="s">
        <v>164</v>
      </c>
      <c r="AL63" s="114"/>
    </row>
    <row r="64" spans="1:38" ht="19.5" x14ac:dyDescent="0.4">
      <c r="A64" s="117"/>
      <c r="B64" s="123"/>
      <c r="C64" s="123"/>
      <c r="D64" s="123"/>
      <c r="J64" s="26">
        <v>45588</v>
      </c>
      <c r="K64" s="15" t="s">
        <v>182</v>
      </c>
      <c r="P64" s="117"/>
      <c r="Q64" s="123"/>
      <c r="R64" s="123"/>
      <c r="S64" s="123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  <c r="AF64" s="115"/>
      <c r="AG64" s="115"/>
      <c r="AH64" s="25"/>
      <c r="AI64" s="13"/>
      <c r="AL64" s="114"/>
    </row>
    <row r="65" spans="1:38" ht="19.5" x14ac:dyDescent="0.4">
      <c r="A65" s="117"/>
      <c r="B65" s="123"/>
      <c r="C65" s="123"/>
      <c r="D65" s="123"/>
      <c r="J65" s="25">
        <v>45588</v>
      </c>
      <c r="K65" s="13" t="s">
        <v>182</v>
      </c>
      <c r="P65" s="117"/>
      <c r="Q65" s="123"/>
      <c r="R65" s="123"/>
      <c r="S65" s="123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25">
        <v>45270</v>
      </c>
      <c r="AI65" s="13" t="s">
        <v>164</v>
      </c>
      <c r="AL65" s="114"/>
    </row>
    <row r="66" spans="1:38" ht="19.5" x14ac:dyDescent="0.4">
      <c r="A66" s="117"/>
      <c r="B66" s="123"/>
      <c r="C66" s="123"/>
      <c r="D66" s="123"/>
      <c r="F66" s="115"/>
      <c r="G66" s="115"/>
      <c r="H66" s="115"/>
      <c r="I66" s="115"/>
      <c r="J66" s="25">
        <v>45588</v>
      </c>
      <c r="K66" s="13" t="s">
        <v>183</v>
      </c>
      <c r="P66" s="117"/>
      <c r="Q66" s="123"/>
      <c r="R66" s="123"/>
      <c r="S66" s="123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115"/>
      <c r="AE66" s="115"/>
      <c r="AF66" s="115"/>
      <c r="AG66" s="115"/>
      <c r="AH66" s="25"/>
      <c r="AI66" s="13"/>
      <c r="AL66" s="114"/>
    </row>
    <row r="67" spans="1:38" ht="19.5" x14ac:dyDescent="0.4">
      <c r="A67" s="117"/>
      <c r="B67" s="123"/>
      <c r="C67" s="123"/>
      <c r="D67" s="123"/>
      <c r="J67" s="25">
        <v>45588</v>
      </c>
      <c r="K67" s="25" t="s">
        <v>182</v>
      </c>
      <c r="P67" s="117"/>
      <c r="Q67" s="123"/>
      <c r="R67" s="123"/>
      <c r="S67" s="123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  <c r="AF67" s="115"/>
      <c r="AG67" s="115"/>
      <c r="AH67" s="25">
        <v>45270</v>
      </c>
      <c r="AI67" s="13" t="s">
        <v>162</v>
      </c>
      <c r="AL67" s="114"/>
    </row>
    <row r="68" spans="1:38" ht="19.5" x14ac:dyDescent="0.4">
      <c r="A68" s="117"/>
      <c r="B68" s="123"/>
      <c r="C68" s="123"/>
      <c r="D68" s="123"/>
      <c r="J68" s="25">
        <v>45588</v>
      </c>
      <c r="K68" s="25" t="s">
        <v>182</v>
      </c>
      <c r="P68" s="117"/>
      <c r="Q68" s="123"/>
      <c r="R68" s="123"/>
      <c r="S68" s="123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  <c r="AG68" s="115"/>
      <c r="AH68" s="25">
        <v>45270</v>
      </c>
      <c r="AI68" s="13" t="s">
        <v>162</v>
      </c>
      <c r="AL68" s="114"/>
    </row>
    <row r="69" spans="1:38" ht="19.5" x14ac:dyDescent="0.4">
      <c r="A69" s="117"/>
      <c r="B69" s="123"/>
      <c r="C69" s="123"/>
      <c r="D69" s="123"/>
      <c r="G69" s="115"/>
      <c r="H69" s="115"/>
      <c r="I69" s="115"/>
      <c r="J69" s="25">
        <v>45588</v>
      </c>
      <c r="K69" s="25" t="s">
        <v>182</v>
      </c>
      <c r="P69" s="117"/>
      <c r="Q69" s="123"/>
      <c r="R69" s="123"/>
      <c r="S69" s="123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25"/>
      <c r="AI69" s="13"/>
      <c r="AL69" s="114"/>
    </row>
    <row r="70" spans="1:38" ht="19.5" x14ac:dyDescent="0.4">
      <c r="A70" s="117"/>
      <c r="B70" s="123"/>
      <c r="C70" s="123"/>
      <c r="D70" s="123"/>
      <c r="G70" s="115"/>
      <c r="H70" s="115"/>
      <c r="I70" s="115" t="s">
        <v>348</v>
      </c>
      <c r="J70" s="13">
        <f>SUBTOTAL(3,J49:J69)</f>
        <v>21</v>
      </c>
      <c r="K70" s="13">
        <f>SUBTOTAL(3,K49:K69)</f>
        <v>21</v>
      </c>
      <c r="P70" s="117"/>
      <c r="Q70" s="123"/>
      <c r="R70" s="123"/>
      <c r="S70" s="123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15"/>
      <c r="AE70" s="115"/>
      <c r="AF70" s="115"/>
      <c r="AG70" s="115"/>
      <c r="AH70" s="25"/>
      <c r="AI70" s="13"/>
      <c r="AL70" s="114"/>
    </row>
    <row r="71" spans="1:38" ht="19.5" x14ac:dyDescent="0.4">
      <c r="A71" s="117"/>
      <c r="B71" s="123"/>
      <c r="C71" s="123"/>
      <c r="D71" s="123"/>
      <c r="J71" s="25">
        <v>45591</v>
      </c>
      <c r="K71" s="13" t="s">
        <v>206</v>
      </c>
      <c r="P71" s="117"/>
      <c r="Q71" s="123"/>
      <c r="R71" s="123"/>
      <c r="S71" s="123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25"/>
      <c r="AI71" s="13"/>
      <c r="AL71" s="114"/>
    </row>
    <row r="72" spans="1:38" ht="19.5" x14ac:dyDescent="0.4">
      <c r="A72" s="117"/>
      <c r="B72" s="123"/>
      <c r="C72" s="123"/>
      <c r="D72" s="123"/>
      <c r="J72" s="25">
        <v>45591</v>
      </c>
      <c r="K72" s="13" t="s">
        <v>206</v>
      </c>
      <c r="P72" s="117"/>
      <c r="Q72" s="123"/>
      <c r="R72" s="123"/>
      <c r="S72" s="123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G72" s="115"/>
      <c r="AH72" s="25">
        <v>45270</v>
      </c>
      <c r="AI72" s="13" t="s">
        <v>163</v>
      </c>
      <c r="AL72" s="114"/>
    </row>
    <row r="73" spans="1:38" ht="19.5" x14ac:dyDescent="0.4">
      <c r="A73" s="117"/>
      <c r="B73" s="123"/>
      <c r="C73" s="123"/>
      <c r="D73" s="123"/>
      <c r="J73" s="25">
        <v>45591</v>
      </c>
      <c r="K73" s="13" t="s">
        <v>206</v>
      </c>
      <c r="P73" s="117"/>
      <c r="Q73" s="123"/>
      <c r="R73" s="123"/>
      <c r="S73" s="123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  <c r="AF73" s="115"/>
      <c r="AG73" s="115" t="s">
        <v>151</v>
      </c>
      <c r="AH73" s="13">
        <f>SUBTOTAL(3,AH63:AH72)</f>
        <v>5</v>
      </c>
      <c r="AI73" s="13">
        <f>SUBTOTAL(3,AI63:AI72)</f>
        <v>5</v>
      </c>
      <c r="AL73" s="114"/>
    </row>
    <row r="74" spans="1:38" ht="19.5" x14ac:dyDescent="0.4">
      <c r="A74" s="117"/>
      <c r="B74" s="123"/>
      <c r="C74" s="123"/>
      <c r="D74" s="123"/>
      <c r="J74" s="25">
        <v>45591</v>
      </c>
      <c r="K74" s="13" t="s">
        <v>182</v>
      </c>
      <c r="P74" s="117"/>
      <c r="Q74" s="123"/>
      <c r="R74" s="123"/>
      <c r="S74" s="123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  <c r="AG74" s="115"/>
      <c r="AH74" s="25">
        <v>45271</v>
      </c>
      <c r="AI74" s="13" t="s">
        <v>162</v>
      </c>
      <c r="AL74" s="114"/>
    </row>
    <row r="75" spans="1:38" ht="19.5" x14ac:dyDescent="0.4">
      <c r="A75" s="117"/>
      <c r="B75" s="123"/>
      <c r="C75" s="123"/>
      <c r="D75" s="123"/>
      <c r="J75" s="25">
        <v>45591</v>
      </c>
      <c r="K75" s="13" t="s">
        <v>182</v>
      </c>
      <c r="P75" s="117"/>
      <c r="Q75" s="123"/>
      <c r="R75" s="123"/>
      <c r="S75" s="123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15"/>
      <c r="AE75" s="115"/>
      <c r="AF75" s="115"/>
      <c r="AG75" s="115"/>
      <c r="AH75" s="25">
        <v>45271</v>
      </c>
      <c r="AI75" s="13" t="s">
        <v>163</v>
      </c>
      <c r="AL75" s="114"/>
    </row>
    <row r="76" spans="1:38" ht="19.5" x14ac:dyDescent="0.4">
      <c r="A76" s="117"/>
      <c r="B76" s="123"/>
      <c r="C76" s="123"/>
      <c r="D76" s="123"/>
      <c r="J76" s="25">
        <v>45591</v>
      </c>
      <c r="K76" s="13" t="s">
        <v>206</v>
      </c>
      <c r="P76" s="117"/>
      <c r="Q76" s="123"/>
      <c r="R76" s="123"/>
      <c r="S76" s="123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25">
        <v>45271</v>
      </c>
      <c r="AI76" s="13" t="s">
        <v>163</v>
      </c>
      <c r="AL76" s="114"/>
    </row>
    <row r="77" spans="1:38" ht="19.5" x14ac:dyDescent="0.4">
      <c r="A77" s="117"/>
      <c r="B77" s="123"/>
      <c r="C77" s="123"/>
      <c r="D77" s="123"/>
      <c r="J77" s="25">
        <v>45591</v>
      </c>
      <c r="K77" s="25" t="s">
        <v>183</v>
      </c>
      <c r="P77" s="117"/>
      <c r="Q77" s="123"/>
      <c r="R77" s="123"/>
      <c r="S77" s="123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15"/>
      <c r="AE77" s="115"/>
      <c r="AF77" s="115"/>
      <c r="AG77" s="115" t="s">
        <v>165</v>
      </c>
      <c r="AH77" s="13">
        <f>SUBTOTAL(3,AH74:AH76)</f>
        <v>3</v>
      </c>
      <c r="AI77" s="13">
        <f>SUBTOTAL(3,AI74:AI76)</f>
        <v>3</v>
      </c>
      <c r="AL77" s="114"/>
    </row>
    <row r="78" spans="1:38" ht="19.5" x14ac:dyDescent="0.4">
      <c r="A78" s="117"/>
      <c r="B78" s="123"/>
      <c r="C78" s="123"/>
      <c r="D78" s="123"/>
      <c r="I78" s="115" t="s">
        <v>349</v>
      </c>
      <c r="J78" s="13">
        <f>SUBTOTAL(3,J71:J77)</f>
        <v>7</v>
      </c>
      <c r="K78" s="13">
        <f>SUBTOTAL(3,K71:K77)</f>
        <v>7</v>
      </c>
      <c r="P78" s="117"/>
      <c r="Q78" s="123"/>
      <c r="R78" s="123"/>
      <c r="S78" s="123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115"/>
      <c r="AH78" s="13"/>
      <c r="AI78" s="13"/>
      <c r="AL78" s="114"/>
    </row>
    <row r="79" spans="1:38" ht="19.5" x14ac:dyDescent="0.4">
      <c r="A79" s="117"/>
      <c r="B79" s="123"/>
      <c r="C79" s="123"/>
      <c r="D79" s="123"/>
      <c r="J79" s="25">
        <v>45592</v>
      </c>
      <c r="K79" s="13" t="s">
        <v>182</v>
      </c>
      <c r="P79" s="117"/>
      <c r="Q79" s="123"/>
      <c r="R79" s="123"/>
      <c r="S79" s="123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15"/>
      <c r="AE79" s="115"/>
      <c r="AF79" s="115"/>
      <c r="AG79" s="115"/>
      <c r="AH79" s="25">
        <v>45272</v>
      </c>
      <c r="AI79" s="13" t="s">
        <v>162</v>
      </c>
      <c r="AL79" s="114"/>
    </row>
    <row r="80" spans="1:38" ht="19.5" x14ac:dyDescent="0.4">
      <c r="A80" s="117"/>
      <c r="B80" s="123"/>
      <c r="C80" s="123"/>
      <c r="D80" s="123"/>
      <c r="J80" s="25">
        <v>45592</v>
      </c>
      <c r="K80" s="13" t="s">
        <v>206</v>
      </c>
      <c r="P80" s="117"/>
      <c r="Q80" s="123"/>
      <c r="R80" s="123"/>
      <c r="S80" s="123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  <c r="AG80" s="115"/>
      <c r="AH80" s="25">
        <v>45272</v>
      </c>
      <c r="AI80" s="13" t="s">
        <v>162</v>
      </c>
      <c r="AL80" s="114"/>
    </row>
    <row r="81" spans="1:38" ht="19.5" x14ac:dyDescent="0.4">
      <c r="A81" s="117"/>
      <c r="B81" s="123"/>
      <c r="C81" s="123"/>
      <c r="D81" s="123"/>
      <c r="J81" s="25">
        <v>45592</v>
      </c>
      <c r="K81" s="13" t="s">
        <v>183</v>
      </c>
      <c r="P81" s="117"/>
      <c r="Q81" s="123"/>
      <c r="R81" s="123"/>
      <c r="S81" s="123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15"/>
      <c r="AE81" s="115"/>
      <c r="AF81" s="115"/>
      <c r="AG81" s="115"/>
      <c r="AH81" s="25">
        <v>45272</v>
      </c>
      <c r="AI81" s="13" t="s">
        <v>162</v>
      </c>
      <c r="AL81" s="114"/>
    </row>
    <row r="82" spans="1:38" ht="19.5" x14ac:dyDescent="0.4">
      <c r="A82" s="125"/>
      <c r="B82" s="126"/>
      <c r="C82" s="126"/>
      <c r="D82" s="126"/>
      <c r="F82" s="115"/>
      <c r="G82" s="115"/>
      <c r="H82" s="115"/>
      <c r="I82" s="115"/>
      <c r="J82" s="25">
        <v>45592</v>
      </c>
      <c r="K82" s="13" t="s">
        <v>182</v>
      </c>
      <c r="P82" s="117"/>
      <c r="Q82" s="123"/>
      <c r="R82" s="123"/>
      <c r="S82" s="123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25"/>
      <c r="AI82" s="13"/>
      <c r="AL82" s="114"/>
    </row>
    <row r="83" spans="1:38" ht="19.5" x14ac:dyDescent="0.4">
      <c r="A83" s="125"/>
      <c r="B83" s="126"/>
      <c r="C83" s="126"/>
      <c r="D83" s="126"/>
      <c r="F83" s="115"/>
      <c r="G83" s="115"/>
      <c r="H83" s="115"/>
      <c r="I83" s="115"/>
      <c r="J83" s="25">
        <v>45592</v>
      </c>
      <c r="K83" s="13" t="s">
        <v>183</v>
      </c>
      <c r="P83" s="117"/>
      <c r="Q83" s="123"/>
      <c r="R83" s="123"/>
      <c r="S83" s="123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25"/>
      <c r="AI83" s="13"/>
      <c r="AL83" s="114"/>
    </row>
    <row r="84" spans="1:38" ht="19.5" x14ac:dyDescent="0.4">
      <c r="A84" s="125"/>
      <c r="B84" s="126"/>
      <c r="C84" s="126"/>
      <c r="D84" s="126"/>
      <c r="F84" s="115"/>
      <c r="G84" s="115"/>
      <c r="H84" s="115"/>
      <c r="I84" s="115" t="s">
        <v>350</v>
      </c>
      <c r="J84" s="13">
        <f>SUBTOTAL(3,J79:J83)</f>
        <v>5</v>
      </c>
      <c r="K84" s="13">
        <f>SUBTOTAL(3,K79:K83)</f>
        <v>5</v>
      </c>
      <c r="P84" s="117"/>
      <c r="Q84" s="123"/>
      <c r="R84" s="123"/>
      <c r="S84" s="123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  <c r="AG84" s="115"/>
      <c r="AH84" s="25"/>
      <c r="AI84" s="13"/>
      <c r="AL84" s="114"/>
    </row>
    <row r="85" spans="1:38" ht="19.5" x14ac:dyDescent="0.4">
      <c r="J85" s="25">
        <v>45593</v>
      </c>
      <c r="K85" s="15" t="s">
        <v>183</v>
      </c>
      <c r="P85" s="117"/>
      <c r="Q85" s="123"/>
      <c r="R85" s="123"/>
      <c r="S85" s="123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115"/>
      <c r="AG85" s="115"/>
      <c r="AH85" s="25">
        <v>45272</v>
      </c>
      <c r="AI85" s="13" t="s">
        <v>162</v>
      </c>
      <c r="AL85" s="114"/>
    </row>
    <row r="86" spans="1:38" ht="19.5" x14ac:dyDescent="0.4">
      <c r="J86" s="25">
        <v>45593</v>
      </c>
      <c r="K86" s="15" t="s">
        <v>182</v>
      </c>
      <c r="P86" s="117"/>
      <c r="Q86" s="123"/>
      <c r="R86" s="123"/>
      <c r="S86" s="123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25"/>
      <c r="AI86" s="13"/>
      <c r="AL86" s="114"/>
    </row>
    <row r="87" spans="1:38" ht="19.5" x14ac:dyDescent="0.4">
      <c r="H87" s="115"/>
      <c r="I87" s="115"/>
      <c r="J87" s="25">
        <v>45593</v>
      </c>
      <c r="K87" s="15" t="s">
        <v>183</v>
      </c>
      <c r="P87" s="117"/>
      <c r="Q87" s="123"/>
      <c r="R87" s="123"/>
      <c r="S87" s="123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25"/>
      <c r="AI87" s="13"/>
      <c r="AL87" s="114"/>
    </row>
    <row r="88" spans="1:38" ht="19.5" x14ac:dyDescent="0.4">
      <c r="J88" s="25">
        <v>45593</v>
      </c>
      <c r="K88" s="15" t="s">
        <v>182</v>
      </c>
      <c r="P88" s="117"/>
      <c r="Q88" s="123"/>
      <c r="R88" s="123"/>
      <c r="S88" s="123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115"/>
      <c r="AH88" s="25">
        <v>45272</v>
      </c>
      <c r="AI88" s="13" t="s">
        <v>162</v>
      </c>
      <c r="AL88" s="114"/>
    </row>
    <row r="89" spans="1:38" ht="19.5" x14ac:dyDescent="0.4">
      <c r="J89" s="25">
        <v>45593</v>
      </c>
      <c r="K89" s="15" t="s">
        <v>183</v>
      </c>
      <c r="P89" s="117"/>
      <c r="Q89" s="123"/>
      <c r="R89" s="123"/>
      <c r="S89" s="123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25">
        <v>45272</v>
      </c>
      <c r="AI89" s="15" t="s">
        <v>162</v>
      </c>
      <c r="AL89" s="114"/>
    </row>
    <row r="90" spans="1:38" ht="19.5" x14ac:dyDescent="0.4">
      <c r="J90" s="25">
        <v>45593</v>
      </c>
      <c r="K90" s="105" t="s">
        <v>183</v>
      </c>
      <c r="P90" s="117"/>
      <c r="Q90" s="123"/>
      <c r="R90" s="123"/>
      <c r="S90" s="123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15"/>
      <c r="AE90" s="115"/>
      <c r="AF90" s="115"/>
      <c r="AG90" s="115"/>
      <c r="AH90" s="25">
        <v>45272</v>
      </c>
      <c r="AI90" s="15" t="s">
        <v>162</v>
      </c>
      <c r="AL90" s="114"/>
    </row>
    <row r="91" spans="1:38" ht="19.5" x14ac:dyDescent="0.4">
      <c r="H91" s="115"/>
      <c r="I91" s="115"/>
      <c r="J91" s="25">
        <v>45593</v>
      </c>
      <c r="K91" s="15" t="s">
        <v>183</v>
      </c>
      <c r="P91" s="117"/>
      <c r="Q91" s="123"/>
      <c r="R91" s="123"/>
      <c r="S91" s="123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  <c r="AG91" s="115"/>
      <c r="AH91" s="25"/>
      <c r="AI91" s="15"/>
      <c r="AL91" s="114"/>
    </row>
    <row r="92" spans="1:38" ht="19.5" x14ac:dyDescent="0.4">
      <c r="J92" s="25">
        <v>45593</v>
      </c>
      <c r="K92" s="15" t="s">
        <v>182</v>
      </c>
      <c r="P92" s="117"/>
      <c r="Q92" s="123"/>
      <c r="R92" s="123"/>
      <c r="S92" s="123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25">
        <v>45272</v>
      </c>
      <c r="AI92" s="15" t="s">
        <v>162</v>
      </c>
      <c r="AL92" s="114"/>
    </row>
    <row r="93" spans="1:38" ht="19.5" x14ac:dyDescent="0.4">
      <c r="F93" s="115"/>
      <c r="G93" s="115"/>
      <c r="H93" s="115"/>
      <c r="I93" s="115"/>
      <c r="J93" s="25">
        <v>45593</v>
      </c>
      <c r="K93" s="15" t="s">
        <v>182</v>
      </c>
      <c r="P93" s="117"/>
      <c r="Q93" s="123"/>
      <c r="R93" s="123"/>
      <c r="S93" s="123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  <c r="AH93" s="25"/>
      <c r="AI93" s="15"/>
      <c r="AL93" s="114"/>
    </row>
    <row r="94" spans="1:38" ht="19.5" x14ac:dyDescent="0.4">
      <c r="F94" s="115"/>
      <c r="G94" s="115"/>
      <c r="H94" s="115"/>
      <c r="I94" s="115"/>
      <c r="J94" s="25">
        <v>45593</v>
      </c>
      <c r="K94" s="15" t="s">
        <v>182</v>
      </c>
      <c r="P94" s="117"/>
      <c r="Q94" s="123"/>
      <c r="R94" s="123"/>
      <c r="S94" s="123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25"/>
      <c r="AI94" s="15"/>
      <c r="AL94" s="114"/>
    </row>
    <row r="95" spans="1:38" ht="19.5" x14ac:dyDescent="0.4">
      <c r="F95" s="115"/>
      <c r="G95" s="115"/>
      <c r="H95" s="115"/>
      <c r="I95" s="115"/>
      <c r="J95" s="25">
        <v>45593</v>
      </c>
      <c r="K95" s="15" t="s">
        <v>182</v>
      </c>
      <c r="P95" s="117"/>
      <c r="Q95" s="123"/>
      <c r="R95" s="123"/>
      <c r="S95" s="123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25"/>
      <c r="AI95" s="15"/>
      <c r="AL95" s="114"/>
    </row>
    <row r="96" spans="1:38" ht="19.5" x14ac:dyDescent="0.4">
      <c r="J96" s="25">
        <v>45593</v>
      </c>
      <c r="K96" s="15" t="s">
        <v>182</v>
      </c>
      <c r="P96" s="117"/>
      <c r="Q96" s="123"/>
      <c r="R96" s="123"/>
      <c r="S96" s="123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15"/>
      <c r="AE96" s="115"/>
      <c r="AF96" s="115"/>
      <c r="AG96" s="115"/>
      <c r="AH96" s="25">
        <v>45272</v>
      </c>
      <c r="AI96" s="15" t="s">
        <v>162</v>
      </c>
      <c r="AL96" s="114"/>
    </row>
    <row r="97" spans="6:38" ht="19.5" x14ac:dyDescent="0.4">
      <c r="F97" s="115"/>
      <c r="G97" s="115"/>
      <c r="H97" s="115"/>
      <c r="I97" s="115"/>
      <c r="J97" s="25">
        <v>45593</v>
      </c>
      <c r="K97" s="15" t="s">
        <v>182</v>
      </c>
      <c r="P97" s="117"/>
      <c r="Q97" s="123"/>
      <c r="R97" s="123"/>
      <c r="S97" s="123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25"/>
      <c r="AI97" s="15"/>
      <c r="AL97" s="114"/>
    </row>
    <row r="98" spans="6:38" ht="19.5" x14ac:dyDescent="0.4">
      <c r="F98" s="115"/>
      <c r="G98" s="115"/>
      <c r="H98" s="115"/>
      <c r="I98" s="115"/>
      <c r="J98" s="25">
        <v>45593</v>
      </c>
      <c r="K98" s="13" t="s">
        <v>182</v>
      </c>
      <c r="P98" s="117"/>
      <c r="Q98" s="123"/>
      <c r="R98" s="123"/>
      <c r="S98" s="123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25"/>
      <c r="AI98" s="15"/>
      <c r="AL98" s="114"/>
    </row>
    <row r="99" spans="6:38" ht="19.5" x14ac:dyDescent="0.4">
      <c r="J99" s="25">
        <v>45593</v>
      </c>
      <c r="K99" s="15" t="s">
        <v>182</v>
      </c>
      <c r="P99" s="117"/>
      <c r="Q99" s="123"/>
      <c r="R99" s="123"/>
      <c r="S99" s="123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115"/>
      <c r="AE99" s="115"/>
      <c r="AF99" s="115"/>
      <c r="AG99" s="115"/>
      <c r="AH99" s="25">
        <v>45272</v>
      </c>
      <c r="AI99" s="15" t="s">
        <v>162</v>
      </c>
      <c r="AL99" s="114"/>
    </row>
    <row r="100" spans="6:38" ht="19.5" x14ac:dyDescent="0.4">
      <c r="H100" s="115"/>
      <c r="I100" s="115"/>
      <c r="J100" s="25">
        <v>45593</v>
      </c>
      <c r="K100" s="15" t="s">
        <v>182</v>
      </c>
      <c r="P100" s="117"/>
      <c r="Q100" s="123"/>
      <c r="R100" s="123"/>
      <c r="S100" s="123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  <c r="AF100" s="115"/>
      <c r="AG100" s="115"/>
      <c r="AH100" s="25"/>
      <c r="AI100" s="15"/>
      <c r="AL100" s="114"/>
    </row>
    <row r="101" spans="6:38" ht="19.5" x14ac:dyDescent="0.4">
      <c r="F101" s="115"/>
      <c r="G101" s="115"/>
      <c r="H101" s="115"/>
      <c r="I101" s="115"/>
      <c r="J101" s="25">
        <v>45593</v>
      </c>
      <c r="K101" s="15" t="s">
        <v>182</v>
      </c>
      <c r="P101" s="117"/>
      <c r="Q101" s="123"/>
      <c r="R101" s="123"/>
      <c r="S101" s="123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5"/>
      <c r="AF101" s="115"/>
      <c r="AG101" s="115"/>
      <c r="AH101" s="25"/>
      <c r="AI101" s="15"/>
      <c r="AL101" s="114"/>
    </row>
    <row r="102" spans="6:38" ht="19.5" x14ac:dyDescent="0.4">
      <c r="F102" s="115"/>
      <c r="G102" s="115"/>
      <c r="H102" s="115"/>
      <c r="I102" s="115"/>
      <c r="J102" s="25">
        <v>45593</v>
      </c>
      <c r="K102" s="15" t="s">
        <v>182</v>
      </c>
      <c r="P102" s="117"/>
      <c r="Q102" s="123"/>
      <c r="R102" s="123"/>
      <c r="S102" s="123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15"/>
      <c r="AF102" s="115"/>
      <c r="AG102" s="115"/>
      <c r="AH102" s="25"/>
      <c r="AI102" s="15"/>
      <c r="AL102" s="114"/>
    </row>
    <row r="103" spans="6:38" ht="19.5" x14ac:dyDescent="0.4">
      <c r="J103" s="25">
        <v>45593</v>
      </c>
      <c r="K103" s="13" t="s">
        <v>182</v>
      </c>
      <c r="P103" s="117"/>
      <c r="Q103" s="123"/>
      <c r="R103" s="123"/>
      <c r="S103" s="123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5"/>
      <c r="AF103" s="115"/>
      <c r="AG103" s="115"/>
      <c r="AH103" s="25">
        <v>45272</v>
      </c>
      <c r="AI103" s="15" t="s">
        <v>162</v>
      </c>
      <c r="AL103" s="114"/>
    </row>
    <row r="104" spans="6:38" ht="19.5" x14ac:dyDescent="0.4">
      <c r="J104" s="25">
        <v>45593</v>
      </c>
      <c r="K104" s="13" t="s">
        <v>182</v>
      </c>
      <c r="P104" s="117"/>
      <c r="Q104" s="123"/>
      <c r="R104" s="123"/>
      <c r="S104" s="123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15"/>
      <c r="AF104" s="115"/>
      <c r="AG104" s="115"/>
      <c r="AH104" s="25"/>
      <c r="AI104" s="15"/>
      <c r="AL104" s="114"/>
    </row>
    <row r="105" spans="6:38" ht="19.5" x14ac:dyDescent="0.4">
      <c r="G105" s="115"/>
      <c r="H105" s="115"/>
      <c r="I105" s="115"/>
      <c r="J105" s="25">
        <v>45593</v>
      </c>
      <c r="K105" s="13" t="s">
        <v>182</v>
      </c>
      <c r="P105" s="117"/>
      <c r="Q105" s="123"/>
      <c r="R105" s="123"/>
      <c r="S105" s="123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115"/>
      <c r="AG105" s="115"/>
      <c r="AH105" s="25"/>
      <c r="AI105" s="15"/>
      <c r="AL105" s="114"/>
    </row>
    <row r="106" spans="6:38" ht="19.5" x14ac:dyDescent="0.4">
      <c r="J106" s="25">
        <v>45593</v>
      </c>
      <c r="K106" s="13" t="s">
        <v>182</v>
      </c>
      <c r="P106" s="117"/>
      <c r="Q106" s="123"/>
      <c r="R106" s="123"/>
      <c r="S106" s="123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15"/>
      <c r="AF106" s="115"/>
      <c r="AG106" s="115"/>
      <c r="AH106" s="25">
        <v>45272</v>
      </c>
      <c r="AI106" s="15" t="s">
        <v>162</v>
      </c>
      <c r="AL106" s="114"/>
    </row>
    <row r="107" spans="6:38" ht="19.5" x14ac:dyDescent="0.4">
      <c r="J107" s="25">
        <v>45593</v>
      </c>
      <c r="K107" s="13" t="s">
        <v>182</v>
      </c>
      <c r="P107" s="117"/>
      <c r="Q107" s="123"/>
      <c r="R107" s="123"/>
      <c r="S107" s="123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15"/>
      <c r="AF107" s="115"/>
      <c r="AG107" s="115"/>
      <c r="AH107" s="25"/>
      <c r="AI107" s="15"/>
      <c r="AL107" s="114"/>
    </row>
    <row r="108" spans="6:38" ht="19.5" x14ac:dyDescent="0.4">
      <c r="I108" s="115" t="s">
        <v>351</v>
      </c>
      <c r="J108" s="13">
        <f>SUBTOTAL(3,J85:J107)</f>
        <v>23</v>
      </c>
      <c r="K108" s="13">
        <f>SUBTOTAL(3,K85:K107)</f>
        <v>23</v>
      </c>
      <c r="P108" s="117"/>
      <c r="Q108" s="123"/>
      <c r="R108" s="123"/>
      <c r="S108" s="123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15"/>
      <c r="AF108" s="115"/>
      <c r="AG108" s="115"/>
      <c r="AH108" s="25"/>
      <c r="AI108" s="15"/>
      <c r="AL108" s="114"/>
    </row>
    <row r="109" spans="6:38" ht="19.5" x14ac:dyDescent="0.4">
      <c r="H109" s="115"/>
      <c r="I109" s="115"/>
      <c r="J109" s="25">
        <v>45594</v>
      </c>
      <c r="K109" s="13" t="s">
        <v>182</v>
      </c>
      <c r="P109" s="117"/>
      <c r="Q109" s="123"/>
      <c r="R109" s="123"/>
      <c r="S109" s="123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15"/>
      <c r="AF109" s="115"/>
      <c r="AG109" s="115"/>
      <c r="AH109" s="25"/>
      <c r="AI109" s="15"/>
      <c r="AL109" s="114"/>
    </row>
    <row r="110" spans="6:38" ht="19.5" x14ac:dyDescent="0.4">
      <c r="J110" s="25">
        <v>45594</v>
      </c>
      <c r="K110" s="15" t="s">
        <v>183</v>
      </c>
      <c r="P110" s="117"/>
      <c r="Q110" s="123"/>
      <c r="R110" s="123"/>
      <c r="S110" s="123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15"/>
      <c r="AF110" s="115"/>
      <c r="AG110" s="115"/>
      <c r="AH110" s="25">
        <v>45272</v>
      </c>
      <c r="AI110" s="15" t="s">
        <v>162</v>
      </c>
      <c r="AL110" s="114"/>
    </row>
    <row r="111" spans="6:38" ht="19.5" x14ac:dyDescent="0.4">
      <c r="J111" s="25">
        <v>45594</v>
      </c>
      <c r="K111" s="15" t="s">
        <v>182</v>
      </c>
      <c r="P111" s="117"/>
      <c r="Q111" s="123"/>
      <c r="R111" s="123"/>
      <c r="S111" s="123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15"/>
      <c r="AF111" s="115"/>
      <c r="AG111" s="115" t="s">
        <v>166</v>
      </c>
      <c r="AH111" s="13">
        <f>SUBTOTAL(3,AH79:AH110)</f>
        <v>13</v>
      </c>
      <c r="AI111" s="15">
        <f>SUBTOTAL(3,AI79:AI110)</f>
        <v>13</v>
      </c>
      <c r="AL111" s="114"/>
    </row>
    <row r="112" spans="6:38" ht="19.5" x14ac:dyDescent="0.4">
      <c r="J112" s="25">
        <v>45594</v>
      </c>
      <c r="K112" s="15" t="s">
        <v>183</v>
      </c>
      <c r="P112" s="117"/>
      <c r="Q112" s="123"/>
      <c r="R112" s="123"/>
      <c r="S112" s="123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5"/>
      <c r="AH112" s="25">
        <v>45273</v>
      </c>
      <c r="AI112" s="105" t="s">
        <v>164</v>
      </c>
      <c r="AL112" s="114"/>
    </row>
    <row r="113" spans="7:38" ht="19.5" x14ac:dyDescent="0.4">
      <c r="J113" s="25">
        <v>45594</v>
      </c>
      <c r="K113" s="15" t="s">
        <v>206</v>
      </c>
      <c r="P113" s="117"/>
      <c r="Q113" s="123"/>
      <c r="R113" s="123"/>
      <c r="S113" s="123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15"/>
      <c r="AF113" s="115"/>
      <c r="AG113" s="115"/>
      <c r="AH113" s="25">
        <v>45273</v>
      </c>
      <c r="AI113" s="15" t="s">
        <v>164</v>
      </c>
      <c r="AL113" s="114"/>
    </row>
    <row r="114" spans="7:38" ht="19.5" x14ac:dyDescent="0.4">
      <c r="G114" s="115"/>
      <c r="H114" s="115"/>
      <c r="I114" s="115"/>
      <c r="J114" s="25">
        <v>45594</v>
      </c>
      <c r="K114" s="15" t="s">
        <v>182</v>
      </c>
      <c r="P114" s="117"/>
      <c r="Q114" s="123"/>
      <c r="R114" s="123"/>
      <c r="S114" s="123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115"/>
      <c r="AF114" s="115"/>
      <c r="AG114" s="115"/>
      <c r="AH114" s="25"/>
      <c r="AI114" s="13"/>
      <c r="AL114" s="114"/>
    </row>
    <row r="115" spans="7:38" ht="19.5" x14ac:dyDescent="0.4">
      <c r="J115" s="25">
        <v>45594</v>
      </c>
      <c r="K115" s="15" t="s">
        <v>182</v>
      </c>
      <c r="P115" s="117"/>
      <c r="Q115" s="123"/>
      <c r="R115" s="123"/>
      <c r="S115" s="123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15"/>
      <c r="AF115" s="115"/>
      <c r="AG115" s="115"/>
      <c r="AH115" s="25">
        <v>45273</v>
      </c>
      <c r="AI115" s="13" t="s">
        <v>164</v>
      </c>
      <c r="AL115" s="114"/>
    </row>
    <row r="116" spans="7:38" ht="19.5" x14ac:dyDescent="0.4">
      <c r="J116" s="25">
        <v>45594</v>
      </c>
      <c r="K116" s="105" t="s">
        <v>183</v>
      </c>
      <c r="P116" s="117"/>
      <c r="Q116" s="123"/>
      <c r="R116" s="123"/>
      <c r="S116" s="123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25">
        <v>45273</v>
      </c>
      <c r="AI116" s="15" t="s">
        <v>164</v>
      </c>
      <c r="AL116" s="114"/>
    </row>
    <row r="117" spans="7:38" ht="19.5" x14ac:dyDescent="0.4">
      <c r="J117" s="25">
        <v>45594</v>
      </c>
      <c r="K117" s="15" t="s">
        <v>182</v>
      </c>
      <c r="P117" s="117"/>
      <c r="Q117" s="123"/>
      <c r="R117" s="123"/>
      <c r="S117" s="123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25">
        <v>45273</v>
      </c>
      <c r="AI117" s="15" t="s">
        <v>162</v>
      </c>
      <c r="AL117" s="114"/>
    </row>
    <row r="118" spans="7:38" ht="19.5" x14ac:dyDescent="0.4">
      <c r="J118" s="25">
        <v>45594</v>
      </c>
      <c r="K118" s="105" t="s">
        <v>182</v>
      </c>
      <c r="P118" s="117"/>
      <c r="Q118" s="123"/>
      <c r="R118" s="123"/>
      <c r="S118" s="123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25">
        <v>45273</v>
      </c>
      <c r="AI118" s="15" t="s">
        <v>162</v>
      </c>
      <c r="AL118" s="114"/>
    </row>
    <row r="119" spans="7:38" ht="19.5" x14ac:dyDescent="0.4">
      <c r="J119" s="25">
        <v>45594</v>
      </c>
      <c r="K119" s="15" t="s">
        <v>183</v>
      </c>
      <c r="P119" s="117"/>
      <c r="Q119" s="123"/>
      <c r="R119" s="123"/>
      <c r="S119" s="123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25">
        <v>45273</v>
      </c>
      <c r="AI119" s="15" t="s">
        <v>162</v>
      </c>
      <c r="AL119" s="114"/>
    </row>
    <row r="120" spans="7:38" ht="19.5" x14ac:dyDescent="0.4">
      <c r="I120" s="115" t="s">
        <v>352</v>
      </c>
      <c r="J120" s="13">
        <f>SUBTOTAL(3,J109:J119)</f>
        <v>11</v>
      </c>
      <c r="K120" s="15">
        <f>SUBTOTAL(3,K109:K119)</f>
        <v>11</v>
      </c>
      <c r="P120" s="117"/>
      <c r="Q120" s="123"/>
      <c r="R120" s="123"/>
      <c r="S120" s="123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15"/>
      <c r="AG120" s="115"/>
      <c r="AH120" s="25"/>
      <c r="AI120" s="15"/>
      <c r="AL120" s="114"/>
    </row>
    <row r="121" spans="7:38" ht="19.5" x14ac:dyDescent="0.4">
      <c r="J121" s="25">
        <v>45595</v>
      </c>
      <c r="K121" s="15" t="s">
        <v>183</v>
      </c>
      <c r="P121" s="117"/>
      <c r="Q121" s="123"/>
      <c r="R121" s="123"/>
      <c r="S121" s="123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115"/>
      <c r="AF121" s="115"/>
      <c r="AG121" s="115"/>
      <c r="AH121" s="25">
        <v>45273</v>
      </c>
      <c r="AI121" s="15" t="s">
        <v>162</v>
      </c>
      <c r="AL121" s="114"/>
    </row>
    <row r="122" spans="7:38" ht="19.5" x14ac:dyDescent="0.4">
      <c r="I122" s="115" t="s">
        <v>353</v>
      </c>
      <c r="J122" s="13">
        <f>SUBTOTAL(3,J121:J121)</f>
        <v>1</v>
      </c>
      <c r="K122" s="15">
        <f>SUBTOTAL(3,K121:K121)</f>
        <v>1</v>
      </c>
      <c r="P122" s="117"/>
      <c r="Q122" s="123"/>
      <c r="R122" s="123"/>
      <c r="S122" s="123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5"/>
      <c r="AH122" s="25"/>
      <c r="AI122" s="15"/>
      <c r="AL122" s="114"/>
    </row>
    <row r="123" spans="7:38" ht="19.5" x14ac:dyDescent="0.4">
      <c r="H123" s="115"/>
      <c r="I123" s="115"/>
      <c r="J123" s="25">
        <v>45598</v>
      </c>
      <c r="K123" s="15" t="s">
        <v>182</v>
      </c>
      <c r="P123" s="117"/>
      <c r="Q123" s="123"/>
      <c r="R123" s="123"/>
      <c r="S123" s="123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15"/>
      <c r="AF123" s="115"/>
      <c r="AG123" s="115"/>
      <c r="AH123" s="25"/>
      <c r="AI123" s="15"/>
      <c r="AL123" s="114"/>
    </row>
    <row r="124" spans="7:38" ht="19.5" x14ac:dyDescent="0.4">
      <c r="J124" s="25">
        <v>45598</v>
      </c>
      <c r="K124" s="15" t="s">
        <v>206</v>
      </c>
      <c r="P124" s="117"/>
      <c r="Q124" s="123"/>
      <c r="R124" s="123"/>
      <c r="S124" s="123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15"/>
      <c r="AF124" s="115"/>
      <c r="AG124" s="115"/>
      <c r="AH124" s="25">
        <v>45273</v>
      </c>
      <c r="AI124" s="15" t="s">
        <v>162</v>
      </c>
      <c r="AL124" s="114"/>
    </row>
    <row r="125" spans="7:38" ht="19.5" x14ac:dyDescent="0.4">
      <c r="J125" s="25">
        <v>45598</v>
      </c>
      <c r="K125" s="15" t="s">
        <v>206</v>
      </c>
      <c r="P125" s="117"/>
      <c r="Q125" s="123"/>
      <c r="R125" s="123"/>
      <c r="S125" s="123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15"/>
      <c r="AF125" s="115"/>
      <c r="AG125" s="115"/>
      <c r="AH125" s="25">
        <v>45273</v>
      </c>
      <c r="AI125" s="15" t="s">
        <v>162</v>
      </c>
      <c r="AL125" s="114"/>
    </row>
    <row r="126" spans="7:38" ht="19.5" x14ac:dyDescent="0.4">
      <c r="J126" s="25">
        <v>45598</v>
      </c>
      <c r="K126" s="15" t="s">
        <v>206</v>
      </c>
      <c r="P126" s="117"/>
      <c r="Q126" s="123"/>
      <c r="R126" s="123"/>
      <c r="S126" s="123"/>
      <c r="T126" s="115"/>
      <c r="U126" s="115"/>
      <c r="V126" s="115"/>
      <c r="W126" s="115"/>
      <c r="X126" s="124"/>
      <c r="Y126" s="124"/>
      <c r="Z126" s="124"/>
      <c r="AA126" s="124"/>
      <c r="AB126" s="124"/>
      <c r="AC126" s="124"/>
      <c r="AD126" s="124"/>
      <c r="AE126" s="124"/>
      <c r="AF126" s="124"/>
      <c r="AG126" s="124"/>
      <c r="AH126" s="25">
        <v>45273</v>
      </c>
      <c r="AI126" s="15" t="s">
        <v>162</v>
      </c>
      <c r="AL126" s="114"/>
    </row>
    <row r="127" spans="7:38" ht="19.5" x14ac:dyDescent="0.4">
      <c r="I127" s="115" t="s">
        <v>354</v>
      </c>
      <c r="J127" s="13">
        <f>SUBTOTAL(3,J123:J126)</f>
        <v>4</v>
      </c>
      <c r="K127" s="15">
        <f>SUBTOTAL(3,K123:K126)</f>
        <v>4</v>
      </c>
      <c r="P127" s="117"/>
      <c r="Q127" s="123"/>
      <c r="R127" s="123"/>
      <c r="S127" s="123"/>
      <c r="T127" s="115"/>
      <c r="U127" s="115"/>
      <c r="V127" s="115"/>
      <c r="W127" s="115"/>
      <c r="X127" s="124"/>
      <c r="Y127" s="124"/>
      <c r="Z127" s="124"/>
      <c r="AA127" s="124"/>
      <c r="AB127" s="124"/>
      <c r="AC127" s="124"/>
      <c r="AD127" s="124"/>
      <c r="AE127" s="124"/>
      <c r="AF127" s="124"/>
      <c r="AG127" s="124"/>
      <c r="AH127" s="25"/>
      <c r="AI127" s="15"/>
      <c r="AL127" s="114"/>
    </row>
    <row r="128" spans="7:38" ht="19.5" x14ac:dyDescent="0.4">
      <c r="J128" s="25">
        <v>45599</v>
      </c>
      <c r="K128" s="15" t="s">
        <v>183</v>
      </c>
      <c r="P128" s="117"/>
      <c r="Q128" s="123"/>
      <c r="R128" s="123"/>
      <c r="S128" s="123"/>
      <c r="T128" s="115"/>
      <c r="U128" s="115"/>
      <c r="V128" s="115"/>
      <c r="W128" s="115"/>
      <c r="X128" s="124"/>
      <c r="Y128" s="124"/>
      <c r="Z128" s="124"/>
      <c r="AA128" s="124"/>
      <c r="AB128" s="124"/>
      <c r="AC128" s="124"/>
      <c r="AD128" s="124"/>
      <c r="AE128" s="124"/>
      <c r="AF128" s="124"/>
      <c r="AG128" s="124"/>
      <c r="AH128" s="25">
        <v>45273</v>
      </c>
      <c r="AI128" s="15" t="s">
        <v>162</v>
      </c>
      <c r="AL128" s="114"/>
    </row>
    <row r="129" spans="7:38" ht="19.5" x14ac:dyDescent="0.4">
      <c r="J129" s="25">
        <v>45599</v>
      </c>
      <c r="K129" s="15" t="s">
        <v>183</v>
      </c>
      <c r="P129" s="117"/>
      <c r="Q129" s="123"/>
      <c r="R129" s="123"/>
      <c r="S129" s="123"/>
      <c r="T129" s="115"/>
      <c r="U129" s="115"/>
      <c r="V129" s="115"/>
      <c r="W129" s="115"/>
      <c r="X129" s="124"/>
      <c r="Y129" s="124"/>
      <c r="Z129" s="124"/>
      <c r="AA129" s="124"/>
      <c r="AB129" s="124"/>
      <c r="AC129" s="124"/>
      <c r="AD129" s="124"/>
      <c r="AE129" s="124"/>
      <c r="AF129" s="124"/>
      <c r="AG129" s="124"/>
      <c r="AH129" s="25">
        <v>45273</v>
      </c>
      <c r="AI129" s="15" t="s">
        <v>162</v>
      </c>
      <c r="AL129" s="114"/>
    </row>
    <row r="130" spans="7:38" ht="19.5" x14ac:dyDescent="0.4">
      <c r="I130" s="115" t="s">
        <v>355</v>
      </c>
      <c r="J130" s="13">
        <f>SUBTOTAL(3,J128:J129)</f>
        <v>2</v>
      </c>
      <c r="K130" s="15">
        <f>SUBTOTAL(3,K128:K129)</f>
        <v>2</v>
      </c>
      <c r="P130" s="117"/>
      <c r="Q130" s="123"/>
      <c r="R130" s="123"/>
      <c r="S130" s="123"/>
      <c r="T130" s="115"/>
      <c r="U130" s="115"/>
      <c r="V130" s="115"/>
      <c r="W130" s="115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4"/>
      <c r="AH130" s="25"/>
      <c r="AI130" s="15"/>
      <c r="AL130" s="114"/>
    </row>
    <row r="131" spans="7:38" ht="19.5" x14ac:dyDescent="0.4">
      <c r="J131" s="25">
        <v>45600</v>
      </c>
      <c r="K131" s="15" t="s">
        <v>183</v>
      </c>
      <c r="P131" s="117"/>
      <c r="Q131" s="123"/>
      <c r="R131" s="123"/>
      <c r="S131" s="123"/>
      <c r="T131" s="115"/>
      <c r="U131" s="115"/>
      <c r="V131" s="115"/>
      <c r="W131" s="115"/>
      <c r="X131" s="124"/>
      <c r="Y131" s="124"/>
      <c r="Z131" s="124"/>
      <c r="AA131" s="124"/>
      <c r="AB131" s="124"/>
      <c r="AC131" s="124"/>
      <c r="AD131" s="124"/>
      <c r="AE131" s="124"/>
      <c r="AF131" s="124"/>
      <c r="AG131" s="124"/>
      <c r="AH131" s="25">
        <v>45273</v>
      </c>
      <c r="AI131" s="15" t="s">
        <v>162</v>
      </c>
      <c r="AL131" s="114"/>
    </row>
    <row r="132" spans="7:38" ht="19.5" x14ac:dyDescent="0.4">
      <c r="I132" s="115" t="s">
        <v>356</v>
      </c>
      <c r="J132" s="13">
        <f>SUBTOTAL(3,J131:J131)</f>
        <v>1</v>
      </c>
      <c r="K132" s="15">
        <f>SUBTOTAL(3,K131:K131)</f>
        <v>1</v>
      </c>
      <c r="P132" s="117"/>
      <c r="Q132" s="123"/>
      <c r="R132" s="123"/>
      <c r="S132" s="123"/>
      <c r="T132" s="115"/>
      <c r="U132" s="115"/>
      <c r="V132" s="115"/>
      <c r="W132" s="115"/>
      <c r="X132" s="124"/>
      <c r="Y132" s="124"/>
      <c r="Z132" s="124"/>
      <c r="AA132" s="124"/>
      <c r="AB132" s="124"/>
      <c r="AC132" s="124"/>
      <c r="AD132" s="124"/>
      <c r="AE132" s="124"/>
      <c r="AF132" s="124"/>
      <c r="AG132" s="124"/>
      <c r="AH132" s="25"/>
      <c r="AI132" s="13"/>
      <c r="AL132" s="114"/>
    </row>
    <row r="133" spans="7:38" ht="19.5" x14ac:dyDescent="0.4">
      <c r="J133" s="25">
        <v>45601</v>
      </c>
      <c r="K133" s="15" t="s">
        <v>182</v>
      </c>
      <c r="P133" s="117"/>
      <c r="Q133" s="123"/>
      <c r="R133" s="123"/>
      <c r="S133" s="123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115"/>
      <c r="AG133" s="115"/>
      <c r="AH133" s="25">
        <v>45273</v>
      </c>
      <c r="AI133" s="13" t="s">
        <v>162</v>
      </c>
      <c r="AL133" s="114"/>
    </row>
    <row r="134" spans="7:38" ht="19.5" x14ac:dyDescent="0.4">
      <c r="I134" s="115" t="s">
        <v>357</v>
      </c>
      <c r="J134" s="13">
        <f>SUBTOTAL(3,J133:J133)</f>
        <v>1</v>
      </c>
      <c r="K134" s="15">
        <f>SUBTOTAL(3,K133:K133)</f>
        <v>1</v>
      </c>
      <c r="P134" s="117"/>
      <c r="Q134" s="123"/>
      <c r="R134" s="123"/>
      <c r="S134" s="123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15"/>
      <c r="AF134" s="115"/>
      <c r="AG134" s="115"/>
      <c r="AH134" s="25"/>
      <c r="AI134" s="13"/>
      <c r="AL134" s="114"/>
    </row>
    <row r="135" spans="7:38" ht="19.5" x14ac:dyDescent="0.4">
      <c r="J135" s="25">
        <v>45602</v>
      </c>
      <c r="K135" s="15" t="s">
        <v>183</v>
      </c>
      <c r="P135" s="117"/>
      <c r="Q135" s="123"/>
      <c r="R135" s="123"/>
      <c r="S135" s="123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15"/>
      <c r="AF135" s="115"/>
      <c r="AG135" s="115"/>
      <c r="AH135" s="25">
        <v>45273</v>
      </c>
      <c r="AI135" s="15" t="s">
        <v>162</v>
      </c>
      <c r="AL135" s="114"/>
    </row>
    <row r="136" spans="7:38" ht="19.5" x14ac:dyDescent="0.4">
      <c r="I136" s="115" t="s">
        <v>358</v>
      </c>
      <c r="J136" s="13">
        <f>SUBTOTAL(3,J135:J135)</f>
        <v>1</v>
      </c>
      <c r="K136" s="15">
        <f>SUBTOTAL(3,K135:K135)</f>
        <v>1</v>
      </c>
      <c r="P136" s="117"/>
      <c r="Q136" s="123"/>
      <c r="R136" s="123"/>
      <c r="S136" s="123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15"/>
      <c r="AF136" s="115"/>
      <c r="AG136" s="115"/>
      <c r="AH136" s="25"/>
      <c r="AI136" s="15"/>
      <c r="AL136" s="114"/>
    </row>
    <row r="137" spans="7:38" ht="19.5" x14ac:dyDescent="0.4">
      <c r="J137" s="25">
        <v>45603</v>
      </c>
      <c r="K137" s="105" t="s">
        <v>182</v>
      </c>
      <c r="P137" s="117"/>
      <c r="Q137" s="123"/>
      <c r="R137" s="123"/>
      <c r="S137" s="123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  <c r="AG137" s="115"/>
      <c r="AH137" s="25">
        <v>45273</v>
      </c>
      <c r="AI137" s="15" t="s">
        <v>162</v>
      </c>
      <c r="AL137" s="114"/>
    </row>
    <row r="138" spans="7:38" ht="19.5" x14ac:dyDescent="0.4">
      <c r="I138" s="115" t="s">
        <v>359</v>
      </c>
      <c r="J138" s="13">
        <f>SUBTOTAL(3,J137:J137)</f>
        <v>1</v>
      </c>
      <c r="K138" s="15">
        <f>SUBTOTAL(3,K137:K137)</f>
        <v>1</v>
      </c>
      <c r="P138" s="117"/>
      <c r="Q138" s="123"/>
      <c r="R138" s="123"/>
      <c r="S138" s="123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15"/>
      <c r="AF138" s="115"/>
      <c r="AG138" s="115"/>
      <c r="AH138" s="25"/>
      <c r="AI138" s="15"/>
      <c r="AL138" s="114"/>
    </row>
    <row r="139" spans="7:38" ht="19.5" x14ac:dyDescent="0.4">
      <c r="G139" s="115"/>
      <c r="H139" s="115"/>
      <c r="I139" s="115"/>
      <c r="J139" s="25">
        <v>45604</v>
      </c>
      <c r="K139" s="15" t="s">
        <v>183</v>
      </c>
      <c r="P139" s="117"/>
      <c r="Q139" s="123"/>
      <c r="R139" s="123"/>
      <c r="S139" s="123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25"/>
      <c r="AI139" s="15"/>
      <c r="AL139" s="114"/>
    </row>
    <row r="140" spans="7:38" ht="19.5" x14ac:dyDescent="0.4">
      <c r="G140" s="115"/>
      <c r="H140" s="115"/>
      <c r="I140" s="115" t="s">
        <v>360</v>
      </c>
      <c r="J140" s="13">
        <f>SUBTOTAL(3,J139:J139)</f>
        <v>1</v>
      </c>
      <c r="K140" s="15">
        <f>SUBTOTAL(3,K139:K139)</f>
        <v>1</v>
      </c>
      <c r="P140" s="117"/>
      <c r="Q140" s="123"/>
      <c r="R140" s="123"/>
      <c r="S140" s="123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5"/>
      <c r="AF140" s="115"/>
      <c r="AG140" s="115"/>
      <c r="AH140" s="25"/>
      <c r="AI140" s="15"/>
      <c r="AL140" s="114"/>
    </row>
    <row r="141" spans="7:38" ht="19.5" x14ac:dyDescent="0.4">
      <c r="J141" s="25">
        <v>45606</v>
      </c>
      <c r="K141" s="15" t="s">
        <v>183</v>
      </c>
      <c r="P141" s="117"/>
      <c r="Q141" s="123"/>
      <c r="R141" s="123"/>
      <c r="S141" s="123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  <c r="AG141" s="115"/>
      <c r="AH141" s="25">
        <v>45273</v>
      </c>
      <c r="AI141" s="15" t="s">
        <v>162</v>
      </c>
      <c r="AL141" s="114"/>
    </row>
    <row r="142" spans="7:38" ht="19.5" x14ac:dyDescent="0.4">
      <c r="I142" s="115" t="s">
        <v>361</v>
      </c>
      <c r="J142" s="13">
        <f>SUBTOTAL(3,J141:J141)</f>
        <v>1</v>
      </c>
      <c r="K142" s="15">
        <f>SUBTOTAL(3,K141:K141)</f>
        <v>1</v>
      </c>
      <c r="P142" s="117"/>
      <c r="Q142" s="123"/>
      <c r="R142" s="123"/>
      <c r="S142" s="123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115"/>
      <c r="AG142" s="115"/>
      <c r="AH142" s="25"/>
      <c r="AI142" s="15"/>
      <c r="AL142" s="114"/>
    </row>
    <row r="143" spans="7:38" ht="19.5" x14ac:dyDescent="0.4">
      <c r="J143" s="25">
        <v>45609</v>
      </c>
      <c r="K143" s="15" t="s">
        <v>183</v>
      </c>
      <c r="P143" s="117"/>
      <c r="Q143" s="123"/>
      <c r="R143" s="123"/>
      <c r="S143" s="123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115"/>
      <c r="AG143" s="115"/>
      <c r="AH143" s="25">
        <v>45273</v>
      </c>
      <c r="AI143" s="15" t="s">
        <v>162</v>
      </c>
      <c r="AL143" s="114"/>
    </row>
    <row r="144" spans="7:38" ht="19.5" x14ac:dyDescent="0.4">
      <c r="I144" s="115" t="s">
        <v>362</v>
      </c>
      <c r="J144" s="13">
        <f>SUBTOTAL(3,J143:J143)</f>
        <v>1</v>
      </c>
      <c r="K144" s="15">
        <f>SUBTOTAL(3,K143:K143)</f>
        <v>1</v>
      </c>
      <c r="P144" s="117"/>
      <c r="Q144" s="123"/>
      <c r="R144" s="123"/>
      <c r="S144" s="123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15"/>
      <c r="AF144" s="115"/>
      <c r="AG144" s="115"/>
      <c r="AH144" s="25"/>
      <c r="AI144" s="15"/>
      <c r="AL144" s="114"/>
    </row>
    <row r="145" spans="6:38" ht="19.5" x14ac:dyDescent="0.4">
      <c r="I145" s="115" t="s">
        <v>145</v>
      </c>
      <c r="J145" s="13">
        <f>SUBTOTAL(3,J2:J143)</f>
        <v>116</v>
      </c>
      <c r="K145" s="15">
        <f>SUBTOTAL(3,K2:K143)</f>
        <v>116</v>
      </c>
      <c r="P145" s="117"/>
      <c r="Q145" s="123"/>
      <c r="R145" s="123"/>
      <c r="S145" s="123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115"/>
      <c r="AG145" s="115"/>
      <c r="AH145" s="25"/>
      <c r="AI145" s="15"/>
      <c r="AL145" s="114"/>
    </row>
    <row r="146" spans="6:38" ht="19.5" x14ac:dyDescent="0.4">
      <c r="F146" s="115"/>
      <c r="G146" s="115"/>
      <c r="H146" s="115"/>
      <c r="I146" s="115"/>
      <c r="J146" s="25"/>
      <c r="K146" s="15"/>
      <c r="P146" s="117"/>
      <c r="Q146" s="123"/>
      <c r="R146" s="123"/>
      <c r="S146" s="123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5"/>
      <c r="AF146" s="115"/>
      <c r="AG146" s="115"/>
      <c r="AH146" s="25"/>
      <c r="AI146" s="15"/>
      <c r="AL146" s="114"/>
    </row>
    <row r="147" spans="6:38" ht="19.5" x14ac:dyDescent="0.4">
      <c r="F147" s="115"/>
      <c r="G147" s="115"/>
      <c r="H147" s="115"/>
      <c r="I147" s="115"/>
      <c r="J147" s="13"/>
      <c r="K147" s="15"/>
      <c r="P147" s="117"/>
      <c r="Q147" s="123"/>
      <c r="R147" s="123"/>
      <c r="S147" s="123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15"/>
      <c r="AF147" s="115"/>
      <c r="AG147" s="115"/>
      <c r="AH147" s="25"/>
      <c r="AI147" s="15"/>
      <c r="AL147" s="114"/>
    </row>
    <row r="148" spans="6:38" ht="19.5" x14ac:dyDescent="0.4">
      <c r="J148" s="25"/>
      <c r="K148" s="15"/>
      <c r="P148" s="117"/>
      <c r="Q148" s="123"/>
      <c r="R148" s="123"/>
      <c r="S148" s="123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  <c r="AG148" s="115"/>
      <c r="AH148" s="25">
        <v>45273</v>
      </c>
      <c r="AI148" s="15" t="s">
        <v>162</v>
      </c>
      <c r="AL148" s="114"/>
    </row>
    <row r="149" spans="6:38" ht="19.5" x14ac:dyDescent="0.4">
      <c r="J149" s="25"/>
      <c r="K149" s="15"/>
      <c r="P149" s="117"/>
      <c r="Q149" s="123"/>
      <c r="R149" s="123"/>
      <c r="S149" s="123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15"/>
      <c r="AF149" s="115"/>
      <c r="AG149" s="115"/>
      <c r="AH149" s="25">
        <v>45273</v>
      </c>
      <c r="AI149" s="15" t="s">
        <v>162</v>
      </c>
      <c r="AL149" s="114"/>
    </row>
    <row r="150" spans="6:38" ht="19.5" x14ac:dyDescent="0.4">
      <c r="J150" s="25"/>
      <c r="K150" s="15"/>
      <c r="P150" s="117"/>
      <c r="Q150" s="123"/>
      <c r="R150" s="123"/>
      <c r="S150" s="123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15"/>
      <c r="AF150" s="115"/>
      <c r="AG150" s="115"/>
      <c r="AH150" s="25">
        <v>45273</v>
      </c>
      <c r="AI150" s="13" t="s">
        <v>163</v>
      </c>
      <c r="AL150" s="114"/>
    </row>
    <row r="151" spans="6:38" ht="19.5" x14ac:dyDescent="0.4">
      <c r="J151" s="25"/>
      <c r="K151" s="15"/>
      <c r="P151" s="117"/>
      <c r="Q151" s="123"/>
      <c r="R151" s="123"/>
      <c r="S151" s="123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15"/>
      <c r="AF151" s="115"/>
      <c r="AG151" s="115"/>
      <c r="AH151" s="25"/>
      <c r="AI151" s="13"/>
      <c r="AL151" s="114"/>
    </row>
    <row r="152" spans="6:38" ht="19.5" x14ac:dyDescent="0.4">
      <c r="J152" s="25"/>
      <c r="K152" s="15"/>
      <c r="P152" s="117"/>
      <c r="Q152" s="123"/>
      <c r="R152" s="123"/>
      <c r="S152" s="123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 t="s">
        <v>152</v>
      </c>
      <c r="AH152" s="13">
        <f>SUBTOTAL(3,AH112:AH150)</f>
        <v>22</v>
      </c>
      <c r="AI152" s="13">
        <f>SUBTOTAL(3,AI112:AI150)</f>
        <v>22</v>
      </c>
      <c r="AL152" s="114"/>
    </row>
    <row r="153" spans="6:38" ht="19.5" x14ac:dyDescent="0.4">
      <c r="J153" s="25"/>
      <c r="K153" s="15"/>
      <c r="P153" s="117"/>
      <c r="Q153" s="123"/>
      <c r="R153" s="123"/>
      <c r="S153" s="123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25">
        <v>45274</v>
      </c>
      <c r="AI153" s="15" t="s">
        <v>162</v>
      </c>
      <c r="AL153" s="114"/>
    </row>
    <row r="154" spans="6:38" ht="19.5" x14ac:dyDescent="0.4">
      <c r="H154" s="115"/>
      <c r="I154" s="115"/>
      <c r="J154" s="13"/>
      <c r="K154" s="15"/>
      <c r="P154" s="117"/>
      <c r="Q154" s="123"/>
      <c r="R154" s="123"/>
      <c r="S154" s="123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25"/>
      <c r="AI154" s="15"/>
      <c r="AL154" s="114"/>
    </row>
    <row r="155" spans="6:38" ht="19.5" x14ac:dyDescent="0.4">
      <c r="J155" s="25"/>
      <c r="K155" s="15"/>
      <c r="P155" s="117"/>
      <c r="Q155" s="123"/>
      <c r="R155" s="123"/>
      <c r="S155" s="123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25">
        <v>45274</v>
      </c>
      <c r="AI155" s="15" t="s">
        <v>162</v>
      </c>
      <c r="AL155" s="114"/>
    </row>
    <row r="156" spans="6:38" ht="19.5" x14ac:dyDescent="0.4">
      <c r="H156" s="115"/>
      <c r="I156" s="115"/>
      <c r="J156" s="13"/>
      <c r="K156" s="15"/>
      <c r="P156" s="117"/>
      <c r="Q156" s="123"/>
      <c r="R156" s="123"/>
      <c r="S156" s="123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25"/>
      <c r="AI156" s="15"/>
      <c r="AL156" s="114"/>
    </row>
    <row r="157" spans="6:38" ht="19.5" x14ac:dyDescent="0.4">
      <c r="F157" s="115"/>
      <c r="G157" s="115"/>
      <c r="H157" s="115"/>
      <c r="I157" s="115"/>
      <c r="J157" s="25"/>
      <c r="K157" s="15"/>
      <c r="P157" s="117"/>
      <c r="Q157" s="123"/>
      <c r="R157" s="123"/>
      <c r="S157" s="123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25"/>
      <c r="AI157" s="15"/>
      <c r="AL157" s="114"/>
    </row>
    <row r="158" spans="6:38" ht="19.5" x14ac:dyDescent="0.4">
      <c r="J158" s="26"/>
      <c r="K158" s="13"/>
      <c r="P158" s="117"/>
      <c r="Q158" s="123"/>
      <c r="R158" s="123"/>
      <c r="S158" s="123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25">
        <v>45274</v>
      </c>
      <c r="AI158" s="15" t="s">
        <v>162</v>
      </c>
      <c r="AL158" s="114"/>
    </row>
    <row r="159" spans="6:38" ht="19.5" x14ac:dyDescent="0.4">
      <c r="G159" s="115"/>
      <c r="H159" s="115"/>
      <c r="I159" s="115"/>
      <c r="J159" s="26"/>
      <c r="K159" s="13"/>
      <c r="P159" s="117"/>
      <c r="Q159" s="123"/>
      <c r="R159" s="123"/>
      <c r="S159" s="123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25"/>
      <c r="AI159" s="15"/>
      <c r="AL159" s="114"/>
    </row>
    <row r="160" spans="6:38" ht="19.5" x14ac:dyDescent="0.4">
      <c r="J160" s="26"/>
      <c r="K160" s="13"/>
      <c r="P160" s="117"/>
      <c r="Q160" s="123"/>
      <c r="R160" s="123"/>
      <c r="S160" s="123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25">
        <v>45274</v>
      </c>
      <c r="AI160" s="15" t="s">
        <v>162</v>
      </c>
      <c r="AL160" s="114"/>
    </row>
    <row r="161" spans="6:38" ht="19.5" x14ac:dyDescent="0.4">
      <c r="J161" s="26"/>
      <c r="K161" s="13"/>
      <c r="P161" s="117"/>
      <c r="Q161" s="123"/>
      <c r="R161" s="123"/>
      <c r="S161" s="123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25">
        <v>45274</v>
      </c>
      <c r="AI161" s="15" t="s">
        <v>163</v>
      </c>
      <c r="AL161" s="114"/>
    </row>
    <row r="162" spans="6:38" ht="19.5" x14ac:dyDescent="0.4">
      <c r="H162" s="115"/>
      <c r="I162" s="115"/>
      <c r="J162" s="17"/>
      <c r="K162" s="13"/>
      <c r="P162" s="117"/>
      <c r="Q162" s="123"/>
      <c r="R162" s="123"/>
      <c r="S162" s="123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25"/>
      <c r="AI162" s="15"/>
      <c r="AL162" s="114"/>
    </row>
    <row r="163" spans="6:38" ht="19.5" x14ac:dyDescent="0.4">
      <c r="J163" s="26"/>
      <c r="K163" s="13"/>
      <c r="P163" s="117"/>
      <c r="Q163" s="123"/>
      <c r="R163" s="123"/>
      <c r="S163" s="123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 t="s">
        <v>167</v>
      </c>
      <c r="AH163" s="13">
        <f>SUBTOTAL(3,AH153:AH161)</f>
        <v>5</v>
      </c>
      <c r="AI163" s="15">
        <f>SUBTOTAL(3,AI153:AI161)</f>
        <v>5</v>
      </c>
      <c r="AL163" s="114"/>
    </row>
    <row r="164" spans="6:38" ht="19.5" x14ac:dyDescent="0.4">
      <c r="H164" s="115"/>
      <c r="I164" s="115"/>
      <c r="J164" s="17"/>
      <c r="K164" s="13"/>
      <c r="P164" s="117"/>
      <c r="Q164" s="123"/>
      <c r="R164" s="123"/>
      <c r="S164" s="123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3"/>
      <c r="AI164" s="15"/>
      <c r="AL164" s="114"/>
    </row>
    <row r="165" spans="6:38" ht="19.5" x14ac:dyDescent="0.4">
      <c r="J165" s="26"/>
      <c r="K165" s="13"/>
      <c r="P165" s="117"/>
      <c r="Q165" s="123"/>
      <c r="R165" s="123"/>
      <c r="S165" s="123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3"/>
      <c r="AI165" s="15"/>
      <c r="AL165" s="114"/>
    </row>
    <row r="166" spans="6:38" ht="19.5" x14ac:dyDescent="0.4">
      <c r="H166" s="115"/>
      <c r="I166" s="115"/>
      <c r="J166" s="20"/>
      <c r="K166" s="13"/>
      <c r="P166" s="117"/>
      <c r="Q166" s="123"/>
      <c r="R166" s="123"/>
      <c r="S166" s="123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3"/>
      <c r="AI166" s="15"/>
      <c r="AL166" s="114"/>
    </row>
    <row r="167" spans="6:38" ht="19.5" x14ac:dyDescent="0.4">
      <c r="H167" s="115"/>
      <c r="I167" s="115"/>
      <c r="J167" s="20"/>
      <c r="K167" s="13"/>
      <c r="P167" s="117"/>
      <c r="Q167" s="123"/>
      <c r="R167" s="123"/>
      <c r="S167" s="123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3"/>
      <c r="AI167" s="15"/>
      <c r="AL167" s="114"/>
    </row>
    <row r="168" spans="6:38" ht="19.5" x14ac:dyDescent="0.4">
      <c r="G168" s="115"/>
      <c r="H168" s="115"/>
      <c r="I168" s="115"/>
      <c r="J168" s="13"/>
      <c r="K168" s="15"/>
      <c r="P168" s="117"/>
      <c r="Q168" s="123"/>
      <c r="R168" s="123"/>
      <c r="S168" s="123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3"/>
      <c r="AI168" s="15"/>
      <c r="AL168" s="114"/>
    </row>
    <row r="169" spans="6:38" ht="19.5" x14ac:dyDescent="0.4">
      <c r="J169" s="25"/>
      <c r="K169" s="15"/>
      <c r="P169" s="117"/>
      <c r="Q169" s="123"/>
      <c r="R169" s="123"/>
      <c r="S169" s="123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5"/>
      <c r="AH169" s="25">
        <v>45275</v>
      </c>
      <c r="AI169" s="15" t="s">
        <v>163</v>
      </c>
      <c r="AL169" s="114"/>
    </row>
    <row r="170" spans="6:38" ht="19.5" x14ac:dyDescent="0.4">
      <c r="J170" s="25"/>
      <c r="K170" s="15"/>
      <c r="P170" s="117"/>
      <c r="Q170" s="123"/>
      <c r="R170" s="123"/>
      <c r="S170" s="123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15"/>
      <c r="AF170" s="115"/>
      <c r="AG170" s="115" t="s">
        <v>168</v>
      </c>
      <c r="AH170" s="13">
        <f>SUBTOTAL(3,AH169:AH169)</f>
        <v>1</v>
      </c>
      <c r="AI170" s="15">
        <f>SUBTOTAL(3,AI169:AI169)</f>
        <v>1</v>
      </c>
      <c r="AL170" s="114"/>
    </row>
    <row r="171" spans="6:38" ht="19.5" x14ac:dyDescent="0.4">
      <c r="J171" s="25"/>
      <c r="K171" s="15"/>
      <c r="P171" s="117"/>
      <c r="Q171" s="123"/>
      <c r="R171" s="123"/>
      <c r="S171" s="123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5"/>
      <c r="AF171" s="115"/>
      <c r="AG171" s="115"/>
      <c r="AH171" s="25">
        <v>45276</v>
      </c>
      <c r="AI171" s="15" t="s">
        <v>164</v>
      </c>
      <c r="AL171" s="114"/>
    </row>
    <row r="172" spans="6:38" ht="19.5" x14ac:dyDescent="0.4">
      <c r="J172" s="25"/>
      <c r="K172" s="15"/>
      <c r="P172" s="117"/>
      <c r="Q172" s="123"/>
      <c r="R172" s="123"/>
      <c r="S172" s="123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15"/>
      <c r="AF172" s="115"/>
      <c r="AG172" s="115"/>
      <c r="AH172" s="25">
        <v>45276</v>
      </c>
      <c r="AI172" s="15" t="s">
        <v>162</v>
      </c>
      <c r="AL172" s="114"/>
    </row>
    <row r="173" spans="6:38" ht="19.5" x14ac:dyDescent="0.4">
      <c r="J173" s="25"/>
      <c r="K173" s="15"/>
      <c r="P173" s="117"/>
      <c r="Q173" s="123"/>
      <c r="R173" s="123"/>
      <c r="S173" s="123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15"/>
      <c r="AF173" s="115"/>
      <c r="AG173" s="115"/>
      <c r="AH173" s="25">
        <v>45276</v>
      </c>
      <c r="AI173" s="15" t="s">
        <v>162</v>
      </c>
      <c r="AL173" s="114"/>
    </row>
    <row r="174" spans="6:38" ht="19.5" x14ac:dyDescent="0.4">
      <c r="J174" s="25"/>
      <c r="K174" s="105"/>
      <c r="P174" s="117"/>
      <c r="Q174" s="123"/>
      <c r="R174" s="123"/>
      <c r="S174" s="123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115"/>
      <c r="AG174" s="115"/>
      <c r="AH174" s="25">
        <v>45276</v>
      </c>
      <c r="AI174" s="15" t="s">
        <v>162</v>
      </c>
      <c r="AL174" s="114"/>
    </row>
    <row r="175" spans="6:38" ht="19.5" x14ac:dyDescent="0.4">
      <c r="J175" s="25"/>
      <c r="K175" s="15"/>
      <c r="P175" s="117"/>
      <c r="Q175" s="123"/>
      <c r="R175" s="123"/>
      <c r="S175" s="123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115"/>
      <c r="AG175" s="115"/>
      <c r="AH175" s="25">
        <v>45276</v>
      </c>
      <c r="AI175" s="15" t="s">
        <v>162</v>
      </c>
      <c r="AL175" s="114"/>
    </row>
    <row r="176" spans="6:38" ht="19.5" x14ac:dyDescent="0.4">
      <c r="F176" s="115"/>
      <c r="G176" s="115"/>
      <c r="H176" s="115"/>
      <c r="I176" s="115"/>
      <c r="J176" s="25"/>
      <c r="K176" s="15"/>
      <c r="P176" s="117"/>
      <c r="Q176" s="123"/>
      <c r="R176" s="123"/>
      <c r="S176" s="123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15"/>
      <c r="AF176" s="115"/>
      <c r="AG176" s="115"/>
      <c r="AH176" s="25"/>
      <c r="AI176" s="15"/>
      <c r="AL176" s="114"/>
    </row>
    <row r="177" spans="6:38" ht="19.5" x14ac:dyDescent="0.4">
      <c r="J177" s="25"/>
      <c r="K177" s="15"/>
      <c r="P177" s="117"/>
      <c r="Q177" s="123"/>
      <c r="R177" s="123"/>
      <c r="S177" s="123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15"/>
      <c r="AF177" s="115"/>
      <c r="AG177" s="115"/>
      <c r="AH177" s="25">
        <v>45276</v>
      </c>
      <c r="AI177" s="15" t="s">
        <v>162</v>
      </c>
      <c r="AL177" s="114"/>
    </row>
    <row r="178" spans="6:38" ht="19.5" x14ac:dyDescent="0.4">
      <c r="J178" s="25"/>
      <c r="K178" s="15"/>
      <c r="P178" s="117"/>
      <c r="Q178" s="123"/>
      <c r="R178" s="123"/>
      <c r="S178" s="123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15"/>
      <c r="AF178" s="115"/>
      <c r="AG178" s="115"/>
      <c r="AH178" s="25">
        <v>45276</v>
      </c>
      <c r="AI178" s="15" t="s">
        <v>162</v>
      </c>
      <c r="AL178" s="114"/>
    </row>
    <row r="179" spans="6:38" ht="19.5" x14ac:dyDescent="0.4">
      <c r="F179" s="115"/>
      <c r="G179" s="115"/>
      <c r="H179" s="115"/>
      <c r="I179" s="115"/>
      <c r="J179" s="25"/>
      <c r="K179" s="15"/>
      <c r="P179" s="117"/>
      <c r="Q179" s="123"/>
      <c r="R179" s="123"/>
      <c r="S179" s="123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15"/>
      <c r="AF179" s="115"/>
      <c r="AG179" s="115"/>
      <c r="AH179" s="25"/>
      <c r="AI179" s="15"/>
      <c r="AL179" s="114"/>
    </row>
    <row r="180" spans="6:38" ht="19.5" x14ac:dyDescent="0.4">
      <c r="F180" s="115"/>
      <c r="G180" s="115"/>
      <c r="H180" s="115"/>
      <c r="I180" s="115"/>
      <c r="J180" s="13"/>
      <c r="K180" s="15"/>
      <c r="P180" s="117"/>
      <c r="Q180" s="123"/>
      <c r="R180" s="123"/>
      <c r="S180" s="123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15"/>
      <c r="AF180" s="115"/>
      <c r="AG180" s="115"/>
      <c r="AH180" s="25"/>
      <c r="AI180" s="15"/>
      <c r="AL180" s="114"/>
    </row>
    <row r="181" spans="6:38" ht="19.5" x14ac:dyDescent="0.4">
      <c r="F181" s="115"/>
      <c r="G181" s="115"/>
      <c r="H181" s="115"/>
      <c r="I181" s="115"/>
      <c r="J181" s="25"/>
      <c r="K181" s="15"/>
      <c r="P181" s="117"/>
      <c r="Q181" s="123"/>
      <c r="R181" s="123"/>
      <c r="S181" s="123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5"/>
      <c r="AF181" s="115"/>
      <c r="AG181" s="115"/>
      <c r="AH181" s="25"/>
      <c r="AI181" s="15"/>
      <c r="AL181" s="114"/>
    </row>
    <row r="182" spans="6:38" ht="19.5" x14ac:dyDescent="0.4">
      <c r="J182" s="26"/>
      <c r="K182" s="13"/>
      <c r="O182" s="115"/>
      <c r="P182" s="117"/>
      <c r="Q182" s="123"/>
      <c r="R182" s="123"/>
      <c r="S182" s="123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5"/>
      <c r="AF182" s="115"/>
      <c r="AG182" s="115"/>
      <c r="AH182" s="25">
        <v>45276</v>
      </c>
      <c r="AI182" s="15" t="s">
        <v>162</v>
      </c>
      <c r="AL182" s="114"/>
    </row>
    <row r="183" spans="6:38" ht="19.5" x14ac:dyDescent="0.4">
      <c r="J183" s="26"/>
      <c r="K183" s="13"/>
      <c r="O183" s="115"/>
      <c r="P183" s="117"/>
      <c r="Q183" s="123"/>
      <c r="R183" s="123"/>
      <c r="S183" s="123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115"/>
      <c r="AG183" s="115"/>
      <c r="AH183" s="25">
        <v>45276</v>
      </c>
      <c r="AI183" s="15" t="s">
        <v>162</v>
      </c>
      <c r="AL183" s="114"/>
    </row>
    <row r="184" spans="6:38" ht="19.5" x14ac:dyDescent="0.4">
      <c r="J184" s="26"/>
      <c r="K184" s="13"/>
      <c r="O184" s="115"/>
      <c r="P184" s="117"/>
      <c r="Q184" s="123"/>
      <c r="R184" s="123"/>
      <c r="S184" s="123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115"/>
      <c r="AG184" s="115"/>
      <c r="AH184" s="25">
        <v>45276</v>
      </c>
      <c r="AI184" s="15" t="s">
        <v>162</v>
      </c>
      <c r="AL184" s="114"/>
    </row>
    <row r="185" spans="6:38" ht="19.5" x14ac:dyDescent="0.4">
      <c r="G185" s="115"/>
      <c r="H185" s="115"/>
      <c r="I185" s="115"/>
      <c r="J185" s="17"/>
      <c r="K185" s="13"/>
      <c r="O185" s="115"/>
      <c r="P185" s="117"/>
      <c r="Q185" s="123"/>
      <c r="R185" s="123"/>
      <c r="S185" s="123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25"/>
      <c r="AI185" s="15"/>
      <c r="AL185" s="114"/>
    </row>
    <row r="186" spans="6:38" ht="19.5" x14ac:dyDescent="0.4">
      <c r="J186" s="26"/>
      <c r="K186" s="13"/>
      <c r="O186" s="115"/>
      <c r="P186" s="117"/>
      <c r="Q186" s="123"/>
      <c r="R186" s="123"/>
      <c r="S186" s="123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15"/>
      <c r="AF186" s="115"/>
      <c r="AG186" s="115"/>
      <c r="AH186" s="25"/>
      <c r="AI186" s="15"/>
      <c r="AL186" s="114"/>
    </row>
    <row r="187" spans="6:38" ht="19.5" x14ac:dyDescent="0.4">
      <c r="F187" s="115"/>
      <c r="G187" s="115"/>
      <c r="H187" s="115"/>
      <c r="I187" s="115"/>
      <c r="J187" s="26"/>
      <c r="K187" s="13"/>
      <c r="O187" s="115"/>
      <c r="P187" s="117"/>
      <c r="Q187" s="123"/>
      <c r="R187" s="123"/>
      <c r="S187" s="123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5"/>
      <c r="AF187" s="115"/>
      <c r="AG187" s="115"/>
      <c r="AH187" s="25"/>
      <c r="AI187" s="15"/>
      <c r="AL187" s="114"/>
    </row>
    <row r="188" spans="6:38" ht="19.5" x14ac:dyDescent="0.4">
      <c r="J188" s="26"/>
      <c r="K188" s="13"/>
      <c r="O188" s="115"/>
      <c r="P188" s="117"/>
      <c r="Q188" s="123"/>
      <c r="R188" s="123"/>
      <c r="S188" s="123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115"/>
      <c r="AG188" s="115"/>
      <c r="AH188" s="25">
        <v>45276</v>
      </c>
      <c r="AI188" s="15" t="s">
        <v>162</v>
      </c>
      <c r="AL188" s="114"/>
    </row>
    <row r="189" spans="6:38" ht="19.5" x14ac:dyDescent="0.4">
      <c r="J189" s="26"/>
      <c r="K189" s="13"/>
      <c r="O189" s="115"/>
      <c r="P189" s="117"/>
      <c r="Q189" s="123"/>
      <c r="R189" s="123"/>
      <c r="S189" s="123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15"/>
      <c r="AG189" s="115"/>
      <c r="AH189" s="25">
        <v>45276</v>
      </c>
      <c r="AI189" s="15" t="s">
        <v>162</v>
      </c>
      <c r="AL189" s="114"/>
    </row>
    <row r="190" spans="6:38" ht="19.5" x14ac:dyDescent="0.4">
      <c r="J190" s="26"/>
      <c r="K190" s="13"/>
      <c r="O190" s="115"/>
      <c r="P190" s="117"/>
      <c r="Q190" s="123"/>
      <c r="R190" s="123"/>
      <c r="S190" s="123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15"/>
      <c r="AF190" s="115"/>
      <c r="AG190" s="115"/>
      <c r="AH190" s="25">
        <v>45276</v>
      </c>
      <c r="AI190" s="15" t="s">
        <v>162</v>
      </c>
      <c r="AL190" s="114"/>
    </row>
    <row r="191" spans="6:38" ht="19.5" x14ac:dyDescent="0.4">
      <c r="J191" s="26"/>
      <c r="K191" s="13"/>
      <c r="O191" s="115"/>
      <c r="P191" s="117"/>
      <c r="Q191" s="123"/>
      <c r="R191" s="123"/>
      <c r="S191" s="123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15"/>
      <c r="AF191" s="115"/>
      <c r="AG191" s="115"/>
      <c r="AH191" s="25">
        <v>45276</v>
      </c>
      <c r="AI191" s="15" t="s">
        <v>162</v>
      </c>
      <c r="AL191" s="114"/>
    </row>
    <row r="192" spans="6:38" ht="19.5" x14ac:dyDescent="0.4">
      <c r="J192" s="26"/>
      <c r="K192" s="13"/>
      <c r="O192" s="115"/>
      <c r="P192" s="117"/>
      <c r="Q192" s="123"/>
      <c r="R192" s="123"/>
      <c r="S192" s="123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15"/>
      <c r="AF192" s="115"/>
      <c r="AG192" s="115"/>
      <c r="AH192" s="25">
        <v>45276</v>
      </c>
      <c r="AI192" s="15" t="s">
        <v>162</v>
      </c>
      <c r="AL192" s="114"/>
    </row>
    <row r="193" spans="6:38" ht="19.5" x14ac:dyDescent="0.4">
      <c r="J193" s="26"/>
      <c r="K193" s="13"/>
      <c r="O193" s="115"/>
      <c r="P193" s="117"/>
      <c r="Q193" s="123"/>
      <c r="R193" s="123"/>
      <c r="S193" s="123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115"/>
      <c r="AG193" s="115"/>
      <c r="AH193" s="25"/>
      <c r="AI193" s="15"/>
      <c r="AL193" s="114"/>
    </row>
    <row r="194" spans="6:38" ht="19.5" x14ac:dyDescent="0.4">
      <c r="J194" s="26"/>
      <c r="K194" s="13"/>
      <c r="O194" s="115"/>
      <c r="P194" s="117"/>
      <c r="Q194" s="123"/>
      <c r="R194" s="123"/>
      <c r="S194" s="123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115"/>
      <c r="AG194" s="115"/>
      <c r="AH194" s="25">
        <v>45276</v>
      </c>
      <c r="AI194" s="15" t="s">
        <v>162</v>
      </c>
      <c r="AL194" s="114"/>
    </row>
    <row r="195" spans="6:38" ht="19.5" x14ac:dyDescent="0.4">
      <c r="J195" s="26"/>
      <c r="K195" s="13"/>
      <c r="O195" s="115"/>
      <c r="P195" s="117"/>
      <c r="Q195" s="123"/>
      <c r="R195" s="123"/>
      <c r="S195" s="123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15"/>
      <c r="AG195" s="115"/>
      <c r="AH195" s="25">
        <v>45276</v>
      </c>
      <c r="AI195" s="15" t="s">
        <v>162</v>
      </c>
      <c r="AL195" s="114"/>
    </row>
    <row r="196" spans="6:38" ht="19.5" x14ac:dyDescent="0.4">
      <c r="G196" s="115"/>
      <c r="H196" s="115"/>
      <c r="I196" s="115"/>
      <c r="J196" s="17"/>
      <c r="K196" s="13"/>
      <c r="O196" s="115"/>
      <c r="P196" s="117"/>
      <c r="Q196" s="123"/>
      <c r="R196" s="123"/>
      <c r="S196" s="123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115"/>
      <c r="AF196" s="115"/>
      <c r="AG196" s="115"/>
      <c r="AH196" s="25"/>
      <c r="AI196" s="15"/>
      <c r="AL196" s="114"/>
    </row>
    <row r="197" spans="6:38" ht="19.5" x14ac:dyDescent="0.4">
      <c r="J197" s="26"/>
      <c r="K197" s="13"/>
      <c r="O197" s="115"/>
      <c r="P197" s="117"/>
      <c r="Q197" s="123"/>
      <c r="R197" s="123"/>
      <c r="S197" s="123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15"/>
      <c r="AG197" s="115" t="s">
        <v>169</v>
      </c>
      <c r="AH197" s="13">
        <f>SUBTOTAL(3,AH171:AH195)</f>
        <v>17</v>
      </c>
      <c r="AI197" s="15">
        <f>SUBTOTAL(3,AI171:AI195)</f>
        <v>17</v>
      </c>
      <c r="AL197" s="114"/>
    </row>
    <row r="198" spans="6:38" ht="19.5" x14ac:dyDescent="0.4">
      <c r="G198" s="115"/>
      <c r="H198" s="115"/>
      <c r="I198" s="115"/>
      <c r="J198" s="17"/>
      <c r="K198" s="13"/>
      <c r="O198" s="115"/>
      <c r="P198" s="117"/>
      <c r="Q198" s="123"/>
      <c r="R198" s="123"/>
      <c r="S198" s="123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115"/>
      <c r="AG198" s="115"/>
      <c r="AH198" s="13"/>
      <c r="AI198" s="15"/>
      <c r="AL198" s="114"/>
    </row>
    <row r="199" spans="6:38" ht="19.5" x14ac:dyDescent="0.4">
      <c r="J199" s="26"/>
      <c r="K199" s="13"/>
      <c r="O199" s="115"/>
      <c r="P199" s="117"/>
      <c r="Q199" s="123"/>
      <c r="R199" s="123"/>
      <c r="S199" s="123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  <c r="AG199" s="115"/>
      <c r="AH199" s="25">
        <v>45277</v>
      </c>
      <c r="AI199" s="15" t="s">
        <v>162</v>
      </c>
      <c r="AL199" s="114"/>
    </row>
    <row r="200" spans="6:38" ht="19.5" x14ac:dyDescent="0.4">
      <c r="G200" s="115"/>
      <c r="H200" s="115"/>
      <c r="I200" s="115"/>
      <c r="J200" s="17"/>
      <c r="K200" s="13"/>
      <c r="O200" s="115"/>
      <c r="P200" s="117"/>
      <c r="Q200" s="123"/>
      <c r="R200" s="123"/>
      <c r="S200" s="123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15"/>
      <c r="AF200" s="115"/>
      <c r="AG200" s="115"/>
      <c r="AH200" s="25"/>
      <c r="AI200" s="15"/>
      <c r="AL200" s="114"/>
    </row>
    <row r="201" spans="6:38" ht="19.5" x14ac:dyDescent="0.4">
      <c r="J201" s="26"/>
      <c r="K201" s="13"/>
      <c r="O201" s="115"/>
      <c r="P201" s="117"/>
      <c r="Q201" s="123"/>
      <c r="R201" s="123"/>
      <c r="S201" s="123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115"/>
      <c r="AH201" s="25">
        <v>45277</v>
      </c>
      <c r="AI201" s="15" t="s">
        <v>162</v>
      </c>
      <c r="AL201" s="114"/>
    </row>
    <row r="202" spans="6:38" ht="19.5" x14ac:dyDescent="0.4">
      <c r="J202" s="26"/>
      <c r="K202" s="13"/>
      <c r="O202" s="115"/>
      <c r="P202" s="117"/>
      <c r="Q202" s="123"/>
      <c r="R202" s="123"/>
      <c r="S202" s="123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  <c r="AG202" s="115"/>
      <c r="AH202" s="26">
        <v>45277</v>
      </c>
      <c r="AI202" s="13" t="s">
        <v>162</v>
      </c>
      <c r="AL202" s="114"/>
    </row>
    <row r="203" spans="6:38" ht="19.5" x14ac:dyDescent="0.4">
      <c r="J203" s="26"/>
      <c r="K203" s="13"/>
      <c r="O203" s="115"/>
      <c r="P203" s="117"/>
      <c r="Q203" s="123"/>
      <c r="R203" s="123"/>
      <c r="S203" s="123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115"/>
      <c r="AH203" s="26">
        <v>45277</v>
      </c>
      <c r="AI203" s="15" t="s">
        <v>162</v>
      </c>
      <c r="AL203" s="114"/>
    </row>
    <row r="204" spans="6:38" ht="19.5" x14ac:dyDescent="0.4">
      <c r="F204" s="115"/>
      <c r="G204" s="115"/>
      <c r="H204" s="115"/>
      <c r="I204" s="115"/>
      <c r="J204" s="26"/>
      <c r="K204" s="13"/>
      <c r="O204" s="115"/>
      <c r="P204" s="117"/>
      <c r="Q204" s="123"/>
      <c r="R204" s="123"/>
      <c r="S204" s="123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  <c r="AG204" s="115"/>
      <c r="AH204" s="26"/>
      <c r="AI204" s="15"/>
      <c r="AL204" s="114"/>
    </row>
    <row r="205" spans="6:38" ht="19.5" x14ac:dyDescent="0.4">
      <c r="J205" s="26"/>
      <c r="K205" s="13"/>
      <c r="O205" s="115"/>
      <c r="P205" s="117"/>
      <c r="Q205" s="123"/>
      <c r="R205" s="123"/>
      <c r="S205" s="123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  <c r="AG205" s="115"/>
      <c r="AH205" s="26">
        <v>45277</v>
      </c>
      <c r="AI205" s="15" t="s">
        <v>162</v>
      </c>
      <c r="AL205" s="114"/>
    </row>
    <row r="206" spans="6:38" ht="19.5" x14ac:dyDescent="0.4">
      <c r="J206" s="26"/>
      <c r="K206" s="13"/>
      <c r="O206" s="115"/>
      <c r="P206" s="117"/>
      <c r="Q206" s="123"/>
      <c r="R206" s="123"/>
      <c r="S206" s="123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115"/>
      <c r="AG206" s="115" t="s">
        <v>160</v>
      </c>
      <c r="AH206" s="17">
        <f>SUBTOTAL(3,AH199:AH205)</f>
        <v>5</v>
      </c>
      <c r="AI206" s="15">
        <f>SUBTOTAL(3,AI199:AI205)</f>
        <v>5</v>
      </c>
      <c r="AL206" s="114"/>
    </row>
    <row r="207" spans="6:38" ht="19.5" x14ac:dyDescent="0.4">
      <c r="F207" s="115"/>
      <c r="G207" s="115"/>
      <c r="H207" s="115"/>
      <c r="I207" s="115"/>
      <c r="J207" s="26"/>
      <c r="K207" s="13"/>
      <c r="O207" s="115"/>
      <c r="P207" s="117"/>
      <c r="Q207" s="123"/>
      <c r="R207" s="123"/>
      <c r="S207" s="123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115"/>
      <c r="AG207" s="115"/>
      <c r="AH207" s="17"/>
      <c r="AI207" s="15"/>
      <c r="AL207" s="114"/>
    </row>
    <row r="208" spans="6:38" ht="19.5" x14ac:dyDescent="0.4">
      <c r="F208" s="115"/>
      <c r="G208" s="115"/>
      <c r="H208" s="115"/>
      <c r="I208" s="115"/>
      <c r="J208" s="17"/>
      <c r="K208" s="13"/>
      <c r="O208" s="115"/>
      <c r="P208" s="117"/>
      <c r="Q208" s="123"/>
      <c r="R208" s="123"/>
      <c r="S208" s="123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  <c r="AG208" s="115"/>
      <c r="AH208" s="17"/>
      <c r="AI208" s="15"/>
      <c r="AL208" s="114"/>
    </row>
    <row r="209" spans="6:38" ht="19.5" x14ac:dyDescent="0.4">
      <c r="J209" s="26"/>
      <c r="K209" s="13"/>
      <c r="O209" s="115"/>
      <c r="P209" s="117"/>
      <c r="Q209" s="123"/>
      <c r="R209" s="123"/>
      <c r="S209" s="123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115"/>
      <c r="AH209" s="26">
        <v>45278</v>
      </c>
      <c r="AI209" s="15" t="s">
        <v>164</v>
      </c>
      <c r="AL209" s="114"/>
    </row>
    <row r="210" spans="6:38" ht="19.5" x14ac:dyDescent="0.4">
      <c r="J210" s="26"/>
      <c r="K210" s="13"/>
      <c r="O210" s="115"/>
      <c r="P210" s="117"/>
      <c r="Q210" s="123"/>
      <c r="R210" s="123"/>
      <c r="S210" s="123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15"/>
      <c r="AG210" s="115"/>
      <c r="AH210" s="26">
        <v>45278</v>
      </c>
      <c r="AI210" s="15" t="s">
        <v>164</v>
      </c>
      <c r="AL210" s="114"/>
    </row>
    <row r="211" spans="6:38" ht="19.5" x14ac:dyDescent="0.4">
      <c r="G211" s="115"/>
      <c r="H211" s="115"/>
      <c r="I211" s="115"/>
      <c r="J211" s="17"/>
      <c r="K211" s="13"/>
      <c r="O211" s="115"/>
      <c r="P211" s="117"/>
      <c r="Q211" s="123"/>
      <c r="R211" s="123"/>
      <c r="S211" s="123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15"/>
      <c r="AF211" s="115"/>
      <c r="AG211" s="115"/>
      <c r="AH211" s="26"/>
      <c r="AI211" s="15"/>
      <c r="AL211" s="114"/>
    </row>
    <row r="212" spans="6:38" ht="19.5" x14ac:dyDescent="0.4">
      <c r="J212" s="26"/>
      <c r="K212" s="13"/>
      <c r="O212" s="115"/>
      <c r="P212" s="117"/>
      <c r="Q212" s="123"/>
      <c r="R212" s="123"/>
      <c r="S212" s="123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15"/>
      <c r="AF212" s="115"/>
      <c r="AG212" s="115"/>
      <c r="AH212" s="26">
        <v>45278</v>
      </c>
      <c r="AI212" s="15" t="s">
        <v>162</v>
      </c>
      <c r="AL212" s="114"/>
    </row>
    <row r="213" spans="6:38" ht="19.5" x14ac:dyDescent="0.4">
      <c r="G213" s="115"/>
      <c r="H213" s="115"/>
      <c r="I213" s="115"/>
      <c r="J213" s="17"/>
      <c r="K213" s="13"/>
      <c r="O213" s="115"/>
      <c r="P213" s="117"/>
      <c r="Q213" s="123"/>
      <c r="R213" s="123"/>
      <c r="S213" s="123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/>
      <c r="AF213" s="115"/>
      <c r="AG213" s="115"/>
      <c r="AH213" s="26"/>
      <c r="AI213" s="15"/>
      <c r="AL213" s="114"/>
    </row>
    <row r="214" spans="6:38" ht="19.5" x14ac:dyDescent="0.4">
      <c r="J214" s="26"/>
      <c r="K214" s="13"/>
      <c r="O214" s="115"/>
      <c r="P214" s="117"/>
      <c r="Q214" s="123"/>
      <c r="R214" s="123"/>
      <c r="S214" s="123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15"/>
      <c r="AF214" s="115"/>
      <c r="AG214" s="115"/>
      <c r="AH214" s="26">
        <v>45278</v>
      </c>
      <c r="AI214" s="15" t="s">
        <v>142</v>
      </c>
      <c r="AL214" s="114"/>
    </row>
    <row r="215" spans="6:38" ht="19.5" x14ac:dyDescent="0.4">
      <c r="J215" s="26"/>
      <c r="K215" s="13"/>
      <c r="O215" s="115"/>
      <c r="P215" s="117"/>
      <c r="Q215" s="123"/>
      <c r="R215" s="123"/>
      <c r="S215" s="123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115"/>
      <c r="AG215" s="115"/>
      <c r="AH215" s="26">
        <v>45278</v>
      </c>
      <c r="AI215" s="15" t="s">
        <v>162</v>
      </c>
      <c r="AL215" s="114"/>
    </row>
    <row r="216" spans="6:38" ht="19.5" x14ac:dyDescent="0.4">
      <c r="J216" s="26"/>
      <c r="K216" s="13"/>
      <c r="O216" s="115"/>
      <c r="P216" s="117"/>
      <c r="Q216" s="123"/>
      <c r="R216" s="123"/>
      <c r="S216" s="123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15"/>
      <c r="AF216" s="115"/>
      <c r="AG216" s="115"/>
      <c r="AH216" s="26">
        <v>45278</v>
      </c>
      <c r="AI216" s="15" t="s">
        <v>162</v>
      </c>
      <c r="AL216" s="114"/>
    </row>
    <row r="217" spans="6:38" ht="19.5" x14ac:dyDescent="0.4">
      <c r="G217" s="115"/>
      <c r="H217" s="115"/>
      <c r="I217" s="115"/>
      <c r="J217" s="17"/>
      <c r="K217" s="13"/>
      <c r="O217" s="115"/>
      <c r="P217" s="117"/>
      <c r="Q217" s="123"/>
      <c r="R217" s="123"/>
      <c r="S217" s="123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115"/>
      <c r="AG217" s="115"/>
      <c r="AH217" s="26"/>
      <c r="AI217" s="15"/>
      <c r="AL217" s="114"/>
    </row>
    <row r="218" spans="6:38" ht="19.5" x14ac:dyDescent="0.4">
      <c r="F218" s="115"/>
      <c r="G218" s="115"/>
      <c r="H218" s="115"/>
      <c r="I218" s="115"/>
      <c r="J218" s="26"/>
      <c r="K218" s="13"/>
      <c r="O218" s="115"/>
      <c r="P218" s="117"/>
      <c r="Q218" s="123"/>
      <c r="R218" s="123"/>
      <c r="S218" s="123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15"/>
      <c r="AF218" s="115"/>
      <c r="AG218" s="115"/>
      <c r="AH218" s="26"/>
      <c r="AI218" s="15"/>
      <c r="AL218" s="114"/>
    </row>
    <row r="219" spans="6:38" ht="19.5" x14ac:dyDescent="0.4">
      <c r="F219" s="115"/>
      <c r="G219" s="115"/>
      <c r="H219" s="115"/>
      <c r="I219" s="115"/>
      <c r="J219" s="26"/>
      <c r="K219" s="15"/>
      <c r="O219" s="115"/>
      <c r="P219" s="117"/>
      <c r="Q219" s="123"/>
      <c r="R219" s="123"/>
      <c r="S219" s="123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5"/>
      <c r="AF219" s="115"/>
      <c r="AG219" s="115"/>
      <c r="AH219" s="26"/>
      <c r="AI219" s="15"/>
      <c r="AL219" s="114"/>
    </row>
    <row r="220" spans="6:38" ht="19.5" x14ac:dyDescent="0.4">
      <c r="J220" s="26"/>
      <c r="K220" s="15"/>
      <c r="O220" s="115"/>
      <c r="P220" s="117"/>
      <c r="Q220" s="123"/>
      <c r="R220" s="123"/>
      <c r="S220" s="123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115"/>
      <c r="AH220" s="26">
        <v>45278</v>
      </c>
      <c r="AI220" s="15" t="s">
        <v>162</v>
      </c>
      <c r="AL220" s="114"/>
    </row>
    <row r="221" spans="6:38" ht="19.5" x14ac:dyDescent="0.4">
      <c r="G221" s="115"/>
      <c r="H221" s="115"/>
      <c r="I221" s="115"/>
      <c r="J221" s="17"/>
      <c r="K221" s="15"/>
      <c r="O221" s="115"/>
      <c r="P221" s="117"/>
      <c r="Q221" s="123"/>
      <c r="R221" s="123"/>
      <c r="S221" s="123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26"/>
      <c r="AI221" s="15"/>
      <c r="AL221" s="114"/>
    </row>
    <row r="222" spans="6:38" ht="19.5" x14ac:dyDescent="0.4">
      <c r="J222" s="26"/>
      <c r="K222" s="15"/>
      <c r="O222" s="115"/>
      <c r="P222" s="117"/>
      <c r="Q222" s="123"/>
      <c r="R222" s="123"/>
      <c r="S222" s="123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  <c r="AG222" s="115"/>
      <c r="AH222" s="26">
        <v>45278</v>
      </c>
      <c r="AI222" s="15" t="s">
        <v>163</v>
      </c>
      <c r="AL222" s="114"/>
    </row>
    <row r="223" spans="6:38" ht="19.5" x14ac:dyDescent="0.4">
      <c r="J223" s="26"/>
      <c r="K223" s="13"/>
      <c r="O223" s="115"/>
      <c r="P223" s="117"/>
      <c r="Q223" s="123"/>
      <c r="R223" s="123"/>
      <c r="S223" s="123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115"/>
      <c r="AG223" s="115"/>
      <c r="AH223" s="26">
        <v>45278</v>
      </c>
      <c r="AI223" s="105" t="s">
        <v>163</v>
      </c>
      <c r="AL223" s="114"/>
    </row>
    <row r="224" spans="6:38" ht="19.5" x14ac:dyDescent="0.4">
      <c r="J224" s="26"/>
      <c r="K224" s="13"/>
      <c r="O224" s="115"/>
      <c r="P224" s="117"/>
      <c r="Q224" s="123"/>
      <c r="R224" s="123"/>
      <c r="S224" s="123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26">
        <v>45278</v>
      </c>
      <c r="AI224" s="15" t="s">
        <v>163</v>
      </c>
      <c r="AL224" s="114"/>
    </row>
    <row r="225" spans="6:38" ht="19.5" x14ac:dyDescent="0.4">
      <c r="F225" s="115"/>
      <c r="G225" s="115"/>
      <c r="H225" s="115"/>
      <c r="I225" s="115"/>
      <c r="J225" s="26"/>
      <c r="K225" s="13"/>
      <c r="O225" s="115"/>
      <c r="P225" s="117"/>
      <c r="Q225" s="123"/>
      <c r="R225" s="123"/>
      <c r="S225" s="123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15"/>
      <c r="AF225" s="115"/>
      <c r="AG225" s="115"/>
      <c r="AH225" s="26"/>
      <c r="AI225" s="15"/>
      <c r="AL225" s="114"/>
    </row>
    <row r="226" spans="6:38" ht="19.5" x14ac:dyDescent="0.4">
      <c r="F226" s="115"/>
      <c r="G226" s="115"/>
      <c r="H226" s="115"/>
      <c r="I226" s="115"/>
      <c r="J226" s="17"/>
      <c r="K226" s="13"/>
      <c r="O226" s="115"/>
      <c r="P226" s="117"/>
      <c r="Q226" s="123"/>
      <c r="R226" s="123"/>
      <c r="S226" s="123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115"/>
      <c r="AG226" s="115"/>
      <c r="AH226" s="26"/>
      <c r="AI226" s="15"/>
      <c r="AL226" s="114"/>
    </row>
    <row r="227" spans="6:38" ht="19.5" x14ac:dyDescent="0.4">
      <c r="F227" s="115"/>
      <c r="G227" s="115"/>
      <c r="H227" s="115"/>
      <c r="I227" s="115"/>
      <c r="J227" s="26"/>
      <c r="K227" s="13"/>
      <c r="O227" s="115"/>
      <c r="P227" s="117"/>
      <c r="Q227" s="123"/>
      <c r="R227" s="123"/>
      <c r="S227" s="123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15"/>
      <c r="AF227" s="115"/>
      <c r="AG227" s="115"/>
      <c r="AH227" s="26"/>
      <c r="AI227" s="15"/>
      <c r="AL227" s="114"/>
    </row>
    <row r="228" spans="6:38" ht="19.5" x14ac:dyDescent="0.4">
      <c r="F228" s="115"/>
      <c r="G228" s="115"/>
      <c r="H228" s="115"/>
      <c r="I228" s="115"/>
      <c r="J228" s="17"/>
      <c r="K228" s="13"/>
      <c r="O228" s="115"/>
      <c r="P228" s="117"/>
      <c r="Q228" s="123"/>
      <c r="R228" s="123"/>
      <c r="S228" s="123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115"/>
      <c r="AG228" s="115"/>
      <c r="AH228" s="26"/>
      <c r="AI228" s="15"/>
      <c r="AL228" s="114"/>
    </row>
    <row r="229" spans="6:38" ht="19.5" x14ac:dyDescent="0.4">
      <c r="F229" s="115"/>
      <c r="G229" s="115"/>
      <c r="H229" s="115"/>
      <c r="I229" s="115"/>
      <c r="J229" s="17"/>
      <c r="K229" s="13"/>
      <c r="O229" s="115"/>
      <c r="P229" s="117"/>
      <c r="Q229" s="123"/>
      <c r="R229" s="123"/>
      <c r="S229" s="123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115"/>
      <c r="AF229" s="115"/>
      <c r="AG229" s="115"/>
      <c r="AH229" s="26"/>
      <c r="AI229" s="15"/>
      <c r="AL229" s="114"/>
    </row>
    <row r="230" spans="6:38" ht="19.5" x14ac:dyDescent="0.4">
      <c r="F230" s="115"/>
      <c r="G230" s="115"/>
      <c r="H230" s="115"/>
      <c r="I230" s="115"/>
      <c r="J230" s="26"/>
      <c r="K230" s="13"/>
      <c r="O230" s="115"/>
      <c r="P230" s="117"/>
      <c r="Q230" s="123"/>
      <c r="R230" s="123"/>
      <c r="S230" s="123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15"/>
      <c r="AF230" s="115"/>
      <c r="AG230" s="115"/>
      <c r="AH230" s="26"/>
      <c r="AI230" s="15"/>
      <c r="AL230" s="114"/>
    </row>
    <row r="231" spans="6:38" ht="19.5" x14ac:dyDescent="0.4">
      <c r="J231" s="26"/>
      <c r="K231" s="13"/>
      <c r="O231" s="115"/>
      <c r="P231" s="117"/>
      <c r="Q231" s="123"/>
      <c r="R231" s="123"/>
      <c r="S231" s="123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26">
        <v>45278</v>
      </c>
      <c r="AI231" s="15" t="s">
        <v>163</v>
      </c>
      <c r="AL231" s="114"/>
    </row>
    <row r="232" spans="6:38" ht="19.5" x14ac:dyDescent="0.4">
      <c r="J232" s="129"/>
      <c r="K232" s="13"/>
      <c r="O232" s="115"/>
      <c r="P232" s="117"/>
      <c r="Q232" s="123"/>
      <c r="R232" s="123"/>
      <c r="S232" s="123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15"/>
      <c r="AF232" s="115"/>
      <c r="AG232" s="115"/>
      <c r="AH232" s="26"/>
      <c r="AI232" s="15"/>
      <c r="AL232" s="114"/>
    </row>
    <row r="233" spans="6:38" ht="19.5" x14ac:dyDescent="0.4">
      <c r="J233" s="26"/>
      <c r="K233" s="13"/>
      <c r="O233" s="115"/>
      <c r="P233" s="117"/>
      <c r="Q233" s="123"/>
      <c r="R233" s="123"/>
      <c r="S233" s="123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15"/>
      <c r="AG233" s="115"/>
      <c r="AH233" s="26">
        <v>45278</v>
      </c>
      <c r="AI233" s="15" t="s">
        <v>163</v>
      </c>
      <c r="AL233" s="114"/>
    </row>
    <row r="234" spans="6:38" ht="19.5" x14ac:dyDescent="0.4">
      <c r="J234" s="26"/>
      <c r="K234" s="13"/>
      <c r="O234" s="115"/>
      <c r="P234" s="117"/>
      <c r="Q234" s="123"/>
      <c r="R234" s="123"/>
      <c r="S234" s="123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15"/>
      <c r="AF234" s="115"/>
      <c r="AG234" s="115" t="s">
        <v>153</v>
      </c>
      <c r="AH234" s="17">
        <f>SUBTOTAL(3,AH209:AH233)</f>
        <v>12</v>
      </c>
      <c r="AI234" s="13">
        <f>SUBTOTAL(3,AI209:AI233)</f>
        <v>12</v>
      </c>
      <c r="AL234" s="114"/>
    </row>
    <row r="235" spans="6:38" ht="19.5" x14ac:dyDescent="0.4">
      <c r="J235" s="26"/>
      <c r="K235" s="13"/>
      <c r="O235" s="115"/>
      <c r="P235" s="117"/>
      <c r="Q235" s="123"/>
      <c r="R235" s="123"/>
      <c r="S235" s="123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115"/>
      <c r="AF235" s="115"/>
      <c r="AG235" s="115"/>
      <c r="AH235" s="26">
        <v>45279</v>
      </c>
      <c r="AI235" s="25" t="s">
        <v>162</v>
      </c>
      <c r="AL235" s="114"/>
    </row>
    <row r="236" spans="6:38" ht="19.5" x14ac:dyDescent="0.4">
      <c r="J236" s="26"/>
      <c r="K236" s="13"/>
      <c r="O236" s="115"/>
      <c r="P236" s="117"/>
      <c r="Q236" s="123"/>
      <c r="R236" s="123"/>
      <c r="S236" s="123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26">
        <v>45279</v>
      </c>
      <c r="AI236" s="13" t="s">
        <v>162</v>
      </c>
      <c r="AL236" s="114"/>
    </row>
    <row r="237" spans="6:38" ht="19.5" x14ac:dyDescent="0.4">
      <c r="J237" s="26"/>
      <c r="K237" s="13"/>
      <c r="O237" s="115"/>
      <c r="P237" s="117"/>
      <c r="Q237" s="123"/>
      <c r="R237" s="123"/>
      <c r="S237" s="123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  <c r="AG237" s="115"/>
      <c r="AH237" s="26">
        <v>45279</v>
      </c>
      <c r="AI237" s="13" t="s">
        <v>162</v>
      </c>
      <c r="AL237" s="114"/>
    </row>
    <row r="238" spans="6:38" ht="19.5" x14ac:dyDescent="0.4">
      <c r="J238" s="26"/>
      <c r="K238" s="13"/>
      <c r="O238" s="115"/>
      <c r="P238" s="117"/>
      <c r="Q238" s="123"/>
      <c r="R238" s="123"/>
      <c r="S238" s="123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15"/>
      <c r="AG238" s="115"/>
      <c r="AH238" s="26">
        <v>45279</v>
      </c>
      <c r="AI238" s="13" t="s">
        <v>162</v>
      </c>
      <c r="AL238" s="114"/>
    </row>
    <row r="239" spans="6:38" ht="19.5" x14ac:dyDescent="0.4">
      <c r="J239" s="129"/>
      <c r="K239" s="13"/>
      <c r="O239" s="115"/>
      <c r="P239" s="117"/>
      <c r="Q239" s="123"/>
      <c r="R239" s="123"/>
      <c r="S239" s="123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15"/>
      <c r="AF239" s="115"/>
      <c r="AG239" s="115"/>
      <c r="AH239" s="26"/>
      <c r="AI239" s="13"/>
      <c r="AL239" s="114"/>
    </row>
    <row r="240" spans="6:38" ht="19.5" x14ac:dyDescent="0.4">
      <c r="J240" s="26"/>
      <c r="K240" s="13"/>
      <c r="O240" s="115"/>
      <c r="P240" s="117"/>
      <c r="Q240" s="123"/>
      <c r="R240" s="123"/>
      <c r="S240" s="123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15"/>
      <c r="AG240" s="115"/>
      <c r="AH240" s="26">
        <v>45279</v>
      </c>
      <c r="AI240" s="13" t="s">
        <v>162</v>
      </c>
      <c r="AL240" s="114"/>
    </row>
    <row r="241" spans="10:38" ht="19.5" x14ac:dyDescent="0.4">
      <c r="J241" s="26"/>
      <c r="K241" s="13"/>
      <c r="O241" s="115"/>
      <c r="P241" s="117"/>
      <c r="Q241" s="123"/>
      <c r="R241" s="123"/>
      <c r="S241" s="123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15"/>
      <c r="AF241" s="115"/>
      <c r="AG241" s="115"/>
      <c r="AH241" s="26">
        <v>45279</v>
      </c>
      <c r="AI241" s="13" t="s">
        <v>162</v>
      </c>
      <c r="AL241" s="114"/>
    </row>
    <row r="242" spans="10:38" ht="19.5" x14ac:dyDescent="0.4">
      <c r="J242" s="26"/>
      <c r="K242" s="13"/>
      <c r="O242" s="115"/>
      <c r="P242" s="117"/>
      <c r="Q242" s="123"/>
      <c r="R242" s="123"/>
      <c r="S242" s="123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15"/>
      <c r="AF242" s="115"/>
      <c r="AG242" s="115" t="s">
        <v>170</v>
      </c>
      <c r="AH242" s="17">
        <f>SUBTOTAL(3,AH235:AH241)</f>
        <v>6</v>
      </c>
      <c r="AI242" s="13">
        <f>SUBTOTAL(3,AI235:AI241)</f>
        <v>6</v>
      </c>
      <c r="AL242" s="114"/>
    </row>
    <row r="243" spans="10:38" ht="19.5" x14ac:dyDescent="0.4">
      <c r="J243" s="129"/>
      <c r="K243" s="13"/>
      <c r="O243" s="115"/>
      <c r="P243" s="117"/>
      <c r="Q243" s="123"/>
      <c r="R243" s="123"/>
      <c r="S243" s="123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115"/>
      <c r="AH243" s="17"/>
      <c r="AI243" s="13"/>
      <c r="AL243" s="114"/>
    </row>
    <row r="244" spans="10:38" ht="19.5" x14ac:dyDescent="0.4">
      <c r="J244" s="26"/>
      <c r="K244" s="13"/>
      <c r="O244" s="115"/>
      <c r="P244" s="117"/>
      <c r="Q244" s="123"/>
      <c r="R244" s="123"/>
      <c r="S244" s="123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115"/>
      <c r="AG244" s="115"/>
      <c r="AH244" s="26">
        <v>45280</v>
      </c>
      <c r="AI244" s="13" t="s">
        <v>162</v>
      </c>
      <c r="AL244" s="114"/>
    </row>
    <row r="245" spans="10:38" ht="19.5" x14ac:dyDescent="0.4">
      <c r="J245" s="26"/>
      <c r="K245" s="13"/>
      <c r="O245" s="115"/>
      <c r="P245" s="116"/>
      <c r="Q245" s="123"/>
      <c r="R245" s="123"/>
      <c r="S245" s="123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15"/>
      <c r="AH245" s="26">
        <v>45280</v>
      </c>
      <c r="AI245" s="13" t="s">
        <v>162</v>
      </c>
      <c r="AL245" s="114"/>
    </row>
    <row r="246" spans="10:38" ht="19.5" x14ac:dyDescent="0.4">
      <c r="J246" s="26"/>
      <c r="K246" s="13"/>
      <c r="O246" s="115"/>
      <c r="P246" s="116"/>
      <c r="Q246" s="123"/>
      <c r="R246" s="123"/>
      <c r="S246" s="123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115"/>
      <c r="AG246" s="115"/>
      <c r="AH246" s="26">
        <v>45280</v>
      </c>
      <c r="AI246" s="13" t="s">
        <v>162</v>
      </c>
      <c r="AL246" s="114"/>
    </row>
    <row r="247" spans="10:38" ht="19.5" x14ac:dyDescent="0.4">
      <c r="J247" s="26"/>
      <c r="K247" s="13"/>
      <c r="O247" s="115"/>
      <c r="P247" s="116"/>
      <c r="Q247" s="123"/>
      <c r="R247" s="123"/>
      <c r="S247" s="123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15"/>
      <c r="AG247" s="115"/>
      <c r="AH247" s="26">
        <v>45280</v>
      </c>
      <c r="AI247" s="13" t="s">
        <v>162</v>
      </c>
      <c r="AL247" s="114"/>
    </row>
    <row r="248" spans="10:38" ht="19.5" x14ac:dyDescent="0.4">
      <c r="J248" s="129"/>
      <c r="K248" s="13"/>
      <c r="O248" s="115"/>
      <c r="P248" s="116"/>
      <c r="Q248" s="123"/>
      <c r="R248" s="123"/>
      <c r="S248" s="123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15"/>
      <c r="AH248" s="26"/>
      <c r="AI248" s="13"/>
      <c r="AL248" s="114"/>
    </row>
    <row r="249" spans="10:38" ht="19.5" x14ac:dyDescent="0.4">
      <c r="J249" s="26"/>
      <c r="K249" s="13"/>
      <c r="O249" s="115"/>
      <c r="P249" s="116"/>
      <c r="Q249" s="123"/>
      <c r="R249" s="123"/>
      <c r="S249" s="123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15"/>
      <c r="AG249" s="115"/>
      <c r="AH249" s="26">
        <v>45280</v>
      </c>
      <c r="AI249" s="13" t="s">
        <v>162</v>
      </c>
      <c r="AL249" s="114"/>
    </row>
    <row r="250" spans="10:38" ht="19.5" x14ac:dyDescent="0.4">
      <c r="J250" s="130"/>
      <c r="K250" s="119"/>
      <c r="O250" s="115"/>
      <c r="P250" s="116"/>
      <c r="Q250" s="123"/>
      <c r="R250" s="123"/>
      <c r="S250" s="123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115"/>
      <c r="AG250" s="115"/>
      <c r="AH250" s="26"/>
      <c r="AI250" s="13"/>
      <c r="AL250" s="114"/>
    </row>
    <row r="251" spans="10:38" ht="19.5" x14ac:dyDescent="0.4">
      <c r="J251" s="130"/>
      <c r="K251" s="119"/>
      <c r="O251" s="115"/>
      <c r="P251" s="116"/>
      <c r="Q251" s="123"/>
      <c r="R251" s="123"/>
      <c r="S251" s="123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15"/>
      <c r="AF251" s="115"/>
      <c r="AG251" s="115"/>
      <c r="AH251" s="26"/>
      <c r="AI251" s="13"/>
      <c r="AL251" s="114"/>
    </row>
    <row r="252" spans="10:38" ht="19.5" x14ac:dyDescent="0.4">
      <c r="O252" s="115"/>
      <c r="P252" s="116"/>
      <c r="Q252" s="123"/>
      <c r="R252" s="123"/>
      <c r="S252" s="123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115"/>
      <c r="AG252" s="115"/>
      <c r="AH252" s="26">
        <v>45280</v>
      </c>
      <c r="AI252" s="13" t="s">
        <v>162</v>
      </c>
      <c r="AL252" s="114"/>
    </row>
    <row r="253" spans="10:38" ht="19.5" x14ac:dyDescent="0.4">
      <c r="O253" s="115"/>
      <c r="P253" s="116"/>
      <c r="Q253" s="123"/>
      <c r="R253" s="123"/>
      <c r="S253" s="123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15"/>
      <c r="AF253" s="115"/>
      <c r="AG253" s="115"/>
      <c r="AH253" s="26">
        <v>45280</v>
      </c>
      <c r="AI253" s="13" t="s">
        <v>162</v>
      </c>
      <c r="AL253" s="114"/>
    </row>
    <row r="254" spans="10:38" ht="19.5" x14ac:dyDescent="0.4">
      <c r="O254" s="115"/>
      <c r="P254" s="116"/>
      <c r="Q254" s="123"/>
      <c r="R254" s="123"/>
      <c r="S254" s="123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15"/>
      <c r="AF254" s="115"/>
      <c r="AG254" s="115"/>
      <c r="AH254" s="26">
        <v>45280</v>
      </c>
      <c r="AI254" s="13" t="s">
        <v>162</v>
      </c>
      <c r="AL254" s="114"/>
    </row>
    <row r="255" spans="10:38" ht="19.5" x14ac:dyDescent="0.4">
      <c r="N255" s="115"/>
      <c r="O255" s="115"/>
      <c r="P255" s="116"/>
      <c r="Q255" s="123"/>
      <c r="R255" s="123"/>
      <c r="S255" s="123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15"/>
      <c r="AE255" s="115"/>
      <c r="AF255" s="115"/>
      <c r="AG255" s="115"/>
      <c r="AH255" s="26">
        <v>45280</v>
      </c>
      <c r="AI255" s="13" t="s">
        <v>162</v>
      </c>
      <c r="AL255" s="114"/>
    </row>
    <row r="256" spans="10:38" ht="19.5" x14ac:dyDescent="0.4">
      <c r="N256" s="115"/>
      <c r="O256" s="115"/>
      <c r="P256" s="116"/>
      <c r="Q256" s="123"/>
      <c r="R256" s="123"/>
      <c r="S256" s="123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15"/>
      <c r="AF256" s="115"/>
      <c r="AG256" s="115"/>
      <c r="AH256" s="26">
        <v>45280</v>
      </c>
      <c r="AI256" s="13" t="s">
        <v>162</v>
      </c>
      <c r="AL256" s="114"/>
    </row>
    <row r="257" spans="12:38" ht="19.5" x14ac:dyDescent="0.4">
      <c r="L257" s="115"/>
      <c r="M257" s="115"/>
      <c r="N257" s="115"/>
      <c r="O257" s="115"/>
      <c r="P257" s="116"/>
      <c r="Q257" s="123"/>
      <c r="R257" s="123"/>
      <c r="S257" s="123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115"/>
      <c r="AG257" s="115"/>
      <c r="AH257" s="26">
        <v>45280</v>
      </c>
      <c r="AI257" s="13" t="s">
        <v>162</v>
      </c>
      <c r="AL257" s="114"/>
    </row>
    <row r="258" spans="12:38" x14ac:dyDescent="0.4">
      <c r="L258" s="115"/>
      <c r="M258" s="115"/>
      <c r="N258" s="115"/>
      <c r="O258" s="115"/>
      <c r="P258" s="115"/>
      <c r="Q258" s="122"/>
      <c r="R258" s="122"/>
      <c r="S258" s="122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15"/>
      <c r="AF258" s="115"/>
      <c r="AG258" s="115"/>
      <c r="AH258" s="26">
        <v>45280</v>
      </c>
      <c r="AI258" s="13" t="s">
        <v>162</v>
      </c>
      <c r="AL258" s="114"/>
    </row>
    <row r="259" spans="12:38" x14ac:dyDescent="0.4">
      <c r="L259" s="115"/>
      <c r="M259" s="115"/>
      <c r="N259" s="115"/>
      <c r="O259" s="115"/>
      <c r="P259" s="115"/>
      <c r="Q259" s="122"/>
      <c r="R259" s="122"/>
      <c r="S259" s="122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15"/>
      <c r="AF259" s="115"/>
      <c r="AG259" s="115"/>
      <c r="AH259" s="26">
        <v>45280</v>
      </c>
      <c r="AI259" s="13" t="s">
        <v>162</v>
      </c>
      <c r="AL259" s="114"/>
    </row>
    <row r="260" spans="12:38" x14ac:dyDescent="0.4">
      <c r="L260" s="115"/>
      <c r="M260" s="115"/>
      <c r="N260" s="115"/>
      <c r="O260" s="115"/>
      <c r="P260" s="115"/>
      <c r="Q260" s="122"/>
      <c r="R260" s="122"/>
      <c r="S260" s="122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15"/>
      <c r="AG260" s="115" t="s">
        <v>171</v>
      </c>
      <c r="AH260" s="17">
        <f>SUBTOTAL(3,AH244:AH259)</f>
        <v>13</v>
      </c>
      <c r="AI260" s="13">
        <f>SUBTOTAL(3,AI244:AI259)</f>
        <v>13</v>
      </c>
      <c r="AL260" s="114"/>
    </row>
    <row r="261" spans="12:38" x14ac:dyDescent="0.4">
      <c r="L261" s="115"/>
      <c r="M261" s="115"/>
      <c r="N261" s="115"/>
      <c r="O261" s="115"/>
      <c r="P261" s="115"/>
      <c r="Q261" s="122"/>
      <c r="R261" s="122"/>
      <c r="S261" s="122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15"/>
      <c r="AF261" s="115"/>
      <c r="AG261" s="115"/>
      <c r="AH261" s="26">
        <v>45283</v>
      </c>
      <c r="AI261" s="13" t="s">
        <v>162</v>
      </c>
      <c r="AL261" s="114"/>
    </row>
    <row r="262" spans="12:38" x14ac:dyDescent="0.4">
      <c r="L262" s="115"/>
      <c r="M262" s="115"/>
      <c r="N262" s="115"/>
      <c r="O262" s="115"/>
      <c r="P262" s="115"/>
      <c r="Q262" s="122"/>
      <c r="R262" s="122"/>
      <c r="S262" s="122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15"/>
      <c r="AF262" s="115"/>
      <c r="AG262" s="115"/>
      <c r="AH262" s="26">
        <v>45283</v>
      </c>
      <c r="AI262" s="13" t="s">
        <v>162</v>
      </c>
      <c r="AL262" s="114"/>
    </row>
    <row r="263" spans="12:38" x14ac:dyDescent="0.4">
      <c r="L263" s="115"/>
      <c r="M263" s="115"/>
      <c r="N263" s="115"/>
      <c r="O263" s="115"/>
      <c r="P263" s="115"/>
      <c r="Q263" s="122"/>
      <c r="R263" s="122"/>
      <c r="S263" s="122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15"/>
      <c r="AF263" s="115"/>
      <c r="AG263" s="115"/>
      <c r="AH263" s="26">
        <v>45283</v>
      </c>
      <c r="AI263" s="13" t="s">
        <v>162</v>
      </c>
      <c r="AL263" s="114"/>
    </row>
    <row r="264" spans="12:38" x14ac:dyDescent="0.4">
      <c r="L264" s="115"/>
      <c r="M264" s="115"/>
      <c r="N264" s="115"/>
      <c r="O264" s="115"/>
      <c r="P264" s="115"/>
      <c r="Q264" s="122"/>
      <c r="R264" s="122"/>
      <c r="S264" s="122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15"/>
      <c r="AF264" s="115"/>
      <c r="AG264" s="115"/>
      <c r="AH264" s="26">
        <v>45283</v>
      </c>
      <c r="AI264" s="13" t="s">
        <v>162</v>
      </c>
      <c r="AL264" s="114"/>
    </row>
    <row r="265" spans="12:38" x14ac:dyDescent="0.4">
      <c r="L265" s="115"/>
      <c r="M265" s="115"/>
      <c r="N265" s="115"/>
      <c r="O265" s="115"/>
      <c r="P265" s="115"/>
      <c r="Q265" s="122"/>
      <c r="R265" s="122"/>
      <c r="S265" s="122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115"/>
      <c r="AF265" s="115"/>
      <c r="AG265" s="115"/>
      <c r="AH265" s="26">
        <v>45283</v>
      </c>
      <c r="AI265" s="13" t="s">
        <v>162</v>
      </c>
      <c r="AL265" s="114"/>
    </row>
    <row r="266" spans="12:38" x14ac:dyDescent="0.4">
      <c r="L266" s="115"/>
      <c r="M266" s="115"/>
      <c r="N266" s="115"/>
      <c r="O266" s="115"/>
      <c r="P266" s="115"/>
      <c r="Q266" s="122"/>
      <c r="R266" s="122"/>
      <c r="S266" s="122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  <c r="AG266" s="115"/>
      <c r="AH266" s="26">
        <v>45283</v>
      </c>
      <c r="AI266" s="13" t="s">
        <v>162</v>
      </c>
      <c r="AL266" s="114"/>
    </row>
    <row r="267" spans="12:38" x14ac:dyDescent="0.4">
      <c r="L267" s="115"/>
      <c r="M267" s="115"/>
      <c r="N267" s="115"/>
      <c r="O267" s="115"/>
      <c r="P267" s="115"/>
      <c r="Q267" s="122"/>
      <c r="R267" s="122"/>
      <c r="S267" s="122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115"/>
      <c r="AG267" s="115"/>
      <c r="AH267" s="26">
        <v>45283</v>
      </c>
      <c r="AI267" s="13" t="s">
        <v>162</v>
      </c>
      <c r="AL267" s="114"/>
    </row>
    <row r="268" spans="12:38" x14ac:dyDescent="0.4">
      <c r="L268" s="115"/>
      <c r="M268" s="115"/>
      <c r="N268" s="115"/>
      <c r="O268" s="115"/>
      <c r="P268" s="115"/>
      <c r="Q268" s="122"/>
      <c r="R268" s="122"/>
      <c r="S268" s="122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115"/>
      <c r="AG268" s="115"/>
      <c r="AH268" s="26">
        <v>45283</v>
      </c>
      <c r="AI268" s="13" t="s">
        <v>162</v>
      </c>
      <c r="AL268" s="114"/>
    </row>
    <row r="269" spans="12:38" x14ac:dyDescent="0.4">
      <c r="L269" s="115"/>
      <c r="M269" s="115"/>
      <c r="N269" s="115"/>
      <c r="O269" s="115"/>
      <c r="P269" s="115"/>
      <c r="Q269" s="122"/>
      <c r="R269" s="122"/>
      <c r="S269" s="122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115"/>
      <c r="AG269" s="115"/>
      <c r="AH269" s="26">
        <v>45283</v>
      </c>
      <c r="AI269" s="13" t="s">
        <v>162</v>
      </c>
      <c r="AL269" s="114"/>
    </row>
    <row r="270" spans="12:38" x14ac:dyDescent="0.4">
      <c r="L270" s="115"/>
      <c r="M270" s="115"/>
      <c r="N270" s="115"/>
      <c r="O270" s="115"/>
      <c r="P270" s="115"/>
      <c r="Q270" s="122"/>
      <c r="R270" s="122"/>
      <c r="S270" s="122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115"/>
      <c r="AG270" s="115"/>
      <c r="AH270" s="26">
        <v>45283</v>
      </c>
      <c r="AI270" s="13" t="s">
        <v>162</v>
      </c>
      <c r="AL270" s="114"/>
    </row>
    <row r="271" spans="12:38" x14ac:dyDescent="0.4">
      <c r="L271" s="115"/>
      <c r="M271" s="115"/>
      <c r="N271" s="115"/>
      <c r="O271" s="115"/>
      <c r="P271" s="115"/>
      <c r="Q271" s="122"/>
      <c r="R271" s="122"/>
      <c r="S271" s="122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115"/>
      <c r="AG271" s="115"/>
      <c r="AH271" s="26">
        <v>45283</v>
      </c>
      <c r="AI271" s="13" t="s">
        <v>163</v>
      </c>
      <c r="AL271" s="114"/>
    </row>
    <row r="272" spans="12:38" x14ac:dyDescent="0.4">
      <c r="L272" s="115"/>
      <c r="M272" s="115"/>
      <c r="N272" s="115"/>
      <c r="O272" s="115"/>
      <c r="P272" s="115"/>
      <c r="Q272" s="122"/>
      <c r="R272" s="122"/>
      <c r="S272" s="122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  <c r="AG272" s="115"/>
      <c r="AH272" s="26">
        <v>45283</v>
      </c>
      <c r="AI272" s="13" t="s">
        <v>163</v>
      </c>
      <c r="AL272" s="114"/>
    </row>
    <row r="273" spans="12:38" x14ac:dyDescent="0.4">
      <c r="L273" s="115"/>
      <c r="M273" s="115"/>
      <c r="N273" s="115"/>
      <c r="O273" s="115"/>
      <c r="P273" s="115"/>
      <c r="Q273" s="122"/>
      <c r="R273" s="122"/>
      <c r="S273" s="122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5"/>
      <c r="AH273" s="26">
        <v>45283</v>
      </c>
      <c r="AI273" s="13" t="s">
        <v>163</v>
      </c>
      <c r="AL273" s="114"/>
    </row>
    <row r="274" spans="12:38" x14ac:dyDescent="0.4">
      <c r="L274" s="115"/>
      <c r="M274" s="115"/>
      <c r="N274" s="115"/>
      <c r="O274" s="115"/>
      <c r="P274" s="115"/>
      <c r="Q274" s="122"/>
      <c r="R274" s="122"/>
      <c r="S274" s="122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15"/>
      <c r="AF274" s="115"/>
      <c r="AG274" s="115" t="s">
        <v>161</v>
      </c>
      <c r="AH274" s="17">
        <f>SUBTOTAL(3,AH261:AH273)</f>
        <v>13</v>
      </c>
      <c r="AI274" s="13">
        <f>SUBTOTAL(3,AI261:AI273)</f>
        <v>13</v>
      </c>
      <c r="AL274" s="114"/>
    </row>
    <row r="275" spans="12:38" x14ac:dyDescent="0.4">
      <c r="L275" s="115"/>
      <c r="M275" s="115"/>
      <c r="N275" s="115"/>
      <c r="O275" s="115"/>
      <c r="P275" s="115"/>
      <c r="Q275" s="122"/>
      <c r="R275" s="122"/>
      <c r="S275" s="122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115"/>
      <c r="AG275" s="115"/>
      <c r="AH275" s="26">
        <v>45285</v>
      </c>
      <c r="AI275" s="13" t="s">
        <v>163</v>
      </c>
      <c r="AL275" s="114"/>
    </row>
    <row r="276" spans="12:38" x14ac:dyDescent="0.4">
      <c r="L276" s="115"/>
      <c r="M276" s="115"/>
      <c r="N276" s="115"/>
      <c r="O276" s="115"/>
      <c r="P276" s="115"/>
      <c r="Q276" s="122"/>
      <c r="R276" s="122"/>
      <c r="S276" s="122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15"/>
      <c r="AF276" s="115"/>
      <c r="AG276" s="115" t="s">
        <v>172</v>
      </c>
      <c r="AH276" s="17">
        <f>SUBTOTAL(3,AH275:AH275)</f>
        <v>1</v>
      </c>
      <c r="AI276" s="13">
        <f>SUBTOTAL(3,AI275:AI275)</f>
        <v>1</v>
      </c>
      <c r="AL276" s="114"/>
    </row>
    <row r="277" spans="12:38" x14ac:dyDescent="0.4">
      <c r="L277" s="115"/>
      <c r="M277" s="115"/>
      <c r="N277" s="115"/>
      <c r="O277" s="115"/>
      <c r="P277" s="115"/>
      <c r="Q277" s="122"/>
      <c r="R277" s="122"/>
      <c r="S277" s="122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26">
        <v>45299</v>
      </c>
      <c r="AI277" s="13" t="s">
        <v>164</v>
      </c>
      <c r="AL277" s="114"/>
    </row>
    <row r="278" spans="12:38" x14ac:dyDescent="0.4">
      <c r="L278" s="115"/>
      <c r="M278" s="115"/>
      <c r="N278" s="115"/>
      <c r="O278" s="115"/>
      <c r="P278" s="115"/>
      <c r="Q278" s="122"/>
      <c r="R278" s="122"/>
      <c r="S278" s="122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115"/>
      <c r="AG278" s="115"/>
      <c r="AH278" s="26">
        <v>45299</v>
      </c>
      <c r="AI278" s="13" t="s">
        <v>162</v>
      </c>
      <c r="AL278" s="114"/>
    </row>
    <row r="279" spans="12:38" x14ac:dyDescent="0.4">
      <c r="L279" s="115"/>
      <c r="M279" s="115"/>
      <c r="N279" s="115"/>
      <c r="O279" s="115"/>
      <c r="P279" s="115"/>
      <c r="Q279" s="122"/>
      <c r="R279" s="122"/>
      <c r="S279" s="122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115"/>
      <c r="AG279" s="115"/>
      <c r="AH279" s="26">
        <v>45299</v>
      </c>
      <c r="AI279" s="13" t="s">
        <v>162</v>
      </c>
      <c r="AL279" s="114"/>
    </row>
    <row r="280" spans="12:38" x14ac:dyDescent="0.4">
      <c r="L280" s="115"/>
      <c r="M280" s="115"/>
      <c r="N280" s="115"/>
      <c r="O280" s="115"/>
      <c r="P280" s="115"/>
      <c r="Q280" s="122"/>
      <c r="R280" s="122"/>
      <c r="S280" s="122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115"/>
      <c r="AG280" s="115"/>
      <c r="AH280" s="26">
        <v>45299</v>
      </c>
      <c r="AI280" s="15" t="s">
        <v>162</v>
      </c>
      <c r="AL280" s="114"/>
    </row>
    <row r="281" spans="12:38" x14ac:dyDescent="0.4">
      <c r="L281" s="115"/>
      <c r="M281" s="115"/>
      <c r="N281" s="115"/>
      <c r="O281" s="115"/>
      <c r="P281" s="115"/>
      <c r="Q281" s="122"/>
      <c r="R281" s="122"/>
      <c r="S281" s="122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115"/>
      <c r="AG281" s="115" t="s">
        <v>173</v>
      </c>
      <c r="AH281" s="17">
        <f>SUBTOTAL(3,AH277:AH280)</f>
        <v>4</v>
      </c>
      <c r="AI281" s="13">
        <f>SUBTOTAL(3,AI277:AI280)</f>
        <v>4</v>
      </c>
      <c r="AL281" s="114"/>
    </row>
    <row r="282" spans="12:38" x14ac:dyDescent="0.4">
      <c r="L282" s="115"/>
      <c r="M282" s="115"/>
      <c r="N282" s="115"/>
      <c r="O282" s="115"/>
      <c r="P282" s="115"/>
      <c r="Q282" s="122"/>
      <c r="R282" s="122"/>
      <c r="S282" s="122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115"/>
      <c r="AG282" s="115" t="s">
        <v>145</v>
      </c>
      <c r="AH282" s="17">
        <f>SUBTOTAL(3,AH2:AH280)</f>
        <v>136</v>
      </c>
      <c r="AI282" s="13">
        <f>SUBTOTAL(3,AI2:AI280)</f>
        <v>136</v>
      </c>
      <c r="AL282" s="114"/>
    </row>
    <row r="283" spans="12:38" x14ac:dyDescent="0.4">
      <c r="L283" s="115"/>
      <c r="M283" s="115"/>
      <c r="N283" s="115"/>
      <c r="O283" s="115"/>
      <c r="P283" s="115"/>
      <c r="Q283" s="122"/>
      <c r="R283" s="122"/>
      <c r="S283" s="122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15" t="s">
        <v>145</v>
      </c>
      <c r="AF283" s="115"/>
      <c r="AG283" s="115"/>
      <c r="AH283" s="26"/>
      <c r="AI283" s="13"/>
      <c r="AL283" s="114"/>
    </row>
    <row r="284" spans="12:38" x14ac:dyDescent="0.4">
      <c r="L284" s="115"/>
      <c r="M284" s="115"/>
      <c r="N284" s="115"/>
      <c r="O284" s="115"/>
      <c r="P284" s="115"/>
      <c r="Q284" s="122"/>
      <c r="R284" s="122"/>
      <c r="S284" s="122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15"/>
      <c r="AG284" s="115"/>
      <c r="AH284" s="17"/>
      <c r="AI284" s="13"/>
      <c r="AL284" s="114"/>
    </row>
    <row r="285" spans="12:38" x14ac:dyDescent="0.4">
      <c r="L285" s="115"/>
      <c r="M285" s="115"/>
      <c r="N285" s="115"/>
      <c r="O285" s="115"/>
      <c r="P285" s="115"/>
      <c r="Q285" s="122"/>
      <c r="R285" s="122"/>
      <c r="S285" s="122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15"/>
      <c r="AG285" s="115"/>
      <c r="AH285" s="26"/>
      <c r="AI285" s="13"/>
      <c r="AL285" s="114"/>
    </row>
    <row r="286" spans="12:38" x14ac:dyDescent="0.4">
      <c r="L286" s="115"/>
      <c r="M286" s="115"/>
      <c r="N286" s="115"/>
      <c r="O286" s="115"/>
      <c r="P286" s="115"/>
      <c r="Q286" s="122"/>
      <c r="R286" s="122"/>
      <c r="S286" s="122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115"/>
      <c r="AG286" s="115"/>
      <c r="AH286" s="17"/>
      <c r="AI286" s="13"/>
      <c r="AL286" s="114"/>
    </row>
    <row r="287" spans="12:38" x14ac:dyDescent="0.4">
      <c r="L287" s="115"/>
      <c r="M287" s="115"/>
      <c r="N287" s="115"/>
      <c r="O287" s="115"/>
      <c r="P287" s="115"/>
      <c r="Q287" s="122"/>
      <c r="R287" s="122"/>
      <c r="S287" s="122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115"/>
      <c r="AG287" s="115"/>
      <c r="AH287" s="26"/>
      <c r="AI287" s="13"/>
      <c r="AL287" s="114"/>
    </row>
    <row r="288" spans="12:38" x14ac:dyDescent="0.4">
      <c r="L288" s="115"/>
      <c r="M288" s="115"/>
      <c r="N288" s="115"/>
      <c r="O288" s="115"/>
      <c r="P288" s="115"/>
      <c r="Q288" s="122"/>
      <c r="R288" s="122"/>
      <c r="S288" s="122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115"/>
      <c r="AG288" s="115"/>
      <c r="AH288" s="26"/>
      <c r="AI288" s="13"/>
      <c r="AL288" s="114"/>
    </row>
    <row r="289" spans="12:38" x14ac:dyDescent="0.4">
      <c r="L289" s="115"/>
      <c r="M289" s="115"/>
      <c r="N289" s="115"/>
      <c r="O289" s="115"/>
      <c r="P289" s="115"/>
      <c r="Q289" s="122"/>
      <c r="R289" s="122"/>
      <c r="S289" s="122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115"/>
      <c r="AF289" s="115"/>
      <c r="AG289" s="115"/>
      <c r="AH289" s="26"/>
      <c r="AI289" s="13"/>
      <c r="AL289" s="114"/>
    </row>
    <row r="290" spans="12:38" x14ac:dyDescent="0.4">
      <c r="L290" s="115"/>
      <c r="M290" s="115"/>
      <c r="N290" s="115"/>
      <c r="O290" s="115"/>
      <c r="P290" s="115"/>
      <c r="Q290" s="122"/>
      <c r="R290" s="122"/>
      <c r="S290" s="122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115"/>
      <c r="AH290" s="17"/>
      <c r="AI290" s="13"/>
      <c r="AL290" s="114"/>
    </row>
    <row r="291" spans="12:38" x14ac:dyDescent="0.4">
      <c r="L291" s="115"/>
      <c r="M291" s="115"/>
      <c r="N291" s="115"/>
      <c r="O291" s="115"/>
      <c r="P291" s="115"/>
      <c r="Q291" s="122"/>
      <c r="R291" s="122"/>
      <c r="S291" s="122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115"/>
      <c r="AG291" s="115"/>
      <c r="AH291" s="26"/>
      <c r="AI291" s="13"/>
      <c r="AL291" s="114"/>
    </row>
    <row r="292" spans="12:38" x14ac:dyDescent="0.4">
      <c r="L292" s="115"/>
      <c r="M292" s="115"/>
      <c r="N292" s="115"/>
      <c r="O292" s="115"/>
      <c r="P292" s="115"/>
      <c r="Q292" s="122"/>
      <c r="R292" s="122"/>
      <c r="S292" s="122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115"/>
      <c r="AG292" s="115"/>
      <c r="AH292" s="17"/>
      <c r="AI292" s="13"/>
      <c r="AL292" s="114"/>
    </row>
    <row r="293" spans="12:38" x14ac:dyDescent="0.4">
      <c r="L293" s="115"/>
      <c r="M293" s="115"/>
      <c r="N293" s="115"/>
      <c r="O293" s="115"/>
      <c r="P293" s="115"/>
      <c r="Q293" s="122"/>
      <c r="R293" s="122"/>
      <c r="S293" s="122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15"/>
      <c r="AG293" s="115"/>
      <c r="AH293" s="26"/>
      <c r="AI293" s="13"/>
      <c r="AL293" s="114"/>
    </row>
    <row r="294" spans="12:38" x14ac:dyDescent="0.4">
      <c r="L294" s="115"/>
      <c r="M294" s="115"/>
      <c r="N294" s="115"/>
      <c r="O294" s="115"/>
      <c r="P294" s="115"/>
      <c r="Q294" s="122"/>
      <c r="R294" s="122"/>
      <c r="S294" s="122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115"/>
      <c r="AG294" s="115"/>
      <c r="AH294" s="17"/>
      <c r="AI294" s="13"/>
      <c r="AL294" s="114"/>
    </row>
    <row r="295" spans="12:38" x14ac:dyDescent="0.4">
      <c r="L295" s="115"/>
      <c r="M295" s="115"/>
      <c r="N295" s="115"/>
      <c r="O295" s="115"/>
      <c r="P295" s="115"/>
      <c r="Q295" s="122"/>
      <c r="R295" s="122"/>
      <c r="S295" s="122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115"/>
      <c r="AG295" s="115"/>
      <c r="AH295" s="17"/>
      <c r="AI295" s="13"/>
      <c r="AL295" s="114"/>
    </row>
    <row r="296" spans="12:38" x14ac:dyDescent="0.4">
      <c r="L296" s="115"/>
      <c r="M296" s="115"/>
      <c r="N296" s="115"/>
      <c r="O296" s="115"/>
      <c r="P296" s="115"/>
      <c r="Q296" s="122"/>
      <c r="R296" s="122"/>
      <c r="S296" s="122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15"/>
      <c r="AF296" s="115"/>
      <c r="AG296" s="115"/>
      <c r="AH296" s="17"/>
      <c r="AI296" s="13"/>
      <c r="AL296" s="114"/>
    </row>
    <row r="297" spans="12:38" x14ac:dyDescent="0.4">
      <c r="L297" s="115"/>
      <c r="M297" s="115"/>
      <c r="N297" s="115"/>
      <c r="O297" s="115"/>
      <c r="P297" s="115"/>
      <c r="Q297" s="122"/>
      <c r="R297" s="122"/>
      <c r="S297" s="122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115"/>
      <c r="AF297" s="115"/>
      <c r="AG297" s="115"/>
      <c r="AH297" s="26"/>
      <c r="AI297" s="13"/>
      <c r="AL297" s="114"/>
    </row>
    <row r="298" spans="12:38" x14ac:dyDescent="0.4">
      <c r="L298" s="115"/>
      <c r="M298" s="115"/>
      <c r="N298" s="115"/>
      <c r="O298" s="115"/>
      <c r="P298" s="115"/>
      <c r="Q298" s="122"/>
      <c r="R298" s="122"/>
      <c r="S298" s="122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15"/>
      <c r="AE298" s="115"/>
      <c r="AF298" s="115"/>
      <c r="AG298" s="115"/>
      <c r="AH298" s="17"/>
      <c r="AI298" s="13"/>
      <c r="AL298" s="114"/>
    </row>
    <row r="299" spans="12:38" x14ac:dyDescent="0.4">
      <c r="L299" s="115"/>
      <c r="M299" s="115"/>
      <c r="N299" s="115"/>
      <c r="O299" s="115"/>
      <c r="P299" s="115"/>
      <c r="Q299" s="122"/>
      <c r="R299" s="122"/>
      <c r="S299" s="122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115"/>
      <c r="AG299" s="115"/>
      <c r="AH299" s="26"/>
      <c r="AI299" s="13"/>
      <c r="AL299" s="114"/>
    </row>
    <row r="300" spans="12:38" x14ac:dyDescent="0.4">
      <c r="L300" s="115"/>
      <c r="M300" s="115"/>
      <c r="N300" s="115"/>
      <c r="O300" s="115"/>
      <c r="P300" s="115"/>
      <c r="Q300" s="122"/>
      <c r="R300" s="122"/>
      <c r="S300" s="122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115"/>
      <c r="AH300" s="17"/>
      <c r="AI300" s="13"/>
      <c r="AL300" s="114"/>
    </row>
    <row r="301" spans="12:38" x14ac:dyDescent="0.4">
      <c r="L301" s="115"/>
      <c r="M301" s="115"/>
      <c r="N301" s="115"/>
      <c r="O301" s="115"/>
      <c r="P301" s="115"/>
      <c r="Q301" s="122"/>
      <c r="R301" s="122"/>
      <c r="S301" s="122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115"/>
      <c r="AH301" s="26"/>
      <c r="AI301" s="25"/>
      <c r="AL301" s="114"/>
    </row>
    <row r="302" spans="12:38" x14ac:dyDescent="0.4">
      <c r="L302" s="115"/>
      <c r="M302" s="115"/>
      <c r="N302" s="115"/>
      <c r="O302" s="115"/>
      <c r="P302" s="115"/>
      <c r="Q302" s="122"/>
      <c r="R302" s="122"/>
      <c r="S302" s="122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115"/>
      <c r="AG302" s="115"/>
      <c r="AH302" s="17"/>
      <c r="AI302" s="13"/>
      <c r="AL302" s="114"/>
    </row>
    <row r="303" spans="12:38" x14ac:dyDescent="0.4">
      <c r="L303" s="115"/>
      <c r="M303" s="115"/>
      <c r="N303" s="115"/>
      <c r="O303" s="115"/>
      <c r="P303" s="115"/>
      <c r="Q303" s="122"/>
      <c r="R303" s="122"/>
      <c r="S303" s="122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115"/>
      <c r="AG303" s="115"/>
      <c r="AH303" s="17"/>
      <c r="AI303" s="13"/>
      <c r="AL303" s="114"/>
    </row>
    <row r="304" spans="12:38" x14ac:dyDescent="0.4">
      <c r="L304" s="115"/>
      <c r="M304" s="115"/>
      <c r="N304" s="115"/>
      <c r="O304" s="115"/>
      <c r="P304" s="115"/>
      <c r="Q304" s="122"/>
      <c r="R304" s="122"/>
      <c r="S304" s="122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115"/>
      <c r="AG304" s="115"/>
      <c r="AH304" s="26"/>
      <c r="AI304" s="15"/>
      <c r="AL304" s="114"/>
    </row>
    <row r="305" spans="12:38" x14ac:dyDescent="0.4">
      <c r="L305" s="115"/>
      <c r="M305" s="115"/>
      <c r="N305" s="115"/>
      <c r="O305" s="115"/>
      <c r="P305" s="115"/>
      <c r="Q305" s="122"/>
      <c r="R305" s="122"/>
      <c r="S305" s="122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115"/>
      <c r="AH305" s="26"/>
      <c r="AI305" s="15"/>
      <c r="AL305" s="114"/>
    </row>
    <row r="306" spans="12:38" x14ac:dyDescent="0.4">
      <c r="L306" s="115"/>
      <c r="M306" s="115"/>
      <c r="N306" s="115"/>
      <c r="O306" s="115"/>
      <c r="P306" s="115"/>
      <c r="Q306" s="122"/>
      <c r="R306" s="122"/>
      <c r="S306" s="122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115"/>
      <c r="AH306" s="26"/>
      <c r="AI306" s="15"/>
      <c r="AL306" s="114"/>
    </row>
    <row r="307" spans="12:38" x14ac:dyDescent="0.4">
      <c r="L307" s="115"/>
      <c r="M307" s="115"/>
      <c r="N307" s="115"/>
      <c r="O307" s="115"/>
      <c r="P307" s="115"/>
      <c r="Q307" s="122"/>
      <c r="R307" s="122"/>
      <c r="S307" s="122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26"/>
      <c r="AI307" s="15"/>
      <c r="AL307" s="114"/>
    </row>
    <row r="308" spans="12:38" x14ac:dyDescent="0.4">
      <c r="L308" s="115"/>
      <c r="M308" s="115"/>
      <c r="N308" s="115"/>
      <c r="O308" s="115"/>
      <c r="P308" s="115"/>
      <c r="Q308" s="122"/>
      <c r="R308" s="122"/>
      <c r="S308" s="122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26"/>
      <c r="AI308" s="15"/>
      <c r="AL308" s="114"/>
    </row>
    <row r="309" spans="12:38" x14ac:dyDescent="0.4">
      <c r="L309" s="115"/>
      <c r="M309" s="115"/>
      <c r="N309" s="115"/>
      <c r="O309" s="115"/>
      <c r="P309" s="115"/>
      <c r="Q309" s="122"/>
      <c r="R309" s="122"/>
      <c r="S309" s="122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26"/>
      <c r="AI309" s="15"/>
      <c r="AL309" s="114"/>
    </row>
    <row r="310" spans="12:38" x14ac:dyDescent="0.4">
      <c r="L310" s="115"/>
      <c r="M310" s="115"/>
      <c r="N310" s="115"/>
      <c r="O310" s="115"/>
      <c r="P310" s="115"/>
      <c r="Q310" s="122"/>
      <c r="R310" s="122"/>
      <c r="S310" s="122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115"/>
      <c r="AH310" s="26"/>
      <c r="AI310" s="15"/>
      <c r="AL310" s="114"/>
    </row>
    <row r="311" spans="12:38" x14ac:dyDescent="0.4">
      <c r="L311" s="115"/>
      <c r="M311" s="115"/>
      <c r="N311" s="115"/>
      <c r="O311" s="115"/>
      <c r="P311" s="115"/>
      <c r="Q311" s="122"/>
      <c r="R311" s="122"/>
      <c r="S311" s="122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115"/>
      <c r="AH311" s="26"/>
      <c r="AI311" s="15"/>
      <c r="AL311" s="114"/>
    </row>
    <row r="312" spans="12:38" x14ac:dyDescent="0.4">
      <c r="L312" s="115"/>
      <c r="M312" s="115"/>
      <c r="N312" s="115"/>
      <c r="O312" s="115"/>
      <c r="P312" s="115"/>
      <c r="Q312" s="122"/>
      <c r="R312" s="122"/>
      <c r="S312" s="122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115"/>
      <c r="AG312" s="115"/>
      <c r="AH312" s="17"/>
      <c r="AI312" s="15"/>
      <c r="AL312" s="114"/>
    </row>
    <row r="313" spans="12:38" x14ac:dyDescent="0.4">
      <c r="L313" s="115"/>
      <c r="M313" s="115"/>
      <c r="N313" s="115"/>
      <c r="O313" s="115"/>
      <c r="P313" s="115"/>
      <c r="Q313" s="122"/>
      <c r="R313" s="122"/>
      <c r="S313" s="122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15"/>
      <c r="AG313" s="115"/>
      <c r="AH313" s="26"/>
      <c r="AI313" s="15"/>
      <c r="AL313" s="114"/>
    </row>
    <row r="314" spans="12:38" x14ac:dyDescent="0.4">
      <c r="L314" s="115"/>
      <c r="M314" s="115"/>
      <c r="N314" s="115"/>
      <c r="O314" s="115"/>
      <c r="P314" s="115"/>
      <c r="Q314" s="122"/>
      <c r="R314" s="122"/>
      <c r="S314" s="122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115"/>
      <c r="AG314" s="115"/>
      <c r="AH314" s="26"/>
      <c r="AI314" s="13"/>
      <c r="AL314" s="114"/>
    </row>
    <row r="315" spans="12:38" x14ac:dyDescent="0.4">
      <c r="L315" s="115"/>
      <c r="M315" s="115"/>
      <c r="N315" s="115"/>
      <c r="O315" s="115"/>
      <c r="P315" s="115"/>
      <c r="Q315" s="122"/>
      <c r="R315" s="122"/>
      <c r="S315" s="122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26"/>
      <c r="AI315" s="13"/>
      <c r="AL315" s="114"/>
    </row>
    <row r="316" spans="12:38" x14ac:dyDescent="0.4">
      <c r="L316" s="115"/>
      <c r="M316" s="115"/>
      <c r="N316" s="115"/>
      <c r="O316" s="115"/>
      <c r="P316" s="115"/>
      <c r="Q316" s="122"/>
      <c r="R316" s="122"/>
      <c r="S316" s="122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115"/>
      <c r="AG316" s="115"/>
      <c r="AH316" s="26"/>
      <c r="AI316" s="13"/>
      <c r="AL316" s="114"/>
    </row>
    <row r="317" spans="12:38" x14ac:dyDescent="0.4">
      <c r="L317" s="115"/>
      <c r="M317" s="115"/>
      <c r="N317" s="115"/>
      <c r="O317" s="115"/>
      <c r="P317" s="115"/>
      <c r="Q317" s="122"/>
      <c r="R317" s="122"/>
      <c r="S317" s="122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26"/>
      <c r="AI317" s="13"/>
      <c r="AL317" s="114"/>
    </row>
    <row r="318" spans="12:38" x14ac:dyDescent="0.4">
      <c r="L318" s="115"/>
      <c r="M318" s="115"/>
      <c r="N318" s="115"/>
      <c r="O318" s="115"/>
      <c r="P318" s="115"/>
      <c r="Q318" s="122"/>
      <c r="R318" s="122"/>
      <c r="S318" s="122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115"/>
      <c r="AG318" s="115"/>
      <c r="AH318" s="26"/>
      <c r="AI318" s="13"/>
      <c r="AL318" s="114"/>
    </row>
    <row r="319" spans="12:38" x14ac:dyDescent="0.4">
      <c r="L319" s="115"/>
      <c r="M319" s="115"/>
      <c r="N319" s="115"/>
      <c r="O319" s="115"/>
      <c r="P319" s="115"/>
      <c r="Q319" s="122"/>
      <c r="R319" s="122"/>
      <c r="S319" s="122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26"/>
      <c r="AI319" s="13"/>
      <c r="AL319" s="114"/>
    </row>
    <row r="320" spans="12:38" x14ac:dyDescent="0.4">
      <c r="L320" s="115"/>
      <c r="M320" s="115"/>
      <c r="N320" s="115"/>
      <c r="O320" s="115"/>
      <c r="P320" s="115"/>
      <c r="Q320" s="122"/>
      <c r="R320" s="122"/>
      <c r="S320" s="122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26"/>
      <c r="AI320" s="13"/>
      <c r="AL320" s="114"/>
    </row>
    <row r="321" spans="11:38" x14ac:dyDescent="0.4">
      <c r="L321" s="115"/>
      <c r="M321" s="115"/>
      <c r="N321" s="115"/>
      <c r="O321" s="115"/>
      <c r="P321" s="115"/>
      <c r="Q321" s="122"/>
      <c r="R321" s="122"/>
      <c r="S321" s="122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26"/>
      <c r="AI321" s="13"/>
      <c r="AL321" s="114"/>
    </row>
    <row r="322" spans="11:38" x14ac:dyDescent="0.4">
      <c r="L322" s="115"/>
      <c r="M322" s="115"/>
      <c r="N322" s="115"/>
      <c r="O322" s="115"/>
      <c r="P322" s="115"/>
      <c r="Q322" s="122"/>
      <c r="R322" s="122"/>
      <c r="S322" s="122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26"/>
      <c r="AI322" s="13"/>
      <c r="AL322" s="114"/>
    </row>
    <row r="323" spans="11:38" x14ac:dyDescent="0.4">
      <c r="L323" s="115"/>
      <c r="M323" s="115"/>
      <c r="N323" s="115"/>
      <c r="O323" s="115"/>
      <c r="P323" s="115"/>
      <c r="Q323" s="122"/>
      <c r="R323" s="122"/>
      <c r="S323" s="122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26"/>
      <c r="AI323" s="13"/>
      <c r="AL323" s="114"/>
    </row>
    <row r="324" spans="11:38" x14ac:dyDescent="0.4">
      <c r="L324" s="115"/>
      <c r="M324" s="115"/>
      <c r="N324" s="115"/>
      <c r="O324" s="115"/>
      <c r="P324" s="115"/>
      <c r="Q324" s="122"/>
      <c r="R324" s="122"/>
      <c r="S324" s="122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26"/>
      <c r="AI324" s="13"/>
      <c r="AL324" s="114"/>
    </row>
    <row r="325" spans="11:38" x14ac:dyDescent="0.4">
      <c r="L325" s="115"/>
      <c r="M325" s="115"/>
      <c r="N325" s="115"/>
      <c r="O325" s="115"/>
      <c r="P325" s="115"/>
      <c r="Q325" s="122"/>
      <c r="R325" s="122"/>
      <c r="S325" s="122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7"/>
      <c r="AI325" s="13"/>
      <c r="AL325" s="114"/>
    </row>
    <row r="326" spans="11:38" x14ac:dyDescent="0.4">
      <c r="L326" s="115"/>
      <c r="M326" s="115"/>
      <c r="N326" s="115"/>
      <c r="O326" s="115"/>
      <c r="P326" s="115"/>
      <c r="Q326" s="122"/>
      <c r="R326" s="122"/>
      <c r="S326" s="122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26"/>
      <c r="AI326" s="13"/>
      <c r="AL326" s="114"/>
    </row>
    <row r="327" spans="11:38" x14ac:dyDescent="0.4">
      <c r="L327" s="115"/>
      <c r="M327" s="115"/>
      <c r="N327" s="115"/>
      <c r="O327" s="115"/>
      <c r="P327" s="115"/>
      <c r="Q327" s="122"/>
      <c r="R327" s="122"/>
      <c r="S327" s="122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26"/>
      <c r="AI327" s="13"/>
      <c r="AL327" s="114"/>
    </row>
    <row r="328" spans="11:38" x14ac:dyDescent="0.4">
      <c r="L328" s="115"/>
      <c r="M328" s="115"/>
      <c r="N328" s="115"/>
      <c r="O328" s="115"/>
      <c r="P328" s="115"/>
      <c r="Q328" s="122"/>
      <c r="R328" s="122"/>
      <c r="S328" s="122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26"/>
      <c r="AI328" s="13"/>
      <c r="AL328" s="114"/>
    </row>
    <row r="329" spans="11:38" x14ac:dyDescent="0.4">
      <c r="L329" s="115"/>
      <c r="M329" s="115"/>
      <c r="N329" s="115"/>
      <c r="O329" s="115"/>
      <c r="P329" s="115"/>
      <c r="Q329" s="122"/>
      <c r="R329" s="122"/>
      <c r="S329" s="122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17"/>
      <c r="AI329" s="13"/>
      <c r="AL329" s="114"/>
    </row>
    <row r="330" spans="11:38" x14ac:dyDescent="0.4">
      <c r="L330" s="115"/>
      <c r="M330" s="115"/>
      <c r="N330" s="115"/>
      <c r="O330" s="115"/>
      <c r="P330" s="115"/>
      <c r="Q330" s="122"/>
      <c r="R330" s="122"/>
      <c r="S330" s="122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26"/>
      <c r="AI330" s="13"/>
      <c r="AL330" s="114"/>
    </row>
    <row r="331" spans="11:38" x14ac:dyDescent="0.4">
      <c r="L331" s="115"/>
      <c r="M331" s="115"/>
      <c r="N331" s="115"/>
      <c r="O331" s="115"/>
      <c r="P331" s="115"/>
      <c r="Q331" s="122"/>
      <c r="R331" s="122"/>
      <c r="S331" s="122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17"/>
      <c r="AI331" s="13"/>
      <c r="AL331" s="114"/>
    </row>
    <row r="332" spans="11:38" x14ac:dyDescent="0.4">
      <c r="L332" s="115"/>
      <c r="M332" s="115"/>
      <c r="N332" s="115"/>
      <c r="O332" s="115"/>
      <c r="P332" s="115"/>
      <c r="Q332" s="122"/>
      <c r="R332" s="122"/>
      <c r="S332" s="122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115"/>
      <c r="AG332" s="115"/>
      <c r="AH332" s="26"/>
      <c r="AI332" s="13"/>
      <c r="AL332" s="114"/>
    </row>
    <row r="333" spans="11:38" x14ac:dyDescent="0.4">
      <c r="L333" s="115"/>
      <c r="M333" s="115"/>
      <c r="N333" s="115"/>
      <c r="O333" s="115"/>
      <c r="P333" s="115"/>
      <c r="Q333" s="122"/>
      <c r="R333" s="122"/>
      <c r="S333" s="122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115"/>
      <c r="AG333" s="115"/>
      <c r="AH333" s="26"/>
      <c r="AI333" s="15"/>
      <c r="AL333" s="114"/>
    </row>
    <row r="334" spans="11:38" x14ac:dyDescent="0.4">
      <c r="L334" s="115"/>
      <c r="M334" s="115"/>
      <c r="N334" s="115"/>
      <c r="O334" s="115"/>
      <c r="P334" s="115"/>
      <c r="Q334" s="122"/>
      <c r="R334" s="122"/>
      <c r="S334" s="122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115"/>
      <c r="AE334" s="115"/>
      <c r="AF334" s="115"/>
      <c r="AG334" s="115"/>
      <c r="AH334" s="17"/>
      <c r="AI334" s="15"/>
      <c r="AL334" s="114"/>
    </row>
    <row r="335" spans="11:38" x14ac:dyDescent="0.4">
      <c r="L335" s="115"/>
      <c r="M335" s="115"/>
      <c r="N335" s="115"/>
      <c r="O335" s="115"/>
      <c r="P335" s="115"/>
      <c r="Q335" s="122"/>
      <c r="R335" s="122"/>
      <c r="S335" s="122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17"/>
      <c r="AI335" s="15"/>
      <c r="AL335" s="114"/>
    </row>
    <row r="336" spans="11:38" x14ac:dyDescent="0.4">
      <c r="K336" s="115"/>
      <c r="L336" s="115"/>
      <c r="M336" s="115"/>
      <c r="N336" s="115"/>
      <c r="O336" s="115"/>
      <c r="P336" s="115"/>
      <c r="Q336" s="122"/>
      <c r="R336" s="122"/>
      <c r="S336" s="122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26"/>
      <c r="AI336" s="15"/>
      <c r="AL336" s="114"/>
    </row>
    <row r="337" spans="11:38" x14ac:dyDescent="0.4">
      <c r="K337" s="115"/>
      <c r="L337" s="115"/>
      <c r="M337" s="115"/>
      <c r="N337" s="115"/>
      <c r="O337" s="115"/>
      <c r="P337" s="115"/>
      <c r="Q337" s="122"/>
      <c r="R337" s="122"/>
      <c r="S337" s="122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17"/>
      <c r="AI337" s="15"/>
      <c r="AL337" s="114"/>
    </row>
    <row r="338" spans="11:38" x14ac:dyDescent="0.4">
      <c r="K338" s="115"/>
      <c r="L338" s="115"/>
      <c r="M338" s="115"/>
      <c r="N338" s="115"/>
      <c r="O338" s="115"/>
      <c r="P338" s="115"/>
      <c r="Q338" s="122"/>
      <c r="R338" s="122"/>
      <c r="S338" s="122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26"/>
      <c r="AI338" s="15"/>
      <c r="AL338" s="114"/>
    </row>
    <row r="339" spans="11:38" x14ac:dyDescent="0.4">
      <c r="K339" s="115"/>
      <c r="L339" s="115"/>
      <c r="M339" s="115"/>
      <c r="N339" s="115"/>
      <c r="O339" s="115"/>
      <c r="P339" s="115"/>
      <c r="Q339" s="122"/>
      <c r="R339" s="122"/>
      <c r="S339" s="122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26"/>
      <c r="AI339" s="15"/>
      <c r="AL339" s="114"/>
    </row>
    <row r="340" spans="11:38" x14ac:dyDescent="0.4">
      <c r="K340" s="115"/>
      <c r="L340" s="115"/>
      <c r="M340" s="115"/>
      <c r="N340" s="115"/>
      <c r="O340" s="115"/>
      <c r="P340" s="115"/>
      <c r="Q340" s="122"/>
      <c r="R340" s="122"/>
      <c r="S340" s="122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7"/>
      <c r="AI340" s="15"/>
      <c r="AL340" s="114"/>
    </row>
    <row r="341" spans="11:38" x14ac:dyDescent="0.4">
      <c r="K341" s="115"/>
      <c r="L341" s="115"/>
      <c r="M341" s="115"/>
      <c r="N341" s="115"/>
      <c r="O341" s="115"/>
      <c r="P341" s="115"/>
      <c r="Q341" s="122"/>
      <c r="R341" s="122"/>
      <c r="S341" s="122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26"/>
      <c r="AI341" s="15"/>
      <c r="AL341" s="114"/>
    </row>
    <row r="342" spans="11:38" x14ac:dyDescent="0.4">
      <c r="K342" s="115"/>
      <c r="L342" s="115"/>
      <c r="M342" s="115"/>
      <c r="N342" s="115"/>
      <c r="O342" s="115"/>
      <c r="P342" s="115"/>
      <c r="Q342" s="122"/>
      <c r="R342" s="122"/>
      <c r="S342" s="122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17"/>
      <c r="AI342" s="15"/>
      <c r="AL342" s="114"/>
    </row>
    <row r="343" spans="11:38" x14ac:dyDescent="0.4">
      <c r="K343" s="115"/>
      <c r="L343" s="115"/>
      <c r="M343" s="115"/>
      <c r="N343" s="115"/>
      <c r="O343" s="115"/>
      <c r="P343" s="115"/>
      <c r="Q343" s="122"/>
      <c r="R343" s="122"/>
      <c r="S343" s="122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17"/>
      <c r="AI343" s="15"/>
      <c r="AL343" s="114"/>
    </row>
    <row r="344" spans="11:38" x14ac:dyDescent="0.4">
      <c r="K344" s="115"/>
      <c r="L344" s="115"/>
      <c r="M344" s="115"/>
      <c r="N344" s="115"/>
      <c r="O344" s="115"/>
      <c r="P344" s="115"/>
      <c r="Q344" s="122"/>
      <c r="R344" s="122"/>
      <c r="S344" s="122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26"/>
      <c r="AI344" s="15"/>
      <c r="AL344" s="114"/>
    </row>
    <row r="345" spans="11:38" x14ac:dyDescent="0.4">
      <c r="K345" s="115"/>
      <c r="L345" s="115"/>
      <c r="M345" s="115"/>
      <c r="N345" s="115"/>
      <c r="O345" s="115"/>
      <c r="P345" s="115"/>
      <c r="Q345" s="122"/>
      <c r="R345" s="122"/>
      <c r="S345" s="122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26"/>
      <c r="AI345" s="15"/>
      <c r="AL345" s="114"/>
    </row>
    <row r="346" spans="11:38" x14ac:dyDescent="0.4">
      <c r="K346" s="115"/>
      <c r="L346" s="115"/>
      <c r="M346" s="115"/>
      <c r="N346" s="115"/>
      <c r="O346" s="115"/>
      <c r="P346" s="115"/>
      <c r="Q346" s="122"/>
      <c r="R346" s="122"/>
      <c r="S346" s="122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26"/>
      <c r="AI346" s="15"/>
      <c r="AL346" s="114"/>
    </row>
    <row r="347" spans="11:38" x14ac:dyDescent="0.4">
      <c r="K347" s="115"/>
      <c r="L347" s="115"/>
      <c r="M347" s="115"/>
      <c r="N347" s="115"/>
      <c r="O347" s="115"/>
      <c r="P347" s="115"/>
      <c r="Q347" s="122"/>
      <c r="R347" s="122"/>
      <c r="S347" s="122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26"/>
      <c r="AI347" s="15"/>
      <c r="AL347" s="114"/>
    </row>
    <row r="348" spans="11:38" x14ac:dyDescent="0.4">
      <c r="K348" s="115"/>
      <c r="L348" s="115"/>
      <c r="M348" s="115"/>
      <c r="N348" s="115"/>
      <c r="O348" s="115"/>
      <c r="P348" s="115"/>
      <c r="Q348" s="122"/>
      <c r="R348" s="122"/>
      <c r="S348" s="122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26"/>
      <c r="AI348" s="15"/>
      <c r="AL348" s="114"/>
    </row>
    <row r="349" spans="11:38" x14ac:dyDescent="0.4">
      <c r="K349" s="115"/>
      <c r="L349" s="115"/>
      <c r="M349" s="115"/>
      <c r="N349" s="115"/>
      <c r="O349" s="115"/>
      <c r="P349" s="115"/>
      <c r="Q349" s="122"/>
      <c r="R349" s="122"/>
      <c r="S349" s="122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26"/>
      <c r="AI349" s="15"/>
      <c r="AL349" s="114"/>
    </row>
    <row r="350" spans="11:38" x14ac:dyDescent="0.4">
      <c r="K350" s="115"/>
      <c r="L350" s="115"/>
      <c r="M350" s="115"/>
      <c r="N350" s="115"/>
      <c r="O350" s="115"/>
      <c r="P350" s="115"/>
      <c r="Q350" s="122"/>
      <c r="R350" s="122"/>
      <c r="S350" s="122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26"/>
      <c r="AI350" s="15"/>
      <c r="AL350" s="114"/>
    </row>
    <row r="351" spans="11:38" x14ac:dyDescent="0.4">
      <c r="K351" s="115"/>
      <c r="L351" s="115"/>
      <c r="M351" s="115"/>
      <c r="N351" s="115"/>
      <c r="O351" s="115"/>
      <c r="P351" s="115"/>
      <c r="Q351" s="122"/>
      <c r="R351" s="122"/>
      <c r="S351" s="122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7"/>
      <c r="AI351" s="15"/>
      <c r="AL351" s="114"/>
    </row>
    <row r="352" spans="11:38" x14ac:dyDescent="0.4">
      <c r="K352" s="115"/>
      <c r="L352" s="115"/>
      <c r="M352" s="115"/>
      <c r="N352" s="115"/>
      <c r="O352" s="115"/>
      <c r="P352" s="115"/>
      <c r="Q352" s="122"/>
      <c r="R352" s="122"/>
      <c r="S352" s="122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26"/>
      <c r="AI352" s="15"/>
      <c r="AL352" s="114"/>
    </row>
    <row r="353" spans="5:38" x14ac:dyDescent="0.4">
      <c r="K353" s="115"/>
      <c r="L353" s="115"/>
      <c r="M353" s="115"/>
      <c r="N353" s="115"/>
      <c r="O353" s="115"/>
      <c r="P353" s="115"/>
      <c r="Q353" s="122"/>
      <c r="R353" s="122"/>
      <c r="S353" s="122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26"/>
      <c r="AI353" s="15"/>
      <c r="AL353" s="114"/>
    </row>
    <row r="354" spans="5:38" x14ac:dyDescent="0.4">
      <c r="K354" s="115"/>
      <c r="L354" s="115"/>
      <c r="M354" s="115"/>
      <c r="N354" s="115"/>
      <c r="O354" s="115"/>
      <c r="P354" s="115"/>
      <c r="Q354" s="122"/>
      <c r="R354" s="122"/>
      <c r="S354" s="122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26"/>
      <c r="AI354" s="15"/>
      <c r="AL354" s="114"/>
    </row>
    <row r="355" spans="5:38" x14ac:dyDescent="0.4">
      <c r="K355" s="115"/>
      <c r="L355" s="115"/>
      <c r="M355" s="115"/>
      <c r="N355" s="115"/>
      <c r="O355" s="115"/>
      <c r="P355" s="115"/>
      <c r="Q355" s="122"/>
      <c r="R355" s="122"/>
      <c r="S355" s="122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26"/>
      <c r="AI355" s="13"/>
      <c r="AL355" s="114"/>
    </row>
    <row r="356" spans="5:38" x14ac:dyDescent="0.4">
      <c r="K356" s="115"/>
      <c r="L356" s="115"/>
      <c r="M356" s="115"/>
      <c r="N356" s="115"/>
      <c r="O356" s="115"/>
      <c r="P356" s="115"/>
      <c r="Q356" s="122"/>
      <c r="R356" s="122"/>
      <c r="S356" s="122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7"/>
      <c r="AI356" s="13"/>
      <c r="AL356" s="114"/>
    </row>
    <row r="357" spans="5:38" x14ac:dyDescent="0.4">
      <c r="K357" s="115"/>
      <c r="L357" s="115"/>
      <c r="M357" s="115"/>
      <c r="N357" s="115"/>
      <c r="O357" s="115"/>
      <c r="P357" s="115"/>
      <c r="Q357" s="122"/>
      <c r="R357" s="122"/>
      <c r="S357" s="122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26"/>
      <c r="AI357" s="13"/>
      <c r="AL357" s="114"/>
    </row>
    <row r="358" spans="5:38" x14ac:dyDescent="0.4">
      <c r="K358" s="115"/>
      <c r="L358" s="115"/>
      <c r="M358" s="115"/>
      <c r="N358" s="115"/>
      <c r="O358" s="115"/>
      <c r="P358" s="115"/>
      <c r="Q358" s="122"/>
      <c r="R358" s="122"/>
      <c r="S358" s="122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26"/>
      <c r="AI358" s="13"/>
      <c r="AL358" s="114"/>
    </row>
    <row r="359" spans="5:38" x14ac:dyDescent="0.4">
      <c r="K359" s="115"/>
      <c r="L359" s="115"/>
      <c r="M359" s="115"/>
      <c r="N359" s="115"/>
      <c r="O359" s="115"/>
      <c r="P359" s="115"/>
      <c r="Q359" s="122"/>
      <c r="R359" s="122"/>
      <c r="S359" s="122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26"/>
      <c r="AI359" s="13"/>
      <c r="AL359" s="114"/>
    </row>
    <row r="360" spans="5:38" x14ac:dyDescent="0.4">
      <c r="K360" s="115"/>
      <c r="L360" s="115"/>
      <c r="M360" s="115"/>
      <c r="N360" s="115"/>
      <c r="O360" s="115"/>
      <c r="P360" s="115"/>
      <c r="Q360" s="122"/>
      <c r="R360" s="122"/>
      <c r="S360" s="122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26"/>
      <c r="AI360" s="13"/>
      <c r="AL360" s="114"/>
    </row>
    <row r="361" spans="5:38" x14ac:dyDescent="0.4">
      <c r="K361" s="115"/>
      <c r="L361" s="115"/>
      <c r="M361" s="115"/>
      <c r="N361" s="115"/>
      <c r="O361" s="115"/>
      <c r="P361" s="115"/>
      <c r="Q361" s="122"/>
      <c r="R361" s="122"/>
      <c r="S361" s="122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26"/>
      <c r="AI361" s="13"/>
      <c r="AL361" s="114"/>
    </row>
    <row r="362" spans="5:38" x14ac:dyDescent="0.4">
      <c r="K362" s="115"/>
      <c r="L362" s="115"/>
      <c r="M362" s="115"/>
      <c r="N362" s="115"/>
      <c r="O362" s="115"/>
      <c r="P362" s="115"/>
      <c r="Q362" s="122"/>
      <c r="R362" s="122"/>
      <c r="S362" s="122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26"/>
      <c r="AI362" s="13"/>
      <c r="AL362" s="114"/>
    </row>
    <row r="363" spans="5:38" x14ac:dyDescent="0.4">
      <c r="K363" s="115"/>
      <c r="L363" s="115"/>
      <c r="M363" s="115"/>
      <c r="N363" s="115"/>
      <c r="O363" s="115"/>
      <c r="P363" s="115"/>
      <c r="Q363" s="122"/>
      <c r="R363" s="122"/>
      <c r="S363" s="122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7"/>
      <c r="AI363" s="13"/>
      <c r="AL363" s="114"/>
    </row>
    <row r="364" spans="5:38" x14ac:dyDescent="0.4">
      <c r="K364" s="115"/>
      <c r="L364" s="115"/>
      <c r="M364" s="115"/>
      <c r="N364" s="115"/>
      <c r="O364" s="115"/>
      <c r="P364" s="115"/>
      <c r="Q364" s="122"/>
      <c r="R364" s="122"/>
      <c r="S364" s="122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26"/>
      <c r="AI364" s="13"/>
      <c r="AL364" s="114"/>
    </row>
    <row r="365" spans="5:38" x14ac:dyDescent="0.4">
      <c r="K365" s="115"/>
      <c r="L365" s="115"/>
      <c r="M365" s="115"/>
      <c r="N365" s="115"/>
      <c r="O365" s="115"/>
      <c r="P365" s="115"/>
      <c r="Q365" s="122"/>
      <c r="R365" s="122"/>
      <c r="S365" s="122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26"/>
      <c r="AI365" s="13"/>
      <c r="AL365" s="114"/>
    </row>
    <row r="366" spans="5:38" x14ac:dyDescent="0.4"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22"/>
      <c r="R366" s="122"/>
      <c r="S366" s="122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26"/>
      <c r="AI366" s="13"/>
      <c r="AL366" s="114"/>
    </row>
    <row r="367" spans="5:38" x14ac:dyDescent="0.4"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22"/>
      <c r="R367" s="122"/>
      <c r="S367" s="122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26"/>
      <c r="AI367" s="13"/>
      <c r="AL367" s="114"/>
    </row>
    <row r="368" spans="5:38" x14ac:dyDescent="0.4"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22"/>
      <c r="R368" s="122"/>
      <c r="S368" s="122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26"/>
      <c r="AI368" s="13"/>
      <c r="AL368" s="114"/>
    </row>
    <row r="369" spans="5:38" x14ac:dyDescent="0.4"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22"/>
      <c r="R369" s="122"/>
      <c r="S369" s="122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26"/>
      <c r="AI369" s="13"/>
      <c r="AL369" s="114"/>
    </row>
    <row r="370" spans="5:38" x14ac:dyDescent="0.4"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22"/>
      <c r="R370" s="122"/>
      <c r="S370" s="122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26"/>
      <c r="AI370" s="13"/>
      <c r="AL370" s="114"/>
    </row>
    <row r="371" spans="5:38" x14ac:dyDescent="0.4"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22"/>
      <c r="R371" s="122"/>
      <c r="S371" s="122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26"/>
      <c r="AI371" s="13"/>
      <c r="AL371" s="114"/>
    </row>
    <row r="372" spans="5:38" x14ac:dyDescent="0.4"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22"/>
      <c r="R372" s="122"/>
      <c r="S372" s="122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26"/>
      <c r="AI372" s="13"/>
      <c r="AL372" s="114"/>
    </row>
    <row r="373" spans="5:38" x14ac:dyDescent="0.4"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22"/>
      <c r="R373" s="122"/>
      <c r="S373" s="122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26"/>
      <c r="AI373" s="13"/>
      <c r="AL373" s="114"/>
    </row>
    <row r="374" spans="5:38" x14ac:dyDescent="0.4"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22"/>
      <c r="R374" s="122"/>
      <c r="S374" s="122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26"/>
      <c r="AI374" s="13"/>
      <c r="AL374" s="114"/>
    </row>
    <row r="375" spans="5:38" x14ac:dyDescent="0.4"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22"/>
      <c r="R375" s="122"/>
      <c r="S375" s="122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26"/>
      <c r="AI375" s="13"/>
      <c r="AL375" s="114"/>
    </row>
    <row r="376" spans="5:38" x14ac:dyDescent="0.4"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22"/>
      <c r="R376" s="122"/>
      <c r="S376" s="122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26"/>
      <c r="AI376" s="13"/>
      <c r="AL376" s="114"/>
    </row>
    <row r="377" spans="5:38" x14ac:dyDescent="0.4"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22"/>
      <c r="R377" s="122"/>
      <c r="S377" s="122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26"/>
      <c r="AI377" s="13"/>
      <c r="AL377" s="114"/>
    </row>
    <row r="378" spans="5:38" x14ac:dyDescent="0.4"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22"/>
      <c r="R378" s="122"/>
      <c r="S378" s="122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26"/>
      <c r="AI378" s="13"/>
      <c r="AL378" s="114"/>
    </row>
    <row r="379" spans="5:38" x14ac:dyDescent="0.4"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22"/>
      <c r="R379" s="122"/>
      <c r="S379" s="122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26"/>
      <c r="AI379" s="13"/>
      <c r="AL379" s="114"/>
    </row>
    <row r="380" spans="5:38" x14ac:dyDescent="0.4"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22"/>
      <c r="R380" s="122"/>
      <c r="S380" s="122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26"/>
      <c r="AI380" s="13"/>
      <c r="AL380" s="114"/>
    </row>
    <row r="381" spans="5:38" x14ac:dyDescent="0.4"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22"/>
      <c r="R381" s="122"/>
      <c r="S381" s="122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26"/>
      <c r="AI381" s="13"/>
      <c r="AL381" s="114"/>
    </row>
    <row r="382" spans="5:38" x14ac:dyDescent="0.4"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22"/>
      <c r="R382" s="122"/>
      <c r="S382" s="122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7"/>
      <c r="AI382" s="13"/>
      <c r="AL382" s="114"/>
    </row>
    <row r="383" spans="5:38" x14ac:dyDescent="0.4"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22"/>
      <c r="R383" s="122"/>
      <c r="S383" s="122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26"/>
      <c r="AI383" s="13"/>
      <c r="AL383" s="114"/>
    </row>
    <row r="384" spans="5:38" x14ac:dyDescent="0.4"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22"/>
      <c r="R384" s="122"/>
      <c r="S384" s="122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26"/>
      <c r="AI384" s="13"/>
      <c r="AL384" s="114"/>
    </row>
    <row r="385" spans="3:38" x14ac:dyDescent="0.4"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22"/>
      <c r="R385" s="122"/>
      <c r="S385" s="122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26"/>
      <c r="AI385" s="13"/>
      <c r="AL385" s="114"/>
    </row>
    <row r="386" spans="3:38" x14ac:dyDescent="0.4"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22"/>
      <c r="R386" s="122"/>
      <c r="S386" s="122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26"/>
      <c r="AI386" s="15"/>
      <c r="AL386" s="114"/>
    </row>
    <row r="387" spans="3:38" x14ac:dyDescent="0.4"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22"/>
      <c r="R387" s="122"/>
      <c r="S387" s="122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26"/>
      <c r="AI387" s="15"/>
      <c r="AL387" s="114"/>
    </row>
    <row r="388" spans="3:38" x14ac:dyDescent="0.4"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22"/>
      <c r="R388" s="122"/>
      <c r="S388" s="122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26"/>
      <c r="AI388" s="15"/>
      <c r="AL388" s="114"/>
    </row>
    <row r="389" spans="3:38" x14ac:dyDescent="0.4"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22"/>
      <c r="R389" s="122"/>
      <c r="S389" s="122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26"/>
      <c r="AI389" s="13"/>
      <c r="AL389" s="114"/>
    </row>
    <row r="390" spans="3:38" x14ac:dyDescent="0.4"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22"/>
      <c r="R390" s="122"/>
      <c r="S390" s="122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26"/>
      <c r="AI390" s="13"/>
      <c r="AL390" s="114"/>
    </row>
    <row r="391" spans="3:38" x14ac:dyDescent="0.4"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22"/>
      <c r="R391" s="122"/>
      <c r="S391" s="122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26"/>
      <c r="AI391" s="13"/>
      <c r="AL391" s="114"/>
    </row>
    <row r="392" spans="3:38" x14ac:dyDescent="0.4"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22"/>
      <c r="R392" s="122"/>
      <c r="S392" s="122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7"/>
      <c r="AI392" s="13"/>
      <c r="AL392" s="114"/>
    </row>
    <row r="393" spans="3:38" x14ac:dyDescent="0.4"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22"/>
      <c r="R393" s="122"/>
      <c r="S393" s="122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26"/>
      <c r="AI393" s="13"/>
      <c r="AL393" s="114"/>
    </row>
    <row r="394" spans="3:38" x14ac:dyDescent="0.4"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22"/>
      <c r="R394" s="122"/>
      <c r="S394" s="122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26"/>
      <c r="AI394" s="25"/>
      <c r="AL394" s="114"/>
    </row>
    <row r="395" spans="3:38" x14ac:dyDescent="0.4"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22"/>
      <c r="R395" s="122"/>
      <c r="S395" s="122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26"/>
      <c r="AI395" s="13"/>
      <c r="AL395" s="114"/>
    </row>
    <row r="396" spans="3:38" x14ac:dyDescent="0.4"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22"/>
      <c r="R396" s="122"/>
      <c r="S396" s="122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26"/>
      <c r="AI396" s="13"/>
      <c r="AL396" s="114"/>
    </row>
    <row r="397" spans="3:38" x14ac:dyDescent="0.4"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22"/>
      <c r="R397" s="122"/>
      <c r="S397" s="122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26"/>
      <c r="AI397" s="13"/>
      <c r="AL397" s="114"/>
    </row>
    <row r="398" spans="3:38" x14ac:dyDescent="0.4"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22"/>
      <c r="R398" s="122"/>
      <c r="S398" s="122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26"/>
      <c r="AI398" s="13"/>
      <c r="AL398" s="114"/>
    </row>
    <row r="399" spans="3:38" x14ac:dyDescent="0.4"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22"/>
      <c r="R399" s="122"/>
      <c r="S399" s="122"/>
      <c r="T399" s="115"/>
      <c r="U399" s="115"/>
      <c r="V399" s="115"/>
      <c r="W399" s="115"/>
      <c r="AH399" s="26"/>
      <c r="AI399" s="13"/>
      <c r="AL399" s="114"/>
    </row>
    <row r="400" spans="3:38" x14ac:dyDescent="0.4"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22"/>
      <c r="R400" s="122"/>
      <c r="S400" s="122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26"/>
      <c r="AI400" s="13"/>
      <c r="AL400" s="114"/>
    </row>
    <row r="401" spans="1:38" x14ac:dyDescent="0.4"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22"/>
      <c r="R401" s="122"/>
      <c r="S401" s="122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7"/>
      <c r="AI401" s="13"/>
      <c r="AL401" s="114"/>
    </row>
    <row r="402" spans="1:38" x14ac:dyDescent="0.4"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22"/>
      <c r="R402" s="122"/>
      <c r="S402" s="122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26"/>
      <c r="AI402" s="13"/>
      <c r="AL402" s="114"/>
    </row>
    <row r="403" spans="1:38" x14ac:dyDescent="0.4"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22"/>
      <c r="R403" s="122"/>
      <c r="S403" s="122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26"/>
      <c r="AI403" s="15"/>
      <c r="AL403" s="114"/>
    </row>
    <row r="404" spans="1:38" x14ac:dyDescent="0.4"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22"/>
      <c r="R404" s="122"/>
      <c r="S404" s="122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7"/>
      <c r="AI404" s="15"/>
      <c r="AL404" s="114"/>
    </row>
    <row r="405" spans="1:38" x14ac:dyDescent="0.4"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22"/>
      <c r="R405" s="122"/>
      <c r="S405" s="122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26"/>
      <c r="AI405" s="15"/>
      <c r="AL405" s="114"/>
    </row>
    <row r="406" spans="1:38" x14ac:dyDescent="0.4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22"/>
      <c r="R406" s="122"/>
      <c r="S406" s="122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26"/>
      <c r="AI406" s="15"/>
      <c r="AL406" s="114"/>
    </row>
    <row r="407" spans="1:38" x14ac:dyDescent="0.4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22"/>
      <c r="R407" s="122"/>
      <c r="S407" s="122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7"/>
      <c r="AI407" s="13"/>
      <c r="AL407" s="114"/>
    </row>
    <row r="408" spans="1:38" x14ac:dyDescent="0.4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22"/>
      <c r="R408" s="122"/>
      <c r="S408" s="122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7"/>
      <c r="AI408" s="13"/>
      <c r="AL408" s="114"/>
    </row>
    <row r="409" spans="1:38" x14ac:dyDescent="0.4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22"/>
      <c r="R409" s="122"/>
      <c r="S409" s="122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26"/>
      <c r="AI409" s="13"/>
      <c r="AL409" s="114"/>
    </row>
    <row r="410" spans="1:38" x14ac:dyDescent="0.4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22"/>
      <c r="R410" s="122"/>
      <c r="S410" s="122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26"/>
      <c r="AI410" s="13"/>
      <c r="AL410" s="114"/>
    </row>
    <row r="411" spans="1:38" x14ac:dyDescent="0.4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22"/>
      <c r="R411" s="122"/>
      <c r="S411" s="122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7"/>
      <c r="AI411" s="13"/>
      <c r="AL411" s="114"/>
    </row>
    <row r="412" spans="1:38" x14ac:dyDescent="0.4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22"/>
      <c r="R412" s="122"/>
      <c r="S412" s="122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26"/>
      <c r="AI412" s="15"/>
      <c r="AL412" s="114"/>
    </row>
    <row r="413" spans="1:38" x14ac:dyDescent="0.4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22"/>
      <c r="R413" s="122"/>
      <c r="S413" s="122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26"/>
      <c r="AI413" s="15"/>
      <c r="AL413" s="114"/>
    </row>
    <row r="414" spans="1:38" x14ac:dyDescent="0.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22"/>
      <c r="R414" s="122"/>
      <c r="S414" s="122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26"/>
      <c r="AI414" s="15"/>
      <c r="AL414" s="114"/>
    </row>
    <row r="415" spans="1:38" x14ac:dyDescent="0.4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22"/>
      <c r="R415" s="122"/>
      <c r="S415" s="122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26"/>
      <c r="AI415" s="13"/>
      <c r="AL415" s="114"/>
    </row>
    <row r="416" spans="1:38" x14ac:dyDescent="0.4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22"/>
      <c r="R416" s="122"/>
      <c r="S416" s="122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26"/>
      <c r="AI416" s="25"/>
      <c r="AL416" s="114"/>
    </row>
    <row r="417" spans="1:38" x14ac:dyDescent="0.4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22"/>
      <c r="R417" s="122"/>
      <c r="S417" s="122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26"/>
      <c r="AI417" s="13"/>
      <c r="AL417" s="114"/>
    </row>
    <row r="418" spans="1:38" x14ac:dyDescent="0.4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22"/>
      <c r="R418" s="122"/>
      <c r="S418" s="122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26"/>
      <c r="AI418" s="13"/>
      <c r="AL418" s="114"/>
    </row>
    <row r="419" spans="1:38" x14ac:dyDescent="0.4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22"/>
      <c r="R419" s="122"/>
      <c r="S419" s="122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26"/>
      <c r="AI419" s="13"/>
      <c r="AL419" s="114"/>
    </row>
    <row r="420" spans="1:38" x14ac:dyDescent="0.4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22"/>
      <c r="R420" s="122"/>
      <c r="S420" s="122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26"/>
      <c r="AI420" s="13"/>
      <c r="AL420" s="114"/>
    </row>
    <row r="421" spans="1:38" x14ac:dyDescent="0.4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22"/>
      <c r="R421" s="122"/>
      <c r="S421" s="122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26"/>
      <c r="AI421" s="13"/>
      <c r="AL421" s="114"/>
    </row>
    <row r="422" spans="1:38" x14ac:dyDescent="0.4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22"/>
      <c r="R422" s="122"/>
      <c r="S422" s="122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26"/>
      <c r="AI422" s="13"/>
      <c r="AL422" s="114"/>
    </row>
    <row r="423" spans="1:38" x14ac:dyDescent="0.4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22"/>
      <c r="R423" s="122"/>
      <c r="S423" s="122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26"/>
      <c r="AI423" s="13"/>
      <c r="AL423" s="114"/>
    </row>
    <row r="424" spans="1:38" x14ac:dyDescent="0.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22"/>
      <c r="R424" s="122"/>
      <c r="S424" s="122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26"/>
      <c r="AI424" s="13"/>
      <c r="AL424" s="114"/>
    </row>
    <row r="425" spans="1:38" x14ac:dyDescent="0.4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22"/>
      <c r="R425" s="122"/>
      <c r="S425" s="122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26"/>
      <c r="AI425" s="13"/>
      <c r="AL425" s="114"/>
    </row>
    <row r="426" spans="1:38" x14ac:dyDescent="0.4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22"/>
      <c r="R426" s="122"/>
      <c r="S426" s="122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26"/>
      <c r="AI426" s="13"/>
      <c r="AL426" s="114"/>
    </row>
    <row r="427" spans="1:38" x14ac:dyDescent="0.4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22"/>
      <c r="R427" s="122"/>
      <c r="S427" s="122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26"/>
      <c r="AI427" s="15"/>
      <c r="AL427" s="114"/>
    </row>
    <row r="428" spans="1:38" x14ac:dyDescent="0.4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22"/>
      <c r="R428" s="122"/>
      <c r="S428" s="122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26"/>
      <c r="AI428" s="15"/>
      <c r="AL428" s="114"/>
    </row>
    <row r="429" spans="1:38" x14ac:dyDescent="0.4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22"/>
      <c r="R429" s="122"/>
      <c r="S429" s="122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26"/>
      <c r="AI429" s="15"/>
      <c r="AL429" s="114"/>
    </row>
    <row r="430" spans="1:38" x14ac:dyDescent="0.4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22"/>
      <c r="R430" s="122"/>
      <c r="S430" s="122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26"/>
      <c r="AI430" s="15"/>
      <c r="AL430" s="114"/>
    </row>
    <row r="431" spans="1:38" x14ac:dyDescent="0.4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22"/>
      <c r="R431" s="122"/>
      <c r="S431" s="122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26"/>
      <c r="AI431" s="13"/>
      <c r="AL431" s="114"/>
    </row>
    <row r="432" spans="1:38" x14ac:dyDescent="0.4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22"/>
      <c r="R432" s="122"/>
      <c r="S432" s="122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26"/>
      <c r="AI432" s="15"/>
      <c r="AL432" s="114"/>
    </row>
    <row r="433" spans="1:38" x14ac:dyDescent="0.4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22"/>
      <c r="R433" s="122"/>
      <c r="S433" s="122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26"/>
      <c r="AI433" s="15"/>
      <c r="AL433" s="114"/>
    </row>
    <row r="434" spans="1:38" x14ac:dyDescent="0.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22"/>
      <c r="R434" s="122"/>
      <c r="S434" s="122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26"/>
      <c r="AI434" s="15"/>
      <c r="AL434" s="114"/>
    </row>
    <row r="435" spans="1:38" x14ac:dyDescent="0.4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22"/>
      <c r="R435" s="122"/>
      <c r="S435" s="122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26"/>
      <c r="AI435" s="15"/>
      <c r="AL435" s="114"/>
    </row>
    <row r="436" spans="1:38" x14ac:dyDescent="0.4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22"/>
      <c r="R436" s="122"/>
      <c r="S436" s="122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26"/>
      <c r="AI436" s="15"/>
      <c r="AL436" s="114"/>
    </row>
    <row r="437" spans="1:38" x14ac:dyDescent="0.4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22"/>
      <c r="R437" s="122"/>
      <c r="S437" s="122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26"/>
      <c r="AI437" s="105"/>
      <c r="AL437" s="114"/>
    </row>
    <row r="438" spans="1:38" x14ac:dyDescent="0.4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22"/>
      <c r="R438" s="122"/>
      <c r="S438" s="122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7"/>
      <c r="AI438" s="15"/>
      <c r="AL438" s="114"/>
    </row>
    <row r="439" spans="1:38" x14ac:dyDescent="0.4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22"/>
      <c r="R439" s="122"/>
      <c r="S439" s="122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26"/>
      <c r="AI439" s="15"/>
      <c r="AL439" s="114"/>
    </row>
    <row r="440" spans="1:38" x14ac:dyDescent="0.4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22"/>
      <c r="R440" s="122"/>
      <c r="S440" s="122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26"/>
      <c r="AI440" s="15"/>
      <c r="AL440" s="114"/>
    </row>
    <row r="441" spans="1:38" x14ac:dyDescent="0.4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22"/>
      <c r="R441" s="122"/>
      <c r="S441" s="122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26"/>
      <c r="AI441" s="105"/>
      <c r="AL441" s="114"/>
    </row>
    <row r="442" spans="1:38" x14ac:dyDescent="0.4">
      <c r="AH442" s="26"/>
      <c r="AI442" s="15"/>
      <c r="AL442" s="114"/>
    </row>
    <row r="443" spans="1:38" x14ac:dyDescent="0.4">
      <c r="R443" s="122"/>
      <c r="S443" s="122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26"/>
      <c r="AI443" s="15"/>
      <c r="AL443" s="114"/>
    </row>
    <row r="444" spans="1:38" x14ac:dyDescent="0.4">
      <c r="N444" s="115"/>
      <c r="O444" s="115"/>
      <c r="P444" s="115"/>
      <c r="Q444" s="122"/>
      <c r="R444" s="122"/>
      <c r="S444" s="122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26"/>
      <c r="AI444" s="15"/>
      <c r="AL444" s="114"/>
    </row>
    <row r="445" spans="1:38" x14ac:dyDescent="0.4"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22"/>
      <c r="R445" s="122"/>
      <c r="S445" s="122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26"/>
      <c r="AI445" s="15"/>
      <c r="AL445" s="114"/>
    </row>
    <row r="446" spans="1:38" x14ac:dyDescent="0.4"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22"/>
      <c r="R446" s="122"/>
      <c r="S446" s="122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7"/>
      <c r="AI446" s="15"/>
      <c r="AL446" s="114"/>
    </row>
    <row r="447" spans="1:38" x14ac:dyDescent="0.4"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22"/>
      <c r="R447" s="122"/>
      <c r="S447" s="122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26"/>
      <c r="AI447" s="15"/>
      <c r="AL447" s="114"/>
    </row>
    <row r="448" spans="1:38" x14ac:dyDescent="0.4"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22"/>
      <c r="R448" s="122"/>
      <c r="S448" s="122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26"/>
      <c r="AI448" s="15"/>
      <c r="AL448" s="114"/>
    </row>
    <row r="449" spans="2:38" x14ac:dyDescent="0.4"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22"/>
      <c r="R449" s="122"/>
      <c r="S449" s="122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26"/>
      <c r="AI449" s="15"/>
      <c r="AL449" s="114"/>
    </row>
    <row r="450" spans="2:38" x14ac:dyDescent="0.4"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22"/>
      <c r="R450" s="122"/>
      <c r="S450" s="122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26"/>
      <c r="AI450" s="15"/>
      <c r="AL450" s="114"/>
    </row>
    <row r="451" spans="2:38" x14ac:dyDescent="0.4"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22"/>
      <c r="R451" s="122"/>
      <c r="S451" s="122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26"/>
      <c r="AI451" s="15"/>
      <c r="AL451" s="114"/>
    </row>
    <row r="452" spans="2:38" x14ac:dyDescent="0.4"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22"/>
      <c r="R452" s="122"/>
      <c r="S452" s="122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26"/>
      <c r="AI452" s="15"/>
      <c r="AL452" s="114"/>
    </row>
    <row r="453" spans="2:38" x14ac:dyDescent="0.4"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22"/>
      <c r="R453" s="122"/>
      <c r="S453" s="122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26"/>
      <c r="AI453" s="15"/>
      <c r="AL453" s="114"/>
    </row>
    <row r="454" spans="2:38" x14ac:dyDescent="0.4"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22"/>
      <c r="R454" s="122"/>
      <c r="S454" s="122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7"/>
      <c r="AI454" s="15"/>
      <c r="AL454" s="114"/>
    </row>
    <row r="455" spans="2:38" x14ac:dyDescent="0.4"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22"/>
      <c r="R455" s="122"/>
      <c r="S455" s="122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26"/>
      <c r="AI455" s="15"/>
      <c r="AL455" s="114"/>
    </row>
    <row r="456" spans="2:38" x14ac:dyDescent="0.4"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22"/>
      <c r="R456" s="122"/>
      <c r="S456" s="122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26"/>
      <c r="AI456" s="15"/>
      <c r="AL456" s="114"/>
    </row>
    <row r="457" spans="2:38" x14ac:dyDescent="0.4"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22"/>
      <c r="R457" s="122"/>
      <c r="S457" s="122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26"/>
      <c r="AI457" s="15"/>
      <c r="AL457" s="114"/>
    </row>
    <row r="458" spans="2:38" x14ac:dyDescent="0.4"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22"/>
      <c r="R458" s="122"/>
      <c r="S458" s="122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26"/>
      <c r="AI458" s="15"/>
      <c r="AL458" s="114"/>
    </row>
    <row r="459" spans="2:38" x14ac:dyDescent="0.4"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22"/>
      <c r="R459" s="122"/>
      <c r="S459" s="122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26"/>
      <c r="AI459" s="15"/>
      <c r="AL459" s="114"/>
    </row>
    <row r="460" spans="2:38" x14ac:dyDescent="0.4"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22"/>
      <c r="R460" s="122"/>
      <c r="S460" s="122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26"/>
      <c r="AI460" s="15"/>
      <c r="AL460" s="114"/>
    </row>
    <row r="461" spans="2:38" x14ac:dyDescent="0.4"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22"/>
      <c r="R461" s="122"/>
      <c r="S461" s="122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26"/>
      <c r="AI461" s="15"/>
      <c r="AL461" s="114"/>
    </row>
    <row r="462" spans="2:38" x14ac:dyDescent="0.4"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22"/>
      <c r="R462" s="122"/>
      <c r="S462" s="122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7"/>
      <c r="AI462" s="15"/>
      <c r="AL462" s="114"/>
    </row>
    <row r="463" spans="2:38" x14ac:dyDescent="0.4"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22"/>
      <c r="R463" s="122"/>
      <c r="S463" s="122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26"/>
      <c r="AI463" s="15"/>
      <c r="AL463" s="114"/>
    </row>
    <row r="464" spans="2:38" x14ac:dyDescent="0.4"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22"/>
      <c r="R464" s="122"/>
      <c r="S464" s="122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26"/>
      <c r="AI464" s="15"/>
      <c r="AL464" s="114"/>
    </row>
    <row r="465" spans="2:38" x14ac:dyDescent="0.4"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22"/>
      <c r="R465" s="122"/>
      <c r="S465" s="122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26"/>
      <c r="AI465" s="15"/>
      <c r="AL465" s="114"/>
    </row>
    <row r="466" spans="2:38" x14ac:dyDescent="0.4"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22"/>
      <c r="R466" s="122"/>
      <c r="S466" s="122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26"/>
      <c r="AI466" s="15"/>
      <c r="AL466" s="114"/>
    </row>
    <row r="467" spans="2:38" x14ac:dyDescent="0.4"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22"/>
      <c r="R467" s="122"/>
      <c r="S467" s="122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26"/>
      <c r="AI467" s="15"/>
      <c r="AL467" s="114"/>
    </row>
    <row r="468" spans="2:38" x14ac:dyDescent="0.4"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22"/>
      <c r="R468" s="122"/>
      <c r="S468" s="122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26"/>
      <c r="AI468" s="15"/>
      <c r="AL468" s="114"/>
    </row>
    <row r="469" spans="2:38" x14ac:dyDescent="0.4"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22"/>
      <c r="R469" s="122"/>
      <c r="S469" s="122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26"/>
      <c r="AI469" s="15"/>
      <c r="AL469" s="114"/>
    </row>
    <row r="470" spans="2:38" x14ac:dyDescent="0.4"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22"/>
      <c r="R470" s="122"/>
      <c r="S470" s="122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26"/>
      <c r="AI470" s="15"/>
      <c r="AL470" s="114"/>
    </row>
    <row r="471" spans="2:38" x14ac:dyDescent="0.4"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22"/>
      <c r="R471" s="122"/>
      <c r="S471" s="122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7"/>
      <c r="AI471" s="15"/>
      <c r="AL471" s="114"/>
    </row>
    <row r="472" spans="2:38" x14ac:dyDescent="0.4"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22"/>
      <c r="R472" s="122"/>
      <c r="S472" s="122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26"/>
      <c r="AI472" s="15"/>
      <c r="AL472" s="114"/>
    </row>
    <row r="473" spans="2:38" x14ac:dyDescent="0.4"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22"/>
      <c r="R473" s="122"/>
      <c r="S473" s="122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7"/>
      <c r="AI473" s="15"/>
      <c r="AL473" s="114"/>
    </row>
    <row r="474" spans="2:38" x14ac:dyDescent="0.4"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22"/>
      <c r="R474" s="122"/>
      <c r="S474" s="122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26"/>
      <c r="AI474" s="15"/>
      <c r="AL474" s="114"/>
    </row>
    <row r="475" spans="2:38" x14ac:dyDescent="0.4"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22"/>
      <c r="R475" s="122"/>
      <c r="S475" s="122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7"/>
      <c r="AI475" s="15"/>
      <c r="AL475" s="114"/>
    </row>
    <row r="476" spans="2:38" x14ac:dyDescent="0.4"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22"/>
      <c r="R476" s="122"/>
      <c r="S476" s="122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26"/>
      <c r="AI476" s="15"/>
      <c r="AL476" s="114"/>
    </row>
    <row r="477" spans="2:38" x14ac:dyDescent="0.4"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22"/>
      <c r="R477" s="122"/>
      <c r="S477" s="122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26"/>
      <c r="AI477" s="15"/>
      <c r="AL477" s="114"/>
    </row>
    <row r="478" spans="2:38" x14ac:dyDescent="0.4"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22"/>
      <c r="R478" s="122"/>
      <c r="S478" s="122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7"/>
      <c r="AI478" s="15"/>
      <c r="AL478" s="114"/>
    </row>
    <row r="479" spans="2:38" x14ac:dyDescent="0.4"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22"/>
      <c r="R479" s="122"/>
      <c r="S479" s="122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26"/>
      <c r="AI479" s="15"/>
      <c r="AL479" s="114"/>
    </row>
    <row r="480" spans="2:38" x14ac:dyDescent="0.4"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22"/>
      <c r="R480" s="122"/>
      <c r="S480" s="122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26"/>
      <c r="AI480" s="15"/>
      <c r="AL480" s="114"/>
    </row>
    <row r="481" spans="1:38" x14ac:dyDescent="0.4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22"/>
      <c r="R481" s="122"/>
      <c r="S481" s="122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26"/>
      <c r="AI481" s="105"/>
      <c r="AL481" s="114"/>
    </row>
    <row r="482" spans="1:38" x14ac:dyDescent="0.4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22"/>
      <c r="R482" s="122"/>
      <c r="S482" s="122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7"/>
      <c r="AI482" s="15"/>
      <c r="AL482" s="114"/>
    </row>
    <row r="483" spans="1:38" x14ac:dyDescent="0.4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22"/>
      <c r="R483" s="122"/>
      <c r="S483" s="122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7"/>
      <c r="AI483" s="15"/>
      <c r="AL483" s="114"/>
    </row>
    <row r="484" spans="1:38" x14ac:dyDescent="0.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22"/>
      <c r="R484" s="122"/>
      <c r="S484" s="122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26"/>
      <c r="AI484" s="15"/>
      <c r="AL484" s="114"/>
    </row>
    <row r="485" spans="1:38" x14ac:dyDescent="0.4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22"/>
      <c r="R485" s="122"/>
      <c r="S485" s="122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26"/>
      <c r="AI485" s="15"/>
      <c r="AL485" s="114"/>
    </row>
    <row r="486" spans="1:38" x14ac:dyDescent="0.4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22"/>
      <c r="R486" s="122"/>
      <c r="S486" s="122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26"/>
      <c r="AI486" s="15"/>
      <c r="AL486" s="114"/>
    </row>
    <row r="487" spans="1:38" x14ac:dyDescent="0.4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22"/>
      <c r="R487" s="122"/>
      <c r="S487" s="122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26"/>
      <c r="AI487" s="15"/>
      <c r="AL487" s="114"/>
    </row>
    <row r="488" spans="1:38" x14ac:dyDescent="0.4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22"/>
      <c r="R488" s="122"/>
      <c r="S488" s="122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26"/>
      <c r="AI488" s="15"/>
      <c r="AL488" s="114"/>
    </row>
    <row r="489" spans="1:38" x14ac:dyDescent="0.4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22"/>
      <c r="R489" s="122"/>
      <c r="S489" s="122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26"/>
      <c r="AI489" s="15"/>
      <c r="AL489" s="114"/>
    </row>
    <row r="490" spans="1:38" x14ac:dyDescent="0.4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22"/>
      <c r="R490" s="122"/>
      <c r="S490" s="122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26"/>
      <c r="AI490" s="15"/>
      <c r="AL490" s="114"/>
    </row>
    <row r="491" spans="1:38" x14ac:dyDescent="0.4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22"/>
      <c r="R491" s="122"/>
      <c r="S491" s="122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26"/>
      <c r="AI491" s="15"/>
      <c r="AL491" s="114"/>
    </row>
    <row r="492" spans="1:38" x14ac:dyDescent="0.4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22"/>
      <c r="R492" s="122"/>
      <c r="S492" s="122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26"/>
      <c r="AI492" s="105"/>
      <c r="AL492" s="114"/>
    </row>
    <row r="493" spans="1:38" x14ac:dyDescent="0.4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22"/>
      <c r="R493" s="122"/>
      <c r="S493" s="122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26"/>
      <c r="AI493" s="15"/>
      <c r="AL493" s="114"/>
    </row>
    <row r="494" spans="1:38" x14ac:dyDescent="0.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22"/>
      <c r="R494" s="122"/>
      <c r="S494" s="122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26"/>
      <c r="AI494" s="15"/>
      <c r="AL494" s="114"/>
    </row>
    <row r="495" spans="1:38" x14ac:dyDescent="0.4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22"/>
      <c r="R495" s="122"/>
      <c r="S495" s="122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26"/>
      <c r="AI495" s="13"/>
      <c r="AL495" s="114"/>
    </row>
    <row r="496" spans="1:38" x14ac:dyDescent="0.4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22"/>
      <c r="R496" s="122"/>
      <c r="S496" s="122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7"/>
      <c r="AI496" s="13"/>
      <c r="AL496" s="114"/>
    </row>
    <row r="497" spans="1:38" x14ac:dyDescent="0.4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22"/>
      <c r="R497" s="122"/>
      <c r="S497" s="122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26"/>
      <c r="AI497" s="13"/>
      <c r="AL497" s="114"/>
    </row>
    <row r="498" spans="1:38" x14ac:dyDescent="0.4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22"/>
      <c r="R498" s="122"/>
      <c r="S498" s="122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26"/>
      <c r="AI498" s="13"/>
      <c r="AL498" s="114"/>
    </row>
    <row r="499" spans="1:38" x14ac:dyDescent="0.4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22"/>
      <c r="R499" s="122"/>
      <c r="S499" s="122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26"/>
      <c r="AI499" s="13"/>
      <c r="AL499" s="114"/>
    </row>
    <row r="500" spans="1:38" x14ac:dyDescent="0.4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22"/>
      <c r="R500" s="122"/>
      <c r="S500" s="122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26"/>
      <c r="AI500" s="13"/>
      <c r="AL500" s="114"/>
    </row>
    <row r="501" spans="1:38" x14ac:dyDescent="0.4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22"/>
      <c r="R501" s="122"/>
      <c r="S501" s="122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26"/>
      <c r="AI501" s="13"/>
      <c r="AL501" s="114"/>
    </row>
    <row r="502" spans="1:38" x14ac:dyDescent="0.4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22"/>
      <c r="R502" s="122"/>
      <c r="S502" s="122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26"/>
      <c r="AI502" s="13"/>
      <c r="AL502" s="114"/>
    </row>
    <row r="503" spans="1:38" x14ac:dyDescent="0.4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22"/>
      <c r="R503" s="122"/>
      <c r="S503" s="122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7"/>
      <c r="AI503" s="13"/>
      <c r="AL503" s="114"/>
    </row>
    <row r="504" spans="1:38" x14ac:dyDescent="0.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22"/>
      <c r="R504" s="122"/>
      <c r="S504" s="122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26"/>
      <c r="AI504" s="13"/>
      <c r="AL504" s="114"/>
    </row>
    <row r="505" spans="1:38" x14ac:dyDescent="0.4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22"/>
      <c r="R505" s="122"/>
      <c r="S505" s="122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26"/>
      <c r="AI505" s="13"/>
      <c r="AL505" s="114"/>
    </row>
    <row r="506" spans="1:38" x14ac:dyDescent="0.4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22"/>
      <c r="R506" s="122"/>
      <c r="S506" s="122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26"/>
      <c r="AI506" s="13"/>
      <c r="AL506" s="114"/>
    </row>
    <row r="507" spans="1:38" x14ac:dyDescent="0.4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22"/>
      <c r="R507" s="122"/>
      <c r="S507" s="122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26"/>
      <c r="AI507" s="13"/>
      <c r="AL507" s="114"/>
    </row>
    <row r="508" spans="1:38" x14ac:dyDescent="0.4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22"/>
      <c r="R508" s="122"/>
      <c r="S508" s="122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26"/>
      <c r="AI508" s="25"/>
      <c r="AL508" s="114"/>
    </row>
    <row r="509" spans="1:38" x14ac:dyDescent="0.4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22"/>
      <c r="R509" s="122"/>
      <c r="S509" s="122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7"/>
      <c r="AI509" s="13"/>
      <c r="AL509" s="114"/>
    </row>
    <row r="510" spans="1:38" x14ac:dyDescent="0.4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22"/>
      <c r="R510" s="122"/>
      <c r="S510" s="122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26"/>
      <c r="AI510" s="15"/>
      <c r="AL510" s="114"/>
    </row>
    <row r="511" spans="1:38" x14ac:dyDescent="0.4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22"/>
      <c r="R511" s="122"/>
      <c r="S511" s="122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26"/>
      <c r="AI511" s="15"/>
      <c r="AL511" s="114"/>
    </row>
    <row r="512" spans="1:38" x14ac:dyDescent="0.4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22"/>
      <c r="R512" s="122"/>
      <c r="S512" s="122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7"/>
      <c r="AI512" s="15"/>
      <c r="AL512" s="114"/>
    </row>
    <row r="513" spans="1:38" x14ac:dyDescent="0.4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22"/>
      <c r="R513" s="122"/>
      <c r="S513" s="122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26"/>
      <c r="AI513" s="15"/>
      <c r="AL513" s="114"/>
    </row>
    <row r="514" spans="1:38" x14ac:dyDescent="0.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22"/>
      <c r="R514" s="122"/>
      <c r="S514" s="122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26"/>
      <c r="AI514" s="15"/>
      <c r="AL514" s="114"/>
    </row>
    <row r="515" spans="1:38" x14ac:dyDescent="0.4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22"/>
      <c r="R515" s="122"/>
      <c r="S515" s="122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26"/>
      <c r="AI515" s="13"/>
      <c r="AL515" s="114"/>
    </row>
    <row r="516" spans="1:38" x14ac:dyDescent="0.4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22"/>
      <c r="R516" s="122"/>
      <c r="S516" s="122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26"/>
      <c r="AI516" s="13"/>
      <c r="AL516" s="114"/>
    </row>
    <row r="517" spans="1:38" x14ac:dyDescent="0.4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22"/>
      <c r="R517" s="122"/>
      <c r="S517" s="122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26"/>
      <c r="AI517" s="13"/>
      <c r="AL517" s="114"/>
    </row>
    <row r="518" spans="1:38" x14ac:dyDescent="0.4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22"/>
      <c r="R518" s="122"/>
      <c r="S518" s="122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26"/>
      <c r="AI518" s="13"/>
      <c r="AL518" s="114"/>
    </row>
    <row r="519" spans="1:38" x14ac:dyDescent="0.4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22"/>
      <c r="R519" s="122"/>
      <c r="S519" s="122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26"/>
      <c r="AI519" s="13"/>
      <c r="AL519" s="114"/>
    </row>
    <row r="520" spans="1:38" x14ac:dyDescent="0.4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22"/>
      <c r="R520" s="122"/>
      <c r="S520" s="122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26"/>
      <c r="AI520" s="13"/>
      <c r="AL520" s="114"/>
    </row>
    <row r="521" spans="1:38" x14ac:dyDescent="0.4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22"/>
      <c r="R521" s="122"/>
      <c r="S521" s="122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26"/>
      <c r="AI521" s="13"/>
      <c r="AL521" s="114"/>
    </row>
    <row r="522" spans="1:38" x14ac:dyDescent="0.4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22"/>
      <c r="R522" s="122"/>
      <c r="S522" s="122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26"/>
      <c r="AI522" s="13"/>
      <c r="AL522" s="114"/>
    </row>
    <row r="523" spans="1:38" x14ac:dyDescent="0.4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22"/>
      <c r="R523" s="122"/>
      <c r="S523" s="122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7"/>
      <c r="AI523" s="13"/>
      <c r="AL523" s="114"/>
    </row>
    <row r="524" spans="1:38" x14ac:dyDescent="0.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22"/>
      <c r="R524" s="122"/>
      <c r="S524" s="122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26"/>
      <c r="AI524" s="13"/>
      <c r="AL524" s="114"/>
    </row>
    <row r="525" spans="1:38" x14ac:dyDescent="0.4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22"/>
      <c r="R525" s="122"/>
      <c r="S525" s="122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7"/>
      <c r="AI525" s="13"/>
      <c r="AL525" s="114"/>
    </row>
    <row r="526" spans="1:38" x14ac:dyDescent="0.4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22"/>
      <c r="R526" s="122"/>
      <c r="S526" s="122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26"/>
      <c r="AI526" s="13"/>
      <c r="AL526" s="114"/>
    </row>
    <row r="527" spans="1:38" x14ac:dyDescent="0.4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22"/>
      <c r="R527" s="122"/>
      <c r="S527" s="122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26"/>
      <c r="AI527" s="13"/>
      <c r="AL527" s="114"/>
    </row>
    <row r="528" spans="1:38" x14ac:dyDescent="0.4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22"/>
      <c r="R528" s="122"/>
      <c r="S528" s="122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26"/>
      <c r="AI528" s="13"/>
      <c r="AL528" s="114"/>
    </row>
    <row r="529" spans="1:39" x14ac:dyDescent="0.4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22"/>
      <c r="R529" s="122"/>
      <c r="S529" s="122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26"/>
      <c r="AI529" s="15"/>
      <c r="AL529" s="114"/>
    </row>
    <row r="530" spans="1:39" x14ac:dyDescent="0.4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22"/>
      <c r="R530" s="122"/>
      <c r="S530" s="122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26"/>
      <c r="AI530" s="15"/>
      <c r="AL530" s="114"/>
    </row>
    <row r="531" spans="1:39" x14ac:dyDescent="0.4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22"/>
      <c r="R531" s="122"/>
      <c r="S531" s="122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26"/>
      <c r="AI531" s="15"/>
      <c r="AL531" s="114"/>
    </row>
    <row r="532" spans="1:39" x14ac:dyDescent="0.4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22"/>
      <c r="R532" s="122"/>
      <c r="S532" s="122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26"/>
      <c r="AI532" s="13"/>
      <c r="AL532" s="114"/>
    </row>
    <row r="533" spans="1:39" x14ac:dyDescent="0.4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22"/>
      <c r="R533" s="122"/>
      <c r="S533" s="122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26"/>
      <c r="AI533" s="15"/>
      <c r="AL533" s="114"/>
    </row>
    <row r="534" spans="1:39" x14ac:dyDescent="0.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22"/>
      <c r="R534" s="122"/>
      <c r="S534" s="122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26"/>
      <c r="AI534" s="15"/>
      <c r="AL534" s="114"/>
      <c r="AM534" s="120"/>
    </row>
    <row r="535" spans="1:39" x14ac:dyDescent="0.4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22"/>
      <c r="R535" s="122"/>
      <c r="S535" s="122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26"/>
      <c r="AI535" s="15"/>
      <c r="AL535" s="114"/>
      <c r="AM535" s="120"/>
    </row>
    <row r="536" spans="1:39" x14ac:dyDescent="0.4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22"/>
      <c r="R536" s="122"/>
      <c r="S536" s="122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26"/>
      <c r="AI536" s="15"/>
      <c r="AL536" s="114"/>
      <c r="AM536" s="120"/>
    </row>
    <row r="537" spans="1:39" x14ac:dyDescent="0.4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22"/>
      <c r="R537" s="122"/>
      <c r="S537" s="122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26"/>
      <c r="AI537" s="15"/>
      <c r="AL537" s="114"/>
      <c r="AM537" s="120"/>
    </row>
    <row r="538" spans="1:39" x14ac:dyDescent="0.4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22"/>
      <c r="R538" s="122"/>
      <c r="S538" s="122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26"/>
      <c r="AI538" s="15"/>
      <c r="AL538" s="114"/>
      <c r="AM538" s="120"/>
    </row>
    <row r="539" spans="1:39" x14ac:dyDescent="0.4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22"/>
      <c r="R539" s="122"/>
      <c r="S539" s="122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26"/>
      <c r="AI539" s="15"/>
      <c r="AL539" s="114"/>
      <c r="AM539" s="120"/>
    </row>
    <row r="540" spans="1:39" x14ac:dyDescent="0.4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22"/>
      <c r="R540" s="122"/>
      <c r="S540" s="122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26"/>
      <c r="AI540" s="15"/>
      <c r="AL540" s="114"/>
      <c r="AM540" s="120"/>
    </row>
    <row r="541" spans="1:39" x14ac:dyDescent="0.4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22"/>
      <c r="R541" s="122"/>
      <c r="S541" s="122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7"/>
      <c r="AI541" s="15"/>
      <c r="AL541" s="114"/>
      <c r="AM541" s="120"/>
    </row>
    <row r="542" spans="1:39" x14ac:dyDescent="0.4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22"/>
      <c r="R542" s="122"/>
      <c r="S542" s="122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26"/>
      <c r="AI542" s="15"/>
      <c r="AL542" s="114"/>
      <c r="AM542" s="120"/>
    </row>
    <row r="543" spans="1:39" x14ac:dyDescent="0.4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22"/>
      <c r="R543" s="122"/>
      <c r="S543" s="122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26"/>
      <c r="AI543" s="15"/>
      <c r="AL543" s="114"/>
    </row>
    <row r="544" spans="1:39" x14ac:dyDescent="0.4">
      <c r="AH544" s="26"/>
      <c r="AI544" s="15"/>
      <c r="AL544" s="114"/>
    </row>
    <row r="545" spans="4:42" x14ac:dyDescent="0.4"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7"/>
      <c r="AI545" s="15"/>
      <c r="AL545" s="114"/>
    </row>
    <row r="546" spans="4:42" x14ac:dyDescent="0.4"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7"/>
      <c r="AI546" s="15"/>
      <c r="AL546" s="114"/>
    </row>
    <row r="547" spans="4:42" x14ac:dyDescent="0.4">
      <c r="S547" s="122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7"/>
      <c r="AI547" s="15"/>
      <c r="AL547" s="114"/>
    </row>
    <row r="548" spans="4:42" x14ac:dyDescent="0.4">
      <c r="N548" s="115"/>
      <c r="O548" s="115"/>
      <c r="P548" s="115"/>
      <c r="Q548" s="122"/>
      <c r="R548" s="122"/>
      <c r="S548" s="122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26"/>
      <c r="AI548" s="15"/>
      <c r="AL548" s="114"/>
    </row>
    <row r="549" spans="4:42" x14ac:dyDescent="0.4">
      <c r="N549" s="115"/>
      <c r="O549" s="115"/>
      <c r="P549" s="115"/>
      <c r="Q549" s="122"/>
      <c r="R549" s="122"/>
      <c r="S549" s="122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7"/>
      <c r="AI549" s="15"/>
      <c r="AL549" s="114"/>
    </row>
    <row r="550" spans="4:42" x14ac:dyDescent="0.4">
      <c r="M550" s="115"/>
      <c r="N550" s="115"/>
      <c r="O550" s="115"/>
      <c r="P550" s="115"/>
      <c r="Q550" s="122"/>
      <c r="R550" s="122"/>
      <c r="S550" s="122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26"/>
      <c r="AI550" s="15"/>
      <c r="AL550" s="114"/>
    </row>
    <row r="551" spans="4:42" x14ac:dyDescent="0.4">
      <c r="M551" s="115"/>
      <c r="N551" s="115"/>
      <c r="O551" s="115"/>
      <c r="P551" s="115"/>
      <c r="Q551" s="122"/>
      <c r="R551" s="122"/>
      <c r="S551" s="122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7"/>
      <c r="AI551" s="15"/>
      <c r="AL551" s="114"/>
    </row>
    <row r="552" spans="4:42" x14ac:dyDescent="0.4">
      <c r="M552" s="115"/>
      <c r="N552" s="115"/>
      <c r="O552" s="115"/>
      <c r="P552" s="115"/>
      <c r="Q552" s="122"/>
      <c r="R552" s="122"/>
      <c r="S552" s="122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7"/>
      <c r="AI552" s="15"/>
      <c r="AL552" s="114"/>
    </row>
    <row r="553" spans="4:42" x14ac:dyDescent="0.4">
      <c r="M553" s="115"/>
      <c r="N553" s="115"/>
      <c r="O553" s="115"/>
      <c r="P553" s="115"/>
      <c r="Q553" s="122"/>
      <c r="R553" s="122"/>
      <c r="S553" s="122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7"/>
      <c r="AI553" s="15"/>
      <c r="AL553" s="114"/>
    </row>
    <row r="554" spans="4:42" x14ac:dyDescent="0.4">
      <c r="M554" s="115"/>
      <c r="N554" s="115"/>
      <c r="O554" s="115"/>
      <c r="P554" s="115"/>
      <c r="Q554" s="122"/>
      <c r="R554" s="122"/>
      <c r="S554" s="122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26"/>
      <c r="AI554" s="15"/>
      <c r="AL554" s="114"/>
    </row>
    <row r="555" spans="4:42" x14ac:dyDescent="0.4">
      <c r="M555" s="115"/>
      <c r="N555" s="115"/>
      <c r="O555" s="115"/>
      <c r="P555" s="115"/>
      <c r="Q555" s="122"/>
      <c r="R555" s="122"/>
      <c r="S555" s="122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7"/>
      <c r="AI555" s="15"/>
      <c r="AL555" s="114"/>
    </row>
    <row r="556" spans="4:42" ht="19.5" x14ac:dyDescent="0.4">
      <c r="AH556" s="26"/>
      <c r="AI556" s="15"/>
      <c r="AM556" s="116"/>
      <c r="AN556" s="116"/>
      <c r="AO556" s="116"/>
      <c r="AP556" s="116"/>
    </row>
    <row r="557" spans="4:42" ht="19.5" x14ac:dyDescent="0.4">
      <c r="R557" s="122"/>
      <c r="S557" s="122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7"/>
      <c r="AI557" s="15"/>
      <c r="AM557" s="117"/>
      <c r="AN557" s="116"/>
      <c r="AO557" s="116"/>
      <c r="AP557" s="116"/>
    </row>
    <row r="558" spans="4:42" ht="19.5" x14ac:dyDescent="0.4">
      <c r="J558" s="115"/>
      <c r="K558" s="115"/>
      <c r="L558" s="115"/>
      <c r="M558" s="115"/>
      <c r="N558" s="115"/>
      <c r="O558" s="115"/>
      <c r="P558" s="115"/>
      <c r="Q558" s="122"/>
      <c r="R558" s="122"/>
      <c r="S558" s="122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26"/>
      <c r="AI558" s="15"/>
      <c r="AM558" s="117"/>
      <c r="AN558" s="116"/>
      <c r="AO558" s="116"/>
      <c r="AP558" s="116"/>
    </row>
    <row r="559" spans="4:42" ht="19.5" x14ac:dyDescent="0.4"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22"/>
      <c r="R559" s="122"/>
      <c r="S559" s="122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26"/>
      <c r="AI559" s="13"/>
      <c r="AM559" s="117"/>
      <c r="AN559" s="116"/>
      <c r="AO559" s="116"/>
      <c r="AP559" s="116"/>
    </row>
    <row r="560" spans="4:42" ht="19.5" x14ac:dyDescent="0.4"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22"/>
      <c r="R560" s="122"/>
      <c r="S560" s="122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26"/>
      <c r="AI560" s="15"/>
      <c r="AM560" s="117"/>
      <c r="AN560" s="116"/>
      <c r="AO560" s="116"/>
      <c r="AP560" s="116"/>
    </row>
    <row r="561" spans="1:42" ht="19.5" x14ac:dyDescent="0.4"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22"/>
      <c r="R561" s="122"/>
      <c r="S561" s="122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7"/>
      <c r="AI561" s="15"/>
      <c r="AM561" s="117"/>
      <c r="AN561" s="116"/>
      <c r="AO561" s="116"/>
      <c r="AP561" s="116"/>
    </row>
    <row r="562" spans="1:42" ht="19.5" x14ac:dyDescent="0.4"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22"/>
      <c r="R562" s="122"/>
      <c r="S562" s="122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26"/>
      <c r="AI562" s="15"/>
      <c r="AM562" s="117"/>
      <c r="AN562" s="116"/>
      <c r="AO562" s="116"/>
      <c r="AP562" s="116"/>
    </row>
    <row r="563" spans="1:42" ht="19.5" x14ac:dyDescent="0.4"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22"/>
      <c r="R563" s="122"/>
      <c r="S563" s="122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26"/>
      <c r="AI563" s="15"/>
      <c r="AM563" s="117"/>
      <c r="AN563" s="116"/>
      <c r="AO563" s="116"/>
      <c r="AP563" s="116"/>
    </row>
    <row r="564" spans="1:42" ht="19.5" x14ac:dyDescent="0.4"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22"/>
      <c r="R564" s="122"/>
      <c r="S564" s="122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7"/>
      <c r="AI564" s="15"/>
      <c r="AM564" s="117"/>
      <c r="AN564" s="116"/>
      <c r="AO564" s="116"/>
      <c r="AP564" s="116"/>
    </row>
    <row r="565" spans="1:42" ht="19.5" x14ac:dyDescent="0.4"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22"/>
      <c r="R565" s="122"/>
      <c r="S565" s="122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26"/>
      <c r="AI565" s="15"/>
      <c r="AM565" s="117"/>
      <c r="AN565" s="116"/>
      <c r="AO565" s="116"/>
      <c r="AP565" s="116"/>
    </row>
    <row r="566" spans="1:42" ht="19.5" x14ac:dyDescent="0.4">
      <c r="AH566" s="26"/>
      <c r="AI566" s="15"/>
      <c r="AM566" s="117"/>
      <c r="AN566" s="116"/>
      <c r="AO566" s="116"/>
      <c r="AP566" s="116"/>
    </row>
    <row r="567" spans="1:42" ht="19.5" x14ac:dyDescent="0.4">
      <c r="R567" s="122"/>
      <c r="S567" s="122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7"/>
      <c r="AI567" s="15"/>
      <c r="AM567" s="117"/>
      <c r="AN567" s="116"/>
      <c r="AO567" s="116"/>
      <c r="AP567" s="116"/>
    </row>
    <row r="568" spans="1:42" ht="19.5" x14ac:dyDescent="0.4">
      <c r="O568" s="115"/>
      <c r="P568" s="115"/>
      <c r="Q568" s="122"/>
      <c r="R568" s="122"/>
      <c r="S568" s="122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26"/>
      <c r="AI568" s="15"/>
      <c r="AM568" s="117"/>
      <c r="AN568" s="116"/>
      <c r="AO568" s="116"/>
      <c r="AP568" s="116"/>
    </row>
    <row r="569" spans="1:42" ht="19.5" x14ac:dyDescent="0.4">
      <c r="O569" s="115"/>
      <c r="P569" s="115"/>
      <c r="Q569" s="122"/>
      <c r="R569" s="122"/>
      <c r="S569" s="122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7"/>
      <c r="AI569" s="15"/>
      <c r="AM569" s="117"/>
      <c r="AN569" s="116"/>
      <c r="AO569" s="116"/>
      <c r="AP569" s="116"/>
    </row>
    <row r="570" spans="1:42" ht="19.5" x14ac:dyDescent="0.4">
      <c r="N570" s="115"/>
      <c r="O570" s="115"/>
      <c r="P570" s="115"/>
      <c r="Q570" s="122"/>
      <c r="R570" s="122"/>
      <c r="S570" s="122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26"/>
      <c r="AI570" s="15"/>
      <c r="AM570" s="117"/>
      <c r="AN570" s="116"/>
      <c r="AO570" s="116"/>
      <c r="AP570" s="116"/>
    </row>
    <row r="571" spans="1:42" ht="19.5" x14ac:dyDescent="0.4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22"/>
      <c r="R571" s="122"/>
      <c r="S571" s="122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26"/>
      <c r="AI571" s="15"/>
      <c r="AM571" s="117"/>
      <c r="AN571" s="116"/>
      <c r="AO571" s="116"/>
      <c r="AP571" s="116"/>
    </row>
    <row r="572" spans="1:42" ht="19.5" x14ac:dyDescent="0.4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22"/>
      <c r="R572" s="122"/>
      <c r="S572" s="122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26"/>
      <c r="AI572" s="15"/>
      <c r="AM572" s="117"/>
      <c r="AN572" s="116"/>
      <c r="AO572" s="116"/>
      <c r="AP572" s="116"/>
    </row>
    <row r="573" spans="1:42" ht="19.5" x14ac:dyDescent="0.4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22"/>
      <c r="R573" s="122"/>
      <c r="S573" s="122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26"/>
      <c r="AI573" s="15"/>
      <c r="AM573" s="117"/>
      <c r="AN573" s="116"/>
      <c r="AO573" s="116"/>
      <c r="AP573" s="116"/>
    </row>
    <row r="574" spans="1:42" ht="19.5" x14ac:dyDescent="0.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22"/>
      <c r="R574" s="122"/>
      <c r="S574" s="122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26"/>
      <c r="AI574" s="105"/>
      <c r="AM574" s="117"/>
      <c r="AN574" s="116"/>
      <c r="AO574" s="116"/>
      <c r="AP574" s="116"/>
    </row>
    <row r="575" spans="1:42" ht="19.5" x14ac:dyDescent="0.4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22"/>
      <c r="R575" s="122"/>
      <c r="S575" s="122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26"/>
      <c r="AI575" s="105"/>
      <c r="AM575" s="117"/>
      <c r="AN575" s="116"/>
      <c r="AO575" s="116"/>
      <c r="AP575" s="116"/>
    </row>
    <row r="576" spans="1:42" ht="19.5" x14ac:dyDescent="0.4">
      <c r="AH576" s="26"/>
      <c r="AI576" s="13"/>
      <c r="AM576" s="117"/>
      <c r="AN576" s="116"/>
      <c r="AO576" s="116"/>
      <c r="AP576" s="116"/>
    </row>
    <row r="577" spans="3:42" ht="19.5" x14ac:dyDescent="0.4">
      <c r="O577" s="115"/>
      <c r="P577" s="115"/>
      <c r="Q577" s="122"/>
      <c r="R577" s="122"/>
      <c r="S577" s="122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26"/>
      <c r="AI577" s="13"/>
      <c r="AM577" s="117"/>
      <c r="AN577" s="116"/>
      <c r="AO577" s="116"/>
      <c r="AP577" s="116"/>
    </row>
    <row r="578" spans="3:42" ht="19.5" x14ac:dyDescent="0.4">
      <c r="J578" s="115"/>
      <c r="K578" s="115"/>
      <c r="L578" s="115"/>
      <c r="M578" s="115"/>
      <c r="N578" s="115"/>
      <c r="O578" s="115"/>
      <c r="P578" s="115"/>
      <c r="Q578" s="122"/>
      <c r="R578" s="122"/>
      <c r="S578" s="122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26"/>
      <c r="AI578" s="13"/>
      <c r="AM578" s="117"/>
      <c r="AN578" s="116"/>
      <c r="AO578" s="116"/>
      <c r="AP578" s="116"/>
    </row>
    <row r="579" spans="3:42" ht="19.5" x14ac:dyDescent="0.4">
      <c r="AH579" s="26"/>
      <c r="AI579" s="13"/>
      <c r="AM579" s="117"/>
      <c r="AN579" s="116"/>
      <c r="AO579" s="116"/>
      <c r="AP579" s="116"/>
    </row>
    <row r="580" spans="3:42" ht="19.5" x14ac:dyDescent="0.4"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22"/>
      <c r="R580" s="122"/>
      <c r="S580" s="122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26"/>
      <c r="AI580" s="13"/>
      <c r="AM580" s="117"/>
      <c r="AN580" s="116"/>
      <c r="AO580" s="116"/>
      <c r="AP580" s="116"/>
    </row>
    <row r="581" spans="3:42" ht="19.5" x14ac:dyDescent="0.4"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22"/>
      <c r="R581" s="122"/>
      <c r="S581" s="122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26"/>
      <c r="AI581" s="13"/>
      <c r="AM581" s="117"/>
      <c r="AN581" s="116"/>
      <c r="AO581" s="116"/>
      <c r="AP581" s="116"/>
    </row>
    <row r="582" spans="3:42" ht="19.5" x14ac:dyDescent="0.4"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22"/>
      <c r="R582" s="122"/>
      <c r="S582" s="122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26"/>
      <c r="AI582" s="13"/>
      <c r="AM582" s="117"/>
      <c r="AN582" s="116"/>
      <c r="AO582" s="116"/>
      <c r="AP582" s="116"/>
    </row>
    <row r="583" spans="3:42" ht="19.5" x14ac:dyDescent="0.4"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22"/>
      <c r="R583" s="122"/>
      <c r="S583" s="122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26"/>
      <c r="AI583" s="13"/>
      <c r="AM583" s="117"/>
      <c r="AN583" s="116"/>
      <c r="AO583" s="116"/>
      <c r="AP583" s="116"/>
    </row>
    <row r="584" spans="3:42" ht="19.5" x14ac:dyDescent="0.4"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22"/>
      <c r="R584" s="122"/>
      <c r="S584" s="122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26"/>
      <c r="AI584" s="13"/>
      <c r="AM584" s="117"/>
      <c r="AN584" s="116"/>
      <c r="AO584" s="116"/>
      <c r="AP584" s="116"/>
    </row>
    <row r="585" spans="3:42" ht="19.5" x14ac:dyDescent="0.4"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22"/>
      <c r="R585" s="122"/>
      <c r="S585" s="122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26"/>
      <c r="AI585" s="13"/>
      <c r="AM585" s="117"/>
      <c r="AN585" s="116"/>
      <c r="AO585" s="116"/>
      <c r="AP585" s="116"/>
    </row>
    <row r="586" spans="3:42" ht="19.5" x14ac:dyDescent="0.4"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22"/>
      <c r="R586" s="122"/>
      <c r="S586" s="122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26"/>
      <c r="AI586" s="13"/>
      <c r="AM586" s="117"/>
      <c r="AN586" s="116"/>
      <c r="AO586" s="116"/>
      <c r="AP586" s="116"/>
    </row>
    <row r="587" spans="3:42" ht="19.5" x14ac:dyDescent="0.4"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22"/>
      <c r="R587" s="122"/>
      <c r="S587" s="122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26"/>
      <c r="AI587" s="13"/>
      <c r="AM587" s="117"/>
      <c r="AN587" s="116"/>
      <c r="AO587" s="116"/>
      <c r="AP587" s="116"/>
    </row>
    <row r="588" spans="3:42" ht="19.5" x14ac:dyDescent="0.4">
      <c r="AH588" s="26"/>
      <c r="AI588" s="15"/>
      <c r="AM588" s="117"/>
      <c r="AN588" s="116"/>
      <c r="AO588" s="116"/>
      <c r="AP588" s="116"/>
    </row>
    <row r="589" spans="3:42" ht="19.5" x14ac:dyDescent="0.4"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22"/>
      <c r="R589" s="122"/>
      <c r="S589" s="122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26"/>
      <c r="AI589" s="15"/>
      <c r="AM589" s="117"/>
      <c r="AN589" s="116"/>
      <c r="AO589" s="116"/>
      <c r="AP589" s="116"/>
    </row>
    <row r="590" spans="3:42" ht="19.5" x14ac:dyDescent="0.4"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22"/>
      <c r="R590" s="122"/>
      <c r="S590" s="122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7"/>
      <c r="AI590" s="15"/>
      <c r="AM590" s="117"/>
      <c r="AN590" s="116"/>
      <c r="AO590" s="116"/>
      <c r="AP590" s="116"/>
    </row>
    <row r="591" spans="3:42" ht="19.5" x14ac:dyDescent="0.4">
      <c r="AH591" s="26"/>
      <c r="AI591" s="15"/>
      <c r="AM591" s="117"/>
      <c r="AN591" s="116"/>
      <c r="AO591" s="116"/>
      <c r="AP591" s="116"/>
    </row>
    <row r="592" spans="3:42" ht="19.5" x14ac:dyDescent="0.4">
      <c r="AH592" s="26"/>
      <c r="AI592" s="13"/>
      <c r="AM592" s="117"/>
      <c r="AN592" s="116"/>
      <c r="AO592" s="116"/>
      <c r="AP592" s="116"/>
    </row>
    <row r="593" spans="1:42" ht="19.5" x14ac:dyDescent="0.4">
      <c r="N593" s="115"/>
      <c r="O593" s="115"/>
      <c r="P593" s="115"/>
      <c r="Q593" s="122"/>
      <c r="R593" s="122"/>
      <c r="S593" s="122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26"/>
      <c r="AI593" s="13"/>
      <c r="AM593" s="117"/>
      <c r="AN593" s="116"/>
      <c r="AO593" s="116"/>
      <c r="AP593" s="116"/>
    </row>
    <row r="594" spans="1:42" ht="19.5" x14ac:dyDescent="0.4"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22"/>
      <c r="R594" s="122"/>
      <c r="S594" s="122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26"/>
      <c r="AI594" s="13"/>
      <c r="AM594" s="117"/>
      <c r="AN594" s="116"/>
      <c r="AO594" s="116"/>
      <c r="AP594" s="116"/>
    </row>
    <row r="595" spans="1:42" ht="19.5" x14ac:dyDescent="0.4"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22"/>
      <c r="R595" s="122"/>
      <c r="S595" s="122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7"/>
      <c r="AI595" s="13"/>
      <c r="AM595" s="117"/>
      <c r="AN595" s="116"/>
      <c r="AO595" s="116"/>
      <c r="AP595" s="116"/>
    </row>
    <row r="596" spans="1:42" ht="19.5" x14ac:dyDescent="0.4"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22"/>
      <c r="R596" s="122"/>
      <c r="S596" s="122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26"/>
      <c r="AI596" s="25"/>
      <c r="AM596" s="117"/>
      <c r="AN596" s="116"/>
      <c r="AO596" s="116"/>
      <c r="AP596" s="116"/>
    </row>
    <row r="597" spans="1:42" ht="19.5" x14ac:dyDescent="0.4"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22"/>
      <c r="R597" s="122"/>
      <c r="S597" s="122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7"/>
      <c r="AI597" s="13"/>
      <c r="AM597" s="117"/>
      <c r="AN597" s="116"/>
      <c r="AO597" s="116"/>
      <c r="AP597" s="116"/>
    </row>
    <row r="598" spans="1:42" ht="19.5" x14ac:dyDescent="0.4"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22"/>
      <c r="R598" s="122"/>
      <c r="S598" s="122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26"/>
      <c r="AI598" s="13"/>
      <c r="AM598" s="117"/>
      <c r="AN598" s="116"/>
      <c r="AO598" s="116"/>
      <c r="AP598" s="116"/>
    </row>
    <row r="599" spans="1:42" ht="19.5" x14ac:dyDescent="0.4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22"/>
      <c r="R599" s="122"/>
      <c r="S599" s="122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26"/>
      <c r="AI599" s="13"/>
      <c r="AM599" s="117"/>
      <c r="AN599" s="116"/>
      <c r="AO599" s="116"/>
      <c r="AP599" s="116"/>
    </row>
    <row r="600" spans="1:42" ht="19.5" x14ac:dyDescent="0.4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22"/>
      <c r="R600" s="122"/>
      <c r="S600" s="122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26"/>
      <c r="AI600" s="13"/>
      <c r="AM600" s="117"/>
      <c r="AN600" s="116"/>
      <c r="AO600" s="116"/>
      <c r="AP600" s="116"/>
    </row>
    <row r="601" spans="1:42" ht="19.5" x14ac:dyDescent="0.4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22"/>
      <c r="R601" s="122"/>
      <c r="S601" s="122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26"/>
      <c r="AI601" s="13"/>
      <c r="AM601" s="117"/>
      <c r="AN601" s="116"/>
      <c r="AO601" s="116"/>
      <c r="AP601" s="116"/>
    </row>
    <row r="602" spans="1:42" ht="19.5" x14ac:dyDescent="0.4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22"/>
      <c r="R602" s="122"/>
      <c r="S602" s="122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26"/>
      <c r="AI602" s="13"/>
      <c r="AM602" s="117"/>
      <c r="AN602" s="116"/>
      <c r="AO602" s="116"/>
      <c r="AP602" s="116"/>
    </row>
    <row r="603" spans="1:42" ht="19.5" x14ac:dyDescent="0.4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22"/>
      <c r="R603" s="122"/>
      <c r="S603" s="122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26"/>
      <c r="AI603" s="13"/>
      <c r="AM603" s="117"/>
      <c r="AN603" s="116"/>
      <c r="AO603" s="116"/>
      <c r="AP603" s="116"/>
    </row>
    <row r="604" spans="1:42" ht="19.5" x14ac:dyDescent="0.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22"/>
      <c r="R604" s="122"/>
      <c r="S604" s="122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26"/>
      <c r="AI604" s="13"/>
      <c r="AM604" s="117"/>
      <c r="AN604" s="116"/>
      <c r="AO604" s="116"/>
      <c r="AP604" s="116"/>
    </row>
    <row r="605" spans="1:42" ht="19.5" x14ac:dyDescent="0.4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22"/>
      <c r="R605" s="122"/>
      <c r="S605" s="122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26"/>
      <c r="AI605" s="13"/>
      <c r="AM605" s="117"/>
      <c r="AN605" s="116"/>
      <c r="AO605" s="116"/>
      <c r="AP605" s="116"/>
    </row>
    <row r="606" spans="1:42" ht="19.5" x14ac:dyDescent="0.4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22"/>
      <c r="R606" s="122"/>
      <c r="S606" s="122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26"/>
      <c r="AI606" s="15"/>
      <c r="AM606" s="117"/>
      <c r="AN606" s="116"/>
      <c r="AO606" s="116"/>
      <c r="AP606" s="116"/>
    </row>
    <row r="607" spans="1:42" ht="19.5" x14ac:dyDescent="0.4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22"/>
      <c r="R607" s="122"/>
      <c r="S607" s="122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26"/>
      <c r="AI607" s="15"/>
      <c r="AM607" s="117"/>
      <c r="AN607" s="116"/>
      <c r="AO607" s="116"/>
      <c r="AP607" s="116"/>
    </row>
    <row r="608" spans="1:42" ht="19.5" x14ac:dyDescent="0.4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22"/>
      <c r="R608" s="122"/>
      <c r="S608" s="122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26"/>
      <c r="AI608" s="15"/>
      <c r="AM608" s="117"/>
      <c r="AN608" s="116"/>
      <c r="AO608" s="116"/>
      <c r="AP608" s="116"/>
    </row>
    <row r="609" spans="1:42" ht="19.5" x14ac:dyDescent="0.4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22"/>
      <c r="R609" s="122"/>
      <c r="S609" s="122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26"/>
      <c r="AI609" s="15"/>
      <c r="AM609" s="117"/>
      <c r="AN609" s="116"/>
      <c r="AO609" s="116"/>
      <c r="AP609" s="116"/>
    </row>
    <row r="610" spans="1:42" ht="19.5" x14ac:dyDescent="0.4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22"/>
      <c r="R610" s="122"/>
      <c r="S610" s="122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26"/>
      <c r="AI610" s="25"/>
      <c r="AM610" s="117"/>
      <c r="AN610" s="116"/>
      <c r="AO610" s="116"/>
      <c r="AP610" s="116"/>
    </row>
    <row r="611" spans="1:42" ht="19.5" x14ac:dyDescent="0.4">
      <c r="AH611" s="26"/>
      <c r="AI611" s="15"/>
      <c r="AM611" s="117"/>
      <c r="AN611" s="116"/>
      <c r="AO611" s="116"/>
      <c r="AP611" s="116"/>
    </row>
    <row r="612" spans="1:42" ht="19.5" x14ac:dyDescent="0.4">
      <c r="P612" s="115"/>
      <c r="Q612" s="122"/>
      <c r="R612" s="122"/>
      <c r="S612" s="122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26"/>
      <c r="AI612" s="15"/>
      <c r="AM612" s="117"/>
      <c r="AN612" s="116"/>
      <c r="AO612" s="116"/>
      <c r="AP612" s="116"/>
    </row>
    <row r="613" spans="1:42" ht="19.5" x14ac:dyDescent="0.4">
      <c r="N613" s="115"/>
      <c r="O613" s="115"/>
      <c r="P613" s="115"/>
      <c r="Q613" s="122"/>
      <c r="R613" s="122"/>
      <c r="S613" s="122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26"/>
      <c r="AI613" s="15"/>
      <c r="AM613" s="117"/>
      <c r="AN613" s="116"/>
      <c r="AO613" s="116"/>
      <c r="AP613" s="116"/>
    </row>
    <row r="614" spans="1:42" ht="19.5" x14ac:dyDescent="0.4">
      <c r="N614" s="115"/>
      <c r="O614" s="115"/>
      <c r="P614" s="115"/>
      <c r="Q614" s="122"/>
      <c r="R614" s="122"/>
      <c r="S614" s="122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7"/>
      <c r="AI614" s="15"/>
      <c r="AM614" s="117"/>
      <c r="AN614" s="116"/>
      <c r="AO614" s="116"/>
      <c r="AP614" s="116"/>
    </row>
    <row r="615" spans="1:42" ht="19.5" x14ac:dyDescent="0.4">
      <c r="K615" s="115"/>
      <c r="L615" s="115"/>
      <c r="M615" s="115"/>
      <c r="N615" s="115"/>
      <c r="O615" s="115"/>
      <c r="P615" s="115"/>
      <c r="Q615" s="122"/>
      <c r="R615" s="122"/>
      <c r="S615" s="122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26"/>
      <c r="AI615" s="15"/>
      <c r="AM615" s="117"/>
      <c r="AN615" s="116"/>
      <c r="AO615" s="116"/>
      <c r="AP615" s="116"/>
    </row>
    <row r="616" spans="1:42" ht="19.5" x14ac:dyDescent="0.4">
      <c r="K616" s="115"/>
      <c r="L616" s="115"/>
      <c r="M616" s="115"/>
      <c r="N616" s="115"/>
      <c r="O616" s="115"/>
      <c r="P616" s="115"/>
      <c r="Q616" s="122"/>
      <c r="R616" s="122"/>
      <c r="S616" s="122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7"/>
      <c r="AI616" s="15"/>
      <c r="AM616" s="117"/>
      <c r="AN616" s="116"/>
      <c r="AO616" s="116"/>
      <c r="AP616" s="116"/>
    </row>
    <row r="617" spans="1:42" ht="19.5" x14ac:dyDescent="0.4">
      <c r="K617" s="115"/>
      <c r="L617" s="115"/>
      <c r="M617" s="115"/>
      <c r="N617" s="115"/>
      <c r="O617" s="115"/>
      <c r="P617" s="115"/>
      <c r="Q617" s="122"/>
      <c r="R617" s="122"/>
      <c r="S617" s="122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26"/>
      <c r="AI617" s="15"/>
      <c r="AM617" s="117"/>
      <c r="AN617" s="116"/>
      <c r="AO617" s="116"/>
      <c r="AP617" s="116"/>
    </row>
    <row r="618" spans="1:42" ht="19.5" x14ac:dyDescent="0.4">
      <c r="K618" s="115"/>
      <c r="L618" s="115"/>
      <c r="M618" s="115"/>
      <c r="N618" s="115"/>
      <c r="O618" s="115"/>
      <c r="P618" s="115"/>
      <c r="Q618" s="122"/>
      <c r="R618" s="122"/>
      <c r="S618" s="122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7"/>
      <c r="AI618" s="13"/>
      <c r="AM618" s="117"/>
      <c r="AN618" s="116"/>
      <c r="AO618" s="116"/>
      <c r="AP618" s="116"/>
    </row>
    <row r="619" spans="1:42" ht="19.5" x14ac:dyDescent="0.4">
      <c r="K619" s="115"/>
      <c r="L619" s="115"/>
      <c r="M619" s="115"/>
      <c r="N619" s="115"/>
      <c r="O619" s="115"/>
      <c r="P619" s="115"/>
      <c r="Q619" s="122"/>
      <c r="R619" s="122"/>
      <c r="S619" s="122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7"/>
      <c r="AI619" s="13"/>
      <c r="AM619" s="117"/>
      <c r="AN619" s="116"/>
      <c r="AO619" s="116"/>
      <c r="AP619" s="116"/>
    </row>
    <row r="620" spans="1:42" ht="19.5" x14ac:dyDescent="0.4">
      <c r="AH620" s="26"/>
      <c r="AI620" s="13"/>
      <c r="AM620" s="117"/>
      <c r="AN620" s="116"/>
      <c r="AO620" s="116"/>
      <c r="AP620" s="116"/>
    </row>
    <row r="621" spans="1:42" ht="19.5" x14ac:dyDescent="0.4">
      <c r="P621" s="115"/>
      <c r="Q621" s="122"/>
      <c r="R621" s="122"/>
      <c r="S621" s="122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7"/>
      <c r="AI621" s="13"/>
      <c r="AM621" s="117"/>
      <c r="AN621" s="116"/>
      <c r="AO621" s="116"/>
      <c r="AP621" s="116"/>
    </row>
    <row r="622" spans="1:42" ht="19.5" x14ac:dyDescent="0.4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22"/>
      <c r="R622" s="122"/>
      <c r="S622" s="122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26"/>
      <c r="AI622" s="13"/>
      <c r="AM622" s="117"/>
      <c r="AN622" s="116"/>
      <c r="AO622" s="116"/>
      <c r="AP622" s="116"/>
    </row>
    <row r="623" spans="1:42" ht="19.5" x14ac:dyDescent="0.4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22"/>
      <c r="R623" s="122"/>
      <c r="S623" s="122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26"/>
      <c r="AI623" s="13"/>
      <c r="AM623" s="117"/>
      <c r="AN623" s="116"/>
      <c r="AO623" s="116"/>
      <c r="AP623" s="116"/>
    </row>
    <row r="624" spans="1:42" ht="19.5" x14ac:dyDescent="0.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22"/>
      <c r="R624" s="122"/>
      <c r="S624" s="122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26"/>
      <c r="AI624" s="13"/>
      <c r="AM624" s="117"/>
      <c r="AN624" s="116"/>
      <c r="AO624" s="116"/>
      <c r="AP624" s="116"/>
    </row>
    <row r="625" spans="1:42" ht="19.5" x14ac:dyDescent="0.4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22"/>
      <c r="R625" s="122"/>
      <c r="S625" s="122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26"/>
      <c r="AI625" s="13"/>
      <c r="AM625" s="117"/>
      <c r="AN625" s="116"/>
      <c r="AO625" s="116"/>
      <c r="AP625" s="116"/>
    </row>
    <row r="626" spans="1:42" ht="19.5" x14ac:dyDescent="0.4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22"/>
      <c r="R626" s="122"/>
      <c r="S626" s="122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7"/>
      <c r="AI626" s="13"/>
      <c r="AM626" s="117"/>
      <c r="AN626" s="116"/>
      <c r="AO626" s="116"/>
      <c r="AP626" s="116"/>
    </row>
    <row r="627" spans="1:42" ht="19.5" x14ac:dyDescent="0.4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22"/>
      <c r="R627" s="122"/>
      <c r="S627" s="122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26"/>
      <c r="AI627" s="13"/>
      <c r="AM627" s="117"/>
      <c r="AN627" s="116"/>
      <c r="AO627" s="116"/>
      <c r="AP627" s="116"/>
    </row>
    <row r="628" spans="1:42" ht="19.5" x14ac:dyDescent="0.4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22"/>
      <c r="R628" s="122"/>
      <c r="S628" s="122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26"/>
      <c r="AI628" s="15"/>
      <c r="AM628" s="117"/>
      <c r="AN628" s="116"/>
      <c r="AO628" s="116"/>
      <c r="AP628" s="116"/>
    </row>
    <row r="629" spans="1:42" ht="19.5" x14ac:dyDescent="0.4">
      <c r="AH629" s="26"/>
      <c r="AI629" s="15"/>
      <c r="AM629" s="117"/>
      <c r="AN629" s="116"/>
      <c r="AO629" s="116"/>
      <c r="AP629" s="116"/>
    </row>
    <row r="630" spans="1:42" ht="19.5" x14ac:dyDescent="0.4">
      <c r="O630" s="115"/>
      <c r="P630" s="115"/>
      <c r="Q630" s="122"/>
      <c r="R630" s="122"/>
      <c r="S630" s="122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26"/>
      <c r="AI630" s="13"/>
      <c r="AM630" s="117"/>
      <c r="AN630" s="116"/>
      <c r="AO630" s="116"/>
      <c r="AP630" s="116"/>
    </row>
    <row r="631" spans="1:42" ht="19.5" x14ac:dyDescent="0.4">
      <c r="M631" s="115"/>
      <c r="N631" s="115"/>
      <c r="O631" s="115"/>
      <c r="P631" s="115"/>
      <c r="Q631" s="122"/>
      <c r="R631" s="122"/>
      <c r="S631" s="122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26"/>
      <c r="AI631" s="15"/>
      <c r="AM631" s="117"/>
      <c r="AN631" s="116"/>
      <c r="AO631" s="116"/>
      <c r="AP631" s="116"/>
    </row>
    <row r="632" spans="1:42" ht="19.5" x14ac:dyDescent="0.4">
      <c r="M632" s="115"/>
      <c r="N632" s="115"/>
      <c r="O632" s="115"/>
      <c r="P632" s="115"/>
      <c r="Q632" s="122"/>
      <c r="R632" s="122"/>
      <c r="S632" s="122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26"/>
      <c r="AI632" s="15"/>
      <c r="AM632" s="117"/>
      <c r="AN632" s="116"/>
      <c r="AO632" s="116"/>
      <c r="AP632" s="116"/>
    </row>
    <row r="633" spans="1:42" ht="19.5" x14ac:dyDescent="0.4">
      <c r="M633" s="115"/>
      <c r="N633" s="115"/>
      <c r="O633" s="115"/>
      <c r="P633" s="115"/>
      <c r="Q633" s="122"/>
      <c r="R633" s="122"/>
      <c r="S633" s="122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7"/>
      <c r="AI633" s="15"/>
      <c r="AM633" s="117"/>
      <c r="AN633" s="116"/>
      <c r="AO633" s="116"/>
      <c r="AP633" s="116"/>
    </row>
    <row r="634" spans="1:42" ht="19.5" x14ac:dyDescent="0.4">
      <c r="L634" s="115"/>
      <c r="M634" s="115"/>
      <c r="N634" s="115"/>
      <c r="O634" s="115"/>
      <c r="P634" s="115"/>
      <c r="Q634" s="122"/>
      <c r="R634" s="122"/>
      <c r="S634" s="122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26"/>
      <c r="AI634" s="15"/>
      <c r="AM634" s="117"/>
      <c r="AN634" s="116"/>
      <c r="AO634" s="116"/>
      <c r="AP634" s="116"/>
    </row>
    <row r="635" spans="1:42" ht="19.5" x14ac:dyDescent="0.4">
      <c r="L635" s="115"/>
      <c r="M635" s="115"/>
      <c r="N635" s="115"/>
      <c r="O635" s="115"/>
      <c r="P635" s="115"/>
      <c r="Q635" s="122"/>
      <c r="R635" s="122"/>
      <c r="S635" s="122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26"/>
      <c r="AI635" s="15"/>
      <c r="AM635" s="117"/>
      <c r="AN635" s="116"/>
      <c r="AO635" s="116"/>
      <c r="AP635" s="116"/>
    </row>
    <row r="636" spans="1:42" ht="19.5" x14ac:dyDescent="0.4">
      <c r="L636" s="115"/>
      <c r="M636" s="115"/>
      <c r="N636" s="115"/>
      <c r="O636" s="115"/>
      <c r="P636" s="115"/>
      <c r="Q636" s="122"/>
      <c r="R636" s="122"/>
      <c r="S636" s="122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26"/>
      <c r="AI636" s="105"/>
      <c r="AM636" s="117"/>
      <c r="AN636" s="116"/>
      <c r="AO636" s="116"/>
      <c r="AP636" s="116"/>
    </row>
    <row r="637" spans="1:42" ht="19.5" x14ac:dyDescent="0.4">
      <c r="L637" s="115"/>
      <c r="M637" s="115"/>
      <c r="N637" s="115"/>
      <c r="O637" s="115"/>
      <c r="P637" s="115"/>
      <c r="Q637" s="122"/>
      <c r="R637" s="122"/>
      <c r="S637" s="122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7"/>
      <c r="AI637" s="15"/>
      <c r="AM637" s="117"/>
      <c r="AN637" s="116"/>
      <c r="AO637" s="116"/>
      <c r="AP637" s="116"/>
    </row>
    <row r="638" spans="1:42" ht="19.5" x14ac:dyDescent="0.4">
      <c r="L638" s="115"/>
      <c r="M638" s="115"/>
      <c r="N638" s="115"/>
      <c r="O638" s="115"/>
      <c r="P638" s="115"/>
      <c r="Q638" s="122"/>
      <c r="R638" s="122"/>
      <c r="S638" s="122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26"/>
      <c r="AI638" s="15"/>
      <c r="AM638" s="117"/>
      <c r="AN638" s="116"/>
      <c r="AO638" s="116"/>
      <c r="AP638" s="116"/>
    </row>
    <row r="639" spans="1:42" ht="19.5" x14ac:dyDescent="0.4">
      <c r="L639" s="115"/>
      <c r="M639" s="115"/>
      <c r="N639" s="115"/>
      <c r="O639" s="115"/>
      <c r="P639" s="115"/>
      <c r="Q639" s="122"/>
      <c r="R639" s="122"/>
      <c r="S639" s="122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7"/>
      <c r="AI639" s="15"/>
      <c r="AM639" s="117"/>
      <c r="AN639" s="116"/>
      <c r="AO639" s="116"/>
      <c r="AP639" s="116"/>
    </row>
    <row r="640" spans="1:42" ht="19.5" x14ac:dyDescent="0.4"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22"/>
      <c r="R640" s="122"/>
      <c r="S640" s="122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26"/>
      <c r="AI640" s="15"/>
      <c r="AM640" s="117"/>
      <c r="AN640" s="116"/>
      <c r="AO640" s="116"/>
      <c r="AP640" s="116"/>
    </row>
    <row r="641" spans="1:42" ht="19.5" x14ac:dyDescent="0.4"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22"/>
      <c r="R641" s="122"/>
      <c r="S641" s="122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7"/>
      <c r="AI641" s="15"/>
      <c r="AM641" s="117"/>
      <c r="AN641" s="116"/>
      <c r="AO641" s="116"/>
      <c r="AP641" s="116"/>
    </row>
    <row r="642" spans="1:42" ht="19.5" x14ac:dyDescent="0.4"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22"/>
      <c r="R642" s="122"/>
      <c r="S642" s="122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26"/>
      <c r="AI642" s="15"/>
      <c r="AM642" s="117"/>
      <c r="AN642" s="116"/>
      <c r="AO642" s="116"/>
      <c r="AP642" s="116"/>
    </row>
    <row r="643" spans="1:42" ht="19.5" x14ac:dyDescent="0.4"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22"/>
      <c r="R643" s="122"/>
      <c r="S643" s="122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7"/>
      <c r="AI643" s="15"/>
      <c r="AM643" s="117"/>
      <c r="AN643" s="116"/>
      <c r="AO643" s="116"/>
      <c r="AP643" s="116"/>
    </row>
    <row r="644" spans="1:42" ht="19.5" x14ac:dyDescent="0.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22"/>
      <c r="R644" s="122"/>
      <c r="S644" s="122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26"/>
      <c r="AI644" s="15"/>
      <c r="AM644" s="117"/>
      <c r="AN644" s="116"/>
      <c r="AO644" s="116"/>
      <c r="AP644" s="116"/>
    </row>
    <row r="645" spans="1:42" ht="19.5" x14ac:dyDescent="0.4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22"/>
      <c r="R645" s="122"/>
      <c r="S645" s="122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26"/>
      <c r="AI645" s="15"/>
      <c r="AM645" s="117"/>
      <c r="AN645" s="116"/>
      <c r="AO645" s="116"/>
      <c r="AP645" s="116"/>
    </row>
    <row r="646" spans="1:42" ht="19.5" x14ac:dyDescent="0.4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22"/>
      <c r="R646" s="122"/>
      <c r="S646" s="122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26"/>
      <c r="AI646" s="15"/>
      <c r="AM646" s="117"/>
      <c r="AN646" s="116"/>
      <c r="AO646" s="116"/>
      <c r="AP646" s="116"/>
    </row>
    <row r="647" spans="1:42" ht="19.5" x14ac:dyDescent="0.4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22"/>
      <c r="R647" s="122"/>
      <c r="S647" s="122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26"/>
      <c r="AI647" s="15"/>
      <c r="AM647" s="117"/>
      <c r="AN647" s="116"/>
      <c r="AO647" s="116"/>
      <c r="AP647" s="116"/>
    </row>
    <row r="648" spans="1:42" ht="19.5" x14ac:dyDescent="0.4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22"/>
      <c r="R648" s="122"/>
      <c r="S648" s="122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26"/>
      <c r="AI648" s="15"/>
      <c r="AM648" s="117"/>
      <c r="AN648" s="116"/>
      <c r="AO648" s="116"/>
      <c r="AP648" s="116"/>
    </row>
    <row r="649" spans="1:42" ht="19.5" x14ac:dyDescent="0.4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22"/>
      <c r="R649" s="122"/>
      <c r="S649" s="122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26"/>
      <c r="AI649" s="15"/>
      <c r="AM649" s="117"/>
      <c r="AN649" s="116"/>
      <c r="AO649" s="116"/>
      <c r="AP649" s="116"/>
    </row>
    <row r="650" spans="1:42" ht="19.5" x14ac:dyDescent="0.4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22"/>
      <c r="R650" s="122"/>
      <c r="S650" s="122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7"/>
      <c r="AI650" s="15"/>
      <c r="AM650" s="117"/>
      <c r="AN650" s="116"/>
      <c r="AO650" s="116"/>
      <c r="AP650" s="116"/>
    </row>
    <row r="651" spans="1:42" ht="19.5" x14ac:dyDescent="0.4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22"/>
      <c r="R651" s="122"/>
      <c r="S651" s="122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26"/>
      <c r="AI651" s="15"/>
      <c r="AM651" s="117"/>
      <c r="AN651" s="116"/>
      <c r="AO651" s="116"/>
      <c r="AP651" s="116"/>
    </row>
    <row r="652" spans="1:42" ht="19.5" x14ac:dyDescent="0.4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22"/>
      <c r="R652" s="122"/>
      <c r="S652" s="122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7"/>
      <c r="AI652" s="15"/>
      <c r="AM652" s="117"/>
      <c r="AN652" s="116"/>
      <c r="AO652" s="116"/>
      <c r="AP652" s="116"/>
    </row>
    <row r="653" spans="1:42" ht="19.5" x14ac:dyDescent="0.4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22"/>
      <c r="R653" s="122"/>
      <c r="S653" s="122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26"/>
      <c r="AI653" s="15"/>
      <c r="AM653" s="117"/>
      <c r="AN653" s="116"/>
      <c r="AO653" s="116"/>
      <c r="AP653" s="116"/>
    </row>
    <row r="654" spans="1:42" ht="19.5" x14ac:dyDescent="0.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22"/>
      <c r="R654" s="122"/>
      <c r="S654" s="122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20"/>
      <c r="AI654" s="15"/>
      <c r="AM654" s="117"/>
      <c r="AN654" s="116"/>
      <c r="AO654" s="116"/>
      <c r="AP654" s="116"/>
    </row>
    <row r="655" spans="1:42" ht="19.5" x14ac:dyDescent="0.4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22"/>
      <c r="R655" s="122"/>
      <c r="S655" s="122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20"/>
      <c r="AI655" s="15"/>
      <c r="AM655" s="117"/>
      <c r="AN655" s="116"/>
      <c r="AO655" s="116"/>
      <c r="AP655" s="116"/>
    </row>
    <row r="656" spans="1:42" ht="19.5" x14ac:dyDescent="0.4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22"/>
      <c r="R656" s="122"/>
      <c r="S656" s="122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20"/>
      <c r="AI656" s="15"/>
      <c r="AM656" s="117"/>
      <c r="AN656" s="116"/>
      <c r="AO656" s="116"/>
      <c r="AP656" s="116"/>
    </row>
    <row r="657" spans="1:42" ht="19.5" x14ac:dyDescent="0.4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22"/>
      <c r="R657" s="122"/>
      <c r="S657" s="122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20"/>
      <c r="AI657" s="15"/>
      <c r="AM657" s="117"/>
      <c r="AN657" s="116"/>
      <c r="AO657" s="116"/>
      <c r="AP657" s="116"/>
    </row>
    <row r="658" spans="1:42" ht="19.5" x14ac:dyDescent="0.4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22"/>
      <c r="R658" s="122"/>
      <c r="S658" s="122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25"/>
      <c r="AI658" s="15"/>
      <c r="AM658" s="117"/>
      <c r="AN658" s="116"/>
      <c r="AO658" s="116"/>
      <c r="AP658" s="116"/>
    </row>
    <row r="659" spans="1:42" ht="19.5" x14ac:dyDescent="0.4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22"/>
      <c r="R659" s="122"/>
      <c r="S659" s="122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3"/>
      <c r="AI659" s="15"/>
      <c r="AM659" s="117"/>
      <c r="AN659" s="116"/>
      <c r="AO659" s="116"/>
      <c r="AP659" s="116"/>
    </row>
    <row r="660" spans="1:42" ht="19.5" x14ac:dyDescent="0.4">
      <c r="AH660" s="25"/>
      <c r="AI660" s="15"/>
      <c r="AM660" s="117"/>
      <c r="AN660" s="116"/>
      <c r="AO660" s="116"/>
      <c r="AP660" s="116"/>
    </row>
    <row r="661" spans="1:42" ht="19.5" x14ac:dyDescent="0.4">
      <c r="N661" s="115"/>
      <c r="O661" s="115"/>
      <c r="P661" s="115"/>
      <c r="Q661" s="122"/>
      <c r="R661" s="122"/>
      <c r="S661" s="122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3"/>
      <c r="AI661" s="15"/>
      <c r="AM661" s="117"/>
      <c r="AN661" s="116"/>
      <c r="AO661" s="116"/>
      <c r="AP661" s="116"/>
    </row>
    <row r="662" spans="1:42" ht="19.5" x14ac:dyDescent="0.4"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22"/>
      <c r="R662" s="122"/>
      <c r="S662" s="122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25"/>
      <c r="AI662" s="15"/>
      <c r="AM662" s="117"/>
      <c r="AN662" s="116"/>
      <c r="AO662" s="116"/>
      <c r="AP662" s="116"/>
    </row>
    <row r="663" spans="1:42" ht="19.5" x14ac:dyDescent="0.4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22"/>
      <c r="R663" s="122"/>
      <c r="S663" s="122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25"/>
      <c r="AI663" s="15"/>
      <c r="AM663" s="117"/>
      <c r="AN663" s="116"/>
      <c r="AO663" s="116"/>
      <c r="AP663" s="116"/>
    </row>
    <row r="664" spans="1:42" ht="19.5" x14ac:dyDescent="0.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22"/>
      <c r="R664" s="122"/>
      <c r="S664" s="122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3"/>
      <c r="AI664" s="15"/>
      <c r="AM664" s="117"/>
      <c r="AN664" s="116"/>
      <c r="AO664" s="116"/>
      <c r="AP664" s="116"/>
    </row>
    <row r="665" spans="1:42" ht="19.5" x14ac:dyDescent="0.4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22"/>
      <c r="R665" s="122"/>
      <c r="S665" s="122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25"/>
      <c r="AI665" s="15"/>
      <c r="AM665" s="117"/>
      <c r="AN665" s="116"/>
      <c r="AO665" s="116"/>
      <c r="AP665" s="116"/>
    </row>
    <row r="666" spans="1:42" ht="19.5" x14ac:dyDescent="0.4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22"/>
      <c r="R666" s="122"/>
      <c r="S666" s="122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3"/>
      <c r="AI666" s="15"/>
      <c r="AM666" s="117"/>
      <c r="AN666" s="116"/>
      <c r="AO666" s="116"/>
      <c r="AP666" s="116"/>
    </row>
    <row r="667" spans="1:42" ht="19.5" x14ac:dyDescent="0.4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22"/>
      <c r="R667" s="122"/>
      <c r="S667" s="122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25"/>
      <c r="AI667" s="15"/>
      <c r="AM667" s="117"/>
      <c r="AN667" s="116"/>
      <c r="AO667" s="116"/>
      <c r="AP667" s="116"/>
    </row>
    <row r="668" spans="1:42" ht="19.5" x14ac:dyDescent="0.4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22"/>
      <c r="R668" s="122"/>
      <c r="S668" s="122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26"/>
      <c r="AI668" s="15"/>
      <c r="AM668" s="117"/>
      <c r="AN668" s="116"/>
      <c r="AO668" s="116"/>
      <c r="AP668" s="116"/>
    </row>
    <row r="669" spans="1:42" ht="19.5" x14ac:dyDescent="0.4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22"/>
      <c r="R669" s="122"/>
      <c r="S669" s="122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7"/>
      <c r="AI669" s="13"/>
      <c r="AM669" s="117"/>
      <c r="AN669" s="116"/>
      <c r="AO669" s="116"/>
      <c r="AP669" s="116"/>
    </row>
    <row r="670" spans="1:42" ht="19.5" x14ac:dyDescent="0.4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22"/>
      <c r="R670" s="122"/>
      <c r="S670" s="122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26"/>
      <c r="AI670" s="13"/>
      <c r="AM670" s="117"/>
      <c r="AN670" s="116"/>
      <c r="AO670" s="116"/>
      <c r="AP670" s="116"/>
    </row>
    <row r="671" spans="1:42" ht="19.5" x14ac:dyDescent="0.4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22"/>
      <c r="R671" s="122"/>
      <c r="S671" s="122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7"/>
      <c r="AI671" s="13"/>
      <c r="AM671" s="117"/>
      <c r="AN671" s="116"/>
      <c r="AO671" s="116"/>
      <c r="AP671" s="116"/>
    </row>
    <row r="672" spans="1:42" ht="19.5" x14ac:dyDescent="0.4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22"/>
      <c r="R672" s="122"/>
      <c r="S672" s="122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26"/>
      <c r="AI672" s="15"/>
      <c r="AM672" s="117"/>
      <c r="AN672" s="116"/>
      <c r="AO672" s="116"/>
      <c r="AP672" s="116"/>
    </row>
    <row r="673" spans="1:42" ht="19.5" x14ac:dyDescent="0.4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22"/>
      <c r="R673" s="122"/>
      <c r="S673" s="122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7"/>
      <c r="AI673" s="15"/>
      <c r="AM673" s="117"/>
      <c r="AN673" s="116"/>
      <c r="AO673" s="116"/>
      <c r="AP673" s="116"/>
    </row>
    <row r="674" spans="1:42" ht="19.5" x14ac:dyDescent="0.4">
      <c r="AH674" s="26"/>
      <c r="AI674" s="105"/>
      <c r="AM674" s="117"/>
      <c r="AN674" s="116"/>
      <c r="AO674" s="116"/>
      <c r="AP674" s="116"/>
    </row>
    <row r="675" spans="1:42" ht="19.5" x14ac:dyDescent="0.4">
      <c r="N675" s="115"/>
      <c r="O675" s="115"/>
      <c r="P675" s="115"/>
      <c r="Q675" s="122"/>
      <c r="R675" s="122"/>
      <c r="S675" s="122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7"/>
      <c r="AI675" s="15"/>
      <c r="AM675" s="117"/>
      <c r="AN675" s="116"/>
      <c r="AO675" s="116"/>
      <c r="AP675" s="116"/>
    </row>
    <row r="676" spans="1:42" ht="19.5" x14ac:dyDescent="0.4">
      <c r="K676" s="115"/>
      <c r="L676" s="115"/>
      <c r="M676" s="115"/>
      <c r="N676" s="115"/>
      <c r="O676" s="115"/>
      <c r="P676" s="115"/>
      <c r="Q676" s="122"/>
      <c r="R676" s="122"/>
      <c r="S676" s="122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26"/>
      <c r="AI676" s="15"/>
      <c r="AM676" s="117"/>
      <c r="AN676" s="116"/>
      <c r="AO676" s="116"/>
      <c r="AP676" s="116"/>
    </row>
    <row r="677" spans="1:42" ht="19.5" x14ac:dyDescent="0.4">
      <c r="K677" s="115"/>
      <c r="L677" s="115"/>
      <c r="M677" s="115"/>
      <c r="N677" s="115"/>
      <c r="O677" s="115"/>
      <c r="P677" s="115"/>
      <c r="Q677" s="122"/>
      <c r="R677" s="122"/>
      <c r="S677" s="122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7"/>
      <c r="AI677" s="15"/>
      <c r="AM677" s="117"/>
      <c r="AN677" s="116"/>
      <c r="AO677" s="116"/>
      <c r="AP677" s="116"/>
    </row>
    <row r="678" spans="1:42" ht="19.5" x14ac:dyDescent="0.4"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22"/>
      <c r="R678" s="122"/>
      <c r="S678" s="122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26"/>
      <c r="AI678" s="15"/>
      <c r="AM678" s="117"/>
      <c r="AN678" s="116"/>
      <c r="AO678" s="116"/>
      <c r="AP678" s="116"/>
    </row>
    <row r="679" spans="1:42" ht="19.5" x14ac:dyDescent="0.4"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22"/>
      <c r="R679" s="122"/>
      <c r="S679" s="122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7"/>
      <c r="AI679" s="15"/>
      <c r="AM679" s="117"/>
      <c r="AN679" s="116"/>
      <c r="AO679" s="116"/>
      <c r="AP679" s="116"/>
    </row>
    <row r="680" spans="1:42" ht="19.5" x14ac:dyDescent="0.4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22"/>
      <c r="R680" s="122"/>
      <c r="S680" s="122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26"/>
      <c r="AI680" s="15"/>
      <c r="AM680" s="117"/>
      <c r="AN680" s="116"/>
      <c r="AO680" s="116"/>
      <c r="AP680" s="116"/>
    </row>
    <row r="681" spans="1:42" ht="19.5" x14ac:dyDescent="0.4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22"/>
      <c r="R681" s="122"/>
      <c r="S681" s="122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26"/>
      <c r="AI681" s="15"/>
      <c r="AM681" s="117"/>
      <c r="AN681" s="116"/>
      <c r="AO681" s="116"/>
      <c r="AP681" s="116"/>
    </row>
    <row r="682" spans="1:42" ht="19.5" x14ac:dyDescent="0.4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22"/>
      <c r="R682" s="122"/>
      <c r="S682" s="122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7"/>
      <c r="AI682" s="15"/>
      <c r="AM682" s="117"/>
      <c r="AN682" s="116"/>
      <c r="AO682" s="116"/>
      <c r="AP682" s="116"/>
    </row>
    <row r="683" spans="1:42" ht="19.5" x14ac:dyDescent="0.4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22"/>
      <c r="R683" s="122"/>
      <c r="S683" s="122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26"/>
      <c r="AI683" s="15"/>
      <c r="AM683" s="117"/>
      <c r="AN683" s="116"/>
      <c r="AO683" s="116"/>
      <c r="AP683" s="116"/>
    </row>
    <row r="684" spans="1:42" ht="19.5" x14ac:dyDescent="0.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22"/>
      <c r="R684" s="122"/>
      <c r="S684" s="122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7"/>
      <c r="AI684" s="15"/>
      <c r="AM684" s="117"/>
      <c r="AN684" s="116"/>
      <c r="AO684" s="116"/>
      <c r="AP684" s="116"/>
    </row>
    <row r="685" spans="1:42" ht="19.5" x14ac:dyDescent="0.4">
      <c r="AH685" s="26"/>
      <c r="AI685" s="15"/>
      <c r="AM685" s="117"/>
      <c r="AN685" s="116"/>
      <c r="AO685" s="116"/>
      <c r="AP685" s="116"/>
    </row>
    <row r="686" spans="1:42" ht="19.5" x14ac:dyDescent="0.4">
      <c r="N686" s="115"/>
      <c r="O686" s="115"/>
      <c r="P686" s="115"/>
      <c r="Q686" s="122"/>
      <c r="R686" s="122"/>
      <c r="S686" s="122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7"/>
      <c r="AI686" s="15"/>
      <c r="AM686" s="117"/>
      <c r="AN686" s="116"/>
      <c r="AO686" s="116"/>
      <c r="AP686" s="116"/>
    </row>
    <row r="687" spans="1:42" ht="19.5" x14ac:dyDescent="0.4">
      <c r="AH687" s="26"/>
      <c r="AI687" s="15"/>
      <c r="AM687" s="117"/>
      <c r="AN687" s="116"/>
      <c r="AO687" s="116"/>
      <c r="AP687" s="116"/>
    </row>
    <row r="688" spans="1:42" ht="19.5" x14ac:dyDescent="0.4">
      <c r="N688" s="115"/>
      <c r="O688" s="115"/>
      <c r="P688" s="115"/>
      <c r="Q688" s="122"/>
      <c r="R688" s="122"/>
      <c r="S688" s="122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7"/>
      <c r="AI688" s="15"/>
      <c r="AM688" s="117"/>
      <c r="AN688" s="116"/>
      <c r="AO688" s="116"/>
      <c r="AP688" s="116"/>
    </row>
    <row r="689" spans="2:42" ht="19.5" x14ac:dyDescent="0.4">
      <c r="AH689" s="26"/>
      <c r="AI689" s="15"/>
      <c r="AM689" s="117"/>
      <c r="AN689" s="116"/>
      <c r="AO689" s="116"/>
      <c r="AP689" s="116"/>
    </row>
    <row r="690" spans="2:42" ht="19.5" x14ac:dyDescent="0.4">
      <c r="N690" s="115"/>
      <c r="O690" s="115"/>
      <c r="P690" s="115"/>
      <c r="Q690" s="122"/>
      <c r="R690" s="122"/>
      <c r="S690" s="122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7"/>
      <c r="AI690" s="15"/>
      <c r="AM690" s="117"/>
      <c r="AN690" s="116"/>
      <c r="AO690" s="116"/>
      <c r="AP690" s="116"/>
    </row>
    <row r="691" spans="2:42" ht="19.5" x14ac:dyDescent="0.4"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22"/>
      <c r="R691" s="122"/>
      <c r="S691" s="122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26"/>
      <c r="AI691" s="15"/>
      <c r="AM691" s="117"/>
      <c r="AN691" s="116"/>
      <c r="AO691" s="116"/>
      <c r="AP691" s="116"/>
    </row>
    <row r="692" spans="2:42" ht="19.5" x14ac:dyDescent="0.4"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22"/>
      <c r="R692" s="122"/>
      <c r="S692" s="122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7"/>
      <c r="AI692" s="15"/>
      <c r="AM692" s="117"/>
      <c r="AN692" s="116"/>
      <c r="AO692" s="116"/>
      <c r="AP692" s="116"/>
    </row>
    <row r="693" spans="2:42" ht="19.5" x14ac:dyDescent="0.4"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22"/>
      <c r="R693" s="122"/>
      <c r="S693" s="122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26"/>
      <c r="AI693" s="15"/>
      <c r="AM693" s="117"/>
      <c r="AN693" s="116"/>
      <c r="AO693" s="116"/>
      <c r="AP693" s="116"/>
    </row>
    <row r="694" spans="2:42" ht="19.5" x14ac:dyDescent="0.4">
      <c r="AH694" s="26"/>
      <c r="AI694" s="15"/>
      <c r="AM694" s="117"/>
      <c r="AN694" s="116"/>
      <c r="AO694" s="116"/>
      <c r="AP694" s="116"/>
    </row>
    <row r="695" spans="2:42" ht="19.5" x14ac:dyDescent="0.4">
      <c r="N695" s="115"/>
      <c r="O695" s="115"/>
      <c r="P695" s="115"/>
      <c r="Q695" s="122"/>
      <c r="R695" s="122"/>
      <c r="S695" s="122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7"/>
      <c r="AI695" s="15"/>
      <c r="AM695" s="117"/>
      <c r="AN695" s="116"/>
      <c r="AO695" s="116"/>
      <c r="AP695" s="116"/>
    </row>
    <row r="696" spans="2:42" ht="19.5" x14ac:dyDescent="0.4">
      <c r="L696" s="115"/>
      <c r="M696" s="115"/>
      <c r="N696" s="115"/>
      <c r="O696" s="115"/>
      <c r="P696" s="115"/>
      <c r="Q696" s="122"/>
      <c r="R696" s="122"/>
      <c r="S696" s="122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26"/>
      <c r="AI696" s="15"/>
      <c r="AM696" s="117"/>
      <c r="AN696" s="116"/>
      <c r="AO696" s="116"/>
      <c r="AP696" s="116"/>
    </row>
    <row r="697" spans="2:42" ht="19.5" x14ac:dyDescent="0.4">
      <c r="L697" s="115"/>
      <c r="M697" s="115"/>
      <c r="N697" s="115"/>
      <c r="O697" s="115"/>
      <c r="P697" s="115"/>
      <c r="Q697" s="122"/>
      <c r="R697" s="122"/>
      <c r="S697" s="122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7"/>
      <c r="AI697" s="13"/>
      <c r="AM697" s="117"/>
      <c r="AN697" s="116"/>
      <c r="AO697" s="116"/>
      <c r="AP697" s="116"/>
    </row>
    <row r="698" spans="2:42" ht="19.5" x14ac:dyDescent="0.4">
      <c r="K698" s="115"/>
      <c r="L698" s="115"/>
      <c r="M698" s="115"/>
      <c r="N698" s="115"/>
      <c r="O698" s="115"/>
      <c r="P698" s="115"/>
      <c r="Q698" s="122"/>
      <c r="R698" s="122"/>
      <c r="S698" s="122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26"/>
      <c r="AI698" s="13"/>
      <c r="AM698" s="117"/>
      <c r="AN698" s="116"/>
      <c r="AO698" s="116"/>
      <c r="AP698" s="116"/>
    </row>
    <row r="699" spans="2:42" ht="19.5" x14ac:dyDescent="0.4">
      <c r="K699" s="115"/>
      <c r="L699" s="115"/>
      <c r="M699" s="115"/>
      <c r="N699" s="115"/>
      <c r="O699" s="115"/>
      <c r="P699" s="115"/>
      <c r="Q699" s="122"/>
      <c r="R699" s="122"/>
      <c r="S699" s="122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7"/>
      <c r="AI699" s="13"/>
      <c r="AM699" s="117"/>
      <c r="AN699" s="116"/>
      <c r="AO699" s="116"/>
      <c r="AP699" s="116"/>
    </row>
    <row r="700" spans="2:42" ht="19.5" x14ac:dyDescent="0.4"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22"/>
      <c r="R700" s="122"/>
      <c r="S700" s="122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26"/>
      <c r="AI700" s="15"/>
      <c r="AM700" s="117"/>
      <c r="AN700" s="116"/>
      <c r="AO700" s="116"/>
      <c r="AP700" s="116"/>
    </row>
    <row r="701" spans="2:42" ht="19.5" x14ac:dyDescent="0.4"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22"/>
      <c r="R701" s="122"/>
      <c r="S701" s="122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7"/>
      <c r="AI701" s="15"/>
      <c r="AM701" s="117"/>
      <c r="AN701" s="116"/>
      <c r="AO701" s="116"/>
      <c r="AP701" s="116"/>
    </row>
    <row r="702" spans="2:42" ht="19.5" x14ac:dyDescent="0.4"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22"/>
      <c r="R702" s="122"/>
      <c r="S702" s="122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26"/>
      <c r="AI702" s="105"/>
      <c r="AM702" s="117"/>
      <c r="AN702" s="116"/>
      <c r="AO702" s="116"/>
      <c r="AP702" s="116"/>
    </row>
    <row r="703" spans="2:42" ht="19.5" x14ac:dyDescent="0.4"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22"/>
      <c r="R703" s="122"/>
      <c r="S703" s="122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7"/>
      <c r="AI703" s="15"/>
      <c r="AM703" s="117"/>
      <c r="AN703" s="116"/>
      <c r="AO703" s="116"/>
      <c r="AP703" s="116"/>
    </row>
    <row r="704" spans="2:42" ht="19.5" x14ac:dyDescent="0.4"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22"/>
      <c r="R704" s="122"/>
      <c r="S704" s="122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26"/>
      <c r="AI704" s="15"/>
      <c r="AM704" s="117"/>
      <c r="AN704" s="116"/>
      <c r="AO704" s="116"/>
      <c r="AP704" s="116"/>
    </row>
    <row r="705" spans="1:42" ht="19.5" x14ac:dyDescent="0.4"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22"/>
      <c r="R705" s="122"/>
      <c r="S705" s="122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26"/>
      <c r="AI705" s="15"/>
      <c r="AM705" s="117"/>
      <c r="AN705" s="116"/>
      <c r="AO705" s="116"/>
      <c r="AP705" s="116"/>
    </row>
    <row r="706" spans="1:42" ht="19.5" x14ac:dyDescent="0.4">
      <c r="AH706" s="26"/>
      <c r="AI706" s="15"/>
      <c r="AM706" s="117"/>
      <c r="AN706" s="116"/>
      <c r="AO706" s="116"/>
      <c r="AP706" s="116"/>
    </row>
    <row r="707" spans="1:42" ht="19.5" x14ac:dyDescent="0.4">
      <c r="M707" s="115"/>
      <c r="N707" s="115"/>
      <c r="O707" s="115"/>
      <c r="P707" s="115"/>
      <c r="Q707" s="122"/>
      <c r="R707" s="122"/>
      <c r="S707" s="122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26"/>
      <c r="AI707" s="15"/>
      <c r="AM707" s="117"/>
      <c r="AN707" s="116"/>
      <c r="AO707" s="116"/>
      <c r="AP707" s="116"/>
    </row>
    <row r="708" spans="1:42" ht="19.5" x14ac:dyDescent="0.4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22"/>
      <c r="R708" s="122"/>
      <c r="S708" s="122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26"/>
      <c r="AI708" s="15"/>
      <c r="AM708" s="117"/>
      <c r="AN708" s="116"/>
      <c r="AO708" s="116"/>
      <c r="AP708" s="116"/>
    </row>
    <row r="709" spans="1:42" ht="19.5" x14ac:dyDescent="0.4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22"/>
      <c r="R709" s="122"/>
      <c r="S709" s="122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26"/>
      <c r="AI709" s="15"/>
      <c r="AM709" s="117"/>
      <c r="AN709" s="116"/>
      <c r="AO709" s="116"/>
      <c r="AP709" s="116"/>
    </row>
    <row r="710" spans="1:42" ht="19.5" x14ac:dyDescent="0.4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22"/>
      <c r="R710" s="122"/>
      <c r="S710" s="122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7"/>
      <c r="AI710" s="15"/>
      <c r="AM710" s="117"/>
      <c r="AN710" s="116"/>
      <c r="AO710" s="116"/>
      <c r="AP710" s="116"/>
    </row>
    <row r="711" spans="1:42" ht="19.5" x14ac:dyDescent="0.4">
      <c r="AH711" s="26"/>
      <c r="AI711" s="15"/>
      <c r="AM711" s="117"/>
      <c r="AN711" s="116"/>
      <c r="AO711" s="116"/>
      <c r="AP711" s="116"/>
    </row>
    <row r="712" spans="1:42" ht="19.5" x14ac:dyDescent="0.4">
      <c r="N712" s="115"/>
      <c r="O712" s="115"/>
      <c r="P712" s="115"/>
      <c r="Q712" s="122"/>
      <c r="R712" s="122"/>
      <c r="S712" s="122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7"/>
      <c r="AI712" s="15"/>
      <c r="AM712" s="117"/>
      <c r="AN712" s="116"/>
      <c r="AO712" s="116"/>
      <c r="AP712" s="116"/>
    </row>
    <row r="713" spans="1:42" ht="19.5" x14ac:dyDescent="0.4">
      <c r="M713" s="115"/>
      <c r="N713" s="115"/>
      <c r="O713" s="115"/>
      <c r="P713" s="115"/>
      <c r="Q713" s="122"/>
      <c r="R713" s="122"/>
      <c r="S713" s="122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26"/>
      <c r="AI713" s="15"/>
      <c r="AM713" s="117"/>
      <c r="AN713" s="116"/>
      <c r="AO713" s="116"/>
      <c r="AP713" s="116"/>
    </row>
    <row r="714" spans="1:42" ht="19.5" x14ac:dyDescent="0.4"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22"/>
      <c r="R714" s="122"/>
      <c r="S714" s="122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26"/>
      <c r="AI714" s="15"/>
      <c r="AM714" s="117"/>
      <c r="AN714" s="116"/>
      <c r="AO714" s="116"/>
      <c r="AP714" s="116"/>
    </row>
    <row r="715" spans="1:42" ht="19.5" x14ac:dyDescent="0.4"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22"/>
      <c r="R715" s="122"/>
      <c r="S715" s="122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26"/>
      <c r="AI715" s="15"/>
      <c r="AM715" s="117"/>
      <c r="AN715" s="116"/>
      <c r="AO715" s="116"/>
      <c r="AP715" s="116"/>
    </row>
    <row r="716" spans="1:42" ht="19.5" x14ac:dyDescent="0.4"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22"/>
      <c r="R716" s="122"/>
      <c r="S716" s="122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26"/>
      <c r="AI716" s="15"/>
      <c r="AM716" s="117"/>
      <c r="AN716" s="116"/>
      <c r="AO716" s="116"/>
      <c r="AP716" s="116"/>
    </row>
    <row r="717" spans="1:42" ht="19.5" x14ac:dyDescent="0.4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22"/>
      <c r="R717" s="122"/>
      <c r="S717" s="122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26"/>
      <c r="AI717" s="15"/>
      <c r="AM717" s="117"/>
      <c r="AN717" s="116"/>
      <c r="AO717" s="116"/>
      <c r="AP717" s="116"/>
    </row>
    <row r="718" spans="1:42" ht="19.5" x14ac:dyDescent="0.4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22"/>
      <c r="R718" s="122"/>
      <c r="S718" s="122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26"/>
      <c r="AI718" s="15"/>
      <c r="AM718" s="117"/>
      <c r="AN718" s="116"/>
      <c r="AO718" s="116"/>
      <c r="AP718" s="116"/>
    </row>
    <row r="719" spans="1:42" ht="19.5" x14ac:dyDescent="0.4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22"/>
      <c r="R719" s="122"/>
      <c r="S719" s="122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7"/>
      <c r="AI719" s="15"/>
      <c r="AM719" s="117"/>
      <c r="AN719" s="116"/>
      <c r="AO719" s="116"/>
      <c r="AP719" s="116"/>
    </row>
    <row r="720" spans="1:42" ht="19.5" x14ac:dyDescent="0.4">
      <c r="AH720" s="26"/>
      <c r="AI720" s="15"/>
      <c r="AM720" s="117"/>
      <c r="AN720" s="116"/>
      <c r="AO720" s="116"/>
      <c r="AP720" s="116"/>
    </row>
    <row r="721" spans="1:42" ht="19.5" x14ac:dyDescent="0.4">
      <c r="N721" s="115"/>
      <c r="O721" s="115"/>
      <c r="P721" s="115"/>
      <c r="Q721" s="122"/>
      <c r="R721" s="122"/>
      <c r="S721" s="122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7"/>
      <c r="AI721" s="13"/>
      <c r="AM721" s="117"/>
      <c r="AN721" s="116"/>
      <c r="AO721" s="116"/>
      <c r="AP721" s="116"/>
    </row>
    <row r="722" spans="1:42" ht="19.5" x14ac:dyDescent="0.4">
      <c r="N722" s="115"/>
      <c r="O722" s="115"/>
      <c r="P722" s="115"/>
      <c r="Q722" s="122"/>
      <c r="R722" s="122"/>
      <c r="S722" s="122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7"/>
      <c r="AI722" s="13"/>
      <c r="AM722" s="117"/>
      <c r="AN722" s="116"/>
      <c r="AO722" s="116"/>
      <c r="AP722" s="116"/>
    </row>
    <row r="723" spans="1:42" ht="19.5" x14ac:dyDescent="0.4">
      <c r="AH723" s="26"/>
      <c r="AI723" s="13"/>
      <c r="AM723" s="117"/>
      <c r="AN723" s="116"/>
      <c r="AO723" s="116"/>
      <c r="AP723" s="116"/>
    </row>
    <row r="724" spans="1:42" ht="19.5" x14ac:dyDescent="0.4">
      <c r="AH724" s="26"/>
      <c r="AI724" s="13"/>
      <c r="AM724" s="116"/>
      <c r="AN724" s="116"/>
      <c r="AO724" s="116"/>
      <c r="AP724" s="116"/>
    </row>
    <row r="725" spans="1:42" ht="19.5" x14ac:dyDescent="0.4"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22"/>
      <c r="R725" s="122"/>
      <c r="S725" s="122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26"/>
      <c r="AI725" s="13"/>
      <c r="AM725" s="118"/>
      <c r="AN725" s="118"/>
      <c r="AO725" s="118"/>
      <c r="AP725" s="118"/>
    </row>
    <row r="726" spans="1:42" ht="19.5" x14ac:dyDescent="0.4"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22"/>
      <c r="R726" s="122"/>
      <c r="S726" s="122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26"/>
      <c r="AI726" s="13"/>
      <c r="AM726" s="118"/>
      <c r="AN726" s="118"/>
      <c r="AO726" s="118"/>
      <c r="AP726" s="118"/>
    </row>
    <row r="727" spans="1:42" ht="19.5" x14ac:dyDescent="0.4"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22"/>
      <c r="R727" s="122"/>
      <c r="S727" s="122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26"/>
      <c r="AI727" s="13"/>
      <c r="AM727" s="118"/>
      <c r="AN727" s="118"/>
      <c r="AO727" s="118"/>
      <c r="AP727" s="118"/>
    </row>
    <row r="728" spans="1:42" ht="19.5" x14ac:dyDescent="0.4"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22"/>
      <c r="R728" s="122"/>
      <c r="S728" s="122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26"/>
      <c r="AI728" s="15"/>
      <c r="AM728" s="118"/>
      <c r="AN728" s="118"/>
      <c r="AO728" s="118"/>
      <c r="AP728" s="118"/>
    </row>
    <row r="729" spans="1:42" ht="19.5" x14ac:dyDescent="0.4"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22"/>
      <c r="R729" s="122"/>
      <c r="S729" s="122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26"/>
      <c r="AI729" s="15"/>
      <c r="AM729" s="118"/>
      <c r="AN729" s="118"/>
      <c r="AO729" s="118"/>
      <c r="AP729" s="118"/>
    </row>
    <row r="730" spans="1:42" ht="19.5" x14ac:dyDescent="0.4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22"/>
      <c r="R730" s="122"/>
      <c r="S730" s="122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26"/>
      <c r="AI730" s="15"/>
      <c r="AM730" s="118"/>
      <c r="AN730" s="118"/>
      <c r="AO730" s="118"/>
      <c r="AP730" s="118"/>
    </row>
    <row r="731" spans="1:42" ht="19.5" x14ac:dyDescent="0.4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22"/>
      <c r="R731" s="122"/>
      <c r="S731" s="122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26"/>
      <c r="AI731" s="15"/>
      <c r="AM731" s="118"/>
      <c r="AN731" s="118"/>
      <c r="AO731" s="118"/>
      <c r="AP731" s="118"/>
    </row>
    <row r="732" spans="1:42" ht="20.25" customHeight="1" x14ac:dyDescent="0.4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22"/>
      <c r="R732" s="122"/>
      <c r="S732" s="122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26"/>
      <c r="AI732" s="15"/>
      <c r="AM732" s="118"/>
      <c r="AN732" s="118"/>
      <c r="AO732" s="118"/>
      <c r="AP732" s="118"/>
    </row>
    <row r="733" spans="1:42" x14ac:dyDescent="0.4">
      <c r="AH733" s="26"/>
      <c r="AI733" s="15"/>
    </row>
    <row r="734" spans="1:42" x14ac:dyDescent="0.4">
      <c r="AH734" s="26"/>
      <c r="AI734" s="13"/>
    </row>
    <row r="735" spans="1:42" x14ac:dyDescent="0.4">
      <c r="L735" s="115"/>
      <c r="M735" s="115"/>
      <c r="N735" s="115"/>
      <c r="O735" s="115"/>
      <c r="P735" s="115"/>
      <c r="Q735" s="122"/>
      <c r="R735" s="122"/>
      <c r="S735" s="122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26"/>
      <c r="AI735" s="13"/>
    </row>
    <row r="736" spans="1:42" x14ac:dyDescent="0.4">
      <c r="L736" s="115"/>
      <c r="M736" s="115"/>
      <c r="N736" s="115"/>
      <c r="O736" s="115"/>
      <c r="P736" s="115"/>
      <c r="Q736" s="122"/>
      <c r="R736" s="122"/>
      <c r="S736" s="122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7"/>
      <c r="AI736" s="13"/>
    </row>
    <row r="737" spans="1:35" x14ac:dyDescent="0.4"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22"/>
      <c r="R737" s="122"/>
      <c r="S737" s="122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26"/>
      <c r="AI737" s="13"/>
    </row>
    <row r="738" spans="1:35" x14ac:dyDescent="0.4"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22"/>
      <c r="R738" s="122"/>
      <c r="S738" s="122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26"/>
      <c r="AI738" s="13"/>
    </row>
    <row r="739" spans="1:35" x14ac:dyDescent="0.4">
      <c r="AH739" s="26"/>
      <c r="AI739" s="13"/>
    </row>
    <row r="740" spans="1:35" x14ac:dyDescent="0.4"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22"/>
      <c r="R740" s="122"/>
      <c r="S740" s="122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26"/>
      <c r="AI740" s="13"/>
    </row>
    <row r="741" spans="1:35" x14ac:dyDescent="0.4"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22"/>
      <c r="R741" s="122"/>
      <c r="S741" s="122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26"/>
      <c r="AI741" s="13"/>
    </row>
    <row r="742" spans="1:35" x14ac:dyDescent="0.4">
      <c r="AH742" s="26"/>
      <c r="AI742" s="13"/>
    </row>
    <row r="743" spans="1:35" x14ac:dyDescent="0.4"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22"/>
      <c r="R743" s="122"/>
      <c r="S743" s="122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26"/>
      <c r="AI743" s="13"/>
    </row>
    <row r="744" spans="1:35" x14ac:dyDescent="0.4">
      <c r="AH744" s="26"/>
      <c r="AI744" s="13"/>
    </row>
    <row r="745" spans="1:35" x14ac:dyDescent="0.4">
      <c r="K745" s="115"/>
      <c r="L745" s="115"/>
      <c r="M745" s="115"/>
      <c r="N745" s="115"/>
      <c r="O745" s="115"/>
      <c r="P745" s="115"/>
      <c r="Q745" s="122"/>
      <c r="R745" s="122"/>
      <c r="S745" s="122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26"/>
      <c r="AI745" s="13"/>
    </row>
    <row r="746" spans="1:35" x14ac:dyDescent="0.4">
      <c r="AH746" s="26"/>
      <c r="AI746" s="13"/>
    </row>
    <row r="747" spans="1:35" x14ac:dyDescent="0.4"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22"/>
      <c r="R747" s="122"/>
      <c r="S747" s="122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26"/>
      <c r="AI747" s="15"/>
    </row>
    <row r="748" spans="1:35" x14ac:dyDescent="0.4"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22"/>
      <c r="R748" s="122"/>
      <c r="S748" s="122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26"/>
      <c r="AI748" s="15"/>
    </row>
    <row r="749" spans="1:35" x14ac:dyDescent="0.4"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22"/>
      <c r="R749" s="122"/>
      <c r="S749" s="122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26"/>
      <c r="AI749" s="15"/>
    </row>
    <row r="750" spans="1:35" x14ac:dyDescent="0.4">
      <c r="AH750" s="26"/>
      <c r="AI750" s="13"/>
    </row>
    <row r="751" spans="1:35" x14ac:dyDescent="0.4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22"/>
      <c r="R751" s="122"/>
      <c r="S751" s="122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26"/>
      <c r="AI751" s="15"/>
    </row>
    <row r="752" spans="1:35" x14ac:dyDescent="0.4">
      <c r="AH752" s="26"/>
      <c r="AI752" s="15"/>
    </row>
    <row r="753" spans="3:35" x14ac:dyDescent="0.4">
      <c r="AH753" s="26"/>
      <c r="AI753" s="15"/>
    </row>
    <row r="754" spans="3:35" x14ac:dyDescent="0.4"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22"/>
      <c r="R754" s="122"/>
      <c r="S754" s="122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26"/>
      <c r="AI754" s="15"/>
    </row>
    <row r="755" spans="3:35" x14ac:dyDescent="0.4"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22"/>
      <c r="R755" s="122"/>
      <c r="S755" s="122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26"/>
      <c r="AI755" s="15"/>
    </row>
    <row r="756" spans="3:35" x14ac:dyDescent="0.4">
      <c r="AH756" s="26"/>
      <c r="AI756" s="15"/>
    </row>
    <row r="757" spans="3:35" x14ac:dyDescent="0.4">
      <c r="J757" s="115"/>
      <c r="K757" s="115"/>
      <c r="L757" s="115"/>
      <c r="M757" s="115"/>
      <c r="N757" s="115"/>
      <c r="O757" s="115"/>
      <c r="P757" s="115"/>
      <c r="Q757" s="122"/>
      <c r="R757" s="122"/>
      <c r="S757" s="122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26"/>
      <c r="AI757" s="15"/>
    </row>
    <row r="758" spans="3:35" x14ac:dyDescent="0.4"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22"/>
      <c r="R758" s="122"/>
      <c r="S758" s="122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26"/>
      <c r="AI758" s="15"/>
    </row>
    <row r="759" spans="3:35" x14ac:dyDescent="0.4"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22"/>
      <c r="R759" s="122"/>
      <c r="S759" s="122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26"/>
      <c r="AI759" s="15"/>
    </row>
    <row r="760" spans="3:35" x14ac:dyDescent="0.4"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22"/>
      <c r="R760" s="122"/>
      <c r="S760" s="122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26"/>
      <c r="AI760" s="15"/>
    </row>
    <row r="761" spans="3:35" x14ac:dyDescent="0.4"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22"/>
      <c r="R761" s="122"/>
      <c r="S761" s="122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26"/>
      <c r="AI761" s="15"/>
    </row>
    <row r="762" spans="3:35" x14ac:dyDescent="0.4">
      <c r="AH762" s="26"/>
      <c r="AI762" s="15"/>
    </row>
    <row r="763" spans="3:35" x14ac:dyDescent="0.4">
      <c r="M763" s="115"/>
      <c r="N763" s="115"/>
      <c r="O763" s="115"/>
      <c r="P763" s="115"/>
      <c r="Q763" s="122"/>
      <c r="R763" s="122"/>
      <c r="S763" s="122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7"/>
      <c r="AI763" s="15"/>
    </row>
    <row r="764" spans="3:35" x14ac:dyDescent="0.4">
      <c r="AH764" s="26"/>
      <c r="AI764" s="15"/>
    </row>
    <row r="765" spans="3:35" x14ac:dyDescent="0.4">
      <c r="K765" s="115"/>
      <c r="L765" s="115"/>
      <c r="M765" s="115"/>
      <c r="N765" s="115"/>
      <c r="O765" s="115"/>
      <c r="P765" s="115"/>
      <c r="Q765" s="122"/>
      <c r="R765" s="122"/>
      <c r="S765" s="122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26"/>
      <c r="AI765" s="15"/>
    </row>
    <row r="766" spans="3:35" x14ac:dyDescent="0.4">
      <c r="AH766" s="26"/>
      <c r="AI766" s="15"/>
    </row>
    <row r="767" spans="3:35" x14ac:dyDescent="0.4">
      <c r="AH767" s="26"/>
      <c r="AI767" s="15"/>
    </row>
    <row r="768" spans="3:35" x14ac:dyDescent="0.4"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22"/>
      <c r="R768" s="122"/>
      <c r="S768" s="122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26"/>
      <c r="AI768" s="15"/>
    </row>
    <row r="769" spans="1:35" x14ac:dyDescent="0.4"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22"/>
      <c r="R769" s="122"/>
      <c r="S769" s="122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26"/>
      <c r="AI769" s="15"/>
    </row>
    <row r="770" spans="1:35" x14ac:dyDescent="0.4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22"/>
      <c r="R770" s="122"/>
      <c r="S770" s="122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26"/>
      <c r="AI770" s="15"/>
    </row>
    <row r="771" spans="1:35" x14ac:dyDescent="0.4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22"/>
      <c r="R771" s="122"/>
      <c r="S771" s="122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26"/>
      <c r="AI771" s="15"/>
    </row>
    <row r="772" spans="1:35" x14ac:dyDescent="0.4">
      <c r="AH772" s="26"/>
      <c r="AI772" s="15"/>
    </row>
    <row r="773" spans="1:35" x14ac:dyDescent="0.4">
      <c r="M773" s="115"/>
      <c r="N773" s="115"/>
      <c r="O773" s="115"/>
      <c r="P773" s="115"/>
      <c r="Q773" s="122"/>
      <c r="R773" s="122"/>
      <c r="S773" s="122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7"/>
      <c r="AI773" s="15"/>
    </row>
    <row r="774" spans="1:35" x14ac:dyDescent="0.4">
      <c r="AH774" s="26"/>
      <c r="AI774" s="15"/>
    </row>
    <row r="775" spans="1:35" x14ac:dyDescent="0.4"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22"/>
      <c r="R775" s="122"/>
      <c r="S775" s="122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26"/>
      <c r="AI775" s="15"/>
    </row>
    <row r="776" spans="1:35" x14ac:dyDescent="0.4"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22"/>
      <c r="R776" s="122"/>
      <c r="S776" s="122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26"/>
      <c r="AI776" s="15"/>
    </row>
    <row r="777" spans="1:35" x14ac:dyDescent="0.4"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22"/>
      <c r="R777" s="122"/>
      <c r="S777" s="122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7"/>
      <c r="AI777" s="15"/>
    </row>
    <row r="778" spans="1:35" x14ac:dyDescent="0.4">
      <c r="AH778" s="26"/>
      <c r="AI778" s="15"/>
    </row>
    <row r="779" spans="1:35" x14ac:dyDescent="0.4"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22"/>
      <c r="R779" s="122"/>
      <c r="S779" s="122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26"/>
      <c r="AI779" s="15"/>
    </row>
    <row r="780" spans="1:35" x14ac:dyDescent="0.4"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22"/>
      <c r="R780" s="122"/>
      <c r="S780" s="122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7"/>
      <c r="AI780" s="15"/>
    </row>
    <row r="781" spans="1:35" x14ac:dyDescent="0.4">
      <c r="AH781" s="26"/>
      <c r="AI781" s="15"/>
    </row>
    <row r="782" spans="1:35" x14ac:dyDescent="0.4">
      <c r="M782" s="115"/>
      <c r="N782" s="115"/>
      <c r="O782" s="115"/>
      <c r="P782" s="115"/>
      <c r="Q782" s="122"/>
      <c r="R782" s="122"/>
      <c r="S782" s="122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7"/>
      <c r="AI782" s="15"/>
    </row>
    <row r="783" spans="1:35" x14ac:dyDescent="0.4"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22"/>
      <c r="R783" s="122"/>
      <c r="S783" s="122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26"/>
      <c r="AI783" s="15"/>
    </row>
    <row r="784" spans="1:35" x14ac:dyDescent="0.4"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22"/>
      <c r="R784" s="122"/>
      <c r="S784" s="122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7"/>
      <c r="AI784" s="15"/>
    </row>
    <row r="785" spans="3:35" x14ac:dyDescent="0.4">
      <c r="AH785" s="26"/>
      <c r="AI785" s="15"/>
    </row>
    <row r="786" spans="3:35" x14ac:dyDescent="0.4">
      <c r="AH786" s="26"/>
      <c r="AI786" s="15"/>
    </row>
    <row r="787" spans="3:35" x14ac:dyDescent="0.4">
      <c r="L787" s="115"/>
      <c r="M787" s="115"/>
      <c r="N787" s="115"/>
      <c r="O787" s="115"/>
      <c r="P787" s="115"/>
      <c r="Q787" s="122"/>
      <c r="R787" s="122"/>
      <c r="S787" s="122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26"/>
      <c r="AI787" s="15"/>
    </row>
    <row r="788" spans="3:35" x14ac:dyDescent="0.4">
      <c r="J788" s="115"/>
      <c r="K788" s="115"/>
      <c r="L788" s="115"/>
      <c r="M788" s="115"/>
      <c r="N788" s="115"/>
      <c r="O788" s="115"/>
      <c r="P788" s="115"/>
      <c r="Q788" s="122"/>
      <c r="R788" s="122"/>
      <c r="S788" s="122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26"/>
      <c r="AI788" s="15"/>
    </row>
    <row r="789" spans="3:35" x14ac:dyDescent="0.4">
      <c r="J789" s="115"/>
      <c r="K789" s="115"/>
      <c r="L789" s="115"/>
      <c r="M789" s="115"/>
      <c r="N789" s="115"/>
      <c r="O789" s="115"/>
      <c r="P789" s="115"/>
      <c r="Q789" s="122"/>
      <c r="R789" s="122"/>
      <c r="S789" s="122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26"/>
      <c r="AI789" s="15"/>
    </row>
    <row r="790" spans="3:35" x14ac:dyDescent="0.4"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22"/>
      <c r="R790" s="122"/>
      <c r="S790" s="122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26"/>
      <c r="AI790" s="15"/>
    </row>
    <row r="791" spans="3:35" x14ac:dyDescent="0.4"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22"/>
      <c r="R791" s="122"/>
      <c r="S791" s="122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26"/>
      <c r="AI791" s="15"/>
    </row>
    <row r="792" spans="3:35" x14ac:dyDescent="0.4">
      <c r="AH792" s="26"/>
      <c r="AI792" s="15"/>
    </row>
    <row r="793" spans="3:35" x14ac:dyDescent="0.4">
      <c r="L793" s="115"/>
      <c r="M793" s="115"/>
      <c r="N793" s="115"/>
      <c r="O793" s="115"/>
      <c r="P793" s="115"/>
      <c r="Q793" s="122"/>
      <c r="R793" s="122"/>
      <c r="S793" s="122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26"/>
      <c r="AI793" s="15"/>
    </row>
    <row r="794" spans="3:35" x14ac:dyDescent="0.4">
      <c r="AH794" s="26"/>
      <c r="AI794" s="15"/>
    </row>
    <row r="795" spans="3:35" x14ac:dyDescent="0.4">
      <c r="M795" s="115"/>
      <c r="N795" s="115"/>
      <c r="O795" s="115"/>
      <c r="P795" s="115"/>
      <c r="Q795" s="122"/>
      <c r="R795" s="122"/>
      <c r="S795" s="122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7"/>
      <c r="AI795" s="15"/>
    </row>
    <row r="796" spans="3:35" x14ac:dyDescent="0.4">
      <c r="L796" s="115"/>
      <c r="M796" s="115"/>
      <c r="N796" s="115"/>
      <c r="O796" s="115"/>
      <c r="P796" s="115"/>
      <c r="Q796" s="122"/>
      <c r="R796" s="122"/>
      <c r="S796" s="122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26"/>
      <c r="AI796" s="15"/>
    </row>
    <row r="797" spans="3:35" x14ac:dyDescent="0.4"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22"/>
      <c r="R797" s="122"/>
      <c r="S797" s="122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26"/>
      <c r="AI797" s="15"/>
    </row>
    <row r="798" spans="3:35" x14ac:dyDescent="0.4"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22"/>
      <c r="R798" s="122"/>
      <c r="S798" s="122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7"/>
      <c r="AI798" s="15"/>
    </row>
    <row r="799" spans="3:35" x14ac:dyDescent="0.4">
      <c r="AH799" s="26"/>
      <c r="AI799" s="15"/>
    </row>
    <row r="800" spans="3:35" x14ac:dyDescent="0.4">
      <c r="M800" s="115"/>
      <c r="N800" s="115"/>
      <c r="O800" s="115"/>
      <c r="P800" s="115"/>
      <c r="Q800" s="122"/>
      <c r="R800" s="122"/>
      <c r="S800" s="122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7"/>
      <c r="AI800" s="15"/>
    </row>
    <row r="801" spans="4:35" x14ac:dyDescent="0.4">
      <c r="L801" s="115"/>
      <c r="M801" s="115"/>
      <c r="N801" s="115"/>
      <c r="O801" s="115"/>
      <c r="P801" s="115"/>
      <c r="Q801" s="122"/>
      <c r="R801" s="122"/>
      <c r="S801" s="122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26"/>
      <c r="AI801" s="15"/>
    </row>
    <row r="802" spans="4:35" x14ac:dyDescent="0.4">
      <c r="L802" s="115"/>
      <c r="M802" s="115"/>
      <c r="N802" s="115"/>
      <c r="O802" s="115"/>
      <c r="P802" s="115"/>
      <c r="Q802" s="122"/>
      <c r="R802" s="122"/>
      <c r="S802" s="122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7"/>
      <c r="AI802" s="15"/>
    </row>
    <row r="803" spans="4:35" x14ac:dyDescent="0.4">
      <c r="L803" s="115"/>
      <c r="M803" s="115"/>
      <c r="N803" s="115"/>
      <c r="O803" s="115"/>
      <c r="P803" s="115"/>
      <c r="Q803" s="122"/>
      <c r="R803" s="122"/>
      <c r="S803" s="122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7"/>
      <c r="AI803" s="15"/>
    </row>
    <row r="804" spans="4:35" x14ac:dyDescent="0.4"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22"/>
      <c r="R804" s="122"/>
      <c r="S804" s="122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26"/>
      <c r="AI804" s="15"/>
    </row>
    <row r="805" spans="4:35" x14ac:dyDescent="0.4"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22"/>
      <c r="R805" s="122"/>
      <c r="S805" s="122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26"/>
      <c r="AI805" s="15"/>
    </row>
    <row r="806" spans="4:35" x14ac:dyDescent="0.4"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22"/>
      <c r="R806" s="122"/>
      <c r="S806" s="122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26"/>
      <c r="AI806" s="15"/>
    </row>
    <row r="807" spans="4:35" x14ac:dyDescent="0.4"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22"/>
      <c r="R807" s="122"/>
      <c r="S807" s="122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26"/>
      <c r="AI807" s="15"/>
    </row>
    <row r="808" spans="4:35" x14ac:dyDescent="0.4"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22"/>
      <c r="R808" s="122"/>
      <c r="S808" s="122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26"/>
      <c r="AI808" s="15"/>
    </row>
    <row r="809" spans="4:35" x14ac:dyDescent="0.4"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22"/>
      <c r="R809" s="122"/>
      <c r="S809" s="122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7"/>
      <c r="AI809" s="15"/>
    </row>
    <row r="810" spans="4:35" x14ac:dyDescent="0.4">
      <c r="AH810" s="26"/>
      <c r="AI810" s="15"/>
    </row>
    <row r="811" spans="4:35" x14ac:dyDescent="0.4">
      <c r="L811" s="115"/>
      <c r="M811" s="115"/>
      <c r="N811" s="115"/>
      <c r="O811" s="115"/>
      <c r="P811" s="115"/>
      <c r="Q811" s="122"/>
      <c r="R811" s="122"/>
      <c r="S811" s="122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7"/>
      <c r="AI811" s="13"/>
    </row>
    <row r="812" spans="4:35" x14ac:dyDescent="0.4">
      <c r="L812" s="115"/>
      <c r="M812" s="115"/>
      <c r="N812" s="115"/>
      <c r="O812" s="115"/>
      <c r="P812" s="115"/>
      <c r="Q812" s="122"/>
      <c r="R812" s="122"/>
      <c r="S812" s="122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7"/>
      <c r="AI812" s="13"/>
    </row>
    <row r="813" spans="4:35" x14ac:dyDescent="0.4">
      <c r="J813" s="115"/>
      <c r="K813" s="115"/>
      <c r="L813" s="115"/>
      <c r="M813" s="115"/>
      <c r="N813" s="115"/>
      <c r="O813" s="115"/>
      <c r="P813" s="115"/>
      <c r="Q813" s="122"/>
      <c r="R813" s="122"/>
      <c r="S813" s="122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26"/>
      <c r="AI813" s="13"/>
    </row>
    <row r="814" spans="4:35" x14ac:dyDescent="0.4">
      <c r="J814" s="115"/>
      <c r="K814" s="115"/>
      <c r="L814" s="115"/>
      <c r="M814" s="115"/>
      <c r="N814" s="115"/>
      <c r="O814" s="115"/>
      <c r="P814" s="115"/>
      <c r="Q814" s="122"/>
      <c r="R814" s="122"/>
      <c r="S814" s="122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7"/>
      <c r="AI814" s="13"/>
    </row>
    <row r="815" spans="4:35" x14ac:dyDescent="0.4">
      <c r="AH815" s="26"/>
      <c r="AI815" s="13"/>
    </row>
    <row r="816" spans="4:35" x14ac:dyDescent="0.4">
      <c r="K816" s="115"/>
      <c r="L816" s="115"/>
      <c r="M816" s="115"/>
      <c r="N816" s="115"/>
      <c r="O816" s="115"/>
      <c r="P816" s="115"/>
      <c r="Q816" s="122"/>
      <c r="R816" s="122"/>
      <c r="S816" s="122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7"/>
      <c r="AI816" s="13"/>
    </row>
    <row r="817" spans="3:35" x14ac:dyDescent="0.4">
      <c r="AH817" s="26"/>
      <c r="AI817" s="13"/>
    </row>
    <row r="818" spans="3:35" x14ac:dyDescent="0.4">
      <c r="AH818" s="26"/>
      <c r="AI818" s="13"/>
    </row>
    <row r="819" spans="3:35" x14ac:dyDescent="0.4"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22"/>
      <c r="R819" s="122"/>
      <c r="S819" s="122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26"/>
      <c r="AI819" s="13"/>
    </row>
    <row r="820" spans="3:35" x14ac:dyDescent="0.4"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22"/>
      <c r="R820" s="122"/>
      <c r="S820" s="122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26"/>
      <c r="AI820" s="13"/>
    </row>
    <row r="821" spans="3:35" x14ac:dyDescent="0.4">
      <c r="AH821" s="26"/>
      <c r="AI821" s="13"/>
    </row>
    <row r="822" spans="3:35" x14ac:dyDescent="0.4">
      <c r="AH822" s="26"/>
      <c r="AI822" s="13"/>
    </row>
    <row r="823" spans="3:35" x14ac:dyDescent="0.4"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22"/>
      <c r="R823" s="122"/>
      <c r="S823" s="122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26"/>
      <c r="AI823" s="13"/>
    </row>
    <row r="824" spans="3:35" x14ac:dyDescent="0.4">
      <c r="AH824" s="26"/>
      <c r="AI824" s="105"/>
    </row>
    <row r="825" spans="3:35" x14ac:dyDescent="0.4"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22"/>
      <c r="R825" s="122"/>
      <c r="S825" s="122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26"/>
      <c r="AI825" s="15"/>
    </row>
    <row r="826" spans="3:35" x14ac:dyDescent="0.4"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22"/>
      <c r="R826" s="122"/>
      <c r="S826" s="122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7"/>
      <c r="AI826" s="15"/>
    </row>
    <row r="827" spans="3:35" x14ac:dyDescent="0.4">
      <c r="AH827" s="26"/>
      <c r="AI827" s="15"/>
    </row>
    <row r="828" spans="3:35" x14ac:dyDescent="0.4"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22"/>
      <c r="R828" s="122"/>
      <c r="S828" s="122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26"/>
      <c r="AI828" s="15"/>
    </row>
    <row r="829" spans="3:35" x14ac:dyDescent="0.4"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22"/>
      <c r="R829" s="122"/>
      <c r="S829" s="122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26"/>
      <c r="AI829" s="15"/>
    </row>
    <row r="830" spans="3:35" x14ac:dyDescent="0.4"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22"/>
      <c r="R830" s="122"/>
      <c r="S830" s="122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26"/>
      <c r="AI830" s="13"/>
    </row>
    <row r="831" spans="3:35" x14ac:dyDescent="0.4">
      <c r="AH831" s="26"/>
      <c r="AI831" s="15"/>
    </row>
    <row r="832" spans="3:35" x14ac:dyDescent="0.4"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22"/>
      <c r="R832" s="122"/>
      <c r="S832" s="122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26"/>
      <c r="AI832" s="15"/>
    </row>
    <row r="833" spans="2:35" x14ac:dyDescent="0.4"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22"/>
      <c r="R833" s="122"/>
      <c r="S833" s="122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26"/>
      <c r="AI833" s="15"/>
    </row>
    <row r="834" spans="2:35" x14ac:dyDescent="0.4"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22"/>
      <c r="R834" s="122"/>
      <c r="S834" s="122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26"/>
      <c r="AI834" s="15"/>
    </row>
    <row r="835" spans="2:35" x14ac:dyDescent="0.4"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22"/>
      <c r="R835" s="122"/>
      <c r="S835" s="122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26"/>
      <c r="AI835" s="15"/>
    </row>
    <row r="836" spans="2:35" x14ac:dyDescent="0.4"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22"/>
      <c r="R836" s="122"/>
      <c r="S836" s="122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26"/>
      <c r="AI836" s="15"/>
    </row>
    <row r="837" spans="2:35" x14ac:dyDescent="0.4"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22"/>
      <c r="R837" s="122"/>
      <c r="S837" s="122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26"/>
      <c r="AI837" s="15"/>
    </row>
    <row r="838" spans="2:35" ht="19.5" customHeight="1" x14ac:dyDescent="0.4"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22"/>
      <c r="R838" s="122"/>
      <c r="S838" s="122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26"/>
      <c r="AI838" s="15"/>
    </row>
    <row r="839" spans="2:35" ht="19.5" customHeight="1" x14ac:dyDescent="0.4"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22"/>
      <c r="R839" s="122"/>
      <c r="S839" s="122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26"/>
      <c r="AI839" s="15"/>
    </row>
    <row r="840" spans="2:35" x14ac:dyDescent="0.4">
      <c r="AH840" s="26"/>
      <c r="AI840" s="15"/>
    </row>
    <row r="841" spans="2:35" x14ac:dyDescent="0.4"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22"/>
      <c r="R841" s="122"/>
      <c r="S841" s="122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26"/>
      <c r="AI841" s="15"/>
    </row>
    <row r="842" spans="2:35" x14ac:dyDescent="0.4"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22"/>
      <c r="R842" s="122"/>
      <c r="S842" s="122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26"/>
      <c r="AI842" s="15"/>
    </row>
    <row r="843" spans="2:35" x14ac:dyDescent="0.4"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22"/>
      <c r="R843" s="122"/>
      <c r="S843" s="122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7"/>
      <c r="AI843" s="15"/>
    </row>
    <row r="844" spans="2:35" x14ac:dyDescent="0.4">
      <c r="AH844" s="26"/>
      <c r="AI844" s="15"/>
    </row>
    <row r="845" spans="2:35" x14ac:dyDescent="0.4">
      <c r="K845" s="115"/>
      <c r="L845" s="115"/>
      <c r="M845" s="115"/>
      <c r="N845" s="115"/>
      <c r="O845" s="115"/>
      <c r="P845" s="115"/>
      <c r="Q845" s="122"/>
      <c r="R845" s="122"/>
      <c r="S845" s="122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7"/>
      <c r="AI845" s="15"/>
    </row>
    <row r="846" spans="2:35" x14ac:dyDescent="0.4"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22"/>
      <c r="R846" s="122"/>
      <c r="S846" s="122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26"/>
      <c r="AI846" s="15"/>
    </row>
    <row r="847" spans="2:35" x14ac:dyDescent="0.4">
      <c r="AH847" s="26"/>
      <c r="AI847" s="15"/>
    </row>
    <row r="848" spans="2:35" x14ac:dyDescent="0.4">
      <c r="AH848" s="26"/>
      <c r="AI848" s="15"/>
    </row>
    <row r="849" spans="1:35" x14ac:dyDescent="0.4">
      <c r="J849" s="115"/>
      <c r="K849" s="115"/>
      <c r="L849" s="115"/>
      <c r="M849" s="115"/>
      <c r="N849" s="115"/>
      <c r="O849" s="115"/>
      <c r="P849" s="115"/>
      <c r="Q849" s="122"/>
      <c r="R849" s="122"/>
      <c r="S849" s="122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26"/>
      <c r="AI849" s="15"/>
    </row>
    <row r="850" spans="1:35" x14ac:dyDescent="0.4">
      <c r="AH850" s="26"/>
      <c r="AI850" s="15"/>
    </row>
    <row r="851" spans="1:35" x14ac:dyDescent="0.4">
      <c r="K851" s="115"/>
      <c r="L851" s="115"/>
      <c r="M851" s="115"/>
      <c r="N851" s="115"/>
      <c r="O851" s="115"/>
      <c r="P851" s="115"/>
      <c r="Q851" s="122"/>
      <c r="R851" s="122"/>
      <c r="S851" s="122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7"/>
      <c r="AI851" s="15"/>
    </row>
    <row r="852" spans="1:35" x14ac:dyDescent="0.4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22"/>
      <c r="R852" s="122"/>
      <c r="S852" s="122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26"/>
      <c r="AI852" s="15"/>
    </row>
    <row r="853" spans="1:35" x14ac:dyDescent="0.4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22"/>
      <c r="R853" s="122"/>
      <c r="S853" s="122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7"/>
      <c r="AI853" s="13"/>
    </row>
    <row r="854" spans="1:35" x14ac:dyDescent="0.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22"/>
      <c r="R854" s="122"/>
      <c r="S854" s="122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7"/>
      <c r="AI854" s="13"/>
    </row>
    <row r="855" spans="1:35" x14ac:dyDescent="0.4">
      <c r="AH855" s="26"/>
      <c r="AI855" s="13"/>
    </row>
    <row r="856" spans="1:35" x14ac:dyDescent="0.4"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22"/>
      <c r="R856" s="122"/>
      <c r="S856" s="122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26"/>
      <c r="AI856" s="15"/>
    </row>
    <row r="857" spans="1:35" x14ac:dyDescent="0.4"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22"/>
      <c r="R857" s="122"/>
      <c r="S857" s="122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26"/>
      <c r="AI857" s="15"/>
    </row>
    <row r="858" spans="1:35" x14ac:dyDescent="0.4">
      <c r="AH858" s="26"/>
      <c r="AI858" s="15"/>
    </row>
    <row r="859" spans="1:35" x14ac:dyDescent="0.4"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22"/>
      <c r="R859" s="122"/>
      <c r="S859" s="122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26"/>
      <c r="AI859" s="15"/>
    </row>
    <row r="860" spans="1:35" x14ac:dyDescent="0.4"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22"/>
      <c r="R860" s="122"/>
      <c r="S860" s="122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26"/>
      <c r="AI860" s="15"/>
    </row>
    <row r="861" spans="1:35" x14ac:dyDescent="0.4"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22"/>
      <c r="R861" s="122"/>
      <c r="S861" s="122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26"/>
      <c r="AI861" s="15"/>
    </row>
    <row r="862" spans="1:35" x14ac:dyDescent="0.4"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22"/>
      <c r="R862" s="122"/>
      <c r="S862" s="122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26"/>
      <c r="AI862" s="15"/>
    </row>
    <row r="863" spans="1:35" x14ac:dyDescent="0.4">
      <c r="AH863" s="26"/>
      <c r="AI863" s="15"/>
    </row>
    <row r="864" spans="1:35" x14ac:dyDescent="0.4"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22"/>
      <c r="R864" s="122"/>
      <c r="S864" s="122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26"/>
      <c r="AI864" s="15"/>
    </row>
    <row r="865" spans="1:35" x14ac:dyDescent="0.4">
      <c r="AH865" s="26"/>
      <c r="AI865" s="15"/>
    </row>
    <row r="866" spans="1:35" x14ac:dyDescent="0.4"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22"/>
      <c r="R866" s="122"/>
      <c r="S866" s="122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26"/>
      <c r="AI866" s="15"/>
    </row>
    <row r="867" spans="1:35" x14ac:dyDescent="0.4"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22"/>
      <c r="R867" s="122"/>
      <c r="S867" s="122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26"/>
      <c r="AI867" s="15"/>
    </row>
    <row r="868" spans="1:35" x14ac:dyDescent="0.4"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22"/>
      <c r="R868" s="122"/>
      <c r="S868" s="122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7"/>
      <c r="AI868" s="15"/>
    </row>
    <row r="869" spans="1:35" x14ac:dyDescent="0.4">
      <c r="AH869" s="26"/>
      <c r="AI869" s="15"/>
    </row>
    <row r="870" spans="1:35" x14ac:dyDescent="0.4">
      <c r="AH870" s="26"/>
      <c r="AI870" s="15"/>
    </row>
    <row r="871" spans="1:35" x14ac:dyDescent="0.4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22"/>
      <c r="R871" s="122"/>
      <c r="S871" s="122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26"/>
      <c r="AI871" s="15"/>
    </row>
    <row r="872" spans="1:35" x14ac:dyDescent="0.4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22"/>
      <c r="R872" s="122"/>
      <c r="S872" s="122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7"/>
      <c r="AI872" s="15"/>
    </row>
    <row r="873" spans="1:35" x14ac:dyDescent="0.4">
      <c r="AH873" s="26"/>
      <c r="AI873" s="15"/>
    </row>
    <row r="874" spans="1:35" ht="17.25" customHeight="1" x14ac:dyDescent="0.4"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22"/>
      <c r="R874" s="122"/>
      <c r="S874" s="122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26"/>
      <c r="AI874" s="15"/>
    </row>
    <row r="875" spans="1:35" x14ac:dyDescent="0.4">
      <c r="AH875" s="26"/>
      <c r="AI875" s="15"/>
    </row>
    <row r="876" spans="1:35" x14ac:dyDescent="0.4">
      <c r="J876" s="115"/>
      <c r="K876" s="115"/>
      <c r="L876" s="115"/>
      <c r="M876" s="115"/>
      <c r="N876" s="115"/>
      <c r="O876" s="115"/>
      <c r="P876" s="115"/>
      <c r="Q876" s="122"/>
      <c r="R876" s="122"/>
      <c r="S876" s="122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7"/>
      <c r="AI876" s="15"/>
    </row>
    <row r="877" spans="1:35" ht="16.5" customHeight="1" x14ac:dyDescent="0.4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22"/>
      <c r="R877" s="122"/>
      <c r="S877" s="122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26"/>
      <c r="AI877" s="15"/>
    </row>
    <row r="878" spans="1:35" ht="22.5" customHeight="1" x14ac:dyDescent="0.4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22"/>
      <c r="R878" s="122"/>
      <c r="S878" s="122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26"/>
      <c r="AI878" s="15"/>
    </row>
    <row r="879" spans="1:35" x14ac:dyDescent="0.4">
      <c r="AH879" s="26"/>
      <c r="AI879" s="15"/>
    </row>
    <row r="880" spans="1:35" x14ac:dyDescent="0.4">
      <c r="AH880" s="26"/>
      <c r="AI880" s="105"/>
    </row>
    <row r="881" spans="1:35" x14ac:dyDescent="0.4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22"/>
      <c r="R881" s="122"/>
      <c r="S881" s="122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26"/>
      <c r="AI881" s="15"/>
    </row>
    <row r="882" spans="1:35" x14ac:dyDescent="0.4">
      <c r="AH882" s="26"/>
      <c r="AI882" s="15"/>
    </row>
    <row r="883" spans="1:35" x14ac:dyDescent="0.4">
      <c r="AH883" s="26"/>
      <c r="AI883" s="15"/>
    </row>
    <row r="884" spans="1:35" x14ac:dyDescent="0.4">
      <c r="AH884" s="26"/>
      <c r="AI884" s="15"/>
    </row>
    <row r="885" spans="1:35" x14ac:dyDescent="0.4">
      <c r="AH885" s="26"/>
      <c r="AI885" s="15"/>
    </row>
    <row r="886" spans="1:35" x14ac:dyDescent="0.4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22"/>
      <c r="R886" s="122"/>
      <c r="S886" s="122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26"/>
      <c r="AI886" s="15"/>
    </row>
    <row r="887" spans="1:35" x14ac:dyDescent="0.4">
      <c r="AH887" s="26"/>
      <c r="AI887" s="15"/>
    </row>
    <row r="888" spans="1:35" x14ac:dyDescent="0.4">
      <c r="AH888" s="26"/>
      <c r="AI888" s="15"/>
    </row>
    <row r="889" spans="1:35" x14ac:dyDescent="0.4">
      <c r="AH889" s="26"/>
      <c r="AI889" s="15"/>
    </row>
    <row r="890" spans="1:35" x14ac:dyDescent="0.4">
      <c r="AH890" s="26"/>
      <c r="AI890" s="15"/>
    </row>
    <row r="891" spans="1:35" ht="18.75" customHeight="1" x14ac:dyDescent="0.4"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22"/>
      <c r="R891" s="122"/>
      <c r="S891" s="122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26"/>
      <c r="AI891" s="15"/>
    </row>
    <row r="892" spans="1:35" x14ac:dyDescent="0.4">
      <c r="AH892" s="26"/>
      <c r="AI892" s="15"/>
    </row>
    <row r="893" spans="1:35" x14ac:dyDescent="0.4">
      <c r="AH893" s="26"/>
      <c r="AI893" s="15"/>
    </row>
    <row r="894" spans="1:35" x14ac:dyDescent="0.4"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22"/>
      <c r="R894" s="122"/>
      <c r="S894" s="122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26"/>
      <c r="AI894" s="15"/>
    </row>
    <row r="895" spans="1:35" x14ac:dyDescent="0.4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22"/>
      <c r="R895" s="122"/>
      <c r="S895" s="122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26"/>
      <c r="AI895" s="15"/>
    </row>
    <row r="896" spans="1:35" x14ac:dyDescent="0.4">
      <c r="AH896" s="26"/>
      <c r="AI896" s="15"/>
    </row>
    <row r="897" spans="1:35" x14ac:dyDescent="0.4">
      <c r="J897" s="115"/>
      <c r="K897" s="115"/>
      <c r="L897" s="115"/>
      <c r="M897" s="115"/>
      <c r="N897" s="115"/>
      <c r="O897" s="115"/>
      <c r="P897" s="115"/>
      <c r="Q897" s="122"/>
      <c r="R897" s="122"/>
      <c r="S897" s="122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7"/>
      <c r="AI897" s="15"/>
    </row>
    <row r="898" spans="1:35" x14ac:dyDescent="0.4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22"/>
      <c r="R898" s="122"/>
      <c r="S898" s="122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26"/>
      <c r="AI898" s="15"/>
    </row>
    <row r="899" spans="1:35" x14ac:dyDescent="0.4">
      <c r="AH899" s="26"/>
      <c r="AI899" s="15"/>
    </row>
    <row r="900" spans="1:35" x14ac:dyDescent="0.4">
      <c r="J900" s="115"/>
      <c r="K900" s="115"/>
      <c r="L900" s="115"/>
      <c r="M900" s="115"/>
      <c r="N900" s="115"/>
      <c r="O900" s="115"/>
      <c r="P900" s="115"/>
      <c r="Q900" s="122"/>
      <c r="R900" s="122"/>
      <c r="S900" s="122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7"/>
      <c r="AI900" s="15"/>
    </row>
    <row r="901" spans="1:35" x14ac:dyDescent="0.4">
      <c r="AH901" s="26"/>
      <c r="AI901" s="15"/>
    </row>
    <row r="902" spans="1:35" x14ac:dyDescent="0.4"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22"/>
      <c r="R902" s="122"/>
      <c r="S902" s="122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26"/>
      <c r="AI902" s="15"/>
    </row>
    <row r="903" spans="1:35" x14ac:dyDescent="0.4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22"/>
      <c r="R903" s="122"/>
      <c r="S903" s="122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26"/>
      <c r="AI903" s="15"/>
    </row>
    <row r="904" spans="1:35" x14ac:dyDescent="0.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22"/>
      <c r="R904" s="122"/>
      <c r="S904" s="122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26"/>
      <c r="AI904" s="15"/>
    </row>
    <row r="905" spans="1:35" x14ac:dyDescent="0.4">
      <c r="AH905" s="26"/>
      <c r="AI905" s="15"/>
    </row>
    <row r="906" spans="1:35" x14ac:dyDescent="0.4"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22"/>
      <c r="R906" s="122"/>
      <c r="S906" s="122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26"/>
      <c r="AI906" s="15"/>
    </row>
    <row r="907" spans="1:35" x14ac:dyDescent="0.4">
      <c r="AH907" s="26"/>
      <c r="AI907" s="15"/>
    </row>
    <row r="908" spans="1:35" x14ac:dyDescent="0.4"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22"/>
      <c r="R908" s="122"/>
      <c r="S908" s="122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26"/>
      <c r="AI908" s="15"/>
    </row>
    <row r="909" spans="1:35" x14ac:dyDescent="0.4">
      <c r="AH909" s="26"/>
      <c r="AI909" s="15"/>
    </row>
    <row r="910" spans="1:35" x14ac:dyDescent="0.4">
      <c r="AH910" s="26"/>
      <c r="AI910" s="15"/>
    </row>
    <row r="911" spans="1:35" x14ac:dyDescent="0.4">
      <c r="AH911" s="26"/>
      <c r="AI911" s="15"/>
    </row>
    <row r="912" spans="1:35" x14ac:dyDescent="0.4">
      <c r="AH912" s="26"/>
      <c r="AI912" s="15"/>
    </row>
    <row r="913" spans="1:35" x14ac:dyDescent="0.4">
      <c r="AH913" s="26"/>
      <c r="AI913" s="15"/>
    </row>
    <row r="914" spans="1:35" x14ac:dyDescent="0.4">
      <c r="AH914" s="26"/>
      <c r="AI914" s="15"/>
    </row>
    <row r="915" spans="1:35" x14ac:dyDescent="0.4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22"/>
      <c r="R915" s="122"/>
      <c r="S915" s="122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26"/>
      <c r="AI915" s="15"/>
    </row>
    <row r="916" spans="1:35" x14ac:dyDescent="0.4">
      <c r="AH916" s="26"/>
      <c r="AI916" s="15"/>
    </row>
    <row r="917" spans="1:35" x14ac:dyDescent="0.4">
      <c r="AH917" s="26"/>
      <c r="AI917" s="15"/>
    </row>
    <row r="918" spans="1:35" x14ac:dyDescent="0.4">
      <c r="AH918" s="26"/>
      <c r="AI918" s="15"/>
    </row>
    <row r="919" spans="1:35" x14ac:dyDescent="0.4">
      <c r="AH919" s="26"/>
      <c r="AI919" s="15"/>
    </row>
    <row r="920" spans="1:35" x14ac:dyDescent="0.4">
      <c r="AH920" s="26"/>
      <c r="AI920" s="15"/>
    </row>
    <row r="921" spans="1:35" x14ac:dyDescent="0.4">
      <c r="J921" s="115"/>
      <c r="K921" s="115"/>
      <c r="L921" s="115"/>
      <c r="M921" s="115"/>
      <c r="N921" s="115"/>
      <c r="O921" s="115"/>
      <c r="P921" s="115"/>
      <c r="Q921" s="122"/>
      <c r="R921" s="122"/>
      <c r="S921" s="122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7"/>
      <c r="AI921" s="15"/>
    </row>
    <row r="922" spans="1:35" x14ac:dyDescent="0.4">
      <c r="J922" s="115"/>
      <c r="K922" s="115"/>
      <c r="L922" s="115"/>
      <c r="M922" s="115"/>
      <c r="N922" s="115"/>
      <c r="O922" s="115"/>
      <c r="P922" s="115"/>
      <c r="Q922" s="122"/>
      <c r="R922" s="122"/>
      <c r="S922" s="122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7"/>
      <c r="AI922" s="15"/>
    </row>
    <row r="923" spans="1:35" x14ac:dyDescent="0.4">
      <c r="AH923" s="26"/>
      <c r="AI923" s="15"/>
    </row>
    <row r="924" spans="1:35" x14ac:dyDescent="0.4">
      <c r="AH924" s="26"/>
      <c r="AI924" s="15"/>
    </row>
    <row r="925" spans="1:35" x14ac:dyDescent="0.4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22"/>
      <c r="R925" s="122"/>
      <c r="S925" s="122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26"/>
      <c r="AI925" s="15"/>
    </row>
    <row r="926" spans="1:35" x14ac:dyDescent="0.4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22"/>
      <c r="R926" s="122"/>
      <c r="S926" s="122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26"/>
      <c r="AI926" s="13"/>
    </row>
    <row r="927" spans="1:35" x14ac:dyDescent="0.4">
      <c r="AH927" s="26"/>
      <c r="AI927" s="15"/>
    </row>
    <row r="928" spans="1:35" x14ac:dyDescent="0.4"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22"/>
      <c r="R928" s="122"/>
      <c r="S928" s="122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26"/>
      <c r="AI928" s="15"/>
    </row>
    <row r="929" spans="1:35" x14ac:dyDescent="0.4">
      <c r="AH929" s="26"/>
      <c r="AI929" s="15"/>
    </row>
    <row r="930" spans="1:35" x14ac:dyDescent="0.4">
      <c r="AH930" s="26"/>
      <c r="AI930" s="15"/>
    </row>
    <row r="931" spans="1:35" x14ac:dyDescent="0.4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22"/>
      <c r="R931" s="122"/>
      <c r="S931" s="122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26"/>
      <c r="AI931" s="15"/>
    </row>
    <row r="932" spans="1:35" x14ac:dyDescent="0.4">
      <c r="AH932" s="26"/>
      <c r="AI932" s="13"/>
    </row>
    <row r="933" spans="1:35" x14ac:dyDescent="0.4">
      <c r="AH933" s="26"/>
      <c r="AI933" s="13"/>
    </row>
    <row r="934" spans="1:35" x14ac:dyDescent="0.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22"/>
      <c r="R934" s="122"/>
      <c r="S934" s="122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26"/>
      <c r="AI934" s="13"/>
    </row>
    <row r="935" spans="1:35" x14ac:dyDescent="0.4">
      <c r="AH935" s="26"/>
      <c r="AI935" s="13"/>
    </row>
    <row r="936" spans="1:35" x14ac:dyDescent="0.4">
      <c r="AH936" s="26"/>
      <c r="AI936" s="13"/>
    </row>
    <row r="937" spans="1:35" x14ac:dyDescent="0.4">
      <c r="AH937" s="26"/>
      <c r="AI937" s="13"/>
    </row>
    <row r="938" spans="1:35" x14ac:dyDescent="0.4">
      <c r="AH938" s="26"/>
      <c r="AI938" s="13"/>
    </row>
    <row r="939" spans="1:35" x14ac:dyDescent="0.4">
      <c r="AH939" s="26"/>
      <c r="AI939" s="13"/>
    </row>
    <row r="940" spans="1:35" x14ac:dyDescent="0.4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22"/>
      <c r="R940" s="122"/>
      <c r="S940" s="122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26"/>
      <c r="AI940" s="25"/>
    </row>
    <row r="941" spans="1:35" x14ac:dyDescent="0.4">
      <c r="AH941" s="26"/>
      <c r="AI941" s="13"/>
    </row>
    <row r="942" spans="1:35" x14ac:dyDescent="0.4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22"/>
      <c r="R942" s="122"/>
      <c r="S942" s="122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26"/>
      <c r="AI942" s="13"/>
    </row>
    <row r="943" spans="1:35" x14ac:dyDescent="0.4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22"/>
      <c r="R943" s="122"/>
      <c r="S943" s="122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26"/>
      <c r="AI943" s="13"/>
    </row>
    <row r="944" spans="1:35" x14ac:dyDescent="0.4">
      <c r="AH944" s="26"/>
      <c r="AI944" s="15"/>
    </row>
    <row r="945" spans="2:35" x14ac:dyDescent="0.4">
      <c r="AH945" s="26"/>
      <c r="AI945" s="15"/>
    </row>
    <row r="946" spans="2:35" x14ac:dyDescent="0.4">
      <c r="AH946" s="26"/>
      <c r="AI946" s="15"/>
    </row>
    <row r="947" spans="2:35" x14ac:dyDescent="0.4">
      <c r="AH947" s="26"/>
      <c r="AI947" s="13"/>
    </row>
    <row r="948" spans="2:35" x14ac:dyDescent="0.4">
      <c r="AH948" s="26"/>
      <c r="AI948" s="15"/>
    </row>
    <row r="949" spans="2:35" x14ac:dyDescent="0.4"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22"/>
      <c r="R949" s="122"/>
      <c r="S949" s="122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7"/>
      <c r="AI949" s="15"/>
    </row>
    <row r="950" spans="2:35" x14ac:dyDescent="0.4">
      <c r="AH950" s="26"/>
      <c r="AI950" s="15"/>
    </row>
    <row r="951" spans="2:35" x14ac:dyDescent="0.4"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22"/>
      <c r="R951" s="122"/>
      <c r="S951" s="122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7"/>
      <c r="AI951" s="15"/>
    </row>
    <row r="952" spans="2:35" x14ac:dyDescent="0.4">
      <c r="AH952" s="26"/>
      <c r="AI952" s="15"/>
    </row>
    <row r="953" spans="2:35" x14ac:dyDescent="0.4">
      <c r="AH953" s="26"/>
      <c r="AI953" s="15"/>
    </row>
    <row r="954" spans="2:35" x14ac:dyDescent="0.4"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22"/>
      <c r="R954" s="122"/>
      <c r="S954" s="122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7"/>
      <c r="AI954" s="15"/>
    </row>
    <row r="955" spans="2:35" x14ac:dyDescent="0.4">
      <c r="AH955" s="26"/>
      <c r="AI955" s="15"/>
    </row>
    <row r="956" spans="2:35" x14ac:dyDescent="0.4">
      <c r="AH956" s="26"/>
      <c r="AI956" s="15"/>
    </row>
    <row r="957" spans="2:35" x14ac:dyDescent="0.4">
      <c r="AH957" s="26"/>
      <c r="AI957" s="105"/>
    </row>
    <row r="958" spans="2:35" x14ac:dyDescent="0.4">
      <c r="AH958" s="26"/>
      <c r="AI958" s="15"/>
    </row>
    <row r="959" spans="2:35" x14ac:dyDescent="0.4">
      <c r="AH959" s="26"/>
      <c r="AI959" s="15"/>
    </row>
    <row r="960" spans="2:35" x14ac:dyDescent="0.4">
      <c r="AH960" s="26"/>
      <c r="AI960" s="15"/>
    </row>
    <row r="961" spans="2:35" x14ac:dyDescent="0.4">
      <c r="AH961" s="26"/>
      <c r="AI961" s="15"/>
    </row>
    <row r="962" spans="2:35" x14ac:dyDescent="0.4">
      <c r="AH962" s="26"/>
      <c r="AI962" s="15"/>
    </row>
    <row r="963" spans="2:35" x14ac:dyDescent="0.4"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22"/>
      <c r="R963" s="122"/>
      <c r="S963" s="122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9"/>
      <c r="AI963" s="119"/>
    </row>
    <row r="964" spans="2:35" x14ac:dyDescent="0.4"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22"/>
      <c r="R964" s="122"/>
      <c r="S964" s="122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9"/>
      <c r="AI964" s="119"/>
    </row>
  </sheetData>
  <sortState xmlns:xlrd2="http://schemas.microsoft.com/office/spreadsheetml/2017/richdata2" ref="J2:K143">
    <sortCondition ref="J2:J143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2024-09-30T08:51:35Z</cp:lastPrinted>
  <dcterms:created xsi:type="dcterms:W3CDTF">2020-05-08T06:29:04Z</dcterms:created>
  <dcterms:modified xsi:type="dcterms:W3CDTF">2024-10-01T00:46:57Z</dcterms:modified>
</cp:coreProperties>
</file>