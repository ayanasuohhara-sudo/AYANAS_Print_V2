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596320E3-5CBE-44A6-ADA4-56BEE57C70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D21" i="3"/>
  <c r="C21" i="3"/>
  <c r="B21" i="3"/>
  <c r="J138" i="3"/>
  <c r="I138" i="3"/>
  <c r="J136" i="3"/>
  <c r="I136" i="3"/>
  <c r="J134" i="3"/>
  <c r="I134" i="3"/>
  <c r="J128" i="3"/>
  <c r="I128" i="3"/>
  <c r="J126" i="3"/>
  <c r="I126" i="3"/>
  <c r="J119" i="3"/>
  <c r="I119" i="3"/>
  <c r="J105" i="3"/>
  <c r="I105" i="3"/>
  <c r="J93" i="3"/>
  <c r="I93" i="3"/>
  <c r="J85" i="3"/>
  <c r="I85" i="3"/>
  <c r="J83" i="3"/>
  <c r="I83" i="3"/>
  <c r="J76" i="3"/>
  <c r="I76" i="3"/>
  <c r="J72" i="3"/>
  <c r="I72" i="3"/>
  <c r="J69" i="3"/>
  <c r="I69" i="3"/>
  <c r="J46" i="3"/>
  <c r="I46" i="3"/>
  <c r="J37" i="3"/>
  <c r="I37" i="3"/>
  <c r="J25" i="3"/>
  <c r="I25" i="3"/>
  <c r="J13" i="3"/>
  <c r="I13" i="3"/>
  <c r="J6" i="3"/>
  <c r="J139" i="3" s="1"/>
  <c r="I6" i="3"/>
  <c r="I139" i="3" s="1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H253" i="3"/>
  <c r="AG253" i="3"/>
  <c r="AH248" i="3"/>
  <c r="AG248" i="3"/>
  <c r="AH246" i="3"/>
  <c r="AG246" i="3"/>
  <c r="AH232" i="3"/>
  <c r="AG232" i="3"/>
  <c r="AH214" i="3"/>
  <c r="AG214" i="3"/>
  <c r="AH206" i="3"/>
  <c r="AG206" i="3"/>
  <c r="AH178" i="3"/>
  <c r="AG178" i="3"/>
  <c r="AH169" i="3"/>
  <c r="AG169" i="3"/>
  <c r="AH142" i="3"/>
  <c r="AG142" i="3"/>
  <c r="AH135" i="3"/>
  <c r="AG135" i="3"/>
  <c r="AH124" i="3"/>
  <c r="AG124" i="3"/>
  <c r="AH95" i="3"/>
  <c r="AG95" i="3"/>
  <c r="AH64" i="3"/>
  <c r="AG64" i="3"/>
  <c r="AH60" i="3"/>
  <c r="AG60" i="3"/>
  <c r="AH48" i="3"/>
  <c r="AG48" i="3"/>
  <c r="AH44" i="3"/>
  <c r="AG44" i="3"/>
  <c r="AH39" i="3"/>
  <c r="AG39" i="3"/>
  <c r="AH36" i="3"/>
  <c r="AG36" i="3"/>
  <c r="AH30" i="3"/>
  <c r="AG30" i="3"/>
  <c r="AH22" i="3"/>
  <c r="AG22" i="3"/>
  <c r="AH19" i="3"/>
  <c r="AG19" i="3"/>
  <c r="AH9" i="3"/>
  <c r="AG9" i="3"/>
  <c r="B61" i="1"/>
  <c r="A241" i="1"/>
  <c r="A151" i="1"/>
  <c r="AB43" i="1"/>
  <c r="AG254" i="3" l="1"/>
  <c r="AH25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<sst xmlns="http://schemas.openxmlformats.org/spreadsheetml/2006/main" count="2331" uniqueCount="382">
  <si>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</si>
  <si>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</si>
  <si>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</si>
  <si>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</si>
  <si>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</si>
  <si>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</si>
  <si>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</si>
  <si>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</si>
  <si>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</si>
  <si>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</si>
  <si>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</si>
  <si>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</si>
  <si>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</si>
  <si>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</si>
  <si>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</si>
  <si>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</si>
  <si>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</si>
  <si>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</si>
  <si>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</si>
  <si>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</si>
  <si>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</si>
  <si>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</si>
  <si>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</si>
  <si>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</si>
  <si>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</si>
  <si>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</si>
  <si>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</si>
  <si>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</si>
  <si>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</si>
  <si>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</si>
  <si>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</si>
  <si>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</si>
  <si>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</si>
  <si>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</si>
  <si>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</si>
  <si>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</si>
  <si>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</si>
  <si>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</si>
  <si>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</si>
  <si>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</si>
  <si>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</si>
  <si>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</si>
  <si>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</si>
  <si>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</si>
  <si>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</si>
  <si>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</si>
  <si>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</si>
  <si>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</si>
  <si>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</si>
  <si>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</si>
  <si>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</si>
  <si>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</si>
  <si>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</si>
  <si>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</si>
  <si>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</si>
  <si>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</si>
  <si>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</si>
  <si>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</si>
  <si>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</si>
  <si>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</si>
  <si>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</si>
  <si>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</si>
  <si>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</si>
  <si>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</si>
  <si>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</si>
  <si>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</si>
  <si>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</si>
  <si>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</si>
  <si>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</si>
  <si>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</si>
  <si>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</si>
  <si>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</si>
  <si>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</si>
  <si>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</si>
  <si>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</si>
  <si>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</si>
  <si>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</si>
  <si>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</si>
  <si>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</si>
  <si>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</si>
  <si>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</si>
  <si>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</si>
  <si>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</si>
  <si>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</si>
  <si>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</si>
  <si>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</si>
  <si>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</si>
  <si>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</si>
  <si>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</si>
  <si>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</si>
  <si>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</si>
  <si>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</si>
  <si>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</si>
  <si>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</si>
  <si>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</si>
  <si>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</si>
  <si>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</si>
  <si>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</si>
  <si>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</si>
  <si>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</si>
  <si>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</si>
  <si>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</si>
  <si>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</si>
  <si>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</si>
  <si>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</si>
  <si>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</si>
  <si>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</si>
  <si>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</si>
  <si>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</si>
  <si>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</si>
  <si>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</si>
  <si>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</si>
  <si>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</si>
  <si>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</si>
  <si>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</si>
  <si>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</si>
  <si>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</si>
  <si>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</si>
  <si>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</si>
  <si>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</si>
  <si>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</si>
  <si>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</si>
  <si>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</si>
  <si>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</si>
  <si>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</si>
  <si>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</si>
  <si>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</si>
  <si>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</si>
  <si>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</si>
  <si>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</si>
  <si>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</si>
  <si>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</si>
  <si>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</si>
  <si>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</si>
  <si>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</si>
  <si>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</si>
  <si>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</si>
  <si>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</si>
  <si>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</si>
  <si>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</si>
  <si>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</si>
  <si>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</si>
  <si>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</si>
  <si>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</si>
  <si>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</si>
  <si>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</si>
  <si>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</si>
  <si>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</si>
  <si>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</si>
  <si>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</si>
  <si>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</si>
  <si>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</si>
  <si>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</si>
  <si>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</si>
  <si>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</si>
  <si>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</si>
  <si>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</si>
  <si>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</si>
  <si>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</si>
  <si>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</si>
  <si>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</si>
  <si>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</si>
  <si>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</si>
  <si>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</si>
  <si>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</si>
  <si>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</si>
  <si>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</si>
  <si>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</si>
  <si>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</si>
  <si>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</si>
  <si>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</si>
  <si>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</si>
  <si>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</si>
  <si>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</si>
  <si>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</si>
  <si>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</si>
  <si>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</si>
  <si>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2024/10/8 個数</t>
  </si>
  <si>
    <t>2024/10/18 個数</t>
  </si>
  <si>
    <t>2024/10/5 個数</t>
  </si>
  <si>
    <t>2024/10/7 個数</t>
  </si>
  <si>
    <t>2024/10/9 個数</t>
  </si>
  <si>
    <t>2024/10/10 個数</t>
  </si>
  <si>
    <t>2024/10/13 個数</t>
  </si>
  <si>
    <t>2024/10/14 個数</t>
  </si>
  <si>
    <t>2024/10/16 個数</t>
  </si>
  <si>
    <t>2024/10/22 個数</t>
  </si>
  <si>
    <t>2024/10/23 個数</t>
  </si>
  <si>
    <t>AYG088</t>
    <phoneticPr fontId="1"/>
  </si>
  <si>
    <t>06090040</t>
    <phoneticPr fontId="1"/>
  </si>
  <si>
    <t>M032</t>
    <phoneticPr fontId="1"/>
  </si>
  <si>
    <t>HM</t>
    <phoneticPr fontId="1"/>
  </si>
  <si>
    <t>S</t>
    <phoneticPr fontId="1"/>
  </si>
  <si>
    <t>R</t>
    <phoneticPr fontId="1"/>
  </si>
  <si>
    <t>K</t>
    <phoneticPr fontId="1"/>
  </si>
  <si>
    <t>A623</t>
    <phoneticPr fontId="1"/>
  </si>
  <si>
    <t>06090045</t>
    <phoneticPr fontId="1"/>
  </si>
  <si>
    <t>06090046</t>
  </si>
  <si>
    <t>06090047</t>
  </si>
  <si>
    <t>06090048</t>
  </si>
  <si>
    <t>06090049</t>
  </si>
  <si>
    <t>06090050</t>
  </si>
  <si>
    <t>06090051</t>
  </si>
  <si>
    <t>06090052</t>
  </si>
  <si>
    <t>06090053</t>
  </si>
  <si>
    <t>06090054</t>
  </si>
  <si>
    <t>06090055</t>
  </si>
  <si>
    <t>06090056</t>
  </si>
  <si>
    <t>06090057</t>
  </si>
  <si>
    <t>06090058</t>
  </si>
  <si>
    <t>NA</t>
    <phoneticPr fontId="1"/>
  </si>
  <si>
    <t>J</t>
    <phoneticPr fontId="1"/>
  </si>
  <si>
    <t>IR</t>
    <phoneticPr fontId="1"/>
  </si>
  <si>
    <t>A622</t>
    <phoneticPr fontId="1"/>
  </si>
  <si>
    <t>A335</t>
    <phoneticPr fontId="1"/>
  </si>
  <si>
    <t>FR</t>
    <phoneticPr fontId="1"/>
  </si>
  <si>
    <t>TO</t>
    <phoneticPr fontId="1"/>
  </si>
  <si>
    <t>TM</t>
    <phoneticPr fontId="1"/>
  </si>
  <si>
    <t>TK</t>
    <phoneticPr fontId="1"/>
  </si>
  <si>
    <t>HA</t>
    <phoneticPr fontId="1"/>
  </si>
  <si>
    <t>06090059</t>
    <phoneticPr fontId="1"/>
  </si>
  <si>
    <t>NF</t>
    <phoneticPr fontId="1"/>
  </si>
  <si>
    <t>06090060</t>
    <phoneticPr fontId="1"/>
  </si>
  <si>
    <t>06090061</t>
    <phoneticPr fontId="1"/>
  </si>
  <si>
    <t>A336</t>
    <phoneticPr fontId="1"/>
  </si>
  <si>
    <t>06090062</t>
    <phoneticPr fontId="1"/>
  </si>
  <si>
    <t>06090063</t>
    <phoneticPr fontId="1"/>
  </si>
  <si>
    <t>06090064</t>
    <phoneticPr fontId="1"/>
  </si>
  <si>
    <t>06090065</t>
    <phoneticPr fontId="1"/>
  </si>
  <si>
    <t>06090066</t>
    <phoneticPr fontId="1"/>
  </si>
  <si>
    <t>06090067</t>
    <phoneticPr fontId="1"/>
  </si>
  <si>
    <t>KM</t>
    <phoneticPr fontId="1"/>
  </si>
  <si>
    <t>06090068</t>
    <phoneticPr fontId="1"/>
  </si>
  <si>
    <t>06090069</t>
    <phoneticPr fontId="1"/>
  </si>
  <si>
    <t>06090070</t>
    <phoneticPr fontId="1"/>
  </si>
  <si>
    <t>06090071</t>
    <phoneticPr fontId="1"/>
  </si>
  <si>
    <t>M079</t>
    <phoneticPr fontId="1"/>
  </si>
  <si>
    <t>06090075</t>
    <phoneticPr fontId="1"/>
  </si>
  <si>
    <t>06090083</t>
    <phoneticPr fontId="1"/>
  </si>
  <si>
    <t>M070</t>
    <phoneticPr fontId="1"/>
  </si>
  <si>
    <t>P</t>
    <phoneticPr fontId="1"/>
  </si>
  <si>
    <t>06090084</t>
    <phoneticPr fontId="1"/>
  </si>
  <si>
    <t>06090022</t>
    <phoneticPr fontId="1"/>
  </si>
  <si>
    <t>M064</t>
    <phoneticPr fontId="1"/>
  </si>
  <si>
    <t>06090025</t>
    <phoneticPr fontId="1"/>
  </si>
  <si>
    <t>06090026</t>
    <phoneticPr fontId="1"/>
  </si>
  <si>
    <t>A505</t>
    <phoneticPr fontId="1"/>
  </si>
  <si>
    <t>06090028</t>
    <phoneticPr fontId="1"/>
  </si>
  <si>
    <t>06090029</t>
    <phoneticPr fontId="1"/>
  </si>
  <si>
    <t>06090030</t>
  </si>
  <si>
    <t>06090031</t>
  </si>
  <si>
    <t>06090041</t>
    <phoneticPr fontId="1"/>
  </si>
  <si>
    <t>06090086</t>
    <phoneticPr fontId="1"/>
  </si>
  <si>
    <t>M100</t>
    <phoneticPr fontId="1"/>
  </si>
  <si>
    <t>A997</t>
    <phoneticPr fontId="1"/>
  </si>
  <si>
    <t>06090087</t>
    <phoneticPr fontId="1"/>
  </si>
  <si>
    <t>06090088</t>
    <phoneticPr fontId="1"/>
  </si>
  <si>
    <t>06090089</t>
    <phoneticPr fontId="1"/>
  </si>
  <si>
    <t>06090090</t>
    <phoneticPr fontId="1"/>
  </si>
  <si>
    <t>M015</t>
    <phoneticPr fontId="1"/>
  </si>
  <si>
    <t>C</t>
    <phoneticPr fontId="1"/>
  </si>
  <si>
    <t>06090091</t>
    <phoneticPr fontId="1"/>
  </si>
  <si>
    <t>06090093</t>
    <phoneticPr fontId="1"/>
  </si>
  <si>
    <t>A523</t>
    <phoneticPr fontId="1"/>
  </si>
  <si>
    <t>06080339</t>
    <phoneticPr fontId="1"/>
  </si>
  <si>
    <t>M032</t>
    <phoneticPr fontId="1"/>
  </si>
  <si>
    <t>KM</t>
    <phoneticPr fontId="1"/>
  </si>
  <si>
    <t>S</t>
    <phoneticPr fontId="1"/>
  </si>
  <si>
    <t>R</t>
    <phoneticPr fontId="1"/>
  </si>
  <si>
    <t>HA</t>
    <phoneticPr fontId="1"/>
  </si>
  <si>
    <t>06080340</t>
    <phoneticPr fontId="1"/>
  </si>
  <si>
    <t>06090001</t>
    <phoneticPr fontId="1"/>
  </si>
  <si>
    <t>M037</t>
    <phoneticPr fontId="1"/>
  </si>
  <si>
    <t>TM</t>
    <phoneticPr fontId="1"/>
  </si>
  <si>
    <t>J</t>
    <phoneticPr fontId="1"/>
  </si>
  <si>
    <t>NA</t>
    <phoneticPr fontId="1"/>
  </si>
  <si>
    <t>A335</t>
    <phoneticPr fontId="1"/>
  </si>
  <si>
    <t>06090072</t>
    <phoneticPr fontId="1"/>
  </si>
  <si>
    <t>06090097</t>
    <phoneticPr fontId="1"/>
  </si>
  <si>
    <t>HM</t>
    <phoneticPr fontId="1"/>
  </si>
  <si>
    <t>06090099</t>
    <phoneticPr fontId="1"/>
  </si>
  <si>
    <t>06090103</t>
    <phoneticPr fontId="1"/>
  </si>
  <si>
    <t>A307</t>
    <phoneticPr fontId="1"/>
  </si>
  <si>
    <t>FR</t>
    <phoneticPr fontId="1"/>
  </si>
  <si>
    <t>K</t>
    <phoneticPr fontId="1"/>
  </si>
  <si>
    <t>NF</t>
    <phoneticPr fontId="1"/>
  </si>
  <si>
    <t>06090104</t>
    <phoneticPr fontId="1"/>
  </si>
  <si>
    <t>06090106</t>
    <phoneticPr fontId="1"/>
  </si>
  <si>
    <t>MW</t>
    <phoneticPr fontId="1"/>
  </si>
  <si>
    <t>A255</t>
    <phoneticPr fontId="1"/>
  </si>
  <si>
    <t>06090115</t>
    <phoneticPr fontId="1"/>
  </si>
  <si>
    <t>06090116</t>
    <phoneticPr fontId="1"/>
  </si>
  <si>
    <t>MS</t>
    <phoneticPr fontId="1"/>
  </si>
  <si>
    <t>06090121</t>
    <phoneticPr fontId="1"/>
  </si>
  <si>
    <t>06090122</t>
    <phoneticPr fontId="1"/>
  </si>
  <si>
    <t>MK</t>
    <phoneticPr fontId="1"/>
  </si>
  <si>
    <t>A545</t>
    <phoneticPr fontId="1"/>
  </si>
  <si>
    <t>06090124</t>
    <phoneticPr fontId="1"/>
  </si>
  <si>
    <t>06090125</t>
    <phoneticPr fontId="1"/>
  </si>
  <si>
    <t>MH</t>
    <phoneticPr fontId="1"/>
  </si>
  <si>
    <t>06090039</t>
    <phoneticPr fontId="1"/>
  </si>
  <si>
    <t>06090042</t>
    <phoneticPr fontId="1"/>
  </si>
  <si>
    <t>06090044</t>
    <phoneticPr fontId="1"/>
  </si>
  <si>
    <t>A913</t>
    <phoneticPr fontId="1"/>
  </si>
  <si>
    <t>06090118</t>
    <phoneticPr fontId="1"/>
  </si>
  <si>
    <t>06090119</t>
    <phoneticPr fontId="1"/>
  </si>
  <si>
    <t>06090120</t>
    <phoneticPr fontId="1"/>
  </si>
  <si>
    <t>06090123</t>
    <phoneticPr fontId="1"/>
  </si>
  <si>
    <t>CO</t>
    <phoneticPr fontId="1"/>
  </si>
  <si>
    <t>A336</t>
    <phoneticPr fontId="1"/>
  </si>
  <si>
    <t>06090132</t>
    <phoneticPr fontId="1"/>
  </si>
  <si>
    <t>06090133</t>
    <phoneticPr fontId="1"/>
  </si>
  <si>
    <t>06090134</t>
    <phoneticPr fontId="1"/>
  </si>
  <si>
    <t>06090136</t>
    <phoneticPr fontId="1"/>
  </si>
  <si>
    <t>06090138</t>
    <phoneticPr fontId="1"/>
  </si>
  <si>
    <t>06090139</t>
    <phoneticPr fontId="1"/>
  </si>
  <si>
    <t>06090152</t>
    <phoneticPr fontId="1"/>
  </si>
  <si>
    <t>06080355</t>
    <phoneticPr fontId="1"/>
  </si>
  <si>
    <t>A755</t>
    <phoneticPr fontId="1"/>
  </si>
  <si>
    <t>06090038</t>
    <phoneticPr fontId="1"/>
  </si>
  <si>
    <t>06090077</t>
    <phoneticPr fontId="1"/>
  </si>
  <si>
    <t>M078</t>
    <phoneticPr fontId="1"/>
  </si>
  <si>
    <t>06090078</t>
    <phoneticPr fontId="1"/>
  </si>
  <si>
    <t>06090080</t>
    <phoneticPr fontId="1"/>
  </si>
  <si>
    <t>06090098</t>
    <phoneticPr fontId="1"/>
  </si>
  <si>
    <t>06090105</t>
    <phoneticPr fontId="1"/>
  </si>
  <si>
    <t>06090147</t>
    <phoneticPr fontId="1"/>
  </si>
  <si>
    <t>06090148</t>
    <phoneticPr fontId="1"/>
  </si>
  <si>
    <t>A700</t>
    <phoneticPr fontId="1"/>
  </si>
  <si>
    <t>06090149</t>
    <phoneticPr fontId="1"/>
  </si>
  <si>
    <t>06090150</t>
    <phoneticPr fontId="1"/>
  </si>
  <si>
    <t>06090151</t>
    <phoneticPr fontId="1"/>
  </si>
  <si>
    <t>06090153</t>
    <phoneticPr fontId="1"/>
  </si>
  <si>
    <t>06080231</t>
    <phoneticPr fontId="1"/>
  </si>
  <si>
    <t>TO</t>
    <phoneticPr fontId="1"/>
  </si>
  <si>
    <t>06080356</t>
    <phoneticPr fontId="1"/>
  </si>
  <si>
    <t>06090082</t>
    <phoneticPr fontId="1"/>
  </si>
  <si>
    <t>06090137</t>
    <phoneticPr fontId="1"/>
  </si>
  <si>
    <t>06090142</t>
    <phoneticPr fontId="1"/>
  </si>
  <si>
    <t>06090144</t>
    <phoneticPr fontId="1"/>
  </si>
  <si>
    <t>06090154</t>
    <phoneticPr fontId="1"/>
  </si>
  <si>
    <t>A120</t>
    <phoneticPr fontId="1"/>
  </si>
  <si>
    <t>TK</t>
    <phoneticPr fontId="1"/>
  </si>
  <si>
    <t>06090155</t>
    <phoneticPr fontId="1"/>
  </si>
  <si>
    <t>06090156</t>
    <phoneticPr fontId="1"/>
  </si>
  <si>
    <t>06090157</t>
    <phoneticPr fontId="1"/>
  </si>
  <si>
    <t>06090161</t>
    <phoneticPr fontId="1"/>
  </si>
  <si>
    <t>M074</t>
    <phoneticPr fontId="1"/>
  </si>
  <si>
    <t>06090163</t>
    <phoneticPr fontId="1"/>
  </si>
  <si>
    <t>06090166</t>
    <phoneticPr fontId="1"/>
  </si>
  <si>
    <t>A181</t>
    <phoneticPr fontId="1"/>
  </si>
  <si>
    <t>06090170</t>
    <phoneticPr fontId="1"/>
  </si>
  <si>
    <t>06090171</t>
    <phoneticPr fontId="1"/>
  </si>
  <si>
    <t>A182</t>
    <phoneticPr fontId="1"/>
  </si>
  <si>
    <t>06090173</t>
    <phoneticPr fontId="1"/>
  </si>
  <si>
    <t>UC</t>
    <phoneticPr fontId="1"/>
  </si>
  <si>
    <t>E</t>
    <phoneticPr fontId="1"/>
  </si>
  <si>
    <t>P</t>
    <phoneticPr fontId="1"/>
  </si>
  <si>
    <t>06090179</t>
    <phoneticPr fontId="1"/>
  </si>
  <si>
    <t>06090180</t>
    <phoneticPr fontId="1"/>
  </si>
  <si>
    <t>06090181</t>
  </si>
  <si>
    <t>06090182</t>
  </si>
  <si>
    <t>06090183</t>
  </si>
  <si>
    <t>06090184</t>
  </si>
  <si>
    <t>06090185</t>
  </si>
  <si>
    <t>06090172</t>
    <phoneticPr fontId="1"/>
  </si>
  <si>
    <t>IR</t>
    <phoneticPr fontId="1"/>
  </si>
  <si>
    <t>06090174</t>
    <phoneticPr fontId="1"/>
  </si>
  <si>
    <t>06080252</t>
    <phoneticPr fontId="1"/>
  </si>
  <si>
    <t>06080253</t>
    <phoneticPr fontId="1"/>
  </si>
  <si>
    <t>06080284</t>
    <phoneticPr fontId="1"/>
  </si>
  <si>
    <t>A550</t>
    <phoneticPr fontId="1"/>
  </si>
  <si>
    <t>06090187</t>
    <phoneticPr fontId="1"/>
  </si>
  <si>
    <t>06090188</t>
    <phoneticPr fontId="1"/>
  </si>
  <si>
    <t>06090189</t>
    <phoneticPr fontId="1"/>
  </si>
  <si>
    <t>2024/10/15 個数</t>
  </si>
  <si>
    <t>2024/10/19 個数</t>
  </si>
  <si>
    <t>2024/10/20 個数</t>
  </si>
  <si>
    <t>2024/10/26 個数</t>
  </si>
  <si>
    <t>2024/10/27 個数</t>
  </si>
  <si>
    <t>2024/10/28 個数</t>
  </si>
  <si>
    <t>2024/10/29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</si>
</sst>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58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78"/>
  <sheetViews>
    <sheetView tabSelected="1" zoomScale="106" zoomScaleNormal="106" workbookViewId="0">
      <selection activeCell="H6" sqref="H6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188</v>
      </c>
      <c r="B1" s="24">
        <v>45552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1" t="s">
        <v>105</v>
      </c>
      <c r="Y2" s="132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3">
        <v>1</v>
      </c>
      <c r="B3" s="136">
        <v>19</v>
      </c>
      <c r="C3" s="85" t="s">
        <v>189</v>
      </c>
      <c r="D3" s="109" t="s">
        <v>190</v>
      </c>
      <c r="E3" s="15" t="s">
        <v>191</v>
      </c>
      <c r="F3" s="14"/>
      <c r="G3" s="12" t="s">
        <v>192</v>
      </c>
      <c r="H3" s="13"/>
      <c r="I3" s="13"/>
      <c r="J3" s="13"/>
      <c r="K3" s="13"/>
      <c r="L3" s="13"/>
      <c r="M3" s="13">
        <v>1</v>
      </c>
      <c r="N3" s="13">
        <v>1</v>
      </c>
      <c r="O3" s="13"/>
      <c r="P3" s="13"/>
      <c r="Q3" s="13">
        <v>1</v>
      </c>
      <c r="R3" s="13"/>
      <c r="S3" s="13"/>
      <c r="T3" s="25">
        <v>45593</v>
      </c>
      <c r="U3" s="13" t="s">
        <v>193</v>
      </c>
      <c r="V3">
        <v>1</v>
      </c>
      <c r="X3" s="51" t="s">
        <v>106</v>
      </c>
      <c r="Y3" s="52">
        <f>COUNTIF(U3:U27,"K")</f>
        <v>7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4"/>
      <c r="B4" s="137"/>
      <c r="C4" s="85" t="s">
        <v>196</v>
      </c>
      <c r="D4" s="109" t="s">
        <v>195</v>
      </c>
      <c r="E4" s="15" t="s">
        <v>191</v>
      </c>
      <c r="F4" s="16"/>
      <c r="G4" s="12" t="s">
        <v>192</v>
      </c>
      <c r="H4" s="15"/>
      <c r="I4" s="13"/>
      <c r="J4" s="15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45575</v>
      </c>
      <c r="U4" s="13" t="s">
        <v>194</v>
      </c>
      <c r="V4">
        <v>2</v>
      </c>
      <c r="X4" s="51" t="s">
        <v>107</v>
      </c>
      <c r="Y4" s="52">
        <f>COUNTIF(U3:U27,"R")</f>
        <v>6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4"/>
      <c r="B5" s="137"/>
      <c r="C5" s="85" t="s">
        <v>197</v>
      </c>
      <c r="D5" s="109" t="s">
        <v>195</v>
      </c>
      <c r="E5" s="15" t="s">
        <v>210</v>
      </c>
      <c r="F5" s="16"/>
      <c r="G5" s="12" t="s">
        <v>192</v>
      </c>
      <c r="H5" s="13"/>
      <c r="I5" s="13"/>
      <c r="J5" s="15"/>
      <c r="K5" s="15"/>
      <c r="L5" s="17"/>
      <c r="M5" s="17"/>
      <c r="N5" s="13"/>
      <c r="O5" s="17">
        <v>1</v>
      </c>
      <c r="P5" s="17">
        <v>1</v>
      </c>
      <c r="Q5" s="17">
        <v>1</v>
      </c>
      <c r="R5" s="17">
        <v>1</v>
      </c>
      <c r="S5" s="15"/>
      <c r="T5" s="25">
        <v>45575</v>
      </c>
      <c r="U5" s="13" t="s">
        <v>211</v>
      </c>
      <c r="V5">
        <v>3</v>
      </c>
      <c r="X5" s="53" t="s">
        <v>108</v>
      </c>
      <c r="Y5" s="54">
        <f>COUNTIF(U3:U27,"J")</f>
        <v>2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4"/>
      <c r="B6" s="137"/>
      <c r="C6" s="85" t="s">
        <v>198</v>
      </c>
      <c r="D6" s="109" t="s">
        <v>213</v>
      </c>
      <c r="E6" s="15" t="s">
        <v>212</v>
      </c>
      <c r="F6" s="16"/>
      <c r="G6" s="12" t="s">
        <v>192</v>
      </c>
      <c r="H6" s="15"/>
      <c r="I6" s="13"/>
      <c r="J6" s="13"/>
      <c r="K6" s="15"/>
      <c r="L6" s="17"/>
      <c r="M6" s="17">
        <v>1</v>
      </c>
      <c r="N6" s="13"/>
      <c r="O6" s="17"/>
      <c r="P6" s="17"/>
      <c r="Q6" s="17">
        <v>1</v>
      </c>
      <c r="R6" s="17"/>
      <c r="S6" s="15"/>
      <c r="T6" s="25">
        <v>45575</v>
      </c>
      <c r="U6" s="13" t="s">
        <v>193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4"/>
      <c r="B7" s="137"/>
      <c r="C7" s="85" t="s">
        <v>199</v>
      </c>
      <c r="D7" s="109" t="s">
        <v>214</v>
      </c>
      <c r="E7" s="15" t="s">
        <v>215</v>
      </c>
      <c r="F7" s="16"/>
      <c r="G7" s="12" t="s">
        <v>192</v>
      </c>
      <c r="H7" s="15"/>
      <c r="I7" s="13"/>
      <c r="J7" s="15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45578</v>
      </c>
      <c r="U7" s="13" t="s">
        <v>194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4"/>
      <c r="B8" s="137"/>
      <c r="C8" s="85" t="s">
        <v>200</v>
      </c>
      <c r="D8" s="109" t="s">
        <v>214</v>
      </c>
      <c r="E8" s="15" t="s">
        <v>216</v>
      </c>
      <c r="F8" s="16"/>
      <c r="G8" s="12" t="s">
        <v>192</v>
      </c>
      <c r="H8" s="13"/>
      <c r="I8" s="13"/>
      <c r="J8" s="15">
        <v>1</v>
      </c>
      <c r="K8" s="15"/>
      <c r="L8" s="17">
        <v>1</v>
      </c>
      <c r="M8" s="17"/>
      <c r="N8" s="13"/>
      <c r="O8" s="17"/>
      <c r="P8" s="17"/>
      <c r="Q8" s="17"/>
      <c r="R8" s="17"/>
      <c r="S8" s="15"/>
      <c r="T8" s="25">
        <v>45578</v>
      </c>
      <c r="U8" s="13" t="s">
        <v>194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4"/>
      <c r="B9" s="137"/>
      <c r="C9" s="85" t="s">
        <v>201</v>
      </c>
      <c r="D9" s="109" t="s">
        <v>214</v>
      </c>
      <c r="E9" s="15" t="s">
        <v>217</v>
      </c>
      <c r="F9" s="16"/>
      <c r="G9" s="12" t="s">
        <v>192</v>
      </c>
      <c r="H9" s="15"/>
      <c r="I9" s="13"/>
      <c r="J9" s="15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45578</v>
      </c>
      <c r="U9" s="13" t="s">
        <v>194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4"/>
      <c r="B10" s="137"/>
      <c r="C10" s="85" t="s">
        <v>202</v>
      </c>
      <c r="D10" s="109" t="s">
        <v>214</v>
      </c>
      <c r="E10" s="15" t="s">
        <v>218</v>
      </c>
      <c r="F10" s="16"/>
      <c r="G10" s="12" t="s">
        <v>192</v>
      </c>
      <c r="H10" s="15"/>
      <c r="I10" s="13"/>
      <c r="J10" s="15">
        <v>1</v>
      </c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45578</v>
      </c>
      <c r="U10" s="13" t="s">
        <v>194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4"/>
      <c r="B11" s="137"/>
      <c r="C11" s="85" t="s">
        <v>203</v>
      </c>
      <c r="D11" s="109" t="s">
        <v>214</v>
      </c>
      <c r="E11" s="15" t="s">
        <v>217</v>
      </c>
      <c r="F11" s="16"/>
      <c r="G11" s="12" t="s">
        <v>192</v>
      </c>
      <c r="H11" s="15"/>
      <c r="I11" s="13"/>
      <c r="J11" s="15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45578</v>
      </c>
      <c r="U11" s="13" t="s">
        <v>194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4"/>
      <c r="B12" s="137"/>
      <c r="C12" s="85" t="s">
        <v>204</v>
      </c>
      <c r="D12" s="109" t="s">
        <v>214</v>
      </c>
      <c r="E12" s="15" t="s">
        <v>219</v>
      </c>
      <c r="F12" s="16"/>
      <c r="G12" s="12" t="s">
        <v>192</v>
      </c>
      <c r="H12" s="15"/>
      <c r="I12" s="15"/>
      <c r="J12" s="15"/>
      <c r="K12" s="15"/>
      <c r="L12" s="17"/>
      <c r="M12" s="17"/>
      <c r="N12" s="17"/>
      <c r="O12" s="17"/>
      <c r="P12" s="17"/>
      <c r="Q12" s="17"/>
      <c r="R12" s="17"/>
      <c r="S12" s="15">
        <v>1</v>
      </c>
      <c r="T12" s="25">
        <v>45578</v>
      </c>
      <c r="U12" s="13" t="s">
        <v>194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4"/>
      <c r="B13" s="137"/>
      <c r="C13" s="85" t="s">
        <v>205</v>
      </c>
      <c r="D13" s="109" t="s">
        <v>214</v>
      </c>
      <c r="E13" s="15" t="s">
        <v>218</v>
      </c>
      <c r="F13" s="16"/>
      <c r="G13" s="12" t="s">
        <v>192</v>
      </c>
      <c r="H13" s="15"/>
      <c r="I13" s="15"/>
      <c r="J13" s="15"/>
      <c r="K13" s="15"/>
      <c r="L13" s="17"/>
      <c r="M13" s="17">
        <v>1</v>
      </c>
      <c r="N13" s="17">
        <v>1</v>
      </c>
      <c r="O13" s="17"/>
      <c r="P13" s="17"/>
      <c r="Q13" s="17">
        <v>1</v>
      </c>
      <c r="R13" s="17"/>
      <c r="S13" s="15"/>
      <c r="T13" s="25">
        <v>45587</v>
      </c>
      <c r="U13" s="13" t="s">
        <v>193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4"/>
      <c r="B14" s="137"/>
      <c r="C14" s="85" t="s">
        <v>206</v>
      </c>
      <c r="D14" s="109" t="s">
        <v>214</v>
      </c>
      <c r="E14" s="15" t="s">
        <v>217</v>
      </c>
      <c r="F14" s="16"/>
      <c r="G14" s="12" t="s">
        <v>192</v>
      </c>
      <c r="H14" s="15"/>
      <c r="I14" s="15"/>
      <c r="J14" s="15"/>
      <c r="K14" s="15"/>
      <c r="L14" s="17"/>
      <c r="M14" s="17">
        <v>1</v>
      </c>
      <c r="N14" s="17">
        <v>1</v>
      </c>
      <c r="O14" s="17"/>
      <c r="P14" s="17"/>
      <c r="Q14" s="17"/>
      <c r="R14" s="17"/>
      <c r="S14" s="15"/>
      <c r="T14" s="25">
        <v>45587</v>
      </c>
      <c r="U14" s="13" t="s">
        <v>193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4"/>
      <c r="B15" s="137"/>
      <c r="C15" s="85" t="s">
        <v>207</v>
      </c>
      <c r="D15" s="109" t="s">
        <v>214</v>
      </c>
      <c r="E15" s="15" t="s">
        <v>217</v>
      </c>
      <c r="F15" s="16"/>
      <c r="G15" s="12" t="s">
        <v>192</v>
      </c>
      <c r="H15" s="15"/>
      <c r="I15" s="15"/>
      <c r="J15" s="15"/>
      <c r="K15" s="15"/>
      <c r="L15" s="17"/>
      <c r="M15" s="17">
        <v>1</v>
      </c>
      <c r="N15" s="17">
        <v>1</v>
      </c>
      <c r="O15" s="17"/>
      <c r="P15" s="17"/>
      <c r="Q15" s="17">
        <v>1</v>
      </c>
      <c r="R15" s="17"/>
      <c r="S15" s="15"/>
      <c r="T15" s="25">
        <v>45587</v>
      </c>
      <c r="U15" s="13" t="s">
        <v>193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4"/>
      <c r="B16" s="137"/>
      <c r="C16" s="85" t="s">
        <v>208</v>
      </c>
      <c r="D16" s="109" t="s">
        <v>214</v>
      </c>
      <c r="E16" s="15" t="s">
        <v>217</v>
      </c>
      <c r="F16" s="16"/>
      <c r="G16" s="12" t="s">
        <v>192</v>
      </c>
      <c r="H16" s="15"/>
      <c r="I16" s="15"/>
      <c r="J16" s="15"/>
      <c r="K16" s="15"/>
      <c r="L16" s="17"/>
      <c r="M16" s="17">
        <v>1</v>
      </c>
      <c r="N16" s="17">
        <v>1</v>
      </c>
      <c r="O16" s="17"/>
      <c r="P16" s="17"/>
      <c r="Q16" s="17">
        <v>1</v>
      </c>
      <c r="R16" s="17"/>
      <c r="S16" s="15"/>
      <c r="T16" s="25">
        <v>45587</v>
      </c>
      <c r="U16" s="13" t="s">
        <v>193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4"/>
      <c r="B17" s="137"/>
      <c r="C17" s="85" t="s">
        <v>209</v>
      </c>
      <c r="D17" s="106" t="s">
        <v>214</v>
      </c>
      <c r="E17" s="15" t="s">
        <v>210</v>
      </c>
      <c r="F17" s="16"/>
      <c r="G17" s="15" t="s">
        <v>192</v>
      </c>
      <c r="H17" s="15"/>
      <c r="I17" s="15"/>
      <c r="J17" s="15"/>
      <c r="K17" s="15"/>
      <c r="L17" s="17"/>
      <c r="M17" s="17"/>
      <c r="N17" s="17"/>
      <c r="O17" s="17"/>
      <c r="P17" s="17">
        <v>2</v>
      </c>
      <c r="Q17" s="17">
        <v>1</v>
      </c>
      <c r="R17" s="17">
        <v>1</v>
      </c>
      <c r="S17" s="15"/>
      <c r="T17" s="25">
        <v>45587</v>
      </c>
      <c r="U17" s="15" t="s">
        <v>211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4"/>
      <c r="B18" s="137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4"/>
      <c r="B19" s="137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4"/>
      <c r="B20" s="137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4"/>
      <c r="B21" s="137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4"/>
      <c r="B22" s="137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4"/>
      <c r="B23" s="137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4"/>
      <c r="B24" s="137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4"/>
      <c r="B25" s="137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229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4"/>
      <c r="B26" s="137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5"/>
      <c r="B27" s="138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119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6</v>
      </c>
      <c r="K28" s="29">
        <f t="shared" si="0"/>
        <v>5</v>
      </c>
      <c r="L28" s="29">
        <f t="shared" si="0"/>
        <v>1</v>
      </c>
      <c r="M28" s="29">
        <f t="shared" si="0"/>
        <v>6</v>
      </c>
      <c r="N28" s="29">
        <f t="shared" si="0"/>
        <v>5</v>
      </c>
      <c r="O28" s="29">
        <f t="shared" si="0"/>
        <v>1</v>
      </c>
      <c r="P28" s="29">
        <f t="shared" si="0"/>
        <v>3</v>
      </c>
      <c r="Q28" s="29">
        <f t="shared" si="0"/>
        <v>7</v>
      </c>
      <c r="R28" s="29">
        <f t="shared" si="0"/>
        <v>2</v>
      </c>
      <c r="S28" s="29">
        <f t="shared" si="0"/>
        <v>1</v>
      </c>
      <c r="T28" s="29" t="s">
        <v>64</v>
      </c>
      <c r="U28" s="29">
        <f>COUNTIF(H3:H27,"M")</f>
        <v>0</v>
      </c>
      <c r="AA28" s="147" t="s">
        <v>104</v>
      </c>
      <c r="AB28" s="14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37</v>
      </c>
      <c r="T29" s="29"/>
      <c r="U29" s="29"/>
      <c r="X29" t="s">
        <v>136</v>
      </c>
      <c r="AA29" s="149"/>
      <c r="AB29" s="150"/>
      <c r="AC29" s="142">
        <f>SUM(AC28:AE28)</f>
        <v>0</v>
      </c>
      <c r="AD29" s="143"/>
      <c r="AE29" s="144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AYG088</v>
      </c>
      <c r="B31" s="24">
        <f>B1</f>
        <v>45552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1" t="s">
        <v>119</v>
      </c>
      <c r="Y32" s="132"/>
      <c r="AA32" s="151" t="s">
        <v>47</v>
      </c>
      <c r="AB32" s="152"/>
    </row>
    <row r="33" spans="1:29" ht="19.5" thickTop="1" x14ac:dyDescent="0.4">
      <c r="A33" s="133">
        <v>2</v>
      </c>
      <c r="B33" s="136">
        <v>18.8</v>
      </c>
      <c r="C33" s="85" t="s">
        <v>220</v>
      </c>
      <c r="D33" s="109" t="s">
        <v>214</v>
      </c>
      <c r="E33" s="109" t="s">
        <v>215</v>
      </c>
      <c r="F33" s="16"/>
      <c r="G33" s="12" t="s">
        <v>192</v>
      </c>
      <c r="H33" s="15"/>
      <c r="I33" s="15"/>
      <c r="J33" s="15">
        <v>1</v>
      </c>
      <c r="K33" s="15">
        <v>1</v>
      </c>
      <c r="L33" s="17"/>
      <c r="M33" s="17"/>
      <c r="N33" s="17"/>
      <c r="O33" s="17"/>
      <c r="P33" s="17"/>
      <c r="Q33" s="17"/>
      <c r="R33" s="17"/>
      <c r="S33" s="15"/>
      <c r="T33" s="25">
        <v>45587</v>
      </c>
      <c r="U33" s="13" t="s">
        <v>194</v>
      </c>
      <c r="V33">
        <v>1</v>
      </c>
      <c r="X33" s="51" t="s">
        <v>106</v>
      </c>
      <c r="Y33" s="52">
        <f>COUNTIF(U33:U57,"K")</f>
        <v>10</v>
      </c>
      <c r="AA33" s="31" t="s">
        <v>46</v>
      </c>
      <c r="AB33" s="32">
        <f>J28+J178+J148+J118+J208+J238+J268+J298+J328+J358</f>
        <v>38</v>
      </c>
    </row>
    <row r="34" spans="1:29" x14ac:dyDescent="0.4">
      <c r="A34" s="134"/>
      <c r="B34" s="137"/>
      <c r="C34" s="85" t="s">
        <v>222</v>
      </c>
      <c r="D34" s="109" t="s">
        <v>214</v>
      </c>
      <c r="E34" s="109" t="s">
        <v>221</v>
      </c>
      <c r="F34" s="16"/>
      <c r="G34" s="12" t="s">
        <v>192</v>
      </c>
      <c r="H34" s="15"/>
      <c r="I34" s="13"/>
      <c r="J34" s="15"/>
      <c r="K34" s="15"/>
      <c r="L34" s="17"/>
      <c r="M34" s="17"/>
      <c r="N34" s="17"/>
      <c r="O34" s="17">
        <v>1</v>
      </c>
      <c r="P34" s="17">
        <v>1</v>
      </c>
      <c r="Q34" s="17"/>
      <c r="R34" s="17"/>
      <c r="S34" s="15"/>
      <c r="T34" s="25">
        <v>45587</v>
      </c>
      <c r="U34" s="13" t="s">
        <v>211</v>
      </c>
      <c r="V34">
        <v>2</v>
      </c>
      <c r="X34" s="51" t="s">
        <v>107</v>
      </c>
      <c r="Y34" s="52">
        <f>COUNTIF(U33:U57,"R")</f>
        <v>3</v>
      </c>
      <c r="AA34" s="31" t="s">
        <v>48</v>
      </c>
      <c r="AB34" s="32">
        <f>K28+K178+K148+K118+K208+K238+K268+K298+K328+K358</f>
        <v>26</v>
      </c>
    </row>
    <row r="35" spans="1:29" ht="19.5" thickBot="1" x14ac:dyDescent="0.45">
      <c r="A35" s="134"/>
      <c r="B35" s="137"/>
      <c r="C35" s="85" t="s">
        <v>223</v>
      </c>
      <c r="D35" s="109" t="s">
        <v>224</v>
      </c>
      <c r="E35" s="109" t="s">
        <v>210</v>
      </c>
      <c r="F35" s="16"/>
      <c r="G35" s="12" t="s">
        <v>192</v>
      </c>
      <c r="H35" s="13"/>
      <c r="I35" s="13"/>
      <c r="J35" s="15"/>
      <c r="K35" s="15"/>
      <c r="L35" s="17"/>
      <c r="M35" s="17"/>
      <c r="N35" s="17">
        <v>1</v>
      </c>
      <c r="O35" s="17">
        <v>1</v>
      </c>
      <c r="P35" s="17"/>
      <c r="Q35" s="17">
        <v>1</v>
      </c>
      <c r="R35" s="17"/>
      <c r="S35" s="15"/>
      <c r="T35" s="25">
        <v>45578</v>
      </c>
      <c r="U35" s="13" t="s">
        <v>211</v>
      </c>
      <c r="V35">
        <v>3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9</v>
      </c>
    </row>
    <row r="36" spans="1:29" x14ac:dyDescent="0.4">
      <c r="A36" s="134"/>
      <c r="B36" s="137"/>
      <c r="C36" s="85" t="s">
        <v>225</v>
      </c>
      <c r="D36" s="109" t="s">
        <v>214</v>
      </c>
      <c r="E36" s="109" t="s">
        <v>218</v>
      </c>
      <c r="F36" s="16"/>
      <c r="G36" s="12" t="s">
        <v>192</v>
      </c>
      <c r="H36" s="15" t="s">
        <v>193</v>
      </c>
      <c r="I36" s="13"/>
      <c r="J36" s="13"/>
      <c r="K36" s="15"/>
      <c r="L36" s="17"/>
      <c r="M36" s="17"/>
      <c r="N36" s="17"/>
      <c r="O36" s="17"/>
      <c r="P36" s="17"/>
      <c r="Q36" s="17"/>
      <c r="R36" s="17"/>
      <c r="S36" s="15"/>
      <c r="T36" s="25">
        <v>45578</v>
      </c>
      <c r="U36" s="13" t="s">
        <v>193</v>
      </c>
      <c r="V36">
        <v>4</v>
      </c>
      <c r="AA36" s="31" t="s">
        <v>50</v>
      </c>
      <c r="AB36" s="32">
        <f>M28+M178+M148+M118+M208+M238+M268+M298+M328+M358</f>
        <v>27</v>
      </c>
    </row>
    <row r="37" spans="1:29" x14ac:dyDescent="0.4">
      <c r="A37" s="134"/>
      <c r="B37" s="137"/>
      <c r="C37" s="85" t="s">
        <v>226</v>
      </c>
      <c r="D37" s="109" t="s">
        <v>214</v>
      </c>
      <c r="E37" s="109" t="s">
        <v>219</v>
      </c>
      <c r="F37" s="16"/>
      <c r="G37" s="12" t="s">
        <v>192</v>
      </c>
      <c r="H37" s="15"/>
      <c r="I37" s="15"/>
      <c r="J37" s="15"/>
      <c r="K37" s="15"/>
      <c r="L37" s="17"/>
      <c r="M37" s="17"/>
      <c r="N37" s="17"/>
      <c r="O37" s="17"/>
      <c r="P37" s="17"/>
      <c r="Q37" s="17"/>
      <c r="R37" s="17"/>
      <c r="S37" s="15">
        <v>1</v>
      </c>
      <c r="T37" s="25">
        <v>45575</v>
      </c>
      <c r="U37" s="13" t="s">
        <v>194</v>
      </c>
      <c r="V37">
        <v>5</v>
      </c>
      <c r="AA37" s="31" t="s">
        <v>51</v>
      </c>
      <c r="AB37" s="32">
        <f>N28+N178+N148+N118+N208+N238+N268+N298+N328+N358</f>
        <v>24</v>
      </c>
    </row>
    <row r="38" spans="1:29" x14ac:dyDescent="0.4">
      <c r="A38" s="134"/>
      <c r="B38" s="137"/>
      <c r="C38" s="85" t="s">
        <v>227</v>
      </c>
      <c r="D38" s="109" t="s">
        <v>214</v>
      </c>
      <c r="E38" s="109" t="s">
        <v>219</v>
      </c>
      <c r="F38" s="16"/>
      <c r="G38" s="12" t="s">
        <v>192</v>
      </c>
      <c r="H38" s="13"/>
      <c r="I38" s="15"/>
      <c r="J38" s="15"/>
      <c r="K38" s="15"/>
      <c r="L38" s="17"/>
      <c r="M38" s="17"/>
      <c r="N38" s="17"/>
      <c r="O38" s="17"/>
      <c r="P38" s="17">
        <v>1</v>
      </c>
      <c r="Q38" s="17"/>
      <c r="R38" s="17"/>
      <c r="S38" s="15">
        <v>1</v>
      </c>
      <c r="T38" s="25">
        <v>45575</v>
      </c>
      <c r="U38" s="13" t="s">
        <v>194</v>
      </c>
      <c r="V38">
        <v>6</v>
      </c>
      <c r="AA38" s="31" t="s">
        <v>52</v>
      </c>
      <c r="AB38" s="32">
        <f>O28+O178+O148+O118+O208+O238+O268+O298+O328+O358</f>
        <v>10</v>
      </c>
    </row>
    <row r="39" spans="1:29" x14ac:dyDescent="0.4">
      <c r="A39" s="134"/>
      <c r="B39" s="137"/>
      <c r="C39" s="85" t="s">
        <v>228</v>
      </c>
      <c r="D39" s="109" t="s">
        <v>214</v>
      </c>
      <c r="E39" s="109" t="s">
        <v>219</v>
      </c>
      <c r="F39" s="16"/>
      <c r="G39" s="12" t="s">
        <v>192</v>
      </c>
      <c r="H39" s="15"/>
      <c r="I39" s="15"/>
      <c r="J39" s="15"/>
      <c r="K39" s="15"/>
      <c r="L39" s="17"/>
      <c r="M39" s="17"/>
      <c r="N39" s="17"/>
      <c r="O39" s="17"/>
      <c r="P39" s="17"/>
      <c r="Q39" s="17"/>
      <c r="R39" s="17"/>
      <c r="S39" s="15">
        <v>1</v>
      </c>
      <c r="T39" s="25">
        <v>45575</v>
      </c>
      <c r="U39" s="13" t="s">
        <v>194</v>
      </c>
      <c r="V39">
        <v>7</v>
      </c>
      <c r="AA39" s="31" t="s">
        <v>53</v>
      </c>
      <c r="AB39" s="32">
        <f>P28+P178+P148+P118+P208+P238+P268+P298+P328+P358</f>
        <v>11</v>
      </c>
    </row>
    <row r="40" spans="1:29" x14ac:dyDescent="0.4">
      <c r="A40" s="134"/>
      <c r="B40" s="137"/>
      <c r="C40" s="85" t="s">
        <v>229</v>
      </c>
      <c r="D40" s="109" t="s">
        <v>214</v>
      </c>
      <c r="E40" s="109" t="s">
        <v>191</v>
      </c>
      <c r="F40" s="16"/>
      <c r="G40" s="12" t="s">
        <v>192</v>
      </c>
      <c r="H40" s="15"/>
      <c r="I40" s="15"/>
      <c r="J40" s="15">
        <v>1</v>
      </c>
      <c r="K40" s="15">
        <v>1</v>
      </c>
      <c r="L40" s="17"/>
      <c r="M40" s="17"/>
      <c r="N40" s="17"/>
      <c r="O40" s="17"/>
      <c r="P40" s="17"/>
      <c r="Q40" s="17"/>
      <c r="R40" s="17"/>
      <c r="S40" s="15"/>
      <c r="T40" s="25">
        <v>45578</v>
      </c>
      <c r="U40" s="13" t="s">
        <v>194</v>
      </c>
      <c r="V40">
        <v>8</v>
      </c>
      <c r="AA40" s="31" t="s">
        <v>54</v>
      </c>
      <c r="AB40" s="32">
        <f>Q28+Q178+Q148+Q118+Q208+Q238+Q268+Q298+Q328+Q358</f>
        <v>28</v>
      </c>
    </row>
    <row r="41" spans="1:29" x14ac:dyDescent="0.4">
      <c r="A41" s="134"/>
      <c r="B41" s="137"/>
      <c r="C41" s="85" t="s">
        <v>230</v>
      </c>
      <c r="D41" s="109" t="s">
        <v>214</v>
      </c>
      <c r="E41" s="109" t="s">
        <v>217</v>
      </c>
      <c r="F41" s="16"/>
      <c r="G41" s="12" t="s">
        <v>192</v>
      </c>
      <c r="H41" s="15"/>
      <c r="I41" s="15"/>
      <c r="J41" s="15">
        <v>1</v>
      </c>
      <c r="K41" s="15">
        <v>1</v>
      </c>
      <c r="L41" s="17"/>
      <c r="M41" s="17"/>
      <c r="N41" s="17"/>
      <c r="O41" s="17"/>
      <c r="P41" s="17"/>
      <c r="Q41" s="17"/>
      <c r="R41" s="17"/>
      <c r="S41" s="15"/>
      <c r="T41" s="25">
        <v>45578</v>
      </c>
      <c r="U41" s="13" t="s">
        <v>194</v>
      </c>
      <c r="V41">
        <v>9</v>
      </c>
      <c r="AA41" s="31" t="s">
        <v>55</v>
      </c>
      <c r="AB41" s="32">
        <f>R28+R178+R148+R118+R208+R238+R268+R298+R328+R358</f>
        <v>8</v>
      </c>
      <c r="AC41" t="s">
        <v>123</v>
      </c>
    </row>
    <row r="42" spans="1:29" ht="19.5" thickBot="1" x14ac:dyDescent="0.45">
      <c r="A42" s="134"/>
      <c r="B42" s="137"/>
      <c r="C42" s="85" t="s">
        <v>232</v>
      </c>
      <c r="D42" s="109" t="s">
        <v>214</v>
      </c>
      <c r="E42" s="109" t="s">
        <v>231</v>
      </c>
      <c r="F42" s="16"/>
      <c r="G42" s="12" t="s">
        <v>192</v>
      </c>
      <c r="H42" s="15"/>
      <c r="I42" s="15"/>
      <c r="J42" s="15">
        <v>1</v>
      </c>
      <c r="K42" s="15">
        <v>1</v>
      </c>
      <c r="L42" s="17"/>
      <c r="M42" s="17"/>
      <c r="N42" s="17"/>
      <c r="O42" s="17"/>
      <c r="P42" s="17"/>
      <c r="Q42" s="17"/>
      <c r="R42" s="17"/>
      <c r="S42" s="15"/>
      <c r="T42" s="25">
        <v>45578</v>
      </c>
      <c r="U42" s="13" t="s">
        <v>194</v>
      </c>
      <c r="V42">
        <v>10</v>
      </c>
      <c r="AA42" s="33" t="s">
        <v>56</v>
      </c>
      <c r="AB42" s="34">
        <f>S28+S178+S148+S118+S208+S238+S268+S298+S328+S358</f>
        <v>5</v>
      </c>
      <c r="AC42" s="73">
        <f>SUM(AB33:AB42)</f>
        <v>186</v>
      </c>
    </row>
    <row r="43" spans="1:29" ht="19.5" thickBot="1" x14ac:dyDescent="0.45">
      <c r="A43" s="134"/>
      <c r="B43" s="137"/>
      <c r="C43" s="85" t="s">
        <v>233</v>
      </c>
      <c r="D43" s="109" t="s">
        <v>214</v>
      </c>
      <c r="E43" s="109" t="s">
        <v>219</v>
      </c>
      <c r="F43" s="16"/>
      <c r="G43" s="12" t="s">
        <v>192</v>
      </c>
      <c r="H43" s="15"/>
      <c r="I43" s="15"/>
      <c r="J43" s="15"/>
      <c r="K43" s="15"/>
      <c r="L43" s="17"/>
      <c r="M43" s="17"/>
      <c r="N43" s="17"/>
      <c r="O43" s="17">
        <v>1</v>
      </c>
      <c r="P43" s="17"/>
      <c r="Q43" s="17"/>
      <c r="R43" s="17"/>
      <c r="S43" s="15">
        <v>1</v>
      </c>
      <c r="T43" s="25">
        <v>45578</v>
      </c>
      <c r="U43" s="13" t="s">
        <v>194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4"/>
      <c r="B44" s="137"/>
      <c r="C44" s="85" t="s">
        <v>234</v>
      </c>
      <c r="D44" s="109" t="s">
        <v>214</v>
      </c>
      <c r="E44" s="109" t="s">
        <v>36</v>
      </c>
      <c r="F44" s="16"/>
      <c r="G44" s="12" t="s">
        <v>192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45578</v>
      </c>
      <c r="U44" s="13" t="s">
        <v>194</v>
      </c>
      <c r="V44">
        <v>12</v>
      </c>
      <c r="AA44" s="103" t="s">
        <v>66</v>
      </c>
      <c r="AB44" s="104">
        <f>H28+H58+H88+H118+H148+H178+H208+H238+H268+H298+H328+H358</f>
        <v>2</v>
      </c>
    </row>
    <row r="45" spans="1:29" x14ac:dyDescent="0.4">
      <c r="A45" s="134"/>
      <c r="B45" s="137"/>
      <c r="C45" s="85" t="s">
        <v>235</v>
      </c>
      <c r="D45" s="109" t="s">
        <v>214</v>
      </c>
      <c r="E45" s="109" t="s">
        <v>39</v>
      </c>
      <c r="F45" s="16"/>
      <c r="G45" s="12" t="s">
        <v>192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45578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2</v>
      </c>
    </row>
    <row r="46" spans="1:29" x14ac:dyDescent="0.4">
      <c r="A46" s="134"/>
      <c r="B46" s="137"/>
      <c r="C46" s="85" t="s">
        <v>237</v>
      </c>
      <c r="D46" s="109" t="s">
        <v>236</v>
      </c>
      <c r="E46" s="109" t="s">
        <v>75</v>
      </c>
      <c r="F46" s="16"/>
      <c r="G46" s="12" t="s">
        <v>192</v>
      </c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>
        <v>45581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4"/>
      <c r="B47" s="137"/>
      <c r="C47" s="85" t="s">
        <v>238</v>
      </c>
      <c r="D47" s="109" t="s">
        <v>239</v>
      </c>
      <c r="E47" s="109" t="s">
        <v>75</v>
      </c>
      <c r="F47" s="16"/>
      <c r="G47" s="12" t="s">
        <v>192</v>
      </c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>
        <v>45574</v>
      </c>
      <c r="U47" s="13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4"/>
      <c r="B48" s="137"/>
      <c r="C48" s="85" t="s">
        <v>241</v>
      </c>
      <c r="D48" s="109" t="s">
        <v>239</v>
      </c>
      <c r="E48" s="110" t="s">
        <v>40</v>
      </c>
      <c r="F48" s="16"/>
      <c r="G48" s="12" t="s">
        <v>240</v>
      </c>
      <c r="H48" s="15"/>
      <c r="I48" s="15"/>
      <c r="J48" s="18"/>
      <c r="K48" s="15"/>
      <c r="L48" s="19"/>
      <c r="M48" s="19"/>
      <c r="N48" s="19"/>
      <c r="O48" s="19">
        <v>1</v>
      </c>
      <c r="P48" s="19">
        <v>1</v>
      </c>
      <c r="Q48" s="19"/>
      <c r="R48" s="19"/>
      <c r="S48" s="15"/>
      <c r="T48" s="25">
        <v>45574</v>
      </c>
      <c r="U48" s="13" t="s">
        <v>148</v>
      </c>
      <c r="V48" s="73">
        <v>16</v>
      </c>
    </row>
    <row r="49" spans="1:28" x14ac:dyDescent="0.4">
      <c r="A49" s="134"/>
      <c r="B49" s="137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110</v>
      </c>
    </row>
    <row r="50" spans="1:28" ht="19.5" thickBot="1" x14ac:dyDescent="0.45">
      <c r="A50" s="134"/>
      <c r="B50" s="137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8</v>
      </c>
    </row>
    <row r="51" spans="1:28" ht="19.5" thickBot="1" x14ac:dyDescent="0.45">
      <c r="A51" s="134"/>
      <c r="B51" s="137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4"/>
      <c r="B52" s="137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3">
        <v>76</v>
      </c>
    </row>
    <row r="53" spans="1:28" ht="19.5" thickBot="1" x14ac:dyDescent="0.45">
      <c r="A53" s="134"/>
      <c r="B53" s="137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4"/>
    </row>
    <row r="54" spans="1:28" ht="19.5" thickBot="1" x14ac:dyDescent="0.45">
      <c r="A54" s="134"/>
      <c r="B54" s="137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4"/>
      <c r="B55" s="137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1" t="s">
        <v>73</v>
      </c>
      <c r="AB55" s="45"/>
    </row>
    <row r="56" spans="1:28" ht="19.5" thickBot="1" x14ac:dyDescent="0.45">
      <c r="A56" s="134"/>
      <c r="B56" s="137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6"/>
      <c r="AB56" s="46"/>
    </row>
    <row r="57" spans="1:28" ht="19.5" thickBot="1" x14ac:dyDescent="0.45">
      <c r="A57" s="135"/>
      <c r="B57" s="138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1"/>
      <c r="AB57" s="45">
        <v>7</v>
      </c>
    </row>
    <row r="58" spans="1:28" ht="19.5" thickBot="1" x14ac:dyDescent="0.45">
      <c r="A58" s="27"/>
      <c r="B58" s="28"/>
      <c r="C58" s="88">
        <f>COUNTA(C33:C57)</f>
        <v>16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6</v>
      </c>
      <c r="K58" s="29">
        <f t="shared" si="1"/>
        <v>6</v>
      </c>
      <c r="L58" s="29">
        <f t="shared" si="1"/>
        <v>0</v>
      </c>
      <c r="M58" s="29">
        <f t="shared" si="1"/>
        <v>0</v>
      </c>
      <c r="N58" s="29">
        <f t="shared" si="1"/>
        <v>1</v>
      </c>
      <c r="O58" s="29">
        <f t="shared" si="1"/>
        <v>4</v>
      </c>
      <c r="P58" s="29">
        <f t="shared" si="1"/>
        <v>3</v>
      </c>
      <c r="Q58" s="29">
        <f t="shared" si="1"/>
        <v>1</v>
      </c>
      <c r="R58" s="29">
        <f t="shared" si="1"/>
        <v>0</v>
      </c>
      <c r="S58" s="29">
        <f t="shared" si="1"/>
        <v>4</v>
      </c>
      <c r="T58" s="29" t="s">
        <v>64</v>
      </c>
      <c r="U58" s="29">
        <f>COUNTIF(H33:H57,"M")</f>
        <v>0</v>
      </c>
      <c r="AA58" s="14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1</v>
      </c>
      <c r="H59" s="29">
        <f>COUNTIF(H33:H57,"R")</f>
        <v>1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25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AYG088</v>
      </c>
      <c r="B61" s="24">
        <f>B1</f>
        <v>45552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1" t="s">
        <v>118</v>
      </c>
      <c r="Y62" s="132"/>
    </row>
    <row r="63" spans="1:28" ht="20.25" thickTop="1" thickBot="1" x14ac:dyDescent="0.45">
      <c r="A63" s="133">
        <v>3</v>
      </c>
      <c r="B63" s="139">
        <v>20</v>
      </c>
      <c r="C63" s="85" t="s">
        <v>242</v>
      </c>
      <c r="D63" s="109" t="s">
        <v>236</v>
      </c>
      <c r="E63" s="15" t="s">
        <v>75</v>
      </c>
      <c r="F63" s="14"/>
      <c r="G63" s="12" t="s">
        <v>192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25">
        <v>45591</v>
      </c>
      <c r="U63" s="13" t="s">
        <v>147</v>
      </c>
      <c r="V63">
        <v>1</v>
      </c>
      <c r="X63" s="51" t="s">
        <v>106</v>
      </c>
      <c r="Y63" s="52">
        <f>COUNTIF(U63:U87,"K")</f>
        <v>8</v>
      </c>
      <c r="AA63" s="59" t="s">
        <v>120</v>
      </c>
      <c r="AB63" s="60" t="s">
        <v>121</v>
      </c>
    </row>
    <row r="64" spans="1:28" x14ac:dyDescent="0.4">
      <c r="A64" s="134"/>
      <c r="B64" s="140"/>
      <c r="C64" s="85" t="s">
        <v>244</v>
      </c>
      <c r="D64" s="109" t="s">
        <v>243</v>
      </c>
      <c r="E64" s="15" t="s">
        <v>44</v>
      </c>
      <c r="F64" s="16"/>
      <c r="G64" s="12" t="s">
        <v>192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45570</v>
      </c>
      <c r="U64" s="13" t="s">
        <v>142</v>
      </c>
      <c r="V64">
        <v>2</v>
      </c>
      <c r="X64" s="51" t="s">
        <v>107</v>
      </c>
      <c r="Y64" s="52">
        <f>COUNTIF(U63:U87,"R")</f>
        <v>7</v>
      </c>
      <c r="AA64" s="47" t="s">
        <v>81</v>
      </c>
      <c r="AB64" s="48" t="s">
        <v>60</v>
      </c>
    </row>
    <row r="65" spans="1:28" ht="19.5" thickBot="1" x14ac:dyDescent="0.45">
      <c r="A65" s="134"/>
      <c r="B65" s="140"/>
      <c r="C65" s="85" t="s">
        <v>245</v>
      </c>
      <c r="D65" s="109" t="s">
        <v>190</v>
      </c>
      <c r="E65" s="15" t="s">
        <v>37</v>
      </c>
      <c r="F65" s="16"/>
      <c r="G65" s="12" t="s">
        <v>192</v>
      </c>
      <c r="H65" s="15"/>
      <c r="I65" s="15"/>
      <c r="J65" s="13">
        <v>1</v>
      </c>
      <c r="K65" s="15">
        <v>1</v>
      </c>
      <c r="L65" s="13"/>
      <c r="M65" s="17"/>
      <c r="N65" s="17"/>
      <c r="O65" s="17"/>
      <c r="P65" s="17"/>
      <c r="Q65" s="17"/>
      <c r="R65" s="17"/>
      <c r="S65" s="15"/>
      <c r="T65" s="25">
        <v>45570</v>
      </c>
      <c r="U65" s="13" t="s">
        <v>146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34"/>
      <c r="B66" s="140"/>
      <c r="C66" s="85" t="s">
        <v>247</v>
      </c>
      <c r="D66" s="109" t="s">
        <v>246</v>
      </c>
      <c r="E66" s="15" t="s">
        <v>38</v>
      </c>
      <c r="F66" s="16"/>
      <c r="G66" s="12" t="s">
        <v>192</v>
      </c>
      <c r="H66" s="13"/>
      <c r="I66" s="15"/>
      <c r="J66" s="13">
        <v>1</v>
      </c>
      <c r="K66" s="15">
        <v>1</v>
      </c>
      <c r="L66" s="13"/>
      <c r="M66" s="17"/>
      <c r="N66" s="17"/>
      <c r="O66" s="17"/>
      <c r="P66" s="17"/>
      <c r="Q66" s="17"/>
      <c r="R66" s="17"/>
      <c r="S66" s="15"/>
      <c r="T66" s="25">
        <v>45573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34"/>
      <c r="B67" s="140"/>
      <c r="C67" s="85" t="s">
        <v>248</v>
      </c>
      <c r="D67" s="109" t="s">
        <v>246</v>
      </c>
      <c r="E67" s="15" t="s">
        <v>38</v>
      </c>
      <c r="F67" s="16"/>
      <c r="G67" s="12" t="s">
        <v>192</v>
      </c>
      <c r="H67" s="15"/>
      <c r="I67" s="15"/>
      <c r="J67" s="13">
        <v>1</v>
      </c>
      <c r="K67" s="15"/>
      <c r="L67" s="13"/>
      <c r="M67" s="17"/>
      <c r="N67" s="17"/>
      <c r="O67" s="17"/>
      <c r="P67" s="17"/>
      <c r="Q67" s="17"/>
      <c r="R67" s="17"/>
      <c r="S67" s="15"/>
      <c r="T67" s="25">
        <v>45573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34"/>
      <c r="B68" s="140"/>
      <c r="C68" s="85" t="s">
        <v>249</v>
      </c>
      <c r="D68" s="109" t="s">
        <v>246</v>
      </c>
      <c r="E68" s="15" t="s">
        <v>38</v>
      </c>
      <c r="F68" s="16"/>
      <c r="G68" s="12" t="s">
        <v>192</v>
      </c>
      <c r="H68" s="15"/>
      <c r="I68" s="15"/>
      <c r="J68" s="13">
        <v>1</v>
      </c>
      <c r="K68" s="15"/>
      <c r="L68" s="13"/>
      <c r="M68" s="17"/>
      <c r="N68" s="17"/>
      <c r="O68" s="17"/>
      <c r="P68" s="17"/>
      <c r="Q68" s="17"/>
      <c r="R68" s="17"/>
      <c r="S68" s="15"/>
      <c r="T68" s="25">
        <v>45573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34"/>
      <c r="B69" s="140"/>
      <c r="C69" s="85" t="s">
        <v>250</v>
      </c>
      <c r="D69" s="109" t="s">
        <v>246</v>
      </c>
      <c r="E69" s="15" t="s">
        <v>38</v>
      </c>
      <c r="F69" s="16"/>
      <c r="G69" s="12" t="s">
        <v>192</v>
      </c>
      <c r="H69" s="15"/>
      <c r="I69" s="15"/>
      <c r="J69" s="13">
        <v>1</v>
      </c>
      <c r="K69" s="15"/>
      <c r="L69" s="13"/>
      <c r="M69" s="17"/>
      <c r="N69" s="17"/>
      <c r="O69" s="17"/>
      <c r="P69" s="17"/>
      <c r="Q69" s="17"/>
      <c r="R69" s="17"/>
      <c r="S69" s="15"/>
      <c r="T69" s="25">
        <v>45573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34"/>
      <c r="B70" s="140"/>
      <c r="C70" s="85" t="s">
        <v>251</v>
      </c>
      <c r="D70" s="109" t="s">
        <v>190</v>
      </c>
      <c r="E70" s="15" t="s">
        <v>36</v>
      </c>
      <c r="F70" s="16"/>
      <c r="G70" s="12" t="s">
        <v>192</v>
      </c>
      <c r="H70" s="15"/>
      <c r="I70" s="15"/>
      <c r="J70" s="13"/>
      <c r="K70" s="15"/>
      <c r="L70" s="13"/>
      <c r="M70" s="17">
        <v>1</v>
      </c>
      <c r="N70" s="17">
        <v>1</v>
      </c>
      <c r="O70" s="17"/>
      <c r="P70" s="17"/>
      <c r="Q70" s="17">
        <v>1</v>
      </c>
      <c r="R70" s="17"/>
      <c r="S70" s="15"/>
      <c r="T70" s="25">
        <v>45588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34"/>
      <c r="B71" s="140"/>
      <c r="C71" s="85" t="s">
        <v>252</v>
      </c>
      <c r="D71" s="109" t="s">
        <v>253</v>
      </c>
      <c r="E71" s="15" t="s">
        <v>74</v>
      </c>
      <c r="F71" s="16"/>
      <c r="G71" s="12" t="s">
        <v>192</v>
      </c>
      <c r="H71" s="15"/>
      <c r="I71" s="15"/>
      <c r="J71" s="13"/>
      <c r="K71" s="15"/>
      <c r="L71" s="13"/>
      <c r="M71" s="17">
        <v>1</v>
      </c>
      <c r="N71" s="17"/>
      <c r="O71" s="17"/>
      <c r="P71" s="17"/>
      <c r="Q71" s="17"/>
      <c r="R71" s="17"/>
      <c r="S71" s="15"/>
      <c r="T71" s="25">
        <v>45584</v>
      </c>
      <c r="U71" s="13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34"/>
      <c r="B72" s="140"/>
      <c r="C72" s="85" t="s">
        <v>255</v>
      </c>
      <c r="D72" s="109" t="s">
        <v>254</v>
      </c>
      <c r="E72" s="15" t="s">
        <v>36</v>
      </c>
      <c r="F72" s="16"/>
      <c r="G72" s="12" t="s">
        <v>192</v>
      </c>
      <c r="H72" s="15"/>
      <c r="I72" s="15"/>
      <c r="J72" s="13"/>
      <c r="K72" s="15"/>
      <c r="L72" s="13"/>
      <c r="M72" s="17">
        <v>1</v>
      </c>
      <c r="N72" s="17">
        <v>1</v>
      </c>
      <c r="O72" s="17"/>
      <c r="P72" s="17"/>
      <c r="Q72" s="17">
        <v>1</v>
      </c>
      <c r="R72" s="17"/>
      <c r="S72" s="15"/>
      <c r="T72" s="25">
        <v>45572</v>
      </c>
      <c r="U72" s="13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34"/>
      <c r="B73" s="140"/>
      <c r="C73" s="85" t="s">
        <v>256</v>
      </c>
      <c r="D73" s="109" t="s">
        <v>254</v>
      </c>
      <c r="E73" s="15" t="s">
        <v>36</v>
      </c>
      <c r="F73" s="16"/>
      <c r="G73" s="15" t="s">
        <v>192</v>
      </c>
      <c r="H73" s="15"/>
      <c r="I73" s="15"/>
      <c r="J73" s="15"/>
      <c r="K73" s="15"/>
      <c r="L73" s="17"/>
      <c r="M73" s="17">
        <v>1</v>
      </c>
      <c r="N73" s="17">
        <v>1</v>
      </c>
      <c r="O73" s="17"/>
      <c r="P73" s="17"/>
      <c r="Q73" s="17">
        <v>1</v>
      </c>
      <c r="R73" s="17"/>
      <c r="S73" s="15"/>
      <c r="T73" s="25">
        <v>45572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34"/>
      <c r="B74" s="140"/>
      <c r="C74" s="85" t="s">
        <v>257</v>
      </c>
      <c r="D74" s="109" t="s">
        <v>254</v>
      </c>
      <c r="E74" s="15" t="s">
        <v>74</v>
      </c>
      <c r="F74" s="16"/>
      <c r="G74" s="15" t="s">
        <v>192</v>
      </c>
      <c r="H74" s="15"/>
      <c r="I74" s="15"/>
      <c r="J74" s="15"/>
      <c r="K74" s="15"/>
      <c r="L74" s="17"/>
      <c r="M74" s="17">
        <v>1</v>
      </c>
      <c r="N74" s="17">
        <v>1</v>
      </c>
      <c r="O74" s="17"/>
      <c r="P74" s="17"/>
      <c r="Q74" s="17">
        <v>1</v>
      </c>
      <c r="R74" s="17"/>
      <c r="S74" s="15"/>
      <c r="T74" s="25">
        <v>45572</v>
      </c>
      <c r="U74" s="15" t="s">
        <v>147</v>
      </c>
      <c r="V74">
        <v>12</v>
      </c>
      <c r="AA74" s="49" t="s">
        <v>91</v>
      </c>
      <c r="AB74" s="50" t="s">
        <v>75</v>
      </c>
    </row>
    <row r="75" spans="1:28" x14ac:dyDescent="0.4">
      <c r="A75" s="134"/>
      <c r="B75" s="140"/>
      <c r="C75" s="85" t="s">
        <v>258</v>
      </c>
      <c r="D75" s="109" t="s">
        <v>259</v>
      </c>
      <c r="E75" s="15" t="s">
        <v>74</v>
      </c>
      <c r="F75" s="16"/>
      <c r="G75" s="15" t="s">
        <v>192</v>
      </c>
      <c r="H75" s="15"/>
      <c r="I75" s="15"/>
      <c r="J75" s="15">
        <v>1</v>
      </c>
      <c r="K75" s="15">
        <v>1</v>
      </c>
      <c r="L75" s="17"/>
      <c r="M75" s="17"/>
      <c r="N75" s="17"/>
      <c r="O75" s="17"/>
      <c r="P75" s="17"/>
      <c r="Q75" s="17"/>
      <c r="R75" s="17"/>
      <c r="S75" s="15"/>
      <c r="T75" s="25">
        <v>45572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34"/>
      <c r="B76" s="140"/>
      <c r="C76" s="85" t="s">
        <v>261</v>
      </c>
      <c r="D76" s="109" t="s">
        <v>259</v>
      </c>
      <c r="E76" s="15" t="s">
        <v>57</v>
      </c>
      <c r="F76" s="16"/>
      <c r="G76" s="15" t="s">
        <v>260</v>
      </c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>
        <v>45572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34"/>
      <c r="B77" s="140"/>
      <c r="C77" s="85" t="s">
        <v>262</v>
      </c>
      <c r="D77" s="109" t="s">
        <v>263</v>
      </c>
      <c r="E77" s="15" t="s">
        <v>37</v>
      </c>
      <c r="F77" s="16"/>
      <c r="G77" s="15" t="s">
        <v>192</v>
      </c>
      <c r="H77" s="15"/>
      <c r="I77" s="15"/>
      <c r="J77" s="15">
        <v>1</v>
      </c>
      <c r="K77" s="15">
        <v>1</v>
      </c>
      <c r="L77" s="17"/>
      <c r="M77" s="17"/>
      <c r="N77" s="17"/>
      <c r="O77" s="17"/>
      <c r="P77" s="17"/>
      <c r="Q77" s="17"/>
      <c r="R77" s="17"/>
      <c r="S77" s="15"/>
      <c r="T77" s="25">
        <v>45572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34"/>
      <c r="B78" s="140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34"/>
      <c r="B79" s="140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4"/>
      <c r="B80" s="140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4"/>
      <c r="B81" s="140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4"/>
      <c r="B82" s="140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4"/>
      <c r="B83" s="140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4"/>
      <c r="B84" s="140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4"/>
      <c r="B85" s="140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4"/>
      <c r="B86" s="140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5"/>
      <c r="B87" s="141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14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5</v>
      </c>
      <c r="L88" s="29">
        <f t="shared" si="2"/>
        <v>0</v>
      </c>
      <c r="M88" s="29">
        <f t="shared" si="2"/>
        <v>5</v>
      </c>
      <c r="N88" s="29">
        <f t="shared" si="2"/>
        <v>4</v>
      </c>
      <c r="O88" s="29">
        <f t="shared" si="2"/>
        <v>0</v>
      </c>
      <c r="P88" s="29">
        <f t="shared" si="2"/>
        <v>0</v>
      </c>
      <c r="Q88" s="29">
        <f t="shared" si="2"/>
        <v>4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18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AYG088</v>
      </c>
      <c r="B91" s="24">
        <f>B1</f>
        <v>45552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1" t="s">
        <v>117</v>
      </c>
      <c r="Y92" s="132"/>
    </row>
    <row r="93" spans="1:28" ht="20.25" thickTop="1" thickBot="1" x14ac:dyDescent="0.45">
      <c r="A93" s="133">
        <v>4</v>
      </c>
      <c r="B93" s="136">
        <v>21.8</v>
      </c>
      <c r="C93" s="85" t="s">
        <v>264</v>
      </c>
      <c r="D93" s="109" t="s">
        <v>265</v>
      </c>
      <c r="E93" s="15" t="s">
        <v>266</v>
      </c>
      <c r="F93" s="14"/>
      <c r="G93" s="12" t="s">
        <v>267</v>
      </c>
      <c r="H93" s="13"/>
      <c r="I93" s="13"/>
      <c r="J93" s="13"/>
      <c r="K93" s="13"/>
      <c r="L93" s="13"/>
      <c r="M93" s="13">
        <v>1</v>
      </c>
      <c r="N93" s="13">
        <v>1</v>
      </c>
      <c r="O93" s="13"/>
      <c r="P93" s="13"/>
      <c r="Q93" s="13">
        <v>1</v>
      </c>
      <c r="R93" s="13"/>
      <c r="S93" s="13"/>
      <c r="T93" s="25">
        <v>45573</v>
      </c>
      <c r="U93" s="13" t="s">
        <v>268</v>
      </c>
      <c r="V93">
        <v>1</v>
      </c>
      <c r="X93" s="51" t="s">
        <v>106</v>
      </c>
      <c r="Y93" s="52">
        <f>COUNTIF(U93:U117,"K")</f>
        <v>6</v>
      </c>
      <c r="AA93" s="59" t="s">
        <v>120</v>
      </c>
      <c r="AB93" s="60" t="s">
        <v>121</v>
      </c>
    </row>
    <row r="94" spans="1:28" x14ac:dyDescent="0.4">
      <c r="A94" s="134"/>
      <c r="B94" s="137"/>
      <c r="C94" s="85" t="s">
        <v>270</v>
      </c>
      <c r="D94" s="109" t="s">
        <v>265</v>
      </c>
      <c r="E94" s="15" t="s">
        <v>269</v>
      </c>
      <c r="F94" s="16"/>
      <c r="G94" s="12" t="s">
        <v>267</v>
      </c>
      <c r="H94" s="15"/>
      <c r="I94" s="15"/>
      <c r="J94" s="15"/>
      <c r="K94" s="15"/>
      <c r="L94" s="17"/>
      <c r="M94" s="17"/>
      <c r="N94" s="17"/>
      <c r="O94" s="17"/>
      <c r="P94" s="17"/>
      <c r="Q94" s="17"/>
      <c r="R94" s="17"/>
      <c r="S94" s="15"/>
      <c r="T94" s="25">
        <v>45573</v>
      </c>
      <c r="U94" s="15" t="s">
        <v>268</v>
      </c>
      <c r="V94">
        <v>2</v>
      </c>
      <c r="X94" s="51" t="s">
        <v>107</v>
      </c>
      <c r="Y94" s="52">
        <f>COUNTIF(U93:U117,"R")</f>
        <v>6</v>
      </c>
      <c r="AA94" s="47" t="s">
        <v>81</v>
      </c>
      <c r="AB94" s="48" t="s">
        <v>60</v>
      </c>
    </row>
    <row r="95" spans="1:28" ht="19.5" thickBot="1" x14ac:dyDescent="0.45">
      <c r="A95" s="134"/>
      <c r="B95" s="137"/>
      <c r="C95" s="85" t="s">
        <v>271</v>
      </c>
      <c r="D95" s="109" t="s">
        <v>272</v>
      </c>
      <c r="E95" s="15" t="s">
        <v>273</v>
      </c>
      <c r="F95" s="16"/>
      <c r="G95" s="12" t="s">
        <v>267</v>
      </c>
      <c r="H95" s="15"/>
      <c r="I95" s="15"/>
      <c r="J95" s="15"/>
      <c r="K95" s="15"/>
      <c r="L95" s="17"/>
      <c r="M95" s="17">
        <v>1</v>
      </c>
      <c r="N95" s="17">
        <v>1</v>
      </c>
      <c r="O95" s="17"/>
      <c r="P95" s="17"/>
      <c r="Q95" s="17">
        <v>1</v>
      </c>
      <c r="R95" s="17"/>
      <c r="S95" s="15"/>
      <c r="T95" s="25">
        <v>45578</v>
      </c>
      <c r="U95" s="15" t="s">
        <v>268</v>
      </c>
      <c r="V95">
        <v>3</v>
      </c>
      <c r="X95" s="53" t="s">
        <v>108</v>
      </c>
      <c r="Y95" s="54">
        <f>COUNTIF(U93:U117,"J")</f>
        <v>3</v>
      </c>
      <c r="AA95" s="49" t="s">
        <v>122</v>
      </c>
      <c r="AB95" s="50" t="s">
        <v>39</v>
      </c>
    </row>
    <row r="96" spans="1:28" x14ac:dyDescent="0.4">
      <c r="A96" s="134"/>
      <c r="B96" s="137"/>
      <c r="C96" s="85" t="s">
        <v>277</v>
      </c>
      <c r="D96" s="109" t="s">
        <v>276</v>
      </c>
      <c r="E96" s="15" t="s">
        <v>275</v>
      </c>
      <c r="F96" s="16"/>
      <c r="G96" s="12" t="s">
        <v>267</v>
      </c>
      <c r="H96" s="15"/>
      <c r="I96" s="15"/>
      <c r="J96" s="15"/>
      <c r="K96" s="15"/>
      <c r="L96" s="17"/>
      <c r="M96" s="17"/>
      <c r="N96" s="17"/>
      <c r="O96" s="17">
        <v>1</v>
      </c>
      <c r="P96" s="17">
        <v>2</v>
      </c>
      <c r="Q96" s="17"/>
      <c r="R96" s="17">
        <v>1</v>
      </c>
      <c r="S96" s="15"/>
      <c r="T96" s="25">
        <v>45587</v>
      </c>
      <c r="U96" s="15" t="s">
        <v>274</v>
      </c>
      <c r="V96">
        <v>4</v>
      </c>
      <c r="AA96" s="49" t="s">
        <v>83</v>
      </c>
      <c r="AB96" s="50" t="s">
        <v>38</v>
      </c>
    </row>
    <row r="97" spans="1:28" x14ac:dyDescent="0.4">
      <c r="A97" s="134"/>
      <c r="B97" s="137"/>
      <c r="C97" s="85" t="s">
        <v>278</v>
      </c>
      <c r="D97" s="109" t="s">
        <v>265</v>
      </c>
      <c r="E97" s="15" t="s">
        <v>279</v>
      </c>
      <c r="F97" s="16"/>
      <c r="G97" s="12" t="s">
        <v>267</v>
      </c>
      <c r="H97" s="15"/>
      <c r="I97" s="15"/>
      <c r="J97" s="15"/>
      <c r="K97" s="15"/>
      <c r="L97" s="17"/>
      <c r="M97" s="17">
        <v>1</v>
      </c>
      <c r="N97" s="17">
        <v>1</v>
      </c>
      <c r="O97" s="17"/>
      <c r="P97" s="17"/>
      <c r="Q97" s="17">
        <v>1</v>
      </c>
      <c r="R97" s="17"/>
      <c r="S97" s="15"/>
      <c r="T97" s="25">
        <v>45574</v>
      </c>
      <c r="U97" s="15" t="s">
        <v>268</v>
      </c>
      <c r="V97">
        <v>5</v>
      </c>
      <c r="AA97" s="49" t="s">
        <v>84</v>
      </c>
      <c r="AB97" s="50" t="s">
        <v>44</v>
      </c>
    </row>
    <row r="98" spans="1:28" x14ac:dyDescent="0.4">
      <c r="A98" s="134"/>
      <c r="B98" s="137"/>
      <c r="C98" s="85" t="s">
        <v>280</v>
      </c>
      <c r="D98" s="109" t="s">
        <v>265</v>
      </c>
      <c r="E98" s="15" t="s">
        <v>279</v>
      </c>
      <c r="F98" s="16"/>
      <c r="G98" s="12" t="s">
        <v>267</v>
      </c>
      <c r="H98" s="13"/>
      <c r="I98" s="15"/>
      <c r="J98" s="15">
        <v>1</v>
      </c>
      <c r="K98" s="15">
        <v>1</v>
      </c>
      <c r="L98" s="17"/>
      <c r="M98" s="17"/>
      <c r="N98" s="17"/>
      <c r="O98" s="17"/>
      <c r="P98" s="17"/>
      <c r="Q98" s="17"/>
      <c r="R98" s="17"/>
      <c r="S98" s="15"/>
      <c r="T98" s="25">
        <v>45574</v>
      </c>
      <c r="U98" s="15" t="s">
        <v>142</v>
      </c>
      <c r="V98">
        <v>6</v>
      </c>
      <c r="AA98" s="49" t="s">
        <v>85</v>
      </c>
      <c r="AB98" s="50" t="s">
        <v>43</v>
      </c>
    </row>
    <row r="99" spans="1:28" x14ac:dyDescent="0.4">
      <c r="A99" s="134"/>
      <c r="B99" s="137"/>
      <c r="C99" s="85" t="s">
        <v>281</v>
      </c>
      <c r="D99" s="109" t="s">
        <v>282</v>
      </c>
      <c r="E99" s="15" t="s">
        <v>283</v>
      </c>
      <c r="F99" s="16"/>
      <c r="G99" s="12" t="s">
        <v>267</v>
      </c>
      <c r="H99" s="15"/>
      <c r="I99" s="15"/>
      <c r="J99" s="15"/>
      <c r="K99" s="15">
        <v>1</v>
      </c>
      <c r="L99" s="17"/>
      <c r="M99" s="17"/>
      <c r="N99" s="17"/>
      <c r="O99" s="17"/>
      <c r="P99" s="17"/>
      <c r="Q99" s="17"/>
      <c r="R99" s="17"/>
      <c r="S99" s="15"/>
      <c r="T99" s="25">
        <v>45573</v>
      </c>
      <c r="U99" s="15" t="s">
        <v>284</v>
      </c>
      <c r="V99">
        <v>7</v>
      </c>
      <c r="AA99" s="49" t="s">
        <v>86</v>
      </c>
      <c r="AB99" s="50" t="s">
        <v>45</v>
      </c>
    </row>
    <row r="100" spans="1:28" x14ac:dyDescent="0.4">
      <c r="A100" s="134"/>
      <c r="B100" s="137"/>
      <c r="C100" s="85" t="s">
        <v>286</v>
      </c>
      <c r="D100" s="109" t="s">
        <v>282</v>
      </c>
      <c r="E100" s="15" t="s">
        <v>285</v>
      </c>
      <c r="F100" s="16"/>
      <c r="G100" s="12" t="s">
        <v>267</v>
      </c>
      <c r="H100" s="15"/>
      <c r="I100" s="15"/>
      <c r="J100" s="15"/>
      <c r="K100" s="15"/>
      <c r="L100" s="17"/>
      <c r="M100" s="17"/>
      <c r="N100" s="17"/>
      <c r="O100" s="17">
        <v>1</v>
      </c>
      <c r="P100" s="17">
        <v>1</v>
      </c>
      <c r="Q100" s="17">
        <v>1</v>
      </c>
      <c r="R100" s="17">
        <v>1</v>
      </c>
      <c r="S100" s="15"/>
      <c r="T100" s="25">
        <v>45573</v>
      </c>
      <c r="U100" s="15" t="s">
        <v>274</v>
      </c>
      <c r="V100">
        <v>8</v>
      </c>
      <c r="AA100" s="49" t="s">
        <v>87</v>
      </c>
      <c r="AB100" s="50" t="s">
        <v>37</v>
      </c>
    </row>
    <row r="101" spans="1:28" x14ac:dyDescent="0.4">
      <c r="A101" s="134"/>
      <c r="B101" s="137"/>
      <c r="C101" s="85" t="s">
        <v>287</v>
      </c>
      <c r="D101" s="109" t="s">
        <v>265</v>
      </c>
      <c r="E101" s="15" t="s">
        <v>266</v>
      </c>
      <c r="F101" s="16"/>
      <c r="G101" s="12" t="s">
        <v>267</v>
      </c>
      <c r="H101" s="15"/>
      <c r="I101" s="15"/>
      <c r="J101" s="15"/>
      <c r="K101" s="15"/>
      <c r="L101" s="17"/>
      <c r="M101" s="17">
        <v>1</v>
      </c>
      <c r="N101" s="17">
        <v>1</v>
      </c>
      <c r="O101" s="17"/>
      <c r="P101" s="17"/>
      <c r="Q101" s="17"/>
      <c r="R101" s="17"/>
      <c r="S101" s="15"/>
      <c r="T101" s="25">
        <v>45579</v>
      </c>
      <c r="U101" s="15" t="s">
        <v>268</v>
      </c>
      <c r="V101">
        <v>9</v>
      </c>
      <c r="AA101" s="49" t="s">
        <v>88</v>
      </c>
      <c r="AB101" s="50" t="s">
        <v>74</v>
      </c>
    </row>
    <row r="102" spans="1:28" x14ac:dyDescent="0.4">
      <c r="A102" s="134"/>
      <c r="B102" s="137"/>
      <c r="C102" s="85" t="s">
        <v>290</v>
      </c>
      <c r="D102" s="109" t="s">
        <v>289</v>
      </c>
      <c r="E102" s="15" t="s">
        <v>288</v>
      </c>
      <c r="F102" s="16"/>
      <c r="G102" s="12" t="s">
        <v>267</v>
      </c>
      <c r="H102" s="15"/>
      <c r="I102" s="15"/>
      <c r="J102" s="15"/>
      <c r="K102" s="15"/>
      <c r="L102" s="17"/>
      <c r="M102" s="17">
        <v>1</v>
      </c>
      <c r="N102" s="17">
        <v>1</v>
      </c>
      <c r="O102" s="17"/>
      <c r="P102" s="17"/>
      <c r="Q102" s="17"/>
      <c r="R102" s="17"/>
      <c r="S102" s="15"/>
      <c r="T102" s="25">
        <v>45588</v>
      </c>
      <c r="U102" s="15" t="s">
        <v>284</v>
      </c>
      <c r="V102">
        <v>10</v>
      </c>
      <c r="AA102" s="49" t="s">
        <v>89</v>
      </c>
      <c r="AB102" s="50" t="s">
        <v>36</v>
      </c>
    </row>
    <row r="103" spans="1:28" x14ac:dyDescent="0.4">
      <c r="A103" s="134"/>
      <c r="B103" s="137"/>
      <c r="C103" s="85" t="s">
        <v>291</v>
      </c>
      <c r="D103" s="109" t="s">
        <v>289</v>
      </c>
      <c r="E103" s="15" t="s">
        <v>292</v>
      </c>
      <c r="F103" s="16"/>
      <c r="G103" s="12" t="s">
        <v>267</v>
      </c>
      <c r="H103" s="15" t="s">
        <v>268</v>
      </c>
      <c r="I103" s="15"/>
      <c r="J103" s="15"/>
      <c r="K103" s="15"/>
      <c r="L103" s="17"/>
      <c r="M103" s="17">
        <v>1</v>
      </c>
      <c r="N103" s="17">
        <v>1</v>
      </c>
      <c r="O103" s="17"/>
      <c r="P103" s="17"/>
      <c r="Q103" s="17"/>
      <c r="R103" s="17"/>
      <c r="S103" s="15"/>
      <c r="T103" s="25">
        <v>45588</v>
      </c>
      <c r="U103" s="15" t="s">
        <v>268</v>
      </c>
      <c r="V103">
        <v>11</v>
      </c>
      <c r="AA103" s="49" t="s">
        <v>90</v>
      </c>
      <c r="AB103" s="50" t="s">
        <v>58</v>
      </c>
    </row>
    <row r="104" spans="1:28" x14ac:dyDescent="0.4">
      <c r="A104" s="134"/>
      <c r="B104" s="137"/>
      <c r="C104" s="85" t="s">
        <v>293</v>
      </c>
      <c r="D104" s="109" t="s">
        <v>276</v>
      </c>
      <c r="E104" s="15" t="s">
        <v>283</v>
      </c>
      <c r="F104" s="16"/>
      <c r="G104" s="12" t="s">
        <v>267</v>
      </c>
      <c r="H104" s="15"/>
      <c r="I104" s="15"/>
      <c r="J104" s="15">
        <v>1</v>
      </c>
      <c r="K104" s="15">
        <v>1</v>
      </c>
      <c r="L104" s="17"/>
      <c r="M104" s="17"/>
      <c r="N104" s="17"/>
      <c r="O104" s="17"/>
      <c r="P104" s="17"/>
      <c r="Q104" s="17"/>
      <c r="R104" s="17"/>
      <c r="S104" s="15"/>
      <c r="T104" s="25">
        <v>45587</v>
      </c>
      <c r="U104" s="15" t="s">
        <v>284</v>
      </c>
      <c r="V104">
        <v>12</v>
      </c>
      <c r="AA104" s="49" t="s">
        <v>91</v>
      </c>
      <c r="AB104" s="50" t="s">
        <v>75</v>
      </c>
    </row>
    <row r="105" spans="1:28" x14ac:dyDescent="0.4">
      <c r="A105" s="134"/>
      <c r="B105" s="137"/>
      <c r="C105" s="85" t="s">
        <v>294</v>
      </c>
      <c r="D105" s="109" t="s">
        <v>276</v>
      </c>
      <c r="E105" s="15" t="s">
        <v>285</v>
      </c>
      <c r="F105" s="16"/>
      <c r="G105" s="12" t="s">
        <v>267</v>
      </c>
      <c r="H105" s="15"/>
      <c r="I105" s="15"/>
      <c r="J105" s="15"/>
      <c r="K105" s="15"/>
      <c r="L105" s="17"/>
      <c r="M105" s="17"/>
      <c r="N105" s="17"/>
      <c r="O105" s="17">
        <v>1</v>
      </c>
      <c r="P105" s="17">
        <v>1</v>
      </c>
      <c r="Q105" s="17">
        <v>1</v>
      </c>
      <c r="R105" s="17"/>
      <c r="S105" s="15"/>
      <c r="T105" s="25">
        <v>45587</v>
      </c>
      <c r="U105" s="15" t="s">
        <v>274</v>
      </c>
      <c r="V105">
        <v>13</v>
      </c>
      <c r="AA105" s="49" t="s">
        <v>92</v>
      </c>
      <c r="AB105" s="50" t="s">
        <v>40</v>
      </c>
    </row>
    <row r="106" spans="1:28" x14ac:dyDescent="0.4">
      <c r="A106" s="134"/>
      <c r="B106" s="137"/>
      <c r="C106" s="85" t="s">
        <v>297</v>
      </c>
      <c r="D106" s="109" t="s">
        <v>296</v>
      </c>
      <c r="E106" s="15" t="s">
        <v>295</v>
      </c>
      <c r="F106" s="16"/>
      <c r="G106" s="12" t="s">
        <v>267</v>
      </c>
      <c r="H106" s="15"/>
      <c r="I106" s="15"/>
      <c r="J106" s="15">
        <v>1</v>
      </c>
      <c r="K106" s="15"/>
      <c r="L106" s="17"/>
      <c r="M106" s="17"/>
      <c r="N106" s="17"/>
      <c r="O106" s="17"/>
      <c r="P106" s="17"/>
      <c r="Q106" s="17"/>
      <c r="R106" s="17"/>
      <c r="S106" s="15"/>
      <c r="T106" s="25">
        <v>45574</v>
      </c>
      <c r="U106" s="15" t="s">
        <v>284</v>
      </c>
      <c r="V106">
        <v>14</v>
      </c>
      <c r="AA106" s="49" t="s">
        <v>93</v>
      </c>
      <c r="AB106" s="50" t="s">
        <v>57</v>
      </c>
    </row>
    <row r="107" spans="1:28" x14ac:dyDescent="0.4">
      <c r="A107" s="134"/>
      <c r="B107" s="137"/>
      <c r="C107" s="85" t="s">
        <v>298</v>
      </c>
      <c r="D107" s="109" t="s">
        <v>296</v>
      </c>
      <c r="E107" s="15" t="s">
        <v>299</v>
      </c>
      <c r="F107" s="16"/>
      <c r="G107" s="15" t="s">
        <v>267</v>
      </c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>
        <v>1</v>
      </c>
      <c r="T107" s="25">
        <v>45574</v>
      </c>
      <c r="U107" s="15" t="s">
        <v>284</v>
      </c>
      <c r="V107">
        <v>15</v>
      </c>
      <c r="AA107" s="49" t="s">
        <v>94</v>
      </c>
      <c r="AB107" s="50" t="s">
        <v>41</v>
      </c>
    </row>
    <row r="108" spans="1:28" x14ac:dyDescent="0.4">
      <c r="A108" s="134"/>
      <c r="B108" s="137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34"/>
      <c r="B109" s="137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4"/>
      <c r="B110" s="137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4"/>
      <c r="B111" s="137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4"/>
      <c r="B112" s="137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4"/>
      <c r="B113" s="137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4"/>
      <c r="B114" s="137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4"/>
      <c r="B115" s="137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19.5" thickBot="1" x14ac:dyDescent="0.45">
      <c r="A116" s="134"/>
      <c r="B116" s="137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5"/>
      <c r="B117" s="138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3</v>
      </c>
      <c r="K118" s="29">
        <f t="shared" ref="K118" si="4">SUM(K93:K117)</f>
        <v>3</v>
      </c>
      <c r="L118" s="29">
        <f t="shared" ref="L118" si="5">SUM(L93:L117)</f>
        <v>0</v>
      </c>
      <c r="M118" s="29">
        <f t="shared" ref="M118" si="6">SUM(M93:M117)</f>
        <v>6</v>
      </c>
      <c r="N118" s="29">
        <f t="shared" ref="N118" si="7">SUM(N93:N117)</f>
        <v>6</v>
      </c>
      <c r="O118" s="29">
        <f t="shared" ref="O118" si="8">SUM(O93:O117)</f>
        <v>3</v>
      </c>
      <c r="P118" s="29">
        <f t="shared" ref="P118" si="9">SUM(P93:P117)</f>
        <v>4</v>
      </c>
      <c r="Q118" s="29">
        <f t="shared" ref="Q118" si="10">SUM(Q93:Q117)</f>
        <v>5</v>
      </c>
      <c r="R118" s="29">
        <f t="shared" ref="R118" si="11">SUM(R93:R117)</f>
        <v>2</v>
      </c>
      <c r="S118" s="29">
        <f t="shared" ref="S118" si="12">SUM(S93:S117)</f>
        <v>1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1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33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AYG088</v>
      </c>
      <c r="B121" s="24">
        <f>B1</f>
        <v>45552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1" t="s">
        <v>116</v>
      </c>
      <c r="Y122" s="132"/>
    </row>
    <row r="123" spans="1:28" ht="20.25" thickTop="1" thickBot="1" x14ac:dyDescent="0.45">
      <c r="A123" s="133">
        <v>5</v>
      </c>
      <c r="B123" s="136">
        <v>18.399999999999999</v>
      </c>
      <c r="C123" s="85" t="s">
        <v>300</v>
      </c>
      <c r="D123" s="106" t="s">
        <v>265</v>
      </c>
      <c r="E123" s="106" t="s">
        <v>273</v>
      </c>
      <c r="F123" s="14"/>
      <c r="G123" s="12" t="s">
        <v>267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>
        <v>1</v>
      </c>
      <c r="R123" s="13"/>
      <c r="S123" s="13"/>
      <c r="T123" s="25">
        <v>45573</v>
      </c>
      <c r="U123" s="13" t="s">
        <v>268</v>
      </c>
      <c r="V123">
        <v>1</v>
      </c>
      <c r="X123" s="51" t="s">
        <v>106</v>
      </c>
      <c r="Y123" s="52">
        <f>COUNTIF(U123:U147,"K")</f>
        <v>8</v>
      </c>
      <c r="AA123" s="59" t="s">
        <v>120</v>
      </c>
      <c r="AB123" s="60" t="s">
        <v>121</v>
      </c>
    </row>
    <row r="124" spans="1:28" x14ac:dyDescent="0.4">
      <c r="A124" s="134"/>
      <c r="B124" s="137"/>
      <c r="C124" s="85" t="s">
        <v>301</v>
      </c>
      <c r="D124" s="106" t="s">
        <v>265</v>
      </c>
      <c r="E124" s="106" t="s">
        <v>273</v>
      </c>
      <c r="F124" s="16"/>
      <c r="G124" s="12" t="s">
        <v>267</v>
      </c>
      <c r="H124" s="15"/>
      <c r="I124" s="15"/>
      <c r="J124" s="15">
        <v>1</v>
      </c>
      <c r="K124" s="15">
        <v>1</v>
      </c>
      <c r="L124" s="17"/>
      <c r="M124" s="17"/>
      <c r="N124" s="17"/>
      <c r="O124" s="17"/>
      <c r="P124" s="17"/>
      <c r="Q124" s="17"/>
      <c r="R124" s="17"/>
      <c r="S124" s="15"/>
      <c r="T124" s="25">
        <v>45574</v>
      </c>
      <c r="U124" s="13" t="s">
        <v>284</v>
      </c>
      <c r="V124">
        <v>2</v>
      </c>
      <c r="X124" s="51" t="s">
        <v>107</v>
      </c>
      <c r="Y124" s="52">
        <f>COUNTIF(U123:U147,"R")</f>
        <v>6</v>
      </c>
      <c r="AA124" s="47" t="s">
        <v>81</v>
      </c>
      <c r="AB124" s="48" t="s">
        <v>60</v>
      </c>
    </row>
    <row r="125" spans="1:28" ht="19.5" thickBot="1" x14ac:dyDescent="0.45">
      <c r="A125" s="134"/>
      <c r="B125" s="137"/>
      <c r="C125" s="85" t="s">
        <v>302</v>
      </c>
      <c r="D125" s="106" t="s">
        <v>303</v>
      </c>
      <c r="E125" s="106" t="s">
        <v>266</v>
      </c>
      <c r="F125" s="16"/>
      <c r="G125" s="12" t="s">
        <v>267</v>
      </c>
      <c r="H125" s="13"/>
      <c r="I125" s="15"/>
      <c r="J125" s="15"/>
      <c r="K125" s="15"/>
      <c r="L125" s="17"/>
      <c r="M125" s="17">
        <v>1</v>
      </c>
      <c r="N125" s="17">
        <v>1</v>
      </c>
      <c r="O125" s="17"/>
      <c r="P125" s="17"/>
      <c r="Q125" s="17">
        <v>1</v>
      </c>
      <c r="R125" s="17"/>
      <c r="S125" s="15"/>
      <c r="T125" s="25">
        <v>45578</v>
      </c>
      <c r="U125" s="13" t="s">
        <v>268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34"/>
      <c r="B126" s="137"/>
      <c r="C126" s="85" t="s">
        <v>304</v>
      </c>
      <c r="D126" s="106" t="s">
        <v>276</v>
      </c>
      <c r="E126" s="106" t="s">
        <v>283</v>
      </c>
      <c r="F126" s="16"/>
      <c r="G126" s="12" t="s">
        <v>267</v>
      </c>
      <c r="H126" s="15"/>
      <c r="I126" s="15"/>
      <c r="J126" s="15">
        <v>1</v>
      </c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45578</v>
      </c>
      <c r="U126" s="13" t="s">
        <v>284</v>
      </c>
      <c r="V126">
        <v>4</v>
      </c>
      <c r="AA126" s="49" t="s">
        <v>83</v>
      </c>
      <c r="AB126" s="50" t="s">
        <v>38</v>
      </c>
    </row>
    <row r="127" spans="1:28" x14ac:dyDescent="0.4">
      <c r="A127" s="134"/>
      <c r="B127" s="137"/>
      <c r="C127" s="85" t="s">
        <v>305</v>
      </c>
      <c r="D127" s="106" t="s">
        <v>276</v>
      </c>
      <c r="E127" s="106" t="s">
        <v>283</v>
      </c>
      <c r="F127" s="16"/>
      <c r="G127" s="12" t="s">
        <v>267</v>
      </c>
      <c r="H127" s="15"/>
      <c r="I127" s="15"/>
      <c r="J127" s="15">
        <v>1</v>
      </c>
      <c r="K127" s="15">
        <v>1</v>
      </c>
      <c r="L127" s="17"/>
      <c r="M127" s="17"/>
      <c r="N127" s="17"/>
      <c r="O127" s="17"/>
      <c r="P127" s="17"/>
      <c r="Q127" s="17"/>
      <c r="R127" s="17"/>
      <c r="S127" s="15"/>
      <c r="T127" s="25">
        <v>45578</v>
      </c>
      <c r="U127" s="13" t="s">
        <v>284</v>
      </c>
      <c r="V127">
        <v>5</v>
      </c>
      <c r="AA127" s="49" t="s">
        <v>84</v>
      </c>
      <c r="AB127" s="50" t="s">
        <v>44</v>
      </c>
    </row>
    <row r="128" spans="1:28" x14ac:dyDescent="0.4">
      <c r="A128" s="134"/>
      <c r="B128" s="137"/>
      <c r="C128" s="85" t="s">
        <v>306</v>
      </c>
      <c r="D128" s="106" t="s">
        <v>276</v>
      </c>
      <c r="E128" s="106" t="s">
        <v>273</v>
      </c>
      <c r="F128" s="16"/>
      <c r="G128" s="12" t="s">
        <v>267</v>
      </c>
      <c r="H128" s="13"/>
      <c r="I128" s="15"/>
      <c r="J128" s="15">
        <v>1</v>
      </c>
      <c r="K128" s="15">
        <v>1</v>
      </c>
      <c r="L128" s="17"/>
      <c r="M128" s="17"/>
      <c r="N128" s="17"/>
      <c r="O128" s="17"/>
      <c r="P128" s="17"/>
      <c r="Q128" s="17"/>
      <c r="R128" s="17"/>
      <c r="S128" s="15"/>
      <c r="T128" s="25">
        <v>45578</v>
      </c>
      <c r="U128" s="13" t="s">
        <v>284</v>
      </c>
      <c r="V128">
        <v>6</v>
      </c>
      <c r="AA128" s="49" t="s">
        <v>85</v>
      </c>
      <c r="AB128" s="50" t="s">
        <v>43</v>
      </c>
    </row>
    <row r="129" spans="1:28" x14ac:dyDescent="0.4">
      <c r="A129" s="134"/>
      <c r="B129" s="137"/>
      <c r="C129" s="85" t="s">
        <v>307</v>
      </c>
      <c r="D129" s="106" t="s">
        <v>276</v>
      </c>
      <c r="E129" s="106" t="s">
        <v>308</v>
      </c>
      <c r="F129" s="16"/>
      <c r="G129" s="12" t="s">
        <v>267</v>
      </c>
      <c r="H129" s="15"/>
      <c r="I129" s="15"/>
      <c r="J129" s="15"/>
      <c r="K129" s="15"/>
      <c r="L129" s="17"/>
      <c r="M129" s="17"/>
      <c r="N129" s="17"/>
      <c r="O129" s="17"/>
      <c r="P129" s="17"/>
      <c r="Q129" s="17"/>
      <c r="R129" s="17"/>
      <c r="S129" s="15"/>
      <c r="T129" s="25">
        <v>45587</v>
      </c>
      <c r="U129" s="13" t="s">
        <v>268</v>
      </c>
      <c r="V129">
        <v>7</v>
      </c>
      <c r="AA129" s="49" t="s">
        <v>86</v>
      </c>
      <c r="AB129" s="50" t="s">
        <v>45</v>
      </c>
    </row>
    <row r="130" spans="1:28" x14ac:dyDescent="0.4">
      <c r="A130" s="134"/>
      <c r="B130" s="137"/>
      <c r="C130" s="85" t="s">
        <v>310</v>
      </c>
      <c r="D130" s="106" t="s">
        <v>309</v>
      </c>
      <c r="E130" s="106" t="s">
        <v>266</v>
      </c>
      <c r="F130" s="16"/>
      <c r="G130" s="12" t="s">
        <v>267</v>
      </c>
      <c r="H130" s="15"/>
      <c r="I130" s="15"/>
      <c r="J130" s="15">
        <v>1</v>
      </c>
      <c r="K130" s="15">
        <v>1</v>
      </c>
      <c r="L130" s="17"/>
      <c r="M130" s="17"/>
      <c r="N130" s="17"/>
      <c r="O130" s="17"/>
      <c r="P130" s="17"/>
      <c r="Q130" s="17"/>
      <c r="R130" s="17"/>
      <c r="S130" s="15"/>
      <c r="T130" s="25">
        <v>45578</v>
      </c>
      <c r="U130" s="13" t="s">
        <v>284</v>
      </c>
      <c r="V130">
        <v>8</v>
      </c>
      <c r="AA130" s="49" t="s">
        <v>87</v>
      </c>
      <c r="AB130" s="50" t="s">
        <v>37</v>
      </c>
    </row>
    <row r="131" spans="1:28" x14ac:dyDescent="0.4">
      <c r="A131" s="134"/>
      <c r="B131" s="137"/>
      <c r="C131" s="85" t="s">
        <v>311</v>
      </c>
      <c r="D131" s="106" t="s">
        <v>309</v>
      </c>
      <c r="E131" s="106" t="s">
        <v>266</v>
      </c>
      <c r="F131" s="16"/>
      <c r="G131" s="12" t="s">
        <v>267</v>
      </c>
      <c r="H131" s="15"/>
      <c r="I131" s="15"/>
      <c r="J131" s="15">
        <v>1</v>
      </c>
      <c r="K131" s="15">
        <v>1</v>
      </c>
      <c r="L131" s="17"/>
      <c r="M131" s="17"/>
      <c r="N131" s="17"/>
      <c r="O131" s="17"/>
      <c r="P131" s="17"/>
      <c r="Q131" s="17"/>
      <c r="R131" s="17"/>
      <c r="S131" s="15"/>
      <c r="T131" s="25">
        <v>45578</v>
      </c>
      <c r="U131" s="13" t="s">
        <v>284</v>
      </c>
      <c r="V131">
        <v>9</v>
      </c>
      <c r="AA131" s="49" t="s">
        <v>88</v>
      </c>
      <c r="AB131" s="50" t="s">
        <v>74</v>
      </c>
    </row>
    <row r="132" spans="1:28" x14ac:dyDescent="0.4">
      <c r="A132" s="134"/>
      <c r="B132" s="137"/>
      <c r="C132" s="85" t="s">
        <v>312</v>
      </c>
      <c r="D132" s="106" t="s">
        <v>309</v>
      </c>
      <c r="E132" s="106" t="s">
        <v>266</v>
      </c>
      <c r="F132" s="106"/>
      <c r="G132" s="12" t="s">
        <v>267</v>
      </c>
      <c r="H132" s="15"/>
      <c r="I132" s="15"/>
      <c r="J132" s="15">
        <v>1</v>
      </c>
      <c r="K132" s="15">
        <v>1</v>
      </c>
      <c r="L132" s="17"/>
      <c r="M132" s="17"/>
      <c r="N132" s="17"/>
      <c r="O132" s="17"/>
      <c r="P132" s="17"/>
      <c r="Q132" s="17"/>
      <c r="R132" s="17"/>
      <c r="S132" s="15"/>
      <c r="T132" s="25">
        <v>45578</v>
      </c>
      <c r="U132" s="13" t="s">
        <v>284</v>
      </c>
      <c r="V132">
        <v>10</v>
      </c>
      <c r="AA132" s="49" t="s">
        <v>89</v>
      </c>
      <c r="AB132" s="50" t="s">
        <v>36</v>
      </c>
    </row>
    <row r="133" spans="1:28" x14ac:dyDescent="0.4">
      <c r="A133" s="134"/>
      <c r="B133" s="137"/>
      <c r="C133" s="85" t="s">
        <v>313</v>
      </c>
      <c r="D133" s="106" t="s">
        <v>265</v>
      </c>
      <c r="E133" s="106" t="s">
        <v>273</v>
      </c>
      <c r="F133" s="16"/>
      <c r="G133" s="12" t="s">
        <v>267</v>
      </c>
      <c r="H133" s="15"/>
      <c r="I133" s="15"/>
      <c r="J133" s="15"/>
      <c r="K133" s="15"/>
      <c r="L133" s="17"/>
      <c r="M133" s="17">
        <v>1</v>
      </c>
      <c r="N133" s="17">
        <v>1</v>
      </c>
      <c r="O133" s="17"/>
      <c r="P133" s="17"/>
      <c r="Q133" s="17">
        <v>1</v>
      </c>
      <c r="R133" s="17"/>
      <c r="S133" s="15"/>
      <c r="T133" s="25">
        <v>45580</v>
      </c>
      <c r="U133" s="13" t="s">
        <v>268</v>
      </c>
      <c r="V133">
        <v>11</v>
      </c>
      <c r="AA133" s="49" t="s">
        <v>90</v>
      </c>
      <c r="AB133" s="50" t="s">
        <v>58</v>
      </c>
    </row>
    <row r="134" spans="1:28" x14ac:dyDescent="0.4">
      <c r="A134" s="134"/>
      <c r="B134" s="137"/>
      <c r="C134" s="85" t="s">
        <v>314</v>
      </c>
      <c r="D134" s="106" t="s">
        <v>265</v>
      </c>
      <c r="E134" s="106" t="s">
        <v>269</v>
      </c>
      <c r="F134" s="16"/>
      <c r="G134" s="12" t="s">
        <v>267</v>
      </c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>
        <v>45584</v>
      </c>
      <c r="U134" s="13" t="s">
        <v>268</v>
      </c>
      <c r="V134">
        <v>12</v>
      </c>
      <c r="AA134" s="49" t="s">
        <v>91</v>
      </c>
      <c r="AB134" s="50" t="s">
        <v>75</v>
      </c>
    </row>
    <row r="135" spans="1:28" x14ac:dyDescent="0.4">
      <c r="A135" s="134"/>
      <c r="B135" s="137"/>
      <c r="C135" s="85" t="s">
        <v>315</v>
      </c>
      <c r="D135" s="106" t="s">
        <v>265</v>
      </c>
      <c r="E135" s="106" t="s">
        <v>273</v>
      </c>
      <c r="F135" s="16"/>
      <c r="G135" s="12" t="s">
        <v>267</v>
      </c>
      <c r="H135" s="15"/>
      <c r="I135" s="15"/>
      <c r="J135" s="15"/>
      <c r="K135" s="15"/>
      <c r="L135" s="17"/>
      <c r="M135" s="17">
        <v>1</v>
      </c>
      <c r="N135" s="17">
        <v>1</v>
      </c>
      <c r="O135" s="17"/>
      <c r="P135" s="17"/>
      <c r="Q135" s="17">
        <v>1</v>
      </c>
      <c r="R135" s="17"/>
      <c r="S135" s="15"/>
      <c r="T135" s="25">
        <v>45584</v>
      </c>
      <c r="U135" s="13" t="s">
        <v>268</v>
      </c>
      <c r="V135">
        <v>13</v>
      </c>
      <c r="AA135" s="49" t="s">
        <v>92</v>
      </c>
      <c r="AB135" s="50" t="s">
        <v>40</v>
      </c>
    </row>
    <row r="136" spans="1:28" x14ac:dyDescent="0.4">
      <c r="A136" s="134"/>
      <c r="B136" s="137"/>
      <c r="C136" s="85" t="s">
        <v>316</v>
      </c>
      <c r="D136" s="106" t="s">
        <v>296</v>
      </c>
      <c r="E136" s="106" t="s">
        <v>273</v>
      </c>
      <c r="F136" s="16"/>
      <c r="G136" s="12" t="s">
        <v>267</v>
      </c>
      <c r="H136" s="15"/>
      <c r="I136" s="15"/>
      <c r="J136" s="15">
        <v>1</v>
      </c>
      <c r="K136" s="15">
        <v>1</v>
      </c>
      <c r="L136" s="17"/>
      <c r="M136" s="17"/>
      <c r="N136" s="17"/>
      <c r="O136" s="17"/>
      <c r="P136" s="17"/>
      <c r="Q136" s="17"/>
      <c r="R136" s="17"/>
      <c r="S136" s="15"/>
      <c r="T136" s="25">
        <v>45594</v>
      </c>
      <c r="U136" s="13" t="s">
        <v>284</v>
      </c>
      <c r="V136">
        <v>14</v>
      </c>
      <c r="AA136" s="49" t="s">
        <v>93</v>
      </c>
      <c r="AB136" s="50" t="s">
        <v>57</v>
      </c>
    </row>
    <row r="137" spans="1:28" x14ac:dyDescent="0.4">
      <c r="A137" s="134"/>
      <c r="B137" s="137"/>
      <c r="C137" s="85"/>
      <c r="D137" s="106"/>
      <c r="E137" s="106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34"/>
      <c r="B138" s="137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34"/>
      <c r="B139" s="137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4"/>
      <c r="B140" s="137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4"/>
      <c r="B141" s="137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4"/>
      <c r="B142" s="137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4"/>
      <c r="B143" s="137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4"/>
      <c r="B144" s="137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4"/>
      <c r="B145" s="137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4"/>
      <c r="B146" s="137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5"/>
      <c r="B147" s="138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14</v>
      </c>
      <c r="D148" s="112"/>
      <c r="E148" s="29"/>
      <c r="F148" s="29" t="s">
        <v>34</v>
      </c>
      <c r="G148" s="29">
        <f>COUNTIF(G123:G147,"S")</f>
        <v>14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8</v>
      </c>
      <c r="K148" s="29">
        <f t="shared" ref="K148" si="14">SUM(K123:K147)</f>
        <v>8</v>
      </c>
      <c r="L148" s="29">
        <f t="shared" ref="L148" si="15">SUM(L123:L147)</f>
        <v>0</v>
      </c>
      <c r="M148" s="29">
        <f t="shared" ref="M148" si="16">SUM(M123:M147)</f>
        <v>4</v>
      </c>
      <c r="N148" s="29">
        <f t="shared" ref="N148" si="17">SUM(N123:N147)</f>
        <v>4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4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28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AYG088</v>
      </c>
      <c r="B151" s="24">
        <f>B1</f>
        <v>45552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1" t="s">
        <v>115</v>
      </c>
      <c r="Y152" s="132"/>
    </row>
    <row r="153" spans="1:28" ht="20.25" thickTop="1" thickBot="1" x14ac:dyDescent="0.45">
      <c r="A153" s="133">
        <v>6</v>
      </c>
      <c r="B153" s="139">
        <v>27</v>
      </c>
      <c r="C153" s="85" t="s">
        <v>317</v>
      </c>
      <c r="D153" s="106" t="s">
        <v>318</v>
      </c>
      <c r="E153" s="15" t="s">
        <v>279</v>
      </c>
      <c r="F153" s="14"/>
      <c r="G153" s="12" t="s">
        <v>267</v>
      </c>
      <c r="H153" s="13"/>
      <c r="I153" s="13"/>
      <c r="J153" s="13">
        <v>1</v>
      </c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5">
        <v>45573</v>
      </c>
      <c r="U153" s="13" t="s">
        <v>284</v>
      </c>
      <c r="V153">
        <v>1</v>
      </c>
      <c r="X153" s="51" t="s">
        <v>106</v>
      </c>
      <c r="Y153" s="52">
        <f>COUNTIF(U153:U177,"K")</f>
        <v>8</v>
      </c>
      <c r="AA153" s="59" t="s">
        <v>120</v>
      </c>
      <c r="AB153" s="60" t="s">
        <v>121</v>
      </c>
    </row>
    <row r="154" spans="1:28" x14ac:dyDescent="0.4">
      <c r="A154" s="134"/>
      <c r="B154" s="140"/>
      <c r="C154" s="85" t="s">
        <v>319</v>
      </c>
      <c r="D154" s="106" t="s">
        <v>265</v>
      </c>
      <c r="E154" s="15" t="s">
        <v>266</v>
      </c>
      <c r="F154" s="16"/>
      <c r="G154" s="15" t="s">
        <v>267</v>
      </c>
      <c r="H154" s="15"/>
      <c r="I154" s="15"/>
      <c r="J154" s="15"/>
      <c r="K154" s="15"/>
      <c r="L154" s="17"/>
      <c r="M154" s="17">
        <v>1</v>
      </c>
      <c r="N154" s="17">
        <v>1</v>
      </c>
      <c r="O154" s="17"/>
      <c r="P154" s="17"/>
      <c r="Q154" s="17">
        <v>1</v>
      </c>
      <c r="R154" s="17"/>
      <c r="S154" s="15"/>
      <c r="T154" s="25">
        <v>45570</v>
      </c>
      <c r="U154" s="15" t="s">
        <v>268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34"/>
      <c r="B155" s="140"/>
      <c r="C155" s="85" t="s">
        <v>320</v>
      </c>
      <c r="D155" s="106" t="s">
        <v>321</v>
      </c>
      <c r="E155" s="15" t="s">
        <v>266</v>
      </c>
      <c r="F155" s="16"/>
      <c r="G155" s="15" t="s">
        <v>267</v>
      </c>
      <c r="H155" s="13"/>
      <c r="I155" s="15"/>
      <c r="J155" s="15">
        <v>1</v>
      </c>
      <c r="K155" s="15">
        <v>1</v>
      </c>
      <c r="L155" s="17"/>
      <c r="M155" s="17"/>
      <c r="N155" s="17"/>
      <c r="O155" s="17"/>
      <c r="P155" s="17"/>
      <c r="Q155" s="17"/>
      <c r="R155" s="17"/>
      <c r="S155" s="15"/>
      <c r="T155" s="25">
        <v>45592</v>
      </c>
      <c r="U155" s="15" t="s">
        <v>284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34"/>
      <c r="B156" s="140"/>
      <c r="C156" s="85" t="s">
        <v>322</v>
      </c>
      <c r="D156" s="106" t="s">
        <v>321</v>
      </c>
      <c r="E156" s="15" t="s">
        <v>275</v>
      </c>
      <c r="F156" s="16"/>
      <c r="G156" s="15" t="s">
        <v>267</v>
      </c>
      <c r="H156" s="15"/>
      <c r="I156" s="15"/>
      <c r="J156" s="15"/>
      <c r="K156" s="15"/>
      <c r="L156" s="17"/>
      <c r="M156" s="17"/>
      <c r="N156" s="17"/>
      <c r="O156" s="17">
        <v>1</v>
      </c>
      <c r="P156" s="17">
        <v>1</v>
      </c>
      <c r="Q156" s="17">
        <v>1</v>
      </c>
      <c r="R156" s="17">
        <v>1</v>
      </c>
      <c r="S156" s="15"/>
      <c r="T156" s="25">
        <v>45592</v>
      </c>
      <c r="U156" s="15" t="s">
        <v>274</v>
      </c>
      <c r="V156">
        <v>4</v>
      </c>
      <c r="AA156" s="49" t="s">
        <v>83</v>
      </c>
      <c r="AB156" s="50" t="s">
        <v>38</v>
      </c>
    </row>
    <row r="157" spans="1:28" x14ac:dyDescent="0.4">
      <c r="A157" s="134"/>
      <c r="B157" s="140"/>
      <c r="C157" s="85" t="s">
        <v>323</v>
      </c>
      <c r="D157" s="106" t="s">
        <v>321</v>
      </c>
      <c r="E157" s="15" t="s">
        <v>308</v>
      </c>
      <c r="F157" s="16"/>
      <c r="G157" s="15" t="s">
        <v>267</v>
      </c>
      <c r="H157" s="15"/>
      <c r="I157" s="15"/>
      <c r="J157" s="15"/>
      <c r="K157" s="15"/>
      <c r="L157" s="17"/>
      <c r="M157" s="17"/>
      <c r="N157" s="17"/>
      <c r="O157" s="17"/>
      <c r="P157" s="17"/>
      <c r="Q157" s="17"/>
      <c r="R157" s="17"/>
      <c r="S157" s="15">
        <v>1</v>
      </c>
      <c r="T157" s="25">
        <v>45592</v>
      </c>
      <c r="U157" s="15" t="s">
        <v>284</v>
      </c>
      <c r="V157">
        <v>5</v>
      </c>
      <c r="AA157" s="49" t="s">
        <v>84</v>
      </c>
      <c r="AB157" s="50" t="s">
        <v>44</v>
      </c>
    </row>
    <row r="158" spans="1:28" x14ac:dyDescent="0.4">
      <c r="A158" s="134"/>
      <c r="B158" s="140"/>
      <c r="C158" s="85" t="s">
        <v>324</v>
      </c>
      <c r="D158" s="106" t="s">
        <v>265</v>
      </c>
      <c r="E158" s="15" t="s">
        <v>273</v>
      </c>
      <c r="F158" s="16"/>
      <c r="G158" s="13" t="s">
        <v>267</v>
      </c>
      <c r="H158" s="13"/>
      <c r="I158" s="15"/>
      <c r="J158" s="15"/>
      <c r="K158" s="15"/>
      <c r="L158" s="17"/>
      <c r="M158" s="17">
        <v>1</v>
      </c>
      <c r="N158" s="17">
        <v>1</v>
      </c>
      <c r="O158" s="17"/>
      <c r="P158" s="17"/>
      <c r="Q158" s="17">
        <v>1</v>
      </c>
      <c r="R158" s="17"/>
      <c r="S158" s="15"/>
      <c r="T158" s="25">
        <v>45574</v>
      </c>
      <c r="U158" s="15" t="s">
        <v>268</v>
      </c>
      <c r="V158">
        <v>6</v>
      </c>
      <c r="AA158" s="49" t="s">
        <v>85</v>
      </c>
      <c r="AB158" s="50" t="s">
        <v>43</v>
      </c>
    </row>
    <row r="159" spans="1:28" x14ac:dyDescent="0.4">
      <c r="A159" s="134"/>
      <c r="B159" s="140"/>
      <c r="C159" s="85" t="s">
        <v>325</v>
      </c>
      <c r="D159" s="106" t="s">
        <v>265</v>
      </c>
      <c r="E159" s="15" t="s">
        <v>273</v>
      </c>
      <c r="F159" s="16"/>
      <c r="G159" s="15" t="s">
        <v>267</v>
      </c>
      <c r="H159" s="15"/>
      <c r="I159" s="15"/>
      <c r="J159" s="15"/>
      <c r="K159" s="15"/>
      <c r="L159" s="17"/>
      <c r="M159" s="17">
        <v>1</v>
      </c>
      <c r="N159" s="17">
        <v>1</v>
      </c>
      <c r="O159" s="17"/>
      <c r="P159" s="17"/>
      <c r="Q159" s="17"/>
      <c r="R159" s="17"/>
      <c r="S159" s="15"/>
      <c r="T159" s="25">
        <v>45574</v>
      </c>
      <c r="U159" s="15" t="s">
        <v>268</v>
      </c>
      <c r="V159">
        <v>7</v>
      </c>
      <c r="AA159" s="49" t="s">
        <v>86</v>
      </c>
      <c r="AB159" s="50" t="s">
        <v>45</v>
      </c>
    </row>
    <row r="160" spans="1:28" x14ac:dyDescent="0.4">
      <c r="A160" s="134"/>
      <c r="B160" s="140"/>
      <c r="C160" s="85" t="s">
        <v>326</v>
      </c>
      <c r="D160" s="106" t="s">
        <v>276</v>
      </c>
      <c r="E160" s="15" t="s">
        <v>288</v>
      </c>
      <c r="F160" s="16"/>
      <c r="G160" s="15" t="s">
        <v>267</v>
      </c>
      <c r="H160" s="15"/>
      <c r="I160" s="15"/>
      <c r="J160" s="15">
        <v>1</v>
      </c>
      <c r="K160" s="15">
        <v>1</v>
      </c>
      <c r="L160" s="17"/>
      <c r="M160" s="17"/>
      <c r="N160" s="17"/>
      <c r="O160" s="17"/>
      <c r="P160" s="17"/>
      <c r="Q160" s="17"/>
      <c r="R160" s="17"/>
      <c r="S160" s="15"/>
      <c r="T160" s="25">
        <v>45587</v>
      </c>
      <c r="U160" s="15" t="s">
        <v>284</v>
      </c>
      <c r="V160">
        <v>8</v>
      </c>
      <c r="AA160" s="49" t="s">
        <v>87</v>
      </c>
      <c r="AB160" s="50" t="s">
        <v>37</v>
      </c>
    </row>
    <row r="161" spans="1:28" x14ac:dyDescent="0.4">
      <c r="A161" s="134"/>
      <c r="B161" s="140"/>
      <c r="C161" s="85" t="s">
        <v>327</v>
      </c>
      <c r="D161" s="106" t="s">
        <v>276</v>
      </c>
      <c r="E161" s="15" t="s">
        <v>292</v>
      </c>
      <c r="F161" s="16"/>
      <c r="G161" s="15" t="s">
        <v>267</v>
      </c>
      <c r="H161" s="15"/>
      <c r="I161" s="15"/>
      <c r="J161" s="15"/>
      <c r="K161" s="15"/>
      <c r="L161" s="17"/>
      <c r="M161" s="17">
        <v>1</v>
      </c>
      <c r="N161" s="17">
        <v>1</v>
      </c>
      <c r="O161" s="17"/>
      <c r="P161" s="17"/>
      <c r="Q161" s="17"/>
      <c r="R161" s="17"/>
      <c r="S161" s="15"/>
      <c r="T161" s="25">
        <v>45587</v>
      </c>
      <c r="U161" s="15" t="s">
        <v>268</v>
      </c>
      <c r="V161">
        <v>9</v>
      </c>
      <c r="AA161" s="49" t="s">
        <v>88</v>
      </c>
      <c r="AB161" s="50" t="s">
        <v>74</v>
      </c>
    </row>
    <row r="162" spans="1:28" x14ac:dyDescent="0.4">
      <c r="A162" s="134"/>
      <c r="B162" s="140"/>
      <c r="C162" s="85" t="s">
        <v>329</v>
      </c>
      <c r="D162" s="106" t="s">
        <v>328</v>
      </c>
      <c r="E162" s="15" t="s">
        <v>283</v>
      </c>
      <c r="F162" s="16"/>
      <c r="G162" s="15" t="s">
        <v>267</v>
      </c>
      <c r="H162" s="15"/>
      <c r="I162" s="15"/>
      <c r="J162" s="15"/>
      <c r="K162" s="15"/>
      <c r="L162" s="17"/>
      <c r="M162" s="17"/>
      <c r="N162" s="17"/>
      <c r="O162" s="17"/>
      <c r="P162" s="17"/>
      <c r="Q162" s="17"/>
      <c r="R162" s="17"/>
      <c r="S162" s="15"/>
      <c r="T162" s="25">
        <v>45588</v>
      </c>
      <c r="U162" s="15" t="s">
        <v>284</v>
      </c>
      <c r="V162">
        <v>10</v>
      </c>
      <c r="AA162" s="49" t="s">
        <v>89</v>
      </c>
      <c r="AB162" s="50" t="s">
        <v>36</v>
      </c>
    </row>
    <row r="163" spans="1:28" x14ac:dyDescent="0.4">
      <c r="A163" s="134"/>
      <c r="B163" s="140"/>
      <c r="C163" s="85" t="s">
        <v>330</v>
      </c>
      <c r="D163" s="106" t="s">
        <v>328</v>
      </c>
      <c r="E163" s="15" t="s">
        <v>283</v>
      </c>
      <c r="F163" s="16"/>
      <c r="G163" s="15" t="s">
        <v>267</v>
      </c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5">
        <v>45588</v>
      </c>
      <c r="U163" s="15" t="s">
        <v>284</v>
      </c>
      <c r="V163">
        <v>11</v>
      </c>
      <c r="AA163" s="49" t="s">
        <v>90</v>
      </c>
      <c r="AB163" s="50" t="s">
        <v>58</v>
      </c>
    </row>
    <row r="164" spans="1:28" x14ac:dyDescent="0.4">
      <c r="A164" s="134"/>
      <c r="B164" s="140"/>
      <c r="C164" s="85" t="s">
        <v>331</v>
      </c>
      <c r="D164" s="106" t="s">
        <v>328</v>
      </c>
      <c r="E164" s="15" t="s">
        <v>283</v>
      </c>
      <c r="F164" s="16"/>
      <c r="G164" s="15" t="s">
        <v>267</v>
      </c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5">
        <v>45588</v>
      </c>
      <c r="U164" s="15" t="s">
        <v>284</v>
      </c>
      <c r="V164">
        <v>12</v>
      </c>
      <c r="AA164" s="49" t="s">
        <v>91</v>
      </c>
      <c r="AB164" s="50" t="s">
        <v>75</v>
      </c>
    </row>
    <row r="165" spans="1:28" x14ac:dyDescent="0.4">
      <c r="A165" s="134"/>
      <c r="B165" s="140"/>
      <c r="C165" s="85" t="s">
        <v>332</v>
      </c>
      <c r="D165" s="106" t="s">
        <v>303</v>
      </c>
      <c r="E165" s="15" t="s">
        <v>266</v>
      </c>
      <c r="F165" s="16"/>
      <c r="G165" s="15" t="s">
        <v>267</v>
      </c>
      <c r="H165" s="15"/>
      <c r="I165" s="15"/>
      <c r="J165" s="15">
        <v>1</v>
      </c>
      <c r="K165" s="15">
        <v>1</v>
      </c>
      <c r="L165" s="17"/>
      <c r="M165" s="17"/>
      <c r="N165" s="17"/>
      <c r="O165" s="17"/>
      <c r="P165" s="17"/>
      <c r="Q165" s="17"/>
      <c r="R165" s="17"/>
      <c r="S165" s="15"/>
      <c r="T165" s="25">
        <v>45574</v>
      </c>
      <c r="U165" s="105" t="s">
        <v>284</v>
      </c>
      <c r="V165">
        <v>13</v>
      </c>
      <c r="AA165" s="49" t="s">
        <v>92</v>
      </c>
      <c r="AB165" s="50" t="s">
        <v>40</v>
      </c>
    </row>
    <row r="166" spans="1:28" x14ac:dyDescent="0.4">
      <c r="A166" s="134"/>
      <c r="B166" s="140"/>
      <c r="C166" s="85"/>
      <c r="D166" s="106"/>
      <c r="E166" s="15"/>
      <c r="F166" s="16"/>
      <c r="G166" s="15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5"/>
      <c r="U166" s="15"/>
      <c r="V166">
        <v>14</v>
      </c>
      <c r="AA166" s="49" t="s">
        <v>93</v>
      </c>
      <c r="AB166" s="50" t="s">
        <v>57</v>
      </c>
    </row>
    <row r="167" spans="1:28" x14ac:dyDescent="0.4">
      <c r="A167" s="134"/>
      <c r="B167" s="140"/>
      <c r="C167" s="85"/>
      <c r="D167" s="106"/>
      <c r="E167" s="15"/>
      <c r="F167" s="16"/>
      <c r="G167" s="15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25"/>
      <c r="V167">
        <v>15</v>
      </c>
      <c r="AA167" s="49" t="s">
        <v>94</v>
      </c>
      <c r="AB167" s="50" t="s">
        <v>41</v>
      </c>
    </row>
    <row r="168" spans="1:28" x14ac:dyDescent="0.4">
      <c r="A168" s="134"/>
      <c r="B168" s="140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34"/>
      <c r="B169" s="140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4"/>
      <c r="B170" s="140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4"/>
      <c r="B171" s="140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4"/>
      <c r="B172" s="140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4"/>
      <c r="B173" s="140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4"/>
      <c r="B174" s="140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4"/>
      <c r="B175" s="140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4"/>
      <c r="B176" s="140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5"/>
      <c r="B177" s="141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13</v>
      </c>
      <c r="D178" s="112"/>
      <c r="E178" s="29"/>
      <c r="F178" s="29" t="s">
        <v>34</v>
      </c>
      <c r="G178" s="29">
        <f>COUNTIF(G153:G177,"S")</f>
        <v>13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4</v>
      </c>
      <c r="K178" s="29">
        <f t="shared" ref="K178" si="24">SUM(K153:K177)</f>
        <v>4</v>
      </c>
      <c r="L178" s="29">
        <f t="shared" ref="L178" si="25">SUM(L153:L177)</f>
        <v>0</v>
      </c>
      <c r="M178" s="29">
        <f t="shared" ref="M178" si="26">SUM(M153:M177)</f>
        <v>4</v>
      </c>
      <c r="N178" s="29">
        <f t="shared" ref="N178" si="27">SUM(N153:N177)</f>
        <v>4</v>
      </c>
      <c r="O178" s="29">
        <f t="shared" ref="O178" si="28">SUM(O153:O177)</f>
        <v>1</v>
      </c>
      <c r="P178" s="29">
        <f t="shared" ref="P178" si="29">SUM(P153:P177)</f>
        <v>1</v>
      </c>
      <c r="Q178" s="29">
        <f t="shared" ref="Q178" si="30">SUM(Q153:Q177)</f>
        <v>3</v>
      </c>
      <c r="R178" s="29">
        <f t="shared" ref="R178" si="31">SUM(R153:R177)</f>
        <v>1</v>
      </c>
      <c r="S178" s="29">
        <f t="shared" ref="S178" si="32">SUM(S153:S177)</f>
        <v>1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23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174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1" t="s">
        <v>114</v>
      </c>
      <c r="Y182" s="132"/>
    </row>
    <row r="183" spans="1:28" ht="20.25" thickTop="1" thickBot="1" x14ac:dyDescent="0.45">
      <c r="A183" s="133">
        <v>7</v>
      </c>
      <c r="B183" s="139">
        <v>20.2</v>
      </c>
      <c r="C183" s="85" t="s">
        <v>333</v>
      </c>
      <c r="D183" s="110" t="s">
        <v>272</v>
      </c>
      <c r="E183" s="18" t="s">
        <v>279</v>
      </c>
      <c r="F183" s="16"/>
      <c r="G183" s="18" t="s">
        <v>267</v>
      </c>
      <c r="H183" s="15"/>
      <c r="I183" s="15"/>
      <c r="J183" s="18"/>
      <c r="K183" s="15"/>
      <c r="L183" s="19"/>
      <c r="M183" s="19">
        <v>1</v>
      </c>
      <c r="N183" s="19">
        <v>1</v>
      </c>
      <c r="O183" s="19"/>
      <c r="P183" s="19"/>
      <c r="Q183" s="19">
        <v>1</v>
      </c>
      <c r="R183" s="19"/>
      <c r="S183" s="15"/>
      <c r="T183" s="25">
        <v>45575</v>
      </c>
      <c r="U183" s="15" t="s">
        <v>268</v>
      </c>
      <c r="V183">
        <v>1</v>
      </c>
      <c r="X183" s="51" t="s">
        <v>106</v>
      </c>
      <c r="Y183" s="52">
        <f>COUNTIF(U183:U207,"K")</f>
        <v>4</v>
      </c>
      <c r="AA183" s="59" t="s">
        <v>120</v>
      </c>
      <c r="AB183" s="60" t="s">
        <v>121</v>
      </c>
    </row>
    <row r="184" spans="1:28" x14ac:dyDescent="0.4">
      <c r="A184" s="134"/>
      <c r="B184" s="140"/>
      <c r="C184" s="85" t="s">
        <v>335</v>
      </c>
      <c r="D184" s="106" t="s">
        <v>318</v>
      </c>
      <c r="E184" s="15" t="s">
        <v>334</v>
      </c>
      <c r="F184" s="16"/>
      <c r="G184" s="18" t="s">
        <v>267</v>
      </c>
      <c r="H184" s="15"/>
      <c r="I184" s="15"/>
      <c r="J184" s="18">
        <v>1</v>
      </c>
      <c r="K184" s="15"/>
      <c r="L184" s="19">
        <v>1</v>
      </c>
      <c r="M184" s="19"/>
      <c r="N184" s="19"/>
      <c r="O184" s="19"/>
      <c r="P184" s="19"/>
      <c r="Q184" s="19"/>
      <c r="R184" s="19"/>
      <c r="S184" s="15"/>
      <c r="T184" s="25">
        <v>45573</v>
      </c>
      <c r="U184" s="15" t="s">
        <v>284</v>
      </c>
      <c r="V184">
        <v>2</v>
      </c>
      <c r="X184" s="51" t="s">
        <v>107</v>
      </c>
      <c r="Y184" s="52">
        <f>COUNTIF(U183:U207,"R")</f>
        <v>7</v>
      </c>
      <c r="AA184" s="47" t="s">
        <v>81</v>
      </c>
      <c r="AB184" s="48" t="s">
        <v>60</v>
      </c>
    </row>
    <row r="185" spans="1:28" ht="19.5" thickBot="1" x14ac:dyDescent="0.45">
      <c r="A185" s="134"/>
      <c r="B185" s="140"/>
      <c r="C185" s="85" t="s">
        <v>336</v>
      </c>
      <c r="D185" s="106" t="s">
        <v>321</v>
      </c>
      <c r="E185" s="15" t="s">
        <v>269</v>
      </c>
      <c r="F185" s="16"/>
      <c r="G185" s="18" t="s">
        <v>267</v>
      </c>
      <c r="H185" s="15"/>
      <c r="I185" s="15"/>
      <c r="J185" s="15"/>
      <c r="K185" s="15"/>
      <c r="L185" s="17"/>
      <c r="M185" s="17"/>
      <c r="N185" s="17"/>
      <c r="O185" s="17"/>
      <c r="P185" s="17"/>
      <c r="Q185" s="17"/>
      <c r="R185" s="17"/>
      <c r="S185" s="15">
        <v>1</v>
      </c>
      <c r="T185" s="25">
        <v>45581</v>
      </c>
      <c r="U185" s="15" t="s">
        <v>284</v>
      </c>
      <c r="V185">
        <v>3</v>
      </c>
      <c r="X185" s="53" t="s">
        <v>108</v>
      </c>
      <c r="Y185" s="54">
        <f>COUNTIF(U183:U207,"J")</f>
        <v>4</v>
      </c>
      <c r="AA185" s="49" t="s">
        <v>82</v>
      </c>
      <c r="AB185" s="50" t="s">
        <v>39</v>
      </c>
    </row>
    <row r="186" spans="1:28" x14ac:dyDescent="0.4">
      <c r="A186" s="134"/>
      <c r="B186" s="140"/>
      <c r="C186" s="85" t="s">
        <v>337</v>
      </c>
      <c r="D186" s="106" t="s">
        <v>265</v>
      </c>
      <c r="E186" s="13" t="s">
        <v>266</v>
      </c>
      <c r="F186" s="16"/>
      <c r="G186" s="18" t="s">
        <v>267</v>
      </c>
      <c r="H186" s="15"/>
      <c r="I186" s="15"/>
      <c r="J186" s="15">
        <v>1</v>
      </c>
      <c r="K186" s="15">
        <v>1</v>
      </c>
      <c r="L186" s="17"/>
      <c r="M186" s="17"/>
      <c r="N186" s="17"/>
      <c r="O186" s="17"/>
      <c r="P186" s="17"/>
      <c r="Q186" s="17"/>
      <c r="R186" s="17"/>
      <c r="S186" s="15"/>
      <c r="T186" s="25">
        <v>45574</v>
      </c>
      <c r="U186" s="25" t="s">
        <v>284</v>
      </c>
      <c r="V186">
        <v>4</v>
      </c>
      <c r="AA186" s="49" t="s">
        <v>83</v>
      </c>
      <c r="AB186" s="50" t="s">
        <v>38</v>
      </c>
    </row>
    <row r="187" spans="1:28" x14ac:dyDescent="0.4">
      <c r="A187" s="134"/>
      <c r="B187" s="140"/>
      <c r="C187" s="85" t="s">
        <v>338</v>
      </c>
      <c r="D187" s="106" t="s">
        <v>321</v>
      </c>
      <c r="E187" s="13" t="s">
        <v>279</v>
      </c>
      <c r="F187" s="16"/>
      <c r="G187" s="18" t="s">
        <v>267</v>
      </c>
      <c r="H187" s="15"/>
      <c r="I187" s="15"/>
      <c r="J187" s="15"/>
      <c r="K187" s="15"/>
      <c r="L187" s="17"/>
      <c r="M187" s="17">
        <v>1</v>
      </c>
      <c r="N187" s="17"/>
      <c r="O187" s="17"/>
      <c r="P187" s="17"/>
      <c r="Q187" s="17">
        <v>1</v>
      </c>
      <c r="R187" s="17"/>
      <c r="S187" s="15"/>
      <c r="T187" s="25">
        <v>45581</v>
      </c>
      <c r="U187" s="25" t="s">
        <v>268</v>
      </c>
      <c r="V187">
        <v>5</v>
      </c>
      <c r="AA187" s="49" t="s">
        <v>84</v>
      </c>
      <c r="AB187" s="50" t="s">
        <v>44</v>
      </c>
    </row>
    <row r="188" spans="1:28" x14ac:dyDescent="0.4">
      <c r="A188" s="134"/>
      <c r="B188" s="140"/>
      <c r="C188" s="85" t="s">
        <v>339</v>
      </c>
      <c r="D188" s="106" t="s">
        <v>321</v>
      </c>
      <c r="E188" s="13" t="s">
        <v>275</v>
      </c>
      <c r="F188" s="16"/>
      <c r="G188" s="18" t="s">
        <v>267</v>
      </c>
      <c r="H188" s="13"/>
      <c r="I188" s="15"/>
      <c r="J188" s="15"/>
      <c r="K188" s="15"/>
      <c r="L188" s="17"/>
      <c r="M188" s="17"/>
      <c r="N188" s="17"/>
      <c r="O188" s="17">
        <v>1</v>
      </c>
      <c r="P188" s="17"/>
      <c r="Q188" s="17"/>
      <c r="R188" s="17">
        <v>1</v>
      </c>
      <c r="S188" s="15"/>
      <c r="T188" s="25">
        <v>45581</v>
      </c>
      <c r="U188" s="25" t="s">
        <v>274</v>
      </c>
      <c r="V188">
        <v>6</v>
      </c>
      <c r="AA188" s="49" t="s">
        <v>85</v>
      </c>
      <c r="AB188" s="50" t="s">
        <v>43</v>
      </c>
    </row>
    <row r="189" spans="1:28" x14ac:dyDescent="0.4">
      <c r="A189" s="134"/>
      <c r="B189" s="140"/>
      <c r="C189" s="85" t="s">
        <v>340</v>
      </c>
      <c r="D189" s="106" t="s">
        <v>341</v>
      </c>
      <c r="E189" s="13" t="s">
        <v>342</v>
      </c>
      <c r="F189" s="16"/>
      <c r="G189" s="18" t="s">
        <v>267</v>
      </c>
      <c r="H189" s="15"/>
      <c r="I189" s="15"/>
      <c r="J189" s="15">
        <v>1</v>
      </c>
      <c r="K189" s="15">
        <v>1</v>
      </c>
      <c r="L189" s="17"/>
      <c r="M189" s="17"/>
      <c r="N189" s="17"/>
      <c r="O189" s="17"/>
      <c r="P189" s="17"/>
      <c r="Q189" s="17"/>
      <c r="R189" s="17"/>
      <c r="S189" s="15"/>
      <c r="T189" s="25">
        <v>45579</v>
      </c>
      <c r="U189" s="25" t="s">
        <v>284</v>
      </c>
      <c r="V189">
        <v>7</v>
      </c>
      <c r="AA189" s="49" t="s">
        <v>86</v>
      </c>
      <c r="AB189" s="50" t="s">
        <v>45</v>
      </c>
    </row>
    <row r="190" spans="1:28" x14ac:dyDescent="0.4">
      <c r="A190" s="134"/>
      <c r="B190" s="140"/>
      <c r="C190" s="85" t="s">
        <v>343</v>
      </c>
      <c r="D190" s="106" t="s">
        <v>341</v>
      </c>
      <c r="E190" s="13" t="s">
        <v>273</v>
      </c>
      <c r="F190" s="16"/>
      <c r="G190" s="18" t="s">
        <v>267</v>
      </c>
      <c r="H190" s="15"/>
      <c r="I190" s="15"/>
      <c r="J190" s="15"/>
      <c r="K190" s="15"/>
      <c r="L190" s="17"/>
      <c r="M190" s="17">
        <v>1</v>
      </c>
      <c r="N190" s="17">
        <v>1</v>
      </c>
      <c r="O190" s="17"/>
      <c r="P190" s="17"/>
      <c r="Q190" s="17">
        <v>1</v>
      </c>
      <c r="R190" s="17"/>
      <c r="S190" s="15"/>
      <c r="T190" s="25">
        <v>45584</v>
      </c>
      <c r="U190" s="25" t="s">
        <v>268</v>
      </c>
      <c r="V190">
        <v>8</v>
      </c>
      <c r="AA190" s="49" t="s">
        <v>87</v>
      </c>
      <c r="AB190" s="50" t="s">
        <v>37</v>
      </c>
    </row>
    <row r="191" spans="1:28" x14ac:dyDescent="0.4">
      <c r="A191" s="134"/>
      <c r="B191" s="140"/>
      <c r="C191" s="85" t="s">
        <v>344</v>
      </c>
      <c r="D191" s="106" t="s">
        <v>265</v>
      </c>
      <c r="E191" s="13" t="s">
        <v>266</v>
      </c>
      <c r="F191" s="16"/>
      <c r="G191" s="18" t="s">
        <v>267</v>
      </c>
      <c r="H191" s="15"/>
      <c r="I191" s="15"/>
      <c r="J191" s="15"/>
      <c r="K191" s="15"/>
      <c r="L191" s="17"/>
      <c r="M191" s="17">
        <v>1</v>
      </c>
      <c r="N191" s="17">
        <v>1</v>
      </c>
      <c r="O191" s="17"/>
      <c r="P191" s="17"/>
      <c r="Q191" s="17">
        <v>1</v>
      </c>
      <c r="R191" s="17"/>
      <c r="S191" s="15"/>
      <c r="T191" s="25">
        <v>45584</v>
      </c>
      <c r="U191" s="25" t="s">
        <v>268</v>
      </c>
      <c r="V191">
        <v>9</v>
      </c>
      <c r="AA191" s="49" t="s">
        <v>88</v>
      </c>
      <c r="AB191" s="50" t="s">
        <v>74</v>
      </c>
    </row>
    <row r="192" spans="1:28" x14ac:dyDescent="0.4">
      <c r="A192" s="134"/>
      <c r="B192" s="140"/>
      <c r="C192" s="85" t="s">
        <v>345</v>
      </c>
      <c r="D192" s="106" t="s">
        <v>265</v>
      </c>
      <c r="E192" s="13" t="s">
        <v>269</v>
      </c>
      <c r="F192" s="16"/>
      <c r="G192" s="18" t="s">
        <v>267</v>
      </c>
      <c r="H192" s="15"/>
      <c r="I192" s="15"/>
      <c r="J192" s="15"/>
      <c r="K192" s="15"/>
      <c r="L192" s="17"/>
      <c r="M192" s="17"/>
      <c r="N192" s="17"/>
      <c r="O192" s="17"/>
      <c r="P192" s="17"/>
      <c r="Q192" s="17"/>
      <c r="R192" s="17"/>
      <c r="S192" s="15"/>
      <c r="T192" s="25">
        <v>45585</v>
      </c>
      <c r="U192" s="15" t="s">
        <v>268</v>
      </c>
      <c r="V192">
        <v>10</v>
      </c>
      <c r="AA192" s="49" t="s">
        <v>89</v>
      </c>
      <c r="AB192" s="50" t="s">
        <v>36</v>
      </c>
    </row>
    <row r="193" spans="1:28" x14ac:dyDescent="0.4">
      <c r="A193" s="134"/>
      <c r="B193" s="140"/>
      <c r="C193" s="85" t="s">
        <v>346</v>
      </c>
      <c r="D193" s="106" t="s">
        <v>347</v>
      </c>
      <c r="E193" s="13" t="s">
        <v>275</v>
      </c>
      <c r="F193" s="16"/>
      <c r="G193" s="18" t="s">
        <v>267</v>
      </c>
      <c r="H193" s="15"/>
      <c r="I193" s="15"/>
      <c r="J193" s="15"/>
      <c r="K193" s="15"/>
      <c r="L193" s="17"/>
      <c r="M193" s="17"/>
      <c r="N193" s="17"/>
      <c r="O193" s="17">
        <v>1</v>
      </c>
      <c r="P193" s="17">
        <v>1</v>
      </c>
      <c r="Q193" s="17">
        <v>1</v>
      </c>
      <c r="R193" s="17"/>
      <c r="S193" s="15"/>
      <c r="T193" s="25">
        <v>45570</v>
      </c>
      <c r="U193" s="15" t="s">
        <v>274</v>
      </c>
      <c r="V193">
        <v>11</v>
      </c>
      <c r="AA193" s="49" t="s">
        <v>90</v>
      </c>
      <c r="AB193" s="50" t="s">
        <v>58</v>
      </c>
    </row>
    <row r="194" spans="1:28" x14ac:dyDescent="0.4">
      <c r="A194" s="134"/>
      <c r="B194" s="140"/>
      <c r="C194" s="85" t="s">
        <v>348</v>
      </c>
      <c r="D194" s="106" t="s">
        <v>265</v>
      </c>
      <c r="E194" s="13" t="s">
        <v>275</v>
      </c>
      <c r="F194" s="16"/>
      <c r="G194" s="18" t="s">
        <v>267</v>
      </c>
      <c r="H194" s="15"/>
      <c r="I194" s="15"/>
      <c r="J194" s="15"/>
      <c r="K194" s="15"/>
      <c r="L194" s="17"/>
      <c r="M194" s="17"/>
      <c r="N194" s="17"/>
      <c r="O194" s="17">
        <v>1</v>
      </c>
      <c r="P194" s="17">
        <v>1</v>
      </c>
      <c r="Q194" s="17">
        <v>1</v>
      </c>
      <c r="R194" s="17">
        <v>1</v>
      </c>
      <c r="S194" s="15"/>
      <c r="T194" s="25">
        <v>45584</v>
      </c>
      <c r="U194" s="15" t="s">
        <v>274</v>
      </c>
      <c r="V194">
        <v>12</v>
      </c>
      <c r="AA194" s="49" t="s">
        <v>91</v>
      </c>
      <c r="AB194" s="50" t="s">
        <v>75</v>
      </c>
    </row>
    <row r="195" spans="1:28" x14ac:dyDescent="0.4">
      <c r="A195" s="134"/>
      <c r="B195" s="140"/>
      <c r="C195" s="85" t="s">
        <v>349</v>
      </c>
      <c r="D195" s="106" t="s">
        <v>265</v>
      </c>
      <c r="E195" s="15" t="s">
        <v>275</v>
      </c>
      <c r="F195" s="16"/>
      <c r="G195" s="18" t="s">
        <v>267</v>
      </c>
      <c r="H195" s="15"/>
      <c r="I195" s="15"/>
      <c r="J195" s="15"/>
      <c r="K195" s="15"/>
      <c r="L195" s="17"/>
      <c r="M195" s="17"/>
      <c r="N195" s="17"/>
      <c r="O195" s="17">
        <v>1</v>
      </c>
      <c r="P195" s="17">
        <v>1</v>
      </c>
      <c r="Q195" s="17">
        <v>1</v>
      </c>
      <c r="R195" s="17">
        <v>1</v>
      </c>
      <c r="S195" s="15"/>
      <c r="T195" s="25">
        <v>45584</v>
      </c>
      <c r="U195" s="15" t="s">
        <v>274</v>
      </c>
      <c r="V195">
        <v>13</v>
      </c>
      <c r="AA195" s="49" t="s">
        <v>92</v>
      </c>
      <c r="AB195" s="50" t="s">
        <v>40</v>
      </c>
    </row>
    <row r="196" spans="1:28" x14ac:dyDescent="0.4">
      <c r="A196" s="134"/>
      <c r="B196" s="140"/>
      <c r="C196" s="85" t="s">
        <v>351</v>
      </c>
      <c r="D196" s="106" t="s">
        <v>350</v>
      </c>
      <c r="E196" s="15" t="s">
        <v>266</v>
      </c>
      <c r="F196" s="16"/>
      <c r="G196" s="18" t="s">
        <v>267</v>
      </c>
      <c r="H196" s="15"/>
      <c r="I196" s="15"/>
      <c r="J196" s="15">
        <v>1</v>
      </c>
      <c r="K196" s="15">
        <v>1</v>
      </c>
      <c r="L196" s="17"/>
      <c r="M196" s="17"/>
      <c r="N196" s="17">
        <v>1</v>
      </c>
      <c r="O196" s="17"/>
      <c r="P196" s="17"/>
      <c r="Q196" s="17"/>
      <c r="R196" s="17"/>
      <c r="S196" s="15"/>
      <c r="T196" s="25">
        <v>45580</v>
      </c>
      <c r="U196" s="15" t="s">
        <v>268</v>
      </c>
      <c r="V196">
        <v>14</v>
      </c>
      <c r="AA196" s="49" t="s">
        <v>93</v>
      </c>
      <c r="AB196" s="50" t="s">
        <v>57</v>
      </c>
    </row>
    <row r="197" spans="1:28" x14ac:dyDescent="0.4">
      <c r="A197" s="134"/>
      <c r="B197" s="140"/>
      <c r="C197" s="85" t="s">
        <v>352</v>
      </c>
      <c r="D197" s="106" t="s">
        <v>353</v>
      </c>
      <c r="E197" s="15" t="s">
        <v>273</v>
      </c>
      <c r="F197" s="16"/>
      <c r="G197" s="15" t="s">
        <v>267</v>
      </c>
      <c r="H197" s="15"/>
      <c r="I197" s="15"/>
      <c r="J197" s="15"/>
      <c r="K197" s="15"/>
      <c r="L197" s="17"/>
      <c r="M197" s="17">
        <v>1</v>
      </c>
      <c r="N197" s="17">
        <v>1</v>
      </c>
      <c r="O197" s="17"/>
      <c r="P197" s="17"/>
      <c r="Q197" s="17">
        <v>1</v>
      </c>
      <c r="R197" s="17"/>
      <c r="S197" s="15"/>
      <c r="T197" s="25">
        <v>45585</v>
      </c>
      <c r="U197" s="15" t="s">
        <v>268</v>
      </c>
      <c r="V197">
        <v>15</v>
      </c>
      <c r="AA197" s="49" t="s">
        <v>94</v>
      </c>
      <c r="AB197" s="50" t="s">
        <v>41</v>
      </c>
    </row>
    <row r="198" spans="1:28" x14ac:dyDescent="0.4">
      <c r="A198" s="134"/>
      <c r="B198" s="140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34"/>
      <c r="B199" s="140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4"/>
      <c r="B200" s="140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4"/>
      <c r="B201" s="140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4"/>
      <c r="B202" s="140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4"/>
      <c r="B203" s="140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4"/>
      <c r="B204" s="140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4"/>
      <c r="B205" s="140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4"/>
      <c r="B206" s="140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5"/>
      <c r="B207" s="141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15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4</v>
      </c>
      <c r="K208" s="29">
        <f t="shared" ref="K208" si="34">SUM(K183:K207)</f>
        <v>3</v>
      </c>
      <c r="L208" s="29">
        <f t="shared" ref="L208" si="35">SUM(L183:L207)</f>
        <v>1</v>
      </c>
      <c r="M208" s="29">
        <f t="shared" ref="M208" si="36">SUM(M183:M207)</f>
        <v>5</v>
      </c>
      <c r="N208" s="29">
        <f t="shared" ref="N208" si="37">SUM(N183:N207)</f>
        <v>5</v>
      </c>
      <c r="O208" s="29">
        <f t="shared" ref="O208" si="38">SUM(O183:O207)</f>
        <v>4</v>
      </c>
      <c r="P208" s="29">
        <f t="shared" ref="P208" si="39">SUM(P183:P207)</f>
        <v>3</v>
      </c>
      <c r="Q208" s="29">
        <f t="shared" ref="Q208" si="40">SUM(Q183:Q207)</f>
        <v>8</v>
      </c>
      <c r="R208" s="29">
        <f t="shared" ref="R208" si="41">SUM(R183:R207)</f>
        <v>3</v>
      </c>
      <c r="S208" s="29">
        <f t="shared" ref="S208" si="42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37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AYG088</v>
      </c>
      <c r="B211" s="24">
        <f>B1</f>
        <v>45552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1" t="s">
        <v>113</v>
      </c>
      <c r="Y212" s="132"/>
    </row>
    <row r="213" spans="1:28" ht="20.25" thickTop="1" thickBot="1" x14ac:dyDescent="0.45">
      <c r="A213" s="133">
        <v>8</v>
      </c>
      <c r="B213" s="139">
        <v>22.8</v>
      </c>
      <c r="C213" s="85" t="s">
        <v>354</v>
      </c>
      <c r="D213" s="106" t="s">
        <v>328</v>
      </c>
      <c r="E213" s="15" t="s">
        <v>355</v>
      </c>
      <c r="F213" s="16"/>
      <c r="G213" s="15" t="s">
        <v>267</v>
      </c>
      <c r="H213" s="15" t="s">
        <v>356</v>
      </c>
      <c r="I213" s="15"/>
      <c r="J213" s="15">
        <v>2</v>
      </c>
      <c r="K213" s="15"/>
      <c r="L213" s="17"/>
      <c r="M213" s="17"/>
      <c r="N213" s="17"/>
      <c r="O213" s="17"/>
      <c r="P213" s="17"/>
      <c r="Q213" s="17"/>
      <c r="R213" s="17"/>
      <c r="S213" s="15"/>
      <c r="T213" s="25">
        <v>45581</v>
      </c>
      <c r="U213" s="15" t="s">
        <v>284</v>
      </c>
      <c r="V213">
        <v>1</v>
      </c>
      <c r="X213" s="51" t="s">
        <v>106</v>
      </c>
      <c r="Y213" s="52">
        <f>COUNTIF(U213:U237,"K")</f>
        <v>10</v>
      </c>
      <c r="AA213" s="59" t="s">
        <v>120</v>
      </c>
      <c r="AB213" s="60" t="s">
        <v>121</v>
      </c>
    </row>
    <row r="214" spans="1:28" x14ac:dyDescent="0.4">
      <c r="A214" s="134"/>
      <c r="B214" s="140"/>
      <c r="C214" s="85" t="s">
        <v>358</v>
      </c>
      <c r="D214" s="106" t="s">
        <v>328</v>
      </c>
      <c r="E214" s="15" t="s">
        <v>283</v>
      </c>
      <c r="F214" s="16"/>
      <c r="G214" s="15" t="s">
        <v>357</v>
      </c>
      <c r="H214" s="15"/>
      <c r="I214" s="15"/>
      <c r="J214" s="15">
        <v>1</v>
      </c>
      <c r="K214" s="15"/>
      <c r="L214" s="17">
        <v>1</v>
      </c>
      <c r="M214" s="17"/>
      <c r="N214" s="17"/>
      <c r="O214" s="17"/>
      <c r="P214" s="17"/>
      <c r="Q214" s="17"/>
      <c r="R214" s="17"/>
      <c r="S214" s="15"/>
      <c r="T214" s="25">
        <v>45585</v>
      </c>
      <c r="U214" s="15" t="s">
        <v>284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34"/>
      <c r="B215" s="140"/>
      <c r="C215" s="85" t="s">
        <v>359</v>
      </c>
      <c r="D215" s="106" t="s">
        <v>328</v>
      </c>
      <c r="E215" s="15" t="s">
        <v>283</v>
      </c>
      <c r="F215" s="16"/>
      <c r="G215" s="15" t="s">
        <v>357</v>
      </c>
      <c r="H215" s="15"/>
      <c r="I215" s="15"/>
      <c r="J215" s="15">
        <v>1</v>
      </c>
      <c r="K215" s="15"/>
      <c r="L215" s="17">
        <v>1</v>
      </c>
      <c r="M215" s="17"/>
      <c r="N215" s="17"/>
      <c r="O215" s="17"/>
      <c r="P215" s="17"/>
      <c r="Q215" s="17"/>
      <c r="R215" s="17"/>
      <c r="S215" s="15"/>
      <c r="T215" s="25">
        <v>45585</v>
      </c>
      <c r="U215" s="15" t="s">
        <v>284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34"/>
      <c r="B216" s="140"/>
      <c r="C216" s="85" t="s">
        <v>360</v>
      </c>
      <c r="D216" s="106" t="s">
        <v>328</v>
      </c>
      <c r="E216" s="15" t="s">
        <v>283</v>
      </c>
      <c r="F216" s="16"/>
      <c r="G216" s="15" t="s">
        <v>357</v>
      </c>
      <c r="H216" s="15"/>
      <c r="I216" s="15"/>
      <c r="J216" s="15">
        <v>1</v>
      </c>
      <c r="K216" s="15"/>
      <c r="L216" s="19">
        <v>1</v>
      </c>
      <c r="M216" s="19"/>
      <c r="N216" s="19"/>
      <c r="O216" s="19"/>
      <c r="P216" s="19"/>
      <c r="Q216" s="19"/>
      <c r="R216" s="19"/>
      <c r="S216" s="15"/>
      <c r="T216" s="25">
        <v>45585</v>
      </c>
      <c r="U216" s="15" t="s">
        <v>284</v>
      </c>
      <c r="V216">
        <v>4</v>
      </c>
      <c r="AA216" s="49" t="s">
        <v>83</v>
      </c>
      <c r="AB216" s="50" t="s">
        <v>38</v>
      </c>
    </row>
    <row r="217" spans="1:28" x14ac:dyDescent="0.4">
      <c r="A217" s="134"/>
      <c r="B217" s="140"/>
      <c r="C217" s="85" t="s">
        <v>361</v>
      </c>
      <c r="D217" s="106" t="s">
        <v>328</v>
      </c>
      <c r="E217" s="15" t="s">
        <v>283</v>
      </c>
      <c r="F217" s="16"/>
      <c r="G217" s="15" t="s">
        <v>357</v>
      </c>
      <c r="H217" s="15"/>
      <c r="I217" s="15"/>
      <c r="J217" s="18">
        <v>1</v>
      </c>
      <c r="K217" s="15"/>
      <c r="L217" s="19">
        <v>1</v>
      </c>
      <c r="M217" s="19"/>
      <c r="N217" s="19"/>
      <c r="O217" s="19"/>
      <c r="P217" s="19"/>
      <c r="Q217" s="19"/>
      <c r="R217" s="19"/>
      <c r="S217" s="15"/>
      <c r="T217" s="25">
        <v>45585</v>
      </c>
      <c r="U217" s="15" t="s">
        <v>284</v>
      </c>
      <c r="V217">
        <v>5</v>
      </c>
      <c r="AA217" s="49" t="s">
        <v>84</v>
      </c>
      <c r="AB217" s="50" t="s">
        <v>44</v>
      </c>
    </row>
    <row r="218" spans="1:28" x14ac:dyDescent="0.4">
      <c r="A218" s="134"/>
      <c r="B218" s="140"/>
      <c r="C218" s="85" t="s">
        <v>362</v>
      </c>
      <c r="D218" s="106" t="s">
        <v>328</v>
      </c>
      <c r="E218" s="15" t="s">
        <v>283</v>
      </c>
      <c r="F218" s="16"/>
      <c r="G218" s="15" t="s">
        <v>357</v>
      </c>
      <c r="H218" s="15"/>
      <c r="I218" s="15"/>
      <c r="J218" s="18">
        <v>1</v>
      </c>
      <c r="K218" s="15"/>
      <c r="L218" s="19">
        <v>1</v>
      </c>
      <c r="M218" s="19"/>
      <c r="N218" s="19"/>
      <c r="O218" s="19"/>
      <c r="P218" s="19"/>
      <c r="Q218" s="19"/>
      <c r="R218" s="19"/>
      <c r="S218" s="15"/>
      <c r="T218" s="25">
        <v>45585</v>
      </c>
      <c r="U218" s="15" t="s">
        <v>284</v>
      </c>
      <c r="V218">
        <v>6</v>
      </c>
      <c r="AA218" s="49" t="s">
        <v>85</v>
      </c>
      <c r="AB218" s="50" t="s">
        <v>43</v>
      </c>
    </row>
    <row r="219" spans="1:28" x14ac:dyDescent="0.4">
      <c r="A219" s="134"/>
      <c r="B219" s="140"/>
      <c r="C219" s="85" t="s">
        <v>363</v>
      </c>
      <c r="D219" s="106" t="s">
        <v>328</v>
      </c>
      <c r="E219" s="15" t="s">
        <v>283</v>
      </c>
      <c r="F219" s="16"/>
      <c r="G219" s="15" t="s">
        <v>357</v>
      </c>
      <c r="H219" s="15"/>
      <c r="I219" s="15"/>
      <c r="J219" s="18">
        <v>1</v>
      </c>
      <c r="K219" s="15"/>
      <c r="L219" s="19">
        <v>1</v>
      </c>
      <c r="M219" s="19"/>
      <c r="N219" s="19"/>
      <c r="O219" s="19"/>
      <c r="P219" s="19"/>
      <c r="Q219" s="19"/>
      <c r="R219" s="19"/>
      <c r="S219" s="15"/>
      <c r="T219" s="25">
        <v>45585</v>
      </c>
      <c r="U219" s="15" t="s">
        <v>284</v>
      </c>
      <c r="V219">
        <v>7</v>
      </c>
      <c r="AA219" s="49" t="s">
        <v>86</v>
      </c>
      <c r="AB219" s="50" t="s">
        <v>45</v>
      </c>
    </row>
    <row r="220" spans="1:28" x14ac:dyDescent="0.4">
      <c r="A220" s="134"/>
      <c r="B220" s="140"/>
      <c r="C220" s="85" t="s">
        <v>364</v>
      </c>
      <c r="D220" s="106" t="s">
        <v>328</v>
      </c>
      <c r="E220" s="15" t="s">
        <v>283</v>
      </c>
      <c r="F220" s="16"/>
      <c r="G220" s="15" t="s">
        <v>357</v>
      </c>
      <c r="H220" s="15"/>
      <c r="I220" s="15"/>
      <c r="J220" s="18">
        <v>1</v>
      </c>
      <c r="K220" s="15"/>
      <c r="L220" s="19">
        <v>1</v>
      </c>
      <c r="M220" s="19"/>
      <c r="N220" s="19"/>
      <c r="O220" s="19"/>
      <c r="P220" s="19"/>
      <c r="Q220" s="19"/>
      <c r="R220" s="19"/>
      <c r="S220" s="15"/>
      <c r="T220" s="25">
        <v>45585</v>
      </c>
      <c r="U220" s="15" t="s">
        <v>284</v>
      </c>
      <c r="V220">
        <v>8</v>
      </c>
      <c r="AA220" s="49" t="s">
        <v>87</v>
      </c>
      <c r="AB220" s="50" t="s">
        <v>37</v>
      </c>
    </row>
    <row r="221" spans="1:28" x14ac:dyDescent="0.4">
      <c r="A221" s="134"/>
      <c r="B221" s="140"/>
      <c r="C221" s="85" t="s">
        <v>365</v>
      </c>
      <c r="D221" s="106" t="s">
        <v>328</v>
      </c>
      <c r="E221" s="15" t="s">
        <v>355</v>
      </c>
      <c r="F221" s="16"/>
      <c r="G221" s="15" t="s">
        <v>267</v>
      </c>
      <c r="H221" s="15" t="s">
        <v>356</v>
      </c>
      <c r="I221" s="15"/>
      <c r="J221" s="18">
        <v>2</v>
      </c>
      <c r="K221" s="15"/>
      <c r="L221" s="19"/>
      <c r="M221" s="19"/>
      <c r="N221" s="19"/>
      <c r="O221" s="19"/>
      <c r="P221" s="19"/>
      <c r="Q221" s="19"/>
      <c r="R221" s="19"/>
      <c r="S221" s="15"/>
      <c r="T221" s="25">
        <v>45581</v>
      </c>
      <c r="U221" s="15" t="s">
        <v>284</v>
      </c>
      <c r="V221">
        <v>9</v>
      </c>
      <c r="AA221" s="49" t="s">
        <v>88</v>
      </c>
      <c r="AB221" s="50" t="s">
        <v>74</v>
      </c>
    </row>
    <row r="222" spans="1:28" x14ac:dyDescent="0.4">
      <c r="A222" s="134"/>
      <c r="B222" s="140"/>
      <c r="C222" s="85" t="s">
        <v>367</v>
      </c>
      <c r="D222" s="106" t="s">
        <v>296</v>
      </c>
      <c r="E222" s="15" t="s">
        <v>366</v>
      </c>
      <c r="F222" s="16"/>
      <c r="G222" s="15" t="s">
        <v>267</v>
      </c>
      <c r="H222" s="15"/>
      <c r="I222" s="15"/>
      <c r="J222" s="15">
        <v>1</v>
      </c>
      <c r="K222" s="15">
        <v>1</v>
      </c>
      <c r="L222" s="17"/>
      <c r="M222" s="17"/>
      <c r="N222" s="17"/>
      <c r="O222" s="17"/>
      <c r="P222" s="17"/>
      <c r="Q222" s="17"/>
      <c r="R222" s="17"/>
      <c r="S222" s="15"/>
      <c r="T222" s="25">
        <v>45580</v>
      </c>
      <c r="U222" s="15" t="s">
        <v>284</v>
      </c>
      <c r="V222">
        <v>10</v>
      </c>
      <c r="AA222" s="49" t="s">
        <v>89</v>
      </c>
      <c r="AB222" s="50" t="s">
        <v>36</v>
      </c>
    </row>
    <row r="223" spans="1:28" x14ac:dyDescent="0.4">
      <c r="A223" s="134"/>
      <c r="B223" s="140"/>
      <c r="C223" s="85"/>
      <c r="D223" s="106"/>
      <c r="E223" s="15"/>
      <c r="F223" s="16"/>
      <c r="G223" s="15"/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/>
      <c r="U223" s="15"/>
      <c r="V223">
        <v>11</v>
      </c>
      <c r="AA223" s="49" t="s">
        <v>90</v>
      </c>
      <c r="AB223" s="50" t="s">
        <v>58</v>
      </c>
    </row>
    <row r="224" spans="1:28" x14ac:dyDescent="0.4">
      <c r="A224" s="134"/>
      <c r="B224" s="140"/>
      <c r="C224" s="85"/>
      <c r="D224" s="106"/>
      <c r="E224" s="15"/>
      <c r="F224" s="16"/>
      <c r="G224" s="15"/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/>
      <c r="U224" s="15"/>
      <c r="V224">
        <v>12</v>
      </c>
      <c r="AA224" s="49" t="s">
        <v>91</v>
      </c>
      <c r="AB224" s="50" t="s">
        <v>75</v>
      </c>
    </row>
    <row r="225" spans="1:28" x14ac:dyDescent="0.4">
      <c r="A225" s="134"/>
      <c r="B225" s="140"/>
      <c r="C225" s="85"/>
      <c r="D225" s="106"/>
      <c r="E225" s="13"/>
      <c r="F225" s="16"/>
      <c r="G225" s="15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5"/>
      <c r="V225">
        <v>13</v>
      </c>
      <c r="AA225" s="49" t="s">
        <v>92</v>
      </c>
      <c r="AB225" s="50" t="s">
        <v>40</v>
      </c>
    </row>
    <row r="226" spans="1:28" x14ac:dyDescent="0.4">
      <c r="A226" s="134"/>
      <c r="B226" s="140"/>
      <c r="C226" s="85"/>
      <c r="D226" s="106"/>
      <c r="E226" s="13"/>
      <c r="F226" s="16"/>
      <c r="G226" s="15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5"/>
      <c r="V226">
        <v>14</v>
      </c>
      <c r="AA226" s="49" t="s">
        <v>93</v>
      </c>
      <c r="AB226" s="50" t="s">
        <v>57</v>
      </c>
    </row>
    <row r="227" spans="1:28" x14ac:dyDescent="0.4">
      <c r="A227" s="134"/>
      <c r="B227" s="140"/>
      <c r="C227" s="85"/>
      <c r="D227" s="109"/>
      <c r="E227" s="15"/>
      <c r="F227" s="16"/>
      <c r="G227" s="15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6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34"/>
      <c r="B228" s="140"/>
      <c r="C228" s="85"/>
      <c r="D228" s="109"/>
      <c r="E228" s="15"/>
      <c r="F228" s="16"/>
      <c r="G228" s="15"/>
      <c r="H228" s="15"/>
      <c r="I228" s="15"/>
      <c r="J228" s="15"/>
      <c r="K228" s="15"/>
      <c r="L228" s="19"/>
      <c r="M228" s="19"/>
      <c r="N228" s="19"/>
      <c r="O228" s="19"/>
      <c r="P228" s="19"/>
      <c r="Q228" s="19"/>
      <c r="R228" s="19"/>
      <c r="S228" s="15"/>
      <c r="T228" s="26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34"/>
      <c r="B229" s="140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34"/>
      <c r="B230" s="140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4"/>
      <c r="B231" s="140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4"/>
      <c r="B232" s="140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19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4"/>
      <c r="B233" s="140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19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4"/>
      <c r="B234" s="140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4"/>
      <c r="B235" s="140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4"/>
      <c r="B236" s="140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5"/>
      <c r="B237" s="141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10</v>
      </c>
      <c r="D238" s="112"/>
      <c r="E238" s="29"/>
      <c r="F238" s="29" t="s">
        <v>34</v>
      </c>
      <c r="G238" s="29">
        <f>COUNTIF(G213:G237,"S")</f>
        <v>3</v>
      </c>
      <c r="H238" s="29">
        <f>COUNTIF(H213:H237,"E")</f>
        <v>2</v>
      </c>
      <c r="I238" s="29">
        <f>SUM(I213:I237)</f>
        <v>0</v>
      </c>
      <c r="J238" s="29">
        <f t="shared" ref="J238" si="43">SUM(J213:J237)</f>
        <v>12</v>
      </c>
      <c r="K238" s="29">
        <f t="shared" ref="K238" si="44">SUM(K213:K237)</f>
        <v>1</v>
      </c>
      <c r="L238" s="29">
        <f t="shared" ref="L238" si="45">SUM(L213:L237)</f>
        <v>7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7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AYG088</v>
      </c>
      <c r="B241" s="24">
        <f>B1</f>
        <v>45552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5" t="s">
        <v>112</v>
      </c>
      <c r="Y242" s="145"/>
    </row>
    <row r="243" spans="1:28" ht="20.25" thickTop="1" thickBot="1" x14ac:dyDescent="0.45">
      <c r="A243" s="133">
        <v>9</v>
      </c>
      <c r="B243" s="139">
        <v>15.4</v>
      </c>
      <c r="C243" s="85" t="s">
        <v>368</v>
      </c>
      <c r="D243" s="109" t="s">
        <v>321</v>
      </c>
      <c r="E243" s="13" t="s">
        <v>273</v>
      </c>
      <c r="F243" s="14"/>
      <c r="G243" s="12" t="s">
        <v>267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6">
        <v>45592</v>
      </c>
      <c r="U243" s="13" t="s">
        <v>284</v>
      </c>
      <c r="V243">
        <v>1</v>
      </c>
      <c r="X243" t="s">
        <v>106</v>
      </c>
      <c r="Y243">
        <f>COUNTIF(U243:U267,"K")</f>
        <v>2</v>
      </c>
      <c r="AA243" s="59" t="s">
        <v>120</v>
      </c>
      <c r="AB243" s="60" t="s">
        <v>121</v>
      </c>
    </row>
    <row r="244" spans="1:28" x14ac:dyDescent="0.4">
      <c r="A244" s="134"/>
      <c r="B244" s="140"/>
      <c r="C244" s="85" t="s">
        <v>369</v>
      </c>
      <c r="D244" s="109" t="s">
        <v>321</v>
      </c>
      <c r="E244" s="13" t="s">
        <v>269</v>
      </c>
      <c r="F244" s="16"/>
      <c r="G244" s="12" t="s">
        <v>267</v>
      </c>
      <c r="H244" s="15"/>
      <c r="I244" s="15"/>
      <c r="J244" s="15"/>
      <c r="K244" s="15"/>
      <c r="L244" s="17"/>
      <c r="M244" s="17"/>
      <c r="N244" s="17"/>
      <c r="O244" s="17"/>
      <c r="P244" s="17"/>
      <c r="Q244" s="17"/>
      <c r="R244" s="17"/>
      <c r="S244" s="15">
        <v>1</v>
      </c>
      <c r="T244" s="26">
        <v>45592</v>
      </c>
      <c r="U244" s="13" t="s">
        <v>284</v>
      </c>
      <c r="V244">
        <v>2</v>
      </c>
      <c r="X244" t="s">
        <v>107</v>
      </c>
      <c r="Y244">
        <f>COUNTIF(U243:U267,"R")</f>
        <v>3</v>
      </c>
      <c r="AA244" s="47" t="s">
        <v>81</v>
      </c>
      <c r="AB244" s="48" t="s">
        <v>60</v>
      </c>
    </row>
    <row r="245" spans="1:28" x14ac:dyDescent="0.4">
      <c r="A245" s="134"/>
      <c r="B245" s="140"/>
      <c r="C245" s="85" t="s">
        <v>370</v>
      </c>
      <c r="D245" s="109" t="s">
        <v>296</v>
      </c>
      <c r="E245" s="13" t="s">
        <v>273</v>
      </c>
      <c r="F245" s="16"/>
      <c r="G245" s="12" t="s">
        <v>267</v>
      </c>
      <c r="H245" s="15"/>
      <c r="I245" s="15"/>
      <c r="J245" s="15"/>
      <c r="K245" s="15"/>
      <c r="L245" s="17"/>
      <c r="M245" s="17">
        <v>1</v>
      </c>
      <c r="N245" s="17"/>
      <c r="O245" s="17"/>
      <c r="P245" s="17"/>
      <c r="Q245" s="17">
        <v>1</v>
      </c>
      <c r="R245" s="17"/>
      <c r="S245" s="15"/>
      <c r="T245" s="26">
        <v>45583</v>
      </c>
      <c r="U245" s="13" t="s">
        <v>268</v>
      </c>
      <c r="V245">
        <v>3</v>
      </c>
      <c r="X245" t="s">
        <v>108</v>
      </c>
      <c r="Y245">
        <f>COUNTIF(U243:U267,"J")</f>
        <v>1</v>
      </c>
      <c r="AA245" s="49" t="s">
        <v>82</v>
      </c>
      <c r="AB245" s="50" t="s">
        <v>39</v>
      </c>
    </row>
    <row r="246" spans="1:28" x14ac:dyDescent="0.4">
      <c r="A246" s="134"/>
      <c r="B246" s="140"/>
      <c r="C246" s="85" t="s">
        <v>372</v>
      </c>
      <c r="D246" s="109" t="s">
        <v>371</v>
      </c>
      <c r="E246" s="13" t="s">
        <v>366</v>
      </c>
      <c r="F246" s="16"/>
      <c r="G246" s="12" t="s">
        <v>267</v>
      </c>
      <c r="H246" s="15"/>
      <c r="I246" s="15"/>
      <c r="J246" s="15"/>
      <c r="K246" s="15"/>
      <c r="L246" s="17"/>
      <c r="M246" s="17">
        <v>1</v>
      </c>
      <c r="N246" s="17"/>
      <c r="O246" s="17"/>
      <c r="P246" s="17"/>
      <c r="Q246" s="17"/>
      <c r="R246" s="17"/>
      <c r="S246" s="15"/>
      <c r="T246" s="26">
        <v>45575</v>
      </c>
      <c r="U246" s="13" t="s">
        <v>268</v>
      </c>
      <c r="V246">
        <v>4</v>
      </c>
      <c r="AA246" s="49" t="s">
        <v>83</v>
      </c>
      <c r="AB246" s="50" t="s">
        <v>38</v>
      </c>
    </row>
    <row r="247" spans="1:28" x14ac:dyDescent="0.4">
      <c r="A247" s="134"/>
      <c r="B247" s="140"/>
      <c r="C247" s="85" t="s">
        <v>373</v>
      </c>
      <c r="D247" s="109" t="s">
        <v>371</v>
      </c>
      <c r="E247" s="13" t="s">
        <v>275</v>
      </c>
      <c r="F247" s="16"/>
      <c r="G247" s="12" t="s">
        <v>267</v>
      </c>
      <c r="H247" s="15"/>
      <c r="I247" s="15"/>
      <c r="J247" s="15"/>
      <c r="K247" s="15"/>
      <c r="L247" s="17"/>
      <c r="M247" s="17"/>
      <c r="N247" s="17"/>
      <c r="O247" s="17">
        <v>1</v>
      </c>
      <c r="P247" s="17"/>
      <c r="Q247" s="17"/>
      <c r="R247" s="17"/>
      <c r="S247" s="15"/>
      <c r="T247" s="26">
        <v>45585</v>
      </c>
      <c r="U247" s="13" t="s">
        <v>274</v>
      </c>
      <c r="V247">
        <v>5</v>
      </c>
      <c r="AA247" s="49" t="s">
        <v>84</v>
      </c>
      <c r="AB247" s="50" t="s">
        <v>44</v>
      </c>
    </row>
    <row r="248" spans="1:28" x14ac:dyDescent="0.4">
      <c r="A248" s="134"/>
      <c r="B248" s="140"/>
      <c r="C248" s="85" t="s">
        <v>374</v>
      </c>
      <c r="D248" s="109" t="s">
        <v>371</v>
      </c>
      <c r="E248" s="13" t="s">
        <v>266</v>
      </c>
      <c r="F248" s="16"/>
      <c r="G248" s="12" t="s">
        <v>267</v>
      </c>
      <c r="H248" s="13"/>
      <c r="I248" s="15"/>
      <c r="J248" s="15"/>
      <c r="K248" s="15">
        <v>1</v>
      </c>
      <c r="L248" s="17"/>
      <c r="M248" s="17"/>
      <c r="N248" s="17"/>
      <c r="O248" s="17"/>
      <c r="P248" s="17"/>
      <c r="Q248" s="17"/>
      <c r="R248" s="17"/>
      <c r="S248" s="15"/>
      <c r="T248" s="26">
        <v>45585</v>
      </c>
      <c r="U248" s="13" t="s">
        <v>268</v>
      </c>
      <c r="V248">
        <v>6</v>
      </c>
      <c r="AA248" s="49" t="s">
        <v>85</v>
      </c>
      <c r="AB248" s="50" t="s">
        <v>43</v>
      </c>
    </row>
    <row r="249" spans="1:28" x14ac:dyDescent="0.4">
      <c r="A249" s="134"/>
      <c r="B249" s="140"/>
      <c r="C249" s="85"/>
      <c r="D249" s="109"/>
      <c r="E249" s="13"/>
      <c r="F249" s="16"/>
      <c r="G249" s="12"/>
      <c r="H249" s="15"/>
      <c r="I249" s="15"/>
      <c r="J249" s="15"/>
      <c r="K249" s="15"/>
      <c r="L249" s="17"/>
      <c r="M249" s="17"/>
      <c r="N249" s="17"/>
      <c r="O249" s="17"/>
      <c r="P249" s="17"/>
      <c r="Q249" s="17"/>
      <c r="R249" s="17"/>
      <c r="S249" s="15"/>
      <c r="T249" s="26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34"/>
      <c r="B250" s="140"/>
      <c r="C250" s="85"/>
      <c r="D250" s="109"/>
      <c r="E250" s="13"/>
      <c r="F250" s="16"/>
      <c r="G250" s="12"/>
      <c r="H250" s="15"/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/>
      <c r="T250" s="26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34"/>
      <c r="B251" s="140"/>
      <c r="C251" s="85"/>
      <c r="D251" s="109"/>
      <c r="E251" s="13"/>
      <c r="F251" s="16"/>
      <c r="G251" s="12"/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34"/>
      <c r="B252" s="140"/>
      <c r="C252" s="85"/>
      <c r="D252" s="109"/>
      <c r="E252" s="13"/>
      <c r="F252" s="16"/>
      <c r="G252" s="12"/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34"/>
      <c r="B253" s="140"/>
      <c r="C253" s="85"/>
      <c r="D253" s="109"/>
      <c r="E253" s="13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6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34"/>
      <c r="B254" s="140"/>
      <c r="C254" s="85"/>
      <c r="D254" s="109"/>
      <c r="E254" s="13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6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34"/>
      <c r="B255" s="140"/>
      <c r="C255" s="85"/>
      <c r="D255" s="109"/>
      <c r="E255" s="13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6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34"/>
      <c r="B256" s="140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34"/>
      <c r="B257" s="140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34"/>
      <c r="B258" s="140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34"/>
      <c r="B259" s="140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34"/>
      <c r="B260" s="140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4"/>
      <c r="B261" s="140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4"/>
      <c r="B262" s="140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4"/>
      <c r="B263" s="140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4"/>
      <c r="B264" s="140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4"/>
      <c r="B265" s="140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4"/>
      <c r="B266" s="140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5"/>
      <c r="B267" s="141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6</v>
      </c>
      <c r="D268" s="112"/>
      <c r="E268" s="29"/>
      <c r="F268" s="29" t="s">
        <v>34</v>
      </c>
      <c r="G268" s="29">
        <f>COUNTIF(G243:G267,"S")</f>
        <v>6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</v>
      </c>
      <c r="K268" s="29">
        <f t="shared" ref="K268" si="54">SUM(K243:K267)</f>
        <v>2</v>
      </c>
      <c r="L268" s="29">
        <f t="shared" ref="L268" si="55">SUM(L243:L267)</f>
        <v>0</v>
      </c>
      <c r="M268" s="29">
        <f t="shared" ref="M268" si="56">SUM(M243:M267)</f>
        <v>2</v>
      </c>
      <c r="N268" s="29">
        <f t="shared" ref="N268" si="57">SUM(N243:N267)</f>
        <v>0</v>
      </c>
      <c r="O268" s="29">
        <f t="shared" ref="O268" si="58">SUM(O243:O267)</f>
        <v>1</v>
      </c>
      <c r="P268" s="29">
        <f t="shared" ref="P268" si="59">SUM(P243:P267)</f>
        <v>0</v>
      </c>
      <c r="Q268" s="29">
        <f t="shared" ref="Q268" si="60">SUM(Q243:Q267)</f>
        <v>1</v>
      </c>
      <c r="R268" s="29">
        <f t="shared" ref="R268" si="61">SUM(R243:R267)</f>
        <v>0</v>
      </c>
      <c r="S268" s="29">
        <f t="shared" ref="S268" si="62">SUM(S243:S267)</f>
        <v>1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8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AYG088</v>
      </c>
      <c r="B271" s="24">
        <f>B1</f>
        <v>45552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1" t="s">
        <v>111</v>
      </c>
      <c r="Y272" s="132"/>
    </row>
    <row r="273" spans="1:28" ht="20.25" thickTop="1" thickBot="1" x14ac:dyDescent="0.45">
      <c r="A273" s="133">
        <v>10</v>
      </c>
      <c r="B273" s="139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34"/>
      <c r="B274" s="140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34"/>
      <c r="B275" s="140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34"/>
      <c r="B276" s="140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34"/>
      <c r="B277" s="140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34"/>
      <c r="B278" s="140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34"/>
      <c r="B279" s="140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34"/>
      <c r="B280" s="140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34"/>
      <c r="B281" s="140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34"/>
      <c r="B282" s="140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34"/>
      <c r="B283" s="140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34"/>
      <c r="B284" s="140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34"/>
      <c r="B285" s="140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34"/>
      <c r="B286" s="140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34"/>
      <c r="B287" s="140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34"/>
      <c r="B288" s="140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34"/>
      <c r="B289" s="140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4"/>
      <c r="B290" s="140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4"/>
      <c r="B291" s="140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4"/>
      <c r="B292" s="140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4"/>
      <c r="B293" s="140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4"/>
      <c r="B294" s="140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4"/>
      <c r="B295" s="140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4"/>
      <c r="B296" s="140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5"/>
      <c r="B297" s="141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AYG088</v>
      </c>
      <c r="B301" s="24">
        <f>B1</f>
        <v>45552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1" t="s">
        <v>110</v>
      </c>
      <c r="Y302" s="132"/>
    </row>
    <row r="303" spans="1:28" ht="20.25" thickTop="1" thickBot="1" x14ac:dyDescent="0.45">
      <c r="A303" s="133">
        <v>11</v>
      </c>
      <c r="B303" s="139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34"/>
      <c r="B304" s="140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34"/>
      <c r="B305" s="140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34"/>
      <c r="B306" s="140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34"/>
      <c r="B307" s="140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34"/>
      <c r="B308" s="140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34"/>
      <c r="B309" s="140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34"/>
      <c r="B310" s="140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34"/>
      <c r="B311" s="140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34"/>
      <c r="B312" s="140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34"/>
      <c r="B313" s="140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34"/>
      <c r="B314" s="140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34"/>
      <c r="B315" s="140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34"/>
      <c r="B316" s="140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34"/>
      <c r="B317" s="140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34"/>
      <c r="B318" s="140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4"/>
      <c r="B319" s="140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4"/>
      <c r="B320" s="140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4"/>
      <c r="B321" s="140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4"/>
      <c r="B322" s="140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4"/>
      <c r="B323" s="140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4"/>
      <c r="B324" s="140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4"/>
      <c r="B325" s="140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4"/>
      <c r="B326" s="140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5"/>
      <c r="B327" s="141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AYG088</v>
      </c>
      <c r="B331" s="24">
        <f>B151</f>
        <v>45552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1" t="s">
        <v>109</v>
      </c>
      <c r="Y332" s="132"/>
    </row>
    <row r="333" spans="1:28" ht="20.25" thickTop="1" thickBot="1" x14ac:dyDescent="0.45">
      <c r="A333" s="133">
        <v>12</v>
      </c>
      <c r="B333" s="139"/>
      <c r="C333" s="86"/>
      <c r="D333" s="109"/>
      <c r="E333" s="13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34"/>
      <c r="B334" s="140"/>
      <c r="C334" s="86"/>
      <c r="D334" s="109"/>
      <c r="E334" s="15"/>
      <c r="F334" s="16"/>
      <c r="G334" s="15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34"/>
      <c r="B335" s="140"/>
      <c r="C335" s="86"/>
      <c r="D335" s="109"/>
      <c r="E335" s="15"/>
      <c r="F335" s="16"/>
      <c r="G335" s="15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34"/>
      <c r="B336" s="140"/>
      <c r="C336" s="86"/>
      <c r="D336" s="109"/>
      <c r="E336" s="15"/>
      <c r="F336" s="16"/>
      <c r="G336" s="15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34"/>
      <c r="B337" s="140"/>
      <c r="C337" s="86"/>
      <c r="D337" s="109"/>
      <c r="E337" s="15"/>
      <c r="F337" s="16"/>
      <c r="G337" s="15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34"/>
      <c r="B338" s="140"/>
      <c r="C338" s="86"/>
      <c r="D338" s="109"/>
      <c r="E338" s="15"/>
      <c r="F338" s="16"/>
      <c r="G338" s="15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34"/>
      <c r="B339" s="140"/>
      <c r="C339" s="86"/>
      <c r="D339" s="109"/>
      <c r="E339" s="15"/>
      <c r="F339" s="16"/>
      <c r="G339" s="15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34"/>
      <c r="B340" s="140"/>
      <c r="C340" s="86"/>
      <c r="D340" s="109"/>
      <c r="E340" s="15"/>
      <c r="F340" s="16"/>
      <c r="G340" s="15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34"/>
      <c r="B341" s="140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34"/>
      <c r="B342" s="140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34"/>
      <c r="B343" s="140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34"/>
      <c r="B344" s="140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34"/>
      <c r="B345" s="140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34"/>
      <c r="B346" s="140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4"/>
      <c r="B347" s="140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4"/>
      <c r="B348" s="140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4"/>
      <c r="B349" s="140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4"/>
      <c r="B350" s="140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4"/>
      <c r="B351" s="140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4"/>
      <c r="B352" s="140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4"/>
      <c r="B353" s="140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4"/>
      <c r="B354" s="140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4"/>
      <c r="B355" s="140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4"/>
      <c r="B356" s="140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5"/>
      <c r="B357" s="141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1" t="s">
        <v>138</v>
      </c>
      <c r="Y362" s="132"/>
    </row>
    <row r="363" spans="1:28" ht="19.5" thickTop="1" x14ac:dyDescent="0.4">
      <c r="A363" s="133">
        <v>13</v>
      </c>
      <c r="B363" s="139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34"/>
      <c r="B364" s="140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34"/>
      <c r="B365" s="140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4"/>
      <c r="B366" s="140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34"/>
      <c r="B367" s="140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34"/>
      <c r="B368" s="140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34"/>
      <c r="B369" s="140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34"/>
      <c r="B370" s="140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34"/>
      <c r="B371" s="140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34"/>
      <c r="B372" s="140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34"/>
      <c r="B373" s="140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34"/>
      <c r="B374" s="140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34"/>
      <c r="B375" s="140"/>
      <c r="C375" s="86"/>
      <c r="D375" s="106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34"/>
      <c r="B376" s="140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4"/>
      <c r="B377" s="140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4"/>
      <c r="B378" s="140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4"/>
      <c r="B379" s="140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4"/>
      <c r="B380" s="140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4"/>
      <c r="B381" s="140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4"/>
      <c r="B382" s="140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4"/>
      <c r="B383" s="140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4"/>
      <c r="B384" s="140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4"/>
      <c r="B385" s="140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4"/>
      <c r="B386" s="140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5"/>
      <c r="B387" s="141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1" t="s">
        <v>139</v>
      </c>
      <c r="Y392" s="132"/>
    </row>
    <row r="393" spans="1:25" ht="19.5" thickTop="1" x14ac:dyDescent="0.4">
      <c r="A393" s="133">
        <v>14</v>
      </c>
      <c r="B393" s="139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4"/>
      <c r="B394" s="140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4"/>
      <c r="B395" s="140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4"/>
      <c r="B396" s="140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4"/>
      <c r="B397" s="140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4"/>
      <c r="B398" s="140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4"/>
      <c r="B399" s="140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4"/>
      <c r="B400" s="140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4"/>
      <c r="B401" s="140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4"/>
      <c r="B402" s="140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4"/>
      <c r="B403" s="140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4"/>
      <c r="B404" s="140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4"/>
      <c r="B405" s="140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4"/>
      <c r="B406" s="140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4"/>
      <c r="B407" s="140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4"/>
      <c r="B408" s="140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4"/>
      <c r="B409" s="140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4"/>
      <c r="B410" s="140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4"/>
      <c r="B411" s="140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4"/>
      <c r="B412" s="140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4"/>
      <c r="B413" s="140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4"/>
      <c r="B414" s="140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4"/>
      <c r="B415" s="140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4"/>
      <c r="B416" s="140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5"/>
      <c r="B417" s="141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1" t="s">
        <v>140</v>
      </c>
      <c r="Y422" s="132"/>
    </row>
    <row r="423" spans="1:25" ht="19.5" thickTop="1" x14ac:dyDescent="0.4">
      <c r="A423" s="133">
        <v>15</v>
      </c>
      <c r="B423" s="139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4"/>
      <c r="B424" s="140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4"/>
      <c r="B425" s="140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4"/>
      <c r="B426" s="140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4"/>
      <c r="B427" s="140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4"/>
      <c r="B428" s="140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4"/>
      <c r="B429" s="140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4"/>
      <c r="B430" s="140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4"/>
      <c r="B431" s="140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4"/>
      <c r="B432" s="140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4"/>
      <c r="B433" s="140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4"/>
      <c r="B434" s="140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4"/>
      <c r="B435" s="140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4"/>
      <c r="B436" s="140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4"/>
      <c r="B437" s="140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4"/>
      <c r="B438" s="140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4"/>
      <c r="B439" s="140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4"/>
      <c r="B440" s="140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4"/>
      <c r="B441" s="140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4"/>
      <c r="B442" s="140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4"/>
      <c r="B443" s="140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4"/>
      <c r="B444" s="140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4"/>
      <c r="B445" s="140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4"/>
      <c r="B446" s="140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5"/>
      <c r="B447" s="141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1" t="s">
        <v>105</v>
      </c>
      <c r="Y451" s="132"/>
    </row>
    <row r="452" spans="1:25" ht="19.5" thickTop="1" x14ac:dyDescent="0.4">
      <c r="A452" s="133">
        <v>16</v>
      </c>
      <c r="B452" s="136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4"/>
      <c r="B453" s="137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4"/>
      <c r="B454" s="137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4"/>
      <c r="B455" s="137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4"/>
      <c r="B456" s="137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4"/>
      <c r="B457" s="137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4"/>
      <c r="B458" s="137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4"/>
      <c r="B459" s="137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4"/>
      <c r="B460" s="137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4"/>
      <c r="B461" s="137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4"/>
      <c r="B462" s="137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4"/>
      <c r="B463" s="137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4"/>
      <c r="B464" s="137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4"/>
      <c r="B465" s="137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4"/>
      <c r="B466" s="137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4"/>
      <c r="B467" s="137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4"/>
      <c r="B468" s="137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4"/>
      <c r="B469" s="137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4"/>
      <c r="B470" s="137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4"/>
      <c r="B471" s="137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4"/>
      <c r="B472" s="137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4"/>
      <c r="B473" s="137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4"/>
      <c r="B474" s="137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4"/>
      <c r="B475" s="137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5"/>
      <c r="B476" s="138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scale="14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5" t="s">
        <v>47</v>
      </c>
      <c r="C26" s="155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6"/>
      <c r="C27" s="156"/>
      <c r="D27" s="157">
        <f>SUM(D26:F26)</f>
        <v>116</v>
      </c>
      <c r="E27" s="157"/>
      <c r="F27" s="157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6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O936"/>
  <sheetViews>
    <sheetView zoomScaleNormal="100" workbookViewId="0">
      <selection sqref="A1:D22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14" width="16.625" customWidth="1"/>
    <col min="15" max="15" width="11" customWidth="1"/>
    <col min="16" max="16" width="10.5" style="121" customWidth="1"/>
    <col min="17" max="17" width="10.25" style="121" customWidth="1"/>
    <col min="18" max="18" width="10.875" style="121" customWidth="1"/>
    <col min="19" max="32" width="16.625" customWidth="1"/>
    <col min="33" max="33" width="20.5" customWidth="1"/>
    <col min="38" max="38" width="12.375" customWidth="1"/>
    <col min="39" max="39" width="11.25" customWidth="1"/>
    <col min="40" max="40" width="10.5" customWidth="1"/>
    <col min="41" max="41" width="10.25" customWidth="1"/>
  </cols>
  <sheetData>
    <row r="1" spans="1:37" x14ac:dyDescent="0.4">
      <c r="A1" s="120" t="s">
        <v>188</v>
      </c>
      <c r="B1" s="121"/>
      <c r="C1" s="121"/>
      <c r="D1" s="121"/>
      <c r="I1" t="s">
        <v>143</v>
      </c>
      <c r="J1" t="s">
        <v>144</v>
      </c>
      <c r="O1" s="120"/>
      <c r="AG1" t="s">
        <v>143</v>
      </c>
      <c r="AH1" t="s">
        <v>144</v>
      </c>
    </row>
    <row r="2" spans="1:37" ht="19.5" x14ac:dyDescent="0.4">
      <c r="A2" s="116"/>
      <c r="B2" s="123" t="s">
        <v>146</v>
      </c>
      <c r="C2" s="123" t="s">
        <v>147</v>
      </c>
      <c r="D2" s="123" t="s">
        <v>148</v>
      </c>
      <c r="I2" s="25">
        <v>45570</v>
      </c>
      <c r="J2" s="13" t="s">
        <v>142</v>
      </c>
      <c r="O2" s="116"/>
      <c r="P2" s="123"/>
      <c r="Q2" s="123"/>
      <c r="R2" s="123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25">
        <v>45258</v>
      </c>
      <c r="AH2" s="13" t="s">
        <v>162</v>
      </c>
      <c r="AK2" s="114"/>
    </row>
    <row r="3" spans="1:37" ht="19.5" x14ac:dyDescent="0.4">
      <c r="A3" s="117">
        <v>45570</v>
      </c>
      <c r="B3" s="123">
        <v>2</v>
      </c>
      <c r="C3" s="123">
        <v>1</v>
      </c>
      <c r="D3" s="123">
        <v>1</v>
      </c>
      <c r="G3" s="115"/>
      <c r="H3" s="115"/>
      <c r="I3" s="25">
        <v>45570</v>
      </c>
      <c r="J3" s="13" t="s">
        <v>146</v>
      </c>
      <c r="O3" s="116"/>
      <c r="P3" s="123"/>
      <c r="Q3" s="123"/>
      <c r="R3" s="123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25"/>
      <c r="AH3" s="13"/>
      <c r="AK3" s="114"/>
    </row>
    <row r="4" spans="1:37" ht="19.5" x14ac:dyDescent="0.4">
      <c r="A4" s="117">
        <v>45572</v>
      </c>
      <c r="B4" s="123">
        <v>2</v>
      </c>
      <c r="C4" s="123">
        <v>4</v>
      </c>
      <c r="D4" s="123"/>
      <c r="I4" s="25">
        <v>45570</v>
      </c>
      <c r="J4" s="13" t="s">
        <v>268</v>
      </c>
      <c r="O4" s="116"/>
      <c r="P4" s="123"/>
      <c r="Q4" s="123"/>
      <c r="R4" s="123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25"/>
      <c r="AH4" s="13"/>
      <c r="AK4" s="114"/>
    </row>
    <row r="5" spans="1:37" ht="19.5" x14ac:dyDescent="0.4">
      <c r="A5" s="117">
        <v>45573</v>
      </c>
      <c r="B5" s="123">
        <v>7</v>
      </c>
      <c r="C5" s="123">
        <v>3</v>
      </c>
      <c r="D5" s="123">
        <v>1</v>
      </c>
      <c r="F5" s="115"/>
      <c r="G5" s="115"/>
      <c r="H5" s="115"/>
      <c r="I5" s="25">
        <v>45570</v>
      </c>
      <c r="J5" s="13" t="s">
        <v>274</v>
      </c>
      <c r="O5" s="116"/>
      <c r="P5" s="123"/>
      <c r="Q5" s="123"/>
      <c r="R5" s="123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25"/>
      <c r="AH5" s="13"/>
      <c r="AK5" s="114"/>
    </row>
    <row r="6" spans="1:37" ht="19.5" x14ac:dyDescent="0.4">
      <c r="A6" s="117">
        <v>45574</v>
      </c>
      <c r="B6" s="123">
        <v>6</v>
      </c>
      <c r="C6" s="123">
        <v>4</v>
      </c>
      <c r="D6" s="123">
        <v>1</v>
      </c>
      <c r="F6" s="115"/>
      <c r="G6" s="115"/>
      <c r="H6" s="115" t="s">
        <v>179</v>
      </c>
      <c r="I6" s="13">
        <f>SUBTOTAL(3,I2:I5)</f>
        <v>4</v>
      </c>
      <c r="J6" s="13">
        <f>SUBTOTAL(3,J2:J5)</f>
        <v>4</v>
      </c>
      <c r="O6" s="116"/>
      <c r="P6" s="123"/>
      <c r="Q6" s="123"/>
      <c r="R6" s="123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25"/>
      <c r="AH6" s="13"/>
      <c r="AK6" s="114"/>
    </row>
    <row r="7" spans="1:37" ht="19.5" x14ac:dyDescent="0.4">
      <c r="A7" s="117">
        <v>45575</v>
      </c>
      <c r="B7" s="123">
        <v>4</v>
      </c>
      <c r="C7" s="123">
        <v>3</v>
      </c>
      <c r="D7" s="123">
        <v>1</v>
      </c>
      <c r="F7" s="115"/>
      <c r="G7" s="115"/>
      <c r="H7" s="115"/>
      <c r="I7" s="25">
        <v>45572</v>
      </c>
      <c r="J7" s="13" t="s">
        <v>147</v>
      </c>
      <c r="O7" s="116"/>
      <c r="P7" s="123"/>
      <c r="Q7" s="123"/>
      <c r="R7" s="123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25"/>
      <c r="AH7" s="13"/>
      <c r="AK7" s="114"/>
    </row>
    <row r="8" spans="1:37" ht="19.5" x14ac:dyDescent="0.4">
      <c r="A8" s="117">
        <v>45578</v>
      </c>
      <c r="B8" s="123">
        <v>18</v>
      </c>
      <c r="C8" s="123">
        <v>3</v>
      </c>
      <c r="D8" s="123">
        <v>1</v>
      </c>
      <c r="F8" s="115"/>
      <c r="G8" s="115"/>
      <c r="H8" s="115"/>
      <c r="I8" s="25">
        <v>45572</v>
      </c>
      <c r="J8" s="13" t="s">
        <v>147</v>
      </c>
      <c r="O8" s="116"/>
      <c r="P8" s="123"/>
      <c r="Q8" s="123"/>
      <c r="R8" s="123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25"/>
      <c r="AH8" s="13"/>
      <c r="AK8" s="114"/>
    </row>
    <row r="9" spans="1:37" ht="19.5" x14ac:dyDescent="0.4">
      <c r="A9" s="117">
        <v>45579</v>
      </c>
      <c r="B9" s="123">
        <v>1</v>
      </c>
      <c r="C9" s="123">
        <v>1</v>
      </c>
      <c r="D9" s="123"/>
      <c r="I9" s="25">
        <v>45572</v>
      </c>
      <c r="J9" s="13" t="s">
        <v>147</v>
      </c>
      <c r="O9" s="117"/>
      <c r="P9" s="123"/>
      <c r="Q9" s="123"/>
      <c r="R9" s="123"/>
      <c r="W9" s="115"/>
      <c r="X9" s="115"/>
      <c r="Y9" s="115"/>
      <c r="Z9" s="115"/>
      <c r="AA9" s="115"/>
      <c r="AB9" s="115"/>
      <c r="AC9" s="115"/>
      <c r="AD9" s="115"/>
      <c r="AE9" s="115"/>
      <c r="AF9" s="115" t="s">
        <v>149</v>
      </c>
      <c r="AG9" s="13">
        <f>SUBTOTAL(3,AG2:AG2)</f>
        <v>1</v>
      </c>
      <c r="AH9" s="13">
        <f>SUBTOTAL(3,AH2:AH2)</f>
        <v>1</v>
      </c>
      <c r="AK9" s="114"/>
    </row>
    <row r="10" spans="1:37" ht="19.5" x14ac:dyDescent="0.4">
      <c r="A10" s="117">
        <v>45580</v>
      </c>
      <c r="B10" s="123">
        <v>1</v>
      </c>
      <c r="C10" s="123">
        <v>2</v>
      </c>
      <c r="D10" s="123"/>
      <c r="G10" s="115"/>
      <c r="H10" s="115"/>
      <c r="I10" s="25">
        <v>45572</v>
      </c>
      <c r="J10" s="13" t="s">
        <v>146</v>
      </c>
      <c r="O10" s="117"/>
      <c r="P10" s="123"/>
      <c r="Q10" s="123"/>
      <c r="R10" s="123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3"/>
      <c r="AH10" s="13"/>
      <c r="AK10" s="114"/>
    </row>
    <row r="11" spans="1:37" ht="19.5" x14ac:dyDescent="0.4">
      <c r="A11" s="117">
        <v>45581</v>
      </c>
      <c r="B11" s="123">
        <v>3</v>
      </c>
      <c r="C11" s="123">
        <v>2</v>
      </c>
      <c r="D11" s="123">
        <v>1</v>
      </c>
      <c r="I11" s="25">
        <v>45572</v>
      </c>
      <c r="J11" s="13" t="s">
        <v>147</v>
      </c>
      <c r="O11" s="117"/>
      <c r="P11" s="123"/>
      <c r="Q11" s="123"/>
      <c r="R11" s="123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3"/>
      <c r="AH11" s="13"/>
      <c r="AK11" s="114"/>
    </row>
    <row r="12" spans="1:37" ht="19.5" x14ac:dyDescent="0.4">
      <c r="A12" s="117">
        <v>45583</v>
      </c>
      <c r="B12" s="123"/>
      <c r="C12" s="123">
        <v>1</v>
      </c>
      <c r="D12" s="123"/>
      <c r="G12" s="115"/>
      <c r="H12" s="115"/>
      <c r="I12" s="25">
        <v>45572</v>
      </c>
      <c r="J12" s="13" t="s">
        <v>146</v>
      </c>
      <c r="O12" s="117"/>
      <c r="P12" s="123"/>
      <c r="Q12" s="123"/>
      <c r="R12" s="123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3"/>
      <c r="AH12" s="13"/>
      <c r="AK12" s="114"/>
    </row>
    <row r="13" spans="1:37" ht="19.5" x14ac:dyDescent="0.4">
      <c r="A13" s="117">
        <v>45584</v>
      </c>
      <c r="B13" s="123"/>
      <c r="C13" s="123">
        <v>5</v>
      </c>
      <c r="D13" s="123">
        <v>2</v>
      </c>
      <c r="G13" s="115"/>
      <c r="H13" s="115" t="s">
        <v>180</v>
      </c>
      <c r="I13" s="13">
        <f>SUBTOTAL(3,I7:I12)</f>
        <v>6</v>
      </c>
      <c r="J13" s="13">
        <f>SUBTOTAL(3,J7:J12)</f>
        <v>6</v>
      </c>
      <c r="O13" s="117"/>
      <c r="P13" s="123"/>
      <c r="Q13" s="123"/>
      <c r="R13" s="123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3"/>
      <c r="AH13" s="13"/>
      <c r="AK13" s="114"/>
    </row>
    <row r="14" spans="1:37" ht="19.5" x14ac:dyDescent="0.4">
      <c r="A14" s="117">
        <v>45585</v>
      </c>
      <c r="B14" s="123">
        <v>7</v>
      </c>
      <c r="C14" s="123">
        <v>3</v>
      </c>
      <c r="D14" s="123">
        <v>1</v>
      </c>
      <c r="F14" s="115"/>
      <c r="G14" s="115"/>
      <c r="H14" s="115"/>
      <c r="I14" s="25">
        <v>45573</v>
      </c>
      <c r="J14" s="13" t="s">
        <v>146</v>
      </c>
      <c r="O14" s="117"/>
      <c r="P14" s="123"/>
      <c r="Q14" s="123"/>
      <c r="R14" s="123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3"/>
      <c r="AH14" s="13"/>
      <c r="AK14" s="114"/>
    </row>
    <row r="15" spans="1:37" ht="19.5" x14ac:dyDescent="0.4">
      <c r="A15" s="117">
        <v>45587</v>
      </c>
      <c r="B15" s="123">
        <v>3</v>
      </c>
      <c r="C15" s="123">
        <v>6</v>
      </c>
      <c r="D15" s="123">
        <v>4</v>
      </c>
      <c r="F15" s="115"/>
      <c r="G15" s="115"/>
      <c r="H15" s="115"/>
      <c r="I15" s="25">
        <v>45573</v>
      </c>
      <c r="J15" s="13" t="s">
        <v>146</v>
      </c>
      <c r="O15" s="117"/>
      <c r="P15" s="123"/>
      <c r="Q15" s="123"/>
      <c r="R15" s="123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3"/>
      <c r="AH15" s="13"/>
      <c r="AK15" s="114"/>
    </row>
    <row r="16" spans="1:37" ht="19.5" x14ac:dyDescent="0.4">
      <c r="A16" s="117">
        <v>45588</v>
      </c>
      <c r="B16" s="123">
        <v>4</v>
      </c>
      <c r="C16" s="123">
        <v>2</v>
      </c>
      <c r="D16" s="123"/>
      <c r="F16" s="115"/>
      <c r="G16" s="115"/>
      <c r="H16" s="115"/>
      <c r="I16" s="25">
        <v>45573</v>
      </c>
      <c r="J16" s="13" t="s">
        <v>146</v>
      </c>
      <c r="O16" s="117"/>
      <c r="P16" s="123"/>
      <c r="Q16" s="123"/>
      <c r="R16" s="123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3"/>
      <c r="AH16" s="13"/>
      <c r="AK16" s="114"/>
    </row>
    <row r="17" spans="1:37" ht="19.5" x14ac:dyDescent="0.4">
      <c r="A17" s="117">
        <v>45591</v>
      </c>
      <c r="B17" s="123"/>
      <c r="C17" s="123">
        <v>1</v>
      </c>
      <c r="D17" s="123"/>
      <c r="I17" s="25">
        <v>45573</v>
      </c>
      <c r="J17" s="13" t="s">
        <v>146</v>
      </c>
      <c r="O17" s="117"/>
      <c r="P17" s="123"/>
      <c r="Q17" s="123"/>
      <c r="R17" s="123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25">
        <v>45263</v>
      </c>
      <c r="AH17" s="13" t="s">
        <v>162</v>
      </c>
      <c r="AK17" s="114"/>
    </row>
    <row r="18" spans="1:37" ht="19.5" x14ac:dyDescent="0.4">
      <c r="A18" s="117">
        <v>45592</v>
      </c>
      <c r="B18" s="123">
        <v>4</v>
      </c>
      <c r="C18" s="123"/>
      <c r="D18" s="123">
        <v>1</v>
      </c>
      <c r="G18" s="115"/>
      <c r="H18" s="115"/>
      <c r="I18" s="25">
        <v>45573</v>
      </c>
      <c r="J18" s="15" t="s">
        <v>268</v>
      </c>
      <c r="O18" s="117"/>
      <c r="P18" s="123"/>
      <c r="Q18" s="123"/>
      <c r="R18" s="123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25"/>
      <c r="AH18" s="13"/>
      <c r="AK18" s="114"/>
    </row>
    <row r="19" spans="1:37" ht="19.5" x14ac:dyDescent="0.4">
      <c r="A19" s="117">
        <v>45593</v>
      </c>
      <c r="B19" s="123"/>
      <c r="C19" s="123">
        <v>1</v>
      </c>
      <c r="D19" s="123"/>
      <c r="I19" s="25">
        <v>45573</v>
      </c>
      <c r="J19" s="13" t="s">
        <v>268</v>
      </c>
      <c r="O19" s="117"/>
      <c r="P19" s="123"/>
      <c r="Q19" s="123"/>
      <c r="R19" s="123"/>
      <c r="W19" s="115"/>
      <c r="X19" s="115"/>
      <c r="Y19" s="115"/>
      <c r="Z19" s="115"/>
      <c r="AA19" s="115"/>
      <c r="AB19" s="115"/>
      <c r="AC19" s="115"/>
      <c r="AD19" s="115"/>
      <c r="AE19" s="115"/>
      <c r="AF19" s="115" t="s">
        <v>150</v>
      </c>
      <c r="AG19" s="13">
        <f>SUBTOTAL(3,AG17:AG17)</f>
        <v>1</v>
      </c>
      <c r="AH19" s="13">
        <f>SUBTOTAL(3,AH17:AH17)</f>
        <v>1</v>
      </c>
      <c r="AK19" s="114"/>
    </row>
    <row r="20" spans="1:37" ht="19.5" x14ac:dyDescent="0.4">
      <c r="A20" s="117">
        <v>45594</v>
      </c>
      <c r="B20" s="123">
        <v>1</v>
      </c>
      <c r="C20" s="123"/>
      <c r="D20" s="123"/>
      <c r="G20" s="115"/>
      <c r="H20" s="115"/>
      <c r="I20" s="25">
        <v>45573</v>
      </c>
      <c r="J20" s="13" t="s">
        <v>284</v>
      </c>
      <c r="O20" s="117"/>
      <c r="P20" s="123"/>
      <c r="Q20" s="123"/>
      <c r="R20" s="123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3"/>
      <c r="AH20" s="13"/>
      <c r="AK20" s="114"/>
    </row>
    <row r="21" spans="1:37" ht="19.5" x14ac:dyDescent="0.4">
      <c r="A21" s="117"/>
      <c r="B21" s="123">
        <f>SUM(B3:B20)</f>
        <v>63</v>
      </c>
      <c r="C21" s="123">
        <f>SUM(C3:C20)</f>
        <v>42</v>
      </c>
      <c r="D21" s="123">
        <f>SUM(D3:D20)</f>
        <v>14</v>
      </c>
      <c r="I21" s="25">
        <v>45573</v>
      </c>
      <c r="J21" s="13" t="s">
        <v>274</v>
      </c>
      <c r="O21" s="117"/>
      <c r="P21" s="123"/>
      <c r="Q21" s="123"/>
      <c r="R21" s="123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25">
        <v>45264</v>
      </c>
      <c r="AH21" s="13" t="s">
        <v>162</v>
      </c>
      <c r="AK21" s="114"/>
    </row>
    <row r="22" spans="1:37" ht="19.5" x14ac:dyDescent="0.4">
      <c r="A22" s="117"/>
      <c r="B22" s="123"/>
      <c r="C22" s="123"/>
      <c r="D22" s="123">
        <f>SUM(B21:D21)</f>
        <v>119</v>
      </c>
      <c r="I22" s="25">
        <v>45573</v>
      </c>
      <c r="J22" s="13" t="s">
        <v>268</v>
      </c>
      <c r="O22" s="117"/>
      <c r="P22" s="123"/>
      <c r="Q22" s="123"/>
      <c r="R22" s="123"/>
      <c r="W22" s="115"/>
      <c r="X22" s="115"/>
      <c r="Y22" s="115"/>
      <c r="Z22" s="115"/>
      <c r="AA22" s="115"/>
      <c r="AB22" s="115"/>
      <c r="AC22" s="115"/>
      <c r="AD22" s="115"/>
      <c r="AE22" s="115"/>
      <c r="AF22" s="115" t="s">
        <v>154</v>
      </c>
      <c r="AG22" s="13">
        <f>SUBTOTAL(3,AG21:AG21)</f>
        <v>1</v>
      </c>
      <c r="AH22" s="13">
        <f>SUBTOTAL(3,AH21:AH21)</f>
        <v>1</v>
      </c>
      <c r="AK22" s="114"/>
    </row>
    <row r="23" spans="1:37" ht="19.5" x14ac:dyDescent="0.4">
      <c r="A23" s="117"/>
      <c r="B23" s="123"/>
      <c r="C23" s="123"/>
      <c r="D23" s="123"/>
      <c r="I23" s="25">
        <v>45573</v>
      </c>
      <c r="J23" s="13" t="s">
        <v>284</v>
      </c>
      <c r="O23" s="117"/>
      <c r="P23" s="123"/>
      <c r="Q23" s="123"/>
      <c r="R23" s="123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25">
        <v>45265</v>
      </c>
      <c r="AH23" s="13" t="s">
        <v>162</v>
      </c>
      <c r="AK23" s="114"/>
    </row>
    <row r="24" spans="1:37" ht="19.5" x14ac:dyDescent="0.4">
      <c r="A24" s="117"/>
      <c r="B24" s="123"/>
      <c r="C24" s="123"/>
      <c r="D24" s="123"/>
      <c r="I24" s="25">
        <v>45573</v>
      </c>
      <c r="J24" s="13" t="s">
        <v>284</v>
      </c>
      <c r="O24" s="117"/>
      <c r="P24" s="123"/>
      <c r="Q24" s="123"/>
      <c r="R24" s="123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25">
        <v>45265</v>
      </c>
      <c r="AH24" s="25" t="s">
        <v>162</v>
      </c>
      <c r="AK24" s="114"/>
    </row>
    <row r="25" spans="1:37" ht="19.5" x14ac:dyDescent="0.4">
      <c r="A25" s="117"/>
      <c r="B25" s="123"/>
      <c r="C25" s="123"/>
      <c r="D25" s="123"/>
      <c r="H25" s="115" t="s">
        <v>177</v>
      </c>
      <c r="I25" s="13">
        <f>SUBTOTAL(3,I14:I24)</f>
        <v>11</v>
      </c>
      <c r="J25" s="13">
        <f>SUBTOTAL(3,J14:J24)</f>
        <v>11</v>
      </c>
      <c r="O25" s="117"/>
      <c r="P25" s="123"/>
      <c r="Q25" s="123"/>
      <c r="R25" s="123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25"/>
      <c r="AH25" s="25"/>
      <c r="AK25" s="114"/>
    </row>
    <row r="26" spans="1:37" ht="19.5" x14ac:dyDescent="0.4">
      <c r="A26" s="117"/>
      <c r="B26" s="123"/>
      <c r="C26" s="123"/>
      <c r="D26" s="123"/>
      <c r="I26" s="25">
        <v>45574</v>
      </c>
      <c r="J26" s="13" t="s">
        <v>147</v>
      </c>
      <c r="O26" s="117"/>
      <c r="P26" s="123"/>
      <c r="Q26" s="123"/>
      <c r="R26" s="123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25">
        <v>45265</v>
      </c>
      <c r="AH26" s="13" t="s">
        <v>162</v>
      </c>
      <c r="AK26" s="114"/>
    </row>
    <row r="27" spans="1:37" ht="19.5" x14ac:dyDescent="0.4">
      <c r="A27" s="117"/>
      <c r="B27" s="123"/>
      <c r="C27" s="123"/>
      <c r="D27" s="123"/>
      <c r="I27" s="25">
        <v>45574</v>
      </c>
      <c r="J27" s="13" t="s">
        <v>148</v>
      </c>
      <c r="O27" s="117"/>
      <c r="P27" s="123"/>
      <c r="Q27" s="123"/>
      <c r="R27" s="123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25">
        <v>45265</v>
      </c>
      <c r="AH27" s="13" t="s">
        <v>162</v>
      </c>
      <c r="AK27" s="114"/>
    </row>
    <row r="28" spans="1:37" ht="19.5" x14ac:dyDescent="0.4">
      <c r="A28" s="117"/>
      <c r="B28" s="123"/>
      <c r="C28" s="123"/>
      <c r="D28" s="123"/>
      <c r="G28" s="115"/>
      <c r="H28" s="115"/>
      <c r="I28" s="25">
        <v>45574</v>
      </c>
      <c r="J28" s="13" t="s">
        <v>268</v>
      </c>
      <c r="O28" s="117"/>
      <c r="P28" s="123"/>
      <c r="Q28" s="123"/>
      <c r="R28" s="123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25"/>
      <c r="AH28" s="13"/>
      <c r="AK28" s="114"/>
    </row>
    <row r="29" spans="1:37" ht="19.5" x14ac:dyDescent="0.4">
      <c r="A29" s="117"/>
      <c r="B29" s="123"/>
      <c r="C29" s="123"/>
      <c r="D29" s="123"/>
      <c r="I29" s="25">
        <v>45574</v>
      </c>
      <c r="J29" s="13" t="s">
        <v>142</v>
      </c>
      <c r="O29" s="117"/>
      <c r="P29" s="123"/>
      <c r="Q29" s="123"/>
      <c r="R29" s="123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25">
        <v>45265</v>
      </c>
      <c r="AH29" s="13" t="s">
        <v>163</v>
      </c>
      <c r="AK29" s="114"/>
    </row>
    <row r="30" spans="1:37" ht="19.5" x14ac:dyDescent="0.4">
      <c r="A30" s="117"/>
      <c r="B30" s="123"/>
      <c r="C30" s="123"/>
      <c r="D30" s="123"/>
      <c r="I30" s="25">
        <v>45574</v>
      </c>
      <c r="J30" s="13" t="s">
        <v>284</v>
      </c>
      <c r="O30" s="117"/>
      <c r="P30" s="123"/>
      <c r="Q30" s="123"/>
      <c r="R30" s="123"/>
      <c r="W30" s="115"/>
      <c r="X30" s="115"/>
      <c r="Y30" s="115"/>
      <c r="Z30" s="115"/>
      <c r="AA30" s="115"/>
      <c r="AB30" s="115"/>
      <c r="AC30" s="115"/>
      <c r="AD30" s="115"/>
      <c r="AE30" s="115"/>
      <c r="AF30" s="115" t="s">
        <v>155</v>
      </c>
      <c r="AG30" s="13">
        <f>SUBTOTAL(3,AG23:AG29)</f>
        <v>5</v>
      </c>
      <c r="AH30" s="13">
        <f>SUBTOTAL(3,AH23:AH29)</f>
        <v>5</v>
      </c>
      <c r="AK30" s="114"/>
    </row>
    <row r="31" spans="1:37" ht="19.5" x14ac:dyDescent="0.4">
      <c r="A31" s="117"/>
      <c r="B31" s="123"/>
      <c r="C31" s="123"/>
      <c r="D31" s="123"/>
      <c r="G31" s="115"/>
      <c r="H31" s="115"/>
      <c r="I31" s="25">
        <v>45574</v>
      </c>
      <c r="J31" s="13" t="s">
        <v>284</v>
      </c>
      <c r="O31" s="117"/>
      <c r="P31" s="123"/>
      <c r="Q31" s="123"/>
      <c r="R31" s="123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3"/>
      <c r="AH31" s="13"/>
      <c r="AK31" s="114"/>
    </row>
    <row r="32" spans="1:37" ht="19.5" x14ac:dyDescent="0.4">
      <c r="A32" s="117"/>
      <c r="B32" s="123"/>
      <c r="C32" s="123"/>
      <c r="D32" s="123"/>
      <c r="F32" s="115"/>
      <c r="G32" s="115"/>
      <c r="H32" s="115"/>
      <c r="I32" s="25">
        <v>45574</v>
      </c>
      <c r="J32" s="13" t="s">
        <v>284</v>
      </c>
      <c r="O32" s="117"/>
      <c r="P32" s="123"/>
      <c r="Q32" s="123"/>
      <c r="R32" s="123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3"/>
      <c r="AH32" s="13"/>
      <c r="AK32" s="114"/>
    </row>
    <row r="33" spans="1:37" ht="19.5" x14ac:dyDescent="0.4">
      <c r="A33" s="117"/>
      <c r="B33" s="123"/>
      <c r="C33" s="123"/>
      <c r="D33" s="123"/>
      <c r="F33" s="115"/>
      <c r="G33" s="115"/>
      <c r="H33" s="115"/>
      <c r="I33" s="25">
        <v>45574</v>
      </c>
      <c r="J33" s="13" t="s">
        <v>268</v>
      </c>
      <c r="O33" s="117"/>
      <c r="P33" s="123"/>
      <c r="Q33" s="123"/>
      <c r="R33" s="123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3"/>
      <c r="AH33" s="13"/>
      <c r="AK33" s="114"/>
    </row>
    <row r="34" spans="1:37" ht="19.5" x14ac:dyDescent="0.4">
      <c r="A34" s="117"/>
      <c r="B34" s="123"/>
      <c r="C34" s="123"/>
      <c r="D34" s="123"/>
      <c r="F34" s="115"/>
      <c r="G34" s="115"/>
      <c r="H34" s="115"/>
      <c r="I34" s="25">
        <v>45574</v>
      </c>
      <c r="J34" s="13" t="s">
        <v>268</v>
      </c>
      <c r="O34" s="117"/>
      <c r="P34" s="123"/>
      <c r="Q34" s="123"/>
      <c r="R34" s="123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3"/>
      <c r="AH34" s="13"/>
      <c r="AK34" s="114"/>
    </row>
    <row r="35" spans="1:37" ht="19.5" x14ac:dyDescent="0.4">
      <c r="A35" s="117"/>
      <c r="B35" s="123"/>
      <c r="C35" s="123"/>
      <c r="D35" s="123"/>
      <c r="I35" s="25">
        <v>45574</v>
      </c>
      <c r="J35" s="25" t="s">
        <v>284</v>
      </c>
      <c r="O35" s="117"/>
      <c r="P35" s="123"/>
      <c r="Q35" s="123"/>
      <c r="R35" s="123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25">
        <v>45266</v>
      </c>
      <c r="AH35" s="25" t="s">
        <v>162</v>
      </c>
      <c r="AK35" s="114"/>
    </row>
    <row r="36" spans="1:37" ht="19.5" x14ac:dyDescent="0.4">
      <c r="A36" s="117"/>
      <c r="B36" s="123"/>
      <c r="C36" s="123"/>
      <c r="D36" s="123"/>
      <c r="I36" s="25">
        <v>45574</v>
      </c>
      <c r="J36" s="25" t="s">
        <v>284</v>
      </c>
      <c r="O36" s="117"/>
      <c r="P36" s="123"/>
      <c r="Q36" s="123"/>
      <c r="R36" s="123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 t="s">
        <v>156</v>
      </c>
      <c r="AG36" s="13">
        <f>SUBTOTAL(3,AG35:AG35)</f>
        <v>1</v>
      </c>
      <c r="AH36" s="13">
        <f>SUBTOTAL(3,AH35:AH35)</f>
        <v>1</v>
      </c>
      <c r="AK36" s="114"/>
    </row>
    <row r="37" spans="1:37" ht="19.5" x14ac:dyDescent="0.4">
      <c r="A37" s="117"/>
      <c r="B37" s="123"/>
      <c r="C37" s="123"/>
      <c r="D37" s="123"/>
      <c r="H37" s="115" t="s">
        <v>181</v>
      </c>
      <c r="I37" s="13">
        <f>SUBTOTAL(3,I26:I36)</f>
        <v>11</v>
      </c>
      <c r="J37" s="13">
        <f>SUBTOTAL(3,J26:J36)</f>
        <v>11</v>
      </c>
      <c r="O37" s="117"/>
      <c r="P37" s="123"/>
      <c r="Q37" s="123"/>
      <c r="R37" s="123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3"/>
      <c r="AH37" s="13"/>
      <c r="AK37" s="114"/>
    </row>
    <row r="38" spans="1:37" ht="19.5" x14ac:dyDescent="0.4">
      <c r="A38" s="117"/>
      <c r="B38" s="123"/>
      <c r="C38" s="123"/>
      <c r="D38" s="123"/>
      <c r="I38" s="25">
        <v>45575</v>
      </c>
      <c r="J38" s="13" t="s">
        <v>146</v>
      </c>
      <c r="O38" s="117"/>
      <c r="P38" s="123"/>
      <c r="Q38" s="123"/>
      <c r="R38" s="123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25">
        <v>45267</v>
      </c>
      <c r="AH38" s="13" t="s">
        <v>142</v>
      </c>
      <c r="AK38" s="114"/>
    </row>
    <row r="39" spans="1:37" ht="19.5" x14ac:dyDescent="0.4">
      <c r="A39" s="117"/>
      <c r="B39" s="123"/>
      <c r="C39" s="123"/>
      <c r="D39" s="123"/>
      <c r="I39" s="25">
        <v>45575</v>
      </c>
      <c r="J39" s="13" t="s">
        <v>148</v>
      </c>
      <c r="O39" s="117"/>
      <c r="P39" s="123"/>
      <c r="Q39" s="123"/>
      <c r="R39" s="123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 t="s">
        <v>157</v>
      </c>
      <c r="AG39" s="13">
        <f>SUBTOTAL(3,AG38:AG38)</f>
        <v>1</v>
      </c>
      <c r="AH39" s="13">
        <f>SUBTOTAL(3,AH38:AH38)</f>
        <v>1</v>
      </c>
      <c r="AK39" s="114"/>
    </row>
    <row r="40" spans="1:37" ht="19.5" x14ac:dyDescent="0.4">
      <c r="A40" s="117"/>
      <c r="B40" s="123"/>
      <c r="C40" s="123"/>
      <c r="D40" s="123"/>
      <c r="I40" s="25">
        <v>45575</v>
      </c>
      <c r="J40" s="13" t="s">
        <v>147</v>
      </c>
      <c r="O40" s="117"/>
      <c r="P40" s="123"/>
      <c r="Q40" s="123"/>
      <c r="R40" s="123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25">
        <v>45268</v>
      </c>
      <c r="AH40" s="13" t="s">
        <v>162</v>
      </c>
      <c r="AK40" s="114"/>
    </row>
    <row r="41" spans="1:37" ht="19.5" x14ac:dyDescent="0.4">
      <c r="A41" s="117"/>
      <c r="B41" s="123"/>
      <c r="C41" s="123"/>
      <c r="D41" s="123"/>
      <c r="I41" s="25">
        <v>45575</v>
      </c>
      <c r="J41" s="13" t="s">
        <v>146</v>
      </c>
      <c r="O41" s="117"/>
      <c r="P41" s="123"/>
      <c r="Q41" s="123"/>
      <c r="R41" s="123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25">
        <v>45268</v>
      </c>
      <c r="AH41" s="13" t="s">
        <v>162</v>
      </c>
      <c r="AK41" s="114"/>
    </row>
    <row r="42" spans="1:37" ht="19.5" x14ac:dyDescent="0.4">
      <c r="A42" s="117"/>
      <c r="B42" s="123"/>
      <c r="C42" s="123"/>
      <c r="D42" s="123"/>
      <c r="I42" s="25">
        <v>45575</v>
      </c>
      <c r="J42" s="13" t="s">
        <v>146</v>
      </c>
      <c r="O42" s="117"/>
      <c r="P42" s="123"/>
      <c r="Q42" s="123"/>
      <c r="R42" s="123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25">
        <v>45268</v>
      </c>
      <c r="AH42" s="13" t="s">
        <v>163</v>
      </c>
      <c r="AK42" s="114"/>
    </row>
    <row r="43" spans="1:37" ht="19.5" x14ac:dyDescent="0.4">
      <c r="A43" s="117"/>
      <c r="B43" s="123"/>
      <c r="C43" s="123"/>
      <c r="D43" s="123"/>
      <c r="I43" s="25">
        <v>45575</v>
      </c>
      <c r="J43" s="13" t="s">
        <v>146</v>
      </c>
      <c r="O43" s="117"/>
      <c r="P43" s="123"/>
      <c r="Q43" s="123"/>
      <c r="R43" s="123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25">
        <v>45268</v>
      </c>
      <c r="AH43" s="13" t="s">
        <v>163</v>
      </c>
      <c r="AK43" s="114"/>
    </row>
    <row r="44" spans="1:37" ht="19.5" x14ac:dyDescent="0.4">
      <c r="A44" s="117"/>
      <c r="B44" s="123"/>
      <c r="C44" s="123"/>
      <c r="D44" s="123"/>
      <c r="I44" s="25">
        <v>45575</v>
      </c>
      <c r="J44" s="13" t="s">
        <v>268</v>
      </c>
      <c r="O44" s="117"/>
      <c r="P44" s="123"/>
      <c r="Q44" s="123"/>
      <c r="R44" s="123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 t="s">
        <v>158</v>
      </c>
      <c r="AG44" s="13">
        <f>SUBTOTAL(3,AG40:AG43)</f>
        <v>4</v>
      </c>
      <c r="AH44" s="13">
        <f>SUBTOTAL(3,AH40:AH43)</f>
        <v>4</v>
      </c>
      <c r="AK44" s="114"/>
    </row>
    <row r="45" spans="1:37" ht="19.5" x14ac:dyDescent="0.4">
      <c r="A45" s="117"/>
      <c r="B45" s="123"/>
      <c r="C45" s="123"/>
      <c r="D45" s="123"/>
      <c r="I45" s="25">
        <v>45575</v>
      </c>
      <c r="J45" s="13" t="s">
        <v>268</v>
      </c>
      <c r="O45" s="117"/>
      <c r="P45" s="123"/>
      <c r="Q45" s="123"/>
      <c r="R45" s="123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25">
        <v>45269</v>
      </c>
      <c r="AH45" s="13" t="s">
        <v>163</v>
      </c>
      <c r="AK45" s="114"/>
    </row>
    <row r="46" spans="1:37" ht="19.5" x14ac:dyDescent="0.4">
      <c r="A46" s="117"/>
      <c r="B46" s="123"/>
      <c r="C46" s="123"/>
      <c r="D46" s="123"/>
      <c r="H46" s="115" t="s">
        <v>182</v>
      </c>
      <c r="I46" s="13">
        <f>SUBTOTAL(3,I38:I45)</f>
        <v>8</v>
      </c>
      <c r="J46" s="13">
        <f>SUBTOTAL(3,J38:J45)</f>
        <v>8</v>
      </c>
      <c r="O46" s="117"/>
      <c r="P46" s="123"/>
      <c r="Q46" s="123"/>
      <c r="R46" s="123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25"/>
      <c r="AH46" s="13"/>
      <c r="AK46" s="114"/>
    </row>
    <row r="47" spans="1:37" ht="19.5" x14ac:dyDescent="0.4">
      <c r="A47" s="117"/>
      <c r="B47" s="123"/>
      <c r="C47" s="123"/>
      <c r="D47" s="123"/>
      <c r="I47" s="25">
        <v>45578</v>
      </c>
      <c r="J47" s="13" t="s">
        <v>146</v>
      </c>
      <c r="O47" s="117"/>
      <c r="P47" s="123"/>
      <c r="Q47" s="123"/>
      <c r="R47" s="123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25">
        <v>45269</v>
      </c>
      <c r="AH47" s="13" t="s">
        <v>163</v>
      </c>
      <c r="AK47" s="114"/>
    </row>
    <row r="48" spans="1:37" ht="19.5" x14ac:dyDescent="0.4">
      <c r="A48" s="117"/>
      <c r="B48" s="123"/>
      <c r="C48" s="123"/>
      <c r="D48" s="123"/>
      <c r="I48" s="25">
        <v>45578</v>
      </c>
      <c r="J48" s="15" t="s">
        <v>146</v>
      </c>
      <c r="O48" s="117"/>
      <c r="P48" s="123"/>
      <c r="Q48" s="123"/>
      <c r="R48" s="123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 t="s">
        <v>159</v>
      </c>
      <c r="AG48" s="13">
        <f>SUBTOTAL(3,AG45:AG47)</f>
        <v>2</v>
      </c>
      <c r="AH48" s="13">
        <f>SUBTOTAL(3,AH45:AH47)</f>
        <v>2</v>
      </c>
      <c r="AK48" s="114"/>
    </row>
    <row r="49" spans="1:37" ht="19.5" x14ac:dyDescent="0.4">
      <c r="A49" s="117"/>
      <c r="B49" s="123"/>
      <c r="C49" s="123"/>
      <c r="D49" s="123"/>
      <c r="G49" s="115"/>
      <c r="H49" s="115"/>
      <c r="I49" s="25">
        <v>45578</v>
      </c>
      <c r="J49" s="15" t="s">
        <v>146</v>
      </c>
      <c r="O49" s="117"/>
      <c r="P49" s="123"/>
      <c r="Q49" s="123"/>
      <c r="R49" s="123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3"/>
      <c r="AH49" s="13"/>
      <c r="AK49" s="114"/>
    </row>
    <row r="50" spans="1:37" ht="19.5" x14ac:dyDescent="0.4">
      <c r="A50" s="117"/>
      <c r="B50" s="123"/>
      <c r="C50" s="123"/>
      <c r="D50" s="123"/>
      <c r="F50" s="115"/>
      <c r="G50" s="115"/>
      <c r="H50" s="115"/>
      <c r="I50" s="25">
        <v>45578</v>
      </c>
      <c r="J50" s="15" t="s">
        <v>146</v>
      </c>
      <c r="O50" s="117"/>
      <c r="P50" s="123"/>
      <c r="Q50" s="123"/>
      <c r="R50" s="123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3"/>
      <c r="AH50" s="13"/>
      <c r="AK50" s="114"/>
    </row>
    <row r="51" spans="1:37" ht="19.5" x14ac:dyDescent="0.4">
      <c r="A51" s="117"/>
      <c r="B51" s="123"/>
      <c r="C51" s="123"/>
      <c r="D51" s="123"/>
      <c r="I51" s="25">
        <v>45578</v>
      </c>
      <c r="J51" s="15" t="s">
        <v>146</v>
      </c>
      <c r="O51" s="117"/>
      <c r="P51" s="123"/>
      <c r="Q51" s="123"/>
      <c r="R51" s="123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25">
        <v>45270</v>
      </c>
      <c r="AH51" s="13" t="s">
        <v>164</v>
      </c>
      <c r="AK51" s="114"/>
    </row>
    <row r="52" spans="1:37" ht="19.5" x14ac:dyDescent="0.4">
      <c r="A52" s="117"/>
      <c r="B52" s="123"/>
      <c r="C52" s="123"/>
      <c r="D52" s="123"/>
      <c r="I52" s="25">
        <v>45578</v>
      </c>
      <c r="J52" s="15" t="s">
        <v>146</v>
      </c>
      <c r="O52" s="117"/>
      <c r="P52" s="123"/>
      <c r="Q52" s="123"/>
      <c r="R52" s="123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25"/>
      <c r="AH52" s="13"/>
      <c r="AK52" s="114"/>
    </row>
    <row r="53" spans="1:37" ht="19.5" x14ac:dyDescent="0.4">
      <c r="A53" s="117"/>
      <c r="B53" s="123"/>
      <c r="C53" s="123"/>
      <c r="D53" s="123"/>
      <c r="I53" s="25">
        <v>45578</v>
      </c>
      <c r="J53" s="13" t="s">
        <v>148</v>
      </c>
      <c r="O53" s="117"/>
      <c r="P53" s="123"/>
      <c r="Q53" s="123"/>
      <c r="R53" s="123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25">
        <v>45270</v>
      </c>
      <c r="AH53" s="13" t="s">
        <v>164</v>
      </c>
      <c r="AK53" s="114"/>
    </row>
    <row r="54" spans="1:37" ht="19.5" x14ac:dyDescent="0.4">
      <c r="A54" s="117"/>
      <c r="B54" s="123"/>
      <c r="C54" s="123"/>
      <c r="D54" s="123"/>
      <c r="F54" s="115"/>
      <c r="G54" s="115"/>
      <c r="H54" s="115"/>
      <c r="I54" s="25">
        <v>45578</v>
      </c>
      <c r="J54" s="15" t="s">
        <v>147</v>
      </c>
      <c r="O54" s="117"/>
      <c r="P54" s="123"/>
      <c r="Q54" s="123"/>
      <c r="R54" s="123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25"/>
      <c r="AH54" s="13"/>
      <c r="AK54" s="114"/>
    </row>
    <row r="55" spans="1:37" ht="19.5" x14ac:dyDescent="0.4">
      <c r="A55" s="117"/>
      <c r="B55" s="123"/>
      <c r="C55" s="123"/>
      <c r="D55" s="123"/>
      <c r="I55" s="25">
        <v>45578</v>
      </c>
      <c r="J55" s="15" t="s">
        <v>146</v>
      </c>
      <c r="O55" s="117"/>
      <c r="P55" s="123"/>
      <c r="Q55" s="123"/>
      <c r="R55" s="123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25">
        <v>45270</v>
      </c>
      <c r="AH55" s="13" t="s">
        <v>162</v>
      </c>
      <c r="AK55" s="114"/>
    </row>
    <row r="56" spans="1:37" ht="19.5" x14ac:dyDescent="0.4">
      <c r="A56" s="117"/>
      <c r="B56" s="123"/>
      <c r="C56" s="123"/>
      <c r="D56" s="123"/>
      <c r="I56" s="25">
        <v>45578</v>
      </c>
      <c r="J56" s="15" t="s">
        <v>146</v>
      </c>
      <c r="O56" s="117"/>
      <c r="P56" s="123"/>
      <c r="Q56" s="123"/>
      <c r="R56" s="123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25">
        <v>45270</v>
      </c>
      <c r="AH56" s="13" t="s">
        <v>162</v>
      </c>
      <c r="AK56" s="114"/>
    </row>
    <row r="57" spans="1:37" ht="19.5" x14ac:dyDescent="0.4">
      <c r="A57" s="117"/>
      <c r="B57" s="123"/>
      <c r="C57" s="123"/>
      <c r="D57" s="123"/>
      <c r="G57" s="115"/>
      <c r="H57" s="115"/>
      <c r="I57" s="25">
        <v>45578</v>
      </c>
      <c r="J57" s="15" t="s">
        <v>146</v>
      </c>
      <c r="O57" s="117"/>
      <c r="P57" s="123"/>
      <c r="Q57" s="123"/>
      <c r="R57" s="123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25"/>
      <c r="AH57" s="13"/>
      <c r="AK57" s="114"/>
    </row>
    <row r="58" spans="1:37" ht="19.5" x14ac:dyDescent="0.4">
      <c r="A58" s="117"/>
      <c r="B58" s="123"/>
      <c r="C58" s="123"/>
      <c r="D58" s="123"/>
      <c r="I58" s="25">
        <v>45578</v>
      </c>
      <c r="J58" s="15" t="s">
        <v>146</v>
      </c>
      <c r="O58" s="117"/>
      <c r="P58" s="123"/>
      <c r="Q58" s="123"/>
      <c r="R58" s="123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25"/>
      <c r="AH58" s="13"/>
      <c r="AK58" s="114"/>
    </row>
    <row r="59" spans="1:37" ht="19.5" x14ac:dyDescent="0.4">
      <c r="A59" s="117"/>
      <c r="B59" s="123"/>
      <c r="C59" s="123"/>
      <c r="D59" s="123"/>
      <c r="I59" s="25">
        <v>45578</v>
      </c>
      <c r="J59" s="15" t="s">
        <v>146</v>
      </c>
      <c r="O59" s="117"/>
      <c r="P59" s="123"/>
      <c r="Q59" s="123"/>
      <c r="R59" s="123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25">
        <v>45270</v>
      </c>
      <c r="AH59" s="13" t="s">
        <v>163</v>
      </c>
      <c r="AK59" s="114"/>
    </row>
    <row r="60" spans="1:37" ht="19.5" x14ac:dyDescent="0.4">
      <c r="A60" s="117"/>
      <c r="B60" s="123"/>
      <c r="C60" s="123"/>
      <c r="D60" s="123"/>
      <c r="I60" s="25">
        <v>45578</v>
      </c>
      <c r="J60" s="15" t="s">
        <v>146</v>
      </c>
      <c r="O60" s="117"/>
      <c r="P60" s="123"/>
      <c r="Q60" s="123"/>
      <c r="R60" s="123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 t="s">
        <v>151</v>
      </c>
      <c r="AG60" s="13">
        <f>SUBTOTAL(3,AG51:AG59)</f>
        <v>5</v>
      </c>
      <c r="AH60" s="13">
        <f>SUBTOTAL(3,AH51:AH59)</f>
        <v>5</v>
      </c>
      <c r="AK60" s="114"/>
    </row>
    <row r="61" spans="1:37" ht="19.5" x14ac:dyDescent="0.4">
      <c r="A61" s="117"/>
      <c r="B61" s="123"/>
      <c r="C61" s="123"/>
      <c r="D61" s="123"/>
      <c r="I61" s="25">
        <v>45578</v>
      </c>
      <c r="J61" s="15" t="s">
        <v>268</v>
      </c>
      <c r="O61" s="117"/>
      <c r="P61" s="123"/>
      <c r="Q61" s="123"/>
      <c r="R61" s="123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25">
        <v>45271</v>
      </c>
      <c r="AH61" s="13" t="s">
        <v>162</v>
      </c>
      <c r="AK61" s="114"/>
    </row>
    <row r="62" spans="1:37" ht="19.5" x14ac:dyDescent="0.4">
      <c r="A62" s="117"/>
      <c r="B62" s="123"/>
      <c r="C62" s="123"/>
      <c r="D62" s="123"/>
      <c r="I62" s="25">
        <v>45578</v>
      </c>
      <c r="J62" s="15" t="s">
        <v>268</v>
      </c>
      <c r="O62" s="117"/>
      <c r="P62" s="123"/>
      <c r="Q62" s="123"/>
      <c r="R62" s="123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25">
        <v>45271</v>
      </c>
      <c r="AH62" s="13" t="s">
        <v>163</v>
      </c>
      <c r="AK62" s="114"/>
    </row>
    <row r="63" spans="1:37" ht="19.5" x14ac:dyDescent="0.4">
      <c r="A63" s="117"/>
      <c r="B63" s="123"/>
      <c r="C63" s="123"/>
      <c r="D63" s="123"/>
      <c r="I63" s="25">
        <v>45578</v>
      </c>
      <c r="J63" s="15" t="s">
        <v>284</v>
      </c>
      <c r="O63" s="117"/>
      <c r="P63" s="123"/>
      <c r="Q63" s="123"/>
      <c r="R63" s="123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25">
        <v>45271</v>
      </c>
      <c r="AH63" s="13" t="s">
        <v>163</v>
      </c>
      <c r="AK63" s="114"/>
    </row>
    <row r="64" spans="1:37" ht="19.5" x14ac:dyDescent="0.4">
      <c r="A64" s="117"/>
      <c r="B64" s="123"/>
      <c r="C64" s="123"/>
      <c r="D64" s="123"/>
      <c r="I64" s="25">
        <v>45578</v>
      </c>
      <c r="J64" s="15" t="s">
        <v>284</v>
      </c>
      <c r="O64" s="117"/>
      <c r="P64" s="123"/>
      <c r="Q64" s="123"/>
      <c r="R64" s="123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 t="s">
        <v>165</v>
      </c>
      <c r="AG64" s="13">
        <f>SUBTOTAL(3,AG61:AG63)</f>
        <v>3</v>
      </c>
      <c r="AH64" s="13">
        <f>SUBTOTAL(3,AH61:AH63)</f>
        <v>3</v>
      </c>
      <c r="AK64" s="114"/>
    </row>
    <row r="65" spans="1:37" ht="19.5" x14ac:dyDescent="0.4">
      <c r="A65" s="117"/>
      <c r="B65" s="123"/>
      <c r="C65" s="123"/>
      <c r="D65" s="123"/>
      <c r="I65" s="25">
        <v>45578</v>
      </c>
      <c r="J65" s="15" t="s">
        <v>284</v>
      </c>
      <c r="O65" s="117"/>
      <c r="P65" s="123"/>
      <c r="Q65" s="123"/>
      <c r="R65" s="123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25">
        <v>45272</v>
      </c>
      <c r="AH65" s="13" t="s">
        <v>162</v>
      </c>
      <c r="AK65" s="114"/>
    </row>
    <row r="66" spans="1:37" ht="19.5" x14ac:dyDescent="0.4">
      <c r="A66" s="117"/>
      <c r="B66" s="123"/>
      <c r="C66" s="123"/>
      <c r="D66" s="123"/>
      <c r="I66" s="25">
        <v>45578</v>
      </c>
      <c r="J66" s="15" t="s">
        <v>284</v>
      </c>
      <c r="O66" s="117"/>
      <c r="P66" s="123"/>
      <c r="Q66" s="123"/>
      <c r="R66" s="123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25">
        <v>45272</v>
      </c>
      <c r="AH66" s="13" t="s">
        <v>162</v>
      </c>
      <c r="AK66" s="114"/>
    </row>
    <row r="67" spans="1:37" ht="19.5" x14ac:dyDescent="0.4">
      <c r="A67" s="117"/>
      <c r="B67" s="123"/>
      <c r="C67" s="123"/>
      <c r="D67" s="123"/>
      <c r="I67" s="25">
        <v>45578</v>
      </c>
      <c r="J67" s="15" t="s">
        <v>284</v>
      </c>
      <c r="O67" s="117"/>
      <c r="P67" s="123"/>
      <c r="Q67" s="123"/>
      <c r="R67" s="123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25">
        <v>45272</v>
      </c>
      <c r="AH67" s="13" t="s">
        <v>162</v>
      </c>
      <c r="AK67" s="114"/>
    </row>
    <row r="68" spans="1:37" ht="19.5" x14ac:dyDescent="0.4">
      <c r="A68" s="125"/>
      <c r="B68" s="126"/>
      <c r="C68" s="126"/>
      <c r="D68" s="126"/>
      <c r="F68" s="115"/>
      <c r="G68" s="115"/>
      <c r="H68" s="115"/>
      <c r="I68" s="25">
        <v>45578</v>
      </c>
      <c r="J68" s="13" t="s">
        <v>284</v>
      </c>
      <c r="O68" s="117"/>
      <c r="P68" s="123"/>
      <c r="Q68" s="123"/>
      <c r="R68" s="123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25"/>
      <c r="AH68" s="13"/>
      <c r="AK68" s="114"/>
    </row>
    <row r="69" spans="1:37" ht="19.5" x14ac:dyDescent="0.4">
      <c r="A69" s="125"/>
      <c r="B69" s="126"/>
      <c r="C69" s="126"/>
      <c r="D69" s="126"/>
      <c r="F69" s="115"/>
      <c r="G69" s="115"/>
      <c r="H69" s="115" t="s">
        <v>183</v>
      </c>
      <c r="I69" s="13">
        <f>SUBTOTAL(3,I47:I68)</f>
        <v>22</v>
      </c>
      <c r="J69" s="13">
        <f>SUBTOTAL(3,J47:J68)</f>
        <v>22</v>
      </c>
      <c r="O69" s="117"/>
      <c r="P69" s="123"/>
      <c r="Q69" s="123"/>
      <c r="R69" s="123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25"/>
      <c r="AH69" s="13"/>
      <c r="AK69" s="114"/>
    </row>
    <row r="70" spans="1:37" ht="19.5" x14ac:dyDescent="0.4">
      <c r="I70" s="25">
        <v>45579</v>
      </c>
      <c r="J70" s="13" t="s">
        <v>268</v>
      </c>
      <c r="O70" s="117"/>
      <c r="P70" s="123"/>
      <c r="Q70" s="123"/>
      <c r="R70" s="123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25">
        <v>45272</v>
      </c>
      <c r="AH70" s="13" t="s">
        <v>162</v>
      </c>
      <c r="AK70" s="114"/>
    </row>
    <row r="71" spans="1:37" ht="19.5" x14ac:dyDescent="0.4">
      <c r="I71" s="25">
        <v>45579</v>
      </c>
      <c r="J71" s="25" t="s">
        <v>284</v>
      </c>
      <c r="O71" s="117"/>
      <c r="P71" s="123"/>
      <c r="Q71" s="123"/>
      <c r="R71" s="123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25"/>
      <c r="AH71" s="13"/>
      <c r="AK71" s="114"/>
    </row>
    <row r="72" spans="1:37" ht="19.5" x14ac:dyDescent="0.4">
      <c r="H72" s="115" t="s">
        <v>184</v>
      </c>
      <c r="I72" s="13">
        <f>SUBTOTAL(3,I70:I71)</f>
        <v>2</v>
      </c>
      <c r="J72" s="13">
        <f>SUBTOTAL(3,J70:J71)</f>
        <v>2</v>
      </c>
      <c r="O72" s="117"/>
      <c r="P72" s="123"/>
      <c r="Q72" s="123"/>
      <c r="R72" s="123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25"/>
      <c r="AH72" s="13"/>
      <c r="AK72" s="114"/>
    </row>
    <row r="73" spans="1:37" ht="19.5" x14ac:dyDescent="0.4">
      <c r="I73" s="25">
        <v>45580</v>
      </c>
      <c r="J73" s="13" t="s">
        <v>268</v>
      </c>
      <c r="O73" s="117"/>
      <c r="P73" s="123"/>
      <c r="Q73" s="123"/>
      <c r="R73" s="123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25">
        <v>45272</v>
      </c>
      <c r="AH73" s="13" t="s">
        <v>162</v>
      </c>
      <c r="AK73" s="114"/>
    </row>
    <row r="74" spans="1:37" ht="19.5" x14ac:dyDescent="0.4">
      <c r="I74" s="25">
        <v>45580</v>
      </c>
      <c r="J74" s="13" t="s">
        <v>268</v>
      </c>
      <c r="O74" s="117"/>
      <c r="P74" s="123"/>
      <c r="Q74" s="123"/>
      <c r="R74" s="123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25">
        <v>45272</v>
      </c>
      <c r="AH74" s="15" t="s">
        <v>162</v>
      </c>
      <c r="AK74" s="114"/>
    </row>
    <row r="75" spans="1:37" ht="19.5" x14ac:dyDescent="0.4">
      <c r="I75" s="25">
        <v>45580</v>
      </c>
      <c r="J75" s="13" t="s">
        <v>284</v>
      </c>
      <c r="O75" s="117"/>
      <c r="P75" s="123"/>
      <c r="Q75" s="123"/>
      <c r="R75" s="123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25">
        <v>45272</v>
      </c>
      <c r="AH75" s="15" t="s">
        <v>162</v>
      </c>
      <c r="AK75" s="114"/>
    </row>
    <row r="76" spans="1:37" ht="19.5" x14ac:dyDescent="0.4">
      <c r="H76" s="115" t="s">
        <v>375</v>
      </c>
      <c r="I76" s="13">
        <f>SUBTOTAL(3,I73:I75)</f>
        <v>3</v>
      </c>
      <c r="J76" s="13">
        <f>SUBTOTAL(3,J73:J75)</f>
        <v>3</v>
      </c>
      <c r="O76" s="117"/>
      <c r="P76" s="123"/>
      <c r="Q76" s="123"/>
      <c r="R76" s="123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25"/>
      <c r="AH76" s="15"/>
      <c r="AK76" s="114"/>
    </row>
    <row r="77" spans="1:37" ht="19.5" x14ac:dyDescent="0.4">
      <c r="I77" s="25">
        <v>45581</v>
      </c>
      <c r="J77" s="13" t="s">
        <v>147</v>
      </c>
      <c r="O77" s="117"/>
      <c r="P77" s="123"/>
      <c r="Q77" s="123"/>
      <c r="R77" s="123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25">
        <v>45272</v>
      </c>
      <c r="AH77" s="15" t="s">
        <v>162</v>
      </c>
      <c r="AK77" s="114"/>
    </row>
    <row r="78" spans="1:37" ht="19.5" x14ac:dyDescent="0.4">
      <c r="F78" s="115"/>
      <c r="G78" s="115"/>
      <c r="H78" s="115"/>
      <c r="I78" s="25">
        <v>45581</v>
      </c>
      <c r="J78" s="13" t="s">
        <v>284</v>
      </c>
      <c r="O78" s="117"/>
      <c r="P78" s="123"/>
      <c r="Q78" s="123"/>
      <c r="R78" s="123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25"/>
      <c r="AH78" s="15"/>
      <c r="AK78" s="114"/>
    </row>
    <row r="79" spans="1:37" ht="19.5" x14ac:dyDescent="0.4">
      <c r="F79" s="115"/>
      <c r="G79" s="115"/>
      <c r="H79" s="115"/>
      <c r="I79" s="25">
        <v>45581</v>
      </c>
      <c r="J79" s="25" t="s">
        <v>268</v>
      </c>
      <c r="O79" s="117"/>
      <c r="P79" s="123"/>
      <c r="Q79" s="123"/>
      <c r="R79" s="123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25"/>
      <c r="AH79" s="15"/>
      <c r="AK79" s="114"/>
    </row>
    <row r="80" spans="1:37" ht="19.5" x14ac:dyDescent="0.4">
      <c r="F80" s="115"/>
      <c r="G80" s="115"/>
      <c r="H80" s="115"/>
      <c r="I80" s="25">
        <v>45581</v>
      </c>
      <c r="J80" s="25" t="s">
        <v>274</v>
      </c>
      <c r="O80" s="117"/>
      <c r="P80" s="123"/>
      <c r="Q80" s="123"/>
      <c r="R80" s="123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25"/>
      <c r="AH80" s="15"/>
      <c r="AK80" s="114"/>
    </row>
    <row r="81" spans="6:37" ht="19.5" x14ac:dyDescent="0.4">
      <c r="I81" s="25">
        <v>45581</v>
      </c>
      <c r="J81" s="13" t="s">
        <v>284</v>
      </c>
      <c r="O81" s="117"/>
      <c r="P81" s="123"/>
      <c r="Q81" s="123"/>
      <c r="R81" s="123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25">
        <v>45272</v>
      </c>
      <c r="AH81" s="15" t="s">
        <v>162</v>
      </c>
      <c r="AK81" s="114"/>
    </row>
    <row r="82" spans="6:37" ht="19.5" x14ac:dyDescent="0.4">
      <c r="F82" s="115"/>
      <c r="G82" s="115"/>
      <c r="H82" s="115"/>
      <c r="I82" s="25">
        <v>45581</v>
      </c>
      <c r="J82" s="13" t="s">
        <v>284</v>
      </c>
      <c r="O82" s="117"/>
      <c r="P82" s="123"/>
      <c r="Q82" s="123"/>
      <c r="R82" s="123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25"/>
      <c r="AH82" s="15"/>
      <c r="AK82" s="114"/>
    </row>
    <row r="83" spans="6:37" ht="19.5" x14ac:dyDescent="0.4">
      <c r="F83" s="115"/>
      <c r="G83" s="115"/>
      <c r="H83" s="115" t="s">
        <v>185</v>
      </c>
      <c r="I83" s="13">
        <f>SUBTOTAL(3,I77:I82)</f>
        <v>6</v>
      </c>
      <c r="J83" s="13">
        <f>SUBTOTAL(3,J77:J82)</f>
        <v>6</v>
      </c>
      <c r="O83" s="117"/>
      <c r="P83" s="123"/>
      <c r="Q83" s="123"/>
      <c r="R83" s="123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25"/>
      <c r="AH83" s="15"/>
      <c r="AK83" s="114"/>
    </row>
    <row r="84" spans="6:37" ht="19.5" x14ac:dyDescent="0.4">
      <c r="I84" s="25">
        <v>45583</v>
      </c>
      <c r="J84" s="13" t="s">
        <v>268</v>
      </c>
      <c r="O84" s="117"/>
      <c r="P84" s="123"/>
      <c r="Q84" s="123"/>
      <c r="R84" s="123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25">
        <v>45272</v>
      </c>
      <c r="AH84" s="15" t="s">
        <v>162</v>
      </c>
      <c r="AK84" s="114"/>
    </row>
    <row r="85" spans="6:37" ht="19.5" x14ac:dyDescent="0.4">
      <c r="H85" s="115" t="s">
        <v>178</v>
      </c>
      <c r="I85" s="13">
        <f>SUBTOTAL(3,I84:I84)</f>
        <v>1</v>
      </c>
      <c r="J85" s="13">
        <f>SUBTOTAL(3,J84:J84)</f>
        <v>1</v>
      </c>
      <c r="O85" s="117"/>
      <c r="P85" s="123"/>
      <c r="Q85" s="123"/>
      <c r="R85" s="123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25"/>
      <c r="AH85" s="15"/>
      <c r="AK85" s="114"/>
    </row>
    <row r="86" spans="6:37" ht="19.5" x14ac:dyDescent="0.4">
      <c r="F86" s="115"/>
      <c r="G86" s="115"/>
      <c r="H86" s="115"/>
      <c r="I86" s="25">
        <v>45584</v>
      </c>
      <c r="J86" s="13" t="s">
        <v>147</v>
      </c>
      <c r="O86" s="117"/>
      <c r="P86" s="123"/>
      <c r="Q86" s="123"/>
      <c r="R86" s="123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25"/>
      <c r="AH86" s="15"/>
      <c r="AK86" s="114"/>
    </row>
    <row r="87" spans="6:37" ht="19.5" x14ac:dyDescent="0.4">
      <c r="F87" s="115"/>
      <c r="G87" s="115"/>
      <c r="H87" s="115"/>
      <c r="I87" s="25">
        <v>45584</v>
      </c>
      <c r="J87" s="13" t="s">
        <v>268</v>
      </c>
      <c r="O87" s="117"/>
      <c r="P87" s="123"/>
      <c r="Q87" s="123"/>
      <c r="R87" s="123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25"/>
      <c r="AH87" s="15"/>
      <c r="AK87" s="114"/>
    </row>
    <row r="88" spans="6:37" ht="19.5" x14ac:dyDescent="0.4">
      <c r="I88" s="25">
        <v>45584</v>
      </c>
      <c r="J88" s="15" t="s">
        <v>268</v>
      </c>
      <c r="O88" s="117"/>
      <c r="P88" s="123"/>
      <c r="Q88" s="123"/>
      <c r="R88" s="123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25">
        <v>45272</v>
      </c>
      <c r="AH88" s="15" t="s">
        <v>162</v>
      </c>
      <c r="AK88" s="114"/>
    </row>
    <row r="89" spans="6:37" ht="19.5" x14ac:dyDescent="0.4">
      <c r="I89" s="25">
        <v>45584</v>
      </c>
      <c r="J89" s="105" t="s">
        <v>268</v>
      </c>
      <c r="O89" s="117"/>
      <c r="P89" s="123"/>
      <c r="Q89" s="123"/>
      <c r="R89" s="123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25"/>
      <c r="AH89" s="15"/>
      <c r="AK89" s="114"/>
    </row>
    <row r="90" spans="6:37" ht="19.5" x14ac:dyDescent="0.4">
      <c r="G90" s="115"/>
      <c r="H90" s="115"/>
      <c r="I90" s="25">
        <v>45584</v>
      </c>
      <c r="J90" s="105" t="s">
        <v>268</v>
      </c>
      <c r="O90" s="117"/>
      <c r="P90" s="123"/>
      <c r="Q90" s="123"/>
      <c r="R90" s="123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25"/>
      <c r="AH90" s="15"/>
      <c r="AK90" s="114"/>
    </row>
    <row r="91" spans="6:37" ht="19.5" x14ac:dyDescent="0.4">
      <c r="I91" s="25">
        <v>45584</v>
      </c>
      <c r="J91" s="15" t="s">
        <v>274</v>
      </c>
      <c r="O91" s="117"/>
      <c r="P91" s="123"/>
      <c r="Q91" s="123"/>
      <c r="R91" s="123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25">
        <v>45272</v>
      </c>
      <c r="AH91" s="15" t="s">
        <v>162</v>
      </c>
      <c r="AK91" s="114"/>
    </row>
    <row r="92" spans="6:37" ht="19.5" x14ac:dyDescent="0.4">
      <c r="I92" s="25">
        <v>45584</v>
      </c>
      <c r="J92" s="15" t="s">
        <v>274</v>
      </c>
      <c r="O92" s="117"/>
      <c r="P92" s="123"/>
      <c r="Q92" s="123"/>
      <c r="R92" s="123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25"/>
      <c r="AH92" s="15"/>
      <c r="AK92" s="114"/>
    </row>
    <row r="93" spans="6:37" ht="19.5" x14ac:dyDescent="0.4">
      <c r="H93" s="115" t="s">
        <v>376</v>
      </c>
      <c r="I93" s="13">
        <f>SUBTOTAL(3,I86:I92)</f>
        <v>7</v>
      </c>
      <c r="J93" s="15">
        <f>SUBTOTAL(3,J86:J92)</f>
        <v>7</v>
      </c>
      <c r="O93" s="117"/>
      <c r="P93" s="123"/>
      <c r="Q93" s="123"/>
      <c r="R93" s="123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25"/>
      <c r="AH93" s="15"/>
      <c r="AK93" s="114"/>
    </row>
    <row r="94" spans="6:37" ht="19.5" x14ac:dyDescent="0.4">
      <c r="I94" s="25">
        <v>45585</v>
      </c>
      <c r="J94" s="15" t="s">
        <v>268</v>
      </c>
      <c r="O94" s="117"/>
      <c r="P94" s="123"/>
      <c r="Q94" s="123"/>
      <c r="R94" s="123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25">
        <v>45272</v>
      </c>
      <c r="AH94" s="15" t="s">
        <v>162</v>
      </c>
      <c r="AK94" s="114"/>
    </row>
    <row r="95" spans="6:37" ht="19.5" x14ac:dyDescent="0.4">
      <c r="I95" s="25">
        <v>45585</v>
      </c>
      <c r="J95" s="15" t="s">
        <v>268</v>
      </c>
      <c r="O95" s="117"/>
      <c r="P95" s="123"/>
      <c r="Q95" s="123"/>
      <c r="R95" s="123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 t="s">
        <v>166</v>
      </c>
      <c r="AG95" s="13">
        <f>SUBTOTAL(3,AG65:AG94)</f>
        <v>13</v>
      </c>
      <c r="AH95" s="15">
        <f>SUBTOTAL(3,AH65:AH94)</f>
        <v>13</v>
      </c>
      <c r="AK95" s="114"/>
    </row>
    <row r="96" spans="6:37" ht="19.5" x14ac:dyDescent="0.4">
      <c r="I96" s="25">
        <v>45585</v>
      </c>
      <c r="J96" s="15" t="s">
        <v>284</v>
      </c>
      <c r="O96" s="117"/>
      <c r="P96" s="123"/>
      <c r="Q96" s="123"/>
      <c r="R96" s="123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25">
        <v>45273</v>
      </c>
      <c r="AH96" s="105" t="s">
        <v>164</v>
      </c>
      <c r="AK96" s="114"/>
    </row>
    <row r="97" spans="7:37" ht="19.5" x14ac:dyDescent="0.4">
      <c r="I97" s="25">
        <v>45585</v>
      </c>
      <c r="J97" s="15" t="s">
        <v>284</v>
      </c>
      <c r="O97" s="117"/>
      <c r="P97" s="123"/>
      <c r="Q97" s="123"/>
      <c r="R97" s="123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25">
        <v>45273</v>
      </c>
      <c r="AH97" s="15" t="s">
        <v>164</v>
      </c>
      <c r="AK97" s="114"/>
    </row>
    <row r="98" spans="7:37" ht="19.5" x14ac:dyDescent="0.4">
      <c r="G98" s="115"/>
      <c r="H98" s="115"/>
      <c r="I98" s="25">
        <v>45585</v>
      </c>
      <c r="J98" s="15" t="s">
        <v>284</v>
      </c>
      <c r="O98" s="117"/>
      <c r="P98" s="123"/>
      <c r="Q98" s="123"/>
      <c r="R98" s="123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25"/>
      <c r="AH98" s="13"/>
      <c r="AK98" s="114"/>
    </row>
    <row r="99" spans="7:37" ht="19.5" x14ac:dyDescent="0.4">
      <c r="I99" s="25">
        <v>45585</v>
      </c>
      <c r="J99" s="15" t="s">
        <v>284</v>
      </c>
      <c r="O99" s="117"/>
      <c r="P99" s="123"/>
      <c r="Q99" s="123"/>
      <c r="R99" s="123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25">
        <v>45273</v>
      </c>
      <c r="AH99" s="13" t="s">
        <v>164</v>
      </c>
      <c r="AK99" s="114"/>
    </row>
    <row r="100" spans="7:37" ht="19.5" x14ac:dyDescent="0.4">
      <c r="I100" s="25">
        <v>45585</v>
      </c>
      <c r="J100" s="15" t="s">
        <v>284</v>
      </c>
      <c r="O100" s="117"/>
      <c r="P100" s="123"/>
      <c r="Q100" s="123"/>
      <c r="R100" s="123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25">
        <v>45273</v>
      </c>
      <c r="AH100" s="15" t="s">
        <v>164</v>
      </c>
      <c r="AK100" s="114"/>
    </row>
    <row r="101" spans="7:37" ht="19.5" x14ac:dyDescent="0.4">
      <c r="I101" s="25">
        <v>45585</v>
      </c>
      <c r="J101" s="15" t="s">
        <v>284</v>
      </c>
      <c r="O101" s="117"/>
      <c r="P101" s="123"/>
      <c r="Q101" s="123"/>
      <c r="R101" s="123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25">
        <v>45273</v>
      </c>
      <c r="AH101" s="15" t="s">
        <v>162</v>
      </c>
      <c r="AK101" s="114"/>
    </row>
    <row r="102" spans="7:37" ht="19.5" x14ac:dyDescent="0.4">
      <c r="I102" s="25">
        <v>45585</v>
      </c>
      <c r="J102" s="15" t="s">
        <v>284</v>
      </c>
      <c r="O102" s="117"/>
      <c r="P102" s="123"/>
      <c r="Q102" s="123"/>
      <c r="R102" s="123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25">
        <v>45273</v>
      </c>
      <c r="AH102" s="15" t="s">
        <v>162</v>
      </c>
      <c r="AK102" s="114"/>
    </row>
    <row r="103" spans="7:37" ht="19.5" x14ac:dyDescent="0.4">
      <c r="I103" s="25">
        <v>45585</v>
      </c>
      <c r="J103" s="15" t="s">
        <v>274</v>
      </c>
      <c r="O103" s="117"/>
      <c r="P103" s="123"/>
      <c r="Q103" s="123"/>
      <c r="R103" s="123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25">
        <v>45273</v>
      </c>
      <c r="AH103" s="15" t="s">
        <v>162</v>
      </c>
      <c r="AK103" s="114"/>
    </row>
    <row r="104" spans="7:37" ht="19.5" x14ac:dyDescent="0.4">
      <c r="I104" s="25">
        <v>45585</v>
      </c>
      <c r="J104" s="13" t="s">
        <v>268</v>
      </c>
      <c r="O104" s="117"/>
      <c r="P104" s="123"/>
      <c r="Q104" s="123"/>
      <c r="R104" s="123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25">
        <v>45273</v>
      </c>
      <c r="AH104" s="15" t="s">
        <v>162</v>
      </c>
      <c r="AK104" s="114"/>
    </row>
    <row r="105" spans="7:37" ht="19.5" x14ac:dyDescent="0.4">
      <c r="H105" s="115" t="s">
        <v>377</v>
      </c>
      <c r="I105" s="13">
        <f>SUBTOTAL(3,I94:I104)</f>
        <v>11</v>
      </c>
      <c r="J105" s="13">
        <f>SUBTOTAL(3,J94:J104)</f>
        <v>11</v>
      </c>
      <c r="O105" s="117"/>
      <c r="P105" s="123"/>
      <c r="Q105" s="123"/>
      <c r="R105" s="123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25"/>
      <c r="AH105" s="15"/>
      <c r="AK105" s="114"/>
    </row>
    <row r="106" spans="7:37" ht="19.5" x14ac:dyDescent="0.4">
      <c r="I106" s="25">
        <v>45587</v>
      </c>
      <c r="J106" s="13" t="s">
        <v>147</v>
      </c>
      <c r="O106" s="117"/>
      <c r="P106" s="123"/>
      <c r="Q106" s="123"/>
      <c r="R106" s="123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25">
        <v>45273</v>
      </c>
      <c r="AH106" s="15" t="s">
        <v>162</v>
      </c>
      <c r="AK106" s="114"/>
    </row>
    <row r="107" spans="7:37" ht="19.5" x14ac:dyDescent="0.4">
      <c r="I107" s="25">
        <v>45587</v>
      </c>
      <c r="J107" s="13" t="s">
        <v>147</v>
      </c>
      <c r="O107" s="117"/>
      <c r="P107" s="123"/>
      <c r="Q107" s="123"/>
      <c r="R107" s="123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25">
        <v>45273</v>
      </c>
      <c r="AH107" s="15" t="s">
        <v>162</v>
      </c>
      <c r="AK107" s="114"/>
    </row>
    <row r="108" spans="7:37" ht="19.5" x14ac:dyDescent="0.4">
      <c r="I108" s="25">
        <v>45587</v>
      </c>
      <c r="J108" s="13" t="s">
        <v>147</v>
      </c>
      <c r="O108" s="117"/>
      <c r="P108" s="123"/>
      <c r="Q108" s="123"/>
      <c r="R108" s="123"/>
      <c r="S108" s="115"/>
      <c r="T108" s="115"/>
      <c r="U108" s="115"/>
      <c r="V108" s="115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25">
        <v>45273</v>
      </c>
      <c r="AH108" s="15" t="s">
        <v>162</v>
      </c>
      <c r="AK108" s="114"/>
    </row>
    <row r="109" spans="7:37" ht="19.5" x14ac:dyDescent="0.4">
      <c r="I109" s="25">
        <v>45587</v>
      </c>
      <c r="J109" s="13" t="s">
        <v>147</v>
      </c>
      <c r="O109" s="117"/>
      <c r="P109" s="123"/>
      <c r="Q109" s="123"/>
      <c r="R109" s="123"/>
      <c r="S109" s="115"/>
      <c r="T109" s="115"/>
      <c r="U109" s="115"/>
      <c r="V109" s="115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25">
        <v>45273</v>
      </c>
      <c r="AH109" s="15" t="s">
        <v>162</v>
      </c>
      <c r="AK109" s="114"/>
    </row>
    <row r="110" spans="7:37" ht="19.5" x14ac:dyDescent="0.4">
      <c r="I110" s="25">
        <v>45587</v>
      </c>
      <c r="J110" s="13" t="s">
        <v>148</v>
      </c>
      <c r="O110" s="117"/>
      <c r="P110" s="123"/>
      <c r="Q110" s="123"/>
      <c r="R110" s="123"/>
      <c r="S110" s="115"/>
      <c r="T110" s="115"/>
      <c r="U110" s="115"/>
      <c r="V110" s="115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25">
        <v>45273</v>
      </c>
      <c r="AH110" s="15" t="s">
        <v>162</v>
      </c>
      <c r="AK110" s="114"/>
    </row>
    <row r="111" spans="7:37" ht="19.5" x14ac:dyDescent="0.4">
      <c r="I111" s="25">
        <v>45587</v>
      </c>
      <c r="J111" s="15" t="s">
        <v>146</v>
      </c>
      <c r="O111" s="117"/>
      <c r="P111" s="123"/>
      <c r="Q111" s="123"/>
      <c r="R111" s="123"/>
      <c r="S111" s="115"/>
      <c r="T111" s="115"/>
      <c r="U111" s="115"/>
      <c r="V111" s="115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25">
        <v>45273</v>
      </c>
      <c r="AH111" s="15" t="s">
        <v>162</v>
      </c>
      <c r="AK111" s="114"/>
    </row>
    <row r="112" spans="7:37" ht="19.5" x14ac:dyDescent="0.4">
      <c r="I112" s="25">
        <v>45587</v>
      </c>
      <c r="J112" s="15" t="s">
        <v>148</v>
      </c>
      <c r="O112" s="117"/>
      <c r="P112" s="123"/>
      <c r="Q112" s="123"/>
      <c r="R112" s="123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25">
        <v>45273</v>
      </c>
      <c r="AH112" s="13" t="s">
        <v>162</v>
      </c>
      <c r="AK112" s="114"/>
    </row>
    <row r="113" spans="6:37" ht="19.5" x14ac:dyDescent="0.4">
      <c r="I113" s="25">
        <v>45587</v>
      </c>
      <c r="J113" s="15" t="s">
        <v>274</v>
      </c>
      <c r="O113" s="117"/>
      <c r="P113" s="123"/>
      <c r="Q113" s="123"/>
      <c r="R113" s="123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25">
        <v>45273</v>
      </c>
      <c r="AH113" s="15" t="s">
        <v>162</v>
      </c>
      <c r="AK113" s="114"/>
    </row>
    <row r="114" spans="6:37" ht="19.5" x14ac:dyDescent="0.4">
      <c r="I114" s="25">
        <v>45587</v>
      </c>
      <c r="J114" s="15" t="s">
        <v>284</v>
      </c>
      <c r="O114" s="117"/>
      <c r="P114" s="123"/>
      <c r="Q114" s="123"/>
      <c r="R114" s="123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25">
        <v>45273</v>
      </c>
      <c r="AH114" s="15" t="s">
        <v>162</v>
      </c>
      <c r="AK114" s="114"/>
    </row>
    <row r="115" spans="6:37" ht="19.5" x14ac:dyDescent="0.4">
      <c r="G115" s="115"/>
      <c r="H115" s="115"/>
      <c r="I115" s="25">
        <v>45587</v>
      </c>
      <c r="J115" s="15" t="s">
        <v>274</v>
      </c>
      <c r="O115" s="117"/>
      <c r="P115" s="123"/>
      <c r="Q115" s="123"/>
      <c r="R115" s="123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25"/>
      <c r="AH115" s="15"/>
      <c r="AK115" s="114"/>
    </row>
    <row r="116" spans="6:37" ht="19.5" x14ac:dyDescent="0.4">
      <c r="I116" s="25">
        <v>45587</v>
      </c>
      <c r="J116" s="15" t="s">
        <v>268</v>
      </c>
      <c r="O116" s="117"/>
      <c r="P116" s="123"/>
      <c r="Q116" s="123"/>
      <c r="R116" s="123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25">
        <v>45273</v>
      </c>
      <c r="AH116" s="15" t="s">
        <v>162</v>
      </c>
      <c r="AK116" s="114"/>
    </row>
    <row r="117" spans="6:37" ht="19.5" x14ac:dyDescent="0.4">
      <c r="I117" s="25">
        <v>45587</v>
      </c>
      <c r="J117" s="15" t="s">
        <v>284</v>
      </c>
      <c r="O117" s="117"/>
      <c r="P117" s="123"/>
      <c r="Q117" s="123"/>
      <c r="R117" s="123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25">
        <v>45273</v>
      </c>
      <c r="AH117" s="15" t="s">
        <v>162</v>
      </c>
      <c r="AK117" s="114"/>
    </row>
    <row r="118" spans="6:37" ht="19.5" x14ac:dyDescent="0.4">
      <c r="F118" s="115"/>
      <c r="G118" s="115"/>
      <c r="H118" s="115"/>
      <c r="I118" s="25">
        <v>45587</v>
      </c>
      <c r="J118" s="15" t="s">
        <v>268</v>
      </c>
      <c r="O118" s="117"/>
      <c r="P118" s="123"/>
      <c r="Q118" s="123"/>
      <c r="R118" s="123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25"/>
      <c r="AH118" s="15"/>
      <c r="AK118" s="114"/>
    </row>
    <row r="119" spans="6:37" ht="19.5" x14ac:dyDescent="0.4">
      <c r="F119" s="115"/>
      <c r="G119" s="115"/>
      <c r="H119" s="115" t="s">
        <v>186</v>
      </c>
      <c r="I119" s="13">
        <f>SUBTOTAL(3,I106:I118)</f>
        <v>13</v>
      </c>
      <c r="J119" s="15">
        <f>SUBTOTAL(3,J106:J118)</f>
        <v>13</v>
      </c>
      <c r="O119" s="117"/>
      <c r="P119" s="123"/>
      <c r="Q119" s="123"/>
      <c r="R119" s="123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25"/>
      <c r="AH119" s="15"/>
      <c r="AK119" s="114"/>
    </row>
    <row r="120" spans="6:37" ht="19.5" x14ac:dyDescent="0.4">
      <c r="I120" s="25">
        <v>45588</v>
      </c>
      <c r="J120" s="15" t="s">
        <v>147</v>
      </c>
      <c r="O120" s="117"/>
      <c r="P120" s="123"/>
      <c r="Q120" s="123"/>
      <c r="R120" s="123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25">
        <v>45273</v>
      </c>
      <c r="AH120" s="15" t="s">
        <v>162</v>
      </c>
      <c r="AK120" s="114"/>
    </row>
    <row r="121" spans="6:37" ht="19.5" x14ac:dyDescent="0.4">
      <c r="I121" s="25">
        <v>45588</v>
      </c>
      <c r="J121" s="15" t="s">
        <v>284</v>
      </c>
      <c r="O121" s="117"/>
      <c r="P121" s="123"/>
      <c r="Q121" s="123"/>
      <c r="R121" s="123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25">
        <v>45273</v>
      </c>
      <c r="AH121" s="15" t="s">
        <v>162</v>
      </c>
      <c r="AK121" s="114"/>
    </row>
    <row r="122" spans="6:37" ht="19.5" x14ac:dyDescent="0.4">
      <c r="I122" s="25">
        <v>45588</v>
      </c>
      <c r="J122" s="15" t="s">
        <v>268</v>
      </c>
      <c r="O122" s="117"/>
      <c r="P122" s="123"/>
      <c r="Q122" s="123"/>
      <c r="R122" s="123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25">
        <v>45273</v>
      </c>
      <c r="AH122" s="13" t="s">
        <v>163</v>
      </c>
      <c r="AK122" s="114"/>
    </row>
    <row r="123" spans="6:37" ht="19.5" x14ac:dyDescent="0.4">
      <c r="I123" s="25">
        <v>45588</v>
      </c>
      <c r="J123" s="15" t="s">
        <v>284</v>
      </c>
      <c r="O123" s="117"/>
      <c r="P123" s="123"/>
      <c r="Q123" s="123"/>
      <c r="R123" s="123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25"/>
      <c r="AH123" s="13"/>
      <c r="AK123" s="114"/>
    </row>
    <row r="124" spans="6:37" ht="19.5" x14ac:dyDescent="0.4">
      <c r="I124" s="25">
        <v>45588</v>
      </c>
      <c r="J124" s="15" t="s">
        <v>284</v>
      </c>
      <c r="O124" s="117"/>
      <c r="P124" s="123"/>
      <c r="Q124" s="123"/>
      <c r="R124" s="123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 t="s">
        <v>152</v>
      </c>
      <c r="AG124" s="13">
        <f>SUBTOTAL(3,AG96:AG122)</f>
        <v>22</v>
      </c>
      <c r="AH124" s="13">
        <f>SUBTOTAL(3,AH96:AH122)</f>
        <v>22</v>
      </c>
      <c r="AK124" s="114"/>
    </row>
    <row r="125" spans="6:37" ht="19.5" x14ac:dyDescent="0.4">
      <c r="I125" s="25">
        <v>45588</v>
      </c>
      <c r="J125" s="15" t="s">
        <v>284</v>
      </c>
      <c r="O125" s="117"/>
      <c r="P125" s="123"/>
      <c r="Q125" s="123"/>
      <c r="R125" s="123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25">
        <v>45274</v>
      </c>
      <c r="AH125" s="15" t="s">
        <v>162</v>
      </c>
      <c r="AK125" s="114"/>
    </row>
    <row r="126" spans="6:37" ht="19.5" x14ac:dyDescent="0.4">
      <c r="H126" s="115" t="s">
        <v>187</v>
      </c>
      <c r="I126" s="13">
        <f>SUBTOTAL(3,I120:I125)</f>
        <v>6</v>
      </c>
      <c r="J126" s="15">
        <f>SUBTOTAL(3,J120:J125)</f>
        <v>6</v>
      </c>
      <c r="O126" s="117"/>
      <c r="P126" s="123"/>
      <c r="Q126" s="123"/>
      <c r="R126" s="123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25"/>
      <c r="AH126" s="15"/>
      <c r="AK126" s="114"/>
    </row>
    <row r="127" spans="6:37" ht="19.5" x14ac:dyDescent="0.4">
      <c r="I127" s="25">
        <v>45591</v>
      </c>
      <c r="J127" s="15" t="s">
        <v>147</v>
      </c>
      <c r="O127" s="117"/>
      <c r="P127" s="123"/>
      <c r="Q127" s="123"/>
      <c r="R127" s="123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25">
        <v>45274</v>
      </c>
      <c r="AH127" s="15" t="s">
        <v>162</v>
      </c>
      <c r="AK127" s="114"/>
    </row>
    <row r="128" spans="6:37" ht="19.5" x14ac:dyDescent="0.4">
      <c r="H128" s="115" t="s">
        <v>378</v>
      </c>
      <c r="I128" s="13">
        <f>SUBTOTAL(3,I127:I127)</f>
        <v>1</v>
      </c>
      <c r="J128" s="15">
        <f>SUBTOTAL(3,J127:J127)</f>
        <v>1</v>
      </c>
      <c r="O128" s="117"/>
      <c r="P128" s="123"/>
      <c r="Q128" s="123"/>
      <c r="R128" s="123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25"/>
      <c r="AH128" s="15"/>
      <c r="AK128" s="114"/>
    </row>
    <row r="129" spans="6:37" ht="19.5" x14ac:dyDescent="0.4">
      <c r="F129" s="115"/>
      <c r="G129" s="115"/>
      <c r="H129" s="115"/>
      <c r="I129" s="25">
        <v>45592</v>
      </c>
      <c r="J129" s="15" t="s">
        <v>284</v>
      </c>
      <c r="O129" s="117"/>
      <c r="P129" s="123"/>
      <c r="Q129" s="123"/>
      <c r="R129" s="123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25"/>
      <c r="AH129" s="15"/>
      <c r="AK129" s="114"/>
    </row>
    <row r="130" spans="6:37" ht="19.5" x14ac:dyDescent="0.4">
      <c r="I130" s="26">
        <v>45592</v>
      </c>
      <c r="J130" s="13" t="s">
        <v>274</v>
      </c>
      <c r="O130" s="117"/>
      <c r="P130" s="123"/>
      <c r="Q130" s="123"/>
      <c r="R130" s="123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25">
        <v>45274</v>
      </c>
      <c r="AH130" s="15" t="s">
        <v>162</v>
      </c>
      <c r="AK130" s="114"/>
    </row>
    <row r="131" spans="6:37" ht="19.5" x14ac:dyDescent="0.4">
      <c r="G131" s="115"/>
      <c r="H131" s="115"/>
      <c r="I131" s="26">
        <v>45592</v>
      </c>
      <c r="J131" s="13" t="s">
        <v>284</v>
      </c>
      <c r="O131" s="117"/>
      <c r="P131" s="123"/>
      <c r="Q131" s="123"/>
      <c r="R131" s="123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25"/>
      <c r="AH131" s="15"/>
      <c r="AK131" s="114"/>
    </row>
    <row r="132" spans="6:37" ht="19.5" x14ac:dyDescent="0.4">
      <c r="I132" s="26">
        <v>45592</v>
      </c>
      <c r="J132" s="13" t="s">
        <v>284</v>
      </c>
      <c r="O132" s="117"/>
      <c r="P132" s="123"/>
      <c r="Q132" s="123"/>
      <c r="R132" s="123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25">
        <v>45274</v>
      </c>
      <c r="AH132" s="15" t="s">
        <v>162</v>
      </c>
      <c r="AK132" s="114"/>
    </row>
    <row r="133" spans="6:37" ht="19.5" x14ac:dyDescent="0.4">
      <c r="I133" s="26">
        <v>45592</v>
      </c>
      <c r="J133" s="13" t="s">
        <v>284</v>
      </c>
      <c r="O133" s="117"/>
      <c r="P133" s="123"/>
      <c r="Q133" s="123"/>
      <c r="R133" s="123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25">
        <v>45274</v>
      </c>
      <c r="AH133" s="15" t="s">
        <v>163</v>
      </c>
      <c r="AK133" s="114"/>
    </row>
    <row r="134" spans="6:37" ht="19.5" x14ac:dyDescent="0.4">
      <c r="H134" s="115" t="s">
        <v>379</v>
      </c>
      <c r="I134" s="17">
        <f>SUBTOTAL(3,I129:I133)</f>
        <v>5</v>
      </c>
      <c r="J134" s="13">
        <f>SUBTOTAL(3,J129:J133)</f>
        <v>5</v>
      </c>
      <c r="O134" s="117"/>
      <c r="P134" s="123"/>
      <c r="Q134" s="123"/>
      <c r="R134" s="123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25"/>
      <c r="AH134" s="15"/>
      <c r="AK134" s="114"/>
    </row>
    <row r="135" spans="6:37" ht="19.5" x14ac:dyDescent="0.4">
      <c r="I135" s="26">
        <v>45593</v>
      </c>
      <c r="J135" s="13" t="s">
        <v>147</v>
      </c>
      <c r="O135" s="117"/>
      <c r="P135" s="123"/>
      <c r="Q135" s="123"/>
      <c r="R135" s="123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 t="s">
        <v>167</v>
      </c>
      <c r="AG135" s="13">
        <f>SUBTOTAL(3,AG125:AG133)</f>
        <v>5</v>
      </c>
      <c r="AH135" s="15">
        <f>SUBTOTAL(3,AH125:AH133)</f>
        <v>5</v>
      </c>
      <c r="AK135" s="114"/>
    </row>
    <row r="136" spans="6:37" ht="19.5" x14ac:dyDescent="0.4">
      <c r="H136" s="115" t="s">
        <v>380</v>
      </c>
      <c r="I136" s="17">
        <f>SUBTOTAL(3,I135:I135)</f>
        <v>1</v>
      </c>
      <c r="J136" s="13">
        <f>SUBTOTAL(3,J135:J135)</f>
        <v>1</v>
      </c>
      <c r="O136" s="117"/>
      <c r="P136" s="123"/>
      <c r="Q136" s="123"/>
      <c r="R136" s="123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3"/>
      <c r="AH136" s="15"/>
      <c r="AK136" s="114"/>
    </row>
    <row r="137" spans="6:37" ht="19.5" x14ac:dyDescent="0.4">
      <c r="I137" s="26">
        <v>45594</v>
      </c>
      <c r="J137" s="13" t="s">
        <v>284</v>
      </c>
      <c r="O137" s="117"/>
      <c r="P137" s="123"/>
      <c r="Q137" s="123"/>
      <c r="R137" s="123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3"/>
      <c r="AH137" s="15"/>
      <c r="AK137" s="114"/>
    </row>
    <row r="138" spans="6:37" ht="19.5" x14ac:dyDescent="0.4">
      <c r="H138" s="115" t="s">
        <v>381</v>
      </c>
      <c r="I138" s="20">
        <f>SUBTOTAL(3,I137:I137)</f>
        <v>1</v>
      </c>
      <c r="J138" s="13">
        <f>SUBTOTAL(3,J137:J137)</f>
        <v>1</v>
      </c>
      <c r="O138" s="117"/>
      <c r="P138" s="123"/>
      <c r="Q138" s="123"/>
      <c r="R138" s="123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3"/>
      <c r="AH138" s="15"/>
      <c r="AK138" s="114"/>
    </row>
    <row r="139" spans="6:37" ht="19.5" x14ac:dyDescent="0.4">
      <c r="H139" s="115" t="s">
        <v>145</v>
      </c>
      <c r="I139" s="20">
        <f>SUBTOTAL(3,I2:I137)</f>
        <v>119</v>
      </c>
      <c r="J139" s="13">
        <f>SUBTOTAL(3,J2:J137)</f>
        <v>119</v>
      </c>
      <c r="O139" s="117"/>
      <c r="P139" s="123"/>
      <c r="Q139" s="123"/>
      <c r="R139" s="123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3"/>
      <c r="AH139" s="15"/>
      <c r="AK139" s="114"/>
    </row>
    <row r="140" spans="6:37" ht="19.5" x14ac:dyDescent="0.4">
      <c r="G140" s="115"/>
      <c r="H140" s="115"/>
      <c r="I140" s="13"/>
      <c r="J140" s="15"/>
      <c r="O140" s="117"/>
      <c r="P140" s="123"/>
      <c r="Q140" s="123"/>
      <c r="R140" s="123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3"/>
      <c r="AH140" s="15"/>
      <c r="AK140" s="114"/>
    </row>
    <row r="141" spans="6:37" ht="19.5" x14ac:dyDescent="0.4">
      <c r="I141" s="25"/>
      <c r="J141" s="15"/>
      <c r="O141" s="117"/>
      <c r="P141" s="123"/>
      <c r="Q141" s="123"/>
      <c r="R141" s="123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25">
        <v>45275</v>
      </c>
      <c r="AH141" s="15" t="s">
        <v>163</v>
      </c>
      <c r="AK141" s="114"/>
    </row>
    <row r="142" spans="6:37" ht="19.5" x14ac:dyDescent="0.4">
      <c r="I142" s="25"/>
      <c r="J142" s="15"/>
      <c r="O142" s="117"/>
      <c r="P142" s="123"/>
      <c r="Q142" s="123"/>
      <c r="R142" s="123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 t="s">
        <v>168</v>
      </c>
      <c r="AG142" s="13">
        <f>SUBTOTAL(3,AG141:AG141)</f>
        <v>1</v>
      </c>
      <c r="AH142" s="15">
        <f>SUBTOTAL(3,AH141:AH141)</f>
        <v>1</v>
      </c>
      <c r="AK142" s="114"/>
    </row>
    <row r="143" spans="6:37" ht="19.5" x14ac:dyDescent="0.4">
      <c r="I143" s="25"/>
      <c r="J143" s="15"/>
      <c r="O143" s="117"/>
      <c r="P143" s="123"/>
      <c r="Q143" s="123"/>
      <c r="R143" s="123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25">
        <v>45276</v>
      </c>
      <c r="AH143" s="15" t="s">
        <v>164</v>
      </c>
      <c r="AK143" s="114"/>
    </row>
    <row r="144" spans="6:37" ht="19.5" x14ac:dyDescent="0.4">
      <c r="I144" s="25"/>
      <c r="J144" s="15"/>
      <c r="O144" s="117"/>
      <c r="P144" s="123"/>
      <c r="Q144" s="123"/>
      <c r="R144" s="123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25">
        <v>45276</v>
      </c>
      <c r="AH144" s="15" t="s">
        <v>162</v>
      </c>
      <c r="AK144" s="114"/>
    </row>
    <row r="145" spans="6:37" ht="19.5" x14ac:dyDescent="0.4">
      <c r="I145" s="25"/>
      <c r="J145" s="15"/>
      <c r="O145" s="117"/>
      <c r="P145" s="123"/>
      <c r="Q145" s="123"/>
      <c r="R145" s="123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25">
        <v>45276</v>
      </c>
      <c r="AH145" s="15" t="s">
        <v>162</v>
      </c>
      <c r="AK145" s="114"/>
    </row>
    <row r="146" spans="6:37" ht="19.5" x14ac:dyDescent="0.4">
      <c r="I146" s="25"/>
      <c r="J146" s="105"/>
      <c r="O146" s="117"/>
      <c r="P146" s="123"/>
      <c r="Q146" s="123"/>
      <c r="R146" s="123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25">
        <v>45276</v>
      </c>
      <c r="AH146" s="15" t="s">
        <v>162</v>
      </c>
      <c r="AK146" s="114"/>
    </row>
    <row r="147" spans="6:37" ht="19.5" x14ac:dyDescent="0.4">
      <c r="I147" s="25"/>
      <c r="J147" s="15"/>
      <c r="O147" s="117"/>
      <c r="P147" s="123"/>
      <c r="Q147" s="123"/>
      <c r="R147" s="123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25">
        <v>45276</v>
      </c>
      <c r="AH147" s="15" t="s">
        <v>162</v>
      </c>
      <c r="AK147" s="114"/>
    </row>
    <row r="148" spans="6:37" ht="19.5" x14ac:dyDescent="0.4">
      <c r="F148" s="115"/>
      <c r="G148" s="115"/>
      <c r="H148" s="115"/>
      <c r="I148" s="25"/>
      <c r="J148" s="15"/>
      <c r="O148" s="117"/>
      <c r="P148" s="123"/>
      <c r="Q148" s="123"/>
      <c r="R148" s="123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25"/>
      <c r="AH148" s="15"/>
      <c r="AK148" s="114"/>
    </row>
    <row r="149" spans="6:37" ht="19.5" x14ac:dyDescent="0.4">
      <c r="I149" s="25"/>
      <c r="J149" s="15"/>
      <c r="O149" s="117"/>
      <c r="P149" s="123"/>
      <c r="Q149" s="123"/>
      <c r="R149" s="123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25">
        <v>45276</v>
      </c>
      <c r="AH149" s="15" t="s">
        <v>162</v>
      </c>
      <c r="AK149" s="114"/>
    </row>
    <row r="150" spans="6:37" ht="19.5" x14ac:dyDescent="0.4">
      <c r="I150" s="25"/>
      <c r="J150" s="15"/>
      <c r="O150" s="117"/>
      <c r="P150" s="123"/>
      <c r="Q150" s="123"/>
      <c r="R150" s="123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25">
        <v>45276</v>
      </c>
      <c r="AH150" s="15" t="s">
        <v>162</v>
      </c>
      <c r="AK150" s="114"/>
    </row>
    <row r="151" spans="6:37" ht="19.5" x14ac:dyDescent="0.4">
      <c r="F151" s="115"/>
      <c r="G151" s="115"/>
      <c r="H151" s="115"/>
      <c r="I151" s="25"/>
      <c r="J151" s="15"/>
      <c r="O151" s="117"/>
      <c r="P151" s="123"/>
      <c r="Q151" s="123"/>
      <c r="R151" s="123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25"/>
      <c r="AH151" s="15"/>
      <c r="AK151" s="114"/>
    </row>
    <row r="152" spans="6:37" ht="19.5" x14ac:dyDescent="0.4">
      <c r="F152" s="115"/>
      <c r="G152" s="115"/>
      <c r="H152" s="115"/>
      <c r="I152" s="13"/>
      <c r="J152" s="15"/>
      <c r="O152" s="117"/>
      <c r="P152" s="123"/>
      <c r="Q152" s="123"/>
      <c r="R152" s="123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25"/>
      <c r="AH152" s="15"/>
      <c r="AK152" s="114"/>
    </row>
    <row r="153" spans="6:37" ht="19.5" x14ac:dyDescent="0.4">
      <c r="F153" s="115"/>
      <c r="G153" s="115"/>
      <c r="H153" s="115"/>
      <c r="I153" s="25"/>
      <c r="J153" s="15"/>
      <c r="O153" s="117"/>
      <c r="P153" s="123"/>
      <c r="Q153" s="123"/>
      <c r="R153" s="123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25"/>
      <c r="AH153" s="15"/>
      <c r="AK153" s="114"/>
    </row>
    <row r="154" spans="6:37" ht="19.5" x14ac:dyDescent="0.4">
      <c r="I154" s="26"/>
      <c r="J154" s="13"/>
      <c r="N154" s="115"/>
      <c r="O154" s="117"/>
      <c r="P154" s="123"/>
      <c r="Q154" s="123"/>
      <c r="R154" s="123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25">
        <v>45276</v>
      </c>
      <c r="AH154" s="15" t="s">
        <v>162</v>
      </c>
      <c r="AK154" s="114"/>
    </row>
    <row r="155" spans="6:37" ht="19.5" x14ac:dyDescent="0.4">
      <c r="I155" s="26"/>
      <c r="J155" s="13"/>
      <c r="N155" s="115"/>
      <c r="O155" s="117"/>
      <c r="P155" s="123"/>
      <c r="Q155" s="123"/>
      <c r="R155" s="123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25">
        <v>45276</v>
      </c>
      <c r="AH155" s="15" t="s">
        <v>162</v>
      </c>
      <c r="AK155" s="114"/>
    </row>
    <row r="156" spans="6:37" ht="19.5" x14ac:dyDescent="0.4">
      <c r="I156" s="26"/>
      <c r="J156" s="13"/>
      <c r="N156" s="115"/>
      <c r="O156" s="117"/>
      <c r="P156" s="123"/>
      <c r="Q156" s="123"/>
      <c r="R156" s="123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25">
        <v>45276</v>
      </c>
      <c r="AH156" s="15" t="s">
        <v>162</v>
      </c>
      <c r="AK156" s="114"/>
    </row>
    <row r="157" spans="6:37" ht="19.5" x14ac:dyDescent="0.4">
      <c r="G157" s="115"/>
      <c r="H157" s="115"/>
      <c r="I157" s="17"/>
      <c r="J157" s="13"/>
      <c r="N157" s="115"/>
      <c r="O157" s="117"/>
      <c r="P157" s="123"/>
      <c r="Q157" s="123"/>
      <c r="R157" s="123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25"/>
      <c r="AH157" s="15"/>
      <c r="AK157" s="114"/>
    </row>
    <row r="158" spans="6:37" ht="19.5" x14ac:dyDescent="0.4">
      <c r="I158" s="26"/>
      <c r="J158" s="13"/>
      <c r="N158" s="115"/>
      <c r="O158" s="117"/>
      <c r="P158" s="123"/>
      <c r="Q158" s="123"/>
      <c r="R158" s="123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25"/>
      <c r="AH158" s="15"/>
      <c r="AK158" s="114"/>
    </row>
    <row r="159" spans="6:37" ht="19.5" x14ac:dyDescent="0.4">
      <c r="F159" s="115"/>
      <c r="G159" s="115"/>
      <c r="H159" s="115"/>
      <c r="I159" s="26"/>
      <c r="J159" s="13"/>
      <c r="N159" s="115"/>
      <c r="O159" s="117"/>
      <c r="P159" s="123"/>
      <c r="Q159" s="123"/>
      <c r="R159" s="123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25"/>
      <c r="AH159" s="15"/>
      <c r="AK159" s="114"/>
    </row>
    <row r="160" spans="6:37" ht="19.5" x14ac:dyDescent="0.4">
      <c r="I160" s="26"/>
      <c r="J160" s="13"/>
      <c r="N160" s="115"/>
      <c r="O160" s="117"/>
      <c r="P160" s="123"/>
      <c r="Q160" s="123"/>
      <c r="R160" s="123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25">
        <v>45276</v>
      </c>
      <c r="AH160" s="15" t="s">
        <v>162</v>
      </c>
      <c r="AK160" s="114"/>
    </row>
    <row r="161" spans="6:37" ht="19.5" x14ac:dyDescent="0.4">
      <c r="I161" s="26"/>
      <c r="J161" s="13"/>
      <c r="N161" s="115"/>
      <c r="O161" s="117"/>
      <c r="P161" s="123"/>
      <c r="Q161" s="123"/>
      <c r="R161" s="123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25">
        <v>45276</v>
      </c>
      <c r="AH161" s="15" t="s">
        <v>162</v>
      </c>
      <c r="AK161" s="114"/>
    </row>
    <row r="162" spans="6:37" ht="19.5" x14ac:dyDescent="0.4">
      <c r="I162" s="26"/>
      <c r="J162" s="13"/>
      <c r="N162" s="115"/>
      <c r="O162" s="117"/>
      <c r="P162" s="123"/>
      <c r="Q162" s="123"/>
      <c r="R162" s="123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25">
        <v>45276</v>
      </c>
      <c r="AH162" s="15" t="s">
        <v>162</v>
      </c>
      <c r="AK162" s="114"/>
    </row>
    <row r="163" spans="6:37" ht="19.5" x14ac:dyDescent="0.4">
      <c r="I163" s="26"/>
      <c r="J163" s="13"/>
      <c r="N163" s="115"/>
      <c r="O163" s="117"/>
      <c r="P163" s="123"/>
      <c r="Q163" s="123"/>
      <c r="R163" s="123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25">
        <v>45276</v>
      </c>
      <c r="AH163" s="15" t="s">
        <v>162</v>
      </c>
      <c r="AK163" s="114"/>
    </row>
    <row r="164" spans="6:37" ht="19.5" x14ac:dyDescent="0.4">
      <c r="I164" s="26"/>
      <c r="J164" s="13"/>
      <c r="N164" s="115"/>
      <c r="O164" s="117"/>
      <c r="P164" s="123"/>
      <c r="Q164" s="123"/>
      <c r="R164" s="123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25">
        <v>45276</v>
      </c>
      <c r="AH164" s="15" t="s">
        <v>162</v>
      </c>
      <c r="AK164" s="114"/>
    </row>
    <row r="165" spans="6:37" ht="19.5" x14ac:dyDescent="0.4">
      <c r="I165" s="26"/>
      <c r="J165" s="13"/>
      <c r="N165" s="115"/>
      <c r="O165" s="117"/>
      <c r="P165" s="123"/>
      <c r="Q165" s="123"/>
      <c r="R165" s="123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25"/>
      <c r="AH165" s="15"/>
      <c r="AK165" s="114"/>
    </row>
    <row r="166" spans="6:37" ht="19.5" x14ac:dyDescent="0.4">
      <c r="I166" s="26"/>
      <c r="J166" s="13"/>
      <c r="N166" s="115"/>
      <c r="O166" s="117"/>
      <c r="P166" s="123"/>
      <c r="Q166" s="123"/>
      <c r="R166" s="123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25">
        <v>45276</v>
      </c>
      <c r="AH166" s="15" t="s">
        <v>162</v>
      </c>
      <c r="AK166" s="114"/>
    </row>
    <row r="167" spans="6:37" ht="19.5" x14ac:dyDescent="0.4">
      <c r="I167" s="26"/>
      <c r="J167" s="13"/>
      <c r="N167" s="115"/>
      <c r="O167" s="117"/>
      <c r="P167" s="123"/>
      <c r="Q167" s="123"/>
      <c r="R167" s="123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25">
        <v>45276</v>
      </c>
      <c r="AH167" s="15" t="s">
        <v>162</v>
      </c>
      <c r="AK167" s="114"/>
    </row>
    <row r="168" spans="6:37" ht="19.5" x14ac:dyDescent="0.4">
      <c r="G168" s="115"/>
      <c r="H168" s="115"/>
      <c r="I168" s="17"/>
      <c r="J168" s="13"/>
      <c r="N168" s="115"/>
      <c r="O168" s="117"/>
      <c r="P168" s="123"/>
      <c r="Q168" s="123"/>
      <c r="R168" s="123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25"/>
      <c r="AH168" s="15"/>
      <c r="AK168" s="114"/>
    </row>
    <row r="169" spans="6:37" ht="19.5" x14ac:dyDescent="0.4">
      <c r="I169" s="26"/>
      <c r="J169" s="13"/>
      <c r="N169" s="115"/>
      <c r="O169" s="117"/>
      <c r="P169" s="123"/>
      <c r="Q169" s="123"/>
      <c r="R169" s="123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 t="s">
        <v>169</v>
      </c>
      <c r="AG169" s="13">
        <f>SUBTOTAL(3,AG143:AG167)</f>
        <v>17</v>
      </c>
      <c r="AH169" s="15">
        <f>SUBTOTAL(3,AH143:AH167)</f>
        <v>17</v>
      </c>
      <c r="AK169" s="114"/>
    </row>
    <row r="170" spans="6:37" ht="19.5" x14ac:dyDescent="0.4">
      <c r="G170" s="115"/>
      <c r="H170" s="115"/>
      <c r="I170" s="17"/>
      <c r="J170" s="13"/>
      <c r="N170" s="115"/>
      <c r="O170" s="117"/>
      <c r="P170" s="123"/>
      <c r="Q170" s="123"/>
      <c r="R170" s="123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3"/>
      <c r="AH170" s="15"/>
      <c r="AK170" s="114"/>
    </row>
    <row r="171" spans="6:37" ht="19.5" x14ac:dyDescent="0.4">
      <c r="I171" s="26"/>
      <c r="J171" s="13"/>
      <c r="N171" s="115"/>
      <c r="O171" s="117"/>
      <c r="P171" s="123"/>
      <c r="Q171" s="123"/>
      <c r="R171" s="123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25">
        <v>45277</v>
      </c>
      <c r="AH171" s="15" t="s">
        <v>162</v>
      </c>
      <c r="AK171" s="114"/>
    </row>
    <row r="172" spans="6:37" ht="19.5" x14ac:dyDescent="0.4">
      <c r="G172" s="115"/>
      <c r="H172" s="115"/>
      <c r="I172" s="17"/>
      <c r="J172" s="13"/>
      <c r="N172" s="115"/>
      <c r="O172" s="117"/>
      <c r="P172" s="123"/>
      <c r="Q172" s="123"/>
      <c r="R172" s="123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25"/>
      <c r="AH172" s="15"/>
      <c r="AK172" s="114"/>
    </row>
    <row r="173" spans="6:37" ht="19.5" x14ac:dyDescent="0.4">
      <c r="I173" s="26"/>
      <c r="J173" s="13"/>
      <c r="N173" s="115"/>
      <c r="O173" s="117"/>
      <c r="P173" s="123"/>
      <c r="Q173" s="123"/>
      <c r="R173" s="123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25">
        <v>45277</v>
      </c>
      <c r="AH173" s="15" t="s">
        <v>162</v>
      </c>
      <c r="AK173" s="114"/>
    </row>
    <row r="174" spans="6:37" ht="19.5" x14ac:dyDescent="0.4">
      <c r="I174" s="26"/>
      <c r="J174" s="13"/>
      <c r="N174" s="115"/>
      <c r="O174" s="117"/>
      <c r="P174" s="123"/>
      <c r="Q174" s="123"/>
      <c r="R174" s="123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26">
        <v>45277</v>
      </c>
      <c r="AH174" s="13" t="s">
        <v>162</v>
      </c>
      <c r="AK174" s="114"/>
    </row>
    <row r="175" spans="6:37" ht="19.5" x14ac:dyDescent="0.4">
      <c r="I175" s="26"/>
      <c r="J175" s="13"/>
      <c r="N175" s="115"/>
      <c r="O175" s="117"/>
      <c r="P175" s="123"/>
      <c r="Q175" s="123"/>
      <c r="R175" s="123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26">
        <v>45277</v>
      </c>
      <c r="AH175" s="15" t="s">
        <v>162</v>
      </c>
      <c r="AK175" s="114"/>
    </row>
    <row r="176" spans="6:37" ht="19.5" x14ac:dyDescent="0.4">
      <c r="F176" s="115"/>
      <c r="G176" s="115"/>
      <c r="H176" s="115"/>
      <c r="I176" s="26"/>
      <c r="J176" s="13"/>
      <c r="N176" s="115"/>
      <c r="O176" s="117"/>
      <c r="P176" s="123"/>
      <c r="Q176" s="123"/>
      <c r="R176" s="123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26"/>
      <c r="AH176" s="15"/>
      <c r="AK176" s="114"/>
    </row>
    <row r="177" spans="6:37" ht="19.5" x14ac:dyDescent="0.4">
      <c r="I177" s="26"/>
      <c r="J177" s="13"/>
      <c r="N177" s="115"/>
      <c r="O177" s="117"/>
      <c r="P177" s="123"/>
      <c r="Q177" s="123"/>
      <c r="R177" s="123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26">
        <v>45277</v>
      </c>
      <c r="AH177" s="15" t="s">
        <v>162</v>
      </c>
      <c r="AK177" s="114"/>
    </row>
    <row r="178" spans="6:37" ht="19.5" x14ac:dyDescent="0.4">
      <c r="I178" s="26"/>
      <c r="J178" s="13"/>
      <c r="N178" s="115"/>
      <c r="O178" s="117"/>
      <c r="P178" s="123"/>
      <c r="Q178" s="123"/>
      <c r="R178" s="123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 t="s">
        <v>160</v>
      </c>
      <c r="AG178" s="17">
        <f>SUBTOTAL(3,AG171:AG177)</f>
        <v>5</v>
      </c>
      <c r="AH178" s="15">
        <f>SUBTOTAL(3,AH171:AH177)</f>
        <v>5</v>
      </c>
      <c r="AK178" s="114"/>
    </row>
    <row r="179" spans="6:37" ht="19.5" x14ac:dyDescent="0.4">
      <c r="F179" s="115"/>
      <c r="G179" s="115"/>
      <c r="H179" s="115"/>
      <c r="I179" s="26"/>
      <c r="J179" s="13"/>
      <c r="N179" s="115"/>
      <c r="O179" s="117"/>
      <c r="P179" s="123"/>
      <c r="Q179" s="123"/>
      <c r="R179" s="123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7"/>
      <c r="AH179" s="15"/>
      <c r="AK179" s="114"/>
    </row>
    <row r="180" spans="6:37" ht="19.5" x14ac:dyDescent="0.4">
      <c r="F180" s="115"/>
      <c r="G180" s="115"/>
      <c r="H180" s="115"/>
      <c r="I180" s="17"/>
      <c r="J180" s="13"/>
      <c r="N180" s="115"/>
      <c r="O180" s="117"/>
      <c r="P180" s="123"/>
      <c r="Q180" s="123"/>
      <c r="R180" s="123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7"/>
      <c r="AH180" s="15"/>
      <c r="AK180" s="114"/>
    </row>
    <row r="181" spans="6:37" ht="19.5" x14ac:dyDescent="0.4">
      <c r="I181" s="26"/>
      <c r="J181" s="13"/>
      <c r="N181" s="115"/>
      <c r="O181" s="117"/>
      <c r="P181" s="123"/>
      <c r="Q181" s="123"/>
      <c r="R181" s="123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26">
        <v>45278</v>
      </c>
      <c r="AH181" s="15" t="s">
        <v>164</v>
      </c>
      <c r="AK181" s="114"/>
    </row>
    <row r="182" spans="6:37" ht="19.5" x14ac:dyDescent="0.4">
      <c r="I182" s="26"/>
      <c r="J182" s="13"/>
      <c r="N182" s="115"/>
      <c r="O182" s="117"/>
      <c r="P182" s="123"/>
      <c r="Q182" s="123"/>
      <c r="R182" s="123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26">
        <v>45278</v>
      </c>
      <c r="AH182" s="15" t="s">
        <v>164</v>
      </c>
      <c r="AK182" s="114"/>
    </row>
    <row r="183" spans="6:37" ht="19.5" x14ac:dyDescent="0.4">
      <c r="G183" s="115"/>
      <c r="H183" s="115"/>
      <c r="I183" s="17"/>
      <c r="J183" s="13"/>
      <c r="N183" s="115"/>
      <c r="O183" s="117"/>
      <c r="P183" s="123"/>
      <c r="Q183" s="123"/>
      <c r="R183" s="123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26"/>
      <c r="AH183" s="15"/>
      <c r="AK183" s="114"/>
    </row>
    <row r="184" spans="6:37" ht="19.5" x14ac:dyDescent="0.4">
      <c r="I184" s="26"/>
      <c r="J184" s="13"/>
      <c r="N184" s="115"/>
      <c r="O184" s="117"/>
      <c r="P184" s="123"/>
      <c r="Q184" s="123"/>
      <c r="R184" s="123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26">
        <v>45278</v>
      </c>
      <c r="AH184" s="15" t="s">
        <v>162</v>
      </c>
      <c r="AK184" s="114"/>
    </row>
    <row r="185" spans="6:37" ht="19.5" x14ac:dyDescent="0.4">
      <c r="G185" s="115"/>
      <c r="H185" s="115"/>
      <c r="I185" s="17"/>
      <c r="J185" s="13"/>
      <c r="N185" s="115"/>
      <c r="O185" s="117"/>
      <c r="P185" s="123"/>
      <c r="Q185" s="123"/>
      <c r="R185" s="123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26"/>
      <c r="AH185" s="15"/>
      <c r="AK185" s="114"/>
    </row>
    <row r="186" spans="6:37" ht="19.5" x14ac:dyDescent="0.4">
      <c r="I186" s="26"/>
      <c r="J186" s="13"/>
      <c r="N186" s="115"/>
      <c r="O186" s="117"/>
      <c r="P186" s="123"/>
      <c r="Q186" s="123"/>
      <c r="R186" s="123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26">
        <v>45278</v>
      </c>
      <c r="AH186" s="15" t="s">
        <v>142</v>
      </c>
      <c r="AK186" s="114"/>
    </row>
    <row r="187" spans="6:37" ht="19.5" x14ac:dyDescent="0.4">
      <c r="I187" s="26"/>
      <c r="J187" s="13"/>
      <c r="N187" s="115"/>
      <c r="O187" s="117"/>
      <c r="P187" s="123"/>
      <c r="Q187" s="123"/>
      <c r="R187" s="123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26">
        <v>45278</v>
      </c>
      <c r="AH187" s="15" t="s">
        <v>162</v>
      </c>
      <c r="AK187" s="114"/>
    </row>
    <row r="188" spans="6:37" ht="19.5" x14ac:dyDescent="0.4">
      <c r="I188" s="26"/>
      <c r="J188" s="13"/>
      <c r="N188" s="115"/>
      <c r="O188" s="117"/>
      <c r="P188" s="123"/>
      <c r="Q188" s="123"/>
      <c r="R188" s="123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26">
        <v>45278</v>
      </c>
      <c r="AH188" s="15" t="s">
        <v>162</v>
      </c>
      <c r="AK188" s="114"/>
    </row>
    <row r="189" spans="6:37" ht="19.5" x14ac:dyDescent="0.4">
      <c r="G189" s="115"/>
      <c r="H189" s="115"/>
      <c r="I189" s="17"/>
      <c r="J189" s="13"/>
      <c r="N189" s="115"/>
      <c r="O189" s="117"/>
      <c r="P189" s="123"/>
      <c r="Q189" s="123"/>
      <c r="R189" s="123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26"/>
      <c r="AH189" s="15"/>
      <c r="AK189" s="114"/>
    </row>
    <row r="190" spans="6:37" ht="19.5" x14ac:dyDescent="0.4">
      <c r="F190" s="115"/>
      <c r="G190" s="115"/>
      <c r="H190" s="115"/>
      <c r="I190" s="26"/>
      <c r="J190" s="13"/>
      <c r="N190" s="115"/>
      <c r="O190" s="117"/>
      <c r="P190" s="123"/>
      <c r="Q190" s="123"/>
      <c r="R190" s="123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26"/>
      <c r="AH190" s="15"/>
      <c r="AK190" s="114"/>
    </row>
    <row r="191" spans="6:37" ht="19.5" x14ac:dyDescent="0.4">
      <c r="F191" s="115"/>
      <c r="G191" s="115"/>
      <c r="H191" s="115"/>
      <c r="I191" s="26"/>
      <c r="J191" s="15"/>
      <c r="N191" s="115"/>
      <c r="O191" s="117"/>
      <c r="P191" s="123"/>
      <c r="Q191" s="123"/>
      <c r="R191" s="123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26"/>
      <c r="AH191" s="15"/>
      <c r="AK191" s="114"/>
    </row>
    <row r="192" spans="6:37" ht="19.5" x14ac:dyDescent="0.4">
      <c r="I192" s="26"/>
      <c r="J192" s="15"/>
      <c r="N192" s="115"/>
      <c r="O192" s="117"/>
      <c r="P192" s="123"/>
      <c r="Q192" s="123"/>
      <c r="R192" s="123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26">
        <v>45278</v>
      </c>
      <c r="AH192" s="15" t="s">
        <v>162</v>
      </c>
      <c r="AK192" s="114"/>
    </row>
    <row r="193" spans="6:37" ht="19.5" x14ac:dyDescent="0.4">
      <c r="G193" s="115"/>
      <c r="H193" s="115"/>
      <c r="I193" s="17"/>
      <c r="J193" s="15"/>
      <c r="N193" s="115"/>
      <c r="O193" s="117"/>
      <c r="P193" s="123"/>
      <c r="Q193" s="123"/>
      <c r="R193" s="123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26"/>
      <c r="AH193" s="15"/>
      <c r="AK193" s="114"/>
    </row>
    <row r="194" spans="6:37" ht="19.5" x14ac:dyDescent="0.4">
      <c r="I194" s="26"/>
      <c r="J194" s="15"/>
      <c r="N194" s="115"/>
      <c r="O194" s="117"/>
      <c r="P194" s="123"/>
      <c r="Q194" s="123"/>
      <c r="R194" s="123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26">
        <v>45278</v>
      </c>
      <c r="AH194" s="15" t="s">
        <v>163</v>
      </c>
      <c r="AK194" s="114"/>
    </row>
    <row r="195" spans="6:37" ht="19.5" x14ac:dyDescent="0.4">
      <c r="I195" s="26"/>
      <c r="J195" s="13"/>
      <c r="N195" s="115"/>
      <c r="O195" s="117"/>
      <c r="P195" s="123"/>
      <c r="Q195" s="123"/>
      <c r="R195" s="123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26">
        <v>45278</v>
      </c>
      <c r="AH195" s="105" t="s">
        <v>163</v>
      </c>
      <c r="AK195" s="114"/>
    </row>
    <row r="196" spans="6:37" ht="19.5" x14ac:dyDescent="0.4">
      <c r="I196" s="26"/>
      <c r="J196" s="13"/>
      <c r="N196" s="115"/>
      <c r="O196" s="117"/>
      <c r="P196" s="123"/>
      <c r="Q196" s="123"/>
      <c r="R196" s="123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26">
        <v>45278</v>
      </c>
      <c r="AH196" s="15" t="s">
        <v>163</v>
      </c>
      <c r="AK196" s="114"/>
    </row>
    <row r="197" spans="6:37" ht="19.5" x14ac:dyDescent="0.4">
      <c r="F197" s="115"/>
      <c r="G197" s="115"/>
      <c r="H197" s="115"/>
      <c r="I197" s="26"/>
      <c r="J197" s="13"/>
      <c r="N197" s="115"/>
      <c r="O197" s="117"/>
      <c r="P197" s="123"/>
      <c r="Q197" s="123"/>
      <c r="R197" s="123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26"/>
      <c r="AH197" s="15"/>
      <c r="AK197" s="114"/>
    </row>
    <row r="198" spans="6:37" ht="19.5" x14ac:dyDescent="0.4">
      <c r="F198" s="115"/>
      <c r="G198" s="115"/>
      <c r="H198" s="115"/>
      <c r="I198" s="17"/>
      <c r="J198" s="13"/>
      <c r="N198" s="115"/>
      <c r="O198" s="117"/>
      <c r="P198" s="123"/>
      <c r="Q198" s="123"/>
      <c r="R198" s="123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26"/>
      <c r="AH198" s="15"/>
      <c r="AK198" s="114"/>
    </row>
    <row r="199" spans="6:37" ht="19.5" x14ac:dyDescent="0.4">
      <c r="F199" s="115"/>
      <c r="G199" s="115"/>
      <c r="H199" s="115"/>
      <c r="I199" s="26"/>
      <c r="J199" s="13"/>
      <c r="N199" s="115"/>
      <c r="O199" s="117"/>
      <c r="P199" s="123"/>
      <c r="Q199" s="123"/>
      <c r="R199" s="123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26"/>
      <c r="AH199" s="15"/>
      <c r="AK199" s="114"/>
    </row>
    <row r="200" spans="6:37" ht="19.5" x14ac:dyDescent="0.4">
      <c r="F200" s="115"/>
      <c r="G200" s="115"/>
      <c r="H200" s="115"/>
      <c r="I200" s="17"/>
      <c r="J200" s="13"/>
      <c r="N200" s="115"/>
      <c r="O200" s="117"/>
      <c r="P200" s="123"/>
      <c r="Q200" s="123"/>
      <c r="R200" s="123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26"/>
      <c r="AH200" s="15"/>
      <c r="AK200" s="114"/>
    </row>
    <row r="201" spans="6:37" ht="19.5" x14ac:dyDescent="0.4">
      <c r="F201" s="115"/>
      <c r="G201" s="115"/>
      <c r="H201" s="115"/>
      <c r="I201" s="17"/>
      <c r="J201" s="13"/>
      <c r="N201" s="115"/>
      <c r="O201" s="117"/>
      <c r="P201" s="123"/>
      <c r="Q201" s="123"/>
      <c r="R201" s="123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26"/>
      <c r="AH201" s="15"/>
      <c r="AK201" s="114"/>
    </row>
    <row r="202" spans="6:37" ht="19.5" x14ac:dyDescent="0.4">
      <c r="F202" s="115"/>
      <c r="G202" s="115"/>
      <c r="H202" s="115"/>
      <c r="I202" s="26"/>
      <c r="J202" s="13"/>
      <c r="N202" s="115"/>
      <c r="O202" s="117"/>
      <c r="P202" s="123"/>
      <c r="Q202" s="123"/>
      <c r="R202" s="123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26"/>
      <c r="AH202" s="15"/>
      <c r="AK202" s="114"/>
    </row>
    <row r="203" spans="6:37" ht="19.5" x14ac:dyDescent="0.4">
      <c r="I203" s="26"/>
      <c r="J203" s="13"/>
      <c r="N203" s="115"/>
      <c r="O203" s="117"/>
      <c r="P203" s="123"/>
      <c r="Q203" s="123"/>
      <c r="R203" s="123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26">
        <v>45278</v>
      </c>
      <c r="AH203" s="15" t="s">
        <v>163</v>
      </c>
      <c r="AK203" s="114"/>
    </row>
    <row r="204" spans="6:37" ht="19.5" x14ac:dyDescent="0.4">
      <c r="I204" s="129"/>
      <c r="J204" s="13"/>
      <c r="N204" s="115"/>
      <c r="O204" s="117"/>
      <c r="P204" s="123"/>
      <c r="Q204" s="123"/>
      <c r="R204" s="123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26"/>
      <c r="AH204" s="15"/>
      <c r="AK204" s="114"/>
    </row>
    <row r="205" spans="6:37" ht="19.5" x14ac:dyDescent="0.4">
      <c r="I205" s="26"/>
      <c r="J205" s="13"/>
      <c r="N205" s="115"/>
      <c r="O205" s="117"/>
      <c r="P205" s="123"/>
      <c r="Q205" s="123"/>
      <c r="R205" s="123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26">
        <v>45278</v>
      </c>
      <c r="AH205" s="15" t="s">
        <v>163</v>
      </c>
      <c r="AK205" s="114"/>
    </row>
    <row r="206" spans="6:37" ht="19.5" x14ac:dyDescent="0.4">
      <c r="I206" s="26"/>
      <c r="J206" s="13"/>
      <c r="N206" s="115"/>
      <c r="O206" s="117"/>
      <c r="P206" s="123"/>
      <c r="Q206" s="123"/>
      <c r="R206" s="123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 t="s">
        <v>153</v>
      </c>
      <c r="AG206" s="17">
        <f>SUBTOTAL(3,AG181:AG205)</f>
        <v>12</v>
      </c>
      <c r="AH206" s="13">
        <f>SUBTOTAL(3,AH181:AH205)</f>
        <v>12</v>
      </c>
      <c r="AK206" s="114"/>
    </row>
    <row r="207" spans="6:37" ht="19.5" x14ac:dyDescent="0.4">
      <c r="I207" s="26"/>
      <c r="J207" s="13"/>
      <c r="N207" s="115"/>
      <c r="O207" s="117"/>
      <c r="P207" s="123"/>
      <c r="Q207" s="123"/>
      <c r="R207" s="123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26">
        <v>45279</v>
      </c>
      <c r="AH207" s="25" t="s">
        <v>162</v>
      </c>
      <c r="AK207" s="114"/>
    </row>
    <row r="208" spans="6:37" ht="19.5" x14ac:dyDescent="0.4">
      <c r="I208" s="26"/>
      <c r="J208" s="13"/>
      <c r="N208" s="115"/>
      <c r="O208" s="117"/>
      <c r="P208" s="123"/>
      <c r="Q208" s="123"/>
      <c r="R208" s="123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26">
        <v>45279</v>
      </c>
      <c r="AH208" s="13" t="s">
        <v>162</v>
      </c>
      <c r="AK208" s="114"/>
    </row>
    <row r="209" spans="9:37" ht="19.5" x14ac:dyDescent="0.4">
      <c r="I209" s="26"/>
      <c r="J209" s="13"/>
      <c r="N209" s="115"/>
      <c r="O209" s="117"/>
      <c r="P209" s="123"/>
      <c r="Q209" s="123"/>
      <c r="R209" s="123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26">
        <v>45279</v>
      </c>
      <c r="AH209" s="13" t="s">
        <v>162</v>
      </c>
      <c r="AK209" s="114"/>
    </row>
    <row r="210" spans="9:37" ht="19.5" x14ac:dyDescent="0.4">
      <c r="I210" s="26"/>
      <c r="J210" s="13"/>
      <c r="N210" s="115"/>
      <c r="O210" s="117"/>
      <c r="P210" s="123"/>
      <c r="Q210" s="123"/>
      <c r="R210" s="123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26">
        <v>45279</v>
      </c>
      <c r="AH210" s="13" t="s">
        <v>162</v>
      </c>
      <c r="AK210" s="114"/>
    </row>
    <row r="211" spans="9:37" ht="19.5" x14ac:dyDescent="0.4">
      <c r="I211" s="129"/>
      <c r="J211" s="13"/>
      <c r="N211" s="115"/>
      <c r="O211" s="117"/>
      <c r="P211" s="123"/>
      <c r="Q211" s="123"/>
      <c r="R211" s="123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26"/>
      <c r="AH211" s="13"/>
      <c r="AK211" s="114"/>
    </row>
    <row r="212" spans="9:37" ht="19.5" x14ac:dyDescent="0.4">
      <c r="I212" s="26"/>
      <c r="J212" s="13"/>
      <c r="N212" s="115"/>
      <c r="O212" s="117"/>
      <c r="P212" s="123"/>
      <c r="Q212" s="123"/>
      <c r="R212" s="123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26">
        <v>45279</v>
      </c>
      <c r="AH212" s="13" t="s">
        <v>162</v>
      </c>
      <c r="AK212" s="114"/>
    </row>
    <row r="213" spans="9:37" ht="19.5" x14ac:dyDescent="0.4">
      <c r="I213" s="26"/>
      <c r="J213" s="13"/>
      <c r="N213" s="115"/>
      <c r="O213" s="117"/>
      <c r="P213" s="123"/>
      <c r="Q213" s="123"/>
      <c r="R213" s="123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26">
        <v>45279</v>
      </c>
      <c r="AH213" s="13" t="s">
        <v>162</v>
      </c>
      <c r="AK213" s="114"/>
    </row>
    <row r="214" spans="9:37" ht="19.5" x14ac:dyDescent="0.4">
      <c r="I214" s="26"/>
      <c r="J214" s="13"/>
      <c r="N214" s="115"/>
      <c r="O214" s="117"/>
      <c r="P214" s="123"/>
      <c r="Q214" s="123"/>
      <c r="R214" s="123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 t="s">
        <v>170</v>
      </c>
      <c r="AG214" s="17">
        <f>SUBTOTAL(3,AG207:AG213)</f>
        <v>6</v>
      </c>
      <c r="AH214" s="13">
        <f>SUBTOTAL(3,AH207:AH213)</f>
        <v>6</v>
      </c>
      <c r="AK214" s="114"/>
    </row>
    <row r="215" spans="9:37" ht="19.5" x14ac:dyDescent="0.4">
      <c r="I215" s="129"/>
      <c r="J215" s="13"/>
      <c r="N215" s="115"/>
      <c r="O215" s="117"/>
      <c r="P215" s="123"/>
      <c r="Q215" s="123"/>
      <c r="R215" s="123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7"/>
      <c r="AH215" s="13"/>
      <c r="AK215" s="114"/>
    </row>
    <row r="216" spans="9:37" ht="19.5" x14ac:dyDescent="0.4">
      <c r="I216" s="26"/>
      <c r="J216" s="13"/>
      <c r="N216" s="115"/>
      <c r="O216" s="117"/>
      <c r="P216" s="123"/>
      <c r="Q216" s="123"/>
      <c r="R216" s="123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26">
        <v>45280</v>
      </c>
      <c r="AH216" s="13" t="s">
        <v>162</v>
      </c>
      <c r="AK216" s="114"/>
    </row>
    <row r="217" spans="9:37" ht="19.5" x14ac:dyDescent="0.4">
      <c r="I217" s="26"/>
      <c r="J217" s="13"/>
      <c r="N217" s="115"/>
      <c r="O217" s="116"/>
      <c r="P217" s="123"/>
      <c r="Q217" s="123"/>
      <c r="R217" s="123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26">
        <v>45280</v>
      </c>
      <c r="AH217" s="13" t="s">
        <v>162</v>
      </c>
      <c r="AK217" s="114"/>
    </row>
    <row r="218" spans="9:37" ht="19.5" x14ac:dyDescent="0.4">
      <c r="I218" s="26"/>
      <c r="J218" s="13"/>
      <c r="N218" s="115"/>
      <c r="O218" s="116"/>
      <c r="P218" s="123"/>
      <c r="Q218" s="123"/>
      <c r="R218" s="123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26">
        <v>45280</v>
      </c>
      <c r="AH218" s="13" t="s">
        <v>162</v>
      </c>
      <c r="AK218" s="114"/>
    </row>
    <row r="219" spans="9:37" ht="19.5" x14ac:dyDescent="0.4">
      <c r="I219" s="26"/>
      <c r="J219" s="13"/>
      <c r="N219" s="115"/>
      <c r="O219" s="116"/>
      <c r="P219" s="123"/>
      <c r="Q219" s="123"/>
      <c r="R219" s="123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26">
        <v>45280</v>
      </c>
      <c r="AH219" s="13" t="s">
        <v>162</v>
      </c>
      <c r="AK219" s="114"/>
    </row>
    <row r="220" spans="9:37" ht="19.5" x14ac:dyDescent="0.4">
      <c r="I220" s="129"/>
      <c r="J220" s="13"/>
      <c r="N220" s="115"/>
      <c r="O220" s="116"/>
      <c r="P220" s="123"/>
      <c r="Q220" s="123"/>
      <c r="R220" s="123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26"/>
      <c r="AH220" s="13"/>
      <c r="AK220" s="114"/>
    </row>
    <row r="221" spans="9:37" ht="19.5" x14ac:dyDescent="0.4">
      <c r="I221" s="26"/>
      <c r="J221" s="13"/>
      <c r="N221" s="115"/>
      <c r="O221" s="116"/>
      <c r="P221" s="123"/>
      <c r="Q221" s="123"/>
      <c r="R221" s="123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26">
        <v>45280</v>
      </c>
      <c r="AH221" s="13" t="s">
        <v>162</v>
      </c>
      <c r="AK221" s="114"/>
    </row>
    <row r="222" spans="9:37" ht="19.5" x14ac:dyDescent="0.4">
      <c r="I222" s="130"/>
      <c r="J222" s="119"/>
      <c r="N222" s="115"/>
      <c r="O222" s="116"/>
      <c r="P222" s="123"/>
      <c r="Q222" s="123"/>
      <c r="R222" s="123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26"/>
      <c r="AH222" s="13"/>
      <c r="AK222" s="114"/>
    </row>
    <row r="223" spans="9:37" ht="19.5" x14ac:dyDescent="0.4">
      <c r="I223" s="130"/>
      <c r="J223" s="119"/>
      <c r="N223" s="115"/>
      <c r="O223" s="116"/>
      <c r="P223" s="123"/>
      <c r="Q223" s="123"/>
      <c r="R223" s="123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26"/>
      <c r="AH223" s="13"/>
      <c r="AK223" s="114"/>
    </row>
    <row r="224" spans="9:37" ht="19.5" x14ac:dyDescent="0.4">
      <c r="N224" s="115"/>
      <c r="O224" s="116"/>
      <c r="P224" s="123"/>
      <c r="Q224" s="123"/>
      <c r="R224" s="123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26">
        <v>45280</v>
      </c>
      <c r="AH224" s="13" t="s">
        <v>162</v>
      </c>
      <c r="AK224" s="114"/>
    </row>
    <row r="225" spans="11:37" ht="19.5" x14ac:dyDescent="0.4">
      <c r="N225" s="115"/>
      <c r="O225" s="116"/>
      <c r="P225" s="123"/>
      <c r="Q225" s="123"/>
      <c r="R225" s="123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26">
        <v>45280</v>
      </c>
      <c r="AH225" s="13" t="s">
        <v>162</v>
      </c>
      <c r="AK225" s="114"/>
    </row>
    <row r="226" spans="11:37" ht="19.5" x14ac:dyDescent="0.4">
      <c r="N226" s="115"/>
      <c r="O226" s="116"/>
      <c r="P226" s="123"/>
      <c r="Q226" s="123"/>
      <c r="R226" s="123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26">
        <v>45280</v>
      </c>
      <c r="AH226" s="13" t="s">
        <v>162</v>
      </c>
      <c r="AK226" s="114"/>
    </row>
    <row r="227" spans="11:37" ht="19.5" x14ac:dyDescent="0.4">
      <c r="M227" s="115"/>
      <c r="N227" s="115"/>
      <c r="O227" s="116"/>
      <c r="P227" s="123"/>
      <c r="Q227" s="123"/>
      <c r="R227" s="123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26">
        <v>45280</v>
      </c>
      <c r="AH227" s="13" t="s">
        <v>162</v>
      </c>
      <c r="AK227" s="114"/>
    </row>
    <row r="228" spans="11:37" ht="19.5" x14ac:dyDescent="0.4">
      <c r="M228" s="115"/>
      <c r="N228" s="115"/>
      <c r="O228" s="116"/>
      <c r="P228" s="123"/>
      <c r="Q228" s="123"/>
      <c r="R228" s="123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26">
        <v>45280</v>
      </c>
      <c r="AH228" s="13" t="s">
        <v>162</v>
      </c>
      <c r="AK228" s="114"/>
    </row>
    <row r="229" spans="11:37" ht="19.5" x14ac:dyDescent="0.4">
      <c r="K229" s="115"/>
      <c r="L229" s="115"/>
      <c r="M229" s="115"/>
      <c r="N229" s="115"/>
      <c r="O229" s="116"/>
      <c r="P229" s="123"/>
      <c r="Q229" s="123"/>
      <c r="R229" s="123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26">
        <v>45280</v>
      </c>
      <c r="AH229" s="13" t="s">
        <v>162</v>
      </c>
      <c r="AK229" s="114"/>
    </row>
    <row r="230" spans="11:37" x14ac:dyDescent="0.4">
      <c r="K230" s="115"/>
      <c r="L230" s="115"/>
      <c r="M230" s="115"/>
      <c r="N230" s="115"/>
      <c r="O230" s="115"/>
      <c r="P230" s="122"/>
      <c r="Q230" s="122"/>
      <c r="R230" s="122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26">
        <v>45280</v>
      </c>
      <c r="AH230" s="13" t="s">
        <v>162</v>
      </c>
      <c r="AK230" s="114"/>
    </row>
    <row r="231" spans="11:37" x14ac:dyDescent="0.4">
      <c r="K231" s="115"/>
      <c r="L231" s="115"/>
      <c r="M231" s="115"/>
      <c r="N231" s="115"/>
      <c r="O231" s="115"/>
      <c r="P231" s="122"/>
      <c r="Q231" s="122"/>
      <c r="R231" s="122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26">
        <v>45280</v>
      </c>
      <c r="AH231" s="13" t="s">
        <v>162</v>
      </c>
      <c r="AK231" s="114"/>
    </row>
    <row r="232" spans="11:37" x14ac:dyDescent="0.4">
      <c r="K232" s="115"/>
      <c r="L232" s="115"/>
      <c r="M232" s="115"/>
      <c r="N232" s="115"/>
      <c r="O232" s="115"/>
      <c r="P232" s="122"/>
      <c r="Q232" s="122"/>
      <c r="R232" s="122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 t="s">
        <v>171</v>
      </c>
      <c r="AG232" s="17">
        <f>SUBTOTAL(3,AG216:AG231)</f>
        <v>13</v>
      </c>
      <c r="AH232" s="13">
        <f>SUBTOTAL(3,AH216:AH231)</f>
        <v>13</v>
      </c>
      <c r="AK232" s="114"/>
    </row>
    <row r="233" spans="11:37" x14ac:dyDescent="0.4">
      <c r="K233" s="115"/>
      <c r="L233" s="115"/>
      <c r="M233" s="115"/>
      <c r="N233" s="115"/>
      <c r="O233" s="115"/>
      <c r="P233" s="122"/>
      <c r="Q233" s="122"/>
      <c r="R233" s="122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26">
        <v>45283</v>
      </c>
      <c r="AH233" s="13" t="s">
        <v>162</v>
      </c>
      <c r="AK233" s="114"/>
    </row>
    <row r="234" spans="11:37" x14ac:dyDescent="0.4">
      <c r="K234" s="115"/>
      <c r="L234" s="115"/>
      <c r="M234" s="115"/>
      <c r="N234" s="115"/>
      <c r="O234" s="115"/>
      <c r="P234" s="122"/>
      <c r="Q234" s="122"/>
      <c r="R234" s="122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26">
        <v>45283</v>
      </c>
      <c r="AH234" s="13" t="s">
        <v>162</v>
      </c>
      <c r="AK234" s="114"/>
    </row>
    <row r="235" spans="11:37" x14ac:dyDescent="0.4">
      <c r="K235" s="115"/>
      <c r="L235" s="115"/>
      <c r="M235" s="115"/>
      <c r="N235" s="115"/>
      <c r="O235" s="115"/>
      <c r="P235" s="122"/>
      <c r="Q235" s="122"/>
      <c r="R235" s="122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26">
        <v>45283</v>
      </c>
      <c r="AH235" s="13" t="s">
        <v>162</v>
      </c>
      <c r="AK235" s="114"/>
    </row>
    <row r="236" spans="11:37" x14ac:dyDescent="0.4">
      <c r="K236" s="115"/>
      <c r="L236" s="115"/>
      <c r="M236" s="115"/>
      <c r="N236" s="115"/>
      <c r="O236" s="115"/>
      <c r="P236" s="122"/>
      <c r="Q236" s="122"/>
      <c r="R236" s="122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26">
        <v>45283</v>
      </c>
      <c r="AH236" s="13" t="s">
        <v>162</v>
      </c>
      <c r="AK236" s="114"/>
    </row>
    <row r="237" spans="11:37" x14ac:dyDescent="0.4">
      <c r="K237" s="115"/>
      <c r="L237" s="115"/>
      <c r="M237" s="115"/>
      <c r="N237" s="115"/>
      <c r="O237" s="115"/>
      <c r="P237" s="122"/>
      <c r="Q237" s="122"/>
      <c r="R237" s="122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26">
        <v>45283</v>
      </c>
      <c r="AH237" s="13" t="s">
        <v>162</v>
      </c>
      <c r="AK237" s="114"/>
    </row>
    <row r="238" spans="11:37" x14ac:dyDescent="0.4">
      <c r="K238" s="115"/>
      <c r="L238" s="115"/>
      <c r="M238" s="115"/>
      <c r="N238" s="115"/>
      <c r="O238" s="115"/>
      <c r="P238" s="122"/>
      <c r="Q238" s="122"/>
      <c r="R238" s="122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26">
        <v>45283</v>
      </c>
      <c r="AH238" s="13" t="s">
        <v>162</v>
      </c>
      <c r="AK238" s="114"/>
    </row>
    <row r="239" spans="11:37" x14ac:dyDescent="0.4">
      <c r="K239" s="115"/>
      <c r="L239" s="115"/>
      <c r="M239" s="115"/>
      <c r="N239" s="115"/>
      <c r="O239" s="115"/>
      <c r="P239" s="122"/>
      <c r="Q239" s="122"/>
      <c r="R239" s="122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26">
        <v>45283</v>
      </c>
      <c r="AH239" s="13" t="s">
        <v>162</v>
      </c>
      <c r="AK239" s="114"/>
    </row>
    <row r="240" spans="11:37" x14ac:dyDescent="0.4">
      <c r="K240" s="115"/>
      <c r="L240" s="115"/>
      <c r="M240" s="115"/>
      <c r="N240" s="115"/>
      <c r="O240" s="115"/>
      <c r="P240" s="122"/>
      <c r="Q240" s="122"/>
      <c r="R240" s="122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26">
        <v>45283</v>
      </c>
      <c r="AH240" s="13" t="s">
        <v>162</v>
      </c>
      <c r="AK240" s="114"/>
    </row>
    <row r="241" spans="11:37" x14ac:dyDescent="0.4">
      <c r="K241" s="115"/>
      <c r="L241" s="115"/>
      <c r="M241" s="115"/>
      <c r="N241" s="115"/>
      <c r="O241" s="115"/>
      <c r="P241" s="122"/>
      <c r="Q241" s="122"/>
      <c r="R241" s="122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26">
        <v>45283</v>
      </c>
      <c r="AH241" s="13" t="s">
        <v>162</v>
      </c>
      <c r="AK241" s="114"/>
    </row>
    <row r="242" spans="11:37" x14ac:dyDescent="0.4">
      <c r="K242" s="115"/>
      <c r="L242" s="115"/>
      <c r="M242" s="115"/>
      <c r="N242" s="115"/>
      <c r="O242" s="115"/>
      <c r="P242" s="122"/>
      <c r="Q242" s="122"/>
      <c r="R242" s="122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26">
        <v>45283</v>
      </c>
      <c r="AH242" s="13" t="s">
        <v>162</v>
      </c>
      <c r="AK242" s="114"/>
    </row>
    <row r="243" spans="11:37" x14ac:dyDescent="0.4">
      <c r="K243" s="115"/>
      <c r="L243" s="115"/>
      <c r="M243" s="115"/>
      <c r="N243" s="115"/>
      <c r="O243" s="115"/>
      <c r="P243" s="122"/>
      <c r="Q243" s="122"/>
      <c r="R243" s="122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26">
        <v>45283</v>
      </c>
      <c r="AH243" s="13" t="s">
        <v>163</v>
      </c>
      <c r="AK243" s="114"/>
    </row>
    <row r="244" spans="11:37" x14ac:dyDescent="0.4">
      <c r="K244" s="115"/>
      <c r="L244" s="115"/>
      <c r="M244" s="115"/>
      <c r="N244" s="115"/>
      <c r="O244" s="115"/>
      <c r="P244" s="122"/>
      <c r="Q244" s="122"/>
      <c r="R244" s="122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26">
        <v>45283</v>
      </c>
      <c r="AH244" s="13" t="s">
        <v>163</v>
      </c>
      <c r="AK244" s="114"/>
    </row>
    <row r="245" spans="11:37" x14ac:dyDescent="0.4">
      <c r="K245" s="115"/>
      <c r="L245" s="115"/>
      <c r="M245" s="115"/>
      <c r="N245" s="115"/>
      <c r="O245" s="115"/>
      <c r="P245" s="122"/>
      <c r="Q245" s="122"/>
      <c r="R245" s="122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26">
        <v>45283</v>
      </c>
      <c r="AH245" s="13" t="s">
        <v>163</v>
      </c>
      <c r="AK245" s="114"/>
    </row>
    <row r="246" spans="11:37" x14ac:dyDescent="0.4">
      <c r="K246" s="115"/>
      <c r="L246" s="115"/>
      <c r="M246" s="115"/>
      <c r="N246" s="115"/>
      <c r="O246" s="115"/>
      <c r="P246" s="122"/>
      <c r="Q246" s="122"/>
      <c r="R246" s="122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 t="s">
        <v>161</v>
      </c>
      <c r="AG246" s="17">
        <f>SUBTOTAL(3,AG233:AG245)</f>
        <v>13</v>
      </c>
      <c r="AH246" s="13">
        <f>SUBTOTAL(3,AH233:AH245)</f>
        <v>13</v>
      </c>
      <c r="AK246" s="114"/>
    </row>
    <row r="247" spans="11:37" x14ac:dyDescent="0.4">
      <c r="K247" s="115"/>
      <c r="L247" s="115"/>
      <c r="M247" s="115"/>
      <c r="N247" s="115"/>
      <c r="O247" s="115"/>
      <c r="P247" s="122"/>
      <c r="Q247" s="122"/>
      <c r="R247" s="122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26">
        <v>45285</v>
      </c>
      <c r="AH247" s="13" t="s">
        <v>163</v>
      </c>
      <c r="AK247" s="114"/>
    </row>
    <row r="248" spans="11:37" x14ac:dyDescent="0.4">
      <c r="K248" s="115"/>
      <c r="L248" s="115"/>
      <c r="M248" s="115"/>
      <c r="N248" s="115"/>
      <c r="O248" s="115"/>
      <c r="P248" s="122"/>
      <c r="Q248" s="122"/>
      <c r="R248" s="122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 t="s">
        <v>172</v>
      </c>
      <c r="AG248" s="17">
        <f>SUBTOTAL(3,AG247:AG247)</f>
        <v>1</v>
      </c>
      <c r="AH248" s="13">
        <f>SUBTOTAL(3,AH247:AH247)</f>
        <v>1</v>
      </c>
      <c r="AK248" s="114"/>
    </row>
    <row r="249" spans="11:37" x14ac:dyDescent="0.4">
      <c r="K249" s="115"/>
      <c r="L249" s="115"/>
      <c r="M249" s="115"/>
      <c r="N249" s="115"/>
      <c r="O249" s="115"/>
      <c r="P249" s="122"/>
      <c r="Q249" s="122"/>
      <c r="R249" s="122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26">
        <v>45299</v>
      </c>
      <c r="AH249" s="13" t="s">
        <v>164</v>
      </c>
      <c r="AK249" s="114"/>
    </row>
    <row r="250" spans="11:37" x14ac:dyDescent="0.4">
      <c r="K250" s="115"/>
      <c r="L250" s="115"/>
      <c r="M250" s="115"/>
      <c r="N250" s="115"/>
      <c r="O250" s="115"/>
      <c r="P250" s="122"/>
      <c r="Q250" s="122"/>
      <c r="R250" s="122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26">
        <v>45299</v>
      </c>
      <c r="AH250" s="13" t="s">
        <v>162</v>
      </c>
      <c r="AK250" s="114"/>
    </row>
    <row r="251" spans="11:37" x14ac:dyDescent="0.4">
      <c r="K251" s="115"/>
      <c r="L251" s="115"/>
      <c r="M251" s="115"/>
      <c r="N251" s="115"/>
      <c r="O251" s="115"/>
      <c r="P251" s="122"/>
      <c r="Q251" s="122"/>
      <c r="R251" s="122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26">
        <v>45299</v>
      </c>
      <c r="AH251" s="13" t="s">
        <v>162</v>
      </c>
      <c r="AK251" s="114"/>
    </row>
    <row r="252" spans="11:37" x14ac:dyDescent="0.4">
      <c r="K252" s="115"/>
      <c r="L252" s="115"/>
      <c r="M252" s="115"/>
      <c r="N252" s="115"/>
      <c r="O252" s="115"/>
      <c r="P252" s="122"/>
      <c r="Q252" s="122"/>
      <c r="R252" s="122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26">
        <v>45299</v>
      </c>
      <c r="AH252" s="15" t="s">
        <v>162</v>
      </c>
      <c r="AK252" s="114"/>
    </row>
    <row r="253" spans="11:37" x14ac:dyDescent="0.4">
      <c r="K253" s="115"/>
      <c r="L253" s="115"/>
      <c r="M253" s="115"/>
      <c r="N253" s="115"/>
      <c r="O253" s="115"/>
      <c r="P253" s="122"/>
      <c r="Q253" s="122"/>
      <c r="R253" s="122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 t="s">
        <v>173</v>
      </c>
      <c r="AG253" s="17">
        <f>SUBTOTAL(3,AG249:AG252)</f>
        <v>4</v>
      </c>
      <c r="AH253" s="13">
        <f>SUBTOTAL(3,AH249:AH252)</f>
        <v>4</v>
      </c>
      <c r="AK253" s="114"/>
    </row>
    <row r="254" spans="11:37" x14ac:dyDescent="0.4">
      <c r="K254" s="115"/>
      <c r="L254" s="115"/>
      <c r="M254" s="115"/>
      <c r="N254" s="115"/>
      <c r="O254" s="115"/>
      <c r="P254" s="122"/>
      <c r="Q254" s="122"/>
      <c r="R254" s="122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 t="s">
        <v>145</v>
      </c>
      <c r="AG254" s="17">
        <f>SUBTOTAL(3,AG2:AG252)</f>
        <v>136</v>
      </c>
      <c r="AH254" s="13">
        <f>SUBTOTAL(3,AH2:AH252)</f>
        <v>136</v>
      </c>
      <c r="AK254" s="114"/>
    </row>
    <row r="255" spans="11:37" x14ac:dyDescent="0.4">
      <c r="K255" s="115"/>
      <c r="L255" s="115"/>
      <c r="M255" s="115"/>
      <c r="N255" s="115"/>
      <c r="O255" s="115"/>
      <c r="P255" s="122"/>
      <c r="Q255" s="122"/>
      <c r="R255" s="122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 t="s">
        <v>145</v>
      </c>
      <c r="AE255" s="115"/>
      <c r="AF255" s="115"/>
      <c r="AG255" s="26"/>
      <c r="AH255" s="13"/>
      <c r="AK255" s="114"/>
    </row>
    <row r="256" spans="11:37" x14ac:dyDescent="0.4">
      <c r="K256" s="115"/>
      <c r="L256" s="115"/>
      <c r="M256" s="115"/>
      <c r="N256" s="115"/>
      <c r="O256" s="115"/>
      <c r="P256" s="122"/>
      <c r="Q256" s="122"/>
      <c r="R256" s="122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7"/>
      <c r="AH256" s="13"/>
      <c r="AK256" s="114"/>
    </row>
    <row r="257" spans="11:37" x14ac:dyDescent="0.4">
      <c r="K257" s="115"/>
      <c r="L257" s="115"/>
      <c r="M257" s="115"/>
      <c r="N257" s="115"/>
      <c r="O257" s="115"/>
      <c r="P257" s="122"/>
      <c r="Q257" s="122"/>
      <c r="R257" s="122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26"/>
      <c r="AH257" s="13"/>
      <c r="AK257" s="114"/>
    </row>
    <row r="258" spans="11:37" x14ac:dyDescent="0.4">
      <c r="K258" s="115"/>
      <c r="L258" s="115"/>
      <c r="M258" s="115"/>
      <c r="N258" s="115"/>
      <c r="O258" s="115"/>
      <c r="P258" s="122"/>
      <c r="Q258" s="122"/>
      <c r="R258" s="122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7"/>
      <c r="AH258" s="13"/>
      <c r="AK258" s="114"/>
    </row>
    <row r="259" spans="11:37" x14ac:dyDescent="0.4">
      <c r="K259" s="115"/>
      <c r="L259" s="115"/>
      <c r="M259" s="115"/>
      <c r="N259" s="115"/>
      <c r="O259" s="115"/>
      <c r="P259" s="122"/>
      <c r="Q259" s="122"/>
      <c r="R259" s="122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26"/>
      <c r="AH259" s="13"/>
      <c r="AK259" s="114"/>
    </row>
    <row r="260" spans="11:37" x14ac:dyDescent="0.4">
      <c r="K260" s="115"/>
      <c r="L260" s="115"/>
      <c r="M260" s="115"/>
      <c r="N260" s="115"/>
      <c r="O260" s="115"/>
      <c r="P260" s="122"/>
      <c r="Q260" s="122"/>
      <c r="R260" s="122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26"/>
      <c r="AH260" s="13"/>
      <c r="AK260" s="114"/>
    </row>
    <row r="261" spans="11:37" x14ac:dyDescent="0.4">
      <c r="K261" s="115"/>
      <c r="L261" s="115"/>
      <c r="M261" s="115"/>
      <c r="N261" s="115"/>
      <c r="O261" s="115"/>
      <c r="P261" s="122"/>
      <c r="Q261" s="122"/>
      <c r="R261" s="122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26"/>
      <c r="AH261" s="13"/>
      <c r="AK261" s="114"/>
    </row>
    <row r="262" spans="11:37" x14ac:dyDescent="0.4">
      <c r="K262" s="115"/>
      <c r="L262" s="115"/>
      <c r="M262" s="115"/>
      <c r="N262" s="115"/>
      <c r="O262" s="115"/>
      <c r="P262" s="122"/>
      <c r="Q262" s="122"/>
      <c r="R262" s="122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7"/>
      <c r="AH262" s="13"/>
      <c r="AK262" s="114"/>
    </row>
    <row r="263" spans="11:37" x14ac:dyDescent="0.4">
      <c r="K263" s="115"/>
      <c r="L263" s="115"/>
      <c r="M263" s="115"/>
      <c r="N263" s="115"/>
      <c r="O263" s="115"/>
      <c r="P263" s="122"/>
      <c r="Q263" s="122"/>
      <c r="R263" s="122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26"/>
      <c r="AH263" s="13"/>
      <c r="AK263" s="114"/>
    </row>
    <row r="264" spans="11:37" x14ac:dyDescent="0.4">
      <c r="K264" s="115"/>
      <c r="L264" s="115"/>
      <c r="M264" s="115"/>
      <c r="N264" s="115"/>
      <c r="O264" s="115"/>
      <c r="P264" s="122"/>
      <c r="Q264" s="122"/>
      <c r="R264" s="122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7"/>
      <c r="AH264" s="13"/>
      <c r="AK264" s="114"/>
    </row>
    <row r="265" spans="11:37" x14ac:dyDescent="0.4">
      <c r="K265" s="115"/>
      <c r="L265" s="115"/>
      <c r="M265" s="115"/>
      <c r="N265" s="115"/>
      <c r="O265" s="115"/>
      <c r="P265" s="122"/>
      <c r="Q265" s="122"/>
      <c r="R265" s="122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26"/>
      <c r="AH265" s="13"/>
      <c r="AK265" s="114"/>
    </row>
    <row r="266" spans="11:37" x14ac:dyDescent="0.4">
      <c r="K266" s="115"/>
      <c r="L266" s="115"/>
      <c r="M266" s="115"/>
      <c r="N266" s="115"/>
      <c r="O266" s="115"/>
      <c r="P266" s="122"/>
      <c r="Q266" s="122"/>
      <c r="R266" s="122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7"/>
      <c r="AH266" s="13"/>
      <c r="AK266" s="114"/>
    </row>
    <row r="267" spans="11:37" x14ac:dyDescent="0.4">
      <c r="K267" s="115"/>
      <c r="L267" s="115"/>
      <c r="M267" s="115"/>
      <c r="N267" s="115"/>
      <c r="O267" s="115"/>
      <c r="P267" s="122"/>
      <c r="Q267" s="122"/>
      <c r="R267" s="122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7"/>
      <c r="AH267" s="13"/>
      <c r="AK267" s="114"/>
    </row>
    <row r="268" spans="11:37" x14ac:dyDescent="0.4">
      <c r="K268" s="115"/>
      <c r="L268" s="115"/>
      <c r="M268" s="115"/>
      <c r="N268" s="115"/>
      <c r="O268" s="115"/>
      <c r="P268" s="122"/>
      <c r="Q268" s="122"/>
      <c r="R268" s="122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7"/>
      <c r="AH268" s="13"/>
      <c r="AK268" s="114"/>
    </row>
    <row r="269" spans="11:37" x14ac:dyDescent="0.4">
      <c r="K269" s="115"/>
      <c r="L269" s="115"/>
      <c r="M269" s="115"/>
      <c r="N269" s="115"/>
      <c r="O269" s="115"/>
      <c r="P269" s="122"/>
      <c r="Q269" s="122"/>
      <c r="R269" s="122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26"/>
      <c r="AH269" s="13"/>
      <c r="AK269" s="114"/>
    </row>
    <row r="270" spans="11:37" x14ac:dyDescent="0.4">
      <c r="K270" s="115"/>
      <c r="L270" s="115"/>
      <c r="M270" s="115"/>
      <c r="N270" s="115"/>
      <c r="O270" s="115"/>
      <c r="P270" s="122"/>
      <c r="Q270" s="122"/>
      <c r="R270" s="122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7"/>
      <c r="AH270" s="13"/>
      <c r="AK270" s="114"/>
    </row>
    <row r="271" spans="11:37" x14ac:dyDescent="0.4">
      <c r="K271" s="115"/>
      <c r="L271" s="115"/>
      <c r="M271" s="115"/>
      <c r="N271" s="115"/>
      <c r="O271" s="115"/>
      <c r="P271" s="122"/>
      <c r="Q271" s="122"/>
      <c r="R271" s="122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26"/>
      <c r="AH271" s="13"/>
      <c r="AK271" s="114"/>
    </row>
    <row r="272" spans="11:37" x14ac:dyDescent="0.4">
      <c r="K272" s="115"/>
      <c r="L272" s="115"/>
      <c r="M272" s="115"/>
      <c r="N272" s="115"/>
      <c r="O272" s="115"/>
      <c r="P272" s="122"/>
      <c r="Q272" s="122"/>
      <c r="R272" s="122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7"/>
      <c r="AH272" s="13"/>
      <c r="AK272" s="114"/>
    </row>
    <row r="273" spans="11:37" x14ac:dyDescent="0.4">
      <c r="K273" s="115"/>
      <c r="L273" s="115"/>
      <c r="M273" s="115"/>
      <c r="N273" s="115"/>
      <c r="O273" s="115"/>
      <c r="P273" s="122"/>
      <c r="Q273" s="122"/>
      <c r="R273" s="122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26"/>
      <c r="AH273" s="25"/>
      <c r="AK273" s="114"/>
    </row>
    <row r="274" spans="11:37" x14ac:dyDescent="0.4">
      <c r="K274" s="115"/>
      <c r="L274" s="115"/>
      <c r="M274" s="115"/>
      <c r="N274" s="115"/>
      <c r="O274" s="115"/>
      <c r="P274" s="122"/>
      <c r="Q274" s="122"/>
      <c r="R274" s="122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7"/>
      <c r="AH274" s="13"/>
      <c r="AK274" s="114"/>
    </row>
    <row r="275" spans="11:37" x14ac:dyDescent="0.4">
      <c r="K275" s="115"/>
      <c r="L275" s="115"/>
      <c r="M275" s="115"/>
      <c r="N275" s="115"/>
      <c r="O275" s="115"/>
      <c r="P275" s="122"/>
      <c r="Q275" s="122"/>
      <c r="R275" s="122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7"/>
      <c r="AH275" s="13"/>
      <c r="AK275" s="114"/>
    </row>
    <row r="276" spans="11:37" x14ac:dyDescent="0.4">
      <c r="K276" s="115"/>
      <c r="L276" s="115"/>
      <c r="M276" s="115"/>
      <c r="N276" s="115"/>
      <c r="O276" s="115"/>
      <c r="P276" s="122"/>
      <c r="Q276" s="122"/>
      <c r="R276" s="122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26"/>
      <c r="AH276" s="15"/>
      <c r="AK276" s="114"/>
    </row>
    <row r="277" spans="11:37" x14ac:dyDescent="0.4">
      <c r="K277" s="115"/>
      <c r="L277" s="115"/>
      <c r="M277" s="115"/>
      <c r="N277" s="115"/>
      <c r="O277" s="115"/>
      <c r="P277" s="122"/>
      <c r="Q277" s="122"/>
      <c r="R277" s="122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26"/>
      <c r="AH277" s="15"/>
      <c r="AK277" s="114"/>
    </row>
    <row r="278" spans="11:37" x14ac:dyDescent="0.4">
      <c r="K278" s="115"/>
      <c r="L278" s="115"/>
      <c r="M278" s="115"/>
      <c r="N278" s="115"/>
      <c r="O278" s="115"/>
      <c r="P278" s="122"/>
      <c r="Q278" s="122"/>
      <c r="R278" s="122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26"/>
      <c r="AH278" s="15"/>
      <c r="AK278" s="114"/>
    </row>
    <row r="279" spans="11:37" x14ac:dyDescent="0.4">
      <c r="K279" s="115"/>
      <c r="L279" s="115"/>
      <c r="M279" s="115"/>
      <c r="N279" s="115"/>
      <c r="O279" s="115"/>
      <c r="P279" s="122"/>
      <c r="Q279" s="122"/>
      <c r="R279" s="122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26"/>
      <c r="AH279" s="15"/>
      <c r="AK279" s="114"/>
    </row>
    <row r="280" spans="11:37" x14ac:dyDescent="0.4">
      <c r="K280" s="115"/>
      <c r="L280" s="115"/>
      <c r="M280" s="115"/>
      <c r="N280" s="115"/>
      <c r="O280" s="115"/>
      <c r="P280" s="122"/>
      <c r="Q280" s="122"/>
      <c r="R280" s="122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26"/>
      <c r="AH280" s="15"/>
      <c r="AK280" s="114"/>
    </row>
    <row r="281" spans="11:37" x14ac:dyDescent="0.4">
      <c r="K281" s="115"/>
      <c r="L281" s="115"/>
      <c r="M281" s="115"/>
      <c r="N281" s="115"/>
      <c r="O281" s="115"/>
      <c r="P281" s="122"/>
      <c r="Q281" s="122"/>
      <c r="R281" s="122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26"/>
      <c r="AH281" s="15"/>
      <c r="AK281" s="114"/>
    </row>
    <row r="282" spans="11:37" x14ac:dyDescent="0.4">
      <c r="K282" s="115"/>
      <c r="L282" s="115"/>
      <c r="M282" s="115"/>
      <c r="N282" s="115"/>
      <c r="O282" s="115"/>
      <c r="P282" s="122"/>
      <c r="Q282" s="122"/>
      <c r="R282" s="122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26"/>
      <c r="AH282" s="15"/>
      <c r="AK282" s="114"/>
    </row>
    <row r="283" spans="11:37" x14ac:dyDescent="0.4">
      <c r="K283" s="115"/>
      <c r="L283" s="115"/>
      <c r="M283" s="115"/>
      <c r="N283" s="115"/>
      <c r="O283" s="115"/>
      <c r="P283" s="122"/>
      <c r="Q283" s="122"/>
      <c r="R283" s="122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26"/>
      <c r="AH283" s="15"/>
      <c r="AK283" s="114"/>
    </row>
    <row r="284" spans="11:37" x14ac:dyDescent="0.4">
      <c r="K284" s="115"/>
      <c r="L284" s="115"/>
      <c r="M284" s="115"/>
      <c r="N284" s="115"/>
      <c r="O284" s="115"/>
      <c r="P284" s="122"/>
      <c r="Q284" s="122"/>
      <c r="R284" s="122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7"/>
      <c r="AH284" s="15"/>
      <c r="AK284" s="114"/>
    </row>
    <row r="285" spans="11:37" x14ac:dyDescent="0.4">
      <c r="K285" s="115"/>
      <c r="L285" s="115"/>
      <c r="M285" s="115"/>
      <c r="N285" s="115"/>
      <c r="O285" s="115"/>
      <c r="P285" s="122"/>
      <c r="Q285" s="122"/>
      <c r="R285" s="122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26"/>
      <c r="AH285" s="15"/>
      <c r="AK285" s="114"/>
    </row>
    <row r="286" spans="11:37" x14ac:dyDescent="0.4">
      <c r="K286" s="115"/>
      <c r="L286" s="115"/>
      <c r="M286" s="115"/>
      <c r="N286" s="115"/>
      <c r="O286" s="115"/>
      <c r="P286" s="122"/>
      <c r="Q286" s="122"/>
      <c r="R286" s="122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26"/>
      <c r="AH286" s="13"/>
      <c r="AK286" s="114"/>
    </row>
    <row r="287" spans="11:37" x14ac:dyDescent="0.4">
      <c r="K287" s="115"/>
      <c r="L287" s="115"/>
      <c r="M287" s="115"/>
      <c r="N287" s="115"/>
      <c r="O287" s="115"/>
      <c r="P287" s="122"/>
      <c r="Q287" s="122"/>
      <c r="R287" s="122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26"/>
      <c r="AH287" s="13"/>
      <c r="AK287" s="114"/>
    </row>
    <row r="288" spans="11:37" x14ac:dyDescent="0.4">
      <c r="K288" s="115"/>
      <c r="L288" s="115"/>
      <c r="M288" s="115"/>
      <c r="N288" s="115"/>
      <c r="O288" s="115"/>
      <c r="P288" s="122"/>
      <c r="Q288" s="122"/>
      <c r="R288" s="122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26"/>
      <c r="AH288" s="13"/>
      <c r="AK288" s="114"/>
    </row>
    <row r="289" spans="11:37" x14ac:dyDescent="0.4">
      <c r="K289" s="115"/>
      <c r="L289" s="115"/>
      <c r="M289" s="115"/>
      <c r="N289" s="115"/>
      <c r="O289" s="115"/>
      <c r="P289" s="122"/>
      <c r="Q289" s="122"/>
      <c r="R289" s="122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26"/>
      <c r="AH289" s="13"/>
      <c r="AK289" s="114"/>
    </row>
    <row r="290" spans="11:37" x14ac:dyDescent="0.4">
      <c r="K290" s="115"/>
      <c r="L290" s="115"/>
      <c r="M290" s="115"/>
      <c r="N290" s="115"/>
      <c r="O290" s="115"/>
      <c r="P290" s="122"/>
      <c r="Q290" s="122"/>
      <c r="R290" s="122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26"/>
      <c r="AH290" s="13"/>
      <c r="AK290" s="114"/>
    </row>
    <row r="291" spans="11:37" x14ac:dyDescent="0.4">
      <c r="K291" s="115"/>
      <c r="L291" s="115"/>
      <c r="M291" s="115"/>
      <c r="N291" s="115"/>
      <c r="O291" s="115"/>
      <c r="P291" s="122"/>
      <c r="Q291" s="122"/>
      <c r="R291" s="122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26"/>
      <c r="AH291" s="13"/>
      <c r="AK291" s="114"/>
    </row>
    <row r="292" spans="11:37" x14ac:dyDescent="0.4">
      <c r="K292" s="115"/>
      <c r="L292" s="115"/>
      <c r="M292" s="115"/>
      <c r="N292" s="115"/>
      <c r="O292" s="115"/>
      <c r="P292" s="122"/>
      <c r="Q292" s="122"/>
      <c r="R292" s="122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26"/>
      <c r="AH292" s="13"/>
      <c r="AK292" s="114"/>
    </row>
    <row r="293" spans="11:37" x14ac:dyDescent="0.4">
      <c r="K293" s="115"/>
      <c r="L293" s="115"/>
      <c r="M293" s="115"/>
      <c r="N293" s="115"/>
      <c r="O293" s="115"/>
      <c r="P293" s="122"/>
      <c r="Q293" s="122"/>
      <c r="R293" s="122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26"/>
      <c r="AH293" s="13"/>
      <c r="AK293" s="114"/>
    </row>
    <row r="294" spans="11:37" x14ac:dyDescent="0.4">
      <c r="K294" s="115"/>
      <c r="L294" s="115"/>
      <c r="M294" s="115"/>
      <c r="N294" s="115"/>
      <c r="O294" s="115"/>
      <c r="P294" s="122"/>
      <c r="Q294" s="122"/>
      <c r="R294" s="122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26"/>
      <c r="AH294" s="13"/>
      <c r="AK294" s="114"/>
    </row>
    <row r="295" spans="11:37" x14ac:dyDescent="0.4">
      <c r="K295" s="115"/>
      <c r="L295" s="115"/>
      <c r="M295" s="115"/>
      <c r="N295" s="115"/>
      <c r="O295" s="115"/>
      <c r="P295" s="122"/>
      <c r="Q295" s="122"/>
      <c r="R295" s="122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26"/>
      <c r="AH295" s="13"/>
      <c r="AK295" s="114"/>
    </row>
    <row r="296" spans="11:37" x14ac:dyDescent="0.4">
      <c r="K296" s="115"/>
      <c r="L296" s="115"/>
      <c r="M296" s="115"/>
      <c r="N296" s="115"/>
      <c r="O296" s="115"/>
      <c r="P296" s="122"/>
      <c r="Q296" s="122"/>
      <c r="R296" s="122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26"/>
      <c r="AH296" s="13"/>
      <c r="AK296" s="114"/>
    </row>
    <row r="297" spans="11:37" x14ac:dyDescent="0.4">
      <c r="K297" s="115"/>
      <c r="L297" s="115"/>
      <c r="M297" s="115"/>
      <c r="N297" s="115"/>
      <c r="O297" s="115"/>
      <c r="P297" s="122"/>
      <c r="Q297" s="122"/>
      <c r="R297" s="122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7"/>
      <c r="AH297" s="13"/>
      <c r="AK297" s="114"/>
    </row>
    <row r="298" spans="11:37" x14ac:dyDescent="0.4">
      <c r="K298" s="115"/>
      <c r="L298" s="115"/>
      <c r="M298" s="115"/>
      <c r="N298" s="115"/>
      <c r="O298" s="115"/>
      <c r="P298" s="122"/>
      <c r="Q298" s="122"/>
      <c r="R298" s="122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26"/>
      <c r="AH298" s="13"/>
      <c r="AK298" s="114"/>
    </row>
    <row r="299" spans="11:37" x14ac:dyDescent="0.4">
      <c r="K299" s="115"/>
      <c r="L299" s="115"/>
      <c r="M299" s="115"/>
      <c r="N299" s="115"/>
      <c r="O299" s="115"/>
      <c r="P299" s="122"/>
      <c r="Q299" s="122"/>
      <c r="R299" s="122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26"/>
      <c r="AH299" s="13"/>
      <c r="AK299" s="114"/>
    </row>
    <row r="300" spans="11:37" x14ac:dyDescent="0.4">
      <c r="K300" s="115"/>
      <c r="L300" s="115"/>
      <c r="M300" s="115"/>
      <c r="N300" s="115"/>
      <c r="O300" s="115"/>
      <c r="P300" s="122"/>
      <c r="Q300" s="122"/>
      <c r="R300" s="122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26"/>
      <c r="AH300" s="13"/>
      <c r="AK300" s="114"/>
    </row>
    <row r="301" spans="11:37" x14ac:dyDescent="0.4">
      <c r="K301" s="115"/>
      <c r="L301" s="115"/>
      <c r="M301" s="115"/>
      <c r="N301" s="115"/>
      <c r="O301" s="115"/>
      <c r="P301" s="122"/>
      <c r="Q301" s="122"/>
      <c r="R301" s="122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7"/>
      <c r="AH301" s="13"/>
      <c r="AK301" s="114"/>
    </row>
    <row r="302" spans="11:37" x14ac:dyDescent="0.4">
      <c r="K302" s="115"/>
      <c r="L302" s="115"/>
      <c r="M302" s="115"/>
      <c r="N302" s="115"/>
      <c r="O302" s="115"/>
      <c r="P302" s="122"/>
      <c r="Q302" s="122"/>
      <c r="R302" s="122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26"/>
      <c r="AH302" s="13"/>
      <c r="AK302" s="114"/>
    </row>
    <row r="303" spans="11:37" x14ac:dyDescent="0.4">
      <c r="K303" s="115"/>
      <c r="L303" s="115"/>
      <c r="M303" s="115"/>
      <c r="N303" s="115"/>
      <c r="O303" s="115"/>
      <c r="P303" s="122"/>
      <c r="Q303" s="122"/>
      <c r="R303" s="122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7"/>
      <c r="AH303" s="13"/>
      <c r="AK303" s="114"/>
    </row>
    <row r="304" spans="11:37" x14ac:dyDescent="0.4">
      <c r="K304" s="115"/>
      <c r="L304" s="115"/>
      <c r="M304" s="115"/>
      <c r="N304" s="115"/>
      <c r="O304" s="115"/>
      <c r="P304" s="122"/>
      <c r="Q304" s="122"/>
      <c r="R304" s="122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26"/>
      <c r="AH304" s="13"/>
      <c r="AK304" s="114"/>
    </row>
    <row r="305" spans="10:37" x14ac:dyDescent="0.4">
      <c r="K305" s="115"/>
      <c r="L305" s="115"/>
      <c r="M305" s="115"/>
      <c r="N305" s="115"/>
      <c r="O305" s="115"/>
      <c r="P305" s="122"/>
      <c r="Q305" s="122"/>
      <c r="R305" s="122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26"/>
      <c r="AH305" s="15"/>
      <c r="AK305" s="114"/>
    </row>
    <row r="306" spans="10:37" x14ac:dyDescent="0.4">
      <c r="K306" s="115"/>
      <c r="L306" s="115"/>
      <c r="M306" s="115"/>
      <c r="N306" s="115"/>
      <c r="O306" s="115"/>
      <c r="P306" s="122"/>
      <c r="Q306" s="122"/>
      <c r="R306" s="122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7"/>
      <c r="AH306" s="15"/>
      <c r="AK306" s="114"/>
    </row>
    <row r="307" spans="10:37" x14ac:dyDescent="0.4">
      <c r="K307" s="115"/>
      <c r="L307" s="115"/>
      <c r="M307" s="115"/>
      <c r="N307" s="115"/>
      <c r="O307" s="115"/>
      <c r="P307" s="122"/>
      <c r="Q307" s="122"/>
      <c r="R307" s="122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7"/>
      <c r="AH307" s="15"/>
      <c r="AK307" s="114"/>
    </row>
    <row r="308" spans="10:37" x14ac:dyDescent="0.4">
      <c r="J308" s="115"/>
      <c r="K308" s="115"/>
      <c r="L308" s="115"/>
      <c r="M308" s="115"/>
      <c r="N308" s="115"/>
      <c r="O308" s="115"/>
      <c r="P308" s="122"/>
      <c r="Q308" s="122"/>
      <c r="R308" s="122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26"/>
      <c r="AH308" s="15"/>
      <c r="AK308" s="114"/>
    </row>
    <row r="309" spans="10:37" x14ac:dyDescent="0.4">
      <c r="J309" s="115"/>
      <c r="K309" s="115"/>
      <c r="L309" s="115"/>
      <c r="M309" s="115"/>
      <c r="N309" s="115"/>
      <c r="O309" s="115"/>
      <c r="P309" s="122"/>
      <c r="Q309" s="122"/>
      <c r="R309" s="122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7"/>
      <c r="AH309" s="15"/>
      <c r="AK309" s="114"/>
    </row>
    <row r="310" spans="10:37" x14ac:dyDescent="0.4">
      <c r="J310" s="115"/>
      <c r="K310" s="115"/>
      <c r="L310" s="115"/>
      <c r="M310" s="115"/>
      <c r="N310" s="115"/>
      <c r="O310" s="115"/>
      <c r="P310" s="122"/>
      <c r="Q310" s="122"/>
      <c r="R310" s="122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26"/>
      <c r="AH310" s="15"/>
      <c r="AK310" s="114"/>
    </row>
    <row r="311" spans="10:37" x14ac:dyDescent="0.4">
      <c r="J311" s="115"/>
      <c r="K311" s="115"/>
      <c r="L311" s="115"/>
      <c r="M311" s="115"/>
      <c r="N311" s="115"/>
      <c r="O311" s="115"/>
      <c r="P311" s="122"/>
      <c r="Q311" s="122"/>
      <c r="R311" s="122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26"/>
      <c r="AH311" s="15"/>
      <c r="AK311" s="114"/>
    </row>
    <row r="312" spans="10:37" x14ac:dyDescent="0.4">
      <c r="J312" s="115"/>
      <c r="K312" s="115"/>
      <c r="L312" s="115"/>
      <c r="M312" s="115"/>
      <c r="N312" s="115"/>
      <c r="O312" s="115"/>
      <c r="P312" s="122"/>
      <c r="Q312" s="122"/>
      <c r="R312" s="122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7"/>
      <c r="AH312" s="15"/>
      <c r="AK312" s="114"/>
    </row>
    <row r="313" spans="10:37" x14ac:dyDescent="0.4">
      <c r="J313" s="115"/>
      <c r="K313" s="115"/>
      <c r="L313" s="115"/>
      <c r="M313" s="115"/>
      <c r="N313" s="115"/>
      <c r="O313" s="115"/>
      <c r="P313" s="122"/>
      <c r="Q313" s="122"/>
      <c r="R313" s="122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26"/>
      <c r="AH313" s="15"/>
      <c r="AK313" s="114"/>
    </row>
    <row r="314" spans="10:37" x14ac:dyDescent="0.4">
      <c r="J314" s="115"/>
      <c r="K314" s="115"/>
      <c r="L314" s="115"/>
      <c r="M314" s="115"/>
      <c r="N314" s="115"/>
      <c r="O314" s="115"/>
      <c r="P314" s="122"/>
      <c r="Q314" s="122"/>
      <c r="R314" s="122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7"/>
      <c r="AH314" s="15"/>
      <c r="AK314" s="114"/>
    </row>
    <row r="315" spans="10:37" x14ac:dyDescent="0.4">
      <c r="J315" s="115"/>
      <c r="K315" s="115"/>
      <c r="L315" s="115"/>
      <c r="M315" s="115"/>
      <c r="N315" s="115"/>
      <c r="O315" s="115"/>
      <c r="P315" s="122"/>
      <c r="Q315" s="122"/>
      <c r="R315" s="122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7"/>
      <c r="AH315" s="15"/>
      <c r="AK315" s="114"/>
    </row>
    <row r="316" spans="10:37" x14ac:dyDescent="0.4">
      <c r="J316" s="115"/>
      <c r="K316" s="115"/>
      <c r="L316" s="115"/>
      <c r="M316" s="115"/>
      <c r="N316" s="115"/>
      <c r="O316" s="115"/>
      <c r="P316" s="122"/>
      <c r="Q316" s="122"/>
      <c r="R316" s="122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26"/>
      <c r="AH316" s="15"/>
      <c r="AK316" s="114"/>
    </row>
    <row r="317" spans="10:37" x14ac:dyDescent="0.4">
      <c r="J317" s="115"/>
      <c r="K317" s="115"/>
      <c r="L317" s="115"/>
      <c r="M317" s="115"/>
      <c r="N317" s="115"/>
      <c r="O317" s="115"/>
      <c r="P317" s="122"/>
      <c r="Q317" s="122"/>
      <c r="R317" s="122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26"/>
      <c r="AH317" s="15"/>
      <c r="AK317" s="114"/>
    </row>
    <row r="318" spans="10:37" x14ac:dyDescent="0.4">
      <c r="J318" s="115"/>
      <c r="K318" s="115"/>
      <c r="L318" s="115"/>
      <c r="M318" s="115"/>
      <c r="N318" s="115"/>
      <c r="O318" s="115"/>
      <c r="P318" s="122"/>
      <c r="Q318" s="122"/>
      <c r="R318" s="122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26"/>
      <c r="AH318" s="15"/>
      <c r="AK318" s="114"/>
    </row>
    <row r="319" spans="10:37" x14ac:dyDescent="0.4">
      <c r="J319" s="115"/>
      <c r="K319" s="115"/>
      <c r="L319" s="115"/>
      <c r="M319" s="115"/>
      <c r="N319" s="115"/>
      <c r="O319" s="115"/>
      <c r="P319" s="122"/>
      <c r="Q319" s="122"/>
      <c r="R319" s="122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26"/>
      <c r="AH319" s="15"/>
      <c r="AK319" s="114"/>
    </row>
    <row r="320" spans="10:37" x14ac:dyDescent="0.4">
      <c r="J320" s="115"/>
      <c r="K320" s="115"/>
      <c r="L320" s="115"/>
      <c r="M320" s="115"/>
      <c r="N320" s="115"/>
      <c r="O320" s="115"/>
      <c r="P320" s="122"/>
      <c r="Q320" s="122"/>
      <c r="R320" s="122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26"/>
      <c r="AH320" s="15"/>
      <c r="AK320" s="114"/>
    </row>
    <row r="321" spans="10:37" x14ac:dyDescent="0.4">
      <c r="J321" s="115"/>
      <c r="K321" s="115"/>
      <c r="L321" s="115"/>
      <c r="M321" s="115"/>
      <c r="N321" s="115"/>
      <c r="O321" s="115"/>
      <c r="P321" s="122"/>
      <c r="Q321" s="122"/>
      <c r="R321" s="122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26"/>
      <c r="AH321" s="15"/>
      <c r="AK321" s="114"/>
    </row>
    <row r="322" spans="10:37" x14ac:dyDescent="0.4">
      <c r="J322" s="115"/>
      <c r="K322" s="115"/>
      <c r="L322" s="115"/>
      <c r="M322" s="115"/>
      <c r="N322" s="115"/>
      <c r="O322" s="115"/>
      <c r="P322" s="122"/>
      <c r="Q322" s="122"/>
      <c r="R322" s="122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26"/>
      <c r="AH322" s="15"/>
      <c r="AK322" s="114"/>
    </row>
    <row r="323" spans="10:37" x14ac:dyDescent="0.4">
      <c r="J323" s="115"/>
      <c r="K323" s="115"/>
      <c r="L323" s="115"/>
      <c r="M323" s="115"/>
      <c r="N323" s="115"/>
      <c r="O323" s="115"/>
      <c r="P323" s="122"/>
      <c r="Q323" s="122"/>
      <c r="R323" s="122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7"/>
      <c r="AH323" s="15"/>
      <c r="AK323" s="114"/>
    </row>
    <row r="324" spans="10:37" x14ac:dyDescent="0.4">
      <c r="J324" s="115"/>
      <c r="K324" s="115"/>
      <c r="L324" s="115"/>
      <c r="M324" s="115"/>
      <c r="N324" s="115"/>
      <c r="O324" s="115"/>
      <c r="P324" s="122"/>
      <c r="Q324" s="122"/>
      <c r="R324" s="122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26"/>
      <c r="AH324" s="15"/>
      <c r="AK324" s="114"/>
    </row>
    <row r="325" spans="10:37" x14ac:dyDescent="0.4">
      <c r="J325" s="115"/>
      <c r="K325" s="115"/>
      <c r="L325" s="115"/>
      <c r="M325" s="115"/>
      <c r="N325" s="115"/>
      <c r="O325" s="115"/>
      <c r="P325" s="122"/>
      <c r="Q325" s="122"/>
      <c r="R325" s="122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26"/>
      <c r="AH325" s="15"/>
      <c r="AK325" s="114"/>
    </row>
    <row r="326" spans="10:37" x14ac:dyDescent="0.4">
      <c r="J326" s="115"/>
      <c r="K326" s="115"/>
      <c r="L326" s="115"/>
      <c r="M326" s="115"/>
      <c r="N326" s="115"/>
      <c r="O326" s="115"/>
      <c r="P326" s="122"/>
      <c r="Q326" s="122"/>
      <c r="R326" s="122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26"/>
      <c r="AH326" s="15"/>
      <c r="AK326" s="114"/>
    </row>
    <row r="327" spans="10:37" x14ac:dyDescent="0.4">
      <c r="J327" s="115"/>
      <c r="K327" s="115"/>
      <c r="L327" s="115"/>
      <c r="M327" s="115"/>
      <c r="N327" s="115"/>
      <c r="O327" s="115"/>
      <c r="P327" s="122"/>
      <c r="Q327" s="122"/>
      <c r="R327" s="122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26"/>
      <c r="AH327" s="13"/>
      <c r="AK327" s="114"/>
    </row>
    <row r="328" spans="10:37" x14ac:dyDescent="0.4">
      <c r="J328" s="115"/>
      <c r="K328" s="115"/>
      <c r="L328" s="115"/>
      <c r="M328" s="115"/>
      <c r="N328" s="115"/>
      <c r="O328" s="115"/>
      <c r="P328" s="122"/>
      <c r="Q328" s="122"/>
      <c r="R328" s="122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7"/>
      <c r="AH328" s="13"/>
      <c r="AK328" s="114"/>
    </row>
    <row r="329" spans="10:37" x14ac:dyDescent="0.4">
      <c r="J329" s="115"/>
      <c r="K329" s="115"/>
      <c r="L329" s="115"/>
      <c r="M329" s="115"/>
      <c r="N329" s="115"/>
      <c r="O329" s="115"/>
      <c r="P329" s="122"/>
      <c r="Q329" s="122"/>
      <c r="R329" s="122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26"/>
      <c r="AH329" s="13"/>
      <c r="AK329" s="114"/>
    </row>
    <row r="330" spans="10:37" x14ac:dyDescent="0.4">
      <c r="J330" s="115"/>
      <c r="K330" s="115"/>
      <c r="L330" s="115"/>
      <c r="M330" s="115"/>
      <c r="N330" s="115"/>
      <c r="O330" s="115"/>
      <c r="P330" s="122"/>
      <c r="Q330" s="122"/>
      <c r="R330" s="122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26"/>
      <c r="AH330" s="13"/>
      <c r="AK330" s="114"/>
    </row>
    <row r="331" spans="10:37" x14ac:dyDescent="0.4">
      <c r="J331" s="115"/>
      <c r="K331" s="115"/>
      <c r="L331" s="115"/>
      <c r="M331" s="115"/>
      <c r="N331" s="115"/>
      <c r="O331" s="115"/>
      <c r="P331" s="122"/>
      <c r="Q331" s="122"/>
      <c r="R331" s="122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26"/>
      <c r="AH331" s="13"/>
      <c r="AK331" s="114"/>
    </row>
    <row r="332" spans="10:37" x14ac:dyDescent="0.4">
      <c r="J332" s="115"/>
      <c r="K332" s="115"/>
      <c r="L332" s="115"/>
      <c r="M332" s="115"/>
      <c r="N332" s="115"/>
      <c r="O332" s="115"/>
      <c r="P332" s="122"/>
      <c r="Q332" s="122"/>
      <c r="R332" s="122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26"/>
      <c r="AH332" s="13"/>
      <c r="AK332" s="114"/>
    </row>
    <row r="333" spans="10:37" x14ac:dyDescent="0.4">
      <c r="J333" s="115"/>
      <c r="K333" s="115"/>
      <c r="L333" s="115"/>
      <c r="M333" s="115"/>
      <c r="N333" s="115"/>
      <c r="O333" s="115"/>
      <c r="P333" s="122"/>
      <c r="Q333" s="122"/>
      <c r="R333" s="122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26"/>
      <c r="AH333" s="13"/>
      <c r="AK333" s="114"/>
    </row>
    <row r="334" spans="10:37" x14ac:dyDescent="0.4">
      <c r="J334" s="115"/>
      <c r="K334" s="115"/>
      <c r="L334" s="115"/>
      <c r="M334" s="115"/>
      <c r="N334" s="115"/>
      <c r="O334" s="115"/>
      <c r="P334" s="122"/>
      <c r="Q334" s="122"/>
      <c r="R334" s="122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26"/>
      <c r="AH334" s="13"/>
      <c r="AK334" s="114"/>
    </row>
    <row r="335" spans="10:37" x14ac:dyDescent="0.4">
      <c r="J335" s="115"/>
      <c r="K335" s="115"/>
      <c r="L335" s="115"/>
      <c r="M335" s="115"/>
      <c r="N335" s="115"/>
      <c r="O335" s="115"/>
      <c r="P335" s="122"/>
      <c r="Q335" s="122"/>
      <c r="R335" s="122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7"/>
      <c r="AH335" s="13"/>
      <c r="AK335" s="114"/>
    </row>
    <row r="336" spans="10:37" x14ac:dyDescent="0.4">
      <c r="J336" s="115"/>
      <c r="K336" s="115"/>
      <c r="L336" s="115"/>
      <c r="M336" s="115"/>
      <c r="N336" s="115"/>
      <c r="O336" s="115"/>
      <c r="P336" s="122"/>
      <c r="Q336" s="122"/>
      <c r="R336" s="122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26"/>
      <c r="AH336" s="13"/>
      <c r="AK336" s="114"/>
    </row>
    <row r="337" spans="5:37" x14ac:dyDescent="0.4">
      <c r="J337" s="115"/>
      <c r="K337" s="115"/>
      <c r="L337" s="115"/>
      <c r="M337" s="115"/>
      <c r="N337" s="115"/>
      <c r="O337" s="115"/>
      <c r="P337" s="122"/>
      <c r="Q337" s="122"/>
      <c r="R337" s="122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26"/>
      <c r="AH337" s="13"/>
      <c r="AK337" s="114"/>
    </row>
    <row r="338" spans="5:37" x14ac:dyDescent="0.4"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22"/>
      <c r="Q338" s="122"/>
      <c r="R338" s="122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26"/>
      <c r="AH338" s="13"/>
      <c r="AK338" s="114"/>
    </row>
    <row r="339" spans="5:37" x14ac:dyDescent="0.4"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22"/>
      <c r="Q339" s="122"/>
      <c r="R339" s="122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26"/>
      <c r="AH339" s="13"/>
      <c r="AK339" s="114"/>
    </row>
    <row r="340" spans="5:37" x14ac:dyDescent="0.4"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22"/>
      <c r="Q340" s="122"/>
      <c r="R340" s="122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26"/>
      <c r="AH340" s="13"/>
      <c r="AK340" s="114"/>
    </row>
    <row r="341" spans="5:37" x14ac:dyDescent="0.4"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22"/>
      <c r="Q341" s="122"/>
      <c r="R341" s="122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26"/>
      <c r="AH341" s="13"/>
      <c r="AK341" s="114"/>
    </row>
    <row r="342" spans="5:37" x14ac:dyDescent="0.4"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22"/>
      <c r="Q342" s="122"/>
      <c r="R342" s="122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26"/>
      <c r="AH342" s="13"/>
      <c r="AK342" s="114"/>
    </row>
    <row r="343" spans="5:37" x14ac:dyDescent="0.4"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22"/>
      <c r="Q343" s="122"/>
      <c r="R343" s="122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26"/>
      <c r="AH343" s="13"/>
      <c r="AK343" s="114"/>
    </row>
    <row r="344" spans="5:37" x14ac:dyDescent="0.4"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22"/>
      <c r="Q344" s="122"/>
      <c r="R344" s="122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26"/>
      <c r="AH344" s="13"/>
      <c r="AK344" s="114"/>
    </row>
    <row r="345" spans="5:37" x14ac:dyDescent="0.4"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22"/>
      <c r="Q345" s="122"/>
      <c r="R345" s="122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26"/>
      <c r="AH345" s="13"/>
      <c r="AK345" s="114"/>
    </row>
    <row r="346" spans="5:37" x14ac:dyDescent="0.4"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22"/>
      <c r="Q346" s="122"/>
      <c r="R346" s="122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26"/>
      <c r="AH346" s="13"/>
      <c r="AK346" s="114"/>
    </row>
    <row r="347" spans="5:37" x14ac:dyDescent="0.4"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22"/>
      <c r="Q347" s="122"/>
      <c r="R347" s="122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26"/>
      <c r="AH347" s="13"/>
      <c r="AK347" s="114"/>
    </row>
    <row r="348" spans="5:37" x14ac:dyDescent="0.4"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22"/>
      <c r="Q348" s="122"/>
      <c r="R348" s="122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26"/>
      <c r="AH348" s="13"/>
      <c r="AK348" s="114"/>
    </row>
    <row r="349" spans="5:37" x14ac:dyDescent="0.4"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22"/>
      <c r="Q349" s="122"/>
      <c r="R349" s="122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26"/>
      <c r="AH349" s="13"/>
      <c r="AK349" s="114"/>
    </row>
    <row r="350" spans="5:37" x14ac:dyDescent="0.4"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22"/>
      <c r="Q350" s="122"/>
      <c r="R350" s="122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26"/>
      <c r="AH350" s="13"/>
      <c r="AK350" s="114"/>
    </row>
    <row r="351" spans="5:37" x14ac:dyDescent="0.4"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22"/>
      <c r="Q351" s="122"/>
      <c r="R351" s="122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26"/>
      <c r="AH351" s="13"/>
      <c r="AK351" s="114"/>
    </row>
    <row r="352" spans="5:37" x14ac:dyDescent="0.4"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22"/>
      <c r="Q352" s="122"/>
      <c r="R352" s="122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26"/>
      <c r="AH352" s="13"/>
      <c r="AK352" s="114"/>
    </row>
    <row r="353" spans="3:37" x14ac:dyDescent="0.4"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22"/>
      <c r="Q353" s="122"/>
      <c r="R353" s="122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26"/>
      <c r="AH353" s="13"/>
      <c r="AK353" s="114"/>
    </row>
    <row r="354" spans="3:37" x14ac:dyDescent="0.4"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22"/>
      <c r="Q354" s="122"/>
      <c r="R354" s="122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7"/>
      <c r="AH354" s="13"/>
      <c r="AK354" s="114"/>
    </row>
    <row r="355" spans="3:37" x14ac:dyDescent="0.4"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22"/>
      <c r="Q355" s="122"/>
      <c r="R355" s="122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26"/>
      <c r="AH355" s="13"/>
      <c r="AK355" s="114"/>
    </row>
    <row r="356" spans="3:37" x14ac:dyDescent="0.4"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22"/>
      <c r="Q356" s="122"/>
      <c r="R356" s="122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26"/>
      <c r="AH356" s="13"/>
      <c r="AK356" s="114"/>
    </row>
    <row r="357" spans="3:37" x14ac:dyDescent="0.4"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22"/>
      <c r="Q357" s="122"/>
      <c r="R357" s="122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26"/>
      <c r="AH357" s="13"/>
      <c r="AK357" s="114"/>
    </row>
    <row r="358" spans="3:37" x14ac:dyDescent="0.4"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22"/>
      <c r="Q358" s="122"/>
      <c r="R358" s="122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26"/>
      <c r="AH358" s="15"/>
      <c r="AK358" s="114"/>
    </row>
    <row r="359" spans="3:37" x14ac:dyDescent="0.4"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22"/>
      <c r="Q359" s="122"/>
      <c r="R359" s="122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26"/>
      <c r="AH359" s="15"/>
      <c r="AK359" s="114"/>
    </row>
    <row r="360" spans="3:37" x14ac:dyDescent="0.4"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22"/>
      <c r="Q360" s="122"/>
      <c r="R360" s="122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26"/>
      <c r="AH360" s="15"/>
      <c r="AK360" s="114"/>
    </row>
    <row r="361" spans="3:37" x14ac:dyDescent="0.4"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22"/>
      <c r="Q361" s="122"/>
      <c r="R361" s="122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26"/>
      <c r="AH361" s="13"/>
      <c r="AK361" s="114"/>
    </row>
    <row r="362" spans="3:37" x14ac:dyDescent="0.4"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22"/>
      <c r="Q362" s="122"/>
      <c r="R362" s="122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26"/>
      <c r="AH362" s="13"/>
      <c r="AK362" s="114"/>
    </row>
    <row r="363" spans="3:37" x14ac:dyDescent="0.4"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22"/>
      <c r="Q363" s="122"/>
      <c r="R363" s="122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26"/>
      <c r="AH363" s="13"/>
      <c r="AK363" s="114"/>
    </row>
    <row r="364" spans="3:37" x14ac:dyDescent="0.4"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22"/>
      <c r="Q364" s="122"/>
      <c r="R364" s="122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7"/>
      <c r="AH364" s="13"/>
      <c r="AK364" s="114"/>
    </row>
    <row r="365" spans="3:37" x14ac:dyDescent="0.4"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22"/>
      <c r="Q365" s="122"/>
      <c r="R365" s="122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26"/>
      <c r="AH365" s="13"/>
      <c r="AK365" s="114"/>
    </row>
    <row r="366" spans="3:37" x14ac:dyDescent="0.4"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22"/>
      <c r="Q366" s="122"/>
      <c r="R366" s="122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26"/>
      <c r="AH366" s="25"/>
      <c r="AK366" s="114"/>
    </row>
    <row r="367" spans="3:37" x14ac:dyDescent="0.4"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22"/>
      <c r="Q367" s="122"/>
      <c r="R367" s="122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26"/>
      <c r="AH367" s="13"/>
      <c r="AK367" s="114"/>
    </row>
    <row r="368" spans="3:37" x14ac:dyDescent="0.4"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22"/>
      <c r="Q368" s="122"/>
      <c r="R368" s="122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26"/>
      <c r="AH368" s="13"/>
      <c r="AK368" s="114"/>
    </row>
    <row r="369" spans="1:37" x14ac:dyDescent="0.4"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22"/>
      <c r="Q369" s="122"/>
      <c r="R369" s="122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26"/>
      <c r="AH369" s="13"/>
      <c r="AK369" s="114"/>
    </row>
    <row r="370" spans="1:37" x14ac:dyDescent="0.4"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22"/>
      <c r="Q370" s="122"/>
      <c r="R370" s="122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26"/>
      <c r="AH370" s="13"/>
      <c r="AK370" s="114"/>
    </row>
    <row r="371" spans="1:37" x14ac:dyDescent="0.4"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22"/>
      <c r="Q371" s="122"/>
      <c r="R371" s="122"/>
      <c r="S371" s="115"/>
      <c r="T371" s="115"/>
      <c r="U371" s="115"/>
      <c r="V371" s="115"/>
      <c r="AG371" s="26"/>
      <c r="AH371" s="13"/>
      <c r="AK371" s="114"/>
    </row>
    <row r="372" spans="1:37" x14ac:dyDescent="0.4"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22"/>
      <c r="Q372" s="122"/>
      <c r="R372" s="122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26"/>
      <c r="AH372" s="13"/>
      <c r="AK372" s="114"/>
    </row>
    <row r="373" spans="1:37" x14ac:dyDescent="0.4"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22"/>
      <c r="Q373" s="122"/>
      <c r="R373" s="122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7"/>
      <c r="AH373" s="13"/>
      <c r="AK373" s="114"/>
    </row>
    <row r="374" spans="1:37" x14ac:dyDescent="0.4"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22"/>
      <c r="Q374" s="122"/>
      <c r="R374" s="122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26"/>
      <c r="AH374" s="13"/>
      <c r="AK374" s="114"/>
    </row>
    <row r="375" spans="1:37" x14ac:dyDescent="0.4"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22"/>
      <c r="Q375" s="122"/>
      <c r="R375" s="122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26"/>
      <c r="AH375" s="15"/>
      <c r="AK375" s="114"/>
    </row>
    <row r="376" spans="1:37" x14ac:dyDescent="0.4"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22"/>
      <c r="Q376" s="122"/>
      <c r="R376" s="122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7"/>
      <c r="AH376" s="15"/>
      <c r="AK376" s="114"/>
    </row>
    <row r="377" spans="1:37" x14ac:dyDescent="0.4"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22"/>
      <c r="Q377" s="122"/>
      <c r="R377" s="122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26"/>
      <c r="AH377" s="15"/>
      <c r="AK377" s="114"/>
    </row>
    <row r="378" spans="1:37" x14ac:dyDescent="0.4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22"/>
      <c r="Q378" s="122"/>
      <c r="R378" s="122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26"/>
      <c r="AH378" s="15"/>
      <c r="AK378" s="114"/>
    </row>
    <row r="379" spans="1:37" x14ac:dyDescent="0.4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22"/>
      <c r="Q379" s="122"/>
      <c r="R379" s="122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7"/>
      <c r="AH379" s="13"/>
      <c r="AK379" s="114"/>
    </row>
    <row r="380" spans="1:37" x14ac:dyDescent="0.4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22"/>
      <c r="Q380" s="122"/>
      <c r="R380" s="122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7"/>
      <c r="AH380" s="13"/>
      <c r="AK380" s="114"/>
    </row>
    <row r="381" spans="1:37" x14ac:dyDescent="0.4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22"/>
      <c r="Q381" s="122"/>
      <c r="R381" s="122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26"/>
      <c r="AH381" s="13"/>
      <c r="AK381" s="114"/>
    </row>
    <row r="382" spans="1:37" x14ac:dyDescent="0.4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22"/>
      <c r="Q382" s="122"/>
      <c r="R382" s="122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26"/>
      <c r="AH382" s="13"/>
      <c r="AK382" s="114"/>
    </row>
    <row r="383" spans="1:37" x14ac:dyDescent="0.4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22"/>
      <c r="Q383" s="122"/>
      <c r="R383" s="122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7"/>
      <c r="AH383" s="13"/>
      <c r="AK383" s="114"/>
    </row>
    <row r="384" spans="1:37" x14ac:dyDescent="0.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22"/>
      <c r="Q384" s="122"/>
      <c r="R384" s="122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26"/>
      <c r="AH384" s="15"/>
      <c r="AK384" s="114"/>
    </row>
    <row r="385" spans="1:37" x14ac:dyDescent="0.4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22"/>
      <c r="Q385" s="122"/>
      <c r="R385" s="122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26"/>
      <c r="AH385" s="15"/>
      <c r="AK385" s="114"/>
    </row>
    <row r="386" spans="1:37" x14ac:dyDescent="0.4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22"/>
      <c r="Q386" s="122"/>
      <c r="R386" s="122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26"/>
      <c r="AH386" s="15"/>
      <c r="AK386" s="114"/>
    </row>
    <row r="387" spans="1:37" x14ac:dyDescent="0.4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22"/>
      <c r="Q387" s="122"/>
      <c r="R387" s="122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26"/>
      <c r="AH387" s="13"/>
      <c r="AK387" s="114"/>
    </row>
    <row r="388" spans="1:37" x14ac:dyDescent="0.4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22"/>
      <c r="Q388" s="122"/>
      <c r="R388" s="122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26"/>
      <c r="AH388" s="25"/>
      <c r="AK388" s="114"/>
    </row>
    <row r="389" spans="1:37" x14ac:dyDescent="0.4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22"/>
      <c r="Q389" s="122"/>
      <c r="R389" s="122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26"/>
      <c r="AH389" s="13"/>
      <c r="AK389" s="114"/>
    </row>
    <row r="390" spans="1:37" x14ac:dyDescent="0.4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22"/>
      <c r="Q390" s="122"/>
      <c r="R390" s="122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26"/>
      <c r="AH390" s="13"/>
      <c r="AK390" s="114"/>
    </row>
    <row r="391" spans="1:37" x14ac:dyDescent="0.4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22"/>
      <c r="Q391" s="122"/>
      <c r="R391" s="122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26"/>
      <c r="AH391" s="13"/>
      <c r="AK391" s="114"/>
    </row>
    <row r="392" spans="1:37" x14ac:dyDescent="0.4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22"/>
      <c r="Q392" s="122"/>
      <c r="R392" s="122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26"/>
      <c r="AH392" s="13"/>
      <c r="AK392" s="114"/>
    </row>
    <row r="393" spans="1:37" x14ac:dyDescent="0.4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22"/>
      <c r="Q393" s="122"/>
      <c r="R393" s="122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26"/>
      <c r="AH393" s="13"/>
      <c r="AK393" s="114"/>
    </row>
    <row r="394" spans="1:37" x14ac:dyDescent="0.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22"/>
      <c r="Q394" s="122"/>
      <c r="R394" s="122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26"/>
      <c r="AH394" s="13"/>
      <c r="AK394" s="114"/>
    </row>
    <row r="395" spans="1:37" x14ac:dyDescent="0.4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22"/>
      <c r="Q395" s="122"/>
      <c r="R395" s="122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26"/>
      <c r="AH395" s="13"/>
      <c r="AK395" s="114"/>
    </row>
    <row r="396" spans="1:37" x14ac:dyDescent="0.4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22"/>
      <c r="Q396" s="122"/>
      <c r="R396" s="122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26"/>
      <c r="AH396" s="13"/>
      <c r="AK396" s="114"/>
    </row>
    <row r="397" spans="1:37" x14ac:dyDescent="0.4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22"/>
      <c r="Q397" s="122"/>
      <c r="R397" s="122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26"/>
      <c r="AH397" s="13"/>
      <c r="AK397" s="114"/>
    </row>
    <row r="398" spans="1:37" x14ac:dyDescent="0.4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22"/>
      <c r="Q398" s="122"/>
      <c r="R398" s="122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26"/>
      <c r="AH398" s="13"/>
      <c r="AK398" s="114"/>
    </row>
    <row r="399" spans="1:37" x14ac:dyDescent="0.4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22"/>
      <c r="Q399" s="122"/>
      <c r="R399" s="122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26"/>
      <c r="AH399" s="15"/>
      <c r="AK399" s="114"/>
    </row>
    <row r="400" spans="1:37" x14ac:dyDescent="0.4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22"/>
      <c r="Q400" s="122"/>
      <c r="R400" s="122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26"/>
      <c r="AH400" s="15"/>
      <c r="AK400" s="114"/>
    </row>
    <row r="401" spans="1:37" x14ac:dyDescent="0.4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22"/>
      <c r="Q401" s="122"/>
      <c r="R401" s="122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26"/>
      <c r="AH401" s="15"/>
      <c r="AK401" s="114"/>
    </row>
    <row r="402" spans="1:37" x14ac:dyDescent="0.4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22"/>
      <c r="Q402" s="122"/>
      <c r="R402" s="122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26"/>
      <c r="AH402" s="15"/>
      <c r="AK402" s="114"/>
    </row>
    <row r="403" spans="1:37" x14ac:dyDescent="0.4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22"/>
      <c r="Q403" s="122"/>
      <c r="R403" s="122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26"/>
      <c r="AH403" s="13"/>
      <c r="AK403" s="114"/>
    </row>
    <row r="404" spans="1:37" x14ac:dyDescent="0.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22"/>
      <c r="Q404" s="122"/>
      <c r="R404" s="122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26"/>
      <c r="AH404" s="15"/>
      <c r="AK404" s="114"/>
    </row>
    <row r="405" spans="1:37" x14ac:dyDescent="0.4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22"/>
      <c r="Q405" s="122"/>
      <c r="R405" s="122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26"/>
      <c r="AH405" s="15"/>
      <c r="AK405" s="114"/>
    </row>
    <row r="406" spans="1:37" x14ac:dyDescent="0.4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22"/>
      <c r="Q406" s="122"/>
      <c r="R406" s="122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26"/>
      <c r="AH406" s="15"/>
      <c r="AK406" s="114"/>
    </row>
    <row r="407" spans="1:37" x14ac:dyDescent="0.4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22"/>
      <c r="Q407" s="122"/>
      <c r="R407" s="122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26"/>
      <c r="AH407" s="15"/>
      <c r="AK407" s="114"/>
    </row>
    <row r="408" spans="1:37" x14ac:dyDescent="0.4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22"/>
      <c r="Q408" s="122"/>
      <c r="R408" s="122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26"/>
      <c r="AH408" s="15"/>
      <c r="AK408" s="114"/>
    </row>
    <row r="409" spans="1:37" x14ac:dyDescent="0.4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22"/>
      <c r="Q409" s="122"/>
      <c r="R409" s="122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26"/>
      <c r="AH409" s="105"/>
      <c r="AK409" s="114"/>
    </row>
    <row r="410" spans="1:37" x14ac:dyDescent="0.4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22"/>
      <c r="Q410" s="122"/>
      <c r="R410" s="122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7"/>
      <c r="AH410" s="15"/>
      <c r="AK410" s="114"/>
    </row>
    <row r="411" spans="1:37" x14ac:dyDescent="0.4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22"/>
      <c r="Q411" s="122"/>
      <c r="R411" s="122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26"/>
      <c r="AH411" s="15"/>
      <c r="AK411" s="114"/>
    </row>
    <row r="412" spans="1:37" x14ac:dyDescent="0.4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22"/>
      <c r="Q412" s="122"/>
      <c r="R412" s="122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26"/>
      <c r="AH412" s="15"/>
      <c r="AK412" s="114"/>
    </row>
    <row r="413" spans="1:37" x14ac:dyDescent="0.4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22"/>
      <c r="Q413" s="122"/>
      <c r="R413" s="122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26"/>
      <c r="AH413" s="105"/>
      <c r="AK413" s="114"/>
    </row>
    <row r="414" spans="1:37" x14ac:dyDescent="0.4">
      <c r="AG414" s="26"/>
      <c r="AH414" s="15"/>
      <c r="AK414" s="114"/>
    </row>
    <row r="415" spans="1:37" x14ac:dyDescent="0.4">
      <c r="Q415" s="122"/>
      <c r="R415" s="122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26"/>
      <c r="AH415" s="15"/>
      <c r="AK415" s="114"/>
    </row>
    <row r="416" spans="1:37" x14ac:dyDescent="0.4">
      <c r="M416" s="115"/>
      <c r="N416" s="115"/>
      <c r="O416" s="115"/>
      <c r="P416" s="122"/>
      <c r="Q416" s="122"/>
      <c r="R416" s="122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26"/>
      <c r="AH416" s="15"/>
      <c r="AK416" s="114"/>
    </row>
    <row r="417" spans="2:37" x14ac:dyDescent="0.4"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22"/>
      <c r="Q417" s="122"/>
      <c r="R417" s="122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26"/>
      <c r="AH417" s="15"/>
      <c r="AK417" s="114"/>
    </row>
    <row r="418" spans="2:37" x14ac:dyDescent="0.4"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22"/>
      <c r="Q418" s="122"/>
      <c r="R418" s="122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7"/>
      <c r="AH418" s="15"/>
      <c r="AK418" s="114"/>
    </row>
    <row r="419" spans="2:37" x14ac:dyDescent="0.4"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22"/>
      <c r="Q419" s="122"/>
      <c r="R419" s="122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26"/>
      <c r="AH419" s="15"/>
      <c r="AK419" s="114"/>
    </row>
    <row r="420" spans="2:37" x14ac:dyDescent="0.4"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22"/>
      <c r="Q420" s="122"/>
      <c r="R420" s="122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26"/>
      <c r="AH420" s="15"/>
      <c r="AK420" s="114"/>
    </row>
    <row r="421" spans="2:37" x14ac:dyDescent="0.4"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22"/>
      <c r="Q421" s="122"/>
      <c r="R421" s="122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26"/>
      <c r="AH421" s="15"/>
      <c r="AK421" s="114"/>
    </row>
    <row r="422" spans="2:37" x14ac:dyDescent="0.4"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22"/>
      <c r="Q422" s="122"/>
      <c r="R422" s="122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26"/>
      <c r="AH422" s="15"/>
      <c r="AK422" s="114"/>
    </row>
    <row r="423" spans="2:37" x14ac:dyDescent="0.4"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22"/>
      <c r="Q423" s="122"/>
      <c r="R423" s="122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26"/>
      <c r="AH423" s="15"/>
      <c r="AK423" s="114"/>
    </row>
    <row r="424" spans="2:37" x14ac:dyDescent="0.4"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22"/>
      <c r="Q424" s="122"/>
      <c r="R424" s="122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26"/>
      <c r="AH424" s="15"/>
      <c r="AK424" s="114"/>
    </row>
    <row r="425" spans="2:37" x14ac:dyDescent="0.4"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22"/>
      <c r="Q425" s="122"/>
      <c r="R425" s="122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26"/>
      <c r="AH425" s="15"/>
      <c r="AK425" s="114"/>
    </row>
    <row r="426" spans="2:37" x14ac:dyDescent="0.4"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22"/>
      <c r="Q426" s="122"/>
      <c r="R426" s="122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7"/>
      <c r="AH426" s="15"/>
      <c r="AK426" s="114"/>
    </row>
    <row r="427" spans="2:37" x14ac:dyDescent="0.4"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22"/>
      <c r="Q427" s="122"/>
      <c r="R427" s="122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26"/>
      <c r="AH427" s="15"/>
      <c r="AK427" s="114"/>
    </row>
    <row r="428" spans="2:37" x14ac:dyDescent="0.4"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22"/>
      <c r="Q428" s="122"/>
      <c r="R428" s="122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26"/>
      <c r="AH428" s="15"/>
      <c r="AK428" s="114"/>
    </row>
    <row r="429" spans="2:37" x14ac:dyDescent="0.4"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22"/>
      <c r="Q429" s="122"/>
      <c r="R429" s="122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26"/>
      <c r="AH429" s="15"/>
      <c r="AK429" s="114"/>
    </row>
    <row r="430" spans="2:37" x14ac:dyDescent="0.4"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22"/>
      <c r="Q430" s="122"/>
      <c r="R430" s="122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26"/>
      <c r="AH430" s="15"/>
      <c r="AK430" s="114"/>
    </row>
    <row r="431" spans="2:37" x14ac:dyDescent="0.4"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22"/>
      <c r="Q431" s="122"/>
      <c r="R431" s="122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26"/>
      <c r="AH431" s="15"/>
      <c r="AK431" s="114"/>
    </row>
    <row r="432" spans="2:37" x14ac:dyDescent="0.4"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22"/>
      <c r="Q432" s="122"/>
      <c r="R432" s="122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26"/>
      <c r="AH432" s="15"/>
      <c r="AK432" s="114"/>
    </row>
    <row r="433" spans="2:37" x14ac:dyDescent="0.4"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22"/>
      <c r="Q433" s="122"/>
      <c r="R433" s="122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26"/>
      <c r="AH433" s="15"/>
      <c r="AK433" s="114"/>
    </row>
    <row r="434" spans="2:37" x14ac:dyDescent="0.4"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22"/>
      <c r="Q434" s="122"/>
      <c r="R434" s="122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7"/>
      <c r="AH434" s="15"/>
      <c r="AK434" s="114"/>
    </row>
    <row r="435" spans="2:37" x14ac:dyDescent="0.4"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22"/>
      <c r="Q435" s="122"/>
      <c r="R435" s="122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26"/>
      <c r="AH435" s="15"/>
      <c r="AK435" s="114"/>
    </row>
    <row r="436" spans="2:37" x14ac:dyDescent="0.4"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22"/>
      <c r="Q436" s="122"/>
      <c r="R436" s="122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26"/>
      <c r="AH436" s="15"/>
      <c r="AK436" s="114"/>
    </row>
    <row r="437" spans="2:37" x14ac:dyDescent="0.4"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22"/>
      <c r="Q437" s="122"/>
      <c r="R437" s="122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26"/>
      <c r="AH437" s="15"/>
      <c r="AK437" s="114"/>
    </row>
    <row r="438" spans="2:37" x14ac:dyDescent="0.4"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22"/>
      <c r="Q438" s="122"/>
      <c r="R438" s="122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26"/>
      <c r="AH438" s="15"/>
      <c r="AK438" s="114"/>
    </row>
    <row r="439" spans="2:37" x14ac:dyDescent="0.4"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22"/>
      <c r="Q439" s="122"/>
      <c r="R439" s="122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26"/>
      <c r="AH439" s="15"/>
      <c r="AK439" s="114"/>
    </row>
    <row r="440" spans="2:37" x14ac:dyDescent="0.4"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22"/>
      <c r="Q440" s="122"/>
      <c r="R440" s="122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26"/>
      <c r="AH440" s="15"/>
      <c r="AK440" s="114"/>
    </row>
    <row r="441" spans="2:37" x14ac:dyDescent="0.4"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22"/>
      <c r="Q441" s="122"/>
      <c r="R441" s="122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26"/>
      <c r="AH441" s="15"/>
      <c r="AK441" s="114"/>
    </row>
    <row r="442" spans="2:37" x14ac:dyDescent="0.4"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22"/>
      <c r="Q442" s="122"/>
      <c r="R442" s="122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26"/>
      <c r="AH442" s="15"/>
      <c r="AK442" s="114"/>
    </row>
    <row r="443" spans="2:37" x14ac:dyDescent="0.4"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22"/>
      <c r="Q443" s="122"/>
      <c r="R443" s="122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7"/>
      <c r="AH443" s="15"/>
      <c r="AK443" s="114"/>
    </row>
    <row r="444" spans="2:37" x14ac:dyDescent="0.4"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22"/>
      <c r="Q444" s="122"/>
      <c r="R444" s="122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26"/>
      <c r="AH444" s="15"/>
      <c r="AK444" s="114"/>
    </row>
    <row r="445" spans="2:37" x14ac:dyDescent="0.4"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22"/>
      <c r="Q445" s="122"/>
      <c r="R445" s="122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7"/>
      <c r="AH445" s="15"/>
      <c r="AK445" s="114"/>
    </row>
    <row r="446" spans="2:37" x14ac:dyDescent="0.4"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22"/>
      <c r="Q446" s="122"/>
      <c r="R446" s="122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26"/>
      <c r="AH446" s="15"/>
      <c r="AK446" s="114"/>
    </row>
    <row r="447" spans="2:37" x14ac:dyDescent="0.4"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22"/>
      <c r="Q447" s="122"/>
      <c r="R447" s="122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7"/>
      <c r="AH447" s="15"/>
      <c r="AK447" s="114"/>
    </row>
    <row r="448" spans="2:37" x14ac:dyDescent="0.4"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22"/>
      <c r="Q448" s="122"/>
      <c r="R448" s="122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26"/>
      <c r="AH448" s="15"/>
      <c r="AK448" s="114"/>
    </row>
    <row r="449" spans="1:37" x14ac:dyDescent="0.4"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22"/>
      <c r="Q449" s="122"/>
      <c r="R449" s="122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26"/>
      <c r="AH449" s="15"/>
      <c r="AK449" s="114"/>
    </row>
    <row r="450" spans="1:37" x14ac:dyDescent="0.4"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22"/>
      <c r="Q450" s="122"/>
      <c r="R450" s="122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7"/>
      <c r="AH450" s="15"/>
      <c r="AK450" s="114"/>
    </row>
    <row r="451" spans="1:37" x14ac:dyDescent="0.4"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22"/>
      <c r="Q451" s="122"/>
      <c r="R451" s="122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26"/>
      <c r="AH451" s="15"/>
      <c r="AK451" s="114"/>
    </row>
    <row r="452" spans="1:37" x14ac:dyDescent="0.4"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22"/>
      <c r="Q452" s="122"/>
      <c r="R452" s="122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26"/>
      <c r="AH452" s="15"/>
      <c r="AK452" s="114"/>
    </row>
    <row r="453" spans="1:37" x14ac:dyDescent="0.4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22"/>
      <c r="Q453" s="122"/>
      <c r="R453" s="122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26"/>
      <c r="AH453" s="105"/>
      <c r="AK453" s="114"/>
    </row>
    <row r="454" spans="1:37" x14ac:dyDescent="0.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22"/>
      <c r="Q454" s="122"/>
      <c r="R454" s="122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7"/>
      <c r="AH454" s="15"/>
      <c r="AK454" s="114"/>
    </row>
    <row r="455" spans="1:37" x14ac:dyDescent="0.4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22"/>
      <c r="Q455" s="122"/>
      <c r="R455" s="122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7"/>
      <c r="AH455" s="15"/>
      <c r="AK455" s="114"/>
    </row>
    <row r="456" spans="1:37" x14ac:dyDescent="0.4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22"/>
      <c r="Q456" s="122"/>
      <c r="R456" s="122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26"/>
      <c r="AH456" s="15"/>
      <c r="AK456" s="114"/>
    </row>
    <row r="457" spans="1:37" x14ac:dyDescent="0.4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22"/>
      <c r="Q457" s="122"/>
      <c r="R457" s="122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26"/>
      <c r="AH457" s="15"/>
      <c r="AK457" s="114"/>
    </row>
    <row r="458" spans="1:37" x14ac:dyDescent="0.4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22"/>
      <c r="Q458" s="122"/>
      <c r="R458" s="122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26"/>
      <c r="AH458" s="15"/>
      <c r="AK458" s="114"/>
    </row>
    <row r="459" spans="1:37" x14ac:dyDescent="0.4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22"/>
      <c r="Q459" s="122"/>
      <c r="R459" s="122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26"/>
      <c r="AH459" s="15"/>
      <c r="AK459" s="114"/>
    </row>
    <row r="460" spans="1:37" x14ac:dyDescent="0.4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22"/>
      <c r="Q460" s="122"/>
      <c r="R460" s="122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26"/>
      <c r="AH460" s="15"/>
      <c r="AK460" s="114"/>
    </row>
    <row r="461" spans="1:37" x14ac:dyDescent="0.4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22"/>
      <c r="Q461" s="122"/>
      <c r="R461" s="122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26"/>
      <c r="AH461" s="15"/>
      <c r="AK461" s="114"/>
    </row>
    <row r="462" spans="1:37" x14ac:dyDescent="0.4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22"/>
      <c r="Q462" s="122"/>
      <c r="R462" s="122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26"/>
      <c r="AH462" s="15"/>
      <c r="AK462" s="114"/>
    </row>
    <row r="463" spans="1:37" x14ac:dyDescent="0.4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22"/>
      <c r="Q463" s="122"/>
      <c r="R463" s="122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26"/>
      <c r="AH463" s="15"/>
      <c r="AK463" s="114"/>
    </row>
    <row r="464" spans="1:37" x14ac:dyDescent="0.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22"/>
      <c r="Q464" s="122"/>
      <c r="R464" s="122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26"/>
      <c r="AH464" s="105"/>
      <c r="AK464" s="114"/>
    </row>
    <row r="465" spans="1:37" x14ac:dyDescent="0.4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22"/>
      <c r="Q465" s="122"/>
      <c r="R465" s="122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26"/>
      <c r="AH465" s="15"/>
      <c r="AK465" s="114"/>
    </row>
    <row r="466" spans="1:37" x14ac:dyDescent="0.4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22"/>
      <c r="Q466" s="122"/>
      <c r="R466" s="122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26"/>
      <c r="AH466" s="15"/>
      <c r="AK466" s="114"/>
    </row>
    <row r="467" spans="1:37" x14ac:dyDescent="0.4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22"/>
      <c r="Q467" s="122"/>
      <c r="R467" s="122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26"/>
      <c r="AH467" s="13"/>
      <c r="AK467" s="114"/>
    </row>
    <row r="468" spans="1:37" x14ac:dyDescent="0.4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22"/>
      <c r="Q468" s="122"/>
      <c r="R468" s="122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7"/>
      <c r="AH468" s="13"/>
      <c r="AK468" s="114"/>
    </row>
    <row r="469" spans="1:37" x14ac:dyDescent="0.4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22"/>
      <c r="Q469" s="122"/>
      <c r="R469" s="122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26"/>
      <c r="AH469" s="13"/>
      <c r="AK469" s="114"/>
    </row>
    <row r="470" spans="1:37" x14ac:dyDescent="0.4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22"/>
      <c r="Q470" s="122"/>
      <c r="R470" s="122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26"/>
      <c r="AH470" s="13"/>
      <c r="AK470" s="114"/>
    </row>
    <row r="471" spans="1:37" x14ac:dyDescent="0.4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22"/>
      <c r="Q471" s="122"/>
      <c r="R471" s="122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26"/>
      <c r="AH471" s="13"/>
      <c r="AK471" s="114"/>
    </row>
    <row r="472" spans="1:37" x14ac:dyDescent="0.4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22"/>
      <c r="Q472" s="122"/>
      <c r="R472" s="122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26"/>
      <c r="AH472" s="13"/>
      <c r="AK472" s="114"/>
    </row>
    <row r="473" spans="1:37" x14ac:dyDescent="0.4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22"/>
      <c r="Q473" s="122"/>
      <c r="R473" s="122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26"/>
      <c r="AH473" s="13"/>
      <c r="AK473" s="114"/>
    </row>
    <row r="474" spans="1:37" x14ac:dyDescent="0.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22"/>
      <c r="Q474" s="122"/>
      <c r="R474" s="122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26"/>
      <c r="AH474" s="13"/>
      <c r="AK474" s="114"/>
    </row>
    <row r="475" spans="1:37" x14ac:dyDescent="0.4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22"/>
      <c r="Q475" s="122"/>
      <c r="R475" s="122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7"/>
      <c r="AH475" s="13"/>
      <c r="AK475" s="114"/>
    </row>
    <row r="476" spans="1:37" x14ac:dyDescent="0.4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22"/>
      <c r="Q476" s="122"/>
      <c r="R476" s="122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26"/>
      <c r="AH476" s="13"/>
      <c r="AK476" s="114"/>
    </row>
    <row r="477" spans="1:37" x14ac:dyDescent="0.4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22"/>
      <c r="Q477" s="122"/>
      <c r="R477" s="122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26"/>
      <c r="AH477" s="13"/>
      <c r="AK477" s="114"/>
    </row>
    <row r="478" spans="1:37" x14ac:dyDescent="0.4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22"/>
      <c r="Q478" s="122"/>
      <c r="R478" s="122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26"/>
      <c r="AH478" s="13"/>
      <c r="AK478" s="114"/>
    </row>
    <row r="479" spans="1:37" x14ac:dyDescent="0.4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22"/>
      <c r="Q479" s="122"/>
      <c r="R479" s="122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26"/>
      <c r="AH479" s="13"/>
      <c r="AK479" s="114"/>
    </row>
    <row r="480" spans="1:37" x14ac:dyDescent="0.4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22"/>
      <c r="Q480" s="122"/>
      <c r="R480" s="122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26"/>
      <c r="AH480" s="25"/>
      <c r="AK480" s="114"/>
    </row>
    <row r="481" spans="1:37" x14ac:dyDescent="0.4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22"/>
      <c r="Q481" s="122"/>
      <c r="R481" s="122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7"/>
      <c r="AH481" s="13"/>
      <c r="AK481" s="114"/>
    </row>
    <row r="482" spans="1:37" x14ac:dyDescent="0.4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22"/>
      <c r="Q482" s="122"/>
      <c r="R482" s="122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26"/>
      <c r="AH482" s="15"/>
      <c r="AK482" s="114"/>
    </row>
    <row r="483" spans="1:37" x14ac:dyDescent="0.4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22"/>
      <c r="Q483" s="122"/>
      <c r="R483" s="122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26"/>
      <c r="AH483" s="15"/>
      <c r="AK483" s="114"/>
    </row>
    <row r="484" spans="1:37" x14ac:dyDescent="0.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22"/>
      <c r="Q484" s="122"/>
      <c r="R484" s="122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7"/>
      <c r="AH484" s="15"/>
      <c r="AK484" s="114"/>
    </row>
    <row r="485" spans="1:37" x14ac:dyDescent="0.4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22"/>
      <c r="Q485" s="122"/>
      <c r="R485" s="122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26"/>
      <c r="AH485" s="15"/>
      <c r="AK485" s="114"/>
    </row>
    <row r="486" spans="1:37" x14ac:dyDescent="0.4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22"/>
      <c r="Q486" s="122"/>
      <c r="R486" s="122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26"/>
      <c r="AH486" s="15"/>
      <c r="AK486" s="114"/>
    </row>
    <row r="487" spans="1:37" x14ac:dyDescent="0.4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22"/>
      <c r="Q487" s="122"/>
      <c r="R487" s="122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26"/>
      <c r="AH487" s="13"/>
      <c r="AK487" s="114"/>
    </row>
    <row r="488" spans="1:37" x14ac:dyDescent="0.4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22"/>
      <c r="Q488" s="122"/>
      <c r="R488" s="122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26"/>
      <c r="AH488" s="13"/>
      <c r="AK488" s="114"/>
    </row>
    <row r="489" spans="1:37" x14ac:dyDescent="0.4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22"/>
      <c r="Q489" s="122"/>
      <c r="R489" s="122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26"/>
      <c r="AH489" s="13"/>
      <c r="AK489" s="114"/>
    </row>
    <row r="490" spans="1:37" x14ac:dyDescent="0.4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22"/>
      <c r="Q490" s="122"/>
      <c r="R490" s="122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26"/>
      <c r="AH490" s="13"/>
      <c r="AK490" s="114"/>
    </row>
    <row r="491" spans="1:37" x14ac:dyDescent="0.4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22"/>
      <c r="Q491" s="122"/>
      <c r="R491" s="122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26"/>
      <c r="AH491" s="13"/>
      <c r="AK491" s="114"/>
    </row>
    <row r="492" spans="1:37" x14ac:dyDescent="0.4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22"/>
      <c r="Q492" s="122"/>
      <c r="R492" s="122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26"/>
      <c r="AH492" s="13"/>
      <c r="AK492" s="114"/>
    </row>
    <row r="493" spans="1:37" x14ac:dyDescent="0.4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22"/>
      <c r="Q493" s="122"/>
      <c r="R493" s="122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26"/>
      <c r="AH493" s="13"/>
      <c r="AK493" s="114"/>
    </row>
    <row r="494" spans="1:37" x14ac:dyDescent="0.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22"/>
      <c r="Q494" s="122"/>
      <c r="R494" s="122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26"/>
      <c r="AH494" s="13"/>
      <c r="AK494" s="114"/>
    </row>
    <row r="495" spans="1:37" x14ac:dyDescent="0.4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22"/>
      <c r="Q495" s="122"/>
      <c r="R495" s="122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7"/>
      <c r="AH495" s="13"/>
      <c r="AK495" s="114"/>
    </row>
    <row r="496" spans="1:37" x14ac:dyDescent="0.4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22"/>
      <c r="Q496" s="122"/>
      <c r="R496" s="122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26"/>
      <c r="AH496" s="13"/>
      <c r="AK496" s="114"/>
    </row>
    <row r="497" spans="1:38" x14ac:dyDescent="0.4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22"/>
      <c r="Q497" s="122"/>
      <c r="R497" s="122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7"/>
      <c r="AH497" s="13"/>
      <c r="AK497" s="114"/>
    </row>
    <row r="498" spans="1:38" x14ac:dyDescent="0.4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22"/>
      <c r="Q498" s="122"/>
      <c r="R498" s="122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26"/>
      <c r="AH498" s="13"/>
      <c r="AK498" s="114"/>
    </row>
    <row r="499" spans="1:38" x14ac:dyDescent="0.4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22"/>
      <c r="Q499" s="122"/>
      <c r="R499" s="122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26"/>
      <c r="AH499" s="13"/>
      <c r="AK499" s="114"/>
    </row>
    <row r="500" spans="1:38" x14ac:dyDescent="0.4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22"/>
      <c r="Q500" s="122"/>
      <c r="R500" s="122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26"/>
      <c r="AH500" s="13"/>
      <c r="AK500" s="114"/>
    </row>
    <row r="501" spans="1:38" x14ac:dyDescent="0.4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22"/>
      <c r="Q501" s="122"/>
      <c r="R501" s="122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26"/>
      <c r="AH501" s="15"/>
      <c r="AK501" s="114"/>
    </row>
    <row r="502" spans="1:38" x14ac:dyDescent="0.4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22"/>
      <c r="Q502" s="122"/>
      <c r="R502" s="122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26"/>
      <c r="AH502" s="15"/>
      <c r="AK502" s="114"/>
    </row>
    <row r="503" spans="1:38" x14ac:dyDescent="0.4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22"/>
      <c r="Q503" s="122"/>
      <c r="R503" s="122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26"/>
      <c r="AH503" s="15"/>
      <c r="AK503" s="114"/>
    </row>
    <row r="504" spans="1:38" x14ac:dyDescent="0.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22"/>
      <c r="Q504" s="122"/>
      <c r="R504" s="122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26"/>
      <c r="AH504" s="13"/>
      <c r="AK504" s="114"/>
    </row>
    <row r="505" spans="1:38" x14ac:dyDescent="0.4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22"/>
      <c r="Q505" s="122"/>
      <c r="R505" s="122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26"/>
      <c r="AH505" s="15"/>
      <c r="AK505" s="114"/>
    </row>
    <row r="506" spans="1:38" x14ac:dyDescent="0.4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22"/>
      <c r="Q506" s="122"/>
      <c r="R506" s="122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26"/>
      <c r="AH506" s="15"/>
      <c r="AK506" s="114"/>
      <c r="AL506" s="120"/>
    </row>
    <row r="507" spans="1:38" x14ac:dyDescent="0.4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22"/>
      <c r="Q507" s="122"/>
      <c r="R507" s="122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26"/>
      <c r="AH507" s="15"/>
      <c r="AK507" s="114"/>
      <c r="AL507" s="120"/>
    </row>
    <row r="508" spans="1:38" x14ac:dyDescent="0.4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22"/>
      <c r="Q508" s="122"/>
      <c r="R508" s="122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26"/>
      <c r="AH508" s="15"/>
      <c r="AK508" s="114"/>
      <c r="AL508" s="120"/>
    </row>
    <row r="509" spans="1:38" x14ac:dyDescent="0.4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22"/>
      <c r="Q509" s="122"/>
      <c r="R509" s="122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26"/>
      <c r="AH509" s="15"/>
      <c r="AK509" s="114"/>
      <c r="AL509" s="120"/>
    </row>
    <row r="510" spans="1:38" x14ac:dyDescent="0.4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22"/>
      <c r="Q510" s="122"/>
      <c r="R510" s="122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26"/>
      <c r="AH510" s="15"/>
      <c r="AK510" s="114"/>
      <c r="AL510" s="120"/>
    </row>
    <row r="511" spans="1:38" x14ac:dyDescent="0.4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22"/>
      <c r="Q511" s="122"/>
      <c r="R511" s="122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26"/>
      <c r="AH511" s="15"/>
      <c r="AK511" s="114"/>
      <c r="AL511" s="120"/>
    </row>
    <row r="512" spans="1:38" x14ac:dyDescent="0.4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22"/>
      <c r="Q512" s="122"/>
      <c r="R512" s="122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26"/>
      <c r="AH512" s="15"/>
      <c r="AK512" s="114"/>
      <c r="AL512" s="120"/>
    </row>
    <row r="513" spans="1:41" x14ac:dyDescent="0.4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22"/>
      <c r="Q513" s="122"/>
      <c r="R513" s="122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7"/>
      <c r="AH513" s="15"/>
      <c r="AK513" s="114"/>
      <c r="AL513" s="120"/>
    </row>
    <row r="514" spans="1:41" x14ac:dyDescent="0.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22"/>
      <c r="Q514" s="122"/>
      <c r="R514" s="122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26"/>
      <c r="AH514" s="15"/>
      <c r="AK514" s="114"/>
      <c r="AL514" s="120"/>
    </row>
    <row r="515" spans="1:41" x14ac:dyDescent="0.4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22"/>
      <c r="Q515" s="122"/>
      <c r="R515" s="122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26"/>
      <c r="AH515" s="15"/>
      <c r="AK515" s="114"/>
    </row>
    <row r="516" spans="1:41" x14ac:dyDescent="0.4">
      <c r="AG516" s="26"/>
      <c r="AH516" s="15"/>
      <c r="AK516" s="114"/>
    </row>
    <row r="517" spans="1:41" x14ac:dyDescent="0.4"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7"/>
      <c r="AH517" s="15"/>
      <c r="AK517" s="114"/>
    </row>
    <row r="518" spans="1:41" x14ac:dyDescent="0.4"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7"/>
      <c r="AH518" s="15"/>
      <c r="AK518" s="114"/>
    </row>
    <row r="519" spans="1:41" x14ac:dyDescent="0.4">
      <c r="R519" s="122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7"/>
      <c r="AH519" s="15"/>
      <c r="AK519" s="114"/>
    </row>
    <row r="520" spans="1:41" x14ac:dyDescent="0.4">
      <c r="M520" s="115"/>
      <c r="N520" s="115"/>
      <c r="O520" s="115"/>
      <c r="P520" s="122"/>
      <c r="Q520" s="122"/>
      <c r="R520" s="122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26"/>
      <c r="AH520" s="15"/>
      <c r="AK520" s="114"/>
    </row>
    <row r="521" spans="1:41" x14ac:dyDescent="0.4">
      <c r="M521" s="115"/>
      <c r="N521" s="115"/>
      <c r="O521" s="115"/>
      <c r="P521" s="122"/>
      <c r="Q521" s="122"/>
      <c r="R521" s="122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7"/>
      <c r="AH521" s="15"/>
      <c r="AK521" s="114"/>
    </row>
    <row r="522" spans="1:41" x14ac:dyDescent="0.4">
      <c r="L522" s="115"/>
      <c r="M522" s="115"/>
      <c r="N522" s="115"/>
      <c r="O522" s="115"/>
      <c r="P522" s="122"/>
      <c r="Q522" s="122"/>
      <c r="R522" s="122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26"/>
      <c r="AH522" s="15"/>
      <c r="AK522" s="114"/>
    </row>
    <row r="523" spans="1:41" x14ac:dyDescent="0.4">
      <c r="L523" s="115"/>
      <c r="M523" s="115"/>
      <c r="N523" s="115"/>
      <c r="O523" s="115"/>
      <c r="P523" s="122"/>
      <c r="Q523" s="122"/>
      <c r="R523" s="122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7"/>
      <c r="AH523" s="15"/>
      <c r="AK523" s="114"/>
    </row>
    <row r="524" spans="1:41" x14ac:dyDescent="0.4">
      <c r="L524" s="115"/>
      <c r="M524" s="115"/>
      <c r="N524" s="115"/>
      <c r="O524" s="115"/>
      <c r="P524" s="122"/>
      <c r="Q524" s="122"/>
      <c r="R524" s="122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7"/>
      <c r="AH524" s="15"/>
      <c r="AK524" s="114"/>
    </row>
    <row r="525" spans="1:41" x14ac:dyDescent="0.4">
      <c r="L525" s="115"/>
      <c r="M525" s="115"/>
      <c r="N525" s="115"/>
      <c r="O525" s="115"/>
      <c r="P525" s="122"/>
      <c r="Q525" s="122"/>
      <c r="R525" s="122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7"/>
      <c r="AH525" s="15"/>
      <c r="AK525" s="114"/>
    </row>
    <row r="526" spans="1:41" x14ac:dyDescent="0.4">
      <c r="L526" s="115"/>
      <c r="M526" s="115"/>
      <c r="N526" s="115"/>
      <c r="O526" s="115"/>
      <c r="P526" s="122"/>
      <c r="Q526" s="122"/>
      <c r="R526" s="122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26"/>
      <c r="AH526" s="15"/>
      <c r="AK526" s="114"/>
    </row>
    <row r="527" spans="1:41" x14ac:dyDescent="0.4">
      <c r="L527" s="115"/>
      <c r="M527" s="115"/>
      <c r="N527" s="115"/>
      <c r="O527" s="115"/>
      <c r="P527" s="122"/>
      <c r="Q527" s="122"/>
      <c r="R527" s="122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7"/>
      <c r="AH527" s="15"/>
      <c r="AK527" s="114"/>
    </row>
    <row r="528" spans="1:41" ht="19.5" x14ac:dyDescent="0.4">
      <c r="AG528" s="26"/>
      <c r="AH528" s="15"/>
      <c r="AL528" s="116"/>
      <c r="AM528" s="116"/>
      <c r="AN528" s="116"/>
      <c r="AO528" s="116"/>
    </row>
    <row r="529" spans="1:41" ht="19.5" x14ac:dyDescent="0.4">
      <c r="Q529" s="122"/>
      <c r="R529" s="122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7"/>
      <c r="AH529" s="15"/>
      <c r="AL529" s="117"/>
      <c r="AM529" s="116"/>
      <c r="AN529" s="116"/>
      <c r="AO529" s="116"/>
    </row>
    <row r="530" spans="1:41" ht="19.5" x14ac:dyDescent="0.4">
      <c r="I530" s="115"/>
      <c r="J530" s="115"/>
      <c r="K530" s="115"/>
      <c r="L530" s="115"/>
      <c r="M530" s="115"/>
      <c r="N530" s="115"/>
      <c r="O530" s="115"/>
      <c r="P530" s="122"/>
      <c r="Q530" s="122"/>
      <c r="R530" s="122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26"/>
      <c r="AH530" s="15"/>
      <c r="AL530" s="117"/>
      <c r="AM530" s="116"/>
      <c r="AN530" s="116"/>
      <c r="AO530" s="116"/>
    </row>
    <row r="531" spans="1:41" ht="19.5" x14ac:dyDescent="0.4"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22"/>
      <c r="Q531" s="122"/>
      <c r="R531" s="122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26"/>
      <c r="AH531" s="13"/>
      <c r="AL531" s="117"/>
      <c r="AM531" s="116"/>
      <c r="AN531" s="116"/>
      <c r="AO531" s="116"/>
    </row>
    <row r="532" spans="1:41" ht="19.5" x14ac:dyDescent="0.4"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22"/>
      <c r="Q532" s="122"/>
      <c r="R532" s="122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26"/>
      <c r="AH532" s="15"/>
      <c r="AL532" s="117"/>
      <c r="AM532" s="116"/>
      <c r="AN532" s="116"/>
      <c r="AO532" s="116"/>
    </row>
    <row r="533" spans="1:41" ht="19.5" x14ac:dyDescent="0.4"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22"/>
      <c r="Q533" s="122"/>
      <c r="R533" s="122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7"/>
      <c r="AH533" s="15"/>
      <c r="AL533" s="117"/>
      <c r="AM533" s="116"/>
      <c r="AN533" s="116"/>
      <c r="AO533" s="116"/>
    </row>
    <row r="534" spans="1:41" ht="19.5" x14ac:dyDescent="0.4"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22"/>
      <c r="Q534" s="122"/>
      <c r="R534" s="122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26"/>
      <c r="AH534" s="15"/>
      <c r="AL534" s="117"/>
      <c r="AM534" s="116"/>
      <c r="AN534" s="116"/>
      <c r="AO534" s="116"/>
    </row>
    <row r="535" spans="1:41" ht="19.5" x14ac:dyDescent="0.4"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22"/>
      <c r="Q535" s="122"/>
      <c r="R535" s="122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26"/>
      <c r="AH535" s="15"/>
      <c r="AL535" s="117"/>
      <c r="AM535" s="116"/>
      <c r="AN535" s="116"/>
      <c r="AO535" s="116"/>
    </row>
    <row r="536" spans="1:41" ht="19.5" x14ac:dyDescent="0.4"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22"/>
      <c r="Q536" s="122"/>
      <c r="R536" s="122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7"/>
      <c r="AH536" s="15"/>
      <c r="AL536" s="117"/>
      <c r="AM536" s="116"/>
      <c r="AN536" s="116"/>
      <c r="AO536" s="116"/>
    </row>
    <row r="537" spans="1:41" ht="19.5" x14ac:dyDescent="0.4"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22"/>
      <c r="Q537" s="122"/>
      <c r="R537" s="122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26"/>
      <c r="AH537" s="15"/>
      <c r="AL537" s="117"/>
      <c r="AM537" s="116"/>
      <c r="AN537" s="116"/>
      <c r="AO537" s="116"/>
    </row>
    <row r="538" spans="1:41" ht="19.5" x14ac:dyDescent="0.4">
      <c r="AG538" s="26"/>
      <c r="AH538" s="15"/>
      <c r="AL538" s="117"/>
      <c r="AM538" s="116"/>
      <c r="AN538" s="116"/>
      <c r="AO538" s="116"/>
    </row>
    <row r="539" spans="1:41" ht="19.5" x14ac:dyDescent="0.4">
      <c r="Q539" s="122"/>
      <c r="R539" s="122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7"/>
      <c r="AH539" s="15"/>
      <c r="AL539" s="117"/>
      <c r="AM539" s="116"/>
      <c r="AN539" s="116"/>
      <c r="AO539" s="116"/>
    </row>
    <row r="540" spans="1:41" ht="19.5" x14ac:dyDescent="0.4">
      <c r="N540" s="115"/>
      <c r="O540" s="115"/>
      <c r="P540" s="122"/>
      <c r="Q540" s="122"/>
      <c r="R540" s="122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26"/>
      <c r="AH540" s="15"/>
      <c r="AL540" s="117"/>
      <c r="AM540" s="116"/>
      <c r="AN540" s="116"/>
      <c r="AO540" s="116"/>
    </row>
    <row r="541" spans="1:41" ht="19.5" x14ac:dyDescent="0.4">
      <c r="N541" s="115"/>
      <c r="O541" s="115"/>
      <c r="P541" s="122"/>
      <c r="Q541" s="122"/>
      <c r="R541" s="122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7"/>
      <c r="AH541" s="15"/>
      <c r="AL541" s="117"/>
      <c r="AM541" s="116"/>
      <c r="AN541" s="116"/>
      <c r="AO541" s="116"/>
    </row>
    <row r="542" spans="1:41" ht="19.5" x14ac:dyDescent="0.4">
      <c r="M542" s="115"/>
      <c r="N542" s="115"/>
      <c r="O542" s="115"/>
      <c r="P542" s="122"/>
      <c r="Q542" s="122"/>
      <c r="R542" s="122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26"/>
      <c r="AH542" s="15"/>
      <c r="AL542" s="117"/>
      <c r="AM542" s="116"/>
      <c r="AN542" s="116"/>
      <c r="AO542" s="116"/>
    </row>
    <row r="543" spans="1:41" ht="19.5" x14ac:dyDescent="0.4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22"/>
      <c r="Q543" s="122"/>
      <c r="R543" s="122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26"/>
      <c r="AH543" s="15"/>
      <c r="AL543" s="117"/>
      <c r="AM543" s="116"/>
      <c r="AN543" s="116"/>
      <c r="AO543" s="116"/>
    </row>
    <row r="544" spans="1:41" ht="19.5" x14ac:dyDescent="0.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22"/>
      <c r="Q544" s="122"/>
      <c r="R544" s="122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26"/>
      <c r="AH544" s="15"/>
      <c r="AL544" s="117"/>
      <c r="AM544" s="116"/>
      <c r="AN544" s="116"/>
      <c r="AO544" s="116"/>
    </row>
    <row r="545" spans="1:41" ht="19.5" x14ac:dyDescent="0.4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22"/>
      <c r="Q545" s="122"/>
      <c r="R545" s="122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26"/>
      <c r="AH545" s="15"/>
      <c r="AL545" s="117"/>
      <c r="AM545" s="116"/>
      <c r="AN545" s="116"/>
      <c r="AO545" s="116"/>
    </row>
    <row r="546" spans="1:41" ht="19.5" x14ac:dyDescent="0.4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22"/>
      <c r="Q546" s="122"/>
      <c r="R546" s="122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26"/>
      <c r="AH546" s="105"/>
      <c r="AL546" s="117"/>
      <c r="AM546" s="116"/>
      <c r="AN546" s="116"/>
      <c r="AO546" s="116"/>
    </row>
    <row r="547" spans="1:41" ht="19.5" x14ac:dyDescent="0.4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22"/>
      <c r="Q547" s="122"/>
      <c r="R547" s="122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26"/>
      <c r="AH547" s="105"/>
      <c r="AL547" s="117"/>
      <c r="AM547" s="116"/>
      <c r="AN547" s="116"/>
      <c r="AO547" s="116"/>
    </row>
    <row r="548" spans="1:41" ht="19.5" x14ac:dyDescent="0.4">
      <c r="AG548" s="26"/>
      <c r="AH548" s="13"/>
      <c r="AL548" s="117"/>
      <c r="AM548" s="116"/>
      <c r="AN548" s="116"/>
      <c r="AO548" s="116"/>
    </row>
    <row r="549" spans="1:41" ht="19.5" x14ac:dyDescent="0.4">
      <c r="N549" s="115"/>
      <c r="O549" s="115"/>
      <c r="P549" s="122"/>
      <c r="Q549" s="122"/>
      <c r="R549" s="122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26"/>
      <c r="AH549" s="13"/>
      <c r="AL549" s="117"/>
      <c r="AM549" s="116"/>
      <c r="AN549" s="116"/>
      <c r="AO549" s="116"/>
    </row>
    <row r="550" spans="1:41" ht="19.5" x14ac:dyDescent="0.4">
      <c r="I550" s="115"/>
      <c r="J550" s="115"/>
      <c r="K550" s="115"/>
      <c r="L550" s="115"/>
      <c r="M550" s="115"/>
      <c r="N550" s="115"/>
      <c r="O550" s="115"/>
      <c r="P550" s="122"/>
      <c r="Q550" s="122"/>
      <c r="R550" s="122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26"/>
      <c r="AH550" s="13"/>
      <c r="AL550" s="117"/>
      <c r="AM550" s="116"/>
      <c r="AN550" s="116"/>
      <c r="AO550" s="116"/>
    </row>
    <row r="551" spans="1:41" ht="19.5" x14ac:dyDescent="0.4">
      <c r="AG551" s="26"/>
      <c r="AH551" s="13"/>
      <c r="AL551" s="117"/>
      <c r="AM551" s="116"/>
      <c r="AN551" s="116"/>
      <c r="AO551" s="116"/>
    </row>
    <row r="552" spans="1:41" ht="19.5" x14ac:dyDescent="0.4"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22"/>
      <c r="Q552" s="122"/>
      <c r="R552" s="122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26"/>
      <c r="AH552" s="13"/>
      <c r="AL552" s="117"/>
      <c r="AM552" s="116"/>
      <c r="AN552" s="116"/>
      <c r="AO552" s="116"/>
    </row>
    <row r="553" spans="1:41" ht="19.5" x14ac:dyDescent="0.4"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22"/>
      <c r="Q553" s="122"/>
      <c r="R553" s="122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26"/>
      <c r="AH553" s="13"/>
      <c r="AL553" s="117"/>
      <c r="AM553" s="116"/>
      <c r="AN553" s="116"/>
      <c r="AO553" s="116"/>
    </row>
    <row r="554" spans="1:41" ht="19.5" x14ac:dyDescent="0.4"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22"/>
      <c r="Q554" s="122"/>
      <c r="R554" s="122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26"/>
      <c r="AH554" s="13"/>
      <c r="AL554" s="117"/>
      <c r="AM554" s="116"/>
      <c r="AN554" s="116"/>
      <c r="AO554" s="116"/>
    </row>
    <row r="555" spans="1:41" ht="19.5" x14ac:dyDescent="0.4"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22"/>
      <c r="Q555" s="122"/>
      <c r="R555" s="122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26"/>
      <c r="AH555" s="13"/>
      <c r="AL555" s="117"/>
      <c r="AM555" s="116"/>
      <c r="AN555" s="116"/>
      <c r="AO555" s="116"/>
    </row>
    <row r="556" spans="1:41" ht="19.5" x14ac:dyDescent="0.4"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22"/>
      <c r="Q556" s="122"/>
      <c r="R556" s="122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26"/>
      <c r="AH556" s="13"/>
      <c r="AL556" s="117"/>
      <c r="AM556" s="116"/>
      <c r="AN556" s="116"/>
      <c r="AO556" s="116"/>
    </row>
    <row r="557" spans="1:41" ht="19.5" x14ac:dyDescent="0.4"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22"/>
      <c r="Q557" s="122"/>
      <c r="R557" s="122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26"/>
      <c r="AH557" s="13"/>
      <c r="AL557" s="117"/>
      <c r="AM557" s="116"/>
      <c r="AN557" s="116"/>
      <c r="AO557" s="116"/>
    </row>
    <row r="558" spans="1:41" ht="19.5" x14ac:dyDescent="0.4"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22"/>
      <c r="Q558" s="122"/>
      <c r="R558" s="122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26"/>
      <c r="AH558" s="13"/>
      <c r="AL558" s="117"/>
      <c r="AM558" s="116"/>
      <c r="AN558" s="116"/>
      <c r="AO558" s="116"/>
    </row>
    <row r="559" spans="1:41" ht="19.5" x14ac:dyDescent="0.4"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22"/>
      <c r="Q559" s="122"/>
      <c r="R559" s="122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26"/>
      <c r="AH559" s="13"/>
      <c r="AL559" s="117"/>
      <c r="AM559" s="116"/>
      <c r="AN559" s="116"/>
      <c r="AO559" s="116"/>
    </row>
    <row r="560" spans="1:41" ht="19.5" x14ac:dyDescent="0.4">
      <c r="AG560" s="26"/>
      <c r="AH560" s="15"/>
      <c r="AL560" s="117"/>
      <c r="AM560" s="116"/>
      <c r="AN560" s="116"/>
      <c r="AO560" s="116"/>
    </row>
    <row r="561" spans="1:41" ht="19.5" x14ac:dyDescent="0.4"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22"/>
      <c r="Q561" s="122"/>
      <c r="R561" s="122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26"/>
      <c r="AH561" s="15"/>
      <c r="AL561" s="117"/>
      <c r="AM561" s="116"/>
      <c r="AN561" s="116"/>
      <c r="AO561" s="116"/>
    </row>
    <row r="562" spans="1:41" ht="19.5" x14ac:dyDescent="0.4"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22"/>
      <c r="Q562" s="122"/>
      <c r="R562" s="122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7"/>
      <c r="AH562" s="15"/>
      <c r="AL562" s="117"/>
      <c r="AM562" s="116"/>
      <c r="AN562" s="116"/>
      <c r="AO562" s="116"/>
    </row>
    <row r="563" spans="1:41" ht="19.5" x14ac:dyDescent="0.4">
      <c r="AG563" s="26"/>
      <c r="AH563" s="15"/>
      <c r="AL563" s="117"/>
      <c r="AM563" s="116"/>
      <c r="AN563" s="116"/>
      <c r="AO563" s="116"/>
    </row>
    <row r="564" spans="1:41" ht="19.5" x14ac:dyDescent="0.4">
      <c r="AG564" s="26"/>
      <c r="AH564" s="13"/>
      <c r="AL564" s="117"/>
      <c r="AM564" s="116"/>
      <c r="AN564" s="116"/>
      <c r="AO564" s="116"/>
    </row>
    <row r="565" spans="1:41" ht="19.5" x14ac:dyDescent="0.4">
      <c r="M565" s="115"/>
      <c r="N565" s="115"/>
      <c r="O565" s="115"/>
      <c r="P565" s="122"/>
      <c r="Q565" s="122"/>
      <c r="R565" s="122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26"/>
      <c r="AH565" s="13"/>
      <c r="AL565" s="117"/>
      <c r="AM565" s="116"/>
      <c r="AN565" s="116"/>
      <c r="AO565" s="116"/>
    </row>
    <row r="566" spans="1:41" ht="19.5" x14ac:dyDescent="0.4"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22"/>
      <c r="Q566" s="122"/>
      <c r="R566" s="122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26"/>
      <c r="AH566" s="13"/>
      <c r="AL566" s="117"/>
      <c r="AM566" s="116"/>
      <c r="AN566" s="116"/>
      <c r="AO566" s="116"/>
    </row>
    <row r="567" spans="1:41" ht="19.5" x14ac:dyDescent="0.4"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22"/>
      <c r="Q567" s="122"/>
      <c r="R567" s="122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7"/>
      <c r="AH567" s="13"/>
      <c r="AL567" s="117"/>
      <c r="AM567" s="116"/>
      <c r="AN567" s="116"/>
      <c r="AO567" s="116"/>
    </row>
    <row r="568" spans="1:41" ht="19.5" x14ac:dyDescent="0.4"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22"/>
      <c r="Q568" s="122"/>
      <c r="R568" s="122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26"/>
      <c r="AH568" s="25"/>
      <c r="AL568" s="117"/>
      <c r="AM568" s="116"/>
      <c r="AN568" s="116"/>
      <c r="AO568" s="116"/>
    </row>
    <row r="569" spans="1:41" ht="19.5" x14ac:dyDescent="0.4"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22"/>
      <c r="Q569" s="122"/>
      <c r="R569" s="122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7"/>
      <c r="AH569" s="13"/>
      <c r="AL569" s="117"/>
      <c r="AM569" s="116"/>
      <c r="AN569" s="116"/>
      <c r="AO569" s="116"/>
    </row>
    <row r="570" spans="1:41" ht="19.5" x14ac:dyDescent="0.4"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22"/>
      <c r="Q570" s="122"/>
      <c r="R570" s="122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26"/>
      <c r="AH570" s="13"/>
      <c r="AL570" s="117"/>
      <c r="AM570" s="116"/>
      <c r="AN570" s="116"/>
      <c r="AO570" s="116"/>
    </row>
    <row r="571" spans="1:41" ht="19.5" x14ac:dyDescent="0.4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22"/>
      <c r="Q571" s="122"/>
      <c r="R571" s="122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26"/>
      <c r="AH571" s="13"/>
      <c r="AL571" s="117"/>
      <c r="AM571" s="116"/>
      <c r="AN571" s="116"/>
      <c r="AO571" s="116"/>
    </row>
    <row r="572" spans="1:41" ht="19.5" x14ac:dyDescent="0.4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22"/>
      <c r="Q572" s="122"/>
      <c r="R572" s="122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26"/>
      <c r="AH572" s="13"/>
      <c r="AL572" s="117"/>
      <c r="AM572" s="116"/>
      <c r="AN572" s="116"/>
      <c r="AO572" s="116"/>
    </row>
    <row r="573" spans="1:41" ht="19.5" x14ac:dyDescent="0.4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22"/>
      <c r="Q573" s="122"/>
      <c r="R573" s="122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26"/>
      <c r="AH573" s="13"/>
      <c r="AL573" s="117"/>
      <c r="AM573" s="116"/>
      <c r="AN573" s="116"/>
      <c r="AO573" s="116"/>
    </row>
    <row r="574" spans="1:41" ht="19.5" x14ac:dyDescent="0.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22"/>
      <c r="Q574" s="122"/>
      <c r="R574" s="122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26"/>
      <c r="AH574" s="13"/>
      <c r="AL574" s="117"/>
      <c r="AM574" s="116"/>
      <c r="AN574" s="116"/>
      <c r="AO574" s="116"/>
    </row>
    <row r="575" spans="1:41" ht="19.5" x14ac:dyDescent="0.4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22"/>
      <c r="Q575" s="122"/>
      <c r="R575" s="122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26"/>
      <c r="AH575" s="13"/>
      <c r="AL575" s="117"/>
      <c r="AM575" s="116"/>
      <c r="AN575" s="116"/>
      <c r="AO575" s="116"/>
    </row>
    <row r="576" spans="1:41" ht="19.5" x14ac:dyDescent="0.4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22"/>
      <c r="Q576" s="122"/>
      <c r="R576" s="122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26"/>
      <c r="AH576" s="13"/>
      <c r="AL576" s="117"/>
      <c r="AM576" s="116"/>
      <c r="AN576" s="116"/>
      <c r="AO576" s="116"/>
    </row>
    <row r="577" spans="1:41" ht="19.5" x14ac:dyDescent="0.4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22"/>
      <c r="Q577" s="122"/>
      <c r="R577" s="122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26"/>
      <c r="AH577" s="13"/>
      <c r="AL577" s="117"/>
      <c r="AM577" s="116"/>
      <c r="AN577" s="116"/>
      <c r="AO577" s="116"/>
    </row>
    <row r="578" spans="1:41" ht="19.5" x14ac:dyDescent="0.4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22"/>
      <c r="Q578" s="122"/>
      <c r="R578" s="122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26"/>
      <c r="AH578" s="15"/>
      <c r="AL578" s="117"/>
      <c r="AM578" s="116"/>
      <c r="AN578" s="116"/>
      <c r="AO578" s="116"/>
    </row>
    <row r="579" spans="1:41" ht="19.5" x14ac:dyDescent="0.4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22"/>
      <c r="Q579" s="122"/>
      <c r="R579" s="122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26"/>
      <c r="AH579" s="15"/>
      <c r="AL579" s="117"/>
      <c r="AM579" s="116"/>
      <c r="AN579" s="116"/>
      <c r="AO579" s="116"/>
    </row>
    <row r="580" spans="1:41" ht="19.5" x14ac:dyDescent="0.4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22"/>
      <c r="Q580" s="122"/>
      <c r="R580" s="122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26"/>
      <c r="AH580" s="15"/>
      <c r="AL580" s="117"/>
      <c r="AM580" s="116"/>
      <c r="AN580" s="116"/>
      <c r="AO580" s="116"/>
    </row>
    <row r="581" spans="1:41" ht="19.5" x14ac:dyDescent="0.4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22"/>
      <c r="Q581" s="122"/>
      <c r="R581" s="122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26"/>
      <c r="AH581" s="15"/>
      <c r="AL581" s="117"/>
      <c r="AM581" s="116"/>
      <c r="AN581" s="116"/>
      <c r="AO581" s="116"/>
    </row>
    <row r="582" spans="1:41" ht="19.5" x14ac:dyDescent="0.4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22"/>
      <c r="Q582" s="122"/>
      <c r="R582" s="122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26"/>
      <c r="AH582" s="25"/>
      <c r="AL582" s="117"/>
      <c r="AM582" s="116"/>
      <c r="AN582" s="116"/>
      <c r="AO582" s="116"/>
    </row>
    <row r="583" spans="1:41" ht="19.5" x14ac:dyDescent="0.4">
      <c r="AG583" s="26"/>
      <c r="AH583" s="15"/>
      <c r="AL583" s="117"/>
      <c r="AM583" s="116"/>
      <c r="AN583" s="116"/>
      <c r="AO583" s="116"/>
    </row>
    <row r="584" spans="1:41" ht="19.5" x14ac:dyDescent="0.4">
      <c r="O584" s="115"/>
      <c r="P584" s="122"/>
      <c r="Q584" s="122"/>
      <c r="R584" s="122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26"/>
      <c r="AH584" s="15"/>
      <c r="AL584" s="117"/>
      <c r="AM584" s="116"/>
      <c r="AN584" s="116"/>
      <c r="AO584" s="116"/>
    </row>
    <row r="585" spans="1:41" ht="19.5" x14ac:dyDescent="0.4">
      <c r="M585" s="115"/>
      <c r="N585" s="115"/>
      <c r="O585" s="115"/>
      <c r="P585" s="122"/>
      <c r="Q585" s="122"/>
      <c r="R585" s="122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26"/>
      <c r="AH585" s="15"/>
      <c r="AL585" s="117"/>
      <c r="AM585" s="116"/>
      <c r="AN585" s="116"/>
      <c r="AO585" s="116"/>
    </row>
    <row r="586" spans="1:41" ht="19.5" x14ac:dyDescent="0.4">
      <c r="M586" s="115"/>
      <c r="N586" s="115"/>
      <c r="O586" s="115"/>
      <c r="P586" s="122"/>
      <c r="Q586" s="122"/>
      <c r="R586" s="122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7"/>
      <c r="AH586" s="15"/>
      <c r="AL586" s="117"/>
      <c r="AM586" s="116"/>
      <c r="AN586" s="116"/>
      <c r="AO586" s="116"/>
    </row>
    <row r="587" spans="1:41" ht="19.5" x14ac:dyDescent="0.4">
      <c r="J587" s="115"/>
      <c r="K587" s="115"/>
      <c r="L587" s="115"/>
      <c r="M587" s="115"/>
      <c r="N587" s="115"/>
      <c r="O587" s="115"/>
      <c r="P587" s="122"/>
      <c r="Q587" s="122"/>
      <c r="R587" s="122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26"/>
      <c r="AH587" s="15"/>
      <c r="AL587" s="117"/>
      <c r="AM587" s="116"/>
      <c r="AN587" s="116"/>
      <c r="AO587" s="116"/>
    </row>
    <row r="588" spans="1:41" ht="19.5" x14ac:dyDescent="0.4">
      <c r="J588" s="115"/>
      <c r="K588" s="115"/>
      <c r="L588" s="115"/>
      <c r="M588" s="115"/>
      <c r="N588" s="115"/>
      <c r="O588" s="115"/>
      <c r="P588" s="122"/>
      <c r="Q588" s="122"/>
      <c r="R588" s="122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7"/>
      <c r="AH588" s="15"/>
      <c r="AL588" s="117"/>
      <c r="AM588" s="116"/>
      <c r="AN588" s="116"/>
      <c r="AO588" s="116"/>
    </row>
    <row r="589" spans="1:41" ht="19.5" x14ac:dyDescent="0.4">
      <c r="J589" s="115"/>
      <c r="K589" s="115"/>
      <c r="L589" s="115"/>
      <c r="M589" s="115"/>
      <c r="N589" s="115"/>
      <c r="O589" s="115"/>
      <c r="P589" s="122"/>
      <c r="Q589" s="122"/>
      <c r="R589" s="122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26"/>
      <c r="AH589" s="15"/>
      <c r="AL589" s="117"/>
      <c r="AM589" s="116"/>
      <c r="AN589" s="116"/>
      <c r="AO589" s="116"/>
    </row>
    <row r="590" spans="1:41" ht="19.5" x14ac:dyDescent="0.4">
      <c r="J590" s="115"/>
      <c r="K590" s="115"/>
      <c r="L590" s="115"/>
      <c r="M590" s="115"/>
      <c r="N590" s="115"/>
      <c r="O590" s="115"/>
      <c r="P590" s="122"/>
      <c r="Q590" s="122"/>
      <c r="R590" s="122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7"/>
      <c r="AH590" s="13"/>
      <c r="AL590" s="117"/>
      <c r="AM590" s="116"/>
      <c r="AN590" s="116"/>
      <c r="AO590" s="116"/>
    </row>
    <row r="591" spans="1:41" ht="19.5" x14ac:dyDescent="0.4">
      <c r="J591" s="115"/>
      <c r="K591" s="115"/>
      <c r="L591" s="115"/>
      <c r="M591" s="115"/>
      <c r="N591" s="115"/>
      <c r="O591" s="115"/>
      <c r="P591" s="122"/>
      <c r="Q591" s="122"/>
      <c r="R591" s="122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7"/>
      <c r="AH591" s="13"/>
      <c r="AL591" s="117"/>
      <c r="AM591" s="116"/>
      <c r="AN591" s="116"/>
      <c r="AO591" s="116"/>
    </row>
    <row r="592" spans="1:41" ht="19.5" x14ac:dyDescent="0.4">
      <c r="AG592" s="26"/>
      <c r="AH592" s="13"/>
      <c r="AL592" s="117"/>
      <c r="AM592" s="116"/>
      <c r="AN592" s="116"/>
      <c r="AO592" s="116"/>
    </row>
    <row r="593" spans="1:41" ht="19.5" x14ac:dyDescent="0.4">
      <c r="O593" s="115"/>
      <c r="P593" s="122"/>
      <c r="Q593" s="122"/>
      <c r="R593" s="122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7"/>
      <c r="AH593" s="13"/>
      <c r="AL593" s="117"/>
      <c r="AM593" s="116"/>
      <c r="AN593" s="116"/>
      <c r="AO593" s="116"/>
    </row>
    <row r="594" spans="1:41" ht="19.5" x14ac:dyDescent="0.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22"/>
      <c r="Q594" s="122"/>
      <c r="R594" s="122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26"/>
      <c r="AH594" s="13"/>
      <c r="AL594" s="117"/>
      <c r="AM594" s="116"/>
      <c r="AN594" s="116"/>
      <c r="AO594" s="116"/>
    </row>
    <row r="595" spans="1:41" ht="19.5" x14ac:dyDescent="0.4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22"/>
      <c r="Q595" s="122"/>
      <c r="R595" s="122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26"/>
      <c r="AH595" s="13"/>
      <c r="AL595" s="117"/>
      <c r="AM595" s="116"/>
      <c r="AN595" s="116"/>
      <c r="AO595" s="116"/>
    </row>
    <row r="596" spans="1:41" ht="19.5" x14ac:dyDescent="0.4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22"/>
      <c r="Q596" s="122"/>
      <c r="R596" s="122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26"/>
      <c r="AH596" s="13"/>
      <c r="AL596" s="117"/>
      <c r="AM596" s="116"/>
      <c r="AN596" s="116"/>
      <c r="AO596" s="116"/>
    </row>
    <row r="597" spans="1:41" ht="19.5" x14ac:dyDescent="0.4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22"/>
      <c r="Q597" s="122"/>
      <c r="R597" s="122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26"/>
      <c r="AH597" s="13"/>
      <c r="AL597" s="117"/>
      <c r="AM597" s="116"/>
      <c r="AN597" s="116"/>
      <c r="AO597" s="116"/>
    </row>
    <row r="598" spans="1:41" ht="19.5" x14ac:dyDescent="0.4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22"/>
      <c r="Q598" s="122"/>
      <c r="R598" s="122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7"/>
      <c r="AH598" s="13"/>
      <c r="AL598" s="117"/>
      <c r="AM598" s="116"/>
      <c r="AN598" s="116"/>
      <c r="AO598" s="116"/>
    </row>
    <row r="599" spans="1:41" ht="19.5" x14ac:dyDescent="0.4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22"/>
      <c r="Q599" s="122"/>
      <c r="R599" s="122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26"/>
      <c r="AH599" s="13"/>
      <c r="AL599" s="117"/>
      <c r="AM599" s="116"/>
      <c r="AN599" s="116"/>
      <c r="AO599" s="116"/>
    </row>
    <row r="600" spans="1:41" ht="19.5" x14ac:dyDescent="0.4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22"/>
      <c r="Q600" s="122"/>
      <c r="R600" s="122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26"/>
      <c r="AH600" s="15"/>
      <c r="AL600" s="117"/>
      <c r="AM600" s="116"/>
      <c r="AN600" s="116"/>
      <c r="AO600" s="116"/>
    </row>
    <row r="601" spans="1:41" ht="19.5" x14ac:dyDescent="0.4">
      <c r="AG601" s="26"/>
      <c r="AH601" s="15"/>
      <c r="AL601" s="117"/>
      <c r="AM601" s="116"/>
      <c r="AN601" s="116"/>
      <c r="AO601" s="116"/>
    </row>
    <row r="602" spans="1:41" ht="19.5" x14ac:dyDescent="0.4">
      <c r="N602" s="115"/>
      <c r="O602" s="115"/>
      <c r="P602" s="122"/>
      <c r="Q602" s="122"/>
      <c r="R602" s="122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26"/>
      <c r="AH602" s="13"/>
      <c r="AL602" s="117"/>
      <c r="AM602" s="116"/>
      <c r="AN602" s="116"/>
      <c r="AO602" s="116"/>
    </row>
    <row r="603" spans="1:41" ht="19.5" x14ac:dyDescent="0.4">
      <c r="L603" s="115"/>
      <c r="M603" s="115"/>
      <c r="N603" s="115"/>
      <c r="O603" s="115"/>
      <c r="P603" s="122"/>
      <c r="Q603" s="122"/>
      <c r="R603" s="122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26"/>
      <c r="AH603" s="15"/>
      <c r="AL603" s="117"/>
      <c r="AM603" s="116"/>
      <c r="AN603" s="116"/>
      <c r="AO603" s="116"/>
    </row>
    <row r="604" spans="1:41" ht="19.5" x14ac:dyDescent="0.4">
      <c r="L604" s="115"/>
      <c r="M604" s="115"/>
      <c r="N604" s="115"/>
      <c r="O604" s="115"/>
      <c r="P604" s="122"/>
      <c r="Q604" s="122"/>
      <c r="R604" s="122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26"/>
      <c r="AH604" s="15"/>
      <c r="AL604" s="117"/>
      <c r="AM604" s="116"/>
      <c r="AN604" s="116"/>
      <c r="AO604" s="116"/>
    </row>
    <row r="605" spans="1:41" ht="19.5" x14ac:dyDescent="0.4">
      <c r="L605" s="115"/>
      <c r="M605" s="115"/>
      <c r="N605" s="115"/>
      <c r="O605" s="115"/>
      <c r="P605" s="122"/>
      <c r="Q605" s="122"/>
      <c r="R605" s="122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7"/>
      <c r="AH605" s="15"/>
      <c r="AL605" s="117"/>
      <c r="AM605" s="116"/>
      <c r="AN605" s="116"/>
      <c r="AO605" s="116"/>
    </row>
    <row r="606" spans="1:41" ht="19.5" x14ac:dyDescent="0.4">
      <c r="K606" s="115"/>
      <c r="L606" s="115"/>
      <c r="M606" s="115"/>
      <c r="N606" s="115"/>
      <c r="O606" s="115"/>
      <c r="P606" s="122"/>
      <c r="Q606" s="122"/>
      <c r="R606" s="122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26"/>
      <c r="AH606" s="15"/>
      <c r="AL606" s="117"/>
      <c r="AM606" s="116"/>
      <c r="AN606" s="116"/>
      <c r="AO606" s="116"/>
    </row>
    <row r="607" spans="1:41" ht="19.5" x14ac:dyDescent="0.4">
      <c r="K607" s="115"/>
      <c r="L607" s="115"/>
      <c r="M607" s="115"/>
      <c r="N607" s="115"/>
      <c r="O607" s="115"/>
      <c r="P607" s="122"/>
      <c r="Q607" s="122"/>
      <c r="R607" s="122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26"/>
      <c r="AH607" s="15"/>
      <c r="AL607" s="117"/>
      <c r="AM607" s="116"/>
      <c r="AN607" s="116"/>
      <c r="AO607" s="116"/>
    </row>
    <row r="608" spans="1:41" ht="19.5" x14ac:dyDescent="0.4">
      <c r="K608" s="115"/>
      <c r="L608" s="115"/>
      <c r="M608" s="115"/>
      <c r="N608" s="115"/>
      <c r="O608" s="115"/>
      <c r="P608" s="122"/>
      <c r="Q608" s="122"/>
      <c r="R608" s="122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26"/>
      <c r="AH608" s="105"/>
      <c r="AL608" s="117"/>
      <c r="AM608" s="116"/>
      <c r="AN608" s="116"/>
      <c r="AO608" s="116"/>
    </row>
    <row r="609" spans="1:41" ht="19.5" x14ac:dyDescent="0.4">
      <c r="K609" s="115"/>
      <c r="L609" s="115"/>
      <c r="M609" s="115"/>
      <c r="N609" s="115"/>
      <c r="O609" s="115"/>
      <c r="P609" s="122"/>
      <c r="Q609" s="122"/>
      <c r="R609" s="122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7"/>
      <c r="AH609" s="15"/>
      <c r="AL609" s="117"/>
      <c r="AM609" s="116"/>
      <c r="AN609" s="116"/>
      <c r="AO609" s="116"/>
    </row>
    <row r="610" spans="1:41" ht="19.5" x14ac:dyDescent="0.4">
      <c r="K610" s="115"/>
      <c r="L610" s="115"/>
      <c r="M610" s="115"/>
      <c r="N610" s="115"/>
      <c r="O610" s="115"/>
      <c r="P610" s="122"/>
      <c r="Q610" s="122"/>
      <c r="R610" s="122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26"/>
      <c r="AH610" s="15"/>
      <c r="AL610" s="117"/>
      <c r="AM610" s="116"/>
      <c r="AN610" s="116"/>
      <c r="AO610" s="116"/>
    </row>
    <row r="611" spans="1:41" ht="19.5" x14ac:dyDescent="0.4">
      <c r="K611" s="115"/>
      <c r="L611" s="115"/>
      <c r="M611" s="115"/>
      <c r="N611" s="115"/>
      <c r="O611" s="115"/>
      <c r="P611" s="122"/>
      <c r="Q611" s="122"/>
      <c r="R611" s="122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7"/>
      <c r="AH611" s="15"/>
      <c r="AL611" s="117"/>
      <c r="AM611" s="116"/>
      <c r="AN611" s="116"/>
      <c r="AO611" s="116"/>
    </row>
    <row r="612" spans="1:41" ht="19.5" x14ac:dyDescent="0.4"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22"/>
      <c r="Q612" s="122"/>
      <c r="R612" s="122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26"/>
      <c r="AH612" s="15"/>
      <c r="AL612" s="117"/>
      <c r="AM612" s="116"/>
      <c r="AN612" s="116"/>
      <c r="AO612" s="116"/>
    </row>
    <row r="613" spans="1:41" ht="19.5" x14ac:dyDescent="0.4"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22"/>
      <c r="Q613" s="122"/>
      <c r="R613" s="122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7"/>
      <c r="AH613" s="15"/>
      <c r="AL613" s="117"/>
      <c r="AM613" s="116"/>
      <c r="AN613" s="116"/>
      <c r="AO613" s="116"/>
    </row>
    <row r="614" spans="1:41" ht="19.5" x14ac:dyDescent="0.4"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22"/>
      <c r="Q614" s="122"/>
      <c r="R614" s="122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26"/>
      <c r="AH614" s="15"/>
      <c r="AL614" s="117"/>
      <c r="AM614" s="116"/>
      <c r="AN614" s="116"/>
      <c r="AO614" s="116"/>
    </row>
    <row r="615" spans="1:41" ht="19.5" x14ac:dyDescent="0.4"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22"/>
      <c r="Q615" s="122"/>
      <c r="R615" s="122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7"/>
      <c r="AH615" s="15"/>
      <c r="AL615" s="117"/>
      <c r="AM615" s="116"/>
      <c r="AN615" s="116"/>
      <c r="AO615" s="116"/>
    </row>
    <row r="616" spans="1:41" ht="19.5" x14ac:dyDescent="0.4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22"/>
      <c r="Q616" s="122"/>
      <c r="R616" s="122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26"/>
      <c r="AH616" s="15"/>
      <c r="AL616" s="117"/>
      <c r="AM616" s="116"/>
      <c r="AN616" s="116"/>
      <c r="AO616" s="116"/>
    </row>
    <row r="617" spans="1:41" ht="19.5" x14ac:dyDescent="0.4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22"/>
      <c r="Q617" s="122"/>
      <c r="R617" s="122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26"/>
      <c r="AH617" s="15"/>
      <c r="AL617" s="117"/>
      <c r="AM617" s="116"/>
      <c r="AN617" s="116"/>
      <c r="AO617" s="116"/>
    </row>
    <row r="618" spans="1:41" ht="19.5" x14ac:dyDescent="0.4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22"/>
      <c r="Q618" s="122"/>
      <c r="R618" s="122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26"/>
      <c r="AH618" s="15"/>
      <c r="AL618" s="117"/>
      <c r="AM618" s="116"/>
      <c r="AN618" s="116"/>
      <c r="AO618" s="116"/>
    </row>
    <row r="619" spans="1:41" ht="19.5" x14ac:dyDescent="0.4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22"/>
      <c r="Q619" s="122"/>
      <c r="R619" s="122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26"/>
      <c r="AH619" s="15"/>
      <c r="AL619" s="117"/>
      <c r="AM619" s="116"/>
      <c r="AN619" s="116"/>
      <c r="AO619" s="116"/>
    </row>
    <row r="620" spans="1:41" ht="19.5" x14ac:dyDescent="0.4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22"/>
      <c r="Q620" s="122"/>
      <c r="R620" s="122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26"/>
      <c r="AH620" s="15"/>
      <c r="AL620" s="117"/>
      <c r="AM620" s="116"/>
      <c r="AN620" s="116"/>
      <c r="AO620" s="116"/>
    </row>
    <row r="621" spans="1:41" ht="19.5" x14ac:dyDescent="0.4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22"/>
      <c r="Q621" s="122"/>
      <c r="R621" s="122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26"/>
      <c r="AH621" s="15"/>
      <c r="AL621" s="117"/>
      <c r="AM621" s="116"/>
      <c r="AN621" s="116"/>
      <c r="AO621" s="116"/>
    </row>
    <row r="622" spans="1:41" ht="19.5" x14ac:dyDescent="0.4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22"/>
      <c r="Q622" s="122"/>
      <c r="R622" s="122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7"/>
      <c r="AH622" s="15"/>
      <c r="AL622" s="117"/>
      <c r="AM622" s="116"/>
      <c r="AN622" s="116"/>
      <c r="AO622" s="116"/>
    </row>
    <row r="623" spans="1:41" ht="19.5" x14ac:dyDescent="0.4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22"/>
      <c r="Q623" s="122"/>
      <c r="R623" s="122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26"/>
      <c r="AH623" s="15"/>
      <c r="AL623" s="117"/>
      <c r="AM623" s="116"/>
      <c r="AN623" s="116"/>
      <c r="AO623" s="116"/>
    </row>
    <row r="624" spans="1:41" ht="19.5" x14ac:dyDescent="0.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22"/>
      <c r="Q624" s="122"/>
      <c r="R624" s="122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7"/>
      <c r="AH624" s="15"/>
      <c r="AL624" s="117"/>
      <c r="AM624" s="116"/>
      <c r="AN624" s="116"/>
      <c r="AO624" s="116"/>
    </row>
    <row r="625" spans="1:41" ht="19.5" x14ac:dyDescent="0.4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22"/>
      <c r="Q625" s="122"/>
      <c r="R625" s="122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26"/>
      <c r="AH625" s="15"/>
      <c r="AL625" s="117"/>
      <c r="AM625" s="116"/>
      <c r="AN625" s="116"/>
      <c r="AO625" s="116"/>
    </row>
    <row r="626" spans="1:41" ht="19.5" x14ac:dyDescent="0.4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22"/>
      <c r="Q626" s="122"/>
      <c r="R626" s="122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20"/>
      <c r="AH626" s="15"/>
      <c r="AL626" s="117"/>
      <c r="AM626" s="116"/>
      <c r="AN626" s="116"/>
      <c r="AO626" s="116"/>
    </row>
    <row r="627" spans="1:41" ht="19.5" x14ac:dyDescent="0.4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22"/>
      <c r="Q627" s="122"/>
      <c r="R627" s="122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20"/>
      <c r="AH627" s="15"/>
      <c r="AL627" s="117"/>
      <c r="AM627" s="116"/>
      <c r="AN627" s="116"/>
      <c r="AO627" s="116"/>
    </row>
    <row r="628" spans="1:41" ht="19.5" x14ac:dyDescent="0.4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22"/>
      <c r="Q628" s="122"/>
      <c r="R628" s="122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20"/>
      <c r="AH628" s="15"/>
      <c r="AL628" s="117"/>
      <c r="AM628" s="116"/>
      <c r="AN628" s="116"/>
      <c r="AO628" s="116"/>
    </row>
    <row r="629" spans="1:41" ht="19.5" x14ac:dyDescent="0.4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22"/>
      <c r="Q629" s="122"/>
      <c r="R629" s="122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20"/>
      <c r="AH629" s="15"/>
      <c r="AL629" s="117"/>
      <c r="AM629" s="116"/>
      <c r="AN629" s="116"/>
      <c r="AO629" s="116"/>
    </row>
    <row r="630" spans="1:41" ht="19.5" x14ac:dyDescent="0.4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22"/>
      <c r="Q630" s="122"/>
      <c r="R630" s="122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25"/>
      <c r="AH630" s="15"/>
      <c r="AL630" s="117"/>
      <c r="AM630" s="116"/>
      <c r="AN630" s="116"/>
      <c r="AO630" s="116"/>
    </row>
    <row r="631" spans="1:41" ht="19.5" x14ac:dyDescent="0.4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22"/>
      <c r="Q631" s="122"/>
      <c r="R631" s="122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3"/>
      <c r="AH631" s="15"/>
      <c r="AL631" s="117"/>
      <c r="AM631" s="116"/>
      <c r="AN631" s="116"/>
      <c r="AO631" s="116"/>
    </row>
    <row r="632" spans="1:41" ht="19.5" x14ac:dyDescent="0.4">
      <c r="AG632" s="25"/>
      <c r="AH632" s="15"/>
      <c r="AL632" s="117"/>
      <c r="AM632" s="116"/>
      <c r="AN632" s="116"/>
      <c r="AO632" s="116"/>
    </row>
    <row r="633" spans="1:41" ht="19.5" x14ac:dyDescent="0.4">
      <c r="M633" s="115"/>
      <c r="N633" s="115"/>
      <c r="O633" s="115"/>
      <c r="P633" s="122"/>
      <c r="Q633" s="122"/>
      <c r="R633" s="122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3"/>
      <c r="AH633" s="15"/>
      <c r="AL633" s="117"/>
      <c r="AM633" s="116"/>
      <c r="AN633" s="116"/>
      <c r="AO633" s="116"/>
    </row>
    <row r="634" spans="1:41" ht="19.5" x14ac:dyDescent="0.4"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22"/>
      <c r="Q634" s="122"/>
      <c r="R634" s="122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25"/>
      <c r="AH634" s="15"/>
      <c r="AL634" s="117"/>
      <c r="AM634" s="116"/>
      <c r="AN634" s="116"/>
      <c r="AO634" s="116"/>
    </row>
    <row r="635" spans="1:41" ht="19.5" x14ac:dyDescent="0.4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22"/>
      <c r="Q635" s="122"/>
      <c r="R635" s="122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25"/>
      <c r="AH635" s="15"/>
      <c r="AL635" s="117"/>
      <c r="AM635" s="116"/>
      <c r="AN635" s="116"/>
      <c r="AO635" s="116"/>
    </row>
    <row r="636" spans="1:41" ht="19.5" x14ac:dyDescent="0.4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22"/>
      <c r="Q636" s="122"/>
      <c r="R636" s="122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3"/>
      <c r="AH636" s="15"/>
      <c r="AL636" s="117"/>
      <c r="AM636" s="116"/>
      <c r="AN636" s="116"/>
      <c r="AO636" s="116"/>
    </row>
    <row r="637" spans="1:41" ht="19.5" x14ac:dyDescent="0.4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22"/>
      <c r="Q637" s="122"/>
      <c r="R637" s="122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25"/>
      <c r="AH637" s="15"/>
      <c r="AL637" s="117"/>
      <c r="AM637" s="116"/>
      <c r="AN637" s="116"/>
      <c r="AO637" s="116"/>
    </row>
    <row r="638" spans="1:41" ht="19.5" x14ac:dyDescent="0.4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22"/>
      <c r="Q638" s="122"/>
      <c r="R638" s="122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3"/>
      <c r="AH638" s="15"/>
      <c r="AL638" s="117"/>
      <c r="AM638" s="116"/>
      <c r="AN638" s="116"/>
      <c r="AO638" s="116"/>
    </row>
    <row r="639" spans="1:41" ht="19.5" x14ac:dyDescent="0.4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22"/>
      <c r="Q639" s="122"/>
      <c r="R639" s="122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25"/>
      <c r="AH639" s="15"/>
      <c r="AL639" s="117"/>
      <c r="AM639" s="116"/>
      <c r="AN639" s="116"/>
      <c r="AO639" s="116"/>
    </row>
    <row r="640" spans="1:41" ht="19.5" x14ac:dyDescent="0.4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22"/>
      <c r="Q640" s="122"/>
      <c r="R640" s="122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26"/>
      <c r="AH640" s="15"/>
      <c r="AL640" s="117"/>
      <c r="AM640" s="116"/>
      <c r="AN640" s="116"/>
      <c r="AO640" s="116"/>
    </row>
    <row r="641" spans="1:41" ht="19.5" x14ac:dyDescent="0.4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22"/>
      <c r="Q641" s="122"/>
      <c r="R641" s="122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7"/>
      <c r="AH641" s="13"/>
      <c r="AL641" s="117"/>
      <c r="AM641" s="116"/>
      <c r="AN641" s="116"/>
      <c r="AO641" s="116"/>
    </row>
    <row r="642" spans="1:41" ht="19.5" x14ac:dyDescent="0.4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22"/>
      <c r="Q642" s="122"/>
      <c r="R642" s="122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26"/>
      <c r="AH642" s="13"/>
      <c r="AL642" s="117"/>
      <c r="AM642" s="116"/>
      <c r="AN642" s="116"/>
      <c r="AO642" s="116"/>
    </row>
    <row r="643" spans="1:41" ht="19.5" x14ac:dyDescent="0.4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22"/>
      <c r="Q643" s="122"/>
      <c r="R643" s="122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7"/>
      <c r="AH643" s="13"/>
      <c r="AL643" s="117"/>
      <c r="AM643" s="116"/>
      <c r="AN643" s="116"/>
      <c r="AO643" s="116"/>
    </row>
    <row r="644" spans="1:41" ht="19.5" x14ac:dyDescent="0.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22"/>
      <c r="Q644" s="122"/>
      <c r="R644" s="122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26"/>
      <c r="AH644" s="15"/>
      <c r="AL644" s="117"/>
      <c r="AM644" s="116"/>
      <c r="AN644" s="116"/>
      <c r="AO644" s="116"/>
    </row>
    <row r="645" spans="1:41" ht="19.5" x14ac:dyDescent="0.4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22"/>
      <c r="Q645" s="122"/>
      <c r="R645" s="122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7"/>
      <c r="AH645" s="15"/>
      <c r="AL645" s="117"/>
      <c r="AM645" s="116"/>
      <c r="AN645" s="116"/>
      <c r="AO645" s="116"/>
    </row>
    <row r="646" spans="1:41" ht="19.5" x14ac:dyDescent="0.4">
      <c r="AG646" s="26"/>
      <c r="AH646" s="105"/>
      <c r="AL646" s="117"/>
      <c r="AM646" s="116"/>
      <c r="AN646" s="116"/>
      <c r="AO646" s="116"/>
    </row>
    <row r="647" spans="1:41" ht="19.5" x14ac:dyDescent="0.4">
      <c r="M647" s="115"/>
      <c r="N647" s="115"/>
      <c r="O647" s="115"/>
      <c r="P647" s="122"/>
      <c r="Q647" s="122"/>
      <c r="R647" s="122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7"/>
      <c r="AH647" s="15"/>
      <c r="AL647" s="117"/>
      <c r="AM647" s="116"/>
      <c r="AN647" s="116"/>
      <c r="AO647" s="116"/>
    </row>
    <row r="648" spans="1:41" ht="19.5" x14ac:dyDescent="0.4">
      <c r="J648" s="115"/>
      <c r="K648" s="115"/>
      <c r="L648" s="115"/>
      <c r="M648" s="115"/>
      <c r="N648" s="115"/>
      <c r="O648" s="115"/>
      <c r="P648" s="122"/>
      <c r="Q648" s="122"/>
      <c r="R648" s="122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26"/>
      <c r="AH648" s="15"/>
      <c r="AL648" s="117"/>
      <c r="AM648" s="116"/>
      <c r="AN648" s="116"/>
      <c r="AO648" s="116"/>
    </row>
    <row r="649" spans="1:41" ht="19.5" x14ac:dyDescent="0.4">
      <c r="J649" s="115"/>
      <c r="K649" s="115"/>
      <c r="L649" s="115"/>
      <c r="M649" s="115"/>
      <c r="N649" s="115"/>
      <c r="O649" s="115"/>
      <c r="P649" s="122"/>
      <c r="Q649" s="122"/>
      <c r="R649" s="122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7"/>
      <c r="AH649" s="15"/>
      <c r="AL649" s="117"/>
      <c r="AM649" s="116"/>
      <c r="AN649" s="116"/>
      <c r="AO649" s="116"/>
    </row>
    <row r="650" spans="1:41" ht="19.5" x14ac:dyDescent="0.4"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22"/>
      <c r="Q650" s="122"/>
      <c r="R650" s="122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26"/>
      <c r="AH650" s="15"/>
      <c r="AL650" s="117"/>
      <c r="AM650" s="116"/>
      <c r="AN650" s="116"/>
      <c r="AO650" s="116"/>
    </row>
    <row r="651" spans="1:41" ht="19.5" x14ac:dyDescent="0.4"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22"/>
      <c r="Q651" s="122"/>
      <c r="R651" s="122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7"/>
      <c r="AH651" s="15"/>
      <c r="AL651" s="117"/>
      <c r="AM651" s="116"/>
      <c r="AN651" s="116"/>
      <c r="AO651" s="116"/>
    </row>
    <row r="652" spans="1:41" ht="19.5" x14ac:dyDescent="0.4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22"/>
      <c r="Q652" s="122"/>
      <c r="R652" s="122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26"/>
      <c r="AH652" s="15"/>
      <c r="AL652" s="117"/>
      <c r="AM652" s="116"/>
      <c r="AN652" s="116"/>
      <c r="AO652" s="116"/>
    </row>
    <row r="653" spans="1:41" ht="19.5" x14ac:dyDescent="0.4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22"/>
      <c r="Q653" s="122"/>
      <c r="R653" s="122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26"/>
      <c r="AH653" s="15"/>
      <c r="AL653" s="117"/>
      <c r="AM653" s="116"/>
      <c r="AN653" s="116"/>
      <c r="AO653" s="116"/>
    </row>
    <row r="654" spans="1:41" ht="19.5" x14ac:dyDescent="0.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22"/>
      <c r="Q654" s="122"/>
      <c r="R654" s="122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7"/>
      <c r="AH654" s="15"/>
      <c r="AL654" s="117"/>
      <c r="AM654" s="116"/>
      <c r="AN654" s="116"/>
      <c r="AO654" s="116"/>
    </row>
    <row r="655" spans="1:41" ht="19.5" x14ac:dyDescent="0.4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22"/>
      <c r="Q655" s="122"/>
      <c r="R655" s="122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26"/>
      <c r="AH655" s="15"/>
      <c r="AL655" s="117"/>
      <c r="AM655" s="116"/>
      <c r="AN655" s="116"/>
      <c r="AO655" s="116"/>
    </row>
    <row r="656" spans="1:41" ht="19.5" x14ac:dyDescent="0.4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22"/>
      <c r="Q656" s="122"/>
      <c r="R656" s="122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7"/>
      <c r="AH656" s="15"/>
      <c r="AL656" s="117"/>
      <c r="AM656" s="116"/>
      <c r="AN656" s="116"/>
      <c r="AO656" s="116"/>
    </row>
    <row r="657" spans="2:41" ht="19.5" x14ac:dyDescent="0.4">
      <c r="AG657" s="26"/>
      <c r="AH657" s="15"/>
      <c r="AL657" s="117"/>
      <c r="AM657" s="116"/>
      <c r="AN657" s="116"/>
      <c r="AO657" s="116"/>
    </row>
    <row r="658" spans="2:41" ht="19.5" x14ac:dyDescent="0.4">
      <c r="M658" s="115"/>
      <c r="N658" s="115"/>
      <c r="O658" s="115"/>
      <c r="P658" s="122"/>
      <c r="Q658" s="122"/>
      <c r="R658" s="122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7"/>
      <c r="AH658" s="15"/>
      <c r="AL658" s="117"/>
      <c r="AM658" s="116"/>
      <c r="AN658" s="116"/>
      <c r="AO658" s="116"/>
    </row>
    <row r="659" spans="2:41" ht="19.5" x14ac:dyDescent="0.4">
      <c r="AG659" s="26"/>
      <c r="AH659" s="15"/>
      <c r="AL659" s="117"/>
      <c r="AM659" s="116"/>
      <c r="AN659" s="116"/>
      <c r="AO659" s="116"/>
    </row>
    <row r="660" spans="2:41" ht="19.5" x14ac:dyDescent="0.4">
      <c r="M660" s="115"/>
      <c r="N660" s="115"/>
      <c r="O660" s="115"/>
      <c r="P660" s="122"/>
      <c r="Q660" s="122"/>
      <c r="R660" s="122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7"/>
      <c r="AH660" s="15"/>
      <c r="AL660" s="117"/>
      <c r="AM660" s="116"/>
      <c r="AN660" s="116"/>
      <c r="AO660" s="116"/>
    </row>
    <row r="661" spans="2:41" ht="19.5" x14ac:dyDescent="0.4">
      <c r="AG661" s="26"/>
      <c r="AH661" s="15"/>
      <c r="AL661" s="117"/>
      <c r="AM661" s="116"/>
      <c r="AN661" s="116"/>
      <c r="AO661" s="116"/>
    </row>
    <row r="662" spans="2:41" ht="19.5" x14ac:dyDescent="0.4">
      <c r="M662" s="115"/>
      <c r="N662" s="115"/>
      <c r="O662" s="115"/>
      <c r="P662" s="122"/>
      <c r="Q662" s="122"/>
      <c r="R662" s="122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7"/>
      <c r="AH662" s="15"/>
      <c r="AL662" s="117"/>
      <c r="AM662" s="116"/>
      <c r="AN662" s="116"/>
      <c r="AO662" s="116"/>
    </row>
    <row r="663" spans="2:41" ht="19.5" x14ac:dyDescent="0.4"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22"/>
      <c r="Q663" s="122"/>
      <c r="R663" s="122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26"/>
      <c r="AH663" s="15"/>
      <c r="AL663" s="117"/>
      <c r="AM663" s="116"/>
      <c r="AN663" s="116"/>
      <c r="AO663" s="116"/>
    </row>
    <row r="664" spans="2:41" ht="19.5" x14ac:dyDescent="0.4"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22"/>
      <c r="Q664" s="122"/>
      <c r="R664" s="122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7"/>
      <c r="AH664" s="15"/>
      <c r="AL664" s="117"/>
      <c r="AM664" s="116"/>
      <c r="AN664" s="116"/>
      <c r="AO664" s="116"/>
    </row>
    <row r="665" spans="2:41" ht="19.5" x14ac:dyDescent="0.4"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22"/>
      <c r="Q665" s="122"/>
      <c r="R665" s="122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26"/>
      <c r="AH665" s="15"/>
      <c r="AL665" s="117"/>
      <c r="AM665" s="116"/>
      <c r="AN665" s="116"/>
      <c r="AO665" s="116"/>
    </row>
    <row r="666" spans="2:41" ht="19.5" x14ac:dyDescent="0.4">
      <c r="AG666" s="26"/>
      <c r="AH666" s="15"/>
      <c r="AL666" s="117"/>
      <c r="AM666" s="116"/>
      <c r="AN666" s="116"/>
      <c r="AO666" s="116"/>
    </row>
    <row r="667" spans="2:41" ht="19.5" x14ac:dyDescent="0.4">
      <c r="M667" s="115"/>
      <c r="N667" s="115"/>
      <c r="O667" s="115"/>
      <c r="P667" s="122"/>
      <c r="Q667" s="122"/>
      <c r="R667" s="122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7"/>
      <c r="AH667" s="15"/>
      <c r="AL667" s="117"/>
      <c r="AM667" s="116"/>
      <c r="AN667" s="116"/>
      <c r="AO667" s="116"/>
    </row>
    <row r="668" spans="2:41" ht="19.5" x14ac:dyDescent="0.4">
      <c r="K668" s="115"/>
      <c r="L668" s="115"/>
      <c r="M668" s="115"/>
      <c r="N668" s="115"/>
      <c r="O668" s="115"/>
      <c r="P668" s="122"/>
      <c r="Q668" s="122"/>
      <c r="R668" s="122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26"/>
      <c r="AH668" s="15"/>
      <c r="AL668" s="117"/>
      <c r="AM668" s="116"/>
      <c r="AN668" s="116"/>
      <c r="AO668" s="116"/>
    </row>
    <row r="669" spans="2:41" ht="19.5" x14ac:dyDescent="0.4">
      <c r="K669" s="115"/>
      <c r="L669" s="115"/>
      <c r="M669" s="115"/>
      <c r="N669" s="115"/>
      <c r="O669" s="115"/>
      <c r="P669" s="122"/>
      <c r="Q669" s="122"/>
      <c r="R669" s="122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7"/>
      <c r="AH669" s="13"/>
      <c r="AL669" s="117"/>
      <c r="AM669" s="116"/>
      <c r="AN669" s="116"/>
      <c r="AO669" s="116"/>
    </row>
    <row r="670" spans="2:41" ht="19.5" x14ac:dyDescent="0.4">
      <c r="J670" s="115"/>
      <c r="K670" s="115"/>
      <c r="L670" s="115"/>
      <c r="M670" s="115"/>
      <c r="N670" s="115"/>
      <c r="O670" s="115"/>
      <c r="P670" s="122"/>
      <c r="Q670" s="122"/>
      <c r="R670" s="122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26"/>
      <c r="AH670" s="13"/>
      <c r="AL670" s="117"/>
      <c r="AM670" s="116"/>
      <c r="AN670" s="116"/>
      <c r="AO670" s="116"/>
    </row>
    <row r="671" spans="2:41" ht="19.5" x14ac:dyDescent="0.4">
      <c r="J671" s="115"/>
      <c r="K671" s="115"/>
      <c r="L671" s="115"/>
      <c r="M671" s="115"/>
      <c r="N671" s="115"/>
      <c r="O671" s="115"/>
      <c r="P671" s="122"/>
      <c r="Q671" s="122"/>
      <c r="R671" s="122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7"/>
      <c r="AH671" s="13"/>
      <c r="AL671" s="117"/>
      <c r="AM671" s="116"/>
      <c r="AN671" s="116"/>
      <c r="AO671" s="116"/>
    </row>
    <row r="672" spans="2:41" ht="19.5" x14ac:dyDescent="0.4"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22"/>
      <c r="Q672" s="122"/>
      <c r="R672" s="122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26"/>
      <c r="AH672" s="15"/>
      <c r="AL672" s="117"/>
      <c r="AM672" s="116"/>
      <c r="AN672" s="116"/>
      <c r="AO672" s="116"/>
    </row>
    <row r="673" spans="1:41" ht="19.5" x14ac:dyDescent="0.4"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22"/>
      <c r="Q673" s="122"/>
      <c r="R673" s="122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7"/>
      <c r="AH673" s="15"/>
      <c r="AL673" s="117"/>
      <c r="AM673" s="116"/>
      <c r="AN673" s="116"/>
      <c r="AO673" s="116"/>
    </row>
    <row r="674" spans="1:41" ht="19.5" x14ac:dyDescent="0.4"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22"/>
      <c r="Q674" s="122"/>
      <c r="R674" s="122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26"/>
      <c r="AH674" s="105"/>
      <c r="AL674" s="117"/>
      <c r="AM674" s="116"/>
      <c r="AN674" s="116"/>
      <c r="AO674" s="116"/>
    </row>
    <row r="675" spans="1:41" ht="19.5" x14ac:dyDescent="0.4"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22"/>
      <c r="Q675" s="122"/>
      <c r="R675" s="122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7"/>
      <c r="AH675" s="15"/>
      <c r="AL675" s="117"/>
      <c r="AM675" s="116"/>
      <c r="AN675" s="116"/>
      <c r="AO675" s="116"/>
    </row>
    <row r="676" spans="1:41" ht="19.5" x14ac:dyDescent="0.4"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22"/>
      <c r="Q676" s="122"/>
      <c r="R676" s="122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26"/>
      <c r="AH676" s="15"/>
      <c r="AL676" s="117"/>
      <c r="AM676" s="116"/>
      <c r="AN676" s="116"/>
      <c r="AO676" s="116"/>
    </row>
    <row r="677" spans="1:41" ht="19.5" x14ac:dyDescent="0.4"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22"/>
      <c r="Q677" s="122"/>
      <c r="R677" s="122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26"/>
      <c r="AH677" s="15"/>
      <c r="AL677" s="117"/>
      <c r="AM677" s="116"/>
      <c r="AN677" s="116"/>
      <c r="AO677" s="116"/>
    </row>
    <row r="678" spans="1:41" ht="19.5" x14ac:dyDescent="0.4">
      <c r="AG678" s="26"/>
      <c r="AH678" s="15"/>
      <c r="AL678" s="117"/>
      <c r="AM678" s="116"/>
      <c r="AN678" s="116"/>
      <c r="AO678" s="116"/>
    </row>
    <row r="679" spans="1:41" ht="19.5" x14ac:dyDescent="0.4">
      <c r="L679" s="115"/>
      <c r="M679" s="115"/>
      <c r="N679" s="115"/>
      <c r="O679" s="115"/>
      <c r="P679" s="122"/>
      <c r="Q679" s="122"/>
      <c r="R679" s="122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26"/>
      <c r="AH679" s="15"/>
      <c r="AL679" s="117"/>
      <c r="AM679" s="116"/>
      <c r="AN679" s="116"/>
      <c r="AO679" s="116"/>
    </row>
    <row r="680" spans="1:41" ht="19.5" x14ac:dyDescent="0.4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22"/>
      <c r="Q680" s="122"/>
      <c r="R680" s="122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26"/>
      <c r="AH680" s="15"/>
      <c r="AL680" s="117"/>
      <c r="AM680" s="116"/>
      <c r="AN680" s="116"/>
      <c r="AO680" s="116"/>
    </row>
    <row r="681" spans="1:41" ht="19.5" x14ac:dyDescent="0.4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22"/>
      <c r="Q681" s="122"/>
      <c r="R681" s="122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26"/>
      <c r="AH681" s="15"/>
      <c r="AL681" s="117"/>
      <c r="AM681" s="116"/>
      <c r="AN681" s="116"/>
      <c r="AO681" s="116"/>
    </row>
    <row r="682" spans="1:41" ht="19.5" x14ac:dyDescent="0.4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22"/>
      <c r="Q682" s="122"/>
      <c r="R682" s="122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7"/>
      <c r="AH682" s="15"/>
      <c r="AL682" s="117"/>
      <c r="AM682" s="116"/>
      <c r="AN682" s="116"/>
      <c r="AO682" s="116"/>
    </row>
    <row r="683" spans="1:41" ht="19.5" x14ac:dyDescent="0.4">
      <c r="AG683" s="26"/>
      <c r="AH683" s="15"/>
      <c r="AL683" s="117"/>
      <c r="AM683" s="116"/>
      <c r="AN683" s="116"/>
      <c r="AO683" s="116"/>
    </row>
    <row r="684" spans="1:41" ht="19.5" x14ac:dyDescent="0.4">
      <c r="M684" s="115"/>
      <c r="N684" s="115"/>
      <c r="O684" s="115"/>
      <c r="P684" s="122"/>
      <c r="Q684" s="122"/>
      <c r="R684" s="122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7"/>
      <c r="AH684" s="15"/>
      <c r="AL684" s="117"/>
      <c r="AM684" s="116"/>
      <c r="AN684" s="116"/>
      <c r="AO684" s="116"/>
    </row>
    <row r="685" spans="1:41" ht="19.5" x14ac:dyDescent="0.4">
      <c r="L685" s="115"/>
      <c r="M685" s="115"/>
      <c r="N685" s="115"/>
      <c r="O685" s="115"/>
      <c r="P685" s="122"/>
      <c r="Q685" s="122"/>
      <c r="R685" s="122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26"/>
      <c r="AH685" s="15"/>
      <c r="AL685" s="117"/>
      <c r="AM685" s="116"/>
      <c r="AN685" s="116"/>
      <c r="AO685" s="116"/>
    </row>
    <row r="686" spans="1:41" ht="19.5" x14ac:dyDescent="0.4"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22"/>
      <c r="Q686" s="122"/>
      <c r="R686" s="122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26"/>
      <c r="AH686" s="15"/>
      <c r="AL686" s="117"/>
      <c r="AM686" s="116"/>
      <c r="AN686" s="116"/>
      <c r="AO686" s="116"/>
    </row>
    <row r="687" spans="1:41" ht="19.5" x14ac:dyDescent="0.4"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22"/>
      <c r="Q687" s="122"/>
      <c r="R687" s="122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26"/>
      <c r="AH687" s="15"/>
      <c r="AL687" s="117"/>
      <c r="AM687" s="116"/>
      <c r="AN687" s="116"/>
      <c r="AO687" s="116"/>
    </row>
    <row r="688" spans="1:41" ht="19.5" x14ac:dyDescent="0.4"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22"/>
      <c r="Q688" s="122"/>
      <c r="R688" s="122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26"/>
      <c r="AH688" s="15"/>
      <c r="AL688" s="117"/>
      <c r="AM688" s="116"/>
      <c r="AN688" s="116"/>
      <c r="AO688" s="116"/>
    </row>
    <row r="689" spans="1:41" ht="19.5" x14ac:dyDescent="0.4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22"/>
      <c r="Q689" s="122"/>
      <c r="R689" s="122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26"/>
      <c r="AH689" s="15"/>
      <c r="AL689" s="117"/>
      <c r="AM689" s="116"/>
      <c r="AN689" s="116"/>
      <c r="AO689" s="116"/>
    </row>
    <row r="690" spans="1:41" ht="19.5" x14ac:dyDescent="0.4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22"/>
      <c r="Q690" s="122"/>
      <c r="R690" s="122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26"/>
      <c r="AH690" s="15"/>
      <c r="AL690" s="117"/>
      <c r="AM690" s="116"/>
      <c r="AN690" s="116"/>
      <c r="AO690" s="116"/>
    </row>
    <row r="691" spans="1:41" ht="19.5" x14ac:dyDescent="0.4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22"/>
      <c r="Q691" s="122"/>
      <c r="R691" s="122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7"/>
      <c r="AH691" s="15"/>
      <c r="AL691" s="117"/>
      <c r="AM691" s="116"/>
      <c r="AN691" s="116"/>
      <c r="AO691" s="116"/>
    </row>
    <row r="692" spans="1:41" ht="19.5" x14ac:dyDescent="0.4">
      <c r="AG692" s="26"/>
      <c r="AH692" s="15"/>
      <c r="AL692" s="117"/>
      <c r="AM692" s="116"/>
      <c r="AN692" s="116"/>
      <c r="AO692" s="116"/>
    </row>
    <row r="693" spans="1:41" ht="19.5" x14ac:dyDescent="0.4">
      <c r="M693" s="115"/>
      <c r="N693" s="115"/>
      <c r="O693" s="115"/>
      <c r="P693" s="122"/>
      <c r="Q693" s="122"/>
      <c r="R693" s="122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7"/>
      <c r="AH693" s="13"/>
      <c r="AL693" s="117"/>
      <c r="AM693" s="116"/>
      <c r="AN693" s="116"/>
      <c r="AO693" s="116"/>
    </row>
    <row r="694" spans="1:41" ht="19.5" x14ac:dyDescent="0.4">
      <c r="M694" s="115"/>
      <c r="N694" s="115"/>
      <c r="O694" s="115"/>
      <c r="P694" s="122"/>
      <c r="Q694" s="122"/>
      <c r="R694" s="122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7"/>
      <c r="AH694" s="13"/>
      <c r="AL694" s="117"/>
      <c r="AM694" s="116"/>
      <c r="AN694" s="116"/>
      <c r="AO694" s="116"/>
    </row>
    <row r="695" spans="1:41" ht="19.5" x14ac:dyDescent="0.4">
      <c r="AG695" s="26"/>
      <c r="AH695" s="13"/>
      <c r="AL695" s="117"/>
      <c r="AM695" s="116"/>
      <c r="AN695" s="116"/>
      <c r="AO695" s="116"/>
    </row>
    <row r="696" spans="1:41" ht="19.5" x14ac:dyDescent="0.4">
      <c r="AG696" s="26"/>
      <c r="AH696" s="13"/>
      <c r="AL696" s="116"/>
      <c r="AM696" s="116"/>
      <c r="AN696" s="116"/>
      <c r="AO696" s="116"/>
    </row>
    <row r="697" spans="1:41" ht="19.5" x14ac:dyDescent="0.4"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22"/>
      <c r="Q697" s="122"/>
      <c r="R697" s="122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26"/>
      <c r="AH697" s="13"/>
      <c r="AL697" s="118"/>
      <c r="AM697" s="118"/>
      <c r="AN697" s="118"/>
      <c r="AO697" s="118"/>
    </row>
    <row r="698" spans="1:41" ht="19.5" x14ac:dyDescent="0.4"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22"/>
      <c r="Q698" s="122"/>
      <c r="R698" s="122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26"/>
      <c r="AH698" s="13"/>
      <c r="AL698" s="118"/>
      <c r="AM698" s="118"/>
      <c r="AN698" s="118"/>
      <c r="AO698" s="118"/>
    </row>
    <row r="699" spans="1:41" ht="19.5" x14ac:dyDescent="0.4"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22"/>
      <c r="Q699" s="122"/>
      <c r="R699" s="122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26"/>
      <c r="AH699" s="13"/>
      <c r="AL699" s="118"/>
      <c r="AM699" s="118"/>
      <c r="AN699" s="118"/>
      <c r="AO699" s="118"/>
    </row>
    <row r="700" spans="1:41" ht="19.5" x14ac:dyDescent="0.4"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22"/>
      <c r="Q700" s="122"/>
      <c r="R700" s="122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26"/>
      <c r="AH700" s="15"/>
      <c r="AL700" s="118"/>
      <c r="AM700" s="118"/>
      <c r="AN700" s="118"/>
      <c r="AO700" s="118"/>
    </row>
    <row r="701" spans="1:41" ht="19.5" x14ac:dyDescent="0.4"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22"/>
      <c r="Q701" s="122"/>
      <c r="R701" s="122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26"/>
      <c r="AH701" s="15"/>
      <c r="AL701" s="118"/>
      <c r="AM701" s="118"/>
      <c r="AN701" s="118"/>
      <c r="AO701" s="118"/>
    </row>
    <row r="702" spans="1:41" ht="19.5" x14ac:dyDescent="0.4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22"/>
      <c r="Q702" s="122"/>
      <c r="R702" s="122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26"/>
      <c r="AH702" s="15"/>
      <c r="AL702" s="118"/>
      <c r="AM702" s="118"/>
      <c r="AN702" s="118"/>
      <c r="AO702" s="118"/>
    </row>
    <row r="703" spans="1:41" ht="19.5" x14ac:dyDescent="0.4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22"/>
      <c r="Q703" s="122"/>
      <c r="R703" s="122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26"/>
      <c r="AH703" s="15"/>
      <c r="AL703" s="118"/>
      <c r="AM703" s="118"/>
      <c r="AN703" s="118"/>
      <c r="AO703" s="118"/>
    </row>
    <row r="704" spans="1:41" ht="20.25" customHeight="1" x14ac:dyDescent="0.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22"/>
      <c r="Q704" s="122"/>
      <c r="R704" s="122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26"/>
      <c r="AH704" s="15"/>
      <c r="AL704" s="118"/>
      <c r="AM704" s="118"/>
      <c r="AN704" s="118"/>
      <c r="AO704" s="118"/>
    </row>
    <row r="705" spans="3:34" x14ac:dyDescent="0.4">
      <c r="AG705" s="26"/>
      <c r="AH705" s="15"/>
    </row>
    <row r="706" spans="3:34" x14ac:dyDescent="0.4">
      <c r="AG706" s="26"/>
      <c r="AH706" s="13"/>
    </row>
    <row r="707" spans="3:34" x14ac:dyDescent="0.4">
      <c r="K707" s="115"/>
      <c r="L707" s="115"/>
      <c r="M707" s="115"/>
      <c r="N707" s="115"/>
      <c r="O707" s="115"/>
      <c r="P707" s="122"/>
      <c r="Q707" s="122"/>
      <c r="R707" s="122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26"/>
      <c r="AH707" s="13"/>
    </row>
    <row r="708" spans="3:34" x14ac:dyDescent="0.4">
      <c r="K708" s="115"/>
      <c r="L708" s="115"/>
      <c r="M708" s="115"/>
      <c r="N708" s="115"/>
      <c r="O708" s="115"/>
      <c r="P708" s="122"/>
      <c r="Q708" s="122"/>
      <c r="R708" s="122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7"/>
      <c r="AH708" s="13"/>
    </row>
    <row r="709" spans="3:34" x14ac:dyDescent="0.4"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22"/>
      <c r="Q709" s="122"/>
      <c r="R709" s="122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26"/>
      <c r="AH709" s="13"/>
    </row>
    <row r="710" spans="3:34" x14ac:dyDescent="0.4"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22"/>
      <c r="Q710" s="122"/>
      <c r="R710" s="122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26"/>
      <c r="AH710" s="13"/>
    </row>
    <row r="711" spans="3:34" x14ac:dyDescent="0.4">
      <c r="AG711" s="26"/>
      <c r="AH711" s="13"/>
    </row>
    <row r="712" spans="3:34" x14ac:dyDescent="0.4"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22"/>
      <c r="Q712" s="122"/>
      <c r="R712" s="122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26"/>
      <c r="AH712" s="13"/>
    </row>
    <row r="713" spans="3:34" x14ac:dyDescent="0.4"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22"/>
      <c r="Q713" s="122"/>
      <c r="R713" s="122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26"/>
      <c r="AH713" s="13"/>
    </row>
    <row r="714" spans="3:34" x14ac:dyDescent="0.4">
      <c r="AG714" s="26"/>
      <c r="AH714" s="13"/>
    </row>
    <row r="715" spans="3:34" x14ac:dyDescent="0.4"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22"/>
      <c r="Q715" s="122"/>
      <c r="R715" s="122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26"/>
      <c r="AH715" s="13"/>
    </row>
    <row r="716" spans="3:34" x14ac:dyDescent="0.4">
      <c r="AG716" s="26"/>
      <c r="AH716" s="13"/>
    </row>
    <row r="717" spans="3:34" x14ac:dyDescent="0.4">
      <c r="J717" s="115"/>
      <c r="K717" s="115"/>
      <c r="L717" s="115"/>
      <c r="M717" s="115"/>
      <c r="N717" s="115"/>
      <c r="O717" s="115"/>
      <c r="P717" s="122"/>
      <c r="Q717" s="122"/>
      <c r="R717" s="122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26"/>
      <c r="AH717" s="13"/>
    </row>
    <row r="718" spans="3:34" x14ac:dyDescent="0.4">
      <c r="AG718" s="26"/>
      <c r="AH718" s="13"/>
    </row>
    <row r="719" spans="3:34" x14ac:dyDescent="0.4"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22"/>
      <c r="Q719" s="122"/>
      <c r="R719" s="122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26"/>
      <c r="AH719" s="15"/>
    </row>
    <row r="720" spans="3:34" x14ac:dyDescent="0.4"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22"/>
      <c r="Q720" s="122"/>
      <c r="R720" s="122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26"/>
      <c r="AH720" s="15"/>
    </row>
    <row r="721" spans="1:34" x14ac:dyDescent="0.4"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22"/>
      <c r="Q721" s="122"/>
      <c r="R721" s="122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26"/>
      <c r="AH721" s="15"/>
    </row>
    <row r="722" spans="1:34" x14ac:dyDescent="0.4">
      <c r="AG722" s="26"/>
      <c r="AH722" s="13"/>
    </row>
    <row r="723" spans="1:34" x14ac:dyDescent="0.4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22"/>
      <c r="Q723" s="122"/>
      <c r="R723" s="122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26"/>
      <c r="AH723" s="15"/>
    </row>
    <row r="724" spans="1:34" x14ac:dyDescent="0.4">
      <c r="AG724" s="26"/>
      <c r="AH724" s="15"/>
    </row>
    <row r="725" spans="1:34" x14ac:dyDescent="0.4">
      <c r="AG725" s="26"/>
      <c r="AH725" s="15"/>
    </row>
    <row r="726" spans="1:34" x14ac:dyDescent="0.4"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22"/>
      <c r="Q726" s="122"/>
      <c r="R726" s="122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26"/>
      <c r="AH726" s="15"/>
    </row>
    <row r="727" spans="1:34" x14ac:dyDescent="0.4"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22"/>
      <c r="Q727" s="122"/>
      <c r="R727" s="122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26"/>
      <c r="AH727" s="15"/>
    </row>
    <row r="728" spans="1:34" x14ac:dyDescent="0.4">
      <c r="AG728" s="26"/>
      <c r="AH728" s="15"/>
    </row>
    <row r="729" spans="1:34" x14ac:dyDescent="0.4">
      <c r="I729" s="115"/>
      <c r="J729" s="115"/>
      <c r="K729" s="115"/>
      <c r="L729" s="115"/>
      <c r="M729" s="115"/>
      <c r="N729" s="115"/>
      <c r="O729" s="115"/>
      <c r="P729" s="122"/>
      <c r="Q729" s="122"/>
      <c r="R729" s="122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26"/>
      <c r="AH729" s="15"/>
    </row>
    <row r="730" spans="1:34" x14ac:dyDescent="0.4"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22"/>
      <c r="Q730" s="122"/>
      <c r="R730" s="122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26"/>
      <c r="AH730" s="15"/>
    </row>
    <row r="731" spans="1:34" x14ac:dyDescent="0.4"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22"/>
      <c r="Q731" s="122"/>
      <c r="R731" s="122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26"/>
      <c r="AH731" s="15"/>
    </row>
    <row r="732" spans="1:34" x14ac:dyDescent="0.4"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22"/>
      <c r="Q732" s="122"/>
      <c r="R732" s="122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26"/>
      <c r="AH732" s="15"/>
    </row>
    <row r="733" spans="1:34" x14ac:dyDescent="0.4"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22"/>
      <c r="Q733" s="122"/>
      <c r="R733" s="122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26"/>
      <c r="AH733" s="15"/>
    </row>
    <row r="734" spans="1:34" x14ac:dyDescent="0.4">
      <c r="AG734" s="26"/>
      <c r="AH734" s="15"/>
    </row>
    <row r="735" spans="1:34" x14ac:dyDescent="0.4">
      <c r="L735" s="115"/>
      <c r="M735" s="115"/>
      <c r="N735" s="115"/>
      <c r="O735" s="115"/>
      <c r="P735" s="122"/>
      <c r="Q735" s="122"/>
      <c r="R735" s="122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7"/>
      <c r="AH735" s="15"/>
    </row>
    <row r="736" spans="1:34" x14ac:dyDescent="0.4">
      <c r="AG736" s="26"/>
      <c r="AH736" s="15"/>
    </row>
    <row r="737" spans="1:34" x14ac:dyDescent="0.4">
      <c r="J737" s="115"/>
      <c r="K737" s="115"/>
      <c r="L737" s="115"/>
      <c r="M737" s="115"/>
      <c r="N737" s="115"/>
      <c r="O737" s="115"/>
      <c r="P737" s="122"/>
      <c r="Q737" s="122"/>
      <c r="R737" s="122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26"/>
      <c r="AH737" s="15"/>
    </row>
    <row r="738" spans="1:34" x14ac:dyDescent="0.4">
      <c r="AG738" s="26"/>
      <c r="AH738" s="15"/>
    </row>
    <row r="739" spans="1:34" x14ac:dyDescent="0.4">
      <c r="AG739" s="26"/>
      <c r="AH739" s="15"/>
    </row>
    <row r="740" spans="1:34" x14ac:dyDescent="0.4"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22"/>
      <c r="Q740" s="122"/>
      <c r="R740" s="122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26"/>
      <c r="AH740" s="15"/>
    </row>
    <row r="741" spans="1:34" x14ac:dyDescent="0.4"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22"/>
      <c r="Q741" s="122"/>
      <c r="R741" s="122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26"/>
      <c r="AH741" s="15"/>
    </row>
    <row r="742" spans="1:34" x14ac:dyDescent="0.4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22"/>
      <c r="Q742" s="122"/>
      <c r="R742" s="122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26"/>
      <c r="AH742" s="15"/>
    </row>
    <row r="743" spans="1:34" x14ac:dyDescent="0.4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22"/>
      <c r="Q743" s="122"/>
      <c r="R743" s="122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26"/>
      <c r="AH743" s="15"/>
    </row>
    <row r="744" spans="1:34" x14ac:dyDescent="0.4">
      <c r="AG744" s="26"/>
      <c r="AH744" s="15"/>
    </row>
    <row r="745" spans="1:34" x14ac:dyDescent="0.4">
      <c r="L745" s="115"/>
      <c r="M745" s="115"/>
      <c r="N745" s="115"/>
      <c r="O745" s="115"/>
      <c r="P745" s="122"/>
      <c r="Q745" s="122"/>
      <c r="R745" s="122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7"/>
      <c r="AH745" s="15"/>
    </row>
    <row r="746" spans="1:34" x14ac:dyDescent="0.4">
      <c r="AG746" s="26"/>
      <c r="AH746" s="15"/>
    </row>
    <row r="747" spans="1:34" x14ac:dyDescent="0.4"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22"/>
      <c r="Q747" s="122"/>
      <c r="R747" s="122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26"/>
      <c r="AH747" s="15"/>
    </row>
    <row r="748" spans="1:34" x14ac:dyDescent="0.4"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22"/>
      <c r="Q748" s="122"/>
      <c r="R748" s="122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26"/>
      <c r="AH748" s="15"/>
    </row>
    <row r="749" spans="1:34" x14ac:dyDescent="0.4"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22"/>
      <c r="Q749" s="122"/>
      <c r="R749" s="122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7"/>
      <c r="AH749" s="15"/>
    </row>
    <row r="750" spans="1:34" x14ac:dyDescent="0.4">
      <c r="AG750" s="26"/>
      <c r="AH750" s="15"/>
    </row>
    <row r="751" spans="1:34" x14ac:dyDescent="0.4"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22"/>
      <c r="Q751" s="122"/>
      <c r="R751" s="122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26"/>
      <c r="AH751" s="15"/>
    </row>
    <row r="752" spans="1:34" x14ac:dyDescent="0.4"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22"/>
      <c r="Q752" s="122"/>
      <c r="R752" s="122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7"/>
      <c r="AH752" s="15"/>
    </row>
    <row r="753" spans="3:34" x14ac:dyDescent="0.4">
      <c r="AG753" s="26"/>
      <c r="AH753" s="15"/>
    </row>
    <row r="754" spans="3:34" x14ac:dyDescent="0.4">
      <c r="L754" s="115"/>
      <c r="M754" s="115"/>
      <c r="N754" s="115"/>
      <c r="O754" s="115"/>
      <c r="P754" s="122"/>
      <c r="Q754" s="122"/>
      <c r="R754" s="122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7"/>
      <c r="AH754" s="15"/>
    </row>
    <row r="755" spans="3:34" x14ac:dyDescent="0.4"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22"/>
      <c r="Q755" s="122"/>
      <c r="R755" s="122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26"/>
      <c r="AH755" s="15"/>
    </row>
    <row r="756" spans="3:34" x14ac:dyDescent="0.4"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22"/>
      <c r="Q756" s="122"/>
      <c r="R756" s="122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7"/>
      <c r="AH756" s="15"/>
    </row>
    <row r="757" spans="3:34" x14ac:dyDescent="0.4">
      <c r="AG757" s="26"/>
      <c r="AH757" s="15"/>
    </row>
    <row r="758" spans="3:34" x14ac:dyDescent="0.4">
      <c r="AG758" s="26"/>
      <c r="AH758" s="15"/>
    </row>
    <row r="759" spans="3:34" x14ac:dyDescent="0.4">
      <c r="K759" s="115"/>
      <c r="L759" s="115"/>
      <c r="M759" s="115"/>
      <c r="N759" s="115"/>
      <c r="O759" s="115"/>
      <c r="P759" s="122"/>
      <c r="Q759" s="122"/>
      <c r="R759" s="122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26"/>
      <c r="AH759" s="15"/>
    </row>
    <row r="760" spans="3:34" x14ac:dyDescent="0.4">
      <c r="I760" s="115"/>
      <c r="J760" s="115"/>
      <c r="K760" s="115"/>
      <c r="L760" s="115"/>
      <c r="M760" s="115"/>
      <c r="N760" s="115"/>
      <c r="O760" s="115"/>
      <c r="P760" s="122"/>
      <c r="Q760" s="122"/>
      <c r="R760" s="122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26"/>
      <c r="AH760" s="15"/>
    </row>
    <row r="761" spans="3:34" x14ac:dyDescent="0.4">
      <c r="I761" s="115"/>
      <c r="J761" s="115"/>
      <c r="K761" s="115"/>
      <c r="L761" s="115"/>
      <c r="M761" s="115"/>
      <c r="N761" s="115"/>
      <c r="O761" s="115"/>
      <c r="P761" s="122"/>
      <c r="Q761" s="122"/>
      <c r="R761" s="122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26"/>
      <c r="AH761" s="15"/>
    </row>
    <row r="762" spans="3:34" x14ac:dyDescent="0.4"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22"/>
      <c r="Q762" s="122"/>
      <c r="R762" s="122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26"/>
      <c r="AH762" s="15"/>
    </row>
    <row r="763" spans="3:34" x14ac:dyDescent="0.4"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22"/>
      <c r="Q763" s="122"/>
      <c r="R763" s="122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26"/>
      <c r="AH763" s="15"/>
    </row>
    <row r="764" spans="3:34" x14ac:dyDescent="0.4">
      <c r="AG764" s="26"/>
      <c r="AH764" s="15"/>
    </row>
    <row r="765" spans="3:34" x14ac:dyDescent="0.4">
      <c r="K765" s="115"/>
      <c r="L765" s="115"/>
      <c r="M765" s="115"/>
      <c r="N765" s="115"/>
      <c r="O765" s="115"/>
      <c r="P765" s="122"/>
      <c r="Q765" s="122"/>
      <c r="R765" s="122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26"/>
      <c r="AH765" s="15"/>
    </row>
    <row r="766" spans="3:34" x14ac:dyDescent="0.4">
      <c r="AG766" s="26"/>
      <c r="AH766" s="15"/>
    </row>
    <row r="767" spans="3:34" x14ac:dyDescent="0.4">
      <c r="L767" s="115"/>
      <c r="M767" s="115"/>
      <c r="N767" s="115"/>
      <c r="O767" s="115"/>
      <c r="P767" s="122"/>
      <c r="Q767" s="122"/>
      <c r="R767" s="122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7"/>
      <c r="AH767" s="15"/>
    </row>
    <row r="768" spans="3:34" x14ac:dyDescent="0.4">
      <c r="K768" s="115"/>
      <c r="L768" s="115"/>
      <c r="M768" s="115"/>
      <c r="N768" s="115"/>
      <c r="O768" s="115"/>
      <c r="P768" s="122"/>
      <c r="Q768" s="122"/>
      <c r="R768" s="122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26"/>
      <c r="AH768" s="15"/>
    </row>
    <row r="769" spans="3:34" x14ac:dyDescent="0.4"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22"/>
      <c r="Q769" s="122"/>
      <c r="R769" s="122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26"/>
      <c r="AH769" s="15"/>
    </row>
    <row r="770" spans="3:34" x14ac:dyDescent="0.4"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22"/>
      <c r="Q770" s="122"/>
      <c r="R770" s="122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7"/>
      <c r="AH770" s="15"/>
    </row>
    <row r="771" spans="3:34" x14ac:dyDescent="0.4">
      <c r="AG771" s="26"/>
      <c r="AH771" s="15"/>
    </row>
    <row r="772" spans="3:34" x14ac:dyDescent="0.4">
      <c r="L772" s="115"/>
      <c r="M772" s="115"/>
      <c r="N772" s="115"/>
      <c r="O772" s="115"/>
      <c r="P772" s="122"/>
      <c r="Q772" s="122"/>
      <c r="R772" s="122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7"/>
      <c r="AH772" s="15"/>
    </row>
    <row r="773" spans="3:34" x14ac:dyDescent="0.4">
      <c r="K773" s="115"/>
      <c r="L773" s="115"/>
      <c r="M773" s="115"/>
      <c r="N773" s="115"/>
      <c r="O773" s="115"/>
      <c r="P773" s="122"/>
      <c r="Q773" s="122"/>
      <c r="R773" s="122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26"/>
      <c r="AH773" s="15"/>
    </row>
    <row r="774" spans="3:34" x14ac:dyDescent="0.4">
      <c r="K774" s="115"/>
      <c r="L774" s="115"/>
      <c r="M774" s="115"/>
      <c r="N774" s="115"/>
      <c r="O774" s="115"/>
      <c r="P774" s="122"/>
      <c r="Q774" s="122"/>
      <c r="R774" s="122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7"/>
      <c r="AH774" s="15"/>
    </row>
    <row r="775" spans="3:34" x14ac:dyDescent="0.4">
      <c r="K775" s="115"/>
      <c r="L775" s="115"/>
      <c r="M775" s="115"/>
      <c r="N775" s="115"/>
      <c r="O775" s="115"/>
      <c r="P775" s="122"/>
      <c r="Q775" s="122"/>
      <c r="R775" s="122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7"/>
      <c r="AH775" s="15"/>
    </row>
    <row r="776" spans="3:34" x14ac:dyDescent="0.4"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22"/>
      <c r="Q776" s="122"/>
      <c r="R776" s="122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26"/>
      <c r="AH776" s="15"/>
    </row>
    <row r="777" spans="3:34" x14ac:dyDescent="0.4"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22"/>
      <c r="Q777" s="122"/>
      <c r="R777" s="122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26"/>
      <c r="AH777" s="15"/>
    </row>
    <row r="778" spans="3:34" x14ac:dyDescent="0.4"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22"/>
      <c r="Q778" s="122"/>
      <c r="R778" s="122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26"/>
      <c r="AH778" s="15"/>
    </row>
    <row r="779" spans="3:34" x14ac:dyDescent="0.4"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22"/>
      <c r="Q779" s="122"/>
      <c r="R779" s="122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26"/>
      <c r="AH779" s="15"/>
    </row>
    <row r="780" spans="3:34" x14ac:dyDescent="0.4"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22"/>
      <c r="Q780" s="122"/>
      <c r="R780" s="122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26"/>
      <c r="AH780" s="15"/>
    </row>
    <row r="781" spans="3:34" x14ac:dyDescent="0.4"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22"/>
      <c r="Q781" s="122"/>
      <c r="R781" s="122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7"/>
      <c r="AH781" s="15"/>
    </row>
    <row r="782" spans="3:34" x14ac:dyDescent="0.4">
      <c r="AG782" s="26"/>
      <c r="AH782" s="15"/>
    </row>
    <row r="783" spans="3:34" x14ac:dyDescent="0.4">
      <c r="K783" s="115"/>
      <c r="L783" s="115"/>
      <c r="M783" s="115"/>
      <c r="N783" s="115"/>
      <c r="O783" s="115"/>
      <c r="P783" s="122"/>
      <c r="Q783" s="122"/>
      <c r="R783" s="122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7"/>
      <c r="AH783" s="13"/>
    </row>
    <row r="784" spans="3:34" x14ac:dyDescent="0.4">
      <c r="K784" s="115"/>
      <c r="L784" s="115"/>
      <c r="M784" s="115"/>
      <c r="N784" s="115"/>
      <c r="O784" s="115"/>
      <c r="P784" s="122"/>
      <c r="Q784" s="122"/>
      <c r="R784" s="122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7"/>
      <c r="AH784" s="13"/>
    </row>
    <row r="785" spans="3:34" x14ac:dyDescent="0.4">
      <c r="I785" s="115"/>
      <c r="J785" s="115"/>
      <c r="K785" s="115"/>
      <c r="L785" s="115"/>
      <c r="M785" s="115"/>
      <c r="N785" s="115"/>
      <c r="O785" s="115"/>
      <c r="P785" s="122"/>
      <c r="Q785" s="122"/>
      <c r="R785" s="122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26"/>
      <c r="AH785" s="13"/>
    </row>
    <row r="786" spans="3:34" x14ac:dyDescent="0.4">
      <c r="I786" s="115"/>
      <c r="J786" s="115"/>
      <c r="K786" s="115"/>
      <c r="L786" s="115"/>
      <c r="M786" s="115"/>
      <c r="N786" s="115"/>
      <c r="O786" s="115"/>
      <c r="P786" s="122"/>
      <c r="Q786" s="122"/>
      <c r="R786" s="122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7"/>
      <c r="AH786" s="13"/>
    </row>
    <row r="787" spans="3:34" x14ac:dyDescent="0.4">
      <c r="AG787" s="26"/>
      <c r="AH787" s="13"/>
    </row>
    <row r="788" spans="3:34" x14ac:dyDescent="0.4">
      <c r="J788" s="115"/>
      <c r="K788" s="115"/>
      <c r="L788" s="115"/>
      <c r="M788" s="115"/>
      <c r="N788" s="115"/>
      <c r="O788" s="115"/>
      <c r="P788" s="122"/>
      <c r="Q788" s="122"/>
      <c r="R788" s="122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7"/>
      <c r="AH788" s="13"/>
    </row>
    <row r="789" spans="3:34" x14ac:dyDescent="0.4">
      <c r="AG789" s="26"/>
      <c r="AH789" s="13"/>
    </row>
    <row r="790" spans="3:34" x14ac:dyDescent="0.4">
      <c r="AG790" s="26"/>
      <c r="AH790" s="13"/>
    </row>
    <row r="791" spans="3:34" x14ac:dyDescent="0.4"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22"/>
      <c r="Q791" s="122"/>
      <c r="R791" s="122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26"/>
      <c r="AH791" s="13"/>
    </row>
    <row r="792" spans="3:34" x14ac:dyDescent="0.4"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22"/>
      <c r="Q792" s="122"/>
      <c r="R792" s="122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26"/>
      <c r="AH792" s="13"/>
    </row>
    <row r="793" spans="3:34" x14ac:dyDescent="0.4">
      <c r="AG793" s="26"/>
      <c r="AH793" s="13"/>
    </row>
    <row r="794" spans="3:34" x14ac:dyDescent="0.4">
      <c r="AG794" s="26"/>
      <c r="AH794" s="13"/>
    </row>
    <row r="795" spans="3:34" x14ac:dyDescent="0.4"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22"/>
      <c r="Q795" s="122"/>
      <c r="R795" s="122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26"/>
      <c r="AH795" s="13"/>
    </row>
    <row r="796" spans="3:34" x14ac:dyDescent="0.4">
      <c r="AG796" s="26"/>
      <c r="AH796" s="105"/>
    </row>
    <row r="797" spans="3:34" x14ac:dyDescent="0.4"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22"/>
      <c r="Q797" s="122"/>
      <c r="R797" s="122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26"/>
      <c r="AH797" s="15"/>
    </row>
    <row r="798" spans="3:34" x14ac:dyDescent="0.4"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22"/>
      <c r="Q798" s="122"/>
      <c r="R798" s="122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7"/>
      <c r="AH798" s="15"/>
    </row>
    <row r="799" spans="3:34" x14ac:dyDescent="0.4">
      <c r="AG799" s="26"/>
      <c r="AH799" s="15"/>
    </row>
    <row r="800" spans="3:34" x14ac:dyDescent="0.4"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22"/>
      <c r="Q800" s="122"/>
      <c r="R800" s="122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26"/>
      <c r="AH800" s="15"/>
    </row>
    <row r="801" spans="2:34" x14ac:dyDescent="0.4"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22"/>
      <c r="Q801" s="122"/>
      <c r="R801" s="122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26"/>
      <c r="AH801" s="15"/>
    </row>
    <row r="802" spans="2:34" x14ac:dyDescent="0.4"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22"/>
      <c r="Q802" s="122"/>
      <c r="R802" s="122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26"/>
      <c r="AH802" s="13"/>
    </row>
    <row r="803" spans="2:34" x14ac:dyDescent="0.4">
      <c r="AG803" s="26"/>
      <c r="AH803" s="15"/>
    </row>
    <row r="804" spans="2:34" x14ac:dyDescent="0.4"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22"/>
      <c r="Q804" s="122"/>
      <c r="R804" s="122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26"/>
      <c r="AH804" s="15"/>
    </row>
    <row r="805" spans="2:34" x14ac:dyDescent="0.4"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22"/>
      <c r="Q805" s="122"/>
      <c r="R805" s="122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26"/>
      <c r="AH805" s="15"/>
    </row>
    <row r="806" spans="2:34" x14ac:dyDescent="0.4"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22"/>
      <c r="Q806" s="122"/>
      <c r="R806" s="122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26"/>
      <c r="AH806" s="15"/>
    </row>
    <row r="807" spans="2:34" x14ac:dyDescent="0.4"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22"/>
      <c r="Q807" s="122"/>
      <c r="R807" s="122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26"/>
      <c r="AH807" s="15"/>
    </row>
    <row r="808" spans="2:34" x14ac:dyDescent="0.4"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22"/>
      <c r="Q808" s="122"/>
      <c r="R808" s="122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26"/>
      <c r="AH808" s="15"/>
    </row>
    <row r="809" spans="2:34" x14ac:dyDescent="0.4"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22"/>
      <c r="Q809" s="122"/>
      <c r="R809" s="122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26"/>
      <c r="AH809" s="15"/>
    </row>
    <row r="810" spans="2:34" ht="19.5" customHeight="1" x14ac:dyDescent="0.4"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22"/>
      <c r="Q810" s="122"/>
      <c r="R810" s="122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26"/>
      <c r="AH810" s="15"/>
    </row>
    <row r="811" spans="2:34" ht="19.5" customHeight="1" x14ac:dyDescent="0.4"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22"/>
      <c r="Q811" s="122"/>
      <c r="R811" s="122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26"/>
      <c r="AH811" s="15"/>
    </row>
    <row r="812" spans="2:34" x14ac:dyDescent="0.4">
      <c r="AG812" s="26"/>
      <c r="AH812" s="15"/>
    </row>
    <row r="813" spans="2:34" x14ac:dyDescent="0.4"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22"/>
      <c r="Q813" s="122"/>
      <c r="R813" s="122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26"/>
      <c r="AH813" s="15"/>
    </row>
    <row r="814" spans="2:34" x14ac:dyDescent="0.4"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22"/>
      <c r="Q814" s="122"/>
      <c r="R814" s="122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26"/>
      <c r="AH814" s="15"/>
    </row>
    <row r="815" spans="2:34" x14ac:dyDescent="0.4"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22"/>
      <c r="Q815" s="122"/>
      <c r="R815" s="122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7"/>
      <c r="AH815" s="15"/>
    </row>
    <row r="816" spans="2:34" x14ac:dyDescent="0.4">
      <c r="AG816" s="26"/>
      <c r="AH816" s="15"/>
    </row>
    <row r="817" spans="1:34" x14ac:dyDescent="0.4">
      <c r="J817" s="115"/>
      <c r="K817" s="115"/>
      <c r="L817" s="115"/>
      <c r="M817" s="115"/>
      <c r="N817" s="115"/>
      <c r="O817" s="115"/>
      <c r="P817" s="122"/>
      <c r="Q817" s="122"/>
      <c r="R817" s="122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7"/>
      <c r="AH817" s="15"/>
    </row>
    <row r="818" spans="1:34" x14ac:dyDescent="0.4"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22"/>
      <c r="Q818" s="122"/>
      <c r="R818" s="122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26"/>
      <c r="AH818" s="15"/>
    </row>
    <row r="819" spans="1:34" x14ac:dyDescent="0.4">
      <c r="AG819" s="26"/>
      <c r="AH819" s="15"/>
    </row>
    <row r="820" spans="1:34" x14ac:dyDescent="0.4">
      <c r="AG820" s="26"/>
      <c r="AH820" s="15"/>
    </row>
    <row r="821" spans="1:34" x14ac:dyDescent="0.4">
      <c r="I821" s="115"/>
      <c r="J821" s="115"/>
      <c r="K821" s="115"/>
      <c r="L821" s="115"/>
      <c r="M821" s="115"/>
      <c r="N821" s="115"/>
      <c r="O821" s="115"/>
      <c r="P821" s="122"/>
      <c r="Q821" s="122"/>
      <c r="R821" s="122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26"/>
      <c r="AH821" s="15"/>
    </row>
    <row r="822" spans="1:34" x14ac:dyDescent="0.4">
      <c r="AG822" s="26"/>
      <c r="AH822" s="15"/>
    </row>
    <row r="823" spans="1:34" x14ac:dyDescent="0.4">
      <c r="J823" s="115"/>
      <c r="K823" s="115"/>
      <c r="L823" s="115"/>
      <c r="M823" s="115"/>
      <c r="N823" s="115"/>
      <c r="O823" s="115"/>
      <c r="P823" s="122"/>
      <c r="Q823" s="122"/>
      <c r="R823" s="122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7"/>
      <c r="AH823" s="15"/>
    </row>
    <row r="824" spans="1:34" x14ac:dyDescent="0.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22"/>
      <c r="Q824" s="122"/>
      <c r="R824" s="122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26"/>
      <c r="AH824" s="15"/>
    </row>
    <row r="825" spans="1:34" x14ac:dyDescent="0.4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22"/>
      <c r="Q825" s="122"/>
      <c r="R825" s="122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7"/>
      <c r="AH825" s="13"/>
    </row>
    <row r="826" spans="1:34" x14ac:dyDescent="0.4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22"/>
      <c r="Q826" s="122"/>
      <c r="R826" s="122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7"/>
      <c r="AH826" s="13"/>
    </row>
    <row r="827" spans="1:34" x14ac:dyDescent="0.4">
      <c r="AG827" s="26"/>
      <c r="AH827" s="13"/>
    </row>
    <row r="828" spans="1:34" x14ac:dyDescent="0.4"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22"/>
      <c r="Q828" s="122"/>
      <c r="R828" s="122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26"/>
      <c r="AH828" s="15"/>
    </row>
    <row r="829" spans="1:34" x14ac:dyDescent="0.4"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22"/>
      <c r="Q829" s="122"/>
      <c r="R829" s="122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26"/>
      <c r="AH829" s="15"/>
    </row>
    <row r="830" spans="1:34" x14ac:dyDescent="0.4">
      <c r="AG830" s="26"/>
      <c r="AH830" s="15"/>
    </row>
    <row r="831" spans="1:34" x14ac:dyDescent="0.4"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22"/>
      <c r="Q831" s="122"/>
      <c r="R831" s="122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26"/>
      <c r="AH831" s="15"/>
    </row>
    <row r="832" spans="1:34" x14ac:dyDescent="0.4"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22"/>
      <c r="Q832" s="122"/>
      <c r="R832" s="122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26"/>
      <c r="AH832" s="15"/>
    </row>
    <row r="833" spans="1:34" x14ac:dyDescent="0.4"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22"/>
      <c r="Q833" s="122"/>
      <c r="R833" s="122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26"/>
      <c r="AH833" s="15"/>
    </row>
    <row r="834" spans="1:34" x14ac:dyDescent="0.4"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22"/>
      <c r="Q834" s="122"/>
      <c r="R834" s="122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26"/>
      <c r="AH834" s="15"/>
    </row>
    <row r="835" spans="1:34" x14ac:dyDescent="0.4">
      <c r="AG835" s="26"/>
      <c r="AH835" s="15"/>
    </row>
    <row r="836" spans="1:34" x14ac:dyDescent="0.4"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22"/>
      <c r="Q836" s="122"/>
      <c r="R836" s="122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26"/>
      <c r="AH836" s="15"/>
    </row>
    <row r="837" spans="1:34" x14ac:dyDescent="0.4">
      <c r="AG837" s="26"/>
      <c r="AH837" s="15"/>
    </row>
    <row r="838" spans="1:34" x14ac:dyDescent="0.4"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22"/>
      <c r="Q838" s="122"/>
      <c r="R838" s="122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26"/>
      <c r="AH838" s="15"/>
    </row>
    <row r="839" spans="1:34" x14ac:dyDescent="0.4"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22"/>
      <c r="Q839" s="122"/>
      <c r="R839" s="122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26"/>
      <c r="AH839" s="15"/>
    </row>
    <row r="840" spans="1:34" x14ac:dyDescent="0.4"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22"/>
      <c r="Q840" s="122"/>
      <c r="R840" s="122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7"/>
      <c r="AH840" s="15"/>
    </row>
    <row r="841" spans="1:34" x14ac:dyDescent="0.4">
      <c r="AG841" s="26"/>
      <c r="AH841" s="15"/>
    </row>
    <row r="842" spans="1:34" x14ac:dyDescent="0.4">
      <c r="AG842" s="26"/>
      <c r="AH842" s="15"/>
    </row>
    <row r="843" spans="1:34" x14ac:dyDescent="0.4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22"/>
      <c r="Q843" s="122"/>
      <c r="R843" s="122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26"/>
      <c r="AH843" s="15"/>
    </row>
    <row r="844" spans="1:34" x14ac:dyDescent="0.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22"/>
      <c r="Q844" s="122"/>
      <c r="R844" s="122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7"/>
      <c r="AH844" s="15"/>
    </row>
    <row r="845" spans="1:34" x14ac:dyDescent="0.4">
      <c r="AG845" s="26"/>
      <c r="AH845" s="15"/>
    </row>
    <row r="846" spans="1:34" ht="17.25" customHeight="1" x14ac:dyDescent="0.4"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22"/>
      <c r="Q846" s="122"/>
      <c r="R846" s="122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26"/>
      <c r="AH846" s="15"/>
    </row>
    <row r="847" spans="1:34" x14ac:dyDescent="0.4">
      <c r="AG847" s="26"/>
      <c r="AH847" s="15"/>
    </row>
    <row r="848" spans="1:34" x14ac:dyDescent="0.4">
      <c r="I848" s="115"/>
      <c r="J848" s="115"/>
      <c r="K848" s="115"/>
      <c r="L848" s="115"/>
      <c r="M848" s="115"/>
      <c r="N848" s="115"/>
      <c r="O848" s="115"/>
      <c r="P848" s="122"/>
      <c r="Q848" s="122"/>
      <c r="R848" s="122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7"/>
      <c r="AH848" s="15"/>
    </row>
    <row r="849" spans="1:34" ht="16.5" customHeight="1" x14ac:dyDescent="0.4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22"/>
      <c r="Q849" s="122"/>
      <c r="R849" s="122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26"/>
      <c r="AH849" s="15"/>
    </row>
    <row r="850" spans="1:34" ht="22.5" customHeight="1" x14ac:dyDescent="0.4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22"/>
      <c r="Q850" s="122"/>
      <c r="R850" s="122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26"/>
      <c r="AH850" s="15"/>
    </row>
    <row r="851" spans="1:34" x14ac:dyDescent="0.4">
      <c r="AG851" s="26"/>
      <c r="AH851" s="15"/>
    </row>
    <row r="852" spans="1:34" x14ac:dyDescent="0.4">
      <c r="AG852" s="26"/>
      <c r="AH852" s="105"/>
    </row>
    <row r="853" spans="1:34" x14ac:dyDescent="0.4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22"/>
      <c r="Q853" s="122"/>
      <c r="R853" s="122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26"/>
      <c r="AH853" s="15"/>
    </row>
    <row r="854" spans="1:34" x14ac:dyDescent="0.4">
      <c r="AG854" s="26"/>
      <c r="AH854" s="15"/>
    </row>
    <row r="855" spans="1:34" x14ac:dyDescent="0.4">
      <c r="AG855" s="26"/>
      <c r="AH855" s="15"/>
    </row>
    <row r="856" spans="1:34" x14ac:dyDescent="0.4">
      <c r="AG856" s="26"/>
      <c r="AH856" s="15"/>
    </row>
    <row r="857" spans="1:34" x14ac:dyDescent="0.4">
      <c r="AG857" s="26"/>
      <c r="AH857" s="15"/>
    </row>
    <row r="858" spans="1:34" x14ac:dyDescent="0.4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22"/>
      <c r="Q858" s="122"/>
      <c r="R858" s="122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26"/>
      <c r="AH858" s="15"/>
    </row>
    <row r="859" spans="1:34" x14ac:dyDescent="0.4">
      <c r="AG859" s="26"/>
      <c r="AH859" s="15"/>
    </row>
    <row r="860" spans="1:34" x14ac:dyDescent="0.4">
      <c r="AG860" s="26"/>
      <c r="AH860" s="15"/>
    </row>
    <row r="861" spans="1:34" x14ac:dyDescent="0.4">
      <c r="AG861" s="26"/>
      <c r="AH861" s="15"/>
    </row>
    <row r="862" spans="1:34" x14ac:dyDescent="0.4">
      <c r="AG862" s="26"/>
      <c r="AH862" s="15"/>
    </row>
    <row r="863" spans="1:34" ht="18.75" customHeight="1" x14ac:dyDescent="0.4"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22"/>
      <c r="Q863" s="122"/>
      <c r="R863" s="122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26"/>
      <c r="AH863" s="15"/>
    </row>
    <row r="864" spans="1:34" x14ac:dyDescent="0.4">
      <c r="AG864" s="26"/>
      <c r="AH864" s="15"/>
    </row>
    <row r="865" spans="1:34" x14ac:dyDescent="0.4">
      <c r="AG865" s="26"/>
      <c r="AH865" s="15"/>
    </row>
    <row r="866" spans="1:34" x14ac:dyDescent="0.4"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22"/>
      <c r="Q866" s="122"/>
      <c r="R866" s="122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26"/>
      <c r="AH866" s="15"/>
    </row>
    <row r="867" spans="1:34" x14ac:dyDescent="0.4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22"/>
      <c r="Q867" s="122"/>
      <c r="R867" s="122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26"/>
      <c r="AH867" s="15"/>
    </row>
    <row r="868" spans="1:34" x14ac:dyDescent="0.4">
      <c r="AG868" s="26"/>
      <c r="AH868" s="15"/>
    </row>
    <row r="869" spans="1:34" x14ac:dyDescent="0.4">
      <c r="I869" s="115"/>
      <c r="J869" s="115"/>
      <c r="K869" s="115"/>
      <c r="L869" s="115"/>
      <c r="M869" s="115"/>
      <c r="N869" s="115"/>
      <c r="O869" s="115"/>
      <c r="P869" s="122"/>
      <c r="Q869" s="122"/>
      <c r="R869" s="122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7"/>
      <c r="AH869" s="15"/>
    </row>
    <row r="870" spans="1:34" x14ac:dyDescent="0.4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22"/>
      <c r="Q870" s="122"/>
      <c r="R870" s="122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26"/>
      <c r="AH870" s="15"/>
    </row>
    <row r="871" spans="1:34" x14ac:dyDescent="0.4">
      <c r="AG871" s="26"/>
      <c r="AH871" s="15"/>
    </row>
    <row r="872" spans="1:34" x14ac:dyDescent="0.4">
      <c r="I872" s="115"/>
      <c r="J872" s="115"/>
      <c r="K872" s="115"/>
      <c r="L872" s="115"/>
      <c r="M872" s="115"/>
      <c r="N872" s="115"/>
      <c r="O872" s="115"/>
      <c r="P872" s="122"/>
      <c r="Q872" s="122"/>
      <c r="R872" s="122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7"/>
      <c r="AH872" s="15"/>
    </row>
    <row r="873" spans="1:34" x14ac:dyDescent="0.4">
      <c r="AG873" s="26"/>
      <c r="AH873" s="15"/>
    </row>
    <row r="874" spans="1:34" x14ac:dyDescent="0.4"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22"/>
      <c r="Q874" s="122"/>
      <c r="R874" s="122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26"/>
      <c r="AH874" s="15"/>
    </row>
    <row r="875" spans="1:34" x14ac:dyDescent="0.4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22"/>
      <c r="Q875" s="122"/>
      <c r="R875" s="122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26"/>
      <c r="AH875" s="15"/>
    </row>
    <row r="876" spans="1:34" x14ac:dyDescent="0.4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22"/>
      <c r="Q876" s="122"/>
      <c r="R876" s="122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26"/>
      <c r="AH876" s="15"/>
    </row>
    <row r="877" spans="1:34" x14ac:dyDescent="0.4">
      <c r="AG877" s="26"/>
      <c r="AH877" s="15"/>
    </row>
    <row r="878" spans="1:34" x14ac:dyDescent="0.4"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22"/>
      <c r="Q878" s="122"/>
      <c r="R878" s="122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26"/>
      <c r="AH878" s="15"/>
    </row>
    <row r="879" spans="1:34" x14ac:dyDescent="0.4">
      <c r="AG879" s="26"/>
      <c r="AH879" s="15"/>
    </row>
    <row r="880" spans="1:34" x14ac:dyDescent="0.4"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22"/>
      <c r="Q880" s="122"/>
      <c r="R880" s="122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26"/>
      <c r="AH880" s="15"/>
    </row>
    <row r="881" spans="1:34" x14ac:dyDescent="0.4">
      <c r="AG881" s="26"/>
      <c r="AH881" s="15"/>
    </row>
    <row r="882" spans="1:34" x14ac:dyDescent="0.4">
      <c r="AG882" s="26"/>
      <c r="AH882" s="15"/>
    </row>
    <row r="883" spans="1:34" x14ac:dyDescent="0.4">
      <c r="AG883" s="26"/>
      <c r="AH883" s="15"/>
    </row>
    <row r="884" spans="1:34" x14ac:dyDescent="0.4">
      <c r="AG884" s="26"/>
      <c r="AH884" s="15"/>
    </row>
    <row r="885" spans="1:34" x14ac:dyDescent="0.4">
      <c r="AG885" s="26"/>
      <c r="AH885" s="15"/>
    </row>
    <row r="886" spans="1:34" x14ac:dyDescent="0.4">
      <c r="AG886" s="26"/>
      <c r="AH886" s="15"/>
    </row>
    <row r="887" spans="1:34" x14ac:dyDescent="0.4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22"/>
      <c r="Q887" s="122"/>
      <c r="R887" s="122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26"/>
      <c r="AH887" s="15"/>
    </row>
    <row r="888" spans="1:34" x14ac:dyDescent="0.4">
      <c r="AG888" s="26"/>
      <c r="AH888" s="15"/>
    </row>
    <row r="889" spans="1:34" x14ac:dyDescent="0.4">
      <c r="AG889" s="26"/>
      <c r="AH889" s="15"/>
    </row>
    <row r="890" spans="1:34" x14ac:dyDescent="0.4">
      <c r="AG890" s="26"/>
      <c r="AH890" s="15"/>
    </row>
    <row r="891" spans="1:34" x14ac:dyDescent="0.4">
      <c r="AG891" s="26"/>
      <c r="AH891" s="15"/>
    </row>
    <row r="892" spans="1:34" x14ac:dyDescent="0.4">
      <c r="AG892" s="26"/>
      <c r="AH892" s="15"/>
    </row>
    <row r="893" spans="1:34" x14ac:dyDescent="0.4">
      <c r="I893" s="115"/>
      <c r="J893" s="115"/>
      <c r="K893" s="115"/>
      <c r="L893" s="115"/>
      <c r="M893" s="115"/>
      <c r="N893" s="115"/>
      <c r="O893" s="115"/>
      <c r="P893" s="122"/>
      <c r="Q893" s="122"/>
      <c r="R893" s="122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7"/>
      <c r="AH893" s="15"/>
    </row>
    <row r="894" spans="1:34" x14ac:dyDescent="0.4">
      <c r="I894" s="115"/>
      <c r="J894" s="115"/>
      <c r="K894" s="115"/>
      <c r="L894" s="115"/>
      <c r="M894" s="115"/>
      <c r="N894" s="115"/>
      <c r="O894" s="115"/>
      <c r="P894" s="122"/>
      <c r="Q894" s="122"/>
      <c r="R894" s="122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7"/>
      <c r="AH894" s="15"/>
    </row>
    <row r="895" spans="1:34" x14ac:dyDescent="0.4">
      <c r="AG895" s="26"/>
      <c r="AH895" s="15"/>
    </row>
    <row r="896" spans="1:34" x14ac:dyDescent="0.4">
      <c r="AG896" s="26"/>
      <c r="AH896" s="15"/>
    </row>
    <row r="897" spans="1:34" x14ac:dyDescent="0.4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22"/>
      <c r="Q897" s="122"/>
      <c r="R897" s="122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26"/>
      <c r="AH897" s="15"/>
    </row>
    <row r="898" spans="1:34" x14ac:dyDescent="0.4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22"/>
      <c r="Q898" s="122"/>
      <c r="R898" s="122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26"/>
      <c r="AH898" s="13"/>
    </row>
    <row r="899" spans="1:34" x14ac:dyDescent="0.4">
      <c r="AG899" s="26"/>
      <c r="AH899" s="15"/>
    </row>
    <row r="900" spans="1:34" x14ac:dyDescent="0.4"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22"/>
      <c r="Q900" s="122"/>
      <c r="R900" s="122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26"/>
      <c r="AH900" s="15"/>
    </row>
    <row r="901" spans="1:34" x14ac:dyDescent="0.4">
      <c r="AG901" s="26"/>
      <c r="AH901" s="15"/>
    </row>
    <row r="902" spans="1:34" x14ac:dyDescent="0.4">
      <c r="AG902" s="26"/>
      <c r="AH902" s="15"/>
    </row>
    <row r="903" spans="1:34" x14ac:dyDescent="0.4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22"/>
      <c r="Q903" s="122"/>
      <c r="R903" s="122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26"/>
      <c r="AH903" s="15"/>
    </row>
    <row r="904" spans="1:34" x14ac:dyDescent="0.4">
      <c r="AG904" s="26"/>
      <c r="AH904" s="13"/>
    </row>
    <row r="905" spans="1:34" x14ac:dyDescent="0.4">
      <c r="AG905" s="26"/>
      <c r="AH905" s="13"/>
    </row>
    <row r="906" spans="1:34" x14ac:dyDescent="0.4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22"/>
      <c r="Q906" s="122"/>
      <c r="R906" s="122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26"/>
      <c r="AH906" s="13"/>
    </row>
    <row r="907" spans="1:34" x14ac:dyDescent="0.4">
      <c r="AG907" s="26"/>
      <c r="AH907" s="13"/>
    </row>
    <row r="908" spans="1:34" x14ac:dyDescent="0.4">
      <c r="AG908" s="26"/>
      <c r="AH908" s="13"/>
    </row>
    <row r="909" spans="1:34" x14ac:dyDescent="0.4">
      <c r="AG909" s="26"/>
      <c r="AH909" s="13"/>
    </row>
    <row r="910" spans="1:34" x14ac:dyDescent="0.4">
      <c r="AG910" s="26"/>
      <c r="AH910" s="13"/>
    </row>
    <row r="911" spans="1:34" x14ac:dyDescent="0.4">
      <c r="AG911" s="26"/>
      <c r="AH911" s="13"/>
    </row>
    <row r="912" spans="1:34" x14ac:dyDescent="0.4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22"/>
      <c r="Q912" s="122"/>
      <c r="R912" s="122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26"/>
      <c r="AH912" s="25"/>
    </row>
    <row r="913" spans="1:34" x14ac:dyDescent="0.4">
      <c r="AG913" s="26"/>
      <c r="AH913" s="13"/>
    </row>
    <row r="914" spans="1:34" x14ac:dyDescent="0.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22"/>
      <c r="Q914" s="122"/>
      <c r="R914" s="122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26"/>
      <c r="AH914" s="13"/>
    </row>
    <row r="915" spans="1:34" x14ac:dyDescent="0.4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22"/>
      <c r="Q915" s="122"/>
      <c r="R915" s="122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26"/>
      <c r="AH915" s="13"/>
    </row>
    <row r="916" spans="1:34" x14ac:dyDescent="0.4">
      <c r="AG916" s="26"/>
      <c r="AH916" s="15"/>
    </row>
    <row r="917" spans="1:34" x14ac:dyDescent="0.4">
      <c r="AG917" s="26"/>
      <c r="AH917" s="15"/>
    </row>
    <row r="918" spans="1:34" x14ac:dyDescent="0.4">
      <c r="AG918" s="26"/>
      <c r="AH918" s="15"/>
    </row>
    <row r="919" spans="1:34" x14ac:dyDescent="0.4">
      <c r="AG919" s="26"/>
      <c r="AH919" s="13"/>
    </row>
    <row r="920" spans="1:34" x14ac:dyDescent="0.4">
      <c r="AG920" s="26"/>
      <c r="AH920" s="15"/>
    </row>
    <row r="921" spans="1:34" x14ac:dyDescent="0.4"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22"/>
      <c r="Q921" s="122"/>
      <c r="R921" s="122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7"/>
      <c r="AH921" s="15"/>
    </row>
    <row r="922" spans="1:34" x14ac:dyDescent="0.4">
      <c r="AG922" s="26"/>
      <c r="AH922" s="15"/>
    </row>
    <row r="923" spans="1:34" x14ac:dyDescent="0.4"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22"/>
      <c r="Q923" s="122"/>
      <c r="R923" s="122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7"/>
      <c r="AH923" s="15"/>
    </row>
    <row r="924" spans="1:34" x14ac:dyDescent="0.4">
      <c r="AG924" s="26"/>
      <c r="AH924" s="15"/>
    </row>
    <row r="925" spans="1:34" x14ac:dyDescent="0.4">
      <c r="AG925" s="26"/>
      <c r="AH925" s="15"/>
    </row>
    <row r="926" spans="1:34" x14ac:dyDescent="0.4"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22"/>
      <c r="Q926" s="122"/>
      <c r="R926" s="122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7"/>
      <c r="AH926" s="15"/>
    </row>
    <row r="927" spans="1:34" x14ac:dyDescent="0.4">
      <c r="AG927" s="26"/>
      <c r="AH927" s="15"/>
    </row>
    <row r="928" spans="1:34" x14ac:dyDescent="0.4">
      <c r="AG928" s="26"/>
      <c r="AH928" s="15"/>
    </row>
    <row r="929" spans="2:34" x14ac:dyDescent="0.4">
      <c r="AG929" s="26"/>
      <c r="AH929" s="105"/>
    </row>
    <row r="930" spans="2:34" x14ac:dyDescent="0.4">
      <c r="AG930" s="26"/>
      <c r="AH930" s="15"/>
    </row>
    <row r="931" spans="2:34" x14ac:dyDescent="0.4">
      <c r="AG931" s="26"/>
      <c r="AH931" s="15"/>
    </row>
    <row r="932" spans="2:34" x14ac:dyDescent="0.4">
      <c r="AG932" s="26"/>
      <c r="AH932" s="15"/>
    </row>
    <row r="933" spans="2:34" x14ac:dyDescent="0.4">
      <c r="AG933" s="26"/>
      <c r="AH933" s="15"/>
    </row>
    <row r="934" spans="2:34" x14ac:dyDescent="0.4">
      <c r="AG934" s="26"/>
      <c r="AH934" s="15"/>
    </row>
    <row r="935" spans="2:34" x14ac:dyDescent="0.4"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22"/>
      <c r="Q935" s="122"/>
      <c r="R935" s="122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9"/>
      <c r="AH935" s="119"/>
    </row>
    <row r="936" spans="2:34" x14ac:dyDescent="0.4"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22"/>
      <c r="Q936" s="122"/>
      <c r="R936" s="122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9"/>
      <c r="AH936" s="119"/>
    </row>
  </sheetData>
  <sortState xmlns:xlrd2="http://schemas.microsoft.com/office/spreadsheetml/2017/richdata2" ref="I2:J137">
    <sortCondition ref="I2:I137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2024-09-17T05:41:51Z</cp:lastPrinted>
  <dcterms:created xsi:type="dcterms:W3CDTF">2020-05-08T06:29:04Z</dcterms:created>
  <dcterms:modified xsi:type="dcterms:W3CDTF">2024-09-18T01:05:59Z</dcterms:modified>
</cp:coreProperties>
</file>