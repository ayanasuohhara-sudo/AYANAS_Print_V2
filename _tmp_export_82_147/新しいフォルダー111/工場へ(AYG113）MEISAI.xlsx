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FA9D4AC4-ADC5-49D4-8624-1488A18552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3" l="1"/>
  <c r="D23" i="3"/>
  <c r="C23" i="3"/>
  <c r="B23" i="3"/>
  <c r="V175" i="3"/>
  <c r="U175" i="3"/>
  <c r="V173" i="3"/>
  <c r="U173" i="3"/>
  <c r="V170" i="3"/>
  <c r="U170" i="3"/>
  <c r="V165" i="3"/>
  <c r="U165" i="3"/>
  <c r="V163" i="3"/>
  <c r="U163" i="3"/>
  <c r="V152" i="3"/>
  <c r="U152" i="3"/>
  <c r="V131" i="3"/>
  <c r="U131" i="3"/>
  <c r="V102" i="3"/>
  <c r="U102" i="3"/>
  <c r="V73" i="3"/>
  <c r="U73" i="3"/>
  <c r="V68" i="3"/>
  <c r="U68" i="3"/>
  <c r="V62" i="3"/>
  <c r="U62" i="3"/>
  <c r="V60" i="3"/>
  <c r="U60" i="3"/>
  <c r="V44" i="3"/>
  <c r="U44" i="3"/>
  <c r="V36" i="3"/>
  <c r="U36" i="3"/>
  <c r="V32" i="3"/>
  <c r="U32" i="3"/>
  <c r="V16" i="3"/>
  <c r="U16" i="3"/>
  <c r="V14" i="3"/>
  <c r="U14" i="3"/>
  <c r="V10" i="3"/>
  <c r="U10" i="3"/>
  <c r="V8" i="3"/>
  <c r="U8" i="3"/>
  <c r="V3" i="3"/>
  <c r="V176" i="3" s="1"/>
  <c r="U3" i="3"/>
  <c r="U176" i="3" s="1"/>
  <c r="A241" i="1"/>
  <c r="AG589" i="3"/>
  <c r="AE589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BE871" i="3"/>
  <c r="BD871" i="3"/>
  <c r="BE866" i="3"/>
  <c r="BD866" i="3"/>
  <c r="BE864" i="3"/>
  <c r="BD864" i="3"/>
  <c r="BE850" i="3"/>
  <c r="BD850" i="3"/>
  <c r="BE832" i="3"/>
  <c r="BD832" i="3"/>
  <c r="BE821" i="3"/>
  <c r="BD821" i="3"/>
  <c r="BE787" i="3"/>
  <c r="BD787" i="3"/>
  <c r="BE774" i="3"/>
  <c r="BD774" i="3"/>
  <c r="BE736" i="3"/>
  <c r="BD736" i="3"/>
  <c r="BE727" i="3"/>
  <c r="BD727" i="3"/>
  <c r="BE713" i="3"/>
  <c r="BD713" i="3"/>
  <c r="BE680" i="3"/>
  <c r="BD680" i="3"/>
  <c r="BE627" i="3"/>
  <c r="BD627" i="3"/>
  <c r="BE615" i="3"/>
  <c r="BD615" i="3"/>
  <c r="BE592" i="3"/>
  <c r="BD592" i="3"/>
  <c r="BE577" i="3"/>
  <c r="BD577" i="3"/>
  <c r="BE553" i="3"/>
  <c r="BD553" i="3"/>
  <c r="BE535" i="3"/>
  <c r="BD535" i="3"/>
  <c r="BE515" i="3"/>
  <c r="BD515" i="3"/>
  <c r="BE501" i="3"/>
  <c r="BD501" i="3"/>
  <c r="BE492" i="3"/>
  <c r="BD492" i="3"/>
  <c r="BE418" i="3"/>
  <c r="BD418" i="3"/>
  <c r="B61" i="1"/>
  <c r="A151" i="1"/>
  <c r="AB43" i="1"/>
  <c r="BD872" i="3" l="1"/>
  <c r="BE872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<sst xmlns="http://schemas.openxmlformats.org/spreadsheetml/2006/main" count="2687" uniqueCount="385">
  <si>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</si>
  <si>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</si>
  <si>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</si>
  <si>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</si>
  <si>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</si>
  <si>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</si>
  <si>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</si>
  <si>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</si>
  <si>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</si>
  <si>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</si>
  <si>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</si>
  <si>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</si>
  <si>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</si>
  <si>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</si>
  <si>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</si>
  <si>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</si>
  <si>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</si>
  <si>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</si>
  <si>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</si>
  <si>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</si>
  <si>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</si>
  <si>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</si>
  <si>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</si>
  <si>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</si>
  <si>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</si>
  <si>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</si>
  <si>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</si>
  <si>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</si>
  <si>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</si>
  <si>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</si>
  <si>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</si>
  <si>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</si>
  <si>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</si>
  <si>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</si>
  <si>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</si>
  <si>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</si>
  <si>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</si>
  <si>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</si>
  <si>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</si>
  <si>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</si>
  <si>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</si>
  <si>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</si>
  <si>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</si>
  <si>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</si>
  <si>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</si>
  <si>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</si>
  <si>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</si>
  <si>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</si>
  <si>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</si>
  <si>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</si>
  <si>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</si>
  <si>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</si>
  <si>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</si>
  <si>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</si>
  <si>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</si>
  <si>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</si>
  <si>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</si>
  <si>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</si>
  <si>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</si>
  <si>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</si>
  <si>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</si>
  <si>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</si>
  <si>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</si>
  <si>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</si>
  <si>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</si>
  <si>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</si>
  <si>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</si>
  <si>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</si>
  <si>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</si>
  <si>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</si>
  <si>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</si>
  <si>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</si>
  <si>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</si>
  <si>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</si>
  <si>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</si>
  <si>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</si>
  <si>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</si>
  <si>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</si>
  <si>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</si>
  <si>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</si>
  <si>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</si>
  <si>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</si>
  <si>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</si>
  <si>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</si>
  <si>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</si>
  <si>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</si>
  <si>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</si>
  <si>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</si>
  <si>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</si>
  <si>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</si>
  <si>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</si>
  <si>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</si>
  <si>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</si>
  <si>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</si>
  <si>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</si>
  <si>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</si>
  <si>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</si>
  <si>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</si>
  <si>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</si>
  <si>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</si>
  <si>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</si>
  <si>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</si>
  <si>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</si>
  <si>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</si>
  <si>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</si>
  <si>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</si>
  <si>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</si>
  <si>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</si>
  <si>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</si>
  <si>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</si>
  <si>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</si>
  <si>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</si>
  <si>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</si>
  <si>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</si>
  <si>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</si>
  <si>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</si>
  <si>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</si>
  <si>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</si>
  <si>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</si>
  <si>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</si>
  <si>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</si>
  <si>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</si>
  <si>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</si>
  <si>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</si>
  <si>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</si>
  <si>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</si>
  <si>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</si>
  <si>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</si>
  <si>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</si>
  <si>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</si>
  <si>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</si>
  <si>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</si>
  <si>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</si>
  <si>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</si>
  <si>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</si>
  <si>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</si>
  <si>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</si>
  <si>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</si>
  <si>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</si>
  <si>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</si>
  <si>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</si>
  <si>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</si>
  <si>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</si>
  <si>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</si>
  <si>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</si>
  <si>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</si>
  <si>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</si>
  <si>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</si>
  <si>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</si>
  <si>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</si>
  <si>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</si>
  <si>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</si>
  <si>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</si>
  <si>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</si>
  <si>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</si>
  <si>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</si>
  <si>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</si>
  <si>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</si>
  <si>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</si>
  <si>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</si>
  <si>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</si>
  <si>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</si>
  <si>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</si>
  <si>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</si>
  <si>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</si>
  <si>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</si>
  <si>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</si>
  <si>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</si>
  <si>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</si>
  <si>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</si>
  <si>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</si>
  <si>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</si>
  <si>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</si>
  <si>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</si>
  <si>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</si>
  <si>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</si>
  <si>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</si>
  <si>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重量</t>
    <rPh sb="0" eb="2">
      <t>ジュウリョウ</t>
    </rPh>
    <phoneticPr fontId="1"/>
  </si>
  <si>
    <t>AYG108</t>
    <phoneticPr fontId="1"/>
  </si>
  <si>
    <t>M032</t>
    <phoneticPr fontId="1"/>
  </si>
  <si>
    <t>S</t>
    <phoneticPr fontId="1"/>
  </si>
  <si>
    <t>2025/7/27 個数</t>
  </si>
  <si>
    <t>2025/7/28 個数</t>
  </si>
  <si>
    <t>A700</t>
    <phoneticPr fontId="1"/>
  </si>
  <si>
    <t>P</t>
    <phoneticPr fontId="1"/>
  </si>
  <si>
    <t>2025/7/15 個数</t>
  </si>
  <si>
    <t>2025/7/18 個数</t>
  </si>
  <si>
    <t>2025/7/21 個数</t>
  </si>
  <si>
    <t>2025/7/26 個数</t>
  </si>
  <si>
    <t>2025/7/29 個数</t>
  </si>
  <si>
    <t>AYG112</t>
    <phoneticPr fontId="1"/>
  </si>
  <si>
    <t>A913</t>
    <phoneticPr fontId="1"/>
  </si>
  <si>
    <t>A199</t>
    <phoneticPr fontId="1"/>
  </si>
  <si>
    <t>2025/7/22 個数</t>
  </si>
  <si>
    <t>2025/7/30 個数</t>
  </si>
  <si>
    <t>2025/8/2 個数</t>
  </si>
  <si>
    <t>2025/8/3 個数</t>
  </si>
  <si>
    <t>2025/8/8 個数</t>
  </si>
  <si>
    <t>AYG113</t>
    <phoneticPr fontId="1"/>
  </si>
  <si>
    <t>07060388</t>
    <phoneticPr fontId="1"/>
  </si>
  <si>
    <t>M100</t>
    <phoneticPr fontId="1"/>
  </si>
  <si>
    <t>07060391</t>
    <phoneticPr fontId="1"/>
  </si>
  <si>
    <t>07060409</t>
    <phoneticPr fontId="1"/>
  </si>
  <si>
    <t>A740</t>
    <phoneticPr fontId="1"/>
  </si>
  <si>
    <t>07060523</t>
    <phoneticPr fontId="1"/>
  </si>
  <si>
    <t>07060531</t>
    <phoneticPr fontId="1"/>
  </si>
  <si>
    <t>N078</t>
    <phoneticPr fontId="1"/>
  </si>
  <si>
    <t>07060533</t>
    <phoneticPr fontId="1"/>
  </si>
  <si>
    <t>07060535</t>
    <phoneticPr fontId="1"/>
  </si>
  <si>
    <t>M078</t>
    <phoneticPr fontId="1"/>
  </si>
  <si>
    <t>07060410</t>
    <phoneticPr fontId="1"/>
  </si>
  <si>
    <t>07060411</t>
    <phoneticPr fontId="1"/>
  </si>
  <si>
    <t>07060412</t>
  </si>
  <si>
    <t>07060413</t>
  </si>
  <si>
    <t>07060414</t>
  </si>
  <si>
    <t>07060415</t>
  </si>
  <si>
    <t>07060416</t>
  </si>
  <si>
    <t>07060563</t>
    <phoneticPr fontId="1"/>
  </si>
  <si>
    <t>07060417</t>
    <phoneticPr fontId="1"/>
  </si>
  <si>
    <t>07060420</t>
    <phoneticPr fontId="1"/>
  </si>
  <si>
    <t>07060421</t>
  </si>
  <si>
    <t>07060422</t>
  </si>
  <si>
    <t>07060423</t>
  </si>
  <si>
    <t>07060424</t>
  </si>
  <si>
    <t>07060502</t>
    <phoneticPr fontId="1"/>
  </si>
  <si>
    <t>07060503</t>
    <phoneticPr fontId="1"/>
  </si>
  <si>
    <t>07060504</t>
  </si>
  <si>
    <t>07060506</t>
    <phoneticPr fontId="1"/>
  </si>
  <si>
    <t>07060507</t>
    <phoneticPr fontId="1"/>
  </si>
  <si>
    <t>07060539</t>
    <phoneticPr fontId="1"/>
  </si>
  <si>
    <t>07060570</t>
    <phoneticPr fontId="1"/>
  </si>
  <si>
    <t>07060571</t>
    <phoneticPr fontId="1"/>
  </si>
  <si>
    <t>07060572</t>
    <phoneticPr fontId="1"/>
  </si>
  <si>
    <t>07060337</t>
    <phoneticPr fontId="1"/>
  </si>
  <si>
    <t>A505</t>
    <phoneticPr fontId="1"/>
  </si>
  <si>
    <t>A318</t>
    <phoneticPr fontId="1"/>
  </si>
  <si>
    <t>07060472</t>
    <phoneticPr fontId="1"/>
  </si>
  <si>
    <t>07060473</t>
    <phoneticPr fontId="1"/>
  </si>
  <si>
    <t>07060475</t>
    <phoneticPr fontId="1"/>
  </si>
  <si>
    <t>07060476</t>
    <phoneticPr fontId="1"/>
  </si>
  <si>
    <t>A655</t>
    <phoneticPr fontId="1"/>
  </si>
  <si>
    <t>07060576</t>
    <phoneticPr fontId="1"/>
  </si>
  <si>
    <t>07060577</t>
    <phoneticPr fontId="1"/>
  </si>
  <si>
    <t>A850</t>
    <phoneticPr fontId="1"/>
  </si>
  <si>
    <t>07060578</t>
    <phoneticPr fontId="1"/>
  </si>
  <si>
    <t>07060579</t>
    <phoneticPr fontId="1"/>
  </si>
  <si>
    <t>07060480</t>
    <phoneticPr fontId="1"/>
  </si>
  <si>
    <t>07060481</t>
    <phoneticPr fontId="1"/>
  </si>
  <si>
    <t>07060482</t>
    <phoneticPr fontId="1"/>
  </si>
  <si>
    <t>07060580</t>
    <phoneticPr fontId="1"/>
  </si>
  <si>
    <t>A622</t>
    <phoneticPr fontId="1"/>
  </si>
  <si>
    <t>07060590</t>
    <phoneticPr fontId="1"/>
  </si>
  <si>
    <t>07060591</t>
    <phoneticPr fontId="1"/>
  </si>
  <si>
    <t>07060540</t>
    <phoneticPr fontId="1"/>
  </si>
  <si>
    <t>07060541</t>
    <phoneticPr fontId="1"/>
  </si>
  <si>
    <t>07060542</t>
  </si>
  <si>
    <t>07060543</t>
  </si>
  <si>
    <t>07060544</t>
  </si>
  <si>
    <t>07060545</t>
  </si>
  <si>
    <t>07060546</t>
  </si>
  <si>
    <t>07060551</t>
    <phoneticPr fontId="1"/>
  </si>
  <si>
    <t>07060560</t>
    <phoneticPr fontId="1"/>
  </si>
  <si>
    <t>07060594</t>
    <phoneticPr fontId="1"/>
  </si>
  <si>
    <t>A123</t>
    <phoneticPr fontId="1"/>
  </si>
  <si>
    <t>A328</t>
    <phoneticPr fontId="1"/>
  </si>
  <si>
    <t>07060595</t>
    <phoneticPr fontId="1"/>
  </si>
  <si>
    <t>07060596</t>
    <phoneticPr fontId="1"/>
  </si>
  <si>
    <t>A550</t>
    <phoneticPr fontId="1"/>
  </si>
  <si>
    <t>07060597</t>
    <phoneticPr fontId="1"/>
  </si>
  <si>
    <t>07060612</t>
    <phoneticPr fontId="1"/>
  </si>
  <si>
    <t>A336</t>
    <phoneticPr fontId="1"/>
  </si>
  <si>
    <t>07060613</t>
    <phoneticPr fontId="1"/>
  </si>
  <si>
    <t>07060614</t>
    <phoneticPr fontId="1"/>
  </si>
  <si>
    <t>07050389</t>
    <phoneticPr fontId="1"/>
  </si>
  <si>
    <t>07050395</t>
    <phoneticPr fontId="1"/>
  </si>
  <si>
    <t>07060002</t>
    <phoneticPr fontId="1"/>
  </si>
  <si>
    <t>07060061</t>
    <phoneticPr fontId="1"/>
  </si>
  <si>
    <t>07060062</t>
    <phoneticPr fontId="1"/>
  </si>
  <si>
    <t>A335</t>
    <phoneticPr fontId="1"/>
  </si>
  <si>
    <t>07060598</t>
    <phoneticPr fontId="1"/>
  </si>
  <si>
    <t>07060599</t>
    <phoneticPr fontId="1"/>
  </si>
  <si>
    <t>07060600</t>
    <phoneticPr fontId="1"/>
  </si>
  <si>
    <t>07060601</t>
  </si>
  <si>
    <t>07060602</t>
  </si>
  <si>
    <t>07060603</t>
  </si>
  <si>
    <t>07060604</t>
  </si>
  <si>
    <t>07060605</t>
  </si>
  <si>
    <t>07060606</t>
  </si>
  <si>
    <t>07060607</t>
  </si>
  <si>
    <t>07060608</t>
  </si>
  <si>
    <t>1</t>
    <phoneticPr fontId="1"/>
  </si>
  <si>
    <t>07060554</t>
    <phoneticPr fontId="1"/>
  </si>
  <si>
    <t>07060555</t>
  </si>
  <si>
    <t>07060556</t>
  </si>
  <si>
    <t>07060547</t>
    <phoneticPr fontId="1"/>
  </si>
  <si>
    <t>07060548</t>
  </si>
  <si>
    <t>07060549</t>
  </si>
  <si>
    <t>07060550</t>
  </si>
  <si>
    <t>07060568</t>
    <phoneticPr fontId="1"/>
  </si>
  <si>
    <t>A523</t>
    <phoneticPr fontId="1"/>
  </si>
  <si>
    <t>07060609</t>
    <phoneticPr fontId="1"/>
  </si>
  <si>
    <t>07060611</t>
    <phoneticPr fontId="1"/>
  </si>
  <si>
    <t>07060610</t>
    <phoneticPr fontId="1"/>
  </si>
  <si>
    <t>07060615</t>
    <phoneticPr fontId="1"/>
  </si>
  <si>
    <t>07060616</t>
    <phoneticPr fontId="1"/>
  </si>
  <si>
    <t>07060617</t>
    <phoneticPr fontId="1"/>
  </si>
  <si>
    <t>07060618</t>
    <phoneticPr fontId="1"/>
  </si>
  <si>
    <t>07060291</t>
    <phoneticPr fontId="1"/>
  </si>
  <si>
    <t>A545</t>
    <phoneticPr fontId="1"/>
  </si>
  <si>
    <t>07060552</t>
    <phoneticPr fontId="1"/>
  </si>
  <si>
    <t>07060553</t>
    <phoneticPr fontId="1"/>
  </si>
  <si>
    <t>07060557</t>
    <phoneticPr fontId="1"/>
  </si>
  <si>
    <t>07060558</t>
    <phoneticPr fontId="1"/>
  </si>
  <si>
    <t>07060559</t>
    <phoneticPr fontId="1"/>
  </si>
  <si>
    <t>07060561</t>
    <phoneticPr fontId="1"/>
  </si>
  <si>
    <t>07060573</t>
    <phoneticPr fontId="1"/>
  </si>
  <si>
    <t>07060582</t>
    <phoneticPr fontId="1"/>
  </si>
  <si>
    <t>07060585</t>
    <phoneticPr fontId="1"/>
  </si>
  <si>
    <t>07060586</t>
    <phoneticPr fontId="1"/>
  </si>
  <si>
    <t>M070</t>
    <phoneticPr fontId="1"/>
  </si>
  <si>
    <t>07070032</t>
    <phoneticPr fontId="1"/>
  </si>
  <si>
    <t>07070039</t>
    <phoneticPr fontId="1"/>
  </si>
  <si>
    <t>07070045</t>
    <phoneticPr fontId="1"/>
  </si>
  <si>
    <t>07070058</t>
    <phoneticPr fontId="1"/>
  </si>
  <si>
    <t>07070072</t>
    <phoneticPr fontId="1"/>
  </si>
  <si>
    <t>07070073</t>
    <phoneticPr fontId="1"/>
  </si>
  <si>
    <t>07070074</t>
    <phoneticPr fontId="1"/>
  </si>
  <si>
    <t>07070075</t>
    <phoneticPr fontId="1"/>
  </si>
  <si>
    <t>07070076</t>
    <phoneticPr fontId="1"/>
  </si>
  <si>
    <t>07070077</t>
    <phoneticPr fontId="1"/>
  </si>
  <si>
    <t>07070078</t>
    <phoneticPr fontId="1"/>
  </si>
  <si>
    <t>07070079</t>
    <phoneticPr fontId="1"/>
  </si>
  <si>
    <t>07070080</t>
  </si>
  <si>
    <t>07070081</t>
  </si>
  <si>
    <t>07070082</t>
  </si>
  <si>
    <t>07070098</t>
    <phoneticPr fontId="1"/>
  </si>
  <si>
    <t>07070099</t>
    <phoneticPr fontId="1"/>
  </si>
  <si>
    <t>07070100</t>
    <phoneticPr fontId="1"/>
  </si>
  <si>
    <t>07070101</t>
    <phoneticPr fontId="1"/>
  </si>
  <si>
    <t>07060425</t>
    <phoneticPr fontId="1"/>
  </si>
  <si>
    <t>A650</t>
    <phoneticPr fontId="1"/>
  </si>
  <si>
    <t>M037</t>
    <phoneticPr fontId="1"/>
  </si>
  <si>
    <t>07070034</t>
    <phoneticPr fontId="1"/>
  </si>
  <si>
    <t>07070035</t>
    <phoneticPr fontId="1"/>
  </si>
  <si>
    <t>A307</t>
    <phoneticPr fontId="1"/>
  </si>
  <si>
    <t>07070064</t>
    <phoneticPr fontId="1"/>
  </si>
  <si>
    <t>07070065</t>
    <phoneticPr fontId="1"/>
  </si>
  <si>
    <t>07070066</t>
    <phoneticPr fontId="1"/>
  </si>
  <si>
    <t>07070071</t>
    <phoneticPr fontId="1"/>
  </si>
  <si>
    <t>07070089</t>
    <phoneticPr fontId="1"/>
  </si>
  <si>
    <t>07070090</t>
    <phoneticPr fontId="1"/>
  </si>
  <si>
    <t>A156</t>
    <phoneticPr fontId="1"/>
  </si>
  <si>
    <t>07070091</t>
    <phoneticPr fontId="1"/>
  </si>
  <si>
    <t>07070117</t>
    <phoneticPr fontId="1"/>
  </si>
  <si>
    <t>07070118</t>
    <phoneticPr fontId="1"/>
  </si>
  <si>
    <t>07070119</t>
    <phoneticPr fontId="1"/>
  </si>
  <si>
    <t>A501</t>
    <phoneticPr fontId="1"/>
  </si>
  <si>
    <t>07070120</t>
    <phoneticPr fontId="1"/>
  </si>
  <si>
    <t>07070123</t>
    <phoneticPr fontId="1"/>
  </si>
  <si>
    <t>A602</t>
    <phoneticPr fontId="1"/>
  </si>
  <si>
    <t>07070129</t>
    <phoneticPr fontId="1"/>
  </si>
  <si>
    <t>07070070</t>
    <phoneticPr fontId="1"/>
  </si>
  <si>
    <t>07070102</t>
    <phoneticPr fontId="1"/>
  </si>
  <si>
    <t>07070103</t>
  </si>
  <si>
    <t>07070104</t>
  </si>
  <si>
    <t>07070105</t>
  </si>
  <si>
    <t>07070106</t>
  </si>
  <si>
    <t>07070107</t>
  </si>
  <si>
    <t>07070108</t>
  </si>
  <si>
    <t>07070109</t>
  </si>
  <si>
    <t>07070110</t>
  </si>
  <si>
    <t>07070111</t>
  </si>
  <si>
    <t>07070112</t>
  </si>
  <si>
    <t>07070113</t>
  </si>
  <si>
    <t>07070114</t>
  </si>
  <si>
    <t>07070115</t>
  </si>
  <si>
    <t>07070122</t>
    <phoneticPr fontId="1"/>
  </si>
  <si>
    <t>2025/7/31 個数</t>
  </si>
  <si>
    <t>2025/8/4 個数</t>
  </si>
  <si>
    <t>2025/8/5 個数</t>
  </si>
  <si>
    <t>2025/8/6 個数</t>
  </si>
  <si>
    <t>2025/8/16 個数</t>
  </si>
  <si>
    <t>2025/8/18 個数</t>
  </si>
  <si>
    <t>2025/8/29 個数</t>
  </si>
  <si>
    <t>2025/8/30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</si>
</sst>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2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zoomScale="106" zoomScaleNormal="106" workbookViewId="0">
      <selection activeCell="N12" sqref="N12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198</v>
      </c>
      <c r="B1" s="24">
        <v>45841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5" t="s">
        <v>105</v>
      </c>
      <c r="Y2" s="136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37">
        <v>1</v>
      </c>
      <c r="B3" s="140">
        <v>25.2</v>
      </c>
      <c r="C3" s="85" t="s">
        <v>199</v>
      </c>
      <c r="D3" s="109" t="s">
        <v>200</v>
      </c>
      <c r="E3" s="15" t="s">
        <v>39</v>
      </c>
      <c r="F3" s="14"/>
      <c r="G3" s="12" t="s">
        <v>180</v>
      </c>
      <c r="H3" s="13"/>
      <c r="I3" s="13"/>
      <c r="J3" s="13">
        <v>1</v>
      </c>
      <c r="K3" s="13">
        <v>1</v>
      </c>
      <c r="L3" s="13"/>
      <c r="M3" s="13"/>
      <c r="N3" s="13"/>
      <c r="O3" s="13"/>
      <c r="P3" s="13"/>
      <c r="Q3" s="13"/>
      <c r="R3" s="13"/>
      <c r="S3" s="13"/>
      <c r="T3" s="25">
        <v>45874</v>
      </c>
      <c r="U3" s="13" t="s">
        <v>146</v>
      </c>
      <c r="V3">
        <v>1</v>
      </c>
      <c r="X3" s="51" t="s">
        <v>106</v>
      </c>
      <c r="Y3" s="52">
        <f>COUNTIF(U3:U27,"K")</f>
        <v>10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38"/>
      <c r="B4" s="141"/>
      <c r="C4" s="85" t="s">
        <v>201</v>
      </c>
      <c r="D4" s="109" t="s">
        <v>200</v>
      </c>
      <c r="E4" s="15" t="s">
        <v>133</v>
      </c>
      <c r="F4" s="16"/>
      <c r="G4" s="12" t="s">
        <v>180</v>
      </c>
      <c r="H4" s="15"/>
      <c r="I4" s="13"/>
      <c r="J4" s="15"/>
      <c r="K4" s="15"/>
      <c r="L4" s="17"/>
      <c r="M4" s="17"/>
      <c r="N4" s="13"/>
      <c r="O4" s="17">
        <v>1</v>
      </c>
      <c r="P4" s="17">
        <v>1</v>
      </c>
      <c r="Q4" s="17">
        <v>1</v>
      </c>
      <c r="R4" s="17">
        <v>1</v>
      </c>
      <c r="S4" s="15"/>
      <c r="T4" s="25">
        <v>45874</v>
      </c>
      <c r="U4" s="13" t="s">
        <v>148</v>
      </c>
      <c r="V4">
        <v>2</v>
      </c>
      <c r="X4" s="51" t="s">
        <v>107</v>
      </c>
      <c r="Y4" s="52">
        <f>COUNTIF(U3:U27,"R")</f>
        <v>3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38"/>
      <c r="B5" s="141"/>
      <c r="C5" s="85" t="s">
        <v>202</v>
      </c>
      <c r="D5" s="109" t="s">
        <v>183</v>
      </c>
      <c r="E5" s="15" t="s">
        <v>60</v>
      </c>
      <c r="F5" s="16"/>
      <c r="G5" s="12" t="s">
        <v>180</v>
      </c>
      <c r="H5" s="13"/>
      <c r="I5" s="13"/>
      <c r="J5" s="15"/>
      <c r="K5" s="15">
        <v>1</v>
      </c>
      <c r="L5" s="17"/>
      <c r="M5" s="17"/>
      <c r="N5" s="13"/>
      <c r="O5" s="17"/>
      <c r="P5" s="17"/>
      <c r="Q5" s="17"/>
      <c r="R5" s="17"/>
      <c r="S5" s="15"/>
      <c r="T5" s="25">
        <v>45868</v>
      </c>
      <c r="U5" s="13" t="s">
        <v>146</v>
      </c>
      <c r="V5">
        <v>3</v>
      </c>
      <c r="X5" s="53" t="s">
        <v>108</v>
      </c>
      <c r="Y5" s="54">
        <f>COUNTIF(U3:U27,"J")</f>
        <v>2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38"/>
      <c r="B6" s="141"/>
      <c r="C6" s="85" t="s">
        <v>204</v>
      </c>
      <c r="D6" s="109" t="s">
        <v>203</v>
      </c>
      <c r="E6" s="15" t="s">
        <v>74</v>
      </c>
      <c r="F6" s="16"/>
      <c r="G6" s="12" t="s">
        <v>180</v>
      </c>
      <c r="H6" s="15"/>
      <c r="I6" s="13"/>
      <c r="J6" s="13"/>
      <c r="K6" s="15"/>
      <c r="L6" s="17"/>
      <c r="M6" s="17">
        <v>1</v>
      </c>
      <c r="N6" s="13">
        <v>1</v>
      </c>
      <c r="O6" s="17"/>
      <c r="P6" s="17"/>
      <c r="Q6" s="17"/>
      <c r="R6" s="17"/>
      <c r="S6" s="15"/>
      <c r="T6" s="25">
        <v>45868</v>
      </c>
      <c r="U6" s="13" t="s">
        <v>147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38"/>
      <c r="B7" s="141"/>
      <c r="C7" s="85" t="s">
        <v>205</v>
      </c>
      <c r="D7" s="109" t="s">
        <v>179</v>
      </c>
      <c r="E7" s="15" t="s">
        <v>36</v>
      </c>
      <c r="F7" s="16"/>
      <c r="G7" s="12" t="s">
        <v>180</v>
      </c>
      <c r="H7" s="15"/>
      <c r="I7" s="13"/>
      <c r="J7" s="15"/>
      <c r="K7" s="15"/>
      <c r="L7" s="17"/>
      <c r="M7" s="17">
        <v>1</v>
      </c>
      <c r="N7" s="13">
        <v>1</v>
      </c>
      <c r="O7" s="17"/>
      <c r="P7" s="17"/>
      <c r="Q7" s="17">
        <v>1</v>
      </c>
      <c r="R7" s="17"/>
      <c r="S7" s="15"/>
      <c r="T7" s="25">
        <v>45865</v>
      </c>
      <c r="U7" s="13" t="s">
        <v>147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38"/>
      <c r="B8" s="141"/>
      <c r="C8" s="85" t="s">
        <v>207</v>
      </c>
      <c r="D8" s="109" t="s">
        <v>206</v>
      </c>
      <c r="E8" s="15" t="s">
        <v>42</v>
      </c>
      <c r="F8" s="16"/>
      <c r="G8" s="12" t="s">
        <v>180</v>
      </c>
      <c r="H8" s="13"/>
      <c r="I8" s="13"/>
      <c r="J8" s="15"/>
      <c r="K8" s="15"/>
      <c r="L8" s="17"/>
      <c r="M8" s="17"/>
      <c r="N8" s="13"/>
      <c r="O8" s="17"/>
      <c r="P8" s="17"/>
      <c r="Q8" s="17"/>
      <c r="R8" s="17"/>
      <c r="S8" s="15"/>
      <c r="T8" s="25">
        <v>45874</v>
      </c>
      <c r="U8" s="13" t="s">
        <v>147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38"/>
      <c r="B9" s="141"/>
      <c r="C9" s="85" t="s">
        <v>208</v>
      </c>
      <c r="D9" s="109" t="s">
        <v>209</v>
      </c>
      <c r="E9" s="15" t="s">
        <v>40</v>
      </c>
      <c r="F9" s="16"/>
      <c r="G9" s="12" t="s">
        <v>184</v>
      </c>
      <c r="H9" s="15"/>
      <c r="I9" s="13"/>
      <c r="J9" s="15"/>
      <c r="K9" s="15"/>
      <c r="L9" s="17"/>
      <c r="M9" s="17"/>
      <c r="N9" s="13"/>
      <c r="O9" s="17">
        <v>1</v>
      </c>
      <c r="P9" s="17"/>
      <c r="Q9" s="17"/>
      <c r="R9" s="17"/>
      <c r="S9" s="15"/>
      <c r="T9" s="25">
        <v>45865</v>
      </c>
      <c r="U9" s="13" t="s">
        <v>148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38"/>
      <c r="B10" s="141"/>
      <c r="C10" s="85" t="s">
        <v>210</v>
      </c>
      <c r="D10" s="109" t="s">
        <v>183</v>
      </c>
      <c r="E10" s="15" t="s">
        <v>60</v>
      </c>
      <c r="F10" s="16"/>
      <c r="G10" s="12" t="s">
        <v>180</v>
      </c>
      <c r="H10" s="15"/>
      <c r="I10" s="13"/>
      <c r="J10" s="15">
        <v>1</v>
      </c>
      <c r="K10" s="15"/>
      <c r="L10" s="17">
        <v>1</v>
      </c>
      <c r="M10" s="17"/>
      <c r="N10" s="13"/>
      <c r="O10" s="17"/>
      <c r="P10" s="17"/>
      <c r="Q10" s="17"/>
      <c r="R10" s="17"/>
      <c r="S10" s="15"/>
      <c r="T10" s="25">
        <v>45868</v>
      </c>
      <c r="U10" s="13" t="s">
        <v>146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38"/>
      <c r="B11" s="141"/>
      <c r="C11" s="85" t="s">
        <v>211</v>
      </c>
      <c r="D11" s="109" t="s">
        <v>183</v>
      </c>
      <c r="E11" s="15" t="s">
        <v>60</v>
      </c>
      <c r="F11" s="16"/>
      <c r="G11" s="12" t="s">
        <v>180</v>
      </c>
      <c r="H11" s="15"/>
      <c r="I11" s="13"/>
      <c r="J11" s="15">
        <v>1</v>
      </c>
      <c r="K11" s="15"/>
      <c r="L11" s="17">
        <v>1</v>
      </c>
      <c r="M11" s="17"/>
      <c r="N11" s="13"/>
      <c r="O11" s="17"/>
      <c r="P11" s="17"/>
      <c r="Q11" s="17"/>
      <c r="R11" s="17"/>
      <c r="S11" s="15"/>
      <c r="T11" s="25">
        <v>45868</v>
      </c>
      <c r="U11" s="13" t="s">
        <v>146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38"/>
      <c r="B12" s="141"/>
      <c r="C12" s="85" t="s">
        <v>212</v>
      </c>
      <c r="D12" s="109" t="s">
        <v>183</v>
      </c>
      <c r="E12" s="15" t="s">
        <v>60</v>
      </c>
      <c r="F12" s="16"/>
      <c r="G12" s="12" t="s">
        <v>180</v>
      </c>
      <c r="H12" s="15"/>
      <c r="I12" s="15"/>
      <c r="J12" s="15">
        <v>1</v>
      </c>
      <c r="K12" s="15"/>
      <c r="L12" s="17">
        <v>1</v>
      </c>
      <c r="M12" s="17"/>
      <c r="N12" s="17"/>
      <c r="O12" s="17"/>
      <c r="P12" s="17"/>
      <c r="Q12" s="17"/>
      <c r="R12" s="17"/>
      <c r="S12" s="15"/>
      <c r="T12" s="25">
        <v>45868</v>
      </c>
      <c r="U12" s="13" t="s">
        <v>146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38"/>
      <c r="B13" s="141"/>
      <c r="C13" s="85" t="s">
        <v>213</v>
      </c>
      <c r="D13" s="109" t="s">
        <v>183</v>
      </c>
      <c r="E13" s="15" t="s">
        <v>60</v>
      </c>
      <c r="F13" s="16"/>
      <c r="G13" s="12" t="s">
        <v>180</v>
      </c>
      <c r="H13" s="15"/>
      <c r="I13" s="15"/>
      <c r="J13" s="15">
        <v>1</v>
      </c>
      <c r="K13" s="15"/>
      <c r="L13" s="17">
        <v>1</v>
      </c>
      <c r="M13" s="17"/>
      <c r="N13" s="17"/>
      <c r="O13" s="17"/>
      <c r="P13" s="17"/>
      <c r="Q13" s="17"/>
      <c r="R13" s="17"/>
      <c r="S13" s="15"/>
      <c r="T13" s="25">
        <v>45868</v>
      </c>
      <c r="U13" s="13" t="s">
        <v>146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38"/>
      <c r="B14" s="141"/>
      <c r="C14" s="85" t="s">
        <v>214</v>
      </c>
      <c r="D14" s="109" t="s">
        <v>183</v>
      </c>
      <c r="E14" s="15" t="s">
        <v>60</v>
      </c>
      <c r="F14" s="16"/>
      <c r="G14" s="12" t="s">
        <v>180</v>
      </c>
      <c r="H14" s="15"/>
      <c r="I14" s="15"/>
      <c r="J14" s="15">
        <v>1</v>
      </c>
      <c r="K14" s="15"/>
      <c r="L14" s="17">
        <v>1</v>
      </c>
      <c r="M14" s="17"/>
      <c r="N14" s="17"/>
      <c r="O14" s="17"/>
      <c r="P14" s="17"/>
      <c r="Q14" s="17"/>
      <c r="R14" s="17"/>
      <c r="S14" s="15"/>
      <c r="T14" s="25">
        <v>45868</v>
      </c>
      <c r="U14" s="13" t="s">
        <v>146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38"/>
      <c r="B15" s="141"/>
      <c r="C15" s="85" t="s">
        <v>215</v>
      </c>
      <c r="D15" s="109" t="s">
        <v>183</v>
      </c>
      <c r="E15" s="15" t="s">
        <v>60</v>
      </c>
      <c r="F15" s="16"/>
      <c r="G15" s="12" t="s">
        <v>180</v>
      </c>
      <c r="H15" s="15"/>
      <c r="I15" s="15"/>
      <c r="J15" s="15">
        <v>1</v>
      </c>
      <c r="K15" s="15"/>
      <c r="L15" s="17">
        <v>1</v>
      </c>
      <c r="M15" s="17"/>
      <c r="N15" s="17"/>
      <c r="O15" s="17"/>
      <c r="P15" s="17"/>
      <c r="Q15" s="17"/>
      <c r="R15" s="17"/>
      <c r="S15" s="15"/>
      <c r="T15" s="25">
        <v>45868</v>
      </c>
      <c r="U15" s="13" t="s">
        <v>146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38"/>
      <c r="B16" s="141"/>
      <c r="C16" s="85" t="s">
        <v>216</v>
      </c>
      <c r="D16" s="109" t="s">
        <v>183</v>
      </c>
      <c r="E16" s="15" t="s">
        <v>60</v>
      </c>
      <c r="F16" s="16"/>
      <c r="G16" s="12" t="s">
        <v>180</v>
      </c>
      <c r="H16" s="15"/>
      <c r="I16" s="15"/>
      <c r="J16" s="15">
        <v>1</v>
      </c>
      <c r="K16" s="15"/>
      <c r="L16" s="17">
        <v>1</v>
      </c>
      <c r="M16" s="17"/>
      <c r="N16" s="17"/>
      <c r="O16" s="17"/>
      <c r="P16" s="17"/>
      <c r="Q16" s="17"/>
      <c r="R16" s="17"/>
      <c r="S16" s="15"/>
      <c r="T16" s="25">
        <v>45868</v>
      </c>
      <c r="U16" s="13" t="s">
        <v>146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38"/>
      <c r="B17" s="141"/>
      <c r="C17" s="85" t="s">
        <v>217</v>
      </c>
      <c r="D17" s="106" t="s">
        <v>179</v>
      </c>
      <c r="E17" s="15" t="s">
        <v>38</v>
      </c>
      <c r="F17" s="16"/>
      <c r="G17" s="15" t="s">
        <v>180</v>
      </c>
      <c r="H17" s="15"/>
      <c r="I17" s="15"/>
      <c r="J17" s="15">
        <v>1</v>
      </c>
      <c r="K17" s="15">
        <v>1</v>
      </c>
      <c r="L17" s="17"/>
      <c r="M17" s="17"/>
      <c r="N17" s="17"/>
      <c r="O17" s="17"/>
      <c r="P17" s="17"/>
      <c r="Q17" s="17"/>
      <c r="R17" s="17"/>
      <c r="S17" s="15"/>
      <c r="T17" s="25">
        <v>45864</v>
      </c>
      <c r="U17" s="15" t="s">
        <v>146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38"/>
      <c r="B18" s="141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38"/>
      <c r="B19" s="141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38"/>
      <c r="B20" s="141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38"/>
      <c r="B21" s="141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38"/>
      <c r="B22" s="141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38"/>
      <c r="B23" s="141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38"/>
      <c r="B24" s="141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38"/>
      <c r="B25" s="141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262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38"/>
      <c r="B26" s="141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39"/>
      <c r="B27" s="142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154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15</v>
      </c>
      <c r="D28" s="112"/>
      <c r="E28" s="29"/>
      <c r="F28" s="29" t="s">
        <v>34</v>
      </c>
      <c r="G28" s="29">
        <f>COUNTIF(G3:G27,"S")</f>
        <v>14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9</v>
      </c>
      <c r="K28" s="29">
        <f t="shared" si="0"/>
        <v>3</v>
      </c>
      <c r="L28" s="29">
        <f t="shared" si="0"/>
        <v>7</v>
      </c>
      <c r="M28" s="29">
        <f t="shared" si="0"/>
        <v>2</v>
      </c>
      <c r="N28" s="29">
        <f t="shared" si="0"/>
        <v>2</v>
      </c>
      <c r="O28" s="29">
        <f t="shared" si="0"/>
        <v>2</v>
      </c>
      <c r="P28" s="29">
        <f t="shared" si="0"/>
        <v>1</v>
      </c>
      <c r="Q28" s="29">
        <f t="shared" si="0"/>
        <v>2</v>
      </c>
      <c r="R28" s="29">
        <f t="shared" si="0"/>
        <v>1</v>
      </c>
      <c r="S28" s="29">
        <f t="shared" si="0"/>
        <v>0</v>
      </c>
      <c r="T28" s="29" t="s">
        <v>64</v>
      </c>
      <c r="U28" s="29">
        <f>COUNTIF(H3:H27,"M")</f>
        <v>0</v>
      </c>
      <c r="AA28" s="151" t="s">
        <v>104</v>
      </c>
      <c r="AB28" s="152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1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29</v>
      </c>
      <c r="T29" s="29"/>
      <c r="U29" s="29"/>
      <c r="X29" t="s">
        <v>136</v>
      </c>
      <c r="AA29" s="153"/>
      <c r="AB29" s="154"/>
      <c r="AC29" s="146">
        <f>SUM(AC28:AE28)</f>
        <v>0</v>
      </c>
      <c r="AD29" s="147"/>
      <c r="AE29" s="148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AYG113</v>
      </c>
      <c r="B31" s="24">
        <f>B1</f>
        <v>45841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5" t="s">
        <v>119</v>
      </c>
      <c r="Y32" s="136"/>
      <c r="AA32" s="155" t="s">
        <v>47</v>
      </c>
      <c r="AB32" s="156"/>
    </row>
    <row r="33" spans="1:29" ht="19.5" thickTop="1" x14ac:dyDescent="0.4">
      <c r="A33" s="137">
        <v>2</v>
      </c>
      <c r="B33" s="140">
        <v>23.4</v>
      </c>
      <c r="C33" s="85" t="s">
        <v>218</v>
      </c>
      <c r="D33" s="109" t="s">
        <v>183</v>
      </c>
      <c r="E33" s="15" t="s">
        <v>60</v>
      </c>
      <c r="F33" s="14"/>
      <c r="G33" s="12" t="s">
        <v>180</v>
      </c>
      <c r="H33" s="13"/>
      <c r="I33" s="13"/>
      <c r="J33" s="13">
        <v>1</v>
      </c>
      <c r="K33" s="13"/>
      <c r="L33" s="13">
        <v>1</v>
      </c>
      <c r="M33" s="13"/>
      <c r="N33" s="13"/>
      <c r="O33" s="13"/>
      <c r="P33" s="13"/>
      <c r="Q33" s="13"/>
      <c r="R33" s="13"/>
      <c r="S33" s="13"/>
      <c r="T33" s="25">
        <v>45868</v>
      </c>
      <c r="U33" s="13" t="s">
        <v>146</v>
      </c>
      <c r="V33">
        <v>1</v>
      </c>
      <c r="X33" s="51" t="s">
        <v>106</v>
      </c>
      <c r="Y33" s="52">
        <f>COUNTIF(U33:U57,"K")</f>
        <v>10</v>
      </c>
      <c r="AA33" s="31" t="s">
        <v>46</v>
      </c>
      <c r="AB33" s="32">
        <f>J28+J178+J148+J118+J208+J238+J268+J298+J328+J358</f>
        <v>72</v>
      </c>
    </row>
    <row r="34" spans="1:29" x14ac:dyDescent="0.4">
      <c r="A34" s="138"/>
      <c r="B34" s="141"/>
      <c r="C34" s="85" t="s">
        <v>219</v>
      </c>
      <c r="D34" s="109" t="s">
        <v>183</v>
      </c>
      <c r="E34" s="15" t="s">
        <v>60</v>
      </c>
      <c r="F34" s="16"/>
      <c r="G34" s="12" t="s">
        <v>180</v>
      </c>
      <c r="H34" s="15"/>
      <c r="I34" s="13"/>
      <c r="J34" s="15">
        <v>1</v>
      </c>
      <c r="K34" s="15"/>
      <c r="L34" s="17">
        <v>1</v>
      </c>
      <c r="M34" s="17"/>
      <c r="N34" s="13"/>
      <c r="O34" s="17"/>
      <c r="P34" s="17"/>
      <c r="Q34" s="17"/>
      <c r="R34" s="17"/>
      <c r="S34" s="15"/>
      <c r="T34" s="25">
        <v>45868</v>
      </c>
      <c r="U34" s="13" t="s">
        <v>146</v>
      </c>
      <c r="V34">
        <v>2</v>
      </c>
      <c r="X34" s="51" t="s">
        <v>107</v>
      </c>
      <c r="Y34" s="52">
        <f>COUNTIF(U33:U57,"R")</f>
        <v>5</v>
      </c>
      <c r="AA34" s="31" t="s">
        <v>48</v>
      </c>
      <c r="AB34" s="32">
        <f>K28+K178+K148+K118+K208+K238+K268+K298+K328+K358</f>
        <v>30</v>
      </c>
    </row>
    <row r="35" spans="1:29" ht="19.5" thickBot="1" x14ac:dyDescent="0.45">
      <c r="A35" s="138"/>
      <c r="B35" s="141"/>
      <c r="C35" s="85" t="s">
        <v>220</v>
      </c>
      <c r="D35" s="109" t="s">
        <v>183</v>
      </c>
      <c r="E35" s="15" t="s">
        <v>60</v>
      </c>
      <c r="F35" s="16"/>
      <c r="G35" s="12" t="s">
        <v>180</v>
      </c>
      <c r="H35" s="13"/>
      <c r="I35" s="13"/>
      <c r="J35" s="15">
        <v>1</v>
      </c>
      <c r="K35" s="15"/>
      <c r="L35" s="17">
        <v>1</v>
      </c>
      <c r="M35" s="17"/>
      <c r="N35" s="13"/>
      <c r="O35" s="17"/>
      <c r="P35" s="17"/>
      <c r="Q35" s="17"/>
      <c r="R35" s="17"/>
      <c r="S35" s="15"/>
      <c r="T35" s="25">
        <v>45868</v>
      </c>
      <c r="U35" s="13" t="s">
        <v>146</v>
      </c>
      <c r="X35" s="53" t="s">
        <v>108</v>
      </c>
      <c r="Y35" s="54">
        <f>COUNTIF(U33:U57,"J")</f>
        <v>0</v>
      </c>
      <c r="AA35" s="31" t="s">
        <v>49</v>
      </c>
      <c r="AB35" s="32">
        <f>L28+L178+L148+L118+L208+L238+L268+L298+L328+L358</f>
        <v>29</v>
      </c>
    </row>
    <row r="36" spans="1:29" x14ac:dyDescent="0.4">
      <c r="A36" s="138"/>
      <c r="B36" s="141"/>
      <c r="C36" s="85" t="s">
        <v>221</v>
      </c>
      <c r="D36" s="109" t="s">
        <v>183</v>
      </c>
      <c r="E36" s="15" t="s">
        <v>60</v>
      </c>
      <c r="F36" s="16"/>
      <c r="G36" s="12" t="s">
        <v>180</v>
      </c>
      <c r="H36" s="15"/>
      <c r="I36" s="13"/>
      <c r="J36" s="13">
        <v>1</v>
      </c>
      <c r="K36" s="15"/>
      <c r="L36" s="17">
        <v>1</v>
      </c>
      <c r="M36" s="17"/>
      <c r="N36" s="13"/>
      <c r="O36" s="17"/>
      <c r="P36" s="17"/>
      <c r="Q36" s="17"/>
      <c r="R36" s="17"/>
      <c r="S36" s="15"/>
      <c r="T36" s="25">
        <v>45868</v>
      </c>
      <c r="U36" s="13" t="s">
        <v>146</v>
      </c>
      <c r="V36">
        <v>4</v>
      </c>
      <c r="AA36" s="31" t="s">
        <v>50</v>
      </c>
      <c r="AB36" s="32">
        <f>M28+M178+M148+M118+M208+M238+M268+M298+M328+M358</f>
        <v>14</v>
      </c>
    </row>
    <row r="37" spans="1:29" x14ac:dyDescent="0.4">
      <c r="A37" s="138"/>
      <c r="B37" s="141"/>
      <c r="C37" s="85" t="s">
        <v>222</v>
      </c>
      <c r="D37" s="109" t="s">
        <v>183</v>
      </c>
      <c r="E37" s="15" t="s">
        <v>60</v>
      </c>
      <c r="F37" s="16"/>
      <c r="G37" s="12" t="s">
        <v>180</v>
      </c>
      <c r="H37" s="15"/>
      <c r="I37" s="13"/>
      <c r="J37" s="15">
        <v>1</v>
      </c>
      <c r="K37" s="15"/>
      <c r="L37" s="17">
        <v>1</v>
      </c>
      <c r="M37" s="17"/>
      <c r="N37" s="13"/>
      <c r="O37" s="17"/>
      <c r="P37" s="17"/>
      <c r="Q37" s="17"/>
      <c r="R37" s="17"/>
      <c r="S37" s="15"/>
      <c r="T37" s="25">
        <v>45868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16</v>
      </c>
    </row>
    <row r="38" spans="1:29" x14ac:dyDescent="0.4">
      <c r="A38" s="138"/>
      <c r="B38" s="141"/>
      <c r="C38" s="85" t="s">
        <v>223</v>
      </c>
      <c r="D38" s="109" t="s">
        <v>183</v>
      </c>
      <c r="E38" s="15" t="s">
        <v>60</v>
      </c>
      <c r="F38" s="16"/>
      <c r="G38" s="12" t="s">
        <v>180</v>
      </c>
      <c r="H38" s="13"/>
      <c r="I38" s="13"/>
      <c r="J38" s="15">
        <v>1</v>
      </c>
      <c r="K38" s="15"/>
      <c r="L38" s="17">
        <v>1</v>
      </c>
      <c r="M38" s="17"/>
      <c r="N38" s="13"/>
      <c r="O38" s="17"/>
      <c r="P38" s="17"/>
      <c r="Q38" s="17"/>
      <c r="R38" s="17"/>
      <c r="S38" s="15"/>
      <c r="T38" s="25">
        <v>45868</v>
      </c>
      <c r="U38" s="13" t="s">
        <v>146</v>
      </c>
      <c r="V38">
        <v>6</v>
      </c>
      <c r="AA38" s="31" t="s">
        <v>52</v>
      </c>
      <c r="AB38" s="32">
        <f>O28+O178+O148+O118+O208+O238+O268+O298+O328+O358</f>
        <v>12</v>
      </c>
    </row>
    <row r="39" spans="1:29" x14ac:dyDescent="0.4">
      <c r="A39" s="138"/>
      <c r="B39" s="141"/>
      <c r="C39" s="85" t="s">
        <v>224</v>
      </c>
      <c r="D39" s="109" t="s">
        <v>179</v>
      </c>
      <c r="E39" s="15" t="s">
        <v>37</v>
      </c>
      <c r="F39" s="16"/>
      <c r="G39" s="12" t="s">
        <v>180</v>
      </c>
      <c r="H39" s="15"/>
      <c r="I39" s="13"/>
      <c r="J39" s="15"/>
      <c r="K39" s="15"/>
      <c r="L39" s="17"/>
      <c r="M39" s="17">
        <v>1</v>
      </c>
      <c r="N39" s="13">
        <v>1</v>
      </c>
      <c r="O39" s="17"/>
      <c r="P39" s="17"/>
      <c r="Q39" s="17">
        <v>1</v>
      </c>
      <c r="R39" s="17"/>
      <c r="S39" s="15"/>
      <c r="T39" s="25">
        <v>45860</v>
      </c>
      <c r="U39" s="13" t="s">
        <v>147</v>
      </c>
      <c r="V39">
        <v>7</v>
      </c>
      <c r="AA39" s="31" t="s">
        <v>53</v>
      </c>
      <c r="AB39" s="32">
        <f>P28+P178+P148+P118+P208+P238+P268+P298+P328+P358</f>
        <v>13</v>
      </c>
    </row>
    <row r="40" spans="1:29" x14ac:dyDescent="0.4">
      <c r="A40" s="138"/>
      <c r="B40" s="141"/>
      <c r="C40" s="85" t="s">
        <v>225</v>
      </c>
      <c r="D40" s="109" t="s">
        <v>179</v>
      </c>
      <c r="E40" s="15" t="s">
        <v>37</v>
      </c>
      <c r="F40" s="16"/>
      <c r="G40" s="12" t="s">
        <v>180</v>
      </c>
      <c r="H40" s="15"/>
      <c r="I40" s="13"/>
      <c r="J40" s="15"/>
      <c r="K40" s="15"/>
      <c r="L40" s="17"/>
      <c r="M40" s="17">
        <v>1</v>
      </c>
      <c r="N40" s="13">
        <v>1</v>
      </c>
      <c r="O40" s="17"/>
      <c r="P40" s="17"/>
      <c r="Q40" s="17">
        <v>1</v>
      </c>
      <c r="R40" s="17"/>
      <c r="S40" s="15"/>
      <c r="T40" s="25">
        <v>45860</v>
      </c>
      <c r="U40" s="13" t="s">
        <v>147</v>
      </c>
      <c r="V40">
        <v>8</v>
      </c>
      <c r="AA40" s="31" t="s">
        <v>54</v>
      </c>
      <c r="AB40" s="32">
        <f>Q28+Q178+Q148+Q118+Q208+Q238+Q268+Q298+Q328+Q358</f>
        <v>14</v>
      </c>
    </row>
    <row r="41" spans="1:29" x14ac:dyDescent="0.4">
      <c r="A41" s="138"/>
      <c r="B41" s="141"/>
      <c r="C41" s="85" t="s">
        <v>226</v>
      </c>
      <c r="D41" s="109" t="s">
        <v>179</v>
      </c>
      <c r="E41" s="15" t="s">
        <v>37</v>
      </c>
      <c r="F41" s="16"/>
      <c r="G41" s="12" t="s">
        <v>180</v>
      </c>
      <c r="H41" s="15"/>
      <c r="I41" s="13"/>
      <c r="J41" s="15"/>
      <c r="K41" s="15"/>
      <c r="L41" s="17"/>
      <c r="M41" s="17">
        <v>1</v>
      </c>
      <c r="N41" s="13">
        <v>1</v>
      </c>
      <c r="O41" s="17"/>
      <c r="P41" s="17"/>
      <c r="Q41" s="17">
        <v>1</v>
      </c>
      <c r="R41" s="17"/>
      <c r="S41" s="15"/>
      <c r="T41" s="25">
        <v>45859</v>
      </c>
      <c r="U41" s="13" t="s">
        <v>147</v>
      </c>
      <c r="V41">
        <v>9</v>
      </c>
      <c r="AA41" s="31" t="s">
        <v>55</v>
      </c>
      <c r="AB41" s="32">
        <f>R28+R178+R148+R118+R208+R238+R268+R298+R328+R358</f>
        <v>4</v>
      </c>
      <c r="AC41" t="s">
        <v>123</v>
      </c>
    </row>
    <row r="42" spans="1:29" ht="19.5" thickBot="1" x14ac:dyDescent="0.45">
      <c r="A42" s="138"/>
      <c r="B42" s="141"/>
      <c r="C42" s="85" t="s">
        <v>227</v>
      </c>
      <c r="D42" s="109" t="s">
        <v>179</v>
      </c>
      <c r="E42" s="15" t="s">
        <v>74</v>
      </c>
      <c r="F42" s="16"/>
      <c r="G42" s="12" t="s">
        <v>180</v>
      </c>
      <c r="H42" s="15"/>
      <c r="I42" s="15"/>
      <c r="J42" s="15">
        <v>1</v>
      </c>
      <c r="K42" s="15">
        <v>1</v>
      </c>
      <c r="L42" s="17"/>
      <c r="M42" s="17"/>
      <c r="N42" s="17"/>
      <c r="O42" s="17"/>
      <c r="P42" s="17"/>
      <c r="Q42" s="17"/>
      <c r="R42" s="17"/>
      <c r="S42" s="15"/>
      <c r="T42" s="25">
        <v>45860</v>
      </c>
      <c r="U42" s="13" t="s">
        <v>146</v>
      </c>
      <c r="V42">
        <v>10</v>
      </c>
      <c r="AA42" s="33" t="s">
        <v>56</v>
      </c>
      <c r="AB42" s="34">
        <f>S28+S178+S148+S118+S208+S238+S268+S298+S328+S358</f>
        <v>11</v>
      </c>
      <c r="AC42" s="73">
        <f>SUM(AB33:AB42)</f>
        <v>215</v>
      </c>
    </row>
    <row r="43" spans="1:29" ht="19.5" thickBot="1" x14ac:dyDescent="0.45">
      <c r="A43" s="138"/>
      <c r="B43" s="141"/>
      <c r="C43" s="85" t="s">
        <v>228</v>
      </c>
      <c r="D43" s="109" t="s">
        <v>179</v>
      </c>
      <c r="E43" s="15" t="s">
        <v>38</v>
      </c>
      <c r="F43" s="16"/>
      <c r="G43" s="12" t="s">
        <v>180</v>
      </c>
      <c r="H43" s="15"/>
      <c r="I43" s="15"/>
      <c r="J43" s="15">
        <v>1</v>
      </c>
      <c r="K43" s="15">
        <v>1</v>
      </c>
      <c r="L43" s="17"/>
      <c r="M43" s="17"/>
      <c r="N43" s="17"/>
      <c r="O43" s="17"/>
      <c r="P43" s="17"/>
      <c r="Q43" s="17"/>
      <c r="R43" s="17"/>
      <c r="S43" s="15"/>
      <c r="T43" s="25">
        <v>45866</v>
      </c>
      <c r="U43" s="13" t="s">
        <v>146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38"/>
      <c r="B44" s="141"/>
      <c r="C44" s="85" t="s">
        <v>229</v>
      </c>
      <c r="D44" s="109" t="s">
        <v>192</v>
      </c>
      <c r="E44" s="15" t="s">
        <v>58</v>
      </c>
      <c r="F44" s="16"/>
      <c r="G44" s="12" t="s">
        <v>180</v>
      </c>
      <c r="H44" s="15"/>
      <c r="I44" s="15"/>
      <c r="J44" s="15"/>
      <c r="K44" s="15"/>
      <c r="L44" s="17"/>
      <c r="M44" s="17"/>
      <c r="N44" s="17"/>
      <c r="O44" s="17"/>
      <c r="P44" s="17"/>
      <c r="Q44" s="17"/>
      <c r="R44" s="17"/>
      <c r="S44" s="15"/>
      <c r="T44" s="25">
        <v>45867</v>
      </c>
      <c r="U44" s="13" t="s">
        <v>147</v>
      </c>
      <c r="V44">
        <v>12</v>
      </c>
      <c r="AA44" s="103" t="s">
        <v>66</v>
      </c>
      <c r="AB44" s="104">
        <f>H28+H58+H88+H118+H148+H178+H208+H238+H268+H298+H328+H358</f>
        <v>0</v>
      </c>
    </row>
    <row r="45" spans="1:29" x14ac:dyDescent="0.4">
      <c r="A45" s="138"/>
      <c r="B45" s="141"/>
      <c r="C45" s="85" t="s">
        <v>230</v>
      </c>
      <c r="D45" s="109" t="s">
        <v>191</v>
      </c>
      <c r="E45" s="15" t="s">
        <v>60</v>
      </c>
      <c r="F45" s="16"/>
      <c r="G45" s="12" t="s">
        <v>180</v>
      </c>
      <c r="H45" s="15"/>
      <c r="I45" s="15"/>
      <c r="J45" s="15"/>
      <c r="K45" s="15">
        <v>1</v>
      </c>
      <c r="L45" s="17">
        <v>1</v>
      </c>
      <c r="M45" s="17"/>
      <c r="N45" s="17"/>
      <c r="O45" s="17"/>
      <c r="P45" s="17"/>
      <c r="Q45" s="17"/>
      <c r="R45" s="17"/>
      <c r="S45" s="15"/>
      <c r="T45" s="25">
        <v>45872</v>
      </c>
      <c r="U45" s="13" t="s">
        <v>146</v>
      </c>
      <c r="V45">
        <v>13</v>
      </c>
      <c r="AA45" s="35" t="s">
        <v>65</v>
      </c>
      <c r="AB45" s="36">
        <f>H29+H59+H89+H119+H149+H179+H209+H239+H269+H299+H329+H359</f>
        <v>0</v>
      </c>
    </row>
    <row r="46" spans="1:29" x14ac:dyDescent="0.4">
      <c r="A46" s="138"/>
      <c r="B46" s="141"/>
      <c r="C46" s="85" t="s">
        <v>231</v>
      </c>
      <c r="D46" s="109" t="s">
        <v>191</v>
      </c>
      <c r="E46" s="15" t="s">
        <v>44</v>
      </c>
      <c r="F46" s="16"/>
      <c r="G46" s="12" t="s">
        <v>180</v>
      </c>
      <c r="H46" s="15"/>
      <c r="I46" s="15"/>
      <c r="J46" s="15"/>
      <c r="K46" s="15">
        <v>1</v>
      </c>
      <c r="L46" s="17"/>
      <c r="M46" s="17"/>
      <c r="N46" s="17"/>
      <c r="O46" s="17"/>
      <c r="P46" s="17"/>
      <c r="Q46" s="17"/>
      <c r="R46" s="17"/>
      <c r="S46" s="15"/>
      <c r="T46" s="25">
        <v>45872</v>
      </c>
      <c r="U46" s="13" t="s">
        <v>146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38"/>
      <c r="B47" s="141"/>
      <c r="C47" s="85" t="s">
        <v>232</v>
      </c>
      <c r="D47" s="106" t="s">
        <v>191</v>
      </c>
      <c r="E47" s="15" t="s">
        <v>58</v>
      </c>
      <c r="F47" s="16"/>
      <c r="G47" s="15" t="s">
        <v>180</v>
      </c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>
        <v>45869</v>
      </c>
      <c r="U47" s="15" t="s">
        <v>147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38"/>
      <c r="B48" s="141"/>
      <c r="C48" s="85"/>
      <c r="D48" s="110"/>
      <c r="E48" s="18"/>
      <c r="F48" s="16"/>
      <c r="G48" s="18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5"/>
      <c r="V48" s="73">
        <v>16</v>
      </c>
    </row>
    <row r="49" spans="1:28" x14ac:dyDescent="0.4">
      <c r="A49" s="138"/>
      <c r="B49" s="141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149</v>
      </c>
    </row>
    <row r="50" spans="1:28" ht="19.5" thickBot="1" x14ac:dyDescent="0.45">
      <c r="A50" s="138"/>
      <c r="B50" s="141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5</v>
      </c>
    </row>
    <row r="51" spans="1:28" ht="19.5" thickBot="1" x14ac:dyDescent="0.45">
      <c r="A51" s="138"/>
      <c r="B51" s="141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38"/>
      <c r="B52" s="141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7">
        <v>76</v>
      </c>
    </row>
    <row r="53" spans="1:28" ht="19.5" thickBot="1" x14ac:dyDescent="0.45">
      <c r="A53" s="138"/>
      <c r="B53" s="141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8"/>
    </row>
    <row r="54" spans="1:28" ht="19.5" thickBot="1" x14ac:dyDescent="0.45">
      <c r="A54" s="138"/>
      <c r="B54" s="141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38"/>
      <c r="B55" s="141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5" t="s">
        <v>73</v>
      </c>
      <c r="AB55" s="45"/>
    </row>
    <row r="56" spans="1:28" ht="19.5" thickBot="1" x14ac:dyDescent="0.45">
      <c r="A56" s="138"/>
      <c r="B56" s="141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50"/>
      <c r="AB56" s="46"/>
    </row>
    <row r="57" spans="1:28" ht="19.5" thickBot="1" x14ac:dyDescent="0.45">
      <c r="A57" s="139"/>
      <c r="B57" s="142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5"/>
      <c r="AB57" s="45">
        <v>7</v>
      </c>
    </row>
    <row r="58" spans="1:28" ht="19.5" thickBot="1" x14ac:dyDescent="0.45">
      <c r="A58" s="27"/>
      <c r="B58" s="28"/>
      <c r="C58" s="88">
        <f>COUNTA(C33:C57)</f>
        <v>15</v>
      </c>
      <c r="D58" s="112"/>
      <c r="E58" s="29"/>
      <c r="F58" s="29" t="s">
        <v>34</v>
      </c>
      <c r="G58" s="29">
        <f>COUNTIF(G33:G57,"S")</f>
        <v>15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8</v>
      </c>
      <c r="K58" s="29">
        <f t="shared" si="1"/>
        <v>4</v>
      </c>
      <c r="L58" s="29">
        <f t="shared" si="1"/>
        <v>7</v>
      </c>
      <c r="M58" s="29">
        <f t="shared" si="1"/>
        <v>3</v>
      </c>
      <c r="N58" s="29">
        <f t="shared" si="1"/>
        <v>3</v>
      </c>
      <c r="O58" s="29">
        <f t="shared" si="1"/>
        <v>0</v>
      </c>
      <c r="P58" s="29">
        <f t="shared" si="1"/>
        <v>0</v>
      </c>
      <c r="Q58" s="29">
        <f t="shared" si="1"/>
        <v>3</v>
      </c>
      <c r="R58" s="29">
        <f t="shared" si="1"/>
        <v>0</v>
      </c>
      <c r="S58" s="29">
        <f t="shared" si="1"/>
        <v>0</v>
      </c>
      <c r="T58" s="29" t="s">
        <v>64</v>
      </c>
      <c r="U58" s="29">
        <f>COUNTIF(H33:H57,"M")</f>
        <v>0</v>
      </c>
      <c r="AA58" s="150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28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AYG113</v>
      </c>
      <c r="B61" s="24">
        <f>B1</f>
        <v>45841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5" t="s">
        <v>118</v>
      </c>
      <c r="Y62" s="136"/>
    </row>
    <row r="63" spans="1:28" ht="20.25" thickTop="1" thickBot="1" x14ac:dyDescent="0.45">
      <c r="A63" s="137">
        <v>3</v>
      </c>
      <c r="B63" s="143">
        <v>22.4</v>
      </c>
      <c r="C63" s="85" t="s">
        <v>233</v>
      </c>
      <c r="D63" s="109" t="s">
        <v>234</v>
      </c>
      <c r="E63" s="15" t="s">
        <v>60</v>
      </c>
      <c r="F63" s="14"/>
      <c r="G63" s="12" t="s">
        <v>180</v>
      </c>
      <c r="H63" s="13"/>
      <c r="I63" s="13"/>
      <c r="J63" s="13">
        <v>1</v>
      </c>
      <c r="K63" s="13"/>
      <c r="L63" s="13">
        <v>1</v>
      </c>
      <c r="M63" s="13"/>
      <c r="N63" s="13"/>
      <c r="O63" s="13"/>
      <c r="P63" s="13"/>
      <c r="Q63" s="13"/>
      <c r="R63" s="13"/>
      <c r="S63" s="13"/>
      <c r="T63" s="25">
        <v>45856</v>
      </c>
      <c r="U63" s="13" t="s">
        <v>146</v>
      </c>
      <c r="V63">
        <v>1</v>
      </c>
      <c r="X63" s="51" t="s">
        <v>106</v>
      </c>
      <c r="Y63" s="52">
        <f>COUNTIF(U63:U87,"K")</f>
        <v>13</v>
      </c>
      <c r="AA63" s="59" t="s">
        <v>120</v>
      </c>
      <c r="AB63" s="60" t="s">
        <v>121</v>
      </c>
    </row>
    <row r="64" spans="1:28" x14ac:dyDescent="0.4">
      <c r="A64" s="138"/>
      <c r="B64" s="144"/>
      <c r="C64" s="85" t="s">
        <v>236</v>
      </c>
      <c r="D64" s="109" t="s">
        <v>235</v>
      </c>
      <c r="E64" s="15" t="s">
        <v>39</v>
      </c>
      <c r="F64" s="16"/>
      <c r="G64" s="12" t="s">
        <v>180</v>
      </c>
      <c r="H64" s="15"/>
      <c r="I64" s="15"/>
      <c r="J64" s="13">
        <v>1</v>
      </c>
      <c r="K64" s="15">
        <v>1</v>
      </c>
      <c r="L64" s="13"/>
      <c r="M64" s="17"/>
      <c r="N64" s="17"/>
      <c r="O64" s="17"/>
      <c r="P64" s="17"/>
      <c r="Q64" s="17"/>
      <c r="R64" s="17"/>
      <c r="S64" s="15"/>
      <c r="T64" s="25">
        <v>45877</v>
      </c>
      <c r="U64" s="13" t="s">
        <v>146</v>
      </c>
      <c r="V64">
        <v>2</v>
      </c>
      <c r="X64" s="51" t="s">
        <v>107</v>
      </c>
      <c r="Y64" s="52">
        <f>COUNTIF(U63:U87,"R")</f>
        <v>1</v>
      </c>
      <c r="AA64" s="47" t="s">
        <v>81</v>
      </c>
      <c r="AB64" s="48" t="s">
        <v>60</v>
      </c>
    </row>
    <row r="65" spans="1:28" ht="19.5" thickBot="1" x14ac:dyDescent="0.45">
      <c r="A65" s="138"/>
      <c r="B65" s="144"/>
      <c r="C65" s="85" t="s">
        <v>237</v>
      </c>
      <c r="D65" s="109" t="s">
        <v>235</v>
      </c>
      <c r="E65" s="15" t="s">
        <v>133</v>
      </c>
      <c r="F65" s="16"/>
      <c r="G65" s="12" t="s">
        <v>180</v>
      </c>
      <c r="H65" s="15"/>
      <c r="I65" s="15"/>
      <c r="J65" s="13"/>
      <c r="K65" s="15"/>
      <c r="L65" s="13"/>
      <c r="M65" s="17"/>
      <c r="N65" s="17"/>
      <c r="O65" s="17">
        <v>1</v>
      </c>
      <c r="P65" s="17">
        <v>1</v>
      </c>
      <c r="Q65" s="17">
        <v>1</v>
      </c>
      <c r="R65" s="17">
        <v>1</v>
      </c>
      <c r="S65" s="15"/>
      <c r="T65" s="25">
        <v>45877</v>
      </c>
      <c r="U65" s="13" t="s">
        <v>148</v>
      </c>
      <c r="V65">
        <v>3</v>
      </c>
      <c r="X65" s="53" t="s">
        <v>108</v>
      </c>
      <c r="Y65" s="54">
        <f>COUNTIF(U63:U87,"J")</f>
        <v>1</v>
      </c>
      <c r="AA65" s="49" t="s">
        <v>82</v>
      </c>
      <c r="AB65" s="50" t="s">
        <v>39</v>
      </c>
    </row>
    <row r="66" spans="1:28" x14ac:dyDescent="0.4">
      <c r="A66" s="138"/>
      <c r="B66" s="144"/>
      <c r="C66" s="85" t="s">
        <v>238</v>
      </c>
      <c r="D66" s="109" t="s">
        <v>235</v>
      </c>
      <c r="E66" s="15" t="s">
        <v>38</v>
      </c>
      <c r="F66" s="16"/>
      <c r="G66" s="12" t="s">
        <v>180</v>
      </c>
      <c r="H66" s="13"/>
      <c r="I66" s="15"/>
      <c r="J66" s="13">
        <v>1</v>
      </c>
      <c r="K66" s="15">
        <v>1</v>
      </c>
      <c r="L66" s="13"/>
      <c r="M66" s="17"/>
      <c r="N66" s="17"/>
      <c r="O66" s="17"/>
      <c r="P66" s="17"/>
      <c r="Q66" s="17"/>
      <c r="R66" s="17"/>
      <c r="S66" s="15"/>
      <c r="T66" s="25">
        <v>45867</v>
      </c>
      <c r="U66" s="1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38"/>
      <c r="B67" s="144"/>
      <c r="C67" s="85" t="s">
        <v>239</v>
      </c>
      <c r="D67" s="109" t="s">
        <v>235</v>
      </c>
      <c r="E67" s="15" t="s">
        <v>38</v>
      </c>
      <c r="F67" s="16"/>
      <c r="G67" s="12" t="s">
        <v>180</v>
      </c>
      <c r="H67" s="15"/>
      <c r="I67" s="15"/>
      <c r="J67" s="13">
        <v>1</v>
      </c>
      <c r="K67" s="15">
        <v>1</v>
      </c>
      <c r="L67" s="13"/>
      <c r="M67" s="17"/>
      <c r="N67" s="17"/>
      <c r="O67" s="17"/>
      <c r="P67" s="17"/>
      <c r="Q67" s="17"/>
      <c r="R67" s="17"/>
      <c r="S67" s="15"/>
      <c r="T67" s="25">
        <v>45867</v>
      </c>
      <c r="U67" s="13" t="s">
        <v>146</v>
      </c>
      <c r="V67">
        <v>5</v>
      </c>
      <c r="AA67" s="49" t="s">
        <v>84</v>
      </c>
      <c r="AB67" s="50" t="s">
        <v>44</v>
      </c>
    </row>
    <row r="68" spans="1:28" x14ac:dyDescent="0.4">
      <c r="A68" s="138"/>
      <c r="B68" s="144"/>
      <c r="C68" s="85" t="s">
        <v>241</v>
      </c>
      <c r="D68" s="109" t="s">
        <v>240</v>
      </c>
      <c r="E68" s="15" t="s">
        <v>38</v>
      </c>
      <c r="F68" s="16"/>
      <c r="G68" s="12" t="s">
        <v>180</v>
      </c>
      <c r="H68" s="15"/>
      <c r="I68" s="15"/>
      <c r="J68" s="13"/>
      <c r="K68" s="15"/>
      <c r="L68" s="13"/>
      <c r="M68" s="17">
        <v>1</v>
      </c>
      <c r="N68" s="17">
        <v>1</v>
      </c>
      <c r="O68" s="17"/>
      <c r="P68" s="17"/>
      <c r="Q68" s="17">
        <v>1</v>
      </c>
      <c r="R68" s="17"/>
      <c r="S68" s="15"/>
      <c r="T68" s="25">
        <v>45871</v>
      </c>
      <c r="U68" s="13" t="s">
        <v>147</v>
      </c>
      <c r="V68">
        <v>6</v>
      </c>
      <c r="AA68" s="49" t="s">
        <v>85</v>
      </c>
      <c r="AB68" s="50" t="s">
        <v>43</v>
      </c>
    </row>
    <row r="69" spans="1:28" x14ac:dyDescent="0.4">
      <c r="A69" s="138"/>
      <c r="B69" s="144"/>
      <c r="C69" s="85" t="s">
        <v>242</v>
      </c>
      <c r="D69" s="109" t="s">
        <v>243</v>
      </c>
      <c r="E69" s="15" t="s">
        <v>38</v>
      </c>
      <c r="F69" s="16"/>
      <c r="G69" s="12" t="s">
        <v>180</v>
      </c>
      <c r="H69" s="15"/>
      <c r="I69" s="15"/>
      <c r="J69" s="13">
        <v>1</v>
      </c>
      <c r="K69" s="15">
        <v>1</v>
      </c>
      <c r="L69" s="13"/>
      <c r="M69" s="17"/>
      <c r="N69" s="17"/>
      <c r="O69" s="17"/>
      <c r="P69" s="17"/>
      <c r="Q69" s="17"/>
      <c r="R69" s="17"/>
      <c r="S69" s="15"/>
      <c r="T69" s="25">
        <v>45873</v>
      </c>
      <c r="U69" s="13" t="s">
        <v>146</v>
      </c>
      <c r="V69">
        <v>7</v>
      </c>
      <c r="AA69" s="49" t="s">
        <v>86</v>
      </c>
      <c r="AB69" s="50" t="s">
        <v>45</v>
      </c>
    </row>
    <row r="70" spans="1:28" x14ac:dyDescent="0.4">
      <c r="A70" s="138"/>
      <c r="B70" s="144"/>
      <c r="C70" s="85" t="s">
        <v>244</v>
      </c>
      <c r="D70" s="109" t="s">
        <v>243</v>
      </c>
      <c r="E70" s="15" t="s">
        <v>38</v>
      </c>
      <c r="F70" s="16"/>
      <c r="G70" s="12" t="s">
        <v>180</v>
      </c>
      <c r="H70" s="15"/>
      <c r="I70" s="15"/>
      <c r="J70" s="13">
        <v>1</v>
      </c>
      <c r="K70" s="15">
        <v>1</v>
      </c>
      <c r="L70" s="13"/>
      <c r="M70" s="17"/>
      <c r="N70" s="17"/>
      <c r="O70" s="17"/>
      <c r="P70" s="17"/>
      <c r="Q70" s="17"/>
      <c r="R70" s="17"/>
      <c r="S70" s="15"/>
      <c r="T70" s="25">
        <v>45873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38"/>
      <c r="B71" s="144"/>
      <c r="C71" s="85" t="s">
        <v>245</v>
      </c>
      <c r="D71" s="109" t="s">
        <v>243</v>
      </c>
      <c r="E71" s="15" t="s">
        <v>38</v>
      </c>
      <c r="F71" s="16"/>
      <c r="G71" s="12" t="s">
        <v>180</v>
      </c>
      <c r="H71" s="15"/>
      <c r="I71" s="15"/>
      <c r="J71" s="13">
        <v>1</v>
      </c>
      <c r="K71" s="15">
        <v>1</v>
      </c>
      <c r="L71" s="13"/>
      <c r="M71" s="17"/>
      <c r="N71" s="17"/>
      <c r="O71" s="17"/>
      <c r="P71" s="17"/>
      <c r="Q71" s="17"/>
      <c r="R71" s="17"/>
      <c r="S71" s="15"/>
      <c r="T71" s="25">
        <v>45873</v>
      </c>
      <c r="U71" s="13" t="s">
        <v>146</v>
      </c>
      <c r="V71">
        <v>9</v>
      </c>
      <c r="AA71" s="49" t="s">
        <v>88</v>
      </c>
      <c r="AB71" s="50" t="s">
        <v>74</v>
      </c>
    </row>
    <row r="72" spans="1:28" x14ac:dyDescent="0.4">
      <c r="A72" s="138"/>
      <c r="B72" s="144"/>
      <c r="C72" s="85" t="s">
        <v>246</v>
      </c>
      <c r="D72" s="109" t="s">
        <v>235</v>
      </c>
      <c r="E72" s="15" t="s">
        <v>41</v>
      </c>
      <c r="F72" s="16"/>
      <c r="G72" s="12" t="s">
        <v>180</v>
      </c>
      <c r="H72" s="15"/>
      <c r="I72" s="15"/>
      <c r="J72" s="13"/>
      <c r="K72" s="15"/>
      <c r="L72" s="13"/>
      <c r="M72" s="17"/>
      <c r="N72" s="17"/>
      <c r="O72" s="17"/>
      <c r="P72" s="17"/>
      <c r="Q72" s="17"/>
      <c r="R72" s="17"/>
      <c r="S72" s="15"/>
      <c r="T72" s="25">
        <v>45877</v>
      </c>
      <c r="U72" s="13" t="s">
        <v>146</v>
      </c>
      <c r="V72">
        <v>10</v>
      </c>
      <c r="AA72" s="49" t="s">
        <v>89</v>
      </c>
      <c r="AB72" s="50" t="s">
        <v>36</v>
      </c>
    </row>
    <row r="73" spans="1:28" x14ac:dyDescent="0.4">
      <c r="A73" s="138"/>
      <c r="B73" s="144"/>
      <c r="C73" s="85" t="s">
        <v>247</v>
      </c>
      <c r="D73" s="109" t="s">
        <v>235</v>
      </c>
      <c r="E73" s="15" t="s">
        <v>42</v>
      </c>
      <c r="F73" s="16"/>
      <c r="G73" s="15" t="s">
        <v>180</v>
      </c>
      <c r="H73" s="15"/>
      <c r="I73" s="15"/>
      <c r="J73" s="15"/>
      <c r="K73" s="15"/>
      <c r="L73" s="17"/>
      <c r="M73" s="17"/>
      <c r="N73" s="17"/>
      <c r="O73" s="17"/>
      <c r="P73" s="17"/>
      <c r="Q73" s="17"/>
      <c r="R73" s="17"/>
      <c r="S73" s="15">
        <v>1</v>
      </c>
      <c r="T73" s="25">
        <v>45877</v>
      </c>
      <c r="U73" s="15" t="s">
        <v>146</v>
      </c>
      <c r="V73">
        <v>11</v>
      </c>
      <c r="AA73" s="49" t="s">
        <v>90</v>
      </c>
      <c r="AB73" s="50" t="s">
        <v>58</v>
      </c>
    </row>
    <row r="74" spans="1:28" x14ac:dyDescent="0.4">
      <c r="A74" s="138"/>
      <c r="B74" s="144"/>
      <c r="C74" s="85" t="s">
        <v>248</v>
      </c>
      <c r="D74" s="109" t="s">
        <v>235</v>
      </c>
      <c r="E74" s="15" t="s">
        <v>40</v>
      </c>
      <c r="F74" s="16"/>
      <c r="G74" s="15" t="s">
        <v>180</v>
      </c>
      <c r="H74" s="15"/>
      <c r="I74" s="15"/>
      <c r="J74" s="15"/>
      <c r="K74" s="15"/>
      <c r="L74" s="17"/>
      <c r="M74" s="17"/>
      <c r="N74" s="17"/>
      <c r="O74" s="17">
        <v>1</v>
      </c>
      <c r="P74" s="17"/>
      <c r="Q74" s="17"/>
      <c r="R74" s="17"/>
      <c r="S74" s="15"/>
      <c r="T74" s="25">
        <v>45877</v>
      </c>
      <c r="U74" s="15" t="s">
        <v>146</v>
      </c>
      <c r="V74">
        <v>12</v>
      </c>
      <c r="AA74" s="49" t="s">
        <v>91</v>
      </c>
      <c r="AB74" s="50" t="s">
        <v>75</v>
      </c>
    </row>
    <row r="75" spans="1:28" x14ac:dyDescent="0.4">
      <c r="A75" s="138"/>
      <c r="B75" s="144"/>
      <c r="C75" s="85" t="s">
        <v>249</v>
      </c>
      <c r="D75" s="109" t="s">
        <v>243</v>
      </c>
      <c r="E75" s="15" t="s">
        <v>38</v>
      </c>
      <c r="F75" s="16"/>
      <c r="G75" s="15" t="s">
        <v>180</v>
      </c>
      <c r="H75" s="15"/>
      <c r="I75" s="15"/>
      <c r="J75" s="15">
        <v>1</v>
      </c>
      <c r="K75" s="15">
        <v>1</v>
      </c>
      <c r="L75" s="17"/>
      <c r="M75" s="17"/>
      <c r="N75" s="17"/>
      <c r="O75" s="17"/>
      <c r="P75" s="17"/>
      <c r="Q75" s="17"/>
      <c r="R75" s="17"/>
      <c r="S75" s="15"/>
      <c r="T75" s="25">
        <v>45873</v>
      </c>
      <c r="U75" s="15" t="s">
        <v>146</v>
      </c>
      <c r="V75">
        <v>13</v>
      </c>
      <c r="AA75" s="49" t="s">
        <v>92</v>
      </c>
      <c r="AB75" s="50" t="s">
        <v>40</v>
      </c>
    </row>
    <row r="76" spans="1:28" x14ac:dyDescent="0.4">
      <c r="A76" s="138"/>
      <c r="B76" s="144"/>
      <c r="C76" s="85" t="s">
        <v>251</v>
      </c>
      <c r="D76" s="109" t="s">
        <v>250</v>
      </c>
      <c r="E76" s="15" t="s">
        <v>38</v>
      </c>
      <c r="F76" s="16"/>
      <c r="G76" s="15" t="s">
        <v>180</v>
      </c>
      <c r="H76" s="15"/>
      <c r="I76" s="15"/>
      <c r="J76" s="15">
        <v>1</v>
      </c>
      <c r="K76" s="15">
        <v>1</v>
      </c>
      <c r="L76" s="17"/>
      <c r="M76" s="17"/>
      <c r="N76" s="17"/>
      <c r="O76" s="17"/>
      <c r="P76" s="17"/>
      <c r="Q76" s="17"/>
      <c r="R76" s="17"/>
      <c r="S76" s="15"/>
      <c r="T76" s="25">
        <v>45873</v>
      </c>
      <c r="U76" s="15" t="s">
        <v>146</v>
      </c>
      <c r="V76">
        <v>14</v>
      </c>
      <c r="AA76" s="49" t="s">
        <v>93</v>
      </c>
      <c r="AB76" s="50" t="s">
        <v>57</v>
      </c>
    </row>
    <row r="77" spans="1:28" x14ac:dyDescent="0.4">
      <c r="A77" s="138"/>
      <c r="B77" s="144"/>
      <c r="C77" s="85" t="s">
        <v>252</v>
      </c>
      <c r="D77" s="109" t="s">
        <v>250</v>
      </c>
      <c r="E77" s="15" t="s">
        <v>38</v>
      </c>
      <c r="F77" s="16"/>
      <c r="G77" s="15" t="s">
        <v>180</v>
      </c>
      <c r="H77" s="15"/>
      <c r="I77" s="15"/>
      <c r="J77" s="15">
        <v>1</v>
      </c>
      <c r="K77" s="15">
        <v>1</v>
      </c>
      <c r="L77" s="17"/>
      <c r="M77" s="17"/>
      <c r="N77" s="17"/>
      <c r="O77" s="17"/>
      <c r="P77" s="17"/>
      <c r="Q77" s="17"/>
      <c r="R77" s="17"/>
      <c r="S77" s="15"/>
      <c r="T77" s="25">
        <v>45873</v>
      </c>
      <c r="U77" s="15" t="s">
        <v>146</v>
      </c>
      <c r="V77">
        <v>15</v>
      </c>
      <c r="AA77" s="49" t="s">
        <v>94</v>
      </c>
      <c r="AB77" s="50" t="s">
        <v>41</v>
      </c>
    </row>
    <row r="78" spans="1:28" x14ac:dyDescent="0.4">
      <c r="A78" s="138"/>
      <c r="B78" s="144"/>
      <c r="C78" s="85"/>
      <c r="D78" s="109"/>
      <c r="E78" s="15"/>
      <c r="F78" s="16"/>
      <c r="G78" s="15"/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38"/>
      <c r="B79" s="144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38"/>
      <c r="B80" s="144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38"/>
      <c r="B81" s="144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38"/>
      <c r="B82" s="144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38"/>
      <c r="B83" s="144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38"/>
      <c r="B84" s="144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38"/>
      <c r="B85" s="144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38"/>
      <c r="B86" s="144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39"/>
      <c r="B87" s="145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15</v>
      </c>
      <c r="D88" s="112"/>
      <c r="E88" s="29"/>
      <c r="F88" s="29" t="s">
        <v>34</v>
      </c>
      <c r="G88" s="29">
        <f>COUNTIF(G63:G87,"S")</f>
        <v>15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9</v>
      </c>
      <c r="L88" s="29">
        <f t="shared" si="2"/>
        <v>1</v>
      </c>
      <c r="M88" s="29">
        <f t="shared" si="2"/>
        <v>1</v>
      </c>
      <c r="N88" s="29">
        <f t="shared" si="2"/>
        <v>1</v>
      </c>
      <c r="O88" s="29">
        <f t="shared" si="2"/>
        <v>2</v>
      </c>
      <c r="P88" s="29">
        <f t="shared" si="2"/>
        <v>1</v>
      </c>
      <c r="Q88" s="29">
        <f t="shared" si="2"/>
        <v>2</v>
      </c>
      <c r="R88" s="29">
        <f t="shared" si="2"/>
        <v>1</v>
      </c>
      <c r="S88" s="29">
        <f t="shared" si="2"/>
        <v>1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19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AYG113</v>
      </c>
      <c r="B91" s="24">
        <f>B1</f>
        <v>45841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5" t="s">
        <v>117</v>
      </c>
      <c r="Y92" s="136"/>
    </row>
    <row r="93" spans="1:28" ht="20.25" thickTop="1" thickBot="1" x14ac:dyDescent="0.45">
      <c r="A93" s="137">
        <v>4</v>
      </c>
      <c r="B93" s="140">
        <v>25.2</v>
      </c>
      <c r="C93" s="85" t="s">
        <v>253</v>
      </c>
      <c r="D93" s="109" t="s">
        <v>183</v>
      </c>
      <c r="E93" s="15" t="s">
        <v>60</v>
      </c>
      <c r="F93" s="14"/>
      <c r="G93" s="12" t="s">
        <v>180</v>
      </c>
      <c r="H93" s="13"/>
      <c r="I93" s="13"/>
      <c r="J93" s="13">
        <v>1</v>
      </c>
      <c r="K93" s="13"/>
      <c r="L93" s="13">
        <v>1</v>
      </c>
      <c r="M93" s="13"/>
      <c r="N93" s="13"/>
      <c r="O93" s="13"/>
      <c r="P93" s="13"/>
      <c r="Q93" s="13"/>
      <c r="R93" s="13"/>
      <c r="S93" s="13"/>
      <c r="T93" s="25">
        <v>45874</v>
      </c>
      <c r="U93" s="13" t="s">
        <v>146</v>
      </c>
      <c r="V93">
        <v>1</v>
      </c>
      <c r="X93" s="51" t="s">
        <v>106</v>
      </c>
      <c r="Y93" s="52">
        <f>COUNTIF(U93:U117,"K")</f>
        <v>10</v>
      </c>
      <c r="AA93" s="59" t="s">
        <v>120</v>
      </c>
      <c r="AB93" s="60" t="s">
        <v>121</v>
      </c>
    </row>
    <row r="94" spans="1:28" x14ac:dyDescent="0.4">
      <c r="A94" s="138"/>
      <c r="B94" s="141"/>
      <c r="C94" s="85" t="s">
        <v>254</v>
      </c>
      <c r="D94" s="109" t="s">
        <v>183</v>
      </c>
      <c r="E94" s="15" t="s">
        <v>60</v>
      </c>
      <c r="F94" s="16"/>
      <c r="G94" s="12" t="s">
        <v>180</v>
      </c>
      <c r="H94" s="15"/>
      <c r="I94" s="15"/>
      <c r="J94" s="15">
        <v>1</v>
      </c>
      <c r="K94" s="15"/>
      <c r="L94" s="17">
        <v>1</v>
      </c>
      <c r="M94" s="17"/>
      <c r="N94" s="17"/>
      <c r="O94" s="17"/>
      <c r="P94" s="17"/>
      <c r="Q94" s="17"/>
      <c r="R94" s="17"/>
      <c r="S94" s="15"/>
      <c r="T94" s="25">
        <v>45874</v>
      </c>
      <c r="U94" s="13" t="s">
        <v>146</v>
      </c>
      <c r="V94">
        <v>2</v>
      </c>
      <c r="X94" s="51" t="s">
        <v>107</v>
      </c>
      <c r="Y94" s="52">
        <f>COUNTIF(U93:U117,"R")</f>
        <v>3</v>
      </c>
      <c r="AA94" s="47" t="s">
        <v>81</v>
      </c>
      <c r="AB94" s="48" t="s">
        <v>60</v>
      </c>
    </row>
    <row r="95" spans="1:28" ht="19.5" thickBot="1" x14ac:dyDescent="0.45">
      <c r="A95" s="138"/>
      <c r="B95" s="141"/>
      <c r="C95" s="85" t="s">
        <v>255</v>
      </c>
      <c r="D95" s="109" t="s">
        <v>183</v>
      </c>
      <c r="E95" s="15" t="s">
        <v>60</v>
      </c>
      <c r="F95" s="16"/>
      <c r="G95" s="12" t="s">
        <v>180</v>
      </c>
      <c r="H95" s="15"/>
      <c r="I95" s="15"/>
      <c r="J95" s="15">
        <v>1</v>
      </c>
      <c r="K95" s="15"/>
      <c r="L95" s="17">
        <v>1</v>
      </c>
      <c r="M95" s="17"/>
      <c r="N95" s="17"/>
      <c r="O95" s="17"/>
      <c r="P95" s="17"/>
      <c r="Q95" s="17"/>
      <c r="R95" s="17"/>
      <c r="S95" s="15"/>
      <c r="T95" s="25">
        <v>45874</v>
      </c>
      <c r="U95" s="13" t="s">
        <v>146</v>
      </c>
      <c r="V95">
        <v>3</v>
      </c>
      <c r="X95" s="53" t="s">
        <v>108</v>
      </c>
      <c r="Y95" s="54">
        <f>COUNTIF(U93:U117,"J")</f>
        <v>3</v>
      </c>
      <c r="AA95" s="49" t="s">
        <v>122</v>
      </c>
      <c r="AB95" s="50" t="s">
        <v>39</v>
      </c>
    </row>
    <row r="96" spans="1:28" x14ac:dyDescent="0.4">
      <c r="A96" s="138"/>
      <c r="B96" s="141"/>
      <c r="C96" s="85" t="s">
        <v>256</v>
      </c>
      <c r="D96" s="109" t="s">
        <v>183</v>
      </c>
      <c r="E96" s="15" t="s">
        <v>60</v>
      </c>
      <c r="F96" s="16"/>
      <c r="G96" s="12" t="s">
        <v>180</v>
      </c>
      <c r="H96" s="15"/>
      <c r="I96" s="15"/>
      <c r="J96" s="15">
        <v>1</v>
      </c>
      <c r="K96" s="15"/>
      <c r="L96" s="17">
        <v>1</v>
      </c>
      <c r="M96" s="17"/>
      <c r="N96" s="17"/>
      <c r="O96" s="17"/>
      <c r="P96" s="17"/>
      <c r="Q96" s="17"/>
      <c r="R96" s="17"/>
      <c r="S96" s="15"/>
      <c r="T96" s="25">
        <v>45874</v>
      </c>
      <c r="U96" s="15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38"/>
      <c r="B97" s="141"/>
      <c r="C97" s="85" t="s">
        <v>257</v>
      </c>
      <c r="D97" s="109" t="s">
        <v>183</v>
      </c>
      <c r="E97" s="15" t="s">
        <v>60</v>
      </c>
      <c r="F97" s="16"/>
      <c r="G97" s="12" t="s">
        <v>180</v>
      </c>
      <c r="H97" s="15"/>
      <c r="I97" s="15"/>
      <c r="J97" s="15">
        <v>1</v>
      </c>
      <c r="K97" s="15"/>
      <c r="L97" s="17">
        <v>1</v>
      </c>
      <c r="M97" s="17"/>
      <c r="N97" s="17"/>
      <c r="O97" s="17"/>
      <c r="P97" s="17"/>
      <c r="Q97" s="17"/>
      <c r="R97" s="17"/>
      <c r="S97" s="15"/>
      <c r="T97" s="25">
        <v>45874</v>
      </c>
      <c r="U97" s="13" t="s">
        <v>146</v>
      </c>
      <c r="V97">
        <v>5</v>
      </c>
      <c r="AA97" s="49" t="s">
        <v>84</v>
      </c>
      <c r="AB97" s="50" t="s">
        <v>44</v>
      </c>
    </row>
    <row r="98" spans="1:28" x14ac:dyDescent="0.4">
      <c r="A98" s="138"/>
      <c r="B98" s="141"/>
      <c r="C98" s="85" t="s">
        <v>258</v>
      </c>
      <c r="D98" s="109" t="s">
        <v>183</v>
      </c>
      <c r="E98" s="15" t="s">
        <v>60</v>
      </c>
      <c r="F98" s="16"/>
      <c r="G98" s="12" t="s">
        <v>180</v>
      </c>
      <c r="H98" s="13"/>
      <c r="I98" s="15"/>
      <c r="J98" s="15">
        <v>1</v>
      </c>
      <c r="K98" s="15"/>
      <c r="L98" s="17">
        <v>1</v>
      </c>
      <c r="M98" s="17"/>
      <c r="N98" s="17"/>
      <c r="O98" s="17"/>
      <c r="P98" s="17"/>
      <c r="Q98" s="17"/>
      <c r="R98" s="17"/>
      <c r="S98" s="15"/>
      <c r="T98" s="25">
        <v>45874</v>
      </c>
      <c r="U98" s="13" t="s">
        <v>146</v>
      </c>
      <c r="V98">
        <v>6</v>
      </c>
      <c r="AA98" s="49" t="s">
        <v>85</v>
      </c>
      <c r="AB98" s="50" t="s">
        <v>43</v>
      </c>
    </row>
    <row r="99" spans="1:28" x14ac:dyDescent="0.4">
      <c r="A99" s="138"/>
      <c r="B99" s="141"/>
      <c r="C99" s="85" t="s">
        <v>259</v>
      </c>
      <c r="D99" s="109" t="s">
        <v>183</v>
      </c>
      <c r="E99" s="15" t="s">
        <v>60</v>
      </c>
      <c r="F99" s="16"/>
      <c r="G99" s="12" t="s">
        <v>180</v>
      </c>
      <c r="H99" s="15"/>
      <c r="I99" s="15"/>
      <c r="J99" s="15">
        <v>1</v>
      </c>
      <c r="K99" s="15"/>
      <c r="L99" s="17">
        <v>1</v>
      </c>
      <c r="M99" s="17"/>
      <c r="N99" s="17"/>
      <c r="O99" s="17"/>
      <c r="P99" s="17"/>
      <c r="Q99" s="17"/>
      <c r="R99" s="17"/>
      <c r="S99" s="15"/>
      <c r="T99" s="25">
        <v>45874</v>
      </c>
      <c r="U99" s="13" t="s">
        <v>146</v>
      </c>
      <c r="V99">
        <v>7</v>
      </c>
      <c r="AA99" s="49" t="s">
        <v>86</v>
      </c>
      <c r="AB99" s="50" t="s">
        <v>45</v>
      </c>
    </row>
    <row r="100" spans="1:28" x14ac:dyDescent="0.4">
      <c r="A100" s="138"/>
      <c r="B100" s="141"/>
      <c r="C100" s="85" t="s">
        <v>260</v>
      </c>
      <c r="D100" s="109" t="s">
        <v>183</v>
      </c>
      <c r="E100" s="15" t="s">
        <v>60</v>
      </c>
      <c r="F100" s="16"/>
      <c r="G100" s="12" t="s">
        <v>180</v>
      </c>
      <c r="H100" s="15"/>
      <c r="I100" s="15"/>
      <c r="J100" s="15">
        <v>1</v>
      </c>
      <c r="K100" s="15"/>
      <c r="L100" s="17">
        <v>1</v>
      </c>
      <c r="M100" s="17"/>
      <c r="N100" s="17"/>
      <c r="O100" s="17"/>
      <c r="P100" s="17"/>
      <c r="Q100" s="17"/>
      <c r="R100" s="17"/>
      <c r="S100" s="15"/>
      <c r="T100" s="25">
        <v>45874</v>
      </c>
      <c r="U100" s="15" t="s">
        <v>146</v>
      </c>
      <c r="V100">
        <v>8</v>
      </c>
      <c r="AA100" s="49" t="s">
        <v>87</v>
      </c>
      <c r="AB100" s="50" t="s">
        <v>37</v>
      </c>
    </row>
    <row r="101" spans="1:28" x14ac:dyDescent="0.4">
      <c r="A101" s="138"/>
      <c r="B101" s="141"/>
      <c r="C101" s="85" t="s">
        <v>261</v>
      </c>
      <c r="D101" s="109" t="s">
        <v>179</v>
      </c>
      <c r="E101" s="15" t="s">
        <v>36</v>
      </c>
      <c r="F101" s="16"/>
      <c r="G101" s="12" t="s">
        <v>180</v>
      </c>
      <c r="H101" s="15"/>
      <c r="I101" s="15"/>
      <c r="J101" s="15"/>
      <c r="K101" s="15"/>
      <c r="L101" s="17"/>
      <c r="M101" s="17">
        <v>1</v>
      </c>
      <c r="N101" s="17">
        <v>1</v>
      </c>
      <c r="O101" s="17"/>
      <c r="P101" s="17"/>
      <c r="Q101" s="17"/>
      <c r="R101" s="17"/>
      <c r="S101" s="15"/>
      <c r="T101" s="25">
        <v>45867</v>
      </c>
      <c r="U101" s="15" t="s">
        <v>147</v>
      </c>
      <c r="V101">
        <v>9</v>
      </c>
      <c r="AA101" s="49" t="s">
        <v>88</v>
      </c>
      <c r="AB101" s="50" t="s">
        <v>74</v>
      </c>
    </row>
    <row r="102" spans="1:28" x14ac:dyDescent="0.4">
      <c r="A102" s="138"/>
      <c r="B102" s="141"/>
      <c r="C102" s="85" t="s">
        <v>262</v>
      </c>
      <c r="D102" s="109" t="s">
        <v>263</v>
      </c>
      <c r="E102" s="15" t="s">
        <v>37</v>
      </c>
      <c r="F102" s="16"/>
      <c r="G102" s="12" t="s">
        <v>180</v>
      </c>
      <c r="H102" s="15"/>
      <c r="I102" s="15"/>
      <c r="J102" s="15"/>
      <c r="K102" s="15"/>
      <c r="L102" s="17"/>
      <c r="M102" s="17">
        <v>1</v>
      </c>
      <c r="N102" s="17">
        <v>1</v>
      </c>
      <c r="O102" s="17"/>
      <c r="P102" s="17"/>
      <c r="Q102" s="17">
        <v>1</v>
      </c>
      <c r="R102" s="17"/>
      <c r="S102" s="15"/>
      <c r="T102" s="25">
        <v>45877</v>
      </c>
      <c r="U102" s="15" t="s">
        <v>147</v>
      </c>
      <c r="V102">
        <v>10</v>
      </c>
      <c r="AA102" s="49" t="s">
        <v>89</v>
      </c>
      <c r="AB102" s="50" t="s">
        <v>36</v>
      </c>
    </row>
    <row r="103" spans="1:28" x14ac:dyDescent="0.4">
      <c r="A103" s="138"/>
      <c r="B103" s="141"/>
      <c r="C103" s="85" t="s">
        <v>265</v>
      </c>
      <c r="D103" s="109" t="s">
        <v>264</v>
      </c>
      <c r="E103" s="15" t="s">
        <v>40</v>
      </c>
      <c r="F103" s="16"/>
      <c r="G103" s="12" t="s">
        <v>180</v>
      </c>
      <c r="H103" s="15"/>
      <c r="I103" s="15"/>
      <c r="J103" s="15"/>
      <c r="K103" s="15"/>
      <c r="L103" s="17"/>
      <c r="M103" s="17"/>
      <c r="N103" s="17"/>
      <c r="O103" s="17">
        <v>1</v>
      </c>
      <c r="P103" s="17">
        <v>1</v>
      </c>
      <c r="Q103" s="17"/>
      <c r="R103" s="17">
        <v>1</v>
      </c>
      <c r="S103" s="15"/>
      <c r="T103" s="25">
        <v>45871</v>
      </c>
      <c r="U103" s="15" t="s">
        <v>148</v>
      </c>
      <c r="V103">
        <v>11</v>
      </c>
      <c r="AA103" s="49" t="s">
        <v>90</v>
      </c>
      <c r="AB103" s="50" t="s">
        <v>58</v>
      </c>
    </row>
    <row r="104" spans="1:28" x14ac:dyDescent="0.4">
      <c r="A104" s="138"/>
      <c r="B104" s="141"/>
      <c r="C104" s="85" t="s">
        <v>266</v>
      </c>
      <c r="D104" s="109" t="s">
        <v>264</v>
      </c>
      <c r="E104" s="15" t="s">
        <v>40</v>
      </c>
      <c r="F104" s="16"/>
      <c r="G104" s="12" t="s">
        <v>184</v>
      </c>
      <c r="H104" s="15"/>
      <c r="I104" s="15"/>
      <c r="J104" s="15"/>
      <c r="K104" s="15"/>
      <c r="L104" s="17"/>
      <c r="M104" s="17"/>
      <c r="N104" s="17"/>
      <c r="O104" s="17">
        <v>1</v>
      </c>
      <c r="P104" s="17">
        <v>1</v>
      </c>
      <c r="Q104" s="17"/>
      <c r="R104" s="17">
        <v>1</v>
      </c>
      <c r="S104" s="15"/>
      <c r="T104" s="25">
        <v>45871</v>
      </c>
      <c r="U104" s="15" t="s">
        <v>148</v>
      </c>
      <c r="V104">
        <v>12</v>
      </c>
      <c r="AA104" s="49" t="s">
        <v>91</v>
      </c>
      <c r="AB104" s="50" t="s">
        <v>75</v>
      </c>
    </row>
    <row r="105" spans="1:28" x14ac:dyDescent="0.4">
      <c r="A105" s="138"/>
      <c r="B105" s="141"/>
      <c r="C105" s="85" t="s">
        <v>268</v>
      </c>
      <c r="D105" s="109" t="s">
        <v>267</v>
      </c>
      <c r="E105" s="15" t="s">
        <v>37</v>
      </c>
      <c r="F105" s="16"/>
      <c r="G105" s="12" t="s">
        <v>180</v>
      </c>
      <c r="H105" s="15"/>
      <c r="I105" s="15"/>
      <c r="J105" s="15"/>
      <c r="K105" s="15"/>
      <c r="L105" s="17"/>
      <c r="M105" s="17">
        <v>1</v>
      </c>
      <c r="N105" s="17"/>
      <c r="O105" s="17"/>
      <c r="P105" s="17"/>
      <c r="Q105" s="17"/>
      <c r="R105" s="17"/>
      <c r="S105" s="15"/>
      <c r="T105" s="25">
        <v>45867</v>
      </c>
      <c r="U105" s="132" t="s">
        <v>147</v>
      </c>
      <c r="V105">
        <v>13</v>
      </c>
      <c r="AA105" s="49" t="s">
        <v>92</v>
      </c>
      <c r="AB105" s="50" t="s">
        <v>40</v>
      </c>
    </row>
    <row r="106" spans="1:28" x14ac:dyDescent="0.4">
      <c r="A106" s="138"/>
      <c r="B106" s="141"/>
      <c r="C106" s="85" t="s">
        <v>269</v>
      </c>
      <c r="D106" s="109" t="s">
        <v>270</v>
      </c>
      <c r="E106" s="15" t="s">
        <v>40</v>
      </c>
      <c r="F106" s="16"/>
      <c r="G106" s="12" t="s">
        <v>184</v>
      </c>
      <c r="H106" s="15"/>
      <c r="I106" s="15"/>
      <c r="J106" s="15"/>
      <c r="K106" s="15"/>
      <c r="L106" s="17"/>
      <c r="M106" s="17"/>
      <c r="N106" s="17"/>
      <c r="O106" s="17"/>
      <c r="P106" s="17">
        <v>1</v>
      </c>
      <c r="Q106" s="17"/>
      <c r="R106" s="17"/>
      <c r="S106" s="15"/>
      <c r="T106" s="25">
        <v>45875</v>
      </c>
      <c r="U106" s="15" t="s">
        <v>148</v>
      </c>
      <c r="V106">
        <v>14</v>
      </c>
      <c r="AA106" s="49" t="s">
        <v>93</v>
      </c>
      <c r="AB106" s="50" t="s">
        <v>57</v>
      </c>
    </row>
    <row r="107" spans="1:28" x14ac:dyDescent="0.4">
      <c r="A107" s="138"/>
      <c r="B107" s="141"/>
      <c r="C107" s="85" t="s">
        <v>271</v>
      </c>
      <c r="D107" s="109" t="s">
        <v>270</v>
      </c>
      <c r="E107" s="15" t="s">
        <v>43</v>
      </c>
      <c r="F107" s="16"/>
      <c r="G107" s="15" t="s">
        <v>180</v>
      </c>
      <c r="H107" s="15"/>
      <c r="I107" s="15"/>
      <c r="J107" s="15">
        <v>1</v>
      </c>
      <c r="K107" s="15">
        <v>1</v>
      </c>
      <c r="L107" s="17"/>
      <c r="M107" s="17"/>
      <c r="N107" s="17"/>
      <c r="O107" s="17"/>
      <c r="P107" s="17"/>
      <c r="Q107" s="17"/>
      <c r="R107" s="17"/>
      <c r="S107" s="15"/>
      <c r="T107" s="25">
        <v>45875</v>
      </c>
      <c r="U107" s="15" t="s">
        <v>146</v>
      </c>
      <c r="V107">
        <v>15</v>
      </c>
      <c r="AA107" s="49" t="s">
        <v>94</v>
      </c>
      <c r="AB107" s="50" t="s">
        <v>41</v>
      </c>
    </row>
    <row r="108" spans="1:28" x14ac:dyDescent="0.4">
      <c r="A108" s="138"/>
      <c r="B108" s="141"/>
      <c r="C108" s="85" t="s">
        <v>272</v>
      </c>
      <c r="D108" s="109" t="s">
        <v>270</v>
      </c>
      <c r="E108" s="15" t="s">
        <v>44</v>
      </c>
      <c r="F108" s="16"/>
      <c r="G108" s="15" t="s">
        <v>180</v>
      </c>
      <c r="H108" s="15"/>
      <c r="I108" s="15"/>
      <c r="J108" s="18">
        <v>1</v>
      </c>
      <c r="K108" s="15">
        <v>1</v>
      </c>
      <c r="L108" s="19"/>
      <c r="M108" s="19"/>
      <c r="N108" s="19"/>
      <c r="O108" s="19"/>
      <c r="P108" s="19"/>
      <c r="Q108" s="19"/>
      <c r="R108" s="19"/>
      <c r="S108" s="15"/>
      <c r="T108" s="25">
        <v>45875</v>
      </c>
      <c r="U108" s="15" t="s">
        <v>146</v>
      </c>
      <c r="V108">
        <v>16</v>
      </c>
      <c r="AA108" s="49" t="s">
        <v>95</v>
      </c>
      <c r="AB108" s="50" t="s">
        <v>42</v>
      </c>
    </row>
    <row r="109" spans="1:28" x14ac:dyDescent="0.4">
      <c r="A109" s="138"/>
      <c r="B109" s="141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38"/>
      <c r="B110" s="141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38"/>
      <c r="B111" s="141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38"/>
      <c r="B112" s="141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38"/>
      <c r="B113" s="141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38"/>
      <c r="B114" s="141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38"/>
      <c r="B115" s="141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38"/>
      <c r="B116" s="141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39"/>
      <c r="B117" s="142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16</v>
      </c>
      <c r="D118" s="112"/>
      <c r="E118" s="29"/>
      <c r="F118" s="29" t="s">
        <v>34</v>
      </c>
      <c r="G118" s="29">
        <f>COUNTIF(G93:G117,"S")</f>
        <v>14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10</v>
      </c>
      <c r="K118" s="29">
        <f t="shared" ref="K118" si="4">SUM(K93:K117)</f>
        <v>2</v>
      </c>
      <c r="L118" s="29">
        <f t="shared" ref="L118" si="5">SUM(L93:L117)</f>
        <v>8</v>
      </c>
      <c r="M118" s="29">
        <f t="shared" ref="M118" si="6">SUM(M93:M117)</f>
        <v>3</v>
      </c>
      <c r="N118" s="29">
        <f t="shared" ref="N118" si="7">SUM(N93:N117)</f>
        <v>2</v>
      </c>
      <c r="O118" s="29">
        <f t="shared" ref="O118" si="8">SUM(O93:O117)</f>
        <v>2</v>
      </c>
      <c r="P118" s="29">
        <f t="shared" ref="P118" si="9">SUM(P93:P117)</f>
        <v>3</v>
      </c>
      <c r="Q118" s="29">
        <f t="shared" ref="Q118" si="10">SUM(Q93:Q117)</f>
        <v>1</v>
      </c>
      <c r="R118" s="29">
        <f t="shared" ref="R118" si="11">SUM(R93:R117)</f>
        <v>2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2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33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AYG113</v>
      </c>
      <c r="B121" s="24">
        <f>B1</f>
        <v>45841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5" t="s">
        <v>116</v>
      </c>
      <c r="Y122" s="136"/>
    </row>
    <row r="123" spans="1:28" ht="20.25" thickTop="1" thickBot="1" x14ac:dyDescent="0.45">
      <c r="A123" s="137">
        <v>5</v>
      </c>
      <c r="B123" s="140">
        <v>19.8</v>
      </c>
      <c r="C123" s="85" t="s">
        <v>273</v>
      </c>
      <c r="D123" s="106" t="s">
        <v>235</v>
      </c>
      <c r="E123" s="15" t="s">
        <v>36</v>
      </c>
      <c r="F123" s="14"/>
      <c r="G123" s="12" t="s">
        <v>180</v>
      </c>
      <c r="H123" s="13"/>
      <c r="I123" s="13"/>
      <c r="J123" s="13">
        <v>1</v>
      </c>
      <c r="K123" s="13">
        <v>1</v>
      </c>
      <c r="L123" s="13"/>
      <c r="M123" s="13"/>
      <c r="N123" s="13"/>
      <c r="O123" s="13"/>
      <c r="P123" s="13"/>
      <c r="Q123" s="13"/>
      <c r="R123" s="13"/>
      <c r="S123" s="13"/>
      <c r="T123" s="25">
        <v>45877</v>
      </c>
      <c r="U123" s="13" t="s">
        <v>146</v>
      </c>
      <c r="V123">
        <v>1</v>
      </c>
      <c r="X123" s="51" t="s">
        <v>106</v>
      </c>
      <c r="Y123" s="52">
        <f>COUNTIF(U123:U147,"K")</f>
        <v>9</v>
      </c>
      <c r="AA123" s="59" t="s">
        <v>120</v>
      </c>
      <c r="AB123" s="60" t="s">
        <v>121</v>
      </c>
    </row>
    <row r="124" spans="1:28" x14ac:dyDescent="0.4">
      <c r="A124" s="138"/>
      <c r="B124" s="141"/>
      <c r="C124" s="85" t="s">
        <v>274</v>
      </c>
      <c r="D124" s="106" t="s">
        <v>179</v>
      </c>
      <c r="E124" s="15" t="s">
        <v>36</v>
      </c>
      <c r="F124" s="16"/>
      <c r="G124" s="12" t="s">
        <v>180</v>
      </c>
      <c r="H124" s="15"/>
      <c r="I124" s="15"/>
      <c r="J124" s="15"/>
      <c r="K124" s="15"/>
      <c r="L124" s="17"/>
      <c r="M124" s="17">
        <v>1</v>
      </c>
      <c r="N124" s="13">
        <v>1</v>
      </c>
      <c r="O124" s="17"/>
      <c r="P124" s="17"/>
      <c r="Q124" s="17"/>
      <c r="R124" s="17"/>
      <c r="S124" s="15"/>
      <c r="T124" s="25">
        <v>45853</v>
      </c>
      <c r="U124" s="13" t="s">
        <v>147</v>
      </c>
      <c r="V124">
        <v>2</v>
      </c>
      <c r="X124" s="51" t="s">
        <v>107</v>
      </c>
      <c r="Y124" s="52">
        <f>COUNTIF(U123:U147,"R")</f>
        <v>4</v>
      </c>
      <c r="AA124" s="47" t="s">
        <v>81</v>
      </c>
      <c r="AB124" s="48" t="s">
        <v>60</v>
      </c>
    </row>
    <row r="125" spans="1:28" ht="19.5" thickBot="1" x14ac:dyDescent="0.45">
      <c r="A125" s="138"/>
      <c r="B125" s="141"/>
      <c r="C125" s="85" t="s">
        <v>275</v>
      </c>
      <c r="D125" s="106" t="s">
        <v>179</v>
      </c>
      <c r="E125" s="15" t="s">
        <v>37</v>
      </c>
      <c r="F125" s="16"/>
      <c r="G125" s="12" t="s">
        <v>180</v>
      </c>
      <c r="H125" s="13"/>
      <c r="I125" s="15"/>
      <c r="J125" s="15">
        <v>1</v>
      </c>
      <c r="K125" s="15">
        <v>1</v>
      </c>
      <c r="L125" s="17"/>
      <c r="M125" s="17"/>
      <c r="N125" s="13"/>
      <c r="O125" s="17"/>
      <c r="P125" s="17"/>
      <c r="Q125" s="17"/>
      <c r="R125" s="17"/>
      <c r="S125" s="15"/>
      <c r="T125" s="25">
        <v>45856</v>
      </c>
      <c r="U125" s="13" t="s">
        <v>146</v>
      </c>
      <c r="V125">
        <v>3</v>
      </c>
      <c r="X125" s="53" t="s">
        <v>108</v>
      </c>
      <c r="Y125" s="54">
        <f>COUNTIF(U123:U147,"J")</f>
        <v>3</v>
      </c>
      <c r="AA125" s="49" t="s">
        <v>82</v>
      </c>
      <c r="AB125" s="50" t="s">
        <v>39</v>
      </c>
    </row>
    <row r="126" spans="1:28" x14ac:dyDescent="0.4">
      <c r="A126" s="138"/>
      <c r="B126" s="141"/>
      <c r="C126" s="85" t="s">
        <v>276</v>
      </c>
      <c r="D126" s="106" t="s">
        <v>179</v>
      </c>
      <c r="E126" s="15" t="s">
        <v>36</v>
      </c>
      <c r="F126" s="16"/>
      <c r="G126" s="12" t="s">
        <v>180</v>
      </c>
      <c r="H126" s="15"/>
      <c r="I126" s="15"/>
      <c r="J126" s="15"/>
      <c r="K126" s="15"/>
      <c r="L126" s="17"/>
      <c r="M126" s="17">
        <v>1</v>
      </c>
      <c r="N126" s="13">
        <v>1</v>
      </c>
      <c r="O126" s="17"/>
      <c r="P126" s="17"/>
      <c r="Q126" s="17">
        <v>1</v>
      </c>
      <c r="R126" s="17"/>
      <c r="S126" s="15"/>
      <c r="T126" s="25">
        <v>45856</v>
      </c>
      <c r="U126" s="13" t="s">
        <v>147</v>
      </c>
      <c r="V126">
        <v>4</v>
      </c>
      <c r="AA126" s="49" t="s">
        <v>83</v>
      </c>
      <c r="AB126" s="50" t="s">
        <v>38</v>
      </c>
    </row>
    <row r="127" spans="1:28" x14ac:dyDescent="0.4">
      <c r="A127" s="138"/>
      <c r="B127" s="141"/>
      <c r="C127" s="85" t="s">
        <v>277</v>
      </c>
      <c r="D127" s="106" t="s">
        <v>179</v>
      </c>
      <c r="E127" s="15" t="s">
        <v>37</v>
      </c>
      <c r="F127" s="16"/>
      <c r="G127" s="12" t="s">
        <v>180</v>
      </c>
      <c r="H127" s="15"/>
      <c r="I127" s="15"/>
      <c r="J127" s="15">
        <v>1</v>
      </c>
      <c r="K127" s="15">
        <v>1</v>
      </c>
      <c r="L127" s="17"/>
      <c r="M127" s="17"/>
      <c r="N127" s="13"/>
      <c r="O127" s="17"/>
      <c r="P127" s="17"/>
      <c r="Q127" s="17"/>
      <c r="R127" s="17"/>
      <c r="S127" s="15"/>
      <c r="T127" s="25">
        <v>45856</v>
      </c>
      <c r="U127" s="13" t="s">
        <v>146</v>
      </c>
      <c r="V127">
        <v>5</v>
      </c>
      <c r="AA127" s="49" t="s">
        <v>84</v>
      </c>
      <c r="AB127" s="50" t="s">
        <v>44</v>
      </c>
    </row>
    <row r="128" spans="1:28" x14ac:dyDescent="0.4">
      <c r="A128" s="138"/>
      <c r="B128" s="141"/>
      <c r="C128" s="85" t="s">
        <v>279</v>
      </c>
      <c r="D128" s="106" t="s">
        <v>278</v>
      </c>
      <c r="E128" s="15" t="s">
        <v>38</v>
      </c>
      <c r="F128" s="16"/>
      <c r="G128" s="12" t="s">
        <v>180</v>
      </c>
      <c r="H128" s="13"/>
      <c r="I128" s="15"/>
      <c r="J128" s="15">
        <v>1</v>
      </c>
      <c r="K128" s="15"/>
      <c r="L128" s="17"/>
      <c r="M128" s="17"/>
      <c r="N128" s="13"/>
      <c r="O128" s="17"/>
      <c r="P128" s="17"/>
      <c r="Q128" s="17"/>
      <c r="R128" s="17"/>
      <c r="S128" s="15"/>
      <c r="T128" s="25">
        <v>45865</v>
      </c>
      <c r="U128" s="13" t="s">
        <v>146</v>
      </c>
      <c r="V128">
        <v>6</v>
      </c>
      <c r="AA128" s="49" t="s">
        <v>85</v>
      </c>
      <c r="AB128" s="50" t="s">
        <v>43</v>
      </c>
    </row>
    <row r="129" spans="1:28" x14ac:dyDescent="0.4">
      <c r="A129" s="138"/>
      <c r="B129" s="141"/>
      <c r="C129" s="85" t="s">
        <v>280</v>
      </c>
      <c r="D129" s="106" t="s">
        <v>278</v>
      </c>
      <c r="E129" s="15" t="s">
        <v>40</v>
      </c>
      <c r="F129" s="16"/>
      <c r="G129" s="12" t="s">
        <v>180</v>
      </c>
      <c r="H129" s="15"/>
      <c r="I129" s="15"/>
      <c r="J129" s="15"/>
      <c r="K129" s="15"/>
      <c r="L129" s="17"/>
      <c r="M129" s="17"/>
      <c r="N129" s="13"/>
      <c r="O129" s="17">
        <v>1</v>
      </c>
      <c r="P129" s="17">
        <v>1</v>
      </c>
      <c r="Q129" s="17"/>
      <c r="R129" s="17"/>
      <c r="S129" s="15"/>
      <c r="T129" s="25">
        <v>45865</v>
      </c>
      <c r="U129" s="13" t="s">
        <v>148</v>
      </c>
      <c r="V129">
        <v>7</v>
      </c>
      <c r="AA129" s="49" t="s">
        <v>86</v>
      </c>
      <c r="AB129" s="50" t="s">
        <v>45</v>
      </c>
    </row>
    <row r="130" spans="1:28" x14ac:dyDescent="0.4">
      <c r="A130" s="138"/>
      <c r="B130" s="141"/>
      <c r="C130" s="85" t="s">
        <v>281</v>
      </c>
      <c r="D130" s="106" t="s">
        <v>278</v>
      </c>
      <c r="E130" s="15" t="s">
        <v>74</v>
      </c>
      <c r="F130" s="16"/>
      <c r="G130" s="12" t="s">
        <v>180</v>
      </c>
      <c r="H130" s="15"/>
      <c r="I130" s="15"/>
      <c r="J130" s="15">
        <v>1</v>
      </c>
      <c r="K130" s="15"/>
      <c r="L130" s="17"/>
      <c r="M130" s="17"/>
      <c r="N130" s="13"/>
      <c r="O130" s="17"/>
      <c r="P130" s="17"/>
      <c r="Q130" s="17"/>
      <c r="R130" s="17"/>
      <c r="S130" s="15"/>
      <c r="T130" s="25">
        <v>45865</v>
      </c>
      <c r="U130" s="13" t="s">
        <v>146</v>
      </c>
      <c r="V130">
        <v>8</v>
      </c>
      <c r="AA130" s="49" t="s">
        <v>87</v>
      </c>
      <c r="AB130" s="50" t="s">
        <v>37</v>
      </c>
    </row>
    <row r="131" spans="1:28" x14ac:dyDescent="0.4">
      <c r="A131" s="138"/>
      <c r="B131" s="141"/>
      <c r="C131" s="85" t="s">
        <v>282</v>
      </c>
      <c r="D131" s="106" t="s">
        <v>278</v>
      </c>
      <c r="E131" s="15" t="s">
        <v>58</v>
      </c>
      <c r="F131" s="16"/>
      <c r="G131" s="12" t="s">
        <v>180</v>
      </c>
      <c r="H131" s="15"/>
      <c r="I131" s="15"/>
      <c r="J131" s="15"/>
      <c r="K131" s="15"/>
      <c r="L131" s="17"/>
      <c r="M131" s="17"/>
      <c r="N131" s="13"/>
      <c r="O131" s="17"/>
      <c r="P131" s="17"/>
      <c r="Q131" s="17"/>
      <c r="R131" s="17"/>
      <c r="S131" s="86" t="s">
        <v>290</v>
      </c>
      <c r="T131" s="25">
        <v>45865</v>
      </c>
      <c r="U131" s="13" t="s">
        <v>146</v>
      </c>
      <c r="V131">
        <v>9</v>
      </c>
      <c r="AA131" s="49" t="s">
        <v>88</v>
      </c>
      <c r="AB131" s="50" t="s">
        <v>74</v>
      </c>
    </row>
    <row r="132" spans="1:28" x14ac:dyDescent="0.4">
      <c r="A132" s="138"/>
      <c r="B132" s="141"/>
      <c r="C132" s="85" t="s">
        <v>283</v>
      </c>
      <c r="D132" s="106" t="s">
        <v>278</v>
      </c>
      <c r="E132" s="15" t="s">
        <v>43</v>
      </c>
      <c r="F132" s="16"/>
      <c r="G132" s="12" t="s">
        <v>180</v>
      </c>
      <c r="H132" s="15"/>
      <c r="I132" s="15"/>
      <c r="J132" s="15">
        <v>1</v>
      </c>
      <c r="K132" s="15"/>
      <c r="L132" s="17"/>
      <c r="M132" s="17"/>
      <c r="N132" s="13"/>
      <c r="O132" s="17"/>
      <c r="P132" s="17"/>
      <c r="Q132" s="17"/>
      <c r="R132" s="17"/>
      <c r="S132" s="15"/>
      <c r="T132" s="25">
        <v>45865</v>
      </c>
      <c r="U132" s="13" t="s">
        <v>146</v>
      </c>
      <c r="V132">
        <v>10</v>
      </c>
      <c r="AA132" s="49" t="s">
        <v>89</v>
      </c>
      <c r="AB132" s="50" t="s">
        <v>36</v>
      </c>
    </row>
    <row r="133" spans="1:28" x14ac:dyDescent="0.4">
      <c r="A133" s="138"/>
      <c r="B133" s="141"/>
      <c r="C133" s="85" t="s">
        <v>284</v>
      </c>
      <c r="D133" s="106" t="s">
        <v>278</v>
      </c>
      <c r="E133" s="15" t="s">
        <v>37</v>
      </c>
      <c r="F133" s="16"/>
      <c r="G133" s="12" t="s">
        <v>180</v>
      </c>
      <c r="H133" s="15"/>
      <c r="I133" s="15"/>
      <c r="J133" s="15">
        <v>1</v>
      </c>
      <c r="K133" s="15">
        <v>1</v>
      </c>
      <c r="L133" s="17"/>
      <c r="M133" s="17"/>
      <c r="N133" s="13"/>
      <c r="O133" s="17"/>
      <c r="P133" s="17"/>
      <c r="Q133" s="17"/>
      <c r="R133" s="17"/>
      <c r="S133" s="15"/>
      <c r="T133" s="25">
        <v>45865</v>
      </c>
      <c r="U133" s="13" t="s">
        <v>146</v>
      </c>
      <c r="V133">
        <v>11</v>
      </c>
      <c r="AA133" s="49" t="s">
        <v>90</v>
      </c>
      <c r="AB133" s="50" t="s">
        <v>58</v>
      </c>
    </row>
    <row r="134" spans="1:28" x14ac:dyDescent="0.4">
      <c r="A134" s="138"/>
      <c r="B134" s="141"/>
      <c r="C134" s="85" t="s">
        <v>285</v>
      </c>
      <c r="D134" s="106" t="s">
        <v>278</v>
      </c>
      <c r="E134" s="15" t="s">
        <v>41</v>
      </c>
      <c r="F134" s="16"/>
      <c r="G134" s="12" t="s">
        <v>180</v>
      </c>
      <c r="H134" s="15"/>
      <c r="I134" s="15"/>
      <c r="J134" s="15"/>
      <c r="K134" s="15"/>
      <c r="L134" s="17"/>
      <c r="M134" s="17"/>
      <c r="N134" s="13"/>
      <c r="O134" s="17"/>
      <c r="P134" s="17"/>
      <c r="Q134" s="17"/>
      <c r="R134" s="17"/>
      <c r="S134" s="15"/>
      <c r="T134" s="25">
        <v>45865</v>
      </c>
      <c r="U134" s="13" t="s">
        <v>147</v>
      </c>
      <c r="V134">
        <v>12</v>
      </c>
      <c r="AA134" s="49" t="s">
        <v>91</v>
      </c>
      <c r="AB134" s="50" t="s">
        <v>75</v>
      </c>
    </row>
    <row r="135" spans="1:28" x14ac:dyDescent="0.4">
      <c r="A135" s="138"/>
      <c r="B135" s="141"/>
      <c r="C135" s="85" t="s">
        <v>286</v>
      </c>
      <c r="D135" s="106" t="s">
        <v>278</v>
      </c>
      <c r="E135" s="15" t="s">
        <v>38</v>
      </c>
      <c r="F135" s="16"/>
      <c r="G135" s="12" t="s">
        <v>180</v>
      </c>
      <c r="H135" s="15"/>
      <c r="I135" s="15"/>
      <c r="J135" s="15">
        <v>1</v>
      </c>
      <c r="K135" s="15"/>
      <c r="L135" s="17"/>
      <c r="M135" s="17"/>
      <c r="N135" s="13"/>
      <c r="O135" s="17"/>
      <c r="P135" s="17"/>
      <c r="Q135" s="17"/>
      <c r="R135" s="17"/>
      <c r="S135" s="15"/>
      <c r="T135" s="25">
        <v>45875</v>
      </c>
      <c r="U135" s="13" t="s">
        <v>146</v>
      </c>
      <c r="V135">
        <v>13</v>
      </c>
      <c r="AA135" s="49" t="s">
        <v>92</v>
      </c>
      <c r="AB135" s="50" t="s">
        <v>40</v>
      </c>
    </row>
    <row r="136" spans="1:28" x14ac:dyDescent="0.4">
      <c r="A136" s="138"/>
      <c r="B136" s="141"/>
      <c r="C136" s="85" t="s">
        <v>287</v>
      </c>
      <c r="D136" s="106" t="s">
        <v>278</v>
      </c>
      <c r="E136" s="15" t="s">
        <v>40</v>
      </c>
      <c r="F136" s="16"/>
      <c r="G136" s="12" t="s">
        <v>180</v>
      </c>
      <c r="H136" s="15"/>
      <c r="I136" s="15"/>
      <c r="J136" s="15"/>
      <c r="K136" s="15"/>
      <c r="L136" s="17"/>
      <c r="M136" s="17"/>
      <c r="N136" s="13"/>
      <c r="O136" s="17">
        <v>1</v>
      </c>
      <c r="P136" s="17">
        <v>1</v>
      </c>
      <c r="Q136" s="17"/>
      <c r="R136" s="17"/>
      <c r="S136" s="15"/>
      <c r="T136" s="25">
        <v>45875</v>
      </c>
      <c r="U136" s="13" t="s">
        <v>148</v>
      </c>
      <c r="V136">
        <v>14</v>
      </c>
      <c r="AA136" s="49" t="s">
        <v>93</v>
      </c>
      <c r="AB136" s="50" t="s">
        <v>57</v>
      </c>
    </row>
    <row r="137" spans="1:28" x14ac:dyDescent="0.4">
      <c r="A137" s="138"/>
      <c r="B137" s="141"/>
      <c r="C137" s="85" t="s">
        <v>288</v>
      </c>
      <c r="D137" s="106" t="s">
        <v>278</v>
      </c>
      <c r="E137" s="15" t="s">
        <v>40</v>
      </c>
      <c r="F137" s="16"/>
      <c r="G137" s="12" t="s">
        <v>180</v>
      </c>
      <c r="H137" s="15"/>
      <c r="I137" s="15"/>
      <c r="J137" s="15"/>
      <c r="K137" s="15"/>
      <c r="L137" s="17"/>
      <c r="M137" s="17"/>
      <c r="N137" s="13"/>
      <c r="O137" s="17">
        <v>1</v>
      </c>
      <c r="P137" s="17">
        <v>1</v>
      </c>
      <c r="Q137" s="17"/>
      <c r="R137" s="17"/>
      <c r="S137" s="15"/>
      <c r="T137" s="25">
        <v>45875</v>
      </c>
      <c r="U137" s="13" t="s">
        <v>148</v>
      </c>
      <c r="V137">
        <v>15</v>
      </c>
      <c r="AA137" s="49" t="s">
        <v>94</v>
      </c>
      <c r="AB137" s="50" t="s">
        <v>41</v>
      </c>
    </row>
    <row r="138" spans="1:28" x14ac:dyDescent="0.4">
      <c r="A138" s="138"/>
      <c r="B138" s="141"/>
      <c r="C138" s="85" t="s">
        <v>289</v>
      </c>
      <c r="D138" s="106" t="s">
        <v>278</v>
      </c>
      <c r="E138" s="15" t="s">
        <v>37</v>
      </c>
      <c r="F138" s="16"/>
      <c r="G138" s="12" t="s">
        <v>180</v>
      </c>
      <c r="H138" s="15"/>
      <c r="I138" s="15"/>
      <c r="J138" s="18"/>
      <c r="K138" s="15"/>
      <c r="L138" s="19"/>
      <c r="M138" s="19">
        <v>1</v>
      </c>
      <c r="N138" s="13">
        <v>1</v>
      </c>
      <c r="O138" s="19"/>
      <c r="P138" s="19"/>
      <c r="Q138" s="19">
        <v>1</v>
      </c>
      <c r="R138" s="19"/>
      <c r="S138" s="15"/>
      <c r="T138" s="25">
        <v>45875</v>
      </c>
      <c r="U138" s="13" t="s">
        <v>147</v>
      </c>
      <c r="V138" s="73">
        <v>16</v>
      </c>
      <c r="AA138" s="49" t="s">
        <v>95</v>
      </c>
      <c r="AB138" s="50" t="s">
        <v>42</v>
      </c>
    </row>
    <row r="139" spans="1:28" x14ac:dyDescent="0.4">
      <c r="A139" s="138"/>
      <c r="B139" s="141"/>
      <c r="C139" s="85"/>
      <c r="D139" s="106"/>
      <c r="E139" s="15"/>
      <c r="F139" s="16"/>
      <c r="G139" s="12"/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26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38"/>
      <c r="B140" s="141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38"/>
      <c r="B141" s="141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38"/>
      <c r="B142" s="141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38"/>
      <c r="B143" s="141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38"/>
      <c r="B144" s="141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38"/>
      <c r="B145" s="141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38"/>
      <c r="B146" s="141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39"/>
      <c r="B147" s="142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16</v>
      </c>
      <c r="D148" s="112"/>
      <c r="E148" s="29"/>
      <c r="F148" s="29" t="s">
        <v>34</v>
      </c>
      <c r="G148" s="29">
        <f>COUNTIF(G123:G147,"S")</f>
        <v>16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8</v>
      </c>
      <c r="K148" s="29">
        <f t="shared" ref="K148" si="14">SUM(K123:K147)</f>
        <v>4</v>
      </c>
      <c r="L148" s="29">
        <f t="shared" ref="L148" si="15">SUM(L123:L147)</f>
        <v>0</v>
      </c>
      <c r="M148" s="29">
        <f t="shared" ref="M148" si="16">SUM(M123:M147)</f>
        <v>3</v>
      </c>
      <c r="N148" s="29">
        <f t="shared" ref="N148" si="17">SUM(N123:N147)</f>
        <v>3</v>
      </c>
      <c r="O148" s="29">
        <f t="shared" ref="O148" si="18">SUM(O123:O147)</f>
        <v>3</v>
      </c>
      <c r="P148" s="29">
        <f t="shared" ref="P148" si="19">SUM(P123:P147)</f>
        <v>3</v>
      </c>
      <c r="Q148" s="29">
        <f t="shared" ref="Q148" si="20">SUM(Q123:Q147)</f>
        <v>2</v>
      </c>
      <c r="R148" s="29">
        <f t="shared" ref="R148" si="21">SUM(R123:R147)</f>
        <v>0</v>
      </c>
      <c r="S148" s="29">
        <f t="shared" ref="S148" si="22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26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AYG113</v>
      </c>
      <c r="B151" s="24">
        <f>B1</f>
        <v>45841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177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5" t="s">
        <v>115</v>
      </c>
      <c r="Y152" s="136"/>
    </row>
    <row r="153" spans="1:28" ht="20.25" thickTop="1" thickBot="1" x14ac:dyDescent="0.45">
      <c r="A153" s="137">
        <v>6</v>
      </c>
      <c r="B153" s="143">
        <v>26.4</v>
      </c>
      <c r="C153" s="85" t="s">
        <v>291</v>
      </c>
      <c r="D153" s="109" t="s">
        <v>183</v>
      </c>
      <c r="E153" s="13" t="s">
        <v>60</v>
      </c>
      <c r="F153" s="14"/>
      <c r="G153" s="12" t="s">
        <v>180</v>
      </c>
      <c r="H153" s="13"/>
      <c r="I153" s="13"/>
      <c r="J153" s="13">
        <v>1</v>
      </c>
      <c r="K153" s="13"/>
      <c r="L153" s="13">
        <v>1</v>
      </c>
      <c r="M153" s="13"/>
      <c r="N153" s="13"/>
      <c r="O153" s="13"/>
      <c r="P153" s="13"/>
      <c r="Q153" s="13"/>
      <c r="R153" s="13"/>
      <c r="S153" s="13"/>
      <c r="T153" s="26">
        <v>45874</v>
      </c>
      <c r="U153" s="13" t="s">
        <v>146</v>
      </c>
      <c r="V153">
        <v>1</v>
      </c>
      <c r="X153" s="51" t="s">
        <v>106</v>
      </c>
      <c r="Y153" s="52">
        <f>COUNTIF(U153:U177,"K")</f>
        <v>12</v>
      </c>
      <c r="AA153" s="59" t="s">
        <v>120</v>
      </c>
      <c r="AB153" s="60" t="s">
        <v>121</v>
      </c>
    </row>
    <row r="154" spans="1:28" x14ac:dyDescent="0.4">
      <c r="A154" s="138"/>
      <c r="B154" s="144"/>
      <c r="C154" s="85" t="s">
        <v>292</v>
      </c>
      <c r="D154" s="109" t="s">
        <v>183</v>
      </c>
      <c r="E154" s="13" t="s">
        <v>60</v>
      </c>
      <c r="F154" s="16"/>
      <c r="G154" s="12" t="s">
        <v>180</v>
      </c>
      <c r="H154" s="15"/>
      <c r="I154" s="15"/>
      <c r="J154" s="15">
        <v>1</v>
      </c>
      <c r="K154" s="15"/>
      <c r="L154" s="17">
        <v>1</v>
      </c>
      <c r="M154" s="17"/>
      <c r="N154" s="17"/>
      <c r="O154" s="17"/>
      <c r="P154" s="17"/>
      <c r="Q154" s="17"/>
      <c r="R154" s="17"/>
      <c r="S154" s="15"/>
      <c r="T154" s="26">
        <v>45874</v>
      </c>
      <c r="U154" s="13" t="s">
        <v>146</v>
      </c>
      <c r="V154">
        <v>2</v>
      </c>
      <c r="X154" s="51" t="s">
        <v>107</v>
      </c>
      <c r="Y154" s="52">
        <f>COUNTIF(U153:U177,"R")</f>
        <v>3</v>
      </c>
      <c r="AA154" s="47" t="s">
        <v>81</v>
      </c>
      <c r="AB154" s="48" t="s">
        <v>60</v>
      </c>
    </row>
    <row r="155" spans="1:28" ht="19.5" thickBot="1" x14ac:dyDescent="0.45">
      <c r="A155" s="138"/>
      <c r="B155" s="144"/>
      <c r="C155" s="85" t="s">
        <v>293</v>
      </c>
      <c r="D155" s="109" t="s">
        <v>183</v>
      </c>
      <c r="E155" s="106" t="s">
        <v>60</v>
      </c>
      <c r="F155" s="16"/>
      <c r="G155" s="12" t="s">
        <v>180</v>
      </c>
      <c r="H155" s="13"/>
      <c r="I155" s="15"/>
      <c r="J155" s="13">
        <v>1</v>
      </c>
      <c r="K155" s="15"/>
      <c r="L155" s="13">
        <v>1</v>
      </c>
      <c r="M155" s="17"/>
      <c r="N155" s="17"/>
      <c r="O155" s="17"/>
      <c r="P155" s="17"/>
      <c r="Q155" s="17"/>
      <c r="R155" s="17"/>
      <c r="S155" s="15"/>
      <c r="T155" s="26">
        <v>45874</v>
      </c>
      <c r="U155" s="13" t="s">
        <v>146</v>
      </c>
      <c r="V155">
        <v>3</v>
      </c>
      <c r="X155" s="53" t="s">
        <v>108</v>
      </c>
      <c r="Y155" s="54">
        <f>COUNTIF(U153:U177,"J")</f>
        <v>0</v>
      </c>
      <c r="AA155" s="49" t="s">
        <v>82</v>
      </c>
      <c r="AB155" s="50" t="s">
        <v>39</v>
      </c>
    </row>
    <row r="156" spans="1:28" x14ac:dyDescent="0.4">
      <c r="A156" s="138"/>
      <c r="B156" s="144"/>
      <c r="C156" s="85" t="s">
        <v>294</v>
      </c>
      <c r="D156" s="109" t="s">
        <v>183</v>
      </c>
      <c r="E156" s="106" t="s">
        <v>60</v>
      </c>
      <c r="F156" s="16"/>
      <c r="G156" s="12" t="s">
        <v>180</v>
      </c>
      <c r="H156" s="15"/>
      <c r="I156" s="15"/>
      <c r="J156" s="13">
        <v>1</v>
      </c>
      <c r="K156" s="15"/>
      <c r="L156" s="13">
        <v>1</v>
      </c>
      <c r="M156" s="17"/>
      <c r="N156" s="17"/>
      <c r="O156" s="17"/>
      <c r="P156" s="17"/>
      <c r="Q156" s="17"/>
      <c r="R156" s="17"/>
      <c r="S156" s="15"/>
      <c r="T156" s="26">
        <v>45874</v>
      </c>
      <c r="U156" s="13" t="s">
        <v>146</v>
      </c>
      <c r="V156">
        <v>4</v>
      </c>
      <c r="AA156" s="49" t="s">
        <v>83</v>
      </c>
      <c r="AB156" s="50" t="s">
        <v>38</v>
      </c>
    </row>
    <row r="157" spans="1:28" x14ac:dyDescent="0.4">
      <c r="A157" s="138"/>
      <c r="B157" s="144"/>
      <c r="C157" s="85" t="s">
        <v>295</v>
      </c>
      <c r="D157" s="109" t="s">
        <v>183</v>
      </c>
      <c r="E157" s="106" t="s">
        <v>60</v>
      </c>
      <c r="F157" s="16"/>
      <c r="G157" s="12" t="s">
        <v>180</v>
      </c>
      <c r="H157" s="15"/>
      <c r="I157" s="15"/>
      <c r="J157" s="13">
        <v>1</v>
      </c>
      <c r="K157" s="15"/>
      <c r="L157" s="13">
        <v>1</v>
      </c>
      <c r="M157" s="17"/>
      <c r="N157" s="17"/>
      <c r="O157" s="17"/>
      <c r="P157" s="17"/>
      <c r="Q157" s="17"/>
      <c r="R157" s="17"/>
      <c r="S157" s="15"/>
      <c r="T157" s="26">
        <v>45874</v>
      </c>
      <c r="U157" s="13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38"/>
      <c r="B158" s="144"/>
      <c r="C158" s="85" t="s">
        <v>296</v>
      </c>
      <c r="D158" s="109" t="s">
        <v>183</v>
      </c>
      <c r="E158" s="106" t="s">
        <v>60</v>
      </c>
      <c r="F158" s="16"/>
      <c r="G158" s="12" t="s">
        <v>180</v>
      </c>
      <c r="H158" s="13"/>
      <c r="I158" s="15"/>
      <c r="J158" s="13">
        <v>1</v>
      </c>
      <c r="K158" s="15"/>
      <c r="L158" s="13">
        <v>1</v>
      </c>
      <c r="M158" s="17"/>
      <c r="N158" s="17"/>
      <c r="O158" s="17"/>
      <c r="P158" s="17"/>
      <c r="Q158" s="17"/>
      <c r="R158" s="17"/>
      <c r="S158" s="15"/>
      <c r="T158" s="26">
        <v>45874</v>
      </c>
      <c r="U158" s="13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38"/>
      <c r="B159" s="144"/>
      <c r="C159" s="85" t="s">
        <v>297</v>
      </c>
      <c r="D159" s="109" t="s">
        <v>183</v>
      </c>
      <c r="E159" s="106" t="s">
        <v>60</v>
      </c>
      <c r="F159" s="16"/>
      <c r="G159" s="12" t="s">
        <v>180</v>
      </c>
      <c r="H159" s="15"/>
      <c r="I159" s="15"/>
      <c r="J159" s="13">
        <v>1</v>
      </c>
      <c r="K159" s="15"/>
      <c r="L159" s="13">
        <v>1</v>
      </c>
      <c r="M159" s="17"/>
      <c r="N159" s="17"/>
      <c r="O159" s="17"/>
      <c r="P159" s="17"/>
      <c r="Q159" s="17"/>
      <c r="R159" s="17"/>
      <c r="S159" s="15"/>
      <c r="T159" s="26">
        <v>45874</v>
      </c>
      <c r="U159" s="13" t="s">
        <v>146</v>
      </c>
      <c r="V159">
        <v>7</v>
      </c>
      <c r="AA159" s="49" t="s">
        <v>86</v>
      </c>
      <c r="AB159" s="50" t="s">
        <v>45</v>
      </c>
    </row>
    <row r="160" spans="1:28" x14ac:dyDescent="0.4">
      <c r="A160" s="138"/>
      <c r="B160" s="144"/>
      <c r="C160" s="85" t="s">
        <v>298</v>
      </c>
      <c r="D160" s="106" t="s">
        <v>299</v>
      </c>
      <c r="E160" s="106" t="s">
        <v>37</v>
      </c>
      <c r="F160" s="16"/>
      <c r="G160" s="12" t="s">
        <v>180</v>
      </c>
      <c r="H160" s="15"/>
      <c r="I160" s="15"/>
      <c r="J160" s="13">
        <v>1</v>
      </c>
      <c r="K160" s="15">
        <v>1</v>
      </c>
      <c r="L160" s="13"/>
      <c r="M160" s="17"/>
      <c r="N160" s="17"/>
      <c r="O160" s="17"/>
      <c r="P160" s="17"/>
      <c r="Q160" s="17">
        <v>1</v>
      </c>
      <c r="R160" s="17"/>
      <c r="S160" s="15"/>
      <c r="T160" s="25">
        <v>45877</v>
      </c>
      <c r="U160" s="13" t="s">
        <v>146</v>
      </c>
      <c r="V160">
        <v>8</v>
      </c>
      <c r="AA160" s="49" t="s">
        <v>87</v>
      </c>
      <c r="AB160" s="50" t="s">
        <v>37</v>
      </c>
    </row>
    <row r="161" spans="1:28" x14ac:dyDescent="0.4">
      <c r="A161" s="138"/>
      <c r="B161" s="144"/>
      <c r="C161" s="85" t="s">
        <v>300</v>
      </c>
      <c r="D161" s="106" t="s">
        <v>270</v>
      </c>
      <c r="E161" s="106" t="s">
        <v>37</v>
      </c>
      <c r="F161" s="16"/>
      <c r="G161" s="12" t="s">
        <v>180</v>
      </c>
      <c r="H161" s="15"/>
      <c r="I161" s="15"/>
      <c r="J161" s="13">
        <v>1</v>
      </c>
      <c r="K161" s="15">
        <v>1</v>
      </c>
      <c r="L161" s="13"/>
      <c r="M161" s="17"/>
      <c r="N161" s="17"/>
      <c r="O161" s="17"/>
      <c r="P161" s="17"/>
      <c r="Q161" s="17"/>
      <c r="R161" s="17"/>
      <c r="S161" s="15"/>
      <c r="T161" s="25">
        <v>45875</v>
      </c>
      <c r="U161" s="13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38"/>
      <c r="B162" s="144"/>
      <c r="C162" s="85" t="s">
        <v>301</v>
      </c>
      <c r="D162" s="106" t="s">
        <v>270</v>
      </c>
      <c r="E162" s="106" t="s">
        <v>36</v>
      </c>
      <c r="F162" s="106"/>
      <c r="G162" s="12" t="s">
        <v>180</v>
      </c>
      <c r="H162" s="15"/>
      <c r="I162" s="15"/>
      <c r="J162" s="13"/>
      <c r="K162" s="15"/>
      <c r="L162" s="13"/>
      <c r="M162" s="17"/>
      <c r="N162" s="17"/>
      <c r="O162" s="17"/>
      <c r="P162" s="17"/>
      <c r="Q162" s="17"/>
      <c r="R162" s="17"/>
      <c r="S162" s="15"/>
      <c r="T162" s="25">
        <v>45875</v>
      </c>
      <c r="U162" s="13" t="s">
        <v>147</v>
      </c>
      <c r="V162">
        <v>10</v>
      </c>
      <c r="AA162" s="49" t="s">
        <v>89</v>
      </c>
      <c r="AB162" s="50" t="s">
        <v>36</v>
      </c>
    </row>
    <row r="163" spans="1:28" x14ac:dyDescent="0.4">
      <c r="A163" s="138"/>
      <c r="B163" s="144"/>
      <c r="C163" s="85" t="s">
        <v>302</v>
      </c>
      <c r="D163" s="106" t="s">
        <v>270</v>
      </c>
      <c r="E163" s="106" t="s">
        <v>37</v>
      </c>
      <c r="F163" s="16"/>
      <c r="G163" s="12" t="s">
        <v>180</v>
      </c>
      <c r="H163" s="15"/>
      <c r="I163" s="15"/>
      <c r="J163" s="15">
        <v>1</v>
      </c>
      <c r="K163" s="15">
        <v>1</v>
      </c>
      <c r="L163" s="17"/>
      <c r="M163" s="17"/>
      <c r="N163" s="17"/>
      <c r="O163" s="17"/>
      <c r="P163" s="17"/>
      <c r="Q163" s="17"/>
      <c r="R163" s="17"/>
      <c r="S163" s="15"/>
      <c r="T163" s="25">
        <v>45875</v>
      </c>
      <c r="U163" s="13" t="s">
        <v>147</v>
      </c>
      <c r="V163">
        <v>11</v>
      </c>
      <c r="AA163" s="49" t="s">
        <v>90</v>
      </c>
      <c r="AB163" s="50" t="s">
        <v>58</v>
      </c>
    </row>
    <row r="164" spans="1:28" x14ac:dyDescent="0.4">
      <c r="A164" s="138"/>
      <c r="B164" s="144"/>
      <c r="C164" s="85" t="s">
        <v>303</v>
      </c>
      <c r="D164" s="106" t="s">
        <v>270</v>
      </c>
      <c r="E164" s="106" t="s">
        <v>74</v>
      </c>
      <c r="F164" s="16"/>
      <c r="G164" s="12" t="s">
        <v>180</v>
      </c>
      <c r="H164" s="15"/>
      <c r="I164" s="15"/>
      <c r="J164" s="15"/>
      <c r="K164" s="15">
        <v>1</v>
      </c>
      <c r="L164" s="17"/>
      <c r="M164" s="17">
        <v>1</v>
      </c>
      <c r="N164" s="17">
        <v>1</v>
      </c>
      <c r="O164" s="17"/>
      <c r="P164" s="17"/>
      <c r="Q164" s="17"/>
      <c r="R164" s="17"/>
      <c r="S164" s="15"/>
      <c r="T164" s="25">
        <v>45875</v>
      </c>
      <c r="U164" s="13" t="s">
        <v>147</v>
      </c>
      <c r="V164">
        <v>12</v>
      </c>
      <c r="AA164" s="49" t="s">
        <v>91</v>
      </c>
      <c r="AB164" s="50" t="s">
        <v>75</v>
      </c>
    </row>
    <row r="165" spans="1:28" x14ac:dyDescent="0.4">
      <c r="A165" s="138"/>
      <c r="B165" s="144"/>
      <c r="C165" s="85" t="s">
        <v>304</v>
      </c>
      <c r="D165" s="106" t="s">
        <v>270</v>
      </c>
      <c r="E165" s="106" t="s">
        <v>36</v>
      </c>
      <c r="F165" s="16"/>
      <c r="G165" s="12" t="s">
        <v>180</v>
      </c>
      <c r="H165" s="15"/>
      <c r="I165" s="15"/>
      <c r="J165" s="15">
        <v>1</v>
      </c>
      <c r="K165" s="15">
        <v>1</v>
      </c>
      <c r="L165" s="17"/>
      <c r="M165" s="17"/>
      <c r="N165" s="17"/>
      <c r="O165" s="17"/>
      <c r="P165" s="17"/>
      <c r="Q165" s="17"/>
      <c r="R165" s="17"/>
      <c r="S165" s="15"/>
      <c r="T165" s="25">
        <v>45875</v>
      </c>
      <c r="U165" s="13" t="s">
        <v>146</v>
      </c>
      <c r="V165">
        <v>13</v>
      </c>
      <c r="AA165" s="49" t="s">
        <v>92</v>
      </c>
      <c r="AB165" s="50" t="s">
        <v>40</v>
      </c>
    </row>
    <row r="166" spans="1:28" x14ac:dyDescent="0.4">
      <c r="A166" s="138"/>
      <c r="B166" s="144"/>
      <c r="C166" s="85" t="s">
        <v>305</v>
      </c>
      <c r="D166" s="106" t="s">
        <v>270</v>
      </c>
      <c r="E166" s="106" t="s">
        <v>37</v>
      </c>
      <c r="F166" s="16"/>
      <c r="G166" s="12" t="s">
        <v>180</v>
      </c>
      <c r="H166" s="15"/>
      <c r="I166" s="15"/>
      <c r="J166" s="15">
        <v>1</v>
      </c>
      <c r="K166" s="15">
        <v>1</v>
      </c>
      <c r="L166" s="17"/>
      <c r="M166" s="17"/>
      <c r="N166" s="17"/>
      <c r="O166" s="17"/>
      <c r="P166" s="17"/>
      <c r="Q166" s="17"/>
      <c r="R166" s="17"/>
      <c r="S166" s="15"/>
      <c r="T166" s="25">
        <v>45875</v>
      </c>
      <c r="U166" s="13" t="s">
        <v>146</v>
      </c>
      <c r="V166">
        <v>14</v>
      </c>
      <c r="AA166" s="49" t="s">
        <v>93</v>
      </c>
      <c r="AB166" s="50" t="s">
        <v>57</v>
      </c>
    </row>
    <row r="167" spans="1:28" x14ac:dyDescent="0.4">
      <c r="A167" s="138"/>
      <c r="B167" s="144"/>
      <c r="C167" s="85" t="s">
        <v>306</v>
      </c>
      <c r="D167" s="106" t="s">
        <v>270</v>
      </c>
      <c r="E167" s="106" t="s">
        <v>36</v>
      </c>
      <c r="F167" s="16"/>
      <c r="G167" s="12" t="s">
        <v>180</v>
      </c>
      <c r="H167" s="15"/>
      <c r="I167" s="15"/>
      <c r="J167" s="15">
        <v>1</v>
      </c>
      <c r="K167" s="15">
        <v>1</v>
      </c>
      <c r="L167" s="17"/>
      <c r="M167" s="17"/>
      <c r="N167" s="17"/>
      <c r="O167" s="17"/>
      <c r="P167" s="17"/>
      <c r="Q167" s="17"/>
      <c r="R167" s="17"/>
      <c r="S167" s="15"/>
      <c r="T167" s="25">
        <v>45875</v>
      </c>
      <c r="U167" s="13" t="s">
        <v>146</v>
      </c>
      <c r="V167">
        <v>15</v>
      </c>
      <c r="AA167" s="49" t="s">
        <v>94</v>
      </c>
      <c r="AB167" s="50" t="s">
        <v>41</v>
      </c>
    </row>
    <row r="168" spans="1:28" x14ac:dyDescent="0.4">
      <c r="A168" s="138"/>
      <c r="B168" s="144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38"/>
      <c r="B169" s="144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38"/>
      <c r="B170" s="144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38"/>
      <c r="B171" s="144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38"/>
      <c r="B172" s="144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38"/>
      <c r="B173" s="144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38"/>
      <c r="B174" s="144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38"/>
      <c r="B175" s="144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38"/>
      <c r="B176" s="144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39"/>
      <c r="B177" s="145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15</v>
      </c>
      <c r="D178" s="112"/>
      <c r="E178" s="29"/>
      <c r="F178" s="29" t="s">
        <v>34</v>
      </c>
      <c r="G178" s="29">
        <f>COUNTIF(G153:G177,"S")</f>
        <v>15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13</v>
      </c>
      <c r="K178" s="29">
        <f t="shared" ref="K178" si="24">SUM(K153:K177)</f>
        <v>7</v>
      </c>
      <c r="L178" s="29">
        <f t="shared" ref="L178" si="25">SUM(L153:L177)</f>
        <v>7</v>
      </c>
      <c r="M178" s="29">
        <f t="shared" ref="M178" si="26">SUM(M153:M177)</f>
        <v>1</v>
      </c>
      <c r="N178" s="29">
        <f t="shared" ref="N178" si="27">SUM(N153:N177)</f>
        <v>1</v>
      </c>
      <c r="O178" s="29">
        <f t="shared" ref="O178" si="28">SUM(O153:O177)</f>
        <v>0</v>
      </c>
      <c r="P178" s="29">
        <f t="shared" ref="P178" si="29">SUM(P153:P177)</f>
        <v>0</v>
      </c>
      <c r="Q178" s="29">
        <f t="shared" ref="Q178" si="30">SUM(Q153:Q177)</f>
        <v>1</v>
      </c>
      <c r="R178" s="29">
        <f t="shared" ref="R178" si="31">SUM(R153:R177)</f>
        <v>0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30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198</v>
      </c>
      <c r="B181" s="24">
        <v>45841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5" t="s">
        <v>114</v>
      </c>
      <c r="Y182" s="136"/>
    </row>
    <row r="183" spans="1:28" ht="20.25" thickTop="1" thickBot="1" x14ac:dyDescent="0.45">
      <c r="A183" s="137">
        <v>7</v>
      </c>
      <c r="B183" s="143">
        <v>22.4</v>
      </c>
      <c r="C183" s="85" t="s">
        <v>307</v>
      </c>
      <c r="D183" s="110" t="s">
        <v>308</v>
      </c>
      <c r="E183" s="18" t="s">
        <v>37</v>
      </c>
      <c r="F183" s="16"/>
      <c r="G183" s="18" t="s">
        <v>180</v>
      </c>
      <c r="H183" s="15"/>
      <c r="I183" s="15"/>
      <c r="J183" s="18">
        <v>1</v>
      </c>
      <c r="K183" s="15"/>
      <c r="L183" s="19">
        <v>1</v>
      </c>
      <c r="M183" s="19"/>
      <c r="N183" s="19">
        <v>1</v>
      </c>
      <c r="O183" s="19"/>
      <c r="P183" s="19"/>
      <c r="Q183" s="19">
        <v>1</v>
      </c>
      <c r="R183" s="19"/>
      <c r="S183" s="15"/>
      <c r="T183" s="25">
        <v>45871</v>
      </c>
      <c r="U183" s="15" t="s">
        <v>147</v>
      </c>
      <c r="V183">
        <v>1</v>
      </c>
      <c r="X183" s="51" t="s">
        <v>106</v>
      </c>
      <c r="Y183" s="52">
        <f>COUNTIF(U183:U207,"K")</f>
        <v>8</v>
      </c>
      <c r="AA183" s="59" t="s">
        <v>120</v>
      </c>
      <c r="AB183" s="60" t="s">
        <v>121</v>
      </c>
    </row>
    <row r="184" spans="1:28" x14ac:dyDescent="0.4">
      <c r="A184" s="138"/>
      <c r="B184" s="144"/>
      <c r="C184" s="85" t="s">
        <v>309</v>
      </c>
      <c r="D184" s="110" t="s">
        <v>183</v>
      </c>
      <c r="E184" s="18" t="s">
        <v>60</v>
      </c>
      <c r="F184" s="16"/>
      <c r="G184" s="18" t="s">
        <v>180</v>
      </c>
      <c r="H184" s="15"/>
      <c r="I184" s="15"/>
      <c r="J184" s="18">
        <v>1</v>
      </c>
      <c r="K184" s="15"/>
      <c r="L184" s="19">
        <v>1</v>
      </c>
      <c r="M184" s="19"/>
      <c r="N184" s="19"/>
      <c r="O184" s="19"/>
      <c r="P184" s="19"/>
      <c r="Q184" s="19"/>
      <c r="R184" s="19"/>
      <c r="S184" s="15"/>
      <c r="T184" s="25">
        <v>45874</v>
      </c>
      <c r="U184" s="15" t="s">
        <v>146</v>
      </c>
      <c r="V184">
        <v>2</v>
      </c>
      <c r="X184" s="51" t="s">
        <v>107</v>
      </c>
      <c r="Y184" s="52">
        <f>COUNTIF(U183:U207,"R")</f>
        <v>5</v>
      </c>
      <c r="AA184" s="47" t="s">
        <v>81</v>
      </c>
      <c r="AB184" s="48" t="s">
        <v>60</v>
      </c>
    </row>
    <row r="185" spans="1:28" ht="19.5" thickBot="1" x14ac:dyDescent="0.45">
      <c r="A185" s="138"/>
      <c r="B185" s="144"/>
      <c r="C185" s="85" t="s">
        <v>310</v>
      </c>
      <c r="D185" s="110" t="s">
        <v>183</v>
      </c>
      <c r="E185" s="18" t="s">
        <v>60</v>
      </c>
      <c r="F185" s="16"/>
      <c r="G185" s="18" t="s">
        <v>180</v>
      </c>
      <c r="H185" s="15"/>
      <c r="I185" s="15"/>
      <c r="J185" s="15">
        <v>1</v>
      </c>
      <c r="K185" s="15"/>
      <c r="L185" s="17">
        <v>1</v>
      </c>
      <c r="M185" s="17"/>
      <c r="N185" s="17"/>
      <c r="O185" s="17"/>
      <c r="P185" s="17"/>
      <c r="Q185" s="17"/>
      <c r="R185" s="17"/>
      <c r="S185" s="15"/>
      <c r="T185" s="25">
        <v>45874</v>
      </c>
      <c r="U185" s="15" t="s">
        <v>146</v>
      </c>
      <c r="V185">
        <v>3</v>
      </c>
      <c r="X185" s="53" t="s">
        <v>108</v>
      </c>
      <c r="Y185" s="54">
        <f>COUNTIF(U183:U207,"J")</f>
        <v>2</v>
      </c>
      <c r="AA185" s="49" t="s">
        <v>82</v>
      </c>
      <c r="AB185" s="50" t="s">
        <v>39</v>
      </c>
    </row>
    <row r="186" spans="1:28" x14ac:dyDescent="0.4">
      <c r="A186" s="138"/>
      <c r="B186" s="144"/>
      <c r="C186" s="85" t="s">
        <v>311</v>
      </c>
      <c r="D186" s="110" t="s">
        <v>183</v>
      </c>
      <c r="E186" s="18" t="s">
        <v>60</v>
      </c>
      <c r="F186" s="16"/>
      <c r="G186" s="18" t="s">
        <v>180</v>
      </c>
      <c r="H186" s="15"/>
      <c r="I186" s="15"/>
      <c r="J186" s="15">
        <v>1</v>
      </c>
      <c r="K186" s="15"/>
      <c r="L186" s="17">
        <v>1</v>
      </c>
      <c r="M186" s="17"/>
      <c r="N186" s="17"/>
      <c r="O186" s="17"/>
      <c r="P186" s="17"/>
      <c r="Q186" s="17"/>
      <c r="R186" s="17"/>
      <c r="S186" s="15"/>
      <c r="T186" s="25">
        <v>45874</v>
      </c>
      <c r="U186" s="25" t="s">
        <v>146</v>
      </c>
      <c r="V186">
        <v>4</v>
      </c>
      <c r="AA186" s="49" t="s">
        <v>83</v>
      </c>
      <c r="AB186" s="50" t="s">
        <v>38</v>
      </c>
    </row>
    <row r="187" spans="1:28" x14ac:dyDescent="0.4">
      <c r="A187" s="138"/>
      <c r="B187" s="144"/>
      <c r="C187" s="85" t="s">
        <v>312</v>
      </c>
      <c r="D187" s="110" t="s">
        <v>183</v>
      </c>
      <c r="E187" s="18" t="s">
        <v>60</v>
      </c>
      <c r="F187" s="16"/>
      <c r="G187" s="18" t="s">
        <v>180</v>
      </c>
      <c r="H187" s="15"/>
      <c r="I187" s="15"/>
      <c r="J187" s="15">
        <v>1</v>
      </c>
      <c r="K187" s="15"/>
      <c r="L187" s="17">
        <v>1</v>
      </c>
      <c r="M187" s="17"/>
      <c r="N187" s="17"/>
      <c r="O187" s="17"/>
      <c r="P187" s="17"/>
      <c r="Q187" s="17"/>
      <c r="R187" s="17"/>
      <c r="S187" s="15"/>
      <c r="T187" s="25">
        <v>45874</v>
      </c>
      <c r="U187" s="25" t="s">
        <v>146</v>
      </c>
      <c r="V187">
        <v>5</v>
      </c>
      <c r="AA187" s="49" t="s">
        <v>84</v>
      </c>
      <c r="AB187" s="50" t="s">
        <v>44</v>
      </c>
    </row>
    <row r="188" spans="1:28" x14ac:dyDescent="0.4">
      <c r="A188" s="138"/>
      <c r="B188" s="144"/>
      <c r="C188" s="85" t="s">
        <v>313</v>
      </c>
      <c r="D188" s="110" t="s">
        <v>183</v>
      </c>
      <c r="E188" s="18" t="s">
        <v>60</v>
      </c>
      <c r="F188" s="16"/>
      <c r="G188" s="18" t="s">
        <v>180</v>
      </c>
      <c r="H188" s="13"/>
      <c r="I188" s="15"/>
      <c r="J188" s="15">
        <v>1</v>
      </c>
      <c r="K188" s="15"/>
      <c r="L188" s="17">
        <v>1</v>
      </c>
      <c r="M188" s="17"/>
      <c r="N188" s="17"/>
      <c r="O188" s="17"/>
      <c r="P188" s="17"/>
      <c r="Q188" s="17"/>
      <c r="R188" s="17"/>
      <c r="S188" s="15"/>
      <c r="T188" s="25">
        <v>45874</v>
      </c>
      <c r="U188" s="25" t="s">
        <v>146</v>
      </c>
      <c r="V188">
        <v>6</v>
      </c>
      <c r="AA188" s="49" t="s">
        <v>85</v>
      </c>
      <c r="AB188" s="50" t="s">
        <v>43</v>
      </c>
    </row>
    <row r="189" spans="1:28" x14ac:dyDescent="0.4">
      <c r="A189" s="138"/>
      <c r="B189" s="144"/>
      <c r="C189" s="85" t="s">
        <v>314</v>
      </c>
      <c r="D189" s="110" t="s">
        <v>183</v>
      </c>
      <c r="E189" s="18" t="s">
        <v>60</v>
      </c>
      <c r="F189" s="16"/>
      <c r="G189" s="18" t="s">
        <v>180</v>
      </c>
      <c r="H189" s="15"/>
      <c r="I189" s="15"/>
      <c r="J189" s="15">
        <v>1</v>
      </c>
      <c r="K189" s="15"/>
      <c r="L189" s="17">
        <v>1</v>
      </c>
      <c r="M189" s="17"/>
      <c r="N189" s="17"/>
      <c r="O189" s="17"/>
      <c r="P189" s="17"/>
      <c r="Q189" s="17"/>
      <c r="R189" s="17"/>
      <c r="S189" s="15"/>
      <c r="T189" s="25">
        <v>45874</v>
      </c>
      <c r="U189" s="25" t="s">
        <v>146</v>
      </c>
      <c r="V189">
        <v>7</v>
      </c>
      <c r="AA189" s="49" t="s">
        <v>86</v>
      </c>
      <c r="AB189" s="50" t="s">
        <v>45</v>
      </c>
    </row>
    <row r="190" spans="1:28" x14ac:dyDescent="0.4">
      <c r="A190" s="138"/>
      <c r="B190" s="144"/>
      <c r="C190" s="85" t="s">
        <v>315</v>
      </c>
      <c r="D190" s="110" t="s">
        <v>191</v>
      </c>
      <c r="E190" s="15" t="s">
        <v>38</v>
      </c>
      <c r="F190" s="16"/>
      <c r="G190" s="18" t="s">
        <v>180</v>
      </c>
      <c r="H190" s="15"/>
      <c r="I190" s="15"/>
      <c r="J190" s="15"/>
      <c r="K190" s="15">
        <v>1</v>
      </c>
      <c r="L190" s="17"/>
      <c r="M190" s="17"/>
      <c r="N190" s="17"/>
      <c r="O190" s="17"/>
      <c r="P190" s="17"/>
      <c r="Q190" s="17"/>
      <c r="R190" s="17"/>
      <c r="S190" s="15"/>
      <c r="T190" s="25">
        <v>45872</v>
      </c>
      <c r="U190" s="25" t="s">
        <v>146</v>
      </c>
      <c r="V190">
        <v>8</v>
      </c>
      <c r="AA190" s="49" t="s">
        <v>87</v>
      </c>
      <c r="AB190" s="50" t="s">
        <v>37</v>
      </c>
    </row>
    <row r="191" spans="1:28" x14ac:dyDescent="0.4">
      <c r="A191" s="138"/>
      <c r="B191" s="144"/>
      <c r="C191" s="85" t="s">
        <v>316</v>
      </c>
      <c r="D191" s="106" t="s">
        <v>234</v>
      </c>
      <c r="E191" s="13" t="s">
        <v>44</v>
      </c>
      <c r="F191" s="16"/>
      <c r="G191" s="18" t="s">
        <v>180</v>
      </c>
      <c r="H191" s="15"/>
      <c r="I191" s="15"/>
      <c r="J191" s="15"/>
      <c r="K191" s="15"/>
      <c r="L191" s="17"/>
      <c r="M191" s="17">
        <v>1</v>
      </c>
      <c r="N191" s="17"/>
      <c r="O191" s="17"/>
      <c r="P191" s="17"/>
      <c r="Q191" s="17">
        <v>1</v>
      </c>
      <c r="R191" s="17"/>
      <c r="S191" s="15"/>
      <c r="T191" s="25">
        <v>45867</v>
      </c>
      <c r="U191" s="25" t="s">
        <v>147</v>
      </c>
      <c r="V191">
        <v>9</v>
      </c>
      <c r="AA191" s="49" t="s">
        <v>88</v>
      </c>
      <c r="AB191" s="50" t="s">
        <v>74</v>
      </c>
    </row>
    <row r="192" spans="1:28" x14ac:dyDescent="0.4">
      <c r="A192" s="138"/>
      <c r="B192" s="144"/>
      <c r="C192" s="85" t="s">
        <v>317</v>
      </c>
      <c r="D192" s="106">
        <v>1183</v>
      </c>
      <c r="E192" s="13" t="s">
        <v>37</v>
      </c>
      <c r="F192" s="16"/>
      <c r="G192" s="18" t="s">
        <v>180</v>
      </c>
      <c r="H192" s="15"/>
      <c r="I192" s="15"/>
      <c r="J192" s="15"/>
      <c r="K192" s="15"/>
      <c r="L192" s="17"/>
      <c r="M192" s="17">
        <v>1</v>
      </c>
      <c r="N192" s="17">
        <v>1</v>
      </c>
      <c r="O192" s="17"/>
      <c r="P192" s="17"/>
      <c r="Q192" s="17">
        <v>1</v>
      </c>
      <c r="R192" s="17"/>
      <c r="S192" s="15"/>
      <c r="T192" s="25">
        <v>45877</v>
      </c>
      <c r="U192" s="15" t="s">
        <v>147</v>
      </c>
      <c r="V192">
        <v>10</v>
      </c>
      <c r="AA192" s="49" t="s">
        <v>89</v>
      </c>
      <c r="AB192" s="50" t="s">
        <v>36</v>
      </c>
    </row>
    <row r="193" spans="1:28" x14ac:dyDescent="0.4">
      <c r="A193" s="138"/>
      <c r="B193" s="144"/>
      <c r="C193" s="85" t="s">
        <v>318</v>
      </c>
      <c r="D193" s="106">
        <v>1183</v>
      </c>
      <c r="E193" s="13" t="s">
        <v>40</v>
      </c>
      <c r="F193" s="16"/>
      <c r="G193" s="18" t="s">
        <v>180</v>
      </c>
      <c r="H193" s="15"/>
      <c r="I193" s="15"/>
      <c r="J193" s="15"/>
      <c r="K193" s="15"/>
      <c r="L193" s="17"/>
      <c r="M193" s="17"/>
      <c r="N193" s="17"/>
      <c r="O193" s="17">
        <v>1</v>
      </c>
      <c r="P193" s="17">
        <v>1</v>
      </c>
      <c r="Q193" s="17">
        <v>1</v>
      </c>
      <c r="R193" s="17"/>
      <c r="S193" s="15"/>
      <c r="T193" s="25">
        <v>45877</v>
      </c>
      <c r="U193" s="15" t="s">
        <v>148</v>
      </c>
      <c r="V193">
        <v>11</v>
      </c>
      <c r="AA193" s="49" t="s">
        <v>90</v>
      </c>
      <c r="AB193" s="50" t="s">
        <v>58</v>
      </c>
    </row>
    <row r="194" spans="1:28" x14ac:dyDescent="0.4">
      <c r="A194" s="138"/>
      <c r="B194" s="144"/>
      <c r="C194" s="85" t="s">
        <v>320</v>
      </c>
      <c r="D194" s="106" t="s">
        <v>319</v>
      </c>
      <c r="E194" s="13" t="s">
        <v>40</v>
      </c>
      <c r="F194" s="16"/>
      <c r="G194" s="18" t="s">
        <v>184</v>
      </c>
      <c r="H194" s="15"/>
      <c r="I194" s="15"/>
      <c r="J194" s="15"/>
      <c r="K194" s="15"/>
      <c r="L194" s="17"/>
      <c r="M194" s="17"/>
      <c r="N194" s="17"/>
      <c r="O194" s="17">
        <v>1</v>
      </c>
      <c r="P194" s="17">
        <v>1</v>
      </c>
      <c r="Q194" s="17"/>
      <c r="R194" s="17"/>
      <c r="S194" s="15"/>
      <c r="T194" s="25">
        <v>45874</v>
      </c>
      <c r="U194" s="15" t="s">
        <v>148</v>
      </c>
      <c r="V194">
        <v>12</v>
      </c>
      <c r="AA194" s="49" t="s">
        <v>91</v>
      </c>
      <c r="AB194" s="50" t="s">
        <v>75</v>
      </c>
    </row>
    <row r="195" spans="1:28" x14ac:dyDescent="0.4">
      <c r="A195" s="138"/>
      <c r="B195" s="144"/>
      <c r="C195" s="85" t="s">
        <v>321</v>
      </c>
      <c r="D195" s="106" t="s">
        <v>179</v>
      </c>
      <c r="E195" s="15" t="s">
        <v>36</v>
      </c>
      <c r="F195" s="16"/>
      <c r="G195" s="18" t="s">
        <v>180</v>
      </c>
      <c r="H195" s="15"/>
      <c r="I195" s="15"/>
      <c r="J195" s="15"/>
      <c r="K195" s="15"/>
      <c r="L195" s="17"/>
      <c r="M195" s="17">
        <v>1</v>
      </c>
      <c r="N195" s="17">
        <v>1</v>
      </c>
      <c r="O195" s="17"/>
      <c r="P195" s="17"/>
      <c r="Q195" s="17">
        <v>1</v>
      </c>
      <c r="R195" s="17"/>
      <c r="S195" s="15"/>
      <c r="T195" s="25">
        <v>45865</v>
      </c>
      <c r="U195" s="15" t="s">
        <v>147</v>
      </c>
      <c r="V195">
        <v>13</v>
      </c>
      <c r="AA195" s="49" t="s">
        <v>92</v>
      </c>
      <c r="AB195" s="50" t="s">
        <v>40</v>
      </c>
    </row>
    <row r="196" spans="1:28" x14ac:dyDescent="0.4">
      <c r="A196" s="138"/>
      <c r="B196" s="144"/>
      <c r="C196" s="85" t="s">
        <v>322</v>
      </c>
      <c r="D196" s="106" t="s">
        <v>267</v>
      </c>
      <c r="E196" s="15" t="s">
        <v>58</v>
      </c>
      <c r="F196" s="16"/>
      <c r="G196" s="18" t="s">
        <v>180</v>
      </c>
      <c r="H196" s="15"/>
      <c r="I196" s="15"/>
      <c r="J196" s="15"/>
      <c r="K196" s="15"/>
      <c r="L196" s="17"/>
      <c r="M196" s="17"/>
      <c r="N196" s="17"/>
      <c r="O196" s="17"/>
      <c r="P196" s="17"/>
      <c r="Q196" s="17"/>
      <c r="R196" s="17"/>
      <c r="S196" s="15"/>
      <c r="T196" s="25">
        <v>45887</v>
      </c>
      <c r="U196" s="15" t="s">
        <v>147</v>
      </c>
      <c r="V196">
        <v>14</v>
      </c>
      <c r="AA196" s="49" t="s">
        <v>93</v>
      </c>
      <c r="AB196" s="50" t="s">
        <v>57</v>
      </c>
    </row>
    <row r="197" spans="1:28" x14ac:dyDescent="0.4">
      <c r="A197" s="138"/>
      <c r="B197" s="144"/>
      <c r="C197" s="85" t="s">
        <v>323</v>
      </c>
      <c r="D197" s="106" t="s">
        <v>267</v>
      </c>
      <c r="E197" s="15" t="s">
        <v>36</v>
      </c>
      <c r="F197" s="16"/>
      <c r="G197" s="15" t="s">
        <v>180</v>
      </c>
      <c r="H197" s="15"/>
      <c r="I197" s="15"/>
      <c r="J197" s="15">
        <v>1</v>
      </c>
      <c r="K197" s="15">
        <v>1</v>
      </c>
      <c r="L197" s="17"/>
      <c r="M197" s="17"/>
      <c r="N197" s="17"/>
      <c r="O197" s="17"/>
      <c r="P197" s="17"/>
      <c r="Q197" s="17"/>
      <c r="R197" s="17"/>
      <c r="S197" s="15"/>
      <c r="T197" s="25">
        <v>45871</v>
      </c>
      <c r="U197" s="15" t="s">
        <v>146</v>
      </c>
      <c r="V197">
        <v>15</v>
      </c>
      <c r="AA197" s="49" t="s">
        <v>94</v>
      </c>
      <c r="AB197" s="50" t="s">
        <v>41</v>
      </c>
    </row>
    <row r="198" spans="1:28" x14ac:dyDescent="0.4">
      <c r="A198" s="138"/>
      <c r="B198" s="144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38"/>
      <c r="B199" s="144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38"/>
      <c r="B200" s="144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38"/>
      <c r="B201" s="144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38"/>
      <c r="B202" s="144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38"/>
      <c r="B203" s="144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38"/>
      <c r="B204" s="144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38"/>
      <c r="B205" s="144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38"/>
      <c r="B206" s="144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39"/>
      <c r="B207" s="145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15</v>
      </c>
      <c r="D208" s="112"/>
      <c r="E208" s="29"/>
      <c r="F208" s="29" t="s">
        <v>34</v>
      </c>
      <c r="G208" s="29">
        <f>COUNTIF(G183:G207,"S")</f>
        <v>14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8</v>
      </c>
      <c r="K208" s="29">
        <f t="shared" ref="K208" si="34">SUM(K183:K207)</f>
        <v>2</v>
      </c>
      <c r="L208" s="29">
        <f t="shared" ref="L208" si="35">SUM(L183:L207)</f>
        <v>7</v>
      </c>
      <c r="M208" s="29">
        <f t="shared" ref="M208" si="36">SUM(M183:M207)</f>
        <v>3</v>
      </c>
      <c r="N208" s="29">
        <f t="shared" ref="N208" si="37">SUM(N183:N207)</f>
        <v>3</v>
      </c>
      <c r="O208" s="29">
        <f t="shared" ref="O208" si="38">SUM(O183:O207)</f>
        <v>2</v>
      </c>
      <c r="P208" s="29">
        <f t="shared" ref="P208" si="39">SUM(P183:P207)</f>
        <v>2</v>
      </c>
      <c r="Q208" s="29">
        <f t="shared" ref="Q208" si="40">SUM(Q183:Q207)</f>
        <v>5</v>
      </c>
      <c r="R208" s="29">
        <f t="shared" ref="R208" si="41">SUM(R183:R207)</f>
        <v>0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1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32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AYG113</v>
      </c>
      <c r="B211" s="24">
        <f>B1</f>
        <v>45841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5" t="s">
        <v>113</v>
      </c>
      <c r="Y212" s="136"/>
    </row>
    <row r="213" spans="1:28" ht="20.25" thickTop="1" thickBot="1" x14ac:dyDescent="0.45">
      <c r="A213" s="137">
        <v>8</v>
      </c>
      <c r="B213" s="143">
        <v>22.4</v>
      </c>
      <c r="C213" s="85" t="s">
        <v>324</v>
      </c>
      <c r="D213" s="106" t="s">
        <v>278</v>
      </c>
      <c r="E213" s="15" t="s">
        <v>44</v>
      </c>
      <c r="F213" s="16"/>
      <c r="G213" s="15" t="s">
        <v>180</v>
      </c>
      <c r="H213" s="15"/>
      <c r="I213" s="15"/>
      <c r="J213" s="15">
        <v>1</v>
      </c>
      <c r="K213" s="15">
        <v>1</v>
      </c>
      <c r="L213" s="17"/>
      <c r="M213" s="17"/>
      <c r="N213" s="17"/>
      <c r="O213" s="17"/>
      <c r="P213" s="17"/>
      <c r="Q213" s="17"/>
      <c r="R213" s="17"/>
      <c r="S213" s="15"/>
      <c r="T213" s="25">
        <v>45865</v>
      </c>
      <c r="U213" s="15" t="s">
        <v>146</v>
      </c>
      <c r="V213">
        <v>1</v>
      </c>
      <c r="X213" s="51" t="s">
        <v>106</v>
      </c>
      <c r="Y213" s="52">
        <f>COUNTIF(U213:U237,"K")</f>
        <v>12</v>
      </c>
      <c r="AA213" s="59" t="s">
        <v>120</v>
      </c>
      <c r="AB213" s="60" t="s">
        <v>121</v>
      </c>
    </row>
    <row r="214" spans="1:28" x14ac:dyDescent="0.4">
      <c r="A214" s="138"/>
      <c r="B214" s="144"/>
      <c r="C214" s="85" t="s">
        <v>325</v>
      </c>
      <c r="D214" s="106" t="s">
        <v>278</v>
      </c>
      <c r="E214" s="15" t="s">
        <v>74</v>
      </c>
      <c r="F214" s="16"/>
      <c r="G214" s="15" t="s">
        <v>184</v>
      </c>
      <c r="H214" s="15"/>
      <c r="I214" s="15"/>
      <c r="J214" s="15">
        <v>1</v>
      </c>
      <c r="K214" s="15">
        <v>1</v>
      </c>
      <c r="L214" s="19"/>
      <c r="M214" s="19"/>
      <c r="N214" s="19"/>
      <c r="O214" s="19"/>
      <c r="P214" s="19"/>
      <c r="Q214" s="19"/>
      <c r="R214" s="19"/>
      <c r="S214" s="15"/>
      <c r="T214" s="25">
        <v>45865</v>
      </c>
      <c r="U214" s="15" t="s">
        <v>146</v>
      </c>
      <c r="V214">
        <v>2</v>
      </c>
      <c r="X214" s="51" t="s">
        <v>107</v>
      </c>
      <c r="Y214" s="52">
        <f>COUNTIF(U213:U237,"R")</f>
        <v>3</v>
      </c>
      <c r="AA214" s="47" t="s">
        <v>81</v>
      </c>
      <c r="AB214" s="48" t="s">
        <v>60</v>
      </c>
    </row>
    <row r="215" spans="1:28" ht="19.5" thickBot="1" x14ac:dyDescent="0.45">
      <c r="A215" s="138"/>
      <c r="B215" s="144"/>
      <c r="C215" s="85" t="s">
        <v>326</v>
      </c>
      <c r="D215" s="106" t="s">
        <v>278</v>
      </c>
      <c r="E215" s="18" t="s">
        <v>74</v>
      </c>
      <c r="F215" s="16"/>
      <c r="G215" s="18" t="s">
        <v>180</v>
      </c>
      <c r="H215" s="15"/>
      <c r="I215" s="15"/>
      <c r="J215" s="18">
        <v>1</v>
      </c>
      <c r="K215" s="15"/>
      <c r="L215" s="19"/>
      <c r="M215" s="19"/>
      <c r="N215" s="19"/>
      <c r="O215" s="19"/>
      <c r="P215" s="19"/>
      <c r="Q215" s="19"/>
      <c r="R215" s="19"/>
      <c r="S215" s="15"/>
      <c r="T215" s="25">
        <v>45865</v>
      </c>
      <c r="U215" s="15" t="s">
        <v>146</v>
      </c>
      <c r="V215">
        <v>3</v>
      </c>
      <c r="X215" s="53" t="s">
        <v>108</v>
      </c>
      <c r="Y215" s="54">
        <f>COUNTIF(U213:U237,"J")</f>
        <v>0</v>
      </c>
      <c r="AA215" s="49" t="s">
        <v>82</v>
      </c>
      <c r="AB215" s="50" t="s">
        <v>39</v>
      </c>
    </row>
    <row r="216" spans="1:28" x14ac:dyDescent="0.4">
      <c r="A216" s="138"/>
      <c r="B216" s="144"/>
      <c r="C216" s="85" t="s">
        <v>327</v>
      </c>
      <c r="D216" s="110" t="s">
        <v>278</v>
      </c>
      <c r="E216" s="18" t="s">
        <v>36</v>
      </c>
      <c r="F216" s="16"/>
      <c r="G216" s="18" t="s">
        <v>180</v>
      </c>
      <c r="H216" s="15"/>
      <c r="I216" s="15"/>
      <c r="J216" s="18">
        <v>1</v>
      </c>
      <c r="K216" s="15">
        <v>1</v>
      </c>
      <c r="L216" s="19"/>
      <c r="M216" s="19"/>
      <c r="N216" s="19"/>
      <c r="O216" s="19"/>
      <c r="P216" s="19"/>
      <c r="Q216" s="19"/>
      <c r="R216" s="19"/>
      <c r="S216" s="15"/>
      <c r="T216" s="25">
        <v>45865</v>
      </c>
      <c r="U216" s="15" t="s">
        <v>146</v>
      </c>
      <c r="V216">
        <v>4</v>
      </c>
      <c r="AA216" s="49" t="s">
        <v>83</v>
      </c>
      <c r="AB216" s="50" t="s">
        <v>38</v>
      </c>
    </row>
    <row r="217" spans="1:28" x14ac:dyDescent="0.4">
      <c r="A217" s="138"/>
      <c r="B217" s="144"/>
      <c r="C217" s="85" t="s">
        <v>328</v>
      </c>
      <c r="D217" s="110" t="s">
        <v>278</v>
      </c>
      <c r="E217" s="18" t="s">
        <v>75</v>
      </c>
      <c r="F217" s="16"/>
      <c r="G217" s="18" t="s">
        <v>180</v>
      </c>
      <c r="H217" s="15"/>
      <c r="I217" s="15"/>
      <c r="J217" s="18"/>
      <c r="K217" s="15"/>
      <c r="L217" s="19"/>
      <c r="M217" s="19"/>
      <c r="N217" s="19"/>
      <c r="O217" s="19"/>
      <c r="P217" s="19"/>
      <c r="Q217" s="19"/>
      <c r="R217" s="19"/>
      <c r="S217" s="15">
        <v>1</v>
      </c>
      <c r="T217" s="25">
        <v>45875</v>
      </c>
      <c r="U217" s="15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38"/>
      <c r="B218" s="144"/>
      <c r="C218" s="85" t="s">
        <v>329</v>
      </c>
      <c r="D218" s="110" t="s">
        <v>278</v>
      </c>
      <c r="E218" s="18" t="s">
        <v>38</v>
      </c>
      <c r="F218" s="16"/>
      <c r="G218" s="18" t="s">
        <v>180</v>
      </c>
      <c r="H218" s="15"/>
      <c r="I218" s="15"/>
      <c r="J218" s="18">
        <v>1</v>
      </c>
      <c r="K218" s="15"/>
      <c r="L218" s="19"/>
      <c r="M218" s="19"/>
      <c r="N218" s="19"/>
      <c r="O218" s="19"/>
      <c r="P218" s="19"/>
      <c r="Q218" s="19"/>
      <c r="R218" s="19"/>
      <c r="S218" s="15"/>
      <c r="T218" s="25">
        <v>45875</v>
      </c>
      <c r="U218" s="15" t="s">
        <v>146</v>
      </c>
      <c r="V218">
        <v>6</v>
      </c>
      <c r="AA218" s="49" t="s">
        <v>85</v>
      </c>
      <c r="AB218" s="50" t="s">
        <v>43</v>
      </c>
    </row>
    <row r="219" spans="1:28" x14ac:dyDescent="0.4">
      <c r="A219" s="138"/>
      <c r="B219" s="144"/>
      <c r="C219" s="86" t="s">
        <v>330</v>
      </c>
      <c r="D219" s="110" t="s">
        <v>278</v>
      </c>
      <c r="E219" s="18" t="s">
        <v>37</v>
      </c>
      <c r="F219" s="17"/>
      <c r="G219" s="15" t="s">
        <v>180</v>
      </c>
      <c r="H219" s="15"/>
      <c r="I219" s="15"/>
      <c r="J219" s="15">
        <v>1</v>
      </c>
      <c r="K219" s="15">
        <v>1</v>
      </c>
      <c r="L219" s="15"/>
      <c r="M219" s="19"/>
      <c r="N219" s="19"/>
      <c r="O219" s="19"/>
      <c r="P219" s="19"/>
      <c r="Q219" s="19"/>
      <c r="R219" s="19"/>
      <c r="S219" s="15"/>
      <c r="T219" s="25">
        <v>45875</v>
      </c>
      <c r="U219" s="15" t="s">
        <v>146</v>
      </c>
      <c r="V219">
        <v>7</v>
      </c>
      <c r="AA219" s="49" t="s">
        <v>86</v>
      </c>
      <c r="AB219" s="50" t="s">
        <v>45</v>
      </c>
    </row>
    <row r="220" spans="1:28" x14ac:dyDescent="0.4">
      <c r="A220" s="138"/>
      <c r="B220" s="144"/>
      <c r="C220" s="85" t="s">
        <v>331</v>
      </c>
      <c r="D220" s="106" t="s">
        <v>278</v>
      </c>
      <c r="E220" s="106" t="s">
        <v>58</v>
      </c>
      <c r="F220" s="16"/>
      <c r="G220" s="12" t="s">
        <v>180</v>
      </c>
      <c r="H220" s="15"/>
      <c r="I220" s="15"/>
      <c r="J220" s="13"/>
      <c r="K220" s="15"/>
      <c r="L220" s="13"/>
      <c r="M220" s="17"/>
      <c r="N220" s="17"/>
      <c r="O220" s="17"/>
      <c r="P220" s="17"/>
      <c r="Q220" s="17"/>
      <c r="R220" s="17"/>
      <c r="S220" s="15">
        <v>1</v>
      </c>
      <c r="T220" s="25">
        <v>45875</v>
      </c>
      <c r="U220" s="13" t="s">
        <v>146</v>
      </c>
      <c r="V220">
        <v>8</v>
      </c>
      <c r="AA220" s="49" t="s">
        <v>87</v>
      </c>
      <c r="AB220" s="50" t="s">
        <v>37</v>
      </c>
    </row>
    <row r="221" spans="1:28" x14ac:dyDescent="0.4">
      <c r="A221" s="138"/>
      <c r="B221" s="144"/>
      <c r="C221" s="85" t="s">
        <v>332</v>
      </c>
      <c r="D221" s="106" t="s">
        <v>278</v>
      </c>
      <c r="E221" s="106" t="s">
        <v>37</v>
      </c>
      <c r="F221" s="16"/>
      <c r="G221" s="12" t="s">
        <v>180</v>
      </c>
      <c r="H221" s="15"/>
      <c r="I221" s="15"/>
      <c r="J221" s="13">
        <v>1</v>
      </c>
      <c r="K221" s="15">
        <v>1</v>
      </c>
      <c r="L221" s="13"/>
      <c r="M221" s="17"/>
      <c r="N221" s="17"/>
      <c r="O221" s="17"/>
      <c r="P221" s="17"/>
      <c r="Q221" s="17"/>
      <c r="R221" s="17"/>
      <c r="S221" s="15"/>
      <c r="T221" s="25">
        <v>45875</v>
      </c>
      <c r="U221" s="13" t="s">
        <v>146</v>
      </c>
      <c r="V221">
        <v>9</v>
      </c>
      <c r="AA221" s="49" t="s">
        <v>88</v>
      </c>
      <c r="AB221" s="50" t="s">
        <v>74</v>
      </c>
    </row>
    <row r="222" spans="1:28" x14ac:dyDescent="0.4">
      <c r="A222" s="138"/>
      <c r="B222" s="144"/>
      <c r="C222" s="85" t="s">
        <v>333</v>
      </c>
      <c r="D222" s="106" t="s">
        <v>278</v>
      </c>
      <c r="E222" s="106" t="s">
        <v>45</v>
      </c>
      <c r="F222" s="106"/>
      <c r="G222" s="12" t="s">
        <v>180</v>
      </c>
      <c r="H222" s="15"/>
      <c r="I222" s="15"/>
      <c r="J222" s="13"/>
      <c r="K222" s="15"/>
      <c r="L222" s="13"/>
      <c r="M222" s="17"/>
      <c r="N222" s="17">
        <v>1</v>
      </c>
      <c r="O222" s="17"/>
      <c r="P222" s="17"/>
      <c r="Q222" s="17"/>
      <c r="R222" s="17"/>
      <c r="S222" s="15"/>
      <c r="T222" s="25">
        <v>45875</v>
      </c>
      <c r="U222" s="13" t="s">
        <v>147</v>
      </c>
      <c r="V222">
        <v>10</v>
      </c>
      <c r="AA222" s="49" t="s">
        <v>89</v>
      </c>
      <c r="AB222" s="50" t="s">
        <v>36</v>
      </c>
    </row>
    <row r="223" spans="1:28" x14ac:dyDescent="0.4">
      <c r="A223" s="138"/>
      <c r="B223" s="144"/>
      <c r="C223" s="85" t="s">
        <v>334</v>
      </c>
      <c r="D223" s="106" t="s">
        <v>278</v>
      </c>
      <c r="E223" s="106" t="s">
        <v>41</v>
      </c>
      <c r="F223" s="16"/>
      <c r="G223" s="12" t="s">
        <v>180</v>
      </c>
      <c r="H223" s="15"/>
      <c r="I223" s="15"/>
      <c r="J223" s="15"/>
      <c r="K223" s="15"/>
      <c r="L223" s="17"/>
      <c r="M223" s="17"/>
      <c r="N223" s="17">
        <v>1</v>
      </c>
      <c r="O223" s="17"/>
      <c r="P223" s="17"/>
      <c r="Q223" s="17"/>
      <c r="R223" s="17"/>
      <c r="S223" s="15"/>
      <c r="T223" s="25">
        <v>45865</v>
      </c>
      <c r="U223" s="13" t="s">
        <v>147</v>
      </c>
      <c r="V223">
        <v>11</v>
      </c>
      <c r="AA223" s="49" t="s">
        <v>90</v>
      </c>
      <c r="AB223" s="50" t="s">
        <v>58</v>
      </c>
    </row>
    <row r="224" spans="1:28" x14ac:dyDescent="0.4">
      <c r="A224" s="138"/>
      <c r="B224" s="144"/>
      <c r="C224" s="85" t="s">
        <v>335</v>
      </c>
      <c r="D224" s="106" t="s">
        <v>183</v>
      </c>
      <c r="E224" s="106" t="s">
        <v>42</v>
      </c>
      <c r="F224" s="16"/>
      <c r="G224" s="12" t="s">
        <v>180</v>
      </c>
      <c r="H224" s="15"/>
      <c r="I224" s="15"/>
      <c r="J224" s="15"/>
      <c r="K224" s="15"/>
      <c r="L224" s="17"/>
      <c r="M224" s="17"/>
      <c r="N224" s="17"/>
      <c r="O224" s="17"/>
      <c r="P224" s="17"/>
      <c r="Q224" s="17"/>
      <c r="R224" s="17"/>
      <c r="S224" s="15">
        <v>1</v>
      </c>
      <c r="T224" s="25">
        <v>45873</v>
      </c>
      <c r="U224" s="13" t="s">
        <v>147</v>
      </c>
      <c r="V224">
        <v>12</v>
      </c>
      <c r="AA224" s="49" t="s">
        <v>91</v>
      </c>
      <c r="AB224" s="50" t="s">
        <v>75</v>
      </c>
    </row>
    <row r="225" spans="1:28" x14ac:dyDescent="0.4">
      <c r="A225" s="138"/>
      <c r="B225" s="144"/>
      <c r="C225" s="85" t="s">
        <v>336</v>
      </c>
      <c r="D225" s="106" t="s">
        <v>183</v>
      </c>
      <c r="E225" s="106" t="s">
        <v>41</v>
      </c>
      <c r="F225" s="16"/>
      <c r="G225" s="12" t="s">
        <v>180</v>
      </c>
      <c r="H225" s="15"/>
      <c r="I225" s="15"/>
      <c r="J225" s="15">
        <v>1</v>
      </c>
      <c r="K225" s="15"/>
      <c r="L225" s="17"/>
      <c r="M225" s="17"/>
      <c r="N225" s="17"/>
      <c r="O225" s="17"/>
      <c r="P225" s="17"/>
      <c r="Q225" s="17"/>
      <c r="R225" s="17"/>
      <c r="S225" s="15"/>
      <c r="T225" s="25">
        <v>45873</v>
      </c>
      <c r="U225" s="13" t="s">
        <v>146</v>
      </c>
      <c r="V225">
        <v>13</v>
      </c>
      <c r="AA225" s="49" t="s">
        <v>92</v>
      </c>
      <c r="AB225" s="50" t="s">
        <v>40</v>
      </c>
    </row>
    <row r="226" spans="1:28" x14ac:dyDescent="0.4">
      <c r="A226" s="138"/>
      <c r="B226" s="144"/>
      <c r="C226" s="85" t="s">
        <v>337</v>
      </c>
      <c r="D226" s="106" t="s">
        <v>183</v>
      </c>
      <c r="E226" s="106" t="s">
        <v>42</v>
      </c>
      <c r="F226" s="16"/>
      <c r="G226" s="12" t="s">
        <v>180</v>
      </c>
      <c r="H226" s="15"/>
      <c r="I226" s="15"/>
      <c r="J226" s="15"/>
      <c r="K226" s="15"/>
      <c r="L226" s="17"/>
      <c r="M226" s="17"/>
      <c r="N226" s="17"/>
      <c r="O226" s="17"/>
      <c r="P226" s="17"/>
      <c r="Q226" s="17"/>
      <c r="R226" s="17"/>
      <c r="S226" s="15">
        <v>1</v>
      </c>
      <c r="T226" s="25">
        <v>45873</v>
      </c>
      <c r="U226" s="13" t="s">
        <v>146</v>
      </c>
      <c r="V226">
        <v>14</v>
      </c>
      <c r="AA226" s="49" t="s">
        <v>93</v>
      </c>
      <c r="AB226" s="50" t="s">
        <v>57</v>
      </c>
    </row>
    <row r="227" spans="1:28" x14ac:dyDescent="0.4">
      <c r="A227" s="138"/>
      <c r="B227" s="144"/>
      <c r="C227" s="85" t="s">
        <v>338</v>
      </c>
      <c r="D227" s="106" t="s">
        <v>183</v>
      </c>
      <c r="E227" s="106" t="s">
        <v>41</v>
      </c>
      <c r="F227" s="16"/>
      <c r="G227" s="12" t="s">
        <v>180</v>
      </c>
      <c r="H227" s="15"/>
      <c r="I227" s="15"/>
      <c r="J227" s="15">
        <v>1</v>
      </c>
      <c r="K227" s="15"/>
      <c r="L227" s="17"/>
      <c r="M227" s="17"/>
      <c r="N227" s="17"/>
      <c r="O227" s="17"/>
      <c r="P227" s="17"/>
      <c r="Q227" s="17"/>
      <c r="R227" s="17"/>
      <c r="S227" s="15"/>
      <c r="T227" s="25">
        <v>45873</v>
      </c>
      <c r="U227" s="13" t="s">
        <v>146</v>
      </c>
      <c r="V227">
        <v>15</v>
      </c>
      <c r="AA227" s="49" t="s">
        <v>94</v>
      </c>
      <c r="AB227" s="50" t="s">
        <v>41</v>
      </c>
    </row>
    <row r="228" spans="1:28" x14ac:dyDescent="0.4">
      <c r="A228" s="138"/>
      <c r="B228" s="144"/>
      <c r="C228" s="85"/>
      <c r="D228" s="106"/>
      <c r="E228" s="106"/>
      <c r="F228" s="16"/>
      <c r="G228" s="12"/>
      <c r="H228" s="15"/>
      <c r="I228" s="15"/>
      <c r="J228" s="18"/>
      <c r="K228" s="15"/>
      <c r="L228" s="19"/>
      <c r="M228" s="19"/>
      <c r="N228" s="19"/>
      <c r="O228" s="19"/>
      <c r="P228" s="19"/>
      <c r="Q228" s="19"/>
      <c r="R228" s="19"/>
      <c r="S228" s="15"/>
      <c r="T228" s="25"/>
      <c r="U228" s="13"/>
      <c r="V228">
        <v>16</v>
      </c>
      <c r="AA228" s="49" t="s">
        <v>95</v>
      </c>
      <c r="AB228" s="50" t="s">
        <v>42</v>
      </c>
    </row>
    <row r="229" spans="1:28" x14ac:dyDescent="0.4">
      <c r="A229" s="138"/>
      <c r="B229" s="144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38"/>
      <c r="B230" s="144"/>
      <c r="C230" s="85"/>
      <c r="D230" s="110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38"/>
      <c r="B231" s="144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38"/>
      <c r="B232" s="144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38"/>
      <c r="B233" s="144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38"/>
      <c r="B234" s="144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38"/>
      <c r="B235" s="144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38"/>
      <c r="B236" s="144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39"/>
      <c r="B237" s="145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15</v>
      </c>
      <c r="D238" s="112"/>
      <c r="E238" s="29"/>
      <c r="F238" s="29" t="s">
        <v>34</v>
      </c>
      <c r="G238" s="29">
        <f>COUNTIF(G213:G237,"S")</f>
        <v>14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9</v>
      </c>
      <c r="K238" s="29">
        <f t="shared" ref="K238" si="44">SUM(K213:K237)</f>
        <v>5</v>
      </c>
      <c r="L238" s="29">
        <f t="shared" ref="L238" si="45">SUM(L213:L237)</f>
        <v>0</v>
      </c>
      <c r="M238" s="29">
        <f t="shared" ref="M238" si="46">SUM(M213:M237)</f>
        <v>0</v>
      </c>
      <c r="N238" s="29">
        <f t="shared" ref="N238" si="47">SUM(N213:N237)</f>
        <v>2</v>
      </c>
      <c r="O238" s="29">
        <f t="shared" ref="O238" si="48">SUM(O213:O237)</f>
        <v>0</v>
      </c>
      <c r="P238" s="29">
        <f t="shared" ref="P238" si="49">SUM(P213:P237)</f>
        <v>0</v>
      </c>
      <c r="Q238" s="29">
        <f t="shared" ref="Q238" si="50">SUM(Q213:Q237)</f>
        <v>0</v>
      </c>
      <c r="R238" s="29">
        <f t="shared" ref="R238" si="51">SUM(R213:R237)</f>
        <v>0</v>
      </c>
      <c r="S238" s="29">
        <f t="shared" ref="S238" si="52">SUM(S213:S237)</f>
        <v>4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1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20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AYG113</v>
      </c>
      <c r="B241" s="24">
        <f>B1</f>
        <v>45841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49" t="s">
        <v>112</v>
      </c>
      <c r="Y242" s="149"/>
    </row>
    <row r="243" spans="1:28" ht="20.25" thickTop="1" thickBot="1" x14ac:dyDescent="0.45">
      <c r="A243" s="137">
        <v>9</v>
      </c>
      <c r="B243" s="143">
        <v>19.399999999999999</v>
      </c>
      <c r="C243" s="85" t="s">
        <v>339</v>
      </c>
      <c r="D243" s="106" t="s">
        <v>340</v>
      </c>
      <c r="E243" s="106" t="s">
        <v>37</v>
      </c>
      <c r="F243" s="14"/>
      <c r="G243" s="12" t="s">
        <v>180</v>
      </c>
      <c r="H243" s="13"/>
      <c r="I243" s="13"/>
      <c r="J243" s="13">
        <v>1</v>
      </c>
      <c r="K243" s="13">
        <v>1</v>
      </c>
      <c r="L243" s="13"/>
      <c r="M243" s="13"/>
      <c r="N243" s="13"/>
      <c r="O243" s="13"/>
      <c r="P243" s="13"/>
      <c r="Q243" s="13"/>
      <c r="R243" s="13"/>
      <c r="S243" s="13"/>
      <c r="T243" s="25">
        <v>45885</v>
      </c>
      <c r="U243" s="13" t="s">
        <v>146</v>
      </c>
      <c r="V243">
        <v>1</v>
      </c>
      <c r="X243" t="s">
        <v>106</v>
      </c>
      <c r="Y243">
        <f>COUNTIF(U243:U267,"K")</f>
        <v>8</v>
      </c>
      <c r="AA243" s="59" t="s">
        <v>120</v>
      </c>
      <c r="AB243" s="60" t="s">
        <v>121</v>
      </c>
    </row>
    <row r="244" spans="1:28" x14ac:dyDescent="0.4">
      <c r="A244" s="138"/>
      <c r="B244" s="144"/>
      <c r="C244" s="85" t="s">
        <v>342</v>
      </c>
      <c r="D244" s="106" t="s">
        <v>341</v>
      </c>
      <c r="E244" s="106" t="s">
        <v>36</v>
      </c>
      <c r="F244" s="16"/>
      <c r="G244" s="12" t="s">
        <v>180</v>
      </c>
      <c r="H244" s="15"/>
      <c r="I244" s="15"/>
      <c r="J244" s="13"/>
      <c r="K244" s="15"/>
      <c r="L244" s="13"/>
      <c r="M244" s="17">
        <v>1</v>
      </c>
      <c r="N244" s="17">
        <v>1</v>
      </c>
      <c r="O244" s="17"/>
      <c r="P244" s="17"/>
      <c r="Q244" s="17">
        <v>1</v>
      </c>
      <c r="R244" s="17"/>
      <c r="S244" s="15"/>
      <c r="T244" s="25">
        <v>45866</v>
      </c>
      <c r="U244" s="13" t="s">
        <v>147</v>
      </c>
      <c r="V244">
        <v>2</v>
      </c>
      <c r="X244" t="s">
        <v>107</v>
      </c>
      <c r="Y244">
        <f>COUNTIF(U243:U267,"R")</f>
        <v>6</v>
      </c>
      <c r="AA244" s="47" t="s">
        <v>81</v>
      </c>
      <c r="AB244" s="48" t="s">
        <v>60</v>
      </c>
    </row>
    <row r="245" spans="1:28" x14ac:dyDescent="0.4">
      <c r="A245" s="138"/>
      <c r="B245" s="144"/>
      <c r="C245" s="85" t="s">
        <v>343</v>
      </c>
      <c r="D245" s="106" t="s">
        <v>341</v>
      </c>
      <c r="E245" s="106" t="s">
        <v>40</v>
      </c>
      <c r="F245" s="16"/>
      <c r="G245" s="12" t="s">
        <v>180</v>
      </c>
      <c r="H245" s="13"/>
      <c r="I245" s="15"/>
      <c r="J245" s="13"/>
      <c r="K245" s="15"/>
      <c r="L245" s="13"/>
      <c r="M245" s="17"/>
      <c r="N245" s="17"/>
      <c r="O245" s="17">
        <v>1</v>
      </c>
      <c r="P245" s="17">
        <v>1</v>
      </c>
      <c r="Q245" s="17"/>
      <c r="R245" s="17"/>
      <c r="S245" s="15"/>
      <c r="T245" s="25">
        <v>45866</v>
      </c>
      <c r="U245" s="13" t="s">
        <v>148</v>
      </c>
      <c r="V245">
        <v>3</v>
      </c>
      <c r="X245" t="s">
        <v>108</v>
      </c>
      <c r="Y245">
        <f>COUNTIF(U243:U267,"J")</f>
        <v>2</v>
      </c>
      <c r="AA245" s="49" t="s">
        <v>82</v>
      </c>
      <c r="AB245" s="50" t="s">
        <v>39</v>
      </c>
    </row>
    <row r="246" spans="1:28" x14ac:dyDescent="0.4">
      <c r="A246" s="138"/>
      <c r="B246" s="144"/>
      <c r="C246" s="85" t="s">
        <v>345</v>
      </c>
      <c r="D246" s="106" t="s">
        <v>344</v>
      </c>
      <c r="E246" s="106" t="s">
        <v>74</v>
      </c>
      <c r="F246" s="16"/>
      <c r="G246" s="12" t="s">
        <v>180</v>
      </c>
      <c r="H246" s="15"/>
      <c r="I246" s="15"/>
      <c r="J246" s="13">
        <v>1</v>
      </c>
      <c r="K246" s="15">
        <v>1</v>
      </c>
      <c r="L246" s="13"/>
      <c r="M246" s="17"/>
      <c r="N246" s="17"/>
      <c r="O246" s="17"/>
      <c r="P246" s="17"/>
      <c r="Q246" s="17"/>
      <c r="R246" s="17"/>
      <c r="S246" s="15"/>
      <c r="T246" s="25">
        <v>45873</v>
      </c>
      <c r="U246" s="13" t="s">
        <v>146</v>
      </c>
      <c r="V246">
        <v>4</v>
      </c>
      <c r="AA246" s="49" t="s">
        <v>83</v>
      </c>
      <c r="AB246" s="50" t="s">
        <v>38</v>
      </c>
    </row>
    <row r="247" spans="1:28" x14ac:dyDescent="0.4">
      <c r="A247" s="138"/>
      <c r="B247" s="144"/>
      <c r="C247" s="85" t="s">
        <v>346</v>
      </c>
      <c r="D247" s="106" t="s">
        <v>344</v>
      </c>
      <c r="E247" s="106" t="s">
        <v>44</v>
      </c>
      <c r="F247" s="16"/>
      <c r="G247" s="12" t="s">
        <v>180</v>
      </c>
      <c r="H247" s="15"/>
      <c r="I247" s="15"/>
      <c r="J247" s="13">
        <v>1</v>
      </c>
      <c r="K247" s="15">
        <v>1</v>
      </c>
      <c r="L247" s="13"/>
      <c r="M247" s="17"/>
      <c r="N247" s="17"/>
      <c r="O247" s="17"/>
      <c r="P247" s="17"/>
      <c r="Q247" s="17"/>
      <c r="R247" s="17"/>
      <c r="S247" s="15"/>
      <c r="T247" s="25">
        <v>45873</v>
      </c>
      <c r="U247" s="13" t="s">
        <v>146</v>
      </c>
      <c r="V247">
        <v>5</v>
      </c>
      <c r="AA247" s="49" t="s">
        <v>84</v>
      </c>
      <c r="AB247" s="50" t="s">
        <v>44</v>
      </c>
    </row>
    <row r="248" spans="1:28" x14ac:dyDescent="0.4">
      <c r="A248" s="138"/>
      <c r="B248" s="144"/>
      <c r="C248" s="85" t="s">
        <v>347</v>
      </c>
      <c r="D248" s="106" t="s">
        <v>344</v>
      </c>
      <c r="E248" s="106" t="s">
        <v>74</v>
      </c>
      <c r="F248" s="16"/>
      <c r="G248" s="12" t="s">
        <v>180</v>
      </c>
      <c r="H248" s="13"/>
      <c r="I248" s="15"/>
      <c r="J248" s="13">
        <v>1</v>
      </c>
      <c r="K248" s="15"/>
      <c r="L248" s="13"/>
      <c r="M248" s="17"/>
      <c r="N248" s="17"/>
      <c r="O248" s="17"/>
      <c r="P248" s="17"/>
      <c r="Q248" s="17"/>
      <c r="R248" s="17"/>
      <c r="S248" s="15"/>
      <c r="T248" s="25">
        <v>45873</v>
      </c>
      <c r="U248" s="13" t="s">
        <v>146</v>
      </c>
      <c r="V248">
        <v>6</v>
      </c>
      <c r="AA248" s="49" t="s">
        <v>85</v>
      </c>
      <c r="AB248" s="50" t="s">
        <v>43</v>
      </c>
    </row>
    <row r="249" spans="1:28" x14ac:dyDescent="0.4">
      <c r="A249" s="138"/>
      <c r="B249" s="144"/>
      <c r="C249" s="85" t="s">
        <v>348</v>
      </c>
      <c r="D249" s="106" t="s">
        <v>179</v>
      </c>
      <c r="E249" s="106" t="s">
        <v>36</v>
      </c>
      <c r="F249" s="16"/>
      <c r="G249" s="12" t="s">
        <v>180</v>
      </c>
      <c r="H249" s="15"/>
      <c r="I249" s="15"/>
      <c r="J249" s="13">
        <v>1</v>
      </c>
      <c r="K249" s="15">
        <v>1</v>
      </c>
      <c r="L249" s="13"/>
      <c r="M249" s="17"/>
      <c r="N249" s="17"/>
      <c r="O249" s="17"/>
      <c r="P249" s="17"/>
      <c r="Q249" s="17"/>
      <c r="R249" s="17"/>
      <c r="S249" s="15"/>
      <c r="T249" s="25">
        <v>45867</v>
      </c>
      <c r="U249" s="13" t="s">
        <v>146</v>
      </c>
      <c r="V249">
        <v>7</v>
      </c>
      <c r="AA249" s="49" t="s">
        <v>86</v>
      </c>
      <c r="AB249" s="50" t="s">
        <v>45</v>
      </c>
    </row>
    <row r="250" spans="1:28" x14ac:dyDescent="0.4">
      <c r="A250" s="138"/>
      <c r="B250" s="144"/>
      <c r="C250" s="85" t="s">
        <v>349</v>
      </c>
      <c r="D250" s="106" t="s">
        <v>308</v>
      </c>
      <c r="E250" s="106" t="s">
        <v>75</v>
      </c>
      <c r="F250" s="16"/>
      <c r="G250" s="12" t="s">
        <v>180</v>
      </c>
      <c r="H250" s="15"/>
      <c r="I250" s="15"/>
      <c r="J250" s="13"/>
      <c r="K250" s="15"/>
      <c r="L250" s="13"/>
      <c r="M250" s="17"/>
      <c r="N250" s="17"/>
      <c r="O250" s="17"/>
      <c r="P250" s="17"/>
      <c r="Q250" s="17"/>
      <c r="R250" s="17"/>
      <c r="S250" s="15"/>
      <c r="T250" s="25">
        <v>45887</v>
      </c>
      <c r="U250" s="13" t="s">
        <v>147</v>
      </c>
      <c r="V250">
        <v>8</v>
      </c>
      <c r="AA250" s="49" t="s">
        <v>87</v>
      </c>
      <c r="AB250" s="50" t="s">
        <v>37</v>
      </c>
    </row>
    <row r="251" spans="1:28" x14ac:dyDescent="0.4">
      <c r="A251" s="138"/>
      <c r="B251" s="144"/>
      <c r="C251" s="85" t="s">
        <v>350</v>
      </c>
      <c r="D251" s="106" t="s">
        <v>308</v>
      </c>
      <c r="E251" s="106" t="s">
        <v>75</v>
      </c>
      <c r="F251" s="16"/>
      <c r="G251" s="12" t="s">
        <v>180</v>
      </c>
      <c r="H251" s="15"/>
      <c r="I251" s="15"/>
      <c r="J251" s="13"/>
      <c r="K251" s="15"/>
      <c r="L251" s="13"/>
      <c r="M251" s="17"/>
      <c r="N251" s="17"/>
      <c r="O251" s="17"/>
      <c r="P251" s="17"/>
      <c r="Q251" s="17"/>
      <c r="R251" s="17"/>
      <c r="S251" s="15"/>
      <c r="T251" s="25">
        <v>45887</v>
      </c>
      <c r="U251" s="13" t="s">
        <v>147</v>
      </c>
      <c r="V251">
        <v>9</v>
      </c>
      <c r="AA251" s="49" t="s">
        <v>88</v>
      </c>
      <c r="AB251" s="50" t="s">
        <v>74</v>
      </c>
    </row>
    <row r="252" spans="1:28" x14ac:dyDescent="0.4">
      <c r="A252" s="138"/>
      <c r="B252" s="144"/>
      <c r="C252" s="85" t="s">
        <v>352</v>
      </c>
      <c r="D252" s="106" t="s">
        <v>351</v>
      </c>
      <c r="E252" s="106" t="s">
        <v>75</v>
      </c>
      <c r="F252" s="106"/>
      <c r="G252" s="12" t="s">
        <v>180</v>
      </c>
      <c r="H252" s="15"/>
      <c r="I252" s="15"/>
      <c r="J252" s="13"/>
      <c r="K252" s="15"/>
      <c r="L252" s="13"/>
      <c r="M252" s="17"/>
      <c r="N252" s="17"/>
      <c r="O252" s="17"/>
      <c r="P252" s="17"/>
      <c r="Q252" s="17"/>
      <c r="R252" s="17"/>
      <c r="S252" s="15"/>
      <c r="T252" s="25">
        <v>45873</v>
      </c>
      <c r="U252" s="13" t="s">
        <v>147</v>
      </c>
      <c r="V252">
        <v>10</v>
      </c>
      <c r="AA252" s="49" t="s">
        <v>89</v>
      </c>
      <c r="AB252" s="50" t="s">
        <v>36</v>
      </c>
    </row>
    <row r="253" spans="1:28" x14ac:dyDescent="0.4">
      <c r="A253" s="138"/>
      <c r="B253" s="144"/>
      <c r="C253" s="85" t="s">
        <v>353</v>
      </c>
      <c r="D253" s="106" t="s">
        <v>200</v>
      </c>
      <c r="E253" s="106" t="s">
        <v>41</v>
      </c>
      <c r="F253" s="16"/>
      <c r="G253" s="12" t="s">
        <v>180</v>
      </c>
      <c r="H253" s="15"/>
      <c r="I253" s="15"/>
      <c r="J253" s="15"/>
      <c r="K253" s="15"/>
      <c r="L253" s="17"/>
      <c r="M253" s="17"/>
      <c r="N253" s="17">
        <v>1</v>
      </c>
      <c r="O253" s="17"/>
      <c r="P253" s="17"/>
      <c r="Q253" s="17">
        <v>1</v>
      </c>
      <c r="R253" s="17"/>
      <c r="S253" s="15"/>
      <c r="T253" s="25">
        <v>45899</v>
      </c>
      <c r="U253" s="13" t="s">
        <v>147</v>
      </c>
      <c r="V253">
        <v>11</v>
      </c>
      <c r="AA253" s="49" t="s">
        <v>90</v>
      </c>
      <c r="AB253" s="50" t="s">
        <v>58</v>
      </c>
    </row>
    <row r="254" spans="1:28" x14ac:dyDescent="0.4">
      <c r="A254" s="138"/>
      <c r="B254" s="144"/>
      <c r="C254" s="85" t="s">
        <v>354</v>
      </c>
      <c r="D254" s="106" t="s">
        <v>179</v>
      </c>
      <c r="E254" s="106" t="s">
        <v>36</v>
      </c>
      <c r="F254" s="16"/>
      <c r="G254" s="12" t="s">
        <v>180</v>
      </c>
      <c r="H254" s="15"/>
      <c r="I254" s="15"/>
      <c r="J254" s="15"/>
      <c r="K254" s="15"/>
      <c r="L254" s="17"/>
      <c r="M254" s="17">
        <v>1</v>
      </c>
      <c r="N254" s="17">
        <v>1</v>
      </c>
      <c r="O254" s="17"/>
      <c r="P254" s="17"/>
      <c r="Q254" s="17">
        <v>1</v>
      </c>
      <c r="R254" s="17"/>
      <c r="S254" s="15"/>
      <c r="T254" s="25">
        <v>45887</v>
      </c>
      <c r="U254" s="13" t="s">
        <v>147</v>
      </c>
      <c r="V254">
        <v>12</v>
      </c>
      <c r="AA254" s="49" t="s">
        <v>91</v>
      </c>
      <c r="AB254" s="50" t="s">
        <v>75</v>
      </c>
    </row>
    <row r="255" spans="1:28" x14ac:dyDescent="0.4">
      <c r="A255" s="138"/>
      <c r="B255" s="144"/>
      <c r="C255" s="85" t="s">
        <v>355</v>
      </c>
      <c r="D255" s="106" t="s">
        <v>356</v>
      </c>
      <c r="E255" s="106" t="s">
        <v>39</v>
      </c>
      <c r="F255" s="16"/>
      <c r="G255" s="12" t="s">
        <v>180</v>
      </c>
      <c r="H255" s="15"/>
      <c r="I255" s="15"/>
      <c r="J255" s="15">
        <v>1</v>
      </c>
      <c r="K255" s="15">
        <v>1</v>
      </c>
      <c r="L255" s="17"/>
      <c r="M255" s="17"/>
      <c r="N255" s="17"/>
      <c r="O255" s="17"/>
      <c r="P255" s="17"/>
      <c r="Q255" s="17"/>
      <c r="R255" s="17"/>
      <c r="S255" s="15"/>
      <c r="T255" s="25">
        <v>45898</v>
      </c>
      <c r="U255" s="13" t="s">
        <v>146</v>
      </c>
      <c r="V255">
        <v>13</v>
      </c>
      <c r="AA255" s="49" t="s">
        <v>92</v>
      </c>
      <c r="AB255" s="50" t="s">
        <v>40</v>
      </c>
    </row>
    <row r="256" spans="1:28" x14ac:dyDescent="0.4">
      <c r="A256" s="138"/>
      <c r="B256" s="144"/>
      <c r="C256" s="85" t="s">
        <v>357</v>
      </c>
      <c r="D256" s="106" t="s">
        <v>356</v>
      </c>
      <c r="E256" s="106" t="s">
        <v>133</v>
      </c>
      <c r="F256" s="16"/>
      <c r="G256" s="12" t="s">
        <v>180</v>
      </c>
      <c r="H256" s="15"/>
      <c r="I256" s="15"/>
      <c r="J256" s="15"/>
      <c r="K256" s="15"/>
      <c r="L256" s="17"/>
      <c r="M256" s="17"/>
      <c r="N256" s="17"/>
      <c r="O256" s="17">
        <v>1</v>
      </c>
      <c r="P256" s="17">
        <v>1</v>
      </c>
      <c r="Q256" s="17"/>
      <c r="R256" s="17"/>
      <c r="S256" s="15"/>
      <c r="T256" s="25">
        <v>45898</v>
      </c>
      <c r="U256" s="13" t="s">
        <v>148</v>
      </c>
      <c r="V256">
        <v>14</v>
      </c>
      <c r="AA256" s="49" t="s">
        <v>93</v>
      </c>
      <c r="AB256" s="50" t="s">
        <v>57</v>
      </c>
    </row>
    <row r="257" spans="1:28" x14ac:dyDescent="0.4">
      <c r="A257" s="138"/>
      <c r="B257" s="144"/>
      <c r="C257" s="85" t="s">
        <v>358</v>
      </c>
      <c r="D257" s="106" t="s">
        <v>191</v>
      </c>
      <c r="E257" s="106" t="s">
        <v>44</v>
      </c>
      <c r="F257" s="16"/>
      <c r="G257" s="12" t="s">
        <v>180</v>
      </c>
      <c r="H257" s="15"/>
      <c r="I257" s="15"/>
      <c r="J257" s="15">
        <v>1</v>
      </c>
      <c r="K257" s="15">
        <v>1</v>
      </c>
      <c r="L257" s="17"/>
      <c r="M257" s="17"/>
      <c r="N257" s="17"/>
      <c r="O257" s="17"/>
      <c r="P257" s="17"/>
      <c r="Q257" s="17"/>
      <c r="R257" s="17"/>
      <c r="S257" s="15"/>
      <c r="T257" s="25">
        <v>45874</v>
      </c>
      <c r="U257" s="13" t="s">
        <v>146</v>
      </c>
      <c r="V257">
        <v>15</v>
      </c>
      <c r="AA257" s="49" t="s">
        <v>94</v>
      </c>
      <c r="AB257" s="50" t="s">
        <v>41</v>
      </c>
    </row>
    <row r="258" spans="1:28" x14ac:dyDescent="0.4">
      <c r="A258" s="138"/>
      <c r="B258" s="144"/>
      <c r="C258" s="85" t="s">
        <v>360</v>
      </c>
      <c r="D258" s="106" t="s">
        <v>359</v>
      </c>
      <c r="E258" s="106" t="s">
        <v>37</v>
      </c>
      <c r="F258" s="16"/>
      <c r="G258" s="12" t="s">
        <v>180</v>
      </c>
      <c r="H258" s="15"/>
      <c r="I258" s="15"/>
      <c r="J258" s="18">
        <v>1</v>
      </c>
      <c r="K258" s="15">
        <v>1</v>
      </c>
      <c r="L258" s="19"/>
      <c r="M258" s="19"/>
      <c r="N258" s="19"/>
      <c r="O258" s="19"/>
      <c r="P258" s="19"/>
      <c r="Q258" s="19"/>
      <c r="R258" s="19"/>
      <c r="S258" s="15"/>
      <c r="T258" s="25">
        <v>45874</v>
      </c>
      <c r="U258" s="13" t="s">
        <v>146</v>
      </c>
      <c r="V258">
        <v>16</v>
      </c>
      <c r="AA258" s="49" t="s">
        <v>95</v>
      </c>
      <c r="AB258" s="50" t="s">
        <v>42</v>
      </c>
    </row>
    <row r="259" spans="1:28" x14ac:dyDescent="0.4">
      <c r="A259" s="138"/>
      <c r="B259" s="144"/>
      <c r="C259" s="85"/>
      <c r="D259" s="106"/>
      <c r="E259" s="106"/>
      <c r="F259" s="16"/>
      <c r="G259" s="12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5"/>
      <c r="U259" s="13"/>
      <c r="V259">
        <v>17</v>
      </c>
      <c r="AA259" s="49" t="s">
        <v>96</v>
      </c>
      <c r="AB259" s="50" t="s">
        <v>61</v>
      </c>
    </row>
    <row r="260" spans="1:28" x14ac:dyDescent="0.4">
      <c r="A260" s="138"/>
      <c r="B260" s="144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38"/>
      <c r="B261" s="144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38"/>
      <c r="B262" s="144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30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38"/>
      <c r="B263" s="144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38"/>
      <c r="B264" s="144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38"/>
      <c r="B265" s="144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0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38"/>
      <c r="B266" s="144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39"/>
      <c r="B267" s="145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16</v>
      </c>
      <c r="D268" s="112"/>
      <c r="E268" s="29"/>
      <c r="F268" s="29" t="s">
        <v>34</v>
      </c>
      <c r="G268" s="29">
        <f>COUNTIF(G243:G267,"S")</f>
        <v>16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8</v>
      </c>
      <c r="K268" s="29">
        <f t="shared" ref="K268" si="54">SUM(K243:K267)</f>
        <v>7</v>
      </c>
      <c r="L268" s="29">
        <f t="shared" ref="L268" si="55">SUM(L243:L267)</f>
        <v>0</v>
      </c>
      <c r="M268" s="29">
        <f t="shared" ref="M268" si="56">SUM(M243:M267)</f>
        <v>2</v>
      </c>
      <c r="N268" s="29">
        <f t="shared" ref="N268" si="57">SUM(N243:N267)</f>
        <v>3</v>
      </c>
      <c r="O268" s="29">
        <f t="shared" ref="O268" si="58">SUM(O243:O267)</f>
        <v>2</v>
      </c>
      <c r="P268" s="29">
        <f t="shared" ref="P268" si="59">SUM(P243:P267)</f>
        <v>2</v>
      </c>
      <c r="Q268" s="29">
        <f t="shared" ref="Q268" si="60">SUM(Q243:Q267)</f>
        <v>3</v>
      </c>
      <c r="R268" s="29">
        <f t="shared" ref="R268" si="61">SUM(R243:R267)</f>
        <v>0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27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AYG113</v>
      </c>
      <c r="B271" s="24">
        <f>B1</f>
        <v>45841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5" t="s">
        <v>111</v>
      </c>
      <c r="Y272" s="136"/>
    </row>
    <row r="273" spans="1:28" ht="20.25" thickTop="1" thickBot="1" x14ac:dyDescent="0.45">
      <c r="A273" s="137">
        <v>10</v>
      </c>
      <c r="B273" s="143">
        <v>25.3</v>
      </c>
      <c r="C273" s="85" t="s">
        <v>361</v>
      </c>
      <c r="D273" s="109" t="s">
        <v>319</v>
      </c>
      <c r="E273" s="13" t="s">
        <v>40</v>
      </c>
      <c r="F273" s="14"/>
      <c r="G273" s="12" t="s">
        <v>180</v>
      </c>
      <c r="H273" s="13"/>
      <c r="I273" s="13"/>
      <c r="J273" s="13"/>
      <c r="K273" s="13"/>
      <c r="L273" s="13"/>
      <c r="M273" s="13"/>
      <c r="N273" s="13"/>
      <c r="O273" s="13">
        <v>1</v>
      </c>
      <c r="P273" s="13">
        <v>1</v>
      </c>
      <c r="Q273" s="13"/>
      <c r="R273" s="13"/>
      <c r="S273" s="13"/>
      <c r="T273" s="26">
        <v>45874</v>
      </c>
      <c r="U273" s="13" t="s">
        <v>148</v>
      </c>
      <c r="V273">
        <v>1</v>
      </c>
      <c r="X273" s="51" t="s">
        <v>106</v>
      </c>
      <c r="Y273" s="52">
        <f>COUNTIF(U273:U297,"K")</f>
        <v>14</v>
      </c>
      <c r="AA273" s="59" t="s">
        <v>120</v>
      </c>
      <c r="AB273" s="60" t="s">
        <v>121</v>
      </c>
    </row>
    <row r="274" spans="1:28" x14ac:dyDescent="0.4">
      <c r="A274" s="138"/>
      <c r="B274" s="144"/>
      <c r="C274" s="85" t="s">
        <v>362</v>
      </c>
      <c r="D274" s="109" t="s">
        <v>183</v>
      </c>
      <c r="E274" s="13" t="s">
        <v>42</v>
      </c>
      <c r="F274" s="16"/>
      <c r="G274" s="12" t="s">
        <v>180</v>
      </c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>
        <v>1</v>
      </c>
      <c r="T274" s="26">
        <v>45873</v>
      </c>
      <c r="U274" s="13" t="s">
        <v>146</v>
      </c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38"/>
      <c r="B275" s="144"/>
      <c r="C275" s="85" t="s">
        <v>363</v>
      </c>
      <c r="D275" s="109" t="s">
        <v>183</v>
      </c>
      <c r="E275" s="13" t="s">
        <v>41</v>
      </c>
      <c r="F275" s="16"/>
      <c r="G275" s="12" t="s">
        <v>180</v>
      </c>
      <c r="H275" s="15"/>
      <c r="I275" s="15"/>
      <c r="J275" s="15">
        <v>1</v>
      </c>
      <c r="K275" s="15"/>
      <c r="L275" s="17"/>
      <c r="M275" s="17"/>
      <c r="N275" s="17"/>
      <c r="O275" s="17"/>
      <c r="P275" s="17"/>
      <c r="Q275" s="17"/>
      <c r="R275" s="17"/>
      <c r="S275" s="15"/>
      <c r="T275" s="26">
        <v>45873</v>
      </c>
      <c r="U275" s="13" t="s">
        <v>146</v>
      </c>
      <c r="V275">
        <v>3</v>
      </c>
      <c r="X275" s="53" t="s">
        <v>108</v>
      </c>
      <c r="Y275" s="54">
        <f>COUNTIF(U273:U297,"J")</f>
        <v>2</v>
      </c>
      <c r="AA275" s="49" t="s">
        <v>82</v>
      </c>
      <c r="AB275" s="50" t="s">
        <v>39</v>
      </c>
    </row>
    <row r="276" spans="1:28" x14ac:dyDescent="0.4">
      <c r="A276" s="138"/>
      <c r="B276" s="144"/>
      <c r="C276" s="85" t="s">
        <v>364</v>
      </c>
      <c r="D276" s="109" t="s">
        <v>183</v>
      </c>
      <c r="E276" s="13" t="s">
        <v>42</v>
      </c>
      <c r="F276" s="16"/>
      <c r="G276" s="12" t="s">
        <v>180</v>
      </c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>
        <v>1</v>
      </c>
      <c r="T276" s="26">
        <v>45873</v>
      </c>
      <c r="U276" s="13" t="s">
        <v>146</v>
      </c>
      <c r="V276">
        <v>4</v>
      </c>
      <c r="AA276" s="49" t="s">
        <v>83</v>
      </c>
      <c r="AB276" s="50" t="s">
        <v>38</v>
      </c>
    </row>
    <row r="277" spans="1:28" x14ac:dyDescent="0.4">
      <c r="A277" s="138"/>
      <c r="B277" s="144"/>
      <c r="C277" s="85" t="s">
        <v>365</v>
      </c>
      <c r="D277" s="109" t="s">
        <v>183</v>
      </c>
      <c r="E277" s="13" t="s">
        <v>41</v>
      </c>
      <c r="F277" s="16"/>
      <c r="G277" s="12" t="s">
        <v>180</v>
      </c>
      <c r="H277" s="15"/>
      <c r="I277" s="15"/>
      <c r="J277" s="15">
        <v>1</v>
      </c>
      <c r="K277" s="15"/>
      <c r="L277" s="17"/>
      <c r="M277" s="17"/>
      <c r="N277" s="17"/>
      <c r="O277" s="17"/>
      <c r="P277" s="17"/>
      <c r="Q277" s="17"/>
      <c r="R277" s="17"/>
      <c r="S277" s="15"/>
      <c r="T277" s="26">
        <v>45873</v>
      </c>
      <c r="U277" s="13" t="s">
        <v>146</v>
      </c>
      <c r="V277">
        <v>5</v>
      </c>
      <c r="AA277" s="49" t="s">
        <v>84</v>
      </c>
      <c r="AB277" s="50" t="s">
        <v>44</v>
      </c>
    </row>
    <row r="278" spans="1:28" x14ac:dyDescent="0.4">
      <c r="A278" s="138"/>
      <c r="B278" s="144"/>
      <c r="C278" s="85" t="s">
        <v>366</v>
      </c>
      <c r="D278" s="109" t="s">
        <v>183</v>
      </c>
      <c r="E278" s="13" t="s">
        <v>42</v>
      </c>
      <c r="F278" s="16"/>
      <c r="G278" s="12" t="s">
        <v>180</v>
      </c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>
        <v>1</v>
      </c>
      <c r="T278" s="26">
        <v>45873</v>
      </c>
      <c r="U278" s="13" t="s">
        <v>146</v>
      </c>
      <c r="V278">
        <v>6</v>
      </c>
      <c r="AA278" s="49" t="s">
        <v>85</v>
      </c>
      <c r="AB278" s="50" t="s">
        <v>43</v>
      </c>
    </row>
    <row r="279" spans="1:28" x14ac:dyDescent="0.4">
      <c r="A279" s="138"/>
      <c r="B279" s="144"/>
      <c r="C279" s="85" t="s">
        <v>367</v>
      </c>
      <c r="D279" s="109" t="s">
        <v>183</v>
      </c>
      <c r="E279" s="13" t="s">
        <v>41</v>
      </c>
      <c r="F279" s="16"/>
      <c r="G279" s="12" t="s">
        <v>180</v>
      </c>
      <c r="H279" s="15"/>
      <c r="I279" s="15"/>
      <c r="J279" s="15">
        <v>1</v>
      </c>
      <c r="K279" s="15"/>
      <c r="L279" s="17"/>
      <c r="M279" s="17"/>
      <c r="N279" s="17"/>
      <c r="O279" s="17"/>
      <c r="P279" s="17"/>
      <c r="Q279" s="17"/>
      <c r="R279" s="17"/>
      <c r="S279" s="15"/>
      <c r="T279" s="26">
        <v>45873</v>
      </c>
      <c r="U279" s="13" t="s">
        <v>146</v>
      </c>
      <c r="V279">
        <v>7</v>
      </c>
      <c r="AA279" s="49" t="s">
        <v>86</v>
      </c>
      <c r="AB279" s="50" t="s">
        <v>45</v>
      </c>
    </row>
    <row r="280" spans="1:28" x14ac:dyDescent="0.4">
      <c r="A280" s="138"/>
      <c r="B280" s="144"/>
      <c r="C280" s="85" t="s">
        <v>368</v>
      </c>
      <c r="D280" s="109" t="s">
        <v>183</v>
      </c>
      <c r="E280" s="13" t="s">
        <v>42</v>
      </c>
      <c r="F280" s="16"/>
      <c r="G280" s="12" t="s">
        <v>180</v>
      </c>
      <c r="H280" s="15"/>
      <c r="I280" s="15"/>
      <c r="J280" s="15"/>
      <c r="K280" s="15"/>
      <c r="L280" s="17"/>
      <c r="M280" s="17"/>
      <c r="N280" s="17"/>
      <c r="O280" s="17"/>
      <c r="P280" s="17"/>
      <c r="Q280" s="17"/>
      <c r="R280" s="17"/>
      <c r="S280" s="15">
        <v>1</v>
      </c>
      <c r="T280" s="26">
        <v>45873</v>
      </c>
      <c r="U280" s="13" t="s">
        <v>146</v>
      </c>
      <c r="V280">
        <v>8</v>
      </c>
      <c r="AA280" s="49" t="s">
        <v>87</v>
      </c>
      <c r="AB280" s="50" t="s">
        <v>37</v>
      </c>
    </row>
    <row r="281" spans="1:28" x14ac:dyDescent="0.4">
      <c r="A281" s="138"/>
      <c r="B281" s="144"/>
      <c r="C281" s="85" t="s">
        <v>369</v>
      </c>
      <c r="D281" s="109" t="s">
        <v>183</v>
      </c>
      <c r="E281" s="13" t="s">
        <v>41</v>
      </c>
      <c r="F281" s="16"/>
      <c r="G281" s="12" t="s">
        <v>180</v>
      </c>
      <c r="H281" s="15"/>
      <c r="I281" s="15"/>
      <c r="J281" s="15">
        <v>1</v>
      </c>
      <c r="K281" s="15"/>
      <c r="L281" s="17"/>
      <c r="M281" s="17"/>
      <c r="N281" s="17"/>
      <c r="O281" s="17"/>
      <c r="P281" s="17"/>
      <c r="Q281" s="17"/>
      <c r="R281" s="17"/>
      <c r="S281" s="15"/>
      <c r="T281" s="26">
        <v>45873</v>
      </c>
      <c r="U281" s="13" t="s">
        <v>146</v>
      </c>
      <c r="V281">
        <v>9</v>
      </c>
      <c r="AA281" s="49" t="s">
        <v>88</v>
      </c>
      <c r="AB281" s="50" t="s">
        <v>74</v>
      </c>
    </row>
    <row r="282" spans="1:28" x14ac:dyDescent="0.4">
      <c r="A282" s="138"/>
      <c r="B282" s="144"/>
      <c r="C282" s="85" t="s">
        <v>370</v>
      </c>
      <c r="D282" s="109" t="s">
        <v>183</v>
      </c>
      <c r="E282" s="13" t="s">
        <v>42</v>
      </c>
      <c r="F282" s="16"/>
      <c r="G282" s="12" t="s">
        <v>180</v>
      </c>
      <c r="H282" s="15"/>
      <c r="I282" s="15"/>
      <c r="J282" s="15"/>
      <c r="K282" s="15"/>
      <c r="L282" s="17"/>
      <c r="M282" s="17"/>
      <c r="N282" s="17"/>
      <c r="O282" s="17"/>
      <c r="P282" s="17"/>
      <c r="Q282" s="17"/>
      <c r="R282" s="17"/>
      <c r="S282" s="15">
        <v>1</v>
      </c>
      <c r="T282" s="26">
        <v>45873</v>
      </c>
      <c r="U282" s="13" t="s">
        <v>146</v>
      </c>
      <c r="V282">
        <v>10</v>
      </c>
      <c r="AA282" s="49" t="s">
        <v>89</v>
      </c>
      <c r="AB282" s="50" t="s">
        <v>36</v>
      </c>
    </row>
    <row r="283" spans="1:28" x14ac:dyDescent="0.4">
      <c r="A283" s="138"/>
      <c r="B283" s="144"/>
      <c r="C283" s="85" t="s">
        <v>371</v>
      </c>
      <c r="D283" s="109" t="s">
        <v>183</v>
      </c>
      <c r="E283" s="13" t="s">
        <v>41</v>
      </c>
      <c r="F283" s="16"/>
      <c r="G283" s="12" t="s">
        <v>180</v>
      </c>
      <c r="H283" s="15"/>
      <c r="I283" s="15"/>
      <c r="J283" s="15">
        <v>1</v>
      </c>
      <c r="K283" s="15"/>
      <c r="L283" s="17"/>
      <c r="M283" s="17"/>
      <c r="N283" s="17"/>
      <c r="O283" s="17"/>
      <c r="P283" s="17"/>
      <c r="Q283" s="17"/>
      <c r="R283" s="17"/>
      <c r="S283" s="15"/>
      <c r="T283" s="26">
        <v>45873</v>
      </c>
      <c r="U283" s="13" t="s">
        <v>146</v>
      </c>
      <c r="V283">
        <v>11</v>
      </c>
      <c r="AA283" s="49" t="s">
        <v>90</v>
      </c>
      <c r="AB283" s="50" t="s">
        <v>58</v>
      </c>
    </row>
    <row r="284" spans="1:28" x14ac:dyDescent="0.4">
      <c r="A284" s="138"/>
      <c r="B284" s="144"/>
      <c r="C284" s="85" t="s">
        <v>372</v>
      </c>
      <c r="D284" s="109" t="s">
        <v>183</v>
      </c>
      <c r="E284" s="13" t="s">
        <v>42</v>
      </c>
      <c r="F284" s="16"/>
      <c r="G284" s="12" t="s">
        <v>180</v>
      </c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>
        <v>1</v>
      </c>
      <c r="T284" s="26">
        <v>45873</v>
      </c>
      <c r="U284" s="13" t="s">
        <v>146</v>
      </c>
      <c r="V284">
        <v>12</v>
      </c>
      <c r="AA284" s="49" t="s">
        <v>91</v>
      </c>
      <c r="AB284" s="50" t="s">
        <v>75</v>
      </c>
    </row>
    <row r="285" spans="1:28" x14ac:dyDescent="0.4">
      <c r="A285" s="138"/>
      <c r="B285" s="144"/>
      <c r="C285" s="85" t="s">
        <v>373</v>
      </c>
      <c r="D285" s="109" t="s">
        <v>183</v>
      </c>
      <c r="E285" s="13" t="s">
        <v>41</v>
      </c>
      <c r="F285" s="16"/>
      <c r="G285" s="12" t="s">
        <v>180</v>
      </c>
      <c r="H285" s="15"/>
      <c r="I285" s="15"/>
      <c r="J285" s="15">
        <v>1</v>
      </c>
      <c r="K285" s="15"/>
      <c r="L285" s="17"/>
      <c r="M285" s="17"/>
      <c r="N285" s="17"/>
      <c r="O285" s="17"/>
      <c r="P285" s="17"/>
      <c r="Q285" s="17"/>
      <c r="R285" s="17"/>
      <c r="S285" s="15"/>
      <c r="T285" s="26">
        <v>45873</v>
      </c>
      <c r="U285" s="13" t="s">
        <v>146</v>
      </c>
      <c r="V285">
        <v>13</v>
      </c>
      <c r="AA285" s="49" t="s">
        <v>92</v>
      </c>
      <c r="AB285" s="50" t="s">
        <v>40</v>
      </c>
    </row>
    <row r="286" spans="1:28" x14ac:dyDescent="0.4">
      <c r="A286" s="138"/>
      <c r="B286" s="144"/>
      <c r="C286" s="85" t="s">
        <v>374</v>
      </c>
      <c r="D286" s="109" t="s">
        <v>183</v>
      </c>
      <c r="E286" s="15" t="s">
        <v>42</v>
      </c>
      <c r="F286" s="16"/>
      <c r="G286" s="12" t="s">
        <v>180</v>
      </c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>
        <v>1</v>
      </c>
      <c r="T286" s="26">
        <v>45873</v>
      </c>
      <c r="U286" s="13" t="s">
        <v>146</v>
      </c>
      <c r="V286">
        <v>14</v>
      </c>
      <c r="AA286" s="49" t="s">
        <v>93</v>
      </c>
      <c r="AB286" s="50" t="s">
        <v>57</v>
      </c>
    </row>
    <row r="287" spans="1:28" x14ac:dyDescent="0.4">
      <c r="A287" s="138"/>
      <c r="B287" s="144"/>
      <c r="C287" s="85" t="s">
        <v>375</v>
      </c>
      <c r="D287" s="109" t="s">
        <v>183</v>
      </c>
      <c r="E287" s="15" t="s">
        <v>41</v>
      </c>
      <c r="F287" s="16"/>
      <c r="G287" s="15" t="s">
        <v>180</v>
      </c>
      <c r="H287" s="15"/>
      <c r="I287" s="15"/>
      <c r="J287" s="15">
        <v>1</v>
      </c>
      <c r="K287" s="15"/>
      <c r="L287" s="17"/>
      <c r="M287" s="17"/>
      <c r="N287" s="17"/>
      <c r="O287" s="17"/>
      <c r="P287" s="17"/>
      <c r="Q287" s="17"/>
      <c r="R287" s="17"/>
      <c r="S287" s="15"/>
      <c r="T287" s="26">
        <v>45873</v>
      </c>
      <c r="U287" s="15" t="s">
        <v>146</v>
      </c>
      <c r="V287">
        <v>15</v>
      </c>
      <c r="AA287" s="49" t="s">
        <v>94</v>
      </c>
      <c r="AB287" s="50" t="s">
        <v>41</v>
      </c>
    </row>
    <row r="288" spans="1:28" x14ac:dyDescent="0.4">
      <c r="A288" s="138"/>
      <c r="B288" s="144"/>
      <c r="C288" s="85" t="s">
        <v>376</v>
      </c>
      <c r="D288" s="109" t="s">
        <v>319</v>
      </c>
      <c r="E288" s="15" t="s">
        <v>40</v>
      </c>
      <c r="F288" s="16"/>
      <c r="G288" s="15" t="s">
        <v>180</v>
      </c>
      <c r="H288" s="15"/>
      <c r="I288" s="15"/>
      <c r="J288" s="15"/>
      <c r="K288" s="15"/>
      <c r="L288" s="19"/>
      <c r="M288" s="19"/>
      <c r="N288" s="19"/>
      <c r="O288" s="19"/>
      <c r="P288" s="19">
        <v>1</v>
      </c>
      <c r="Q288" s="19"/>
      <c r="R288" s="19">
        <v>1</v>
      </c>
      <c r="S288" s="15"/>
      <c r="T288" s="26">
        <v>45872</v>
      </c>
      <c r="U288" s="15" t="s">
        <v>148</v>
      </c>
      <c r="V288">
        <v>16</v>
      </c>
      <c r="AA288" s="49" t="s">
        <v>95</v>
      </c>
      <c r="AB288" s="50" t="s">
        <v>42</v>
      </c>
    </row>
    <row r="289" spans="1:28" x14ac:dyDescent="0.4">
      <c r="A289" s="138"/>
      <c r="B289" s="144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38"/>
      <c r="B290" s="144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38"/>
      <c r="B291" s="144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38"/>
      <c r="B292" s="144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38"/>
      <c r="B293" s="144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38"/>
      <c r="B294" s="144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38"/>
      <c r="B295" s="144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38"/>
      <c r="B296" s="144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39"/>
      <c r="B297" s="145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16</v>
      </c>
      <c r="D298" s="112"/>
      <c r="E298" s="29"/>
      <c r="F298" s="29" t="s">
        <v>34</v>
      </c>
      <c r="G298" s="29">
        <f>COUNTIF(G273:G297,"S")</f>
        <v>16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7</v>
      </c>
      <c r="K298" s="29">
        <f t="shared" ref="K298" si="64">SUM(K273:K297)</f>
        <v>0</v>
      </c>
      <c r="L298" s="29">
        <f t="shared" ref="L298" si="65">SUM(L273:L297)</f>
        <v>0</v>
      </c>
      <c r="M298" s="29">
        <f t="shared" ref="M298" si="66">SUM(M273:M297)</f>
        <v>0</v>
      </c>
      <c r="N298" s="29">
        <f t="shared" ref="N298" si="67">SUM(N273:N297)</f>
        <v>0</v>
      </c>
      <c r="O298" s="29">
        <f t="shared" ref="O298" si="68">SUM(O273:O297)</f>
        <v>1</v>
      </c>
      <c r="P298" s="29">
        <f t="shared" ref="P298" si="69">SUM(P273:P297)</f>
        <v>2</v>
      </c>
      <c r="Q298" s="29">
        <f t="shared" ref="Q298" si="70">SUM(Q273:Q297)</f>
        <v>0</v>
      </c>
      <c r="R298" s="29">
        <f t="shared" ref="R298" si="71">SUM(R273:R297)</f>
        <v>1</v>
      </c>
      <c r="S298" s="29">
        <f t="shared" ref="S298" si="72">SUM(S273:S297)</f>
        <v>7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18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AYG113</v>
      </c>
      <c r="B301" s="24">
        <f>B1</f>
        <v>45841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5" t="s">
        <v>110</v>
      </c>
      <c r="Y302" s="136"/>
    </row>
    <row r="303" spans="1:28" ht="20.25" thickTop="1" thickBot="1" x14ac:dyDescent="0.45">
      <c r="A303" s="137">
        <v>11</v>
      </c>
      <c r="B303" s="143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38"/>
      <c r="B304" s="144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38"/>
      <c r="B305" s="144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38"/>
      <c r="B306" s="144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38"/>
      <c r="B307" s="144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38"/>
      <c r="B308" s="144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38"/>
      <c r="B309" s="144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38"/>
      <c r="B310" s="144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38"/>
      <c r="B311" s="144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38"/>
      <c r="B312" s="144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38"/>
      <c r="B313" s="144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38"/>
      <c r="B314" s="144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38"/>
      <c r="B315" s="144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38"/>
      <c r="B316" s="144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38"/>
      <c r="B317" s="144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38"/>
      <c r="B318" s="144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38"/>
      <c r="B319" s="144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38"/>
      <c r="B320" s="144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38"/>
      <c r="B321" s="144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38"/>
      <c r="B322" s="144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38"/>
      <c r="B323" s="144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38"/>
      <c r="B324" s="144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38"/>
      <c r="B325" s="144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38"/>
      <c r="B326" s="144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39"/>
      <c r="B327" s="145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AYG113</v>
      </c>
      <c r="B331" s="24">
        <f>B151</f>
        <v>45841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5" t="s">
        <v>109</v>
      </c>
      <c r="Y332" s="136"/>
    </row>
    <row r="333" spans="1:28" ht="20.25" thickTop="1" thickBot="1" x14ac:dyDescent="0.45">
      <c r="A333" s="137">
        <v>12</v>
      </c>
      <c r="B333" s="143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38"/>
      <c r="B334" s="144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38"/>
      <c r="B335" s="144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38"/>
      <c r="B336" s="144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38"/>
      <c r="B337" s="144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38"/>
      <c r="B338" s="144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38"/>
      <c r="B339" s="144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38"/>
      <c r="B340" s="144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38"/>
      <c r="B341" s="144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38"/>
      <c r="B342" s="144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38"/>
      <c r="B343" s="144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38"/>
      <c r="B344" s="144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38"/>
      <c r="B345" s="144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38"/>
      <c r="B346" s="144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38"/>
      <c r="B347" s="144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38"/>
      <c r="B348" s="144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38"/>
      <c r="B349" s="144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38"/>
      <c r="B350" s="144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38"/>
      <c r="B351" s="144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38"/>
      <c r="B352" s="144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38"/>
      <c r="B353" s="144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38"/>
      <c r="B354" s="144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38"/>
      <c r="B355" s="144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38"/>
      <c r="B356" s="144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39"/>
      <c r="B357" s="145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178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5" t="s">
        <v>138</v>
      </c>
      <c r="Y362" s="136"/>
    </row>
    <row r="363" spans="1:28" ht="19.5" thickTop="1" x14ac:dyDescent="0.4">
      <c r="A363" s="137">
        <v>13</v>
      </c>
      <c r="B363" s="143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38"/>
      <c r="B364" s="144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38"/>
      <c r="B365" s="144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38"/>
      <c r="B366" s="144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38"/>
      <c r="B367" s="144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38"/>
      <c r="B368" s="144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38"/>
      <c r="B369" s="144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38"/>
      <c r="B370" s="144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38"/>
      <c r="B371" s="144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38"/>
      <c r="B372" s="144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38"/>
      <c r="B373" s="144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38"/>
      <c r="B374" s="144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38"/>
      <c r="B375" s="144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38"/>
      <c r="B376" s="144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38"/>
      <c r="B377" s="144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38"/>
      <c r="B378" s="144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38"/>
      <c r="B379" s="144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38"/>
      <c r="B380" s="144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38"/>
      <c r="B381" s="144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38"/>
      <c r="B382" s="144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38"/>
      <c r="B383" s="144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38"/>
      <c r="B384" s="144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38"/>
      <c r="B385" s="144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38"/>
      <c r="B386" s="144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39"/>
      <c r="B387" s="145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5" t="s">
        <v>139</v>
      </c>
      <c r="Y392" s="136"/>
    </row>
    <row r="393" spans="1:25" ht="19.5" thickTop="1" x14ac:dyDescent="0.4">
      <c r="A393" s="137">
        <v>14</v>
      </c>
      <c r="B393" s="143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38"/>
      <c r="B394" s="144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38"/>
      <c r="B395" s="144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38"/>
      <c r="B396" s="144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38"/>
      <c r="B397" s="144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38"/>
      <c r="B398" s="144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38"/>
      <c r="B399" s="144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38"/>
      <c r="B400" s="144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38"/>
      <c r="B401" s="144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38"/>
      <c r="B402" s="144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38"/>
      <c r="B403" s="144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38"/>
      <c r="B404" s="144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38"/>
      <c r="B405" s="144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38"/>
      <c r="B406" s="144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38"/>
      <c r="B407" s="144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38"/>
      <c r="B408" s="144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38"/>
      <c r="B409" s="144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38"/>
      <c r="B410" s="144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38"/>
      <c r="B411" s="144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38"/>
      <c r="B412" s="144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38"/>
      <c r="B413" s="144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38"/>
      <c r="B414" s="144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38"/>
      <c r="B415" s="144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38"/>
      <c r="B416" s="144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39"/>
      <c r="B417" s="145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5" t="s">
        <v>140</v>
      </c>
      <c r="Y422" s="136"/>
    </row>
    <row r="423" spans="1:25" ht="19.5" thickTop="1" x14ac:dyDescent="0.4">
      <c r="A423" s="137">
        <v>15</v>
      </c>
      <c r="B423" s="143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38"/>
      <c r="B424" s="144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38"/>
      <c r="B425" s="144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38"/>
      <c r="B426" s="144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38"/>
      <c r="B427" s="144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38"/>
      <c r="B428" s="144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38"/>
      <c r="B429" s="144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38"/>
      <c r="B430" s="144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38"/>
      <c r="B431" s="144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38"/>
      <c r="B432" s="144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38"/>
      <c r="B433" s="144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38"/>
      <c r="B434" s="144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38"/>
      <c r="B435" s="144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38"/>
      <c r="B436" s="144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38"/>
      <c r="B437" s="144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38"/>
      <c r="B438" s="144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38"/>
      <c r="B439" s="144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38"/>
      <c r="B440" s="144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38"/>
      <c r="B441" s="144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38"/>
      <c r="B442" s="144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38"/>
      <c r="B443" s="144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38"/>
      <c r="B444" s="144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38"/>
      <c r="B445" s="144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38"/>
      <c r="B446" s="144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39"/>
      <c r="B447" s="145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5" t="s">
        <v>105</v>
      </c>
      <c r="Y451" s="136"/>
    </row>
    <row r="452" spans="1:25" ht="19.5" thickTop="1" x14ac:dyDescent="0.4">
      <c r="A452" s="137">
        <v>16</v>
      </c>
      <c r="B452" s="140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38"/>
      <c r="B453" s="141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38"/>
      <c r="B454" s="141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38"/>
      <c r="B455" s="141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38"/>
      <c r="B456" s="141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38"/>
      <c r="B457" s="141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38"/>
      <c r="B458" s="141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38"/>
      <c r="B459" s="141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38"/>
      <c r="B460" s="141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38"/>
      <c r="B461" s="141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38"/>
      <c r="B462" s="141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38"/>
      <c r="B463" s="141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38"/>
      <c r="B464" s="141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38"/>
      <c r="B465" s="141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38"/>
      <c r="B466" s="141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38"/>
      <c r="B467" s="141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38"/>
      <c r="B468" s="141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38"/>
      <c r="B469" s="141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38"/>
      <c r="B470" s="141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38"/>
      <c r="B471" s="141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38"/>
      <c r="B472" s="141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38"/>
      <c r="B473" s="141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38"/>
      <c r="B474" s="141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38"/>
      <c r="B475" s="141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39"/>
      <c r="B476" s="142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9" t="s">
        <v>47</v>
      </c>
      <c r="C26" s="159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0"/>
      <c r="C27" s="160"/>
      <c r="D27" s="161">
        <f>SUM(D26:F26)</f>
        <v>116</v>
      </c>
      <c r="E27" s="161"/>
      <c r="F27" s="161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BL1554"/>
  <sheetViews>
    <sheetView zoomScaleNormal="100" workbookViewId="0">
      <selection sqref="A1:D25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37" width="16.625" customWidth="1"/>
    <col min="38" max="38" width="11" customWidth="1"/>
    <col min="39" max="39" width="10.5" style="121" customWidth="1"/>
    <col min="40" max="40" width="10.25" style="121" customWidth="1"/>
    <col min="41" max="41" width="10.875" style="121" customWidth="1"/>
    <col min="42" max="55" width="16.625" customWidth="1"/>
    <col min="56" max="56" width="20.5" customWidth="1"/>
    <col min="61" max="61" width="12.375" customWidth="1"/>
    <col min="62" max="62" width="11.25" customWidth="1"/>
    <col min="63" max="63" width="10.5" customWidth="1"/>
    <col min="64" max="64" width="10.25" customWidth="1"/>
  </cols>
  <sheetData>
    <row r="1" spans="1:60" x14ac:dyDescent="0.4">
      <c r="A1" s="120" t="s">
        <v>190</v>
      </c>
      <c r="B1" s="121"/>
      <c r="C1" s="121"/>
      <c r="D1" s="121"/>
      <c r="U1" t="s">
        <v>143</v>
      </c>
      <c r="V1" t="s">
        <v>144</v>
      </c>
      <c r="AF1" t="s">
        <v>143</v>
      </c>
      <c r="AG1" t="s">
        <v>144</v>
      </c>
      <c r="AL1" s="120"/>
      <c r="BD1" t="s">
        <v>143</v>
      </c>
      <c r="BE1" t="s">
        <v>144</v>
      </c>
    </row>
    <row r="2" spans="1:60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U2" s="25">
        <v>45853</v>
      </c>
      <c r="V2" s="13" t="s">
        <v>147</v>
      </c>
      <c r="AF2" s="25">
        <v>45669</v>
      </c>
      <c r="AG2" s="13" t="s">
        <v>147</v>
      </c>
      <c r="AL2" s="116"/>
      <c r="AM2" s="123"/>
      <c r="AN2" s="123"/>
      <c r="AO2" s="123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25">
        <v>45258</v>
      </c>
      <c r="BE2" s="13" t="s">
        <v>162</v>
      </c>
      <c r="BH2" s="114"/>
    </row>
    <row r="3" spans="1:60" ht="20.100000000000001" customHeight="1" x14ac:dyDescent="0.4">
      <c r="A3" s="117">
        <v>45853</v>
      </c>
      <c r="B3" s="123"/>
      <c r="C3" s="123">
        <v>1</v>
      </c>
      <c r="D3" s="123"/>
      <c r="T3" s="115" t="s">
        <v>185</v>
      </c>
      <c r="U3" s="13">
        <f>SUBTOTAL(3,U2:U2)</f>
        <v>1</v>
      </c>
      <c r="V3" s="13">
        <f>SUBTOTAL(3,V2:V2)</f>
        <v>1</v>
      </c>
      <c r="AF3" s="25"/>
      <c r="AG3" s="13"/>
      <c r="AL3" s="116"/>
      <c r="AM3" s="123"/>
      <c r="AN3" s="123"/>
      <c r="AO3" s="123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25"/>
      <c r="BE3" s="13"/>
      <c r="BH3" s="114"/>
    </row>
    <row r="4" spans="1:60" ht="20.100000000000001" customHeight="1" x14ac:dyDescent="0.4">
      <c r="A4" s="117">
        <v>45856</v>
      </c>
      <c r="B4" s="123">
        <v>3</v>
      </c>
      <c r="C4" s="123">
        <v>1</v>
      </c>
      <c r="D4" s="123"/>
      <c r="S4" s="115"/>
      <c r="T4" s="115"/>
      <c r="U4" s="25">
        <v>45856</v>
      </c>
      <c r="V4" s="13" t="s">
        <v>146</v>
      </c>
      <c r="AF4" s="25"/>
      <c r="AG4" s="13"/>
      <c r="AL4" s="116"/>
      <c r="AM4" s="123"/>
      <c r="AN4" s="123"/>
      <c r="AO4" s="123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25"/>
      <c r="BE4" s="13"/>
      <c r="BH4" s="114"/>
    </row>
    <row r="5" spans="1:60" ht="20.100000000000001" customHeight="1" x14ac:dyDescent="0.4">
      <c r="A5" s="117">
        <v>45859</v>
      </c>
      <c r="B5" s="123"/>
      <c r="C5" s="123">
        <v>1</v>
      </c>
      <c r="D5" s="123"/>
      <c r="R5" s="115"/>
      <c r="S5" s="115"/>
      <c r="T5" s="115"/>
      <c r="U5" s="25">
        <v>45856</v>
      </c>
      <c r="V5" s="13" t="s">
        <v>146</v>
      </c>
      <c r="AF5" s="25"/>
      <c r="AG5" s="13"/>
      <c r="AL5" s="116"/>
      <c r="AM5" s="123"/>
      <c r="AN5" s="123"/>
      <c r="AO5" s="123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25"/>
      <c r="BE5" s="13"/>
      <c r="BH5" s="114"/>
    </row>
    <row r="6" spans="1:60" ht="20.100000000000001" customHeight="1" x14ac:dyDescent="0.4">
      <c r="A6" s="117">
        <v>45860</v>
      </c>
      <c r="B6" s="123">
        <v>1</v>
      </c>
      <c r="C6" s="123">
        <v>2</v>
      </c>
      <c r="D6" s="123"/>
      <c r="R6" s="115"/>
      <c r="S6" s="115"/>
      <c r="T6" s="115"/>
      <c r="U6" s="25">
        <v>45856</v>
      </c>
      <c r="V6" s="13" t="s">
        <v>147</v>
      </c>
      <c r="AF6" s="25"/>
      <c r="AG6" s="13"/>
      <c r="AL6" s="116"/>
      <c r="AM6" s="123"/>
      <c r="AN6" s="123"/>
      <c r="AO6" s="123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25"/>
      <c r="BE6" s="13"/>
      <c r="BH6" s="114"/>
    </row>
    <row r="7" spans="1:60" ht="20.100000000000001" customHeight="1" x14ac:dyDescent="0.4">
      <c r="A7" s="117">
        <v>45864</v>
      </c>
      <c r="B7" s="123">
        <v>1</v>
      </c>
      <c r="C7" s="123"/>
      <c r="D7" s="123"/>
      <c r="Q7" s="115"/>
      <c r="R7" s="115"/>
      <c r="S7" s="115"/>
      <c r="T7" s="115"/>
      <c r="U7" s="25">
        <v>45856</v>
      </c>
      <c r="V7" s="13" t="s">
        <v>146</v>
      </c>
      <c r="AF7" s="25"/>
      <c r="AG7" s="13"/>
      <c r="AL7" s="116"/>
      <c r="AM7" s="123"/>
      <c r="AN7" s="123"/>
      <c r="AO7" s="123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25"/>
      <c r="BE7" s="13"/>
      <c r="BH7" s="114"/>
    </row>
    <row r="8" spans="1:60" ht="20.100000000000001" customHeight="1" x14ac:dyDescent="0.4">
      <c r="A8" s="117">
        <v>45865</v>
      </c>
      <c r="B8" s="123">
        <v>9</v>
      </c>
      <c r="C8" s="123">
        <v>4</v>
      </c>
      <c r="D8" s="123">
        <v>2</v>
      </c>
      <c r="Q8" s="115"/>
      <c r="R8" s="115"/>
      <c r="S8" s="115"/>
      <c r="T8" s="115" t="s">
        <v>186</v>
      </c>
      <c r="U8" s="13">
        <f>SUBTOTAL(3,U4:U7)</f>
        <v>4</v>
      </c>
      <c r="V8" s="13">
        <f>SUBTOTAL(3,V4:V7)</f>
        <v>4</v>
      </c>
      <c r="AF8" s="25"/>
      <c r="AG8" s="13"/>
      <c r="AL8" s="116"/>
      <c r="AM8" s="123"/>
      <c r="AN8" s="123"/>
      <c r="AO8" s="123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25"/>
      <c r="BE8" s="13"/>
      <c r="BH8" s="114"/>
    </row>
    <row r="9" spans="1:60" ht="20.100000000000001" customHeight="1" x14ac:dyDescent="0.4">
      <c r="A9" s="117">
        <v>45866</v>
      </c>
      <c r="B9" s="123">
        <v>1</v>
      </c>
      <c r="C9" s="123">
        <v>1</v>
      </c>
      <c r="D9" s="123">
        <v>1</v>
      </c>
      <c r="Q9" s="115"/>
      <c r="R9" s="115"/>
      <c r="S9" s="115"/>
      <c r="T9" s="115"/>
      <c r="U9" s="25">
        <v>45859</v>
      </c>
      <c r="V9" s="13" t="s">
        <v>147</v>
      </c>
      <c r="AF9" s="25"/>
      <c r="AG9" s="13"/>
      <c r="AL9" s="116"/>
      <c r="AM9" s="123"/>
      <c r="AN9" s="123"/>
      <c r="AO9" s="123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25"/>
      <c r="BE9" s="13"/>
      <c r="BH9" s="114"/>
    </row>
    <row r="10" spans="1:60" ht="20.100000000000001" customHeight="1" x14ac:dyDescent="0.4">
      <c r="A10" s="117">
        <v>45867</v>
      </c>
      <c r="B10" s="123">
        <v>3</v>
      </c>
      <c r="C10" s="123">
        <v>4</v>
      </c>
      <c r="D10" s="123"/>
      <c r="Q10" s="115"/>
      <c r="R10" s="115"/>
      <c r="S10" s="115"/>
      <c r="T10" s="115" t="s">
        <v>187</v>
      </c>
      <c r="U10" s="13">
        <f>SUBTOTAL(3,U9:U9)</f>
        <v>1</v>
      </c>
      <c r="V10" s="13">
        <f>SUBTOTAL(3,V9:V9)</f>
        <v>1</v>
      </c>
      <c r="AF10" s="25"/>
      <c r="AG10" s="13"/>
      <c r="AL10" s="116"/>
      <c r="AM10" s="123"/>
      <c r="AN10" s="123"/>
      <c r="AO10" s="123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25"/>
      <c r="BE10" s="13"/>
      <c r="BH10" s="114"/>
    </row>
    <row r="11" spans="1:60" ht="20.100000000000001" customHeight="1" x14ac:dyDescent="0.4">
      <c r="A11" s="117">
        <v>45868</v>
      </c>
      <c r="B11" s="123">
        <v>14</v>
      </c>
      <c r="C11" s="123">
        <v>1</v>
      </c>
      <c r="D11" s="123"/>
      <c r="P11" s="115"/>
      <c r="Q11" s="115"/>
      <c r="R11" s="115"/>
      <c r="S11" s="115"/>
      <c r="T11" s="115"/>
      <c r="U11" s="25">
        <v>45860</v>
      </c>
      <c r="V11" s="13" t="s">
        <v>147</v>
      </c>
      <c r="AF11" s="25"/>
      <c r="AG11" s="13"/>
      <c r="AL11" s="116"/>
      <c r="AM11" s="123"/>
      <c r="AN11" s="123"/>
      <c r="AO11" s="123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25"/>
      <c r="BE11" s="13"/>
      <c r="BH11" s="114"/>
    </row>
    <row r="12" spans="1:60" ht="20.100000000000001" customHeight="1" x14ac:dyDescent="0.4">
      <c r="A12" s="117">
        <v>45869</v>
      </c>
      <c r="B12" s="123"/>
      <c r="C12" s="123">
        <v>1</v>
      </c>
      <c r="D12" s="123"/>
      <c r="P12" s="115"/>
      <c r="Q12" s="115"/>
      <c r="R12" s="115"/>
      <c r="S12" s="115"/>
      <c r="T12" s="115"/>
      <c r="U12" s="25">
        <v>45860</v>
      </c>
      <c r="V12" s="13" t="s">
        <v>147</v>
      </c>
      <c r="AF12" s="25"/>
      <c r="AG12" s="13"/>
      <c r="AL12" s="116"/>
      <c r="AM12" s="123"/>
      <c r="AN12" s="123"/>
      <c r="AO12" s="123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25"/>
      <c r="BE12" s="13"/>
      <c r="BH12" s="114"/>
    </row>
    <row r="13" spans="1:60" ht="20.100000000000001" customHeight="1" x14ac:dyDescent="0.4">
      <c r="A13" s="117">
        <v>45871</v>
      </c>
      <c r="B13" s="123">
        <v>2</v>
      </c>
      <c r="C13" s="123">
        <v>1</v>
      </c>
      <c r="D13" s="123">
        <v>2</v>
      </c>
      <c r="N13" s="115"/>
      <c r="O13" s="115"/>
      <c r="P13" s="115"/>
      <c r="Q13" s="115"/>
      <c r="R13" s="115"/>
      <c r="S13" s="115"/>
      <c r="T13" s="115"/>
      <c r="U13" s="25">
        <v>45860</v>
      </c>
      <c r="V13" s="13" t="s">
        <v>146</v>
      </c>
      <c r="AF13" s="25"/>
      <c r="AG13" s="13"/>
      <c r="AL13" s="116"/>
      <c r="AM13" s="123"/>
      <c r="AN13" s="123"/>
      <c r="AO13" s="123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25"/>
      <c r="BE13" s="13"/>
      <c r="BH13" s="114"/>
    </row>
    <row r="14" spans="1:60" ht="20.100000000000001" customHeight="1" x14ac:dyDescent="0.4">
      <c r="A14" s="117">
        <v>45872</v>
      </c>
      <c r="B14" s="123">
        <v>3</v>
      </c>
      <c r="C14" s="123"/>
      <c r="D14" s="123">
        <v>1</v>
      </c>
      <c r="N14" s="115"/>
      <c r="O14" s="115"/>
      <c r="P14" s="115"/>
      <c r="Q14" s="115"/>
      <c r="R14" s="115"/>
      <c r="S14" s="115"/>
      <c r="T14" s="115" t="s">
        <v>193</v>
      </c>
      <c r="U14" s="13">
        <f>SUBTOTAL(3,U11:U13)</f>
        <v>3</v>
      </c>
      <c r="V14" s="13">
        <f>SUBTOTAL(3,V11:V13)</f>
        <v>3</v>
      </c>
      <c r="AF14" s="25"/>
      <c r="AG14" s="13"/>
      <c r="AL14" s="116"/>
      <c r="AM14" s="123"/>
      <c r="AN14" s="123"/>
      <c r="AO14" s="123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25"/>
      <c r="BE14" s="13"/>
      <c r="BH14" s="114"/>
    </row>
    <row r="15" spans="1:60" ht="20.100000000000001" customHeight="1" x14ac:dyDescent="0.4">
      <c r="A15" s="117">
        <v>45873</v>
      </c>
      <c r="B15" s="123">
        <v>26</v>
      </c>
      <c r="C15" s="123">
        <v>2</v>
      </c>
      <c r="D15" s="123"/>
      <c r="N15" s="115"/>
      <c r="O15" s="115"/>
      <c r="P15" s="115"/>
      <c r="Q15" s="115"/>
      <c r="R15" s="115"/>
      <c r="S15" s="115"/>
      <c r="T15" s="115"/>
      <c r="U15" s="25">
        <v>45864</v>
      </c>
      <c r="V15" s="13" t="s">
        <v>146</v>
      </c>
      <c r="AF15" s="25"/>
      <c r="AG15" s="13"/>
      <c r="AL15" s="116"/>
      <c r="AM15" s="123"/>
      <c r="AN15" s="123"/>
      <c r="AO15" s="123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25"/>
      <c r="BE15" s="13"/>
      <c r="BH15" s="114"/>
    </row>
    <row r="16" spans="1:60" ht="20.100000000000001" customHeight="1" x14ac:dyDescent="0.4">
      <c r="A16" s="117">
        <v>45874</v>
      </c>
      <c r="B16" s="123">
        <v>25</v>
      </c>
      <c r="C16" s="123">
        <v>1</v>
      </c>
      <c r="D16" s="123">
        <v>3</v>
      </c>
      <c r="N16" s="115"/>
      <c r="O16" s="115"/>
      <c r="P16" s="115"/>
      <c r="Q16" s="115"/>
      <c r="R16" s="115"/>
      <c r="S16" s="115"/>
      <c r="T16" s="115" t="s">
        <v>188</v>
      </c>
      <c r="U16" s="13">
        <f>SUBTOTAL(3,U15:U15)</f>
        <v>1</v>
      </c>
      <c r="V16" s="13">
        <f>SUBTOTAL(3,V15:V15)</f>
        <v>1</v>
      </c>
      <c r="AF16" s="25"/>
      <c r="AG16" s="13"/>
      <c r="AL16" s="116"/>
      <c r="AM16" s="123"/>
      <c r="AN16" s="123"/>
      <c r="AO16" s="123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25"/>
      <c r="BE16" s="13"/>
      <c r="BH16" s="114"/>
    </row>
    <row r="17" spans="1:60" ht="20.100000000000001" customHeight="1" x14ac:dyDescent="0.4">
      <c r="A17" s="117">
        <v>45875</v>
      </c>
      <c r="B17" s="123">
        <v>12</v>
      </c>
      <c r="C17" s="123">
        <v>5</v>
      </c>
      <c r="D17" s="123">
        <v>3</v>
      </c>
      <c r="N17" s="115"/>
      <c r="O17" s="115"/>
      <c r="P17" s="115"/>
      <c r="Q17" s="115"/>
      <c r="R17" s="115"/>
      <c r="S17" s="115"/>
      <c r="T17" s="115"/>
      <c r="U17" s="25">
        <v>45865</v>
      </c>
      <c r="V17" s="13" t="s">
        <v>147</v>
      </c>
      <c r="AF17" s="25"/>
      <c r="AG17" s="13"/>
      <c r="AL17" s="116"/>
      <c r="AM17" s="123"/>
      <c r="AN17" s="123"/>
      <c r="AO17" s="123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25"/>
      <c r="BE17" s="13"/>
      <c r="BH17" s="114"/>
    </row>
    <row r="18" spans="1:60" ht="20.100000000000001" customHeight="1" x14ac:dyDescent="0.4">
      <c r="A18" s="117">
        <v>45877</v>
      </c>
      <c r="B18" s="123">
        <v>6</v>
      </c>
      <c r="C18" s="123">
        <v>2</v>
      </c>
      <c r="D18" s="123">
        <v>2</v>
      </c>
      <c r="N18" s="115"/>
      <c r="O18" s="115"/>
      <c r="P18" s="115"/>
      <c r="Q18" s="115"/>
      <c r="R18" s="115"/>
      <c r="S18" s="115"/>
      <c r="T18" s="115"/>
      <c r="U18" s="25">
        <v>45865</v>
      </c>
      <c r="V18" s="13" t="s">
        <v>148</v>
      </c>
      <c r="AF18" s="25"/>
      <c r="AG18" s="13"/>
      <c r="AL18" s="116"/>
      <c r="AM18" s="123"/>
      <c r="AN18" s="123"/>
      <c r="AO18" s="123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25"/>
      <c r="BE18" s="13"/>
      <c r="BH18" s="114"/>
    </row>
    <row r="19" spans="1:60" ht="20.100000000000001" customHeight="1" x14ac:dyDescent="0.4">
      <c r="A19" s="117">
        <v>45885</v>
      </c>
      <c r="B19" s="123">
        <v>1</v>
      </c>
      <c r="C19" s="123"/>
      <c r="D19" s="123"/>
      <c r="N19" s="115"/>
      <c r="O19" s="115"/>
      <c r="P19" s="115"/>
      <c r="Q19" s="115"/>
      <c r="R19" s="115"/>
      <c r="S19" s="115"/>
      <c r="T19" s="115"/>
      <c r="U19" s="25">
        <v>45865</v>
      </c>
      <c r="V19" s="13" t="s">
        <v>146</v>
      </c>
      <c r="AF19" s="25"/>
      <c r="AG19" s="13"/>
      <c r="AL19" s="116"/>
      <c r="AM19" s="123"/>
      <c r="AN19" s="123"/>
      <c r="AO19" s="123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25"/>
      <c r="BE19" s="13"/>
      <c r="BH19" s="114"/>
    </row>
    <row r="20" spans="1:60" ht="20.100000000000001" customHeight="1" x14ac:dyDescent="0.4">
      <c r="A20" s="117">
        <v>45887</v>
      </c>
      <c r="B20" s="123"/>
      <c r="C20" s="123">
        <v>4</v>
      </c>
      <c r="D20" s="123"/>
      <c r="N20" s="115"/>
      <c r="O20" s="115"/>
      <c r="P20" s="115"/>
      <c r="Q20" s="115"/>
      <c r="R20" s="115"/>
      <c r="S20" s="115"/>
      <c r="T20" s="115"/>
      <c r="U20" s="25">
        <v>45865</v>
      </c>
      <c r="V20" s="13" t="s">
        <v>148</v>
      </c>
      <c r="AF20" s="25"/>
      <c r="AG20" s="13"/>
      <c r="AL20" s="116"/>
      <c r="AM20" s="123"/>
      <c r="AN20" s="123"/>
      <c r="AO20" s="123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25"/>
      <c r="BE20" s="13"/>
      <c r="BH20" s="114"/>
    </row>
    <row r="21" spans="1:60" ht="20.100000000000001" customHeight="1" x14ac:dyDescent="0.4">
      <c r="A21" s="117">
        <v>45898</v>
      </c>
      <c r="B21" s="123">
        <v>1</v>
      </c>
      <c r="C21" s="123"/>
      <c r="D21" s="123">
        <v>1</v>
      </c>
      <c r="N21" s="115"/>
      <c r="O21" s="115"/>
      <c r="P21" s="115"/>
      <c r="Q21" s="115"/>
      <c r="R21" s="115"/>
      <c r="S21" s="115"/>
      <c r="T21" s="115"/>
      <c r="U21" s="25">
        <v>45865</v>
      </c>
      <c r="V21" s="15" t="s">
        <v>146</v>
      </c>
      <c r="AF21" s="25"/>
      <c r="AG21" s="13"/>
      <c r="AL21" s="116"/>
      <c r="AM21" s="123"/>
      <c r="AN21" s="123"/>
      <c r="AO21" s="123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25"/>
      <c r="BE21" s="13"/>
      <c r="BH21" s="114"/>
    </row>
    <row r="22" spans="1:60" ht="20.100000000000001" customHeight="1" x14ac:dyDescent="0.4">
      <c r="A22" s="117">
        <v>45899</v>
      </c>
      <c r="B22" s="123"/>
      <c r="C22" s="123">
        <v>1</v>
      </c>
      <c r="D22" s="123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25">
        <v>45865</v>
      </c>
      <c r="V22" s="13" t="s">
        <v>146</v>
      </c>
      <c r="AF22" s="25"/>
      <c r="AG22" s="13"/>
      <c r="AL22" s="116"/>
      <c r="AM22" s="123"/>
      <c r="AN22" s="123"/>
      <c r="AO22" s="123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25"/>
      <c r="BE22" s="13"/>
      <c r="BH22" s="114"/>
    </row>
    <row r="23" spans="1:60" ht="20.100000000000001" customHeight="1" x14ac:dyDescent="0.4">
      <c r="A23" s="117"/>
      <c r="B23" s="123">
        <f>SUM(B3:B22)</f>
        <v>108</v>
      </c>
      <c r="C23" s="123">
        <f>SUM(C3:C22)</f>
        <v>32</v>
      </c>
      <c r="D23" s="123">
        <f>SUM(D7:D22)</f>
        <v>15</v>
      </c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25">
        <v>45865</v>
      </c>
      <c r="V23" s="13" t="s">
        <v>146</v>
      </c>
      <c r="AF23" s="25"/>
      <c r="AG23" s="13"/>
      <c r="AL23" s="116"/>
      <c r="AM23" s="123"/>
      <c r="AN23" s="123"/>
      <c r="AO23" s="123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25"/>
      <c r="BE23" s="13"/>
      <c r="BH23" s="114"/>
    </row>
    <row r="24" spans="1:60" ht="20.100000000000001" customHeight="1" x14ac:dyDescent="0.4">
      <c r="A24" s="117"/>
      <c r="B24" s="123"/>
      <c r="C24" s="123"/>
      <c r="D24" s="123">
        <f>SUM(B23:D23)</f>
        <v>155</v>
      </c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25">
        <v>45865</v>
      </c>
      <c r="V24" s="13" t="s">
        <v>146</v>
      </c>
      <c r="AF24" s="25"/>
      <c r="AG24" s="13"/>
      <c r="AL24" s="116"/>
      <c r="AM24" s="123"/>
      <c r="AN24" s="123"/>
      <c r="AO24" s="123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25"/>
      <c r="BE24" s="13"/>
      <c r="BH24" s="114"/>
    </row>
    <row r="25" spans="1:60" ht="20.100000000000001" customHeight="1" x14ac:dyDescent="0.4">
      <c r="A25" s="117"/>
      <c r="B25" s="123"/>
      <c r="C25" s="123"/>
      <c r="D25" s="123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25">
        <v>45865</v>
      </c>
      <c r="V25" s="13" t="s">
        <v>147</v>
      </c>
      <c r="AF25" s="25"/>
      <c r="AG25" s="13"/>
      <c r="AL25" s="116"/>
      <c r="AM25" s="123"/>
      <c r="AN25" s="123"/>
      <c r="AO25" s="123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25"/>
      <c r="BE25" s="13"/>
      <c r="BH25" s="114"/>
    </row>
    <row r="26" spans="1:60" ht="20.100000000000001" customHeight="1" x14ac:dyDescent="0.4">
      <c r="A26" s="117"/>
      <c r="B26" s="123"/>
      <c r="C26" s="123"/>
      <c r="D26" s="123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25">
        <v>45865</v>
      </c>
      <c r="V26" s="13" t="s">
        <v>147</v>
      </c>
      <c r="AF26" s="25"/>
      <c r="AG26" s="13"/>
      <c r="AL26" s="116"/>
      <c r="AM26" s="123"/>
      <c r="AN26" s="123"/>
      <c r="AO26" s="123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25"/>
      <c r="BE26" s="13"/>
      <c r="BH26" s="114"/>
    </row>
    <row r="27" spans="1:60" ht="20.100000000000001" customHeight="1" x14ac:dyDescent="0.4">
      <c r="A27" s="117"/>
      <c r="B27" s="123"/>
      <c r="C27" s="123"/>
      <c r="D27" s="123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25">
        <v>45865</v>
      </c>
      <c r="V27" s="13" t="s">
        <v>146</v>
      </c>
      <c r="AF27" s="25"/>
      <c r="AG27" s="13"/>
      <c r="AL27" s="116"/>
      <c r="AM27" s="123"/>
      <c r="AN27" s="123"/>
      <c r="AO27" s="123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25"/>
      <c r="BE27" s="13"/>
      <c r="BH27" s="114"/>
    </row>
    <row r="28" spans="1:60" ht="20.100000000000001" customHeight="1" x14ac:dyDescent="0.4">
      <c r="A28" s="117"/>
      <c r="B28" s="123"/>
      <c r="C28" s="123"/>
      <c r="D28" s="123"/>
      <c r="F28" s="117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25">
        <v>45865</v>
      </c>
      <c r="V28" s="13" t="s">
        <v>146</v>
      </c>
      <c r="AF28" s="25"/>
      <c r="AG28" s="13"/>
      <c r="AL28" s="116"/>
      <c r="AM28" s="123"/>
      <c r="AN28" s="123"/>
      <c r="AO28" s="123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25"/>
      <c r="BE28" s="13"/>
      <c r="BH28" s="114"/>
    </row>
    <row r="29" spans="1:60" ht="20.100000000000001" customHeight="1" x14ac:dyDescent="0.4">
      <c r="A29" s="117"/>
      <c r="B29" s="123"/>
      <c r="C29" s="123"/>
      <c r="D29" s="123"/>
      <c r="F29" s="117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25">
        <v>45865</v>
      </c>
      <c r="V29" s="13" t="s">
        <v>146</v>
      </c>
      <c r="AF29" s="25"/>
      <c r="AG29" s="13"/>
      <c r="AL29" s="116"/>
      <c r="AM29" s="123"/>
      <c r="AN29" s="123"/>
      <c r="AO29" s="123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25"/>
      <c r="BE29" s="13"/>
      <c r="BH29" s="114"/>
    </row>
    <row r="30" spans="1:60" ht="20.100000000000001" customHeight="1" x14ac:dyDescent="0.4">
      <c r="A30" s="117"/>
      <c r="B30" s="123"/>
      <c r="C30" s="123"/>
      <c r="D30" s="123"/>
      <c r="F30" s="117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25">
        <v>45865</v>
      </c>
      <c r="V30" s="13" t="s">
        <v>146</v>
      </c>
      <c r="AF30" s="25"/>
      <c r="AG30" s="13"/>
      <c r="AL30" s="116"/>
      <c r="AM30" s="123"/>
      <c r="AN30" s="123"/>
      <c r="AO30" s="123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25"/>
      <c r="BE30" s="13"/>
      <c r="BH30" s="114"/>
    </row>
    <row r="31" spans="1:60" ht="20.100000000000001" customHeight="1" x14ac:dyDescent="0.4">
      <c r="A31" s="117"/>
      <c r="B31" s="123"/>
      <c r="C31" s="123"/>
      <c r="D31" s="123"/>
      <c r="F31" s="117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25">
        <v>45865</v>
      </c>
      <c r="V31" s="13" t="s">
        <v>147</v>
      </c>
      <c r="AF31" s="25"/>
      <c r="AG31" s="13"/>
      <c r="AL31" s="116"/>
      <c r="AM31" s="123"/>
      <c r="AN31" s="123"/>
      <c r="AO31" s="123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25"/>
      <c r="BE31" s="13"/>
      <c r="BH31" s="114"/>
    </row>
    <row r="32" spans="1:60" ht="20.100000000000001" customHeight="1" x14ac:dyDescent="0.4">
      <c r="A32" s="117"/>
      <c r="B32" s="123"/>
      <c r="C32" s="123"/>
      <c r="D32" s="123"/>
      <c r="F32" s="117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 t="s">
        <v>181</v>
      </c>
      <c r="U32" s="13">
        <f>SUBTOTAL(3,U17:U31)</f>
        <v>15</v>
      </c>
      <c r="V32" s="13">
        <f>SUBTOTAL(3,V17:V31)</f>
        <v>15</v>
      </c>
      <c r="AF32" s="25"/>
      <c r="AG32" s="13"/>
      <c r="AL32" s="116"/>
      <c r="AM32" s="123"/>
      <c r="AN32" s="123"/>
      <c r="AO32" s="123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25"/>
      <c r="BE32" s="13"/>
      <c r="BH32" s="114"/>
    </row>
    <row r="33" spans="1:60" ht="20.100000000000001" customHeight="1" x14ac:dyDescent="0.4">
      <c r="A33" s="117"/>
      <c r="B33" s="123"/>
      <c r="C33" s="123"/>
      <c r="D33" s="123"/>
      <c r="F33" s="117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25">
        <v>45866</v>
      </c>
      <c r="V33" s="13" t="s">
        <v>146</v>
      </c>
      <c r="AF33" s="25"/>
      <c r="AG33" s="13"/>
      <c r="AL33" s="116"/>
      <c r="AM33" s="123"/>
      <c r="AN33" s="123"/>
      <c r="AO33" s="123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25"/>
      <c r="BE33" s="13"/>
      <c r="BH33" s="114"/>
    </row>
    <row r="34" spans="1:60" ht="20.100000000000001" customHeight="1" x14ac:dyDescent="0.4">
      <c r="A34" s="117"/>
      <c r="B34" s="123"/>
      <c r="C34" s="123"/>
      <c r="D34" s="123"/>
      <c r="F34" s="117"/>
      <c r="U34" s="25">
        <v>45866</v>
      </c>
      <c r="V34" s="13" t="s">
        <v>147</v>
      </c>
      <c r="AF34" s="25"/>
      <c r="AG34" s="13"/>
      <c r="AL34" s="116"/>
      <c r="AM34" s="123"/>
      <c r="AN34" s="123"/>
      <c r="AO34" s="123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25"/>
      <c r="BE34" s="13"/>
      <c r="BH34" s="114"/>
    </row>
    <row r="35" spans="1:60" ht="20.100000000000001" customHeight="1" x14ac:dyDescent="0.4">
      <c r="A35" s="117"/>
      <c r="B35" s="123"/>
      <c r="C35" s="123"/>
      <c r="D35" s="123"/>
      <c r="F35" s="117"/>
      <c r="S35" s="115"/>
      <c r="T35" s="115"/>
      <c r="U35" s="25">
        <v>45866</v>
      </c>
      <c r="V35" s="13" t="s">
        <v>148</v>
      </c>
      <c r="AF35" s="25"/>
      <c r="AG35" s="13"/>
      <c r="AL35" s="116"/>
      <c r="AM35" s="123"/>
      <c r="AN35" s="123"/>
      <c r="AO35" s="123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25"/>
      <c r="BE35" s="13"/>
      <c r="BH35" s="114"/>
    </row>
    <row r="36" spans="1:60" ht="20.100000000000001" customHeight="1" x14ac:dyDescent="0.4">
      <c r="A36" s="117"/>
      <c r="B36" s="123"/>
      <c r="C36" s="123"/>
      <c r="D36" s="123"/>
      <c r="F36" s="117"/>
      <c r="S36" s="115"/>
      <c r="T36" s="115" t="s">
        <v>182</v>
      </c>
      <c r="U36" s="13">
        <f>SUBTOTAL(3,U33:U35)</f>
        <v>3</v>
      </c>
      <c r="V36" s="13">
        <f>SUBTOTAL(3,V33:V35)</f>
        <v>3</v>
      </c>
      <c r="AF36" s="25"/>
      <c r="AG36" s="13"/>
      <c r="AL36" s="116"/>
      <c r="AM36" s="123"/>
      <c r="AN36" s="123"/>
      <c r="AO36" s="123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25"/>
      <c r="BE36" s="13"/>
      <c r="BH36" s="114"/>
    </row>
    <row r="37" spans="1:60" ht="20.100000000000001" customHeight="1" x14ac:dyDescent="0.4">
      <c r="A37" s="117"/>
      <c r="B37" s="123"/>
      <c r="C37" s="123"/>
      <c r="D37" s="123"/>
      <c r="F37" s="117"/>
      <c r="O37" s="115"/>
      <c r="P37" s="115"/>
      <c r="Q37" s="115"/>
      <c r="R37" s="115"/>
      <c r="S37" s="115"/>
      <c r="T37" s="115"/>
      <c r="U37" s="25">
        <v>45867</v>
      </c>
      <c r="V37" s="13" t="s">
        <v>147</v>
      </c>
      <c r="AF37" s="25"/>
      <c r="AG37" s="13"/>
      <c r="AL37" s="116"/>
      <c r="AM37" s="123"/>
      <c r="AN37" s="123"/>
      <c r="AO37" s="123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25"/>
      <c r="BE37" s="13"/>
      <c r="BH37" s="114"/>
    </row>
    <row r="38" spans="1:60" ht="20.100000000000001" customHeight="1" x14ac:dyDescent="0.4">
      <c r="A38" s="117"/>
      <c r="B38" s="123"/>
      <c r="C38" s="123"/>
      <c r="D38" s="123"/>
      <c r="F38" s="117"/>
      <c r="O38" s="115"/>
      <c r="P38" s="115"/>
      <c r="Q38" s="115"/>
      <c r="R38" s="115"/>
      <c r="S38" s="115"/>
      <c r="T38" s="115"/>
      <c r="U38" s="25">
        <v>45867</v>
      </c>
      <c r="V38" s="15" t="s">
        <v>146</v>
      </c>
      <c r="AF38" s="25"/>
      <c r="AG38" s="13"/>
      <c r="AL38" s="116"/>
      <c r="AM38" s="123"/>
      <c r="AN38" s="123"/>
      <c r="AO38" s="123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25"/>
      <c r="BE38" s="13"/>
      <c r="BH38" s="114"/>
    </row>
    <row r="39" spans="1:60" ht="20.100000000000001" customHeight="1" x14ac:dyDescent="0.4">
      <c r="A39" s="117"/>
      <c r="B39" s="123"/>
      <c r="C39" s="123"/>
      <c r="D39" s="123"/>
      <c r="N39" s="115"/>
      <c r="O39" s="115"/>
      <c r="P39" s="115"/>
      <c r="Q39" s="115"/>
      <c r="R39" s="115"/>
      <c r="S39" s="115"/>
      <c r="T39" s="115"/>
      <c r="U39" s="25">
        <v>45867</v>
      </c>
      <c r="V39" s="13" t="s">
        <v>146</v>
      </c>
      <c r="AF39" s="25"/>
      <c r="AG39" s="13"/>
      <c r="AL39" s="116"/>
      <c r="AM39" s="123"/>
      <c r="AN39" s="123"/>
      <c r="AO39" s="123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25"/>
      <c r="BE39" s="13"/>
      <c r="BH39" s="114"/>
    </row>
    <row r="40" spans="1:60" ht="20.100000000000001" customHeight="1" x14ac:dyDescent="0.4">
      <c r="A40" s="117"/>
      <c r="B40" s="123"/>
      <c r="C40" s="123"/>
      <c r="D40" s="123"/>
      <c r="N40" s="115"/>
      <c r="O40" s="115"/>
      <c r="P40" s="115"/>
      <c r="Q40" s="115"/>
      <c r="R40" s="115"/>
      <c r="S40" s="115"/>
      <c r="T40" s="115"/>
      <c r="U40" s="25">
        <v>45867</v>
      </c>
      <c r="V40" s="13" t="s">
        <v>147</v>
      </c>
      <c r="AF40" s="25"/>
      <c r="AG40" s="13"/>
      <c r="AL40" s="116"/>
      <c r="AM40" s="123"/>
      <c r="AN40" s="123"/>
      <c r="AO40" s="123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25"/>
      <c r="BE40" s="13"/>
      <c r="BH40" s="114"/>
    </row>
    <row r="41" spans="1:60" ht="20.100000000000001" customHeight="1" x14ac:dyDescent="0.4">
      <c r="A41" s="117"/>
      <c r="B41" s="123"/>
      <c r="C41" s="123"/>
      <c r="D41" s="123"/>
      <c r="N41" s="115"/>
      <c r="O41" s="115"/>
      <c r="P41" s="115"/>
      <c r="Q41" s="115"/>
      <c r="R41" s="115"/>
      <c r="S41" s="115"/>
      <c r="T41" s="115"/>
      <c r="U41" s="25">
        <v>45867</v>
      </c>
      <c r="V41" s="134" t="s">
        <v>147</v>
      </c>
      <c r="AF41" s="25"/>
      <c r="AG41" s="13"/>
      <c r="AL41" s="116"/>
      <c r="AM41" s="123"/>
      <c r="AN41" s="123"/>
      <c r="AO41" s="123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25"/>
      <c r="BE41" s="13"/>
      <c r="BH41" s="114"/>
    </row>
    <row r="42" spans="1:60" ht="20.100000000000001" customHeight="1" x14ac:dyDescent="0.4">
      <c r="A42" s="117"/>
      <c r="B42" s="123"/>
      <c r="C42" s="123"/>
      <c r="D42" s="123"/>
      <c r="N42" s="115"/>
      <c r="O42" s="115"/>
      <c r="P42" s="115"/>
      <c r="Q42" s="115"/>
      <c r="R42" s="115"/>
      <c r="S42" s="115"/>
      <c r="T42" s="115"/>
      <c r="U42" s="25">
        <v>45867</v>
      </c>
      <c r="V42" s="25" t="s">
        <v>147</v>
      </c>
      <c r="AF42" s="25"/>
      <c r="AG42" s="13"/>
      <c r="AL42" s="116"/>
      <c r="AM42" s="123"/>
      <c r="AN42" s="123"/>
      <c r="AO42" s="123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25"/>
      <c r="BE42" s="13"/>
      <c r="BH42" s="114"/>
    </row>
    <row r="43" spans="1:60" ht="20.100000000000001" customHeight="1" x14ac:dyDescent="0.4">
      <c r="A43" s="117"/>
      <c r="B43" s="123"/>
      <c r="C43" s="123"/>
      <c r="D43" s="123"/>
      <c r="M43" s="115"/>
      <c r="N43" s="115"/>
      <c r="O43" s="115"/>
      <c r="P43" s="115"/>
      <c r="Q43" s="115"/>
      <c r="R43" s="115"/>
      <c r="S43" s="115"/>
      <c r="T43" s="115"/>
      <c r="U43" s="25">
        <v>45867</v>
      </c>
      <c r="V43" s="13" t="s">
        <v>146</v>
      </c>
      <c r="AF43" s="25"/>
      <c r="AG43" s="13"/>
      <c r="AL43" s="116"/>
      <c r="AM43" s="123"/>
      <c r="AN43" s="123"/>
      <c r="AO43" s="123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25"/>
      <c r="BE43" s="13"/>
      <c r="BH43" s="114"/>
    </row>
    <row r="44" spans="1:60" ht="20.100000000000001" customHeight="1" x14ac:dyDescent="0.4">
      <c r="A44" s="117"/>
      <c r="B44" s="123"/>
      <c r="C44" s="123"/>
      <c r="D44" s="123"/>
      <c r="M44" s="115"/>
      <c r="N44" s="115"/>
      <c r="O44" s="115"/>
      <c r="P44" s="115"/>
      <c r="Q44" s="115"/>
      <c r="R44" s="115"/>
      <c r="S44" s="115"/>
      <c r="T44" s="115" t="s">
        <v>189</v>
      </c>
      <c r="U44" s="13">
        <f>SUBTOTAL(3,U37:U43)</f>
        <v>7</v>
      </c>
      <c r="V44" s="13">
        <f>SUBTOTAL(3,V37:V43)</f>
        <v>7</v>
      </c>
      <c r="AF44" s="25"/>
      <c r="AG44" s="13"/>
      <c r="AL44" s="116"/>
      <c r="AM44" s="123"/>
      <c r="AN44" s="123"/>
      <c r="AO44" s="123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25"/>
      <c r="BE44" s="13"/>
      <c r="BH44" s="114"/>
    </row>
    <row r="45" spans="1:60" ht="20.100000000000001" customHeight="1" x14ac:dyDescent="0.4">
      <c r="A45" s="117"/>
      <c r="B45" s="123"/>
      <c r="C45" s="123"/>
      <c r="D45" s="123"/>
      <c r="M45" s="115"/>
      <c r="N45" s="115"/>
      <c r="O45" s="115"/>
      <c r="P45" s="115"/>
      <c r="Q45" s="115"/>
      <c r="R45" s="115"/>
      <c r="S45" s="115"/>
      <c r="T45" s="115"/>
      <c r="U45" s="25">
        <v>45868</v>
      </c>
      <c r="V45" s="13" t="s">
        <v>146</v>
      </c>
      <c r="AF45" s="25"/>
      <c r="AG45" s="13"/>
      <c r="AL45" s="116"/>
      <c r="AM45" s="123"/>
      <c r="AN45" s="123"/>
      <c r="AO45" s="123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25"/>
      <c r="BE45" s="13"/>
      <c r="BH45" s="114"/>
    </row>
    <row r="46" spans="1:60" ht="20.100000000000001" customHeight="1" x14ac:dyDescent="0.4">
      <c r="A46" s="117"/>
      <c r="B46" s="123"/>
      <c r="C46" s="123"/>
      <c r="D46" s="123"/>
      <c r="M46" s="115"/>
      <c r="N46" s="115"/>
      <c r="O46" s="115"/>
      <c r="P46" s="115"/>
      <c r="Q46" s="115"/>
      <c r="R46" s="115"/>
      <c r="S46" s="115"/>
      <c r="T46" s="115"/>
      <c r="U46" s="25">
        <v>45868</v>
      </c>
      <c r="V46" s="13" t="s">
        <v>147</v>
      </c>
      <c r="AF46" s="25"/>
      <c r="AG46" s="13"/>
      <c r="AL46" s="116"/>
      <c r="AM46" s="123"/>
      <c r="AN46" s="123"/>
      <c r="AO46" s="123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25"/>
      <c r="BE46" s="13"/>
      <c r="BH46" s="114"/>
    </row>
    <row r="47" spans="1:60" ht="20.100000000000001" customHeight="1" x14ac:dyDescent="0.4">
      <c r="A47" s="117"/>
      <c r="B47" s="123"/>
      <c r="C47" s="123"/>
      <c r="D47" s="123"/>
      <c r="M47" s="115"/>
      <c r="N47" s="115"/>
      <c r="O47" s="115"/>
      <c r="P47" s="115"/>
      <c r="Q47" s="115"/>
      <c r="R47" s="115"/>
      <c r="S47" s="115"/>
      <c r="T47" s="115"/>
      <c r="U47" s="25">
        <v>45868</v>
      </c>
      <c r="V47" s="13" t="s">
        <v>146</v>
      </c>
      <c r="AF47" s="25"/>
      <c r="AG47" s="13"/>
      <c r="AL47" s="116"/>
      <c r="AM47" s="123"/>
      <c r="AN47" s="123"/>
      <c r="AO47" s="123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25"/>
      <c r="BE47" s="13"/>
      <c r="BH47" s="114"/>
    </row>
    <row r="48" spans="1:60" ht="20.100000000000001" customHeight="1" x14ac:dyDescent="0.4">
      <c r="A48" s="117"/>
      <c r="B48" s="123"/>
      <c r="C48" s="123"/>
      <c r="D48" s="123"/>
      <c r="L48" s="115"/>
      <c r="M48" s="115"/>
      <c r="N48" s="115"/>
      <c r="O48" s="115"/>
      <c r="P48" s="115"/>
      <c r="Q48" s="115"/>
      <c r="R48" s="115"/>
      <c r="S48" s="115"/>
      <c r="T48" s="115"/>
      <c r="U48" s="25">
        <v>45868</v>
      </c>
      <c r="V48" s="13" t="s">
        <v>146</v>
      </c>
      <c r="AF48" s="25"/>
      <c r="AG48" s="13"/>
      <c r="AL48" s="116"/>
      <c r="AM48" s="123"/>
      <c r="AN48" s="123"/>
      <c r="AO48" s="123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25"/>
      <c r="BE48" s="13"/>
      <c r="BH48" s="114"/>
    </row>
    <row r="49" spans="1:60" ht="20.100000000000001" customHeight="1" x14ac:dyDescent="0.4">
      <c r="A49" s="117"/>
      <c r="B49" s="123"/>
      <c r="C49" s="123"/>
      <c r="D49" s="123"/>
      <c r="L49" s="115"/>
      <c r="M49" s="115"/>
      <c r="N49" s="115"/>
      <c r="O49" s="115"/>
      <c r="P49" s="115"/>
      <c r="Q49" s="115"/>
      <c r="R49" s="115"/>
      <c r="S49" s="115"/>
      <c r="T49" s="115"/>
      <c r="U49" s="25">
        <v>45868</v>
      </c>
      <c r="V49" s="13" t="s">
        <v>146</v>
      </c>
      <c r="AF49" s="25"/>
      <c r="AG49" s="13"/>
      <c r="AL49" s="116"/>
      <c r="AM49" s="123"/>
      <c r="AN49" s="123"/>
      <c r="AO49" s="123"/>
      <c r="AT49" s="115"/>
      <c r="AU49" s="115"/>
      <c r="AV49" s="115"/>
      <c r="AW49" s="115"/>
      <c r="AX49" s="115"/>
      <c r="AY49" s="115"/>
      <c r="AZ49" s="115"/>
      <c r="BA49" s="115"/>
      <c r="BB49" s="115"/>
      <c r="BC49" s="115"/>
      <c r="BD49" s="25"/>
      <c r="BE49" s="13"/>
      <c r="BH49" s="114"/>
    </row>
    <row r="50" spans="1:60" ht="20.100000000000001" customHeight="1" x14ac:dyDescent="0.4">
      <c r="A50" s="117"/>
      <c r="B50" s="123"/>
      <c r="C50" s="123"/>
      <c r="D50" s="123"/>
      <c r="L50" s="115"/>
      <c r="M50" s="115"/>
      <c r="N50" s="115"/>
      <c r="O50" s="115"/>
      <c r="P50" s="115"/>
      <c r="Q50" s="115"/>
      <c r="R50" s="115"/>
      <c r="S50" s="115"/>
      <c r="T50" s="115"/>
      <c r="U50" s="25">
        <v>45868</v>
      </c>
      <c r="V50" s="15" t="s">
        <v>146</v>
      </c>
      <c r="AF50" s="25"/>
      <c r="AG50" s="13"/>
      <c r="AL50" s="116"/>
      <c r="AM50" s="123"/>
      <c r="AN50" s="123"/>
      <c r="AO50" s="123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25"/>
      <c r="BE50" s="13"/>
      <c r="BH50" s="114"/>
    </row>
    <row r="51" spans="1:60" ht="20.100000000000001" customHeight="1" x14ac:dyDescent="0.4">
      <c r="A51" s="117"/>
      <c r="B51" s="123"/>
      <c r="C51" s="123"/>
      <c r="D51" s="123"/>
      <c r="L51" s="115"/>
      <c r="M51" s="115"/>
      <c r="N51" s="115"/>
      <c r="O51" s="115"/>
      <c r="P51" s="115"/>
      <c r="Q51" s="115"/>
      <c r="R51" s="115"/>
      <c r="S51" s="115"/>
      <c r="T51" s="115"/>
      <c r="U51" s="25">
        <v>45868</v>
      </c>
      <c r="V51" s="15" t="s">
        <v>146</v>
      </c>
      <c r="AF51" s="25"/>
      <c r="AG51" s="13"/>
      <c r="AL51" s="116"/>
      <c r="AM51" s="123"/>
      <c r="AN51" s="123"/>
      <c r="AO51" s="123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25"/>
      <c r="BE51" s="13"/>
      <c r="BH51" s="114"/>
    </row>
    <row r="52" spans="1:60" ht="20.100000000000001" customHeight="1" x14ac:dyDescent="0.4">
      <c r="A52" s="117"/>
      <c r="B52" s="123"/>
      <c r="C52" s="123"/>
      <c r="D52" s="123"/>
      <c r="L52" s="115"/>
      <c r="M52" s="115"/>
      <c r="N52" s="115"/>
      <c r="O52" s="115"/>
      <c r="P52" s="115"/>
      <c r="Q52" s="115"/>
      <c r="R52" s="115"/>
      <c r="S52" s="115"/>
      <c r="T52" s="115"/>
      <c r="U52" s="25">
        <v>45868</v>
      </c>
      <c r="V52" s="15" t="s">
        <v>146</v>
      </c>
      <c r="AF52" s="25"/>
      <c r="AG52" s="13"/>
      <c r="AL52" s="116"/>
      <c r="AM52" s="123"/>
      <c r="AN52" s="123"/>
      <c r="AO52" s="123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25"/>
      <c r="BE52" s="13"/>
      <c r="BH52" s="114"/>
    </row>
    <row r="53" spans="1:60" ht="20.100000000000001" customHeight="1" x14ac:dyDescent="0.4">
      <c r="A53" s="117"/>
      <c r="B53" s="123"/>
      <c r="C53" s="123"/>
      <c r="D53" s="123"/>
      <c r="L53" s="115"/>
      <c r="M53" s="115"/>
      <c r="N53" s="115"/>
      <c r="O53" s="115"/>
      <c r="P53" s="115"/>
      <c r="Q53" s="115"/>
      <c r="R53" s="115"/>
      <c r="S53" s="115"/>
      <c r="T53" s="115"/>
      <c r="U53" s="25">
        <v>45868</v>
      </c>
      <c r="V53" s="15" t="s">
        <v>146</v>
      </c>
      <c r="AF53" s="25"/>
      <c r="AG53" s="13"/>
      <c r="AL53" s="116"/>
      <c r="AM53" s="123"/>
      <c r="AN53" s="123"/>
      <c r="AO53" s="123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25"/>
      <c r="BE53" s="13"/>
      <c r="BH53" s="114"/>
    </row>
    <row r="54" spans="1:60" ht="20.100000000000001" customHeight="1" x14ac:dyDescent="0.4">
      <c r="A54" s="117"/>
      <c r="B54" s="123"/>
      <c r="C54" s="123"/>
      <c r="D54" s="123"/>
      <c r="L54" s="115"/>
      <c r="M54" s="115"/>
      <c r="N54" s="115"/>
      <c r="O54" s="115"/>
      <c r="P54" s="115"/>
      <c r="Q54" s="115"/>
      <c r="R54" s="115"/>
      <c r="S54" s="115"/>
      <c r="T54" s="115"/>
      <c r="U54" s="25">
        <v>45868</v>
      </c>
      <c r="V54" s="15" t="s">
        <v>146</v>
      </c>
      <c r="AF54" s="25"/>
      <c r="AG54" s="13"/>
      <c r="AL54" s="116"/>
      <c r="AM54" s="123"/>
      <c r="AN54" s="123"/>
      <c r="AO54" s="123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25"/>
      <c r="BE54" s="13"/>
      <c r="BH54" s="114"/>
    </row>
    <row r="55" spans="1:60" ht="20.100000000000001" customHeight="1" x14ac:dyDescent="0.4">
      <c r="A55" s="117"/>
      <c r="B55" s="123"/>
      <c r="C55" s="123"/>
      <c r="D55" s="123"/>
      <c r="U55" s="25">
        <v>45868</v>
      </c>
      <c r="V55" s="13" t="s">
        <v>146</v>
      </c>
      <c r="AF55" s="25"/>
      <c r="AG55" s="13"/>
      <c r="AL55" s="116"/>
      <c r="AM55" s="123"/>
      <c r="AN55" s="123"/>
      <c r="AO55" s="123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25"/>
      <c r="BE55" s="13"/>
      <c r="BH55" s="114"/>
    </row>
    <row r="56" spans="1:60" ht="20.100000000000001" customHeight="1" x14ac:dyDescent="0.4">
      <c r="A56" s="117"/>
      <c r="B56" s="123"/>
      <c r="C56" s="123"/>
      <c r="D56" s="123"/>
      <c r="P56" s="115"/>
      <c r="Q56" s="115"/>
      <c r="R56" s="115"/>
      <c r="S56" s="115"/>
      <c r="T56" s="115"/>
      <c r="U56" s="25">
        <v>45868</v>
      </c>
      <c r="V56" s="13" t="s">
        <v>146</v>
      </c>
      <c r="AF56" s="25"/>
      <c r="AG56" s="13"/>
      <c r="AL56" s="116"/>
      <c r="AM56" s="123"/>
      <c r="AN56" s="123"/>
      <c r="AO56" s="123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25"/>
      <c r="BE56" s="13"/>
      <c r="BH56" s="114"/>
    </row>
    <row r="57" spans="1:60" ht="20.100000000000001" customHeight="1" x14ac:dyDescent="0.4">
      <c r="A57" s="117"/>
      <c r="B57" s="123"/>
      <c r="C57" s="123"/>
      <c r="D57" s="123"/>
      <c r="N57" s="115"/>
      <c r="O57" s="115"/>
      <c r="P57" s="115"/>
      <c r="Q57" s="115"/>
      <c r="R57" s="115"/>
      <c r="S57" s="115"/>
      <c r="T57" s="115"/>
      <c r="U57" s="25">
        <v>45868</v>
      </c>
      <c r="V57" s="13" t="s">
        <v>146</v>
      </c>
      <c r="AF57" s="25"/>
      <c r="AG57" s="13"/>
      <c r="AL57" s="116"/>
      <c r="AM57" s="123"/>
      <c r="AN57" s="123"/>
      <c r="AO57" s="123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25"/>
      <c r="BE57" s="13"/>
      <c r="BH57" s="114"/>
    </row>
    <row r="58" spans="1:60" ht="20.100000000000001" customHeight="1" x14ac:dyDescent="0.4">
      <c r="A58" s="117"/>
      <c r="B58" s="123"/>
      <c r="C58" s="123"/>
      <c r="D58" s="123"/>
      <c r="N58" s="115"/>
      <c r="O58" s="115"/>
      <c r="P58" s="115"/>
      <c r="Q58" s="115"/>
      <c r="R58" s="115"/>
      <c r="S58" s="115"/>
      <c r="T58" s="115"/>
      <c r="U58" s="25">
        <v>45868</v>
      </c>
      <c r="V58" s="15" t="s">
        <v>146</v>
      </c>
      <c r="AF58" s="25"/>
      <c r="AG58" s="13"/>
      <c r="AL58" s="116"/>
      <c r="AM58" s="123"/>
      <c r="AN58" s="123"/>
      <c r="AO58" s="123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25"/>
      <c r="BE58" s="13"/>
      <c r="BH58" s="114"/>
    </row>
    <row r="59" spans="1:60" ht="20.100000000000001" customHeight="1" x14ac:dyDescent="0.4">
      <c r="A59" s="117"/>
      <c r="B59" s="123"/>
      <c r="C59" s="123"/>
      <c r="D59" s="123"/>
      <c r="N59" s="115"/>
      <c r="O59" s="115"/>
      <c r="P59" s="115"/>
      <c r="Q59" s="115"/>
      <c r="R59" s="115"/>
      <c r="S59" s="115"/>
      <c r="T59" s="115"/>
      <c r="U59" s="25">
        <v>45868</v>
      </c>
      <c r="V59" s="13" t="s">
        <v>146</v>
      </c>
      <c r="AF59" s="25"/>
      <c r="AG59" s="13"/>
      <c r="AL59" s="116"/>
      <c r="AM59" s="123"/>
      <c r="AN59" s="123"/>
      <c r="AO59" s="123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25"/>
      <c r="BE59" s="13"/>
      <c r="BH59" s="114"/>
    </row>
    <row r="60" spans="1:60" ht="20.100000000000001" customHeight="1" x14ac:dyDescent="0.4">
      <c r="A60" s="117"/>
      <c r="B60" s="123"/>
      <c r="C60" s="123"/>
      <c r="D60" s="123"/>
      <c r="N60" s="115"/>
      <c r="O60" s="115"/>
      <c r="P60" s="115"/>
      <c r="Q60" s="115"/>
      <c r="R60" s="115"/>
      <c r="S60" s="115"/>
      <c r="T60" s="115" t="s">
        <v>194</v>
      </c>
      <c r="U60" s="13">
        <f>SUBTOTAL(3,U45:U59)</f>
        <v>15</v>
      </c>
      <c r="V60" s="13">
        <f>SUBTOTAL(3,V45:V59)</f>
        <v>15</v>
      </c>
      <c r="AF60" s="25"/>
      <c r="AG60" s="13"/>
      <c r="AL60" s="116"/>
      <c r="AM60" s="123"/>
      <c r="AN60" s="123"/>
      <c r="AO60" s="123"/>
      <c r="AT60" s="115"/>
      <c r="AU60" s="115"/>
      <c r="AV60" s="115"/>
      <c r="AW60" s="115"/>
      <c r="AX60" s="115"/>
      <c r="AY60" s="115"/>
      <c r="AZ60" s="115"/>
      <c r="BA60" s="115"/>
      <c r="BB60" s="115"/>
      <c r="BC60" s="115"/>
      <c r="BD60" s="25"/>
      <c r="BE60" s="13"/>
      <c r="BH60" s="114"/>
    </row>
    <row r="61" spans="1:60" ht="20.100000000000001" customHeight="1" x14ac:dyDescent="0.4">
      <c r="A61" s="117"/>
      <c r="B61" s="123"/>
      <c r="C61" s="123"/>
      <c r="D61" s="123"/>
      <c r="L61" s="115"/>
      <c r="M61" s="115"/>
      <c r="N61" s="115"/>
      <c r="O61" s="115"/>
      <c r="P61" s="115"/>
      <c r="Q61" s="115"/>
      <c r="R61" s="115"/>
      <c r="S61" s="115"/>
      <c r="T61" s="115"/>
      <c r="U61" s="25">
        <v>45869</v>
      </c>
      <c r="V61" s="13" t="s">
        <v>147</v>
      </c>
      <c r="AF61" s="25"/>
      <c r="AG61" s="13"/>
      <c r="AL61" s="116"/>
      <c r="AM61" s="123"/>
      <c r="AN61" s="123"/>
      <c r="AO61" s="123"/>
      <c r="AT61" s="115"/>
      <c r="AU61" s="115"/>
      <c r="AV61" s="115"/>
      <c r="AW61" s="115"/>
      <c r="AX61" s="115"/>
      <c r="AY61" s="115"/>
      <c r="AZ61" s="115"/>
      <c r="BA61" s="115"/>
      <c r="BB61" s="115"/>
      <c r="BC61" s="115"/>
      <c r="BD61" s="25"/>
      <c r="BE61" s="13"/>
      <c r="BH61" s="114"/>
    </row>
    <row r="62" spans="1:60" ht="20.100000000000001" customHeight="1" x14ac:dyDescent="0.4">
      <c r="A62" s="117"/>
      <c r="B62" s="123"/>
      <c r="C62" s="123"/>
      <c r="D62" s="123"/>
      <c r="L62" s="115"/>
      <c r="M62" s="115"/>
      <c r="N62" s="115"/>
      <c r="O62" s="115"/>
      <c r="P62" s="115"/>
      <c r="Q62" s="115"/>
      <c r="R62" s="115"/>
      <c r="S62" s="115"/>
      <c r="T62" s="115" t="s">
        <v>377</v>
      </c>
      <c r="U62" s="13">
        <f>SUBTOTAL(3,U61:U61)</f>
        <v>1</v>
      </c>
      <c r="V62" s="13">
        <f>SUBTOTAL(3,V61:V61)</f>
        <v>1</v>
      </c>
      <c r="AF62" s="25"/>
      <c r="AG62" s="13"/>
      <c r="AL62" s="116"/>
      <c r="AM62" s="123"/>
      <c r="AN62" s="123"/>
      <c r="AO62" s="123"/>
      <c r="AT62" s="115"/>
      <c r="AU62" s="115"/>
      <c r="AV62" s="115"/>
      <c r="AW62" s="115"/>
      <c r="AX62" s="115"/>
      <c r="AY62" s="115"/>
      <c r="AZ62" s="115"/>
      <c r="BA62" s="115"/>
      <c r="BB62" s="115"/>
      <c r="BC62" s="115"/>
      <c r="BD62" s="25"/>
      <c r="BE62" s="13"/>
      <c r="BH62" s="114"/>
    </row>
    <row r="63" spans="1:60" ht="20.100000000000001" customHeight="1" x14ac:dyDescent="0.4">
      <c r="A63" s="117"/>
      <c r="B63" s="123"/>
      <c r="C63" s="123"/>
      <c r="D63" s="123"/>
      <c r="L63" s="115"/>
      <c r="M63" s="115"/>
      <c r="N63" s="115"/>
      <c r="O63" s="115"/>
      <c r="P63" s="115"/>
      <c r="Q63" s="115"/>
      <c r="R63" s="115"/>
      <c r="S63" s="115"/>
      <c r="T63" s="115"/>
      <c r="U63" s="25">
        <v>45871</v>
      </c>
      <c r="V63" s="13" t="s">
        <v>147</v>
      </c>
      <c r="AF63" s="25"/>
      <c r="AG63" s="13"/>
      <c r="AL63" s="116"/>
      <c r="AM63" s="123"/>
      <c r="AN63" s="123"/>
      <c r="AO63" s="123"/>
      <c r="AT63" s="115"/>
      <c r="AU63" s="115"/>
      <c r="AV63" s="115"/>
      <c r="AW63" s="115"/>
      <c r="AX63" s="115"/>
      <c r="AY63" s="115"/>
      <c r="AZ63" s="115"/>
      <c r="BA63" s="115"/>
      <c r="BB63" s="115"/>
      <c r="BC63" s="115"/>
      <c r="BD63" s="25"/>
      <c r="BE63" s="13"/>
      <c r="BH63" s="114"/>
    </row>
    <row r="64" spans="1:60" ht="20.100000000000001" customHeight="1" x14ac:dyDescent="0.4">
      <c r="A64" s="117"/>
      <c r="B64" s="123"/>
      <c r="C64" s="123"/>
      <c r="D64" s="123"/>
      <c r="L64" s="115"/>
      <c r="M64" s="115"/>
      <c r="N64" s="115"/>
      <c r="O64" s="115"/>
      <c r="P64" s="115"/>
      <c r="Q64" s="115"/>
      <c r="R64" s="115"/>
      <c r="S64" s="115"/>
      <c r="T64" s="115"/>
      <c r="U64" s="25">
        <v>45871</v>
      </c>
      <c r="V64" s="15" t="s">
        <v>148</v>
      </c>
      <c r="AF64" s="25"/>
      <c r="AG64" s="13"/>
      <c r="AL64" s="116"/>
      <c r="AM64" s="123"/>
      <c r="AN64" s="123"/>
      <c r="AO64" s="123"/>
      <c r="AT64" s="115"/>
      <c r="AU64" s="115"/>
      <c r="AV64" s="115"/>
      <c r="AW64" s="115"/>
      <c r="AX64" s="115"/>
      <c r="AY64" s="115"/>
      <c r="AZ64" s="115"/>
      <c r="BA64" s="115"/>
      <c r="BB64" s="115"/>
      <c r="BC64" s="115"/>
      <c r="BD64" s="25"/>
      <c r="BE64" s="13"/>
      <c r="BH64" s="114"/>
    </row>
    <row r="65" spans="1:60" ht="20.100000000000001" customHeight="1" x14ac:dyDescent="0.4">
      <c r="A65" s="117"/>
      <c r="B65" s="123"/>
      <c r="C65" s="123"/>
      <c r="D65" s="123"/>
      <c r="L65" s="115"/>
      <c r="M65" s="115"/>
      <c r="N65" s="115"/>
      <c r="O65" s="115"/>
      <c r="P65" s="115"/>
      <c r="Q65" s="115"/>
      <c r="R65" s="115"/>
      <c r="S65" s="115"/>
      <c r="T65" s="115"/>
      <c r="U65" s="25">
        <v>45871</v>
      </c>
      <c r="V65" s="15" t="s">
        <v>148</v>
      </c>
      <c r="AF65" s="25"/>
      <c r="AG65" s="13"/>
      <c r="AL65" s="116"/>
      <c r="AM65" s="123"/>
      <c r="AN65" s="123"/>
      <c r="AO65" s="123"/>
      <c r="AT65" s="115"/>
      <c r="AU65" s="115"/>
      <c r="AV65" s="115"/>
      <c r="AW65" s="115"/>
      <c r="AX65" s="115"/>
      <c r="AY65" s="115"/>
      <c r="AZ65" s="115"/>
      <c r="BA65" s="115"/>
      <c r="BB65" s="115"/>
      <c r="BC65" s="115"/>
      <c r="BD65" s="25"/>
      <c r="BE65" s="13"/>
      <c r="BH65" s="114"/>
    </row>
    <row r="66" spans="1:60" ht="20.100000000000001" customHeight="1" x14ac:dyDescent="0.4">
      <c r="A66" s="117"/>
      <c r="B66" s="123"/>
      <c r="C66" s="123"/>
      <c r="D66" s="123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25">
        <v>45871</v>
      </c>
      <c r="V66" s="15" t="s">
        <v>147</v>
      </c>
      <c r="AF66" s="25"/>
      <c r="AG66" s="13"/>
      <c r="AL66" s="116"/>
      <c r="AM66" s="123"/>
      <c r="AN66" s="123"/>
      <c r="AO66" s="123"/>
      <c r="AT66" s="115"/>
      <c r="AU66" s="115"/>
      <c r="AV66" s="115"/>
      <c r="AW66" s="115"/>
      <c r="AX66" s="115"/>
      <c r="AY66" s="115"/>
      <c r="AZ66" s="115"/>
      <c r="BA66" s="115"/>
      <c r="BB66" s="115"/>
      <c r="BC66" s="115"/>
      <c r="BD66" s="25"/>
      <c r="BE66" s="13"/>
      <c r="BH66" s="114"/>
    </row>
    <row r="67" spans="1:60" ht="20.100000000000001" customHeight="1" x14ac:dyDescent="0.4">
      <c r="A67" s="117"/>
      <c r="B67" s="123"/>
      <c r="C67" s="123"/>
      <c r="D67" s="123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25">
        <v>45871</v>
      </c>
      <c r="V67" s="15" t="s">
        <v>146</v>
      </c>
      <c r="AF67" s="25"/>
      <c r="AG67" s="13"/>
      <c r="AL67" s="116"/>
      <c r="AM67" s="123"/>
      <c r="AN67" s="123"/>
      <c r="AO67" s="123"/>
      <c r="AT67" s="115"/>
      <c r="AU67" s="115"/>
      <c r="AV67" s="115"/>
      <c r="AW67" s="115"/>
      <c r="AX67" s="115"/>
      <c r="AY67" s="115"/>
      <c r="AZ67" s="115"/>
      <c r="BA67" s="115"/>
      <c r="BB67" s="115"/>
      <c r="BC67" s="115"/>
      <c r="BD67" s="25"/>
      <c r="BE67" s="13"/>
      <c r="BH67" s="114"/>
    </row>
    <row r="68" spans="1:60" ht="20.100000000000001" customHeight="1" x14ac:dyDescent="0.4">
      <c r="A68" s="117"/>
      <c r="B68" s="123"/>
      <c r="C68" s="123"/>
      <c r="D68" s="123"/>
      <c r="K68" s="115"/>
      <c r="L68" s="115"/>
      <c r="M68" s="115"/>
      <c r="N68" s="115"/>
      <c r="O68" s="115"/>
      <c r="P68" s="115"/>
      <c r="Q68" s="115"/>
      <c r="R68" s="115"/>
      <c r="S68" s="115"/>
      <c r="T68" s="115" t="s">
        <v>195</v>
      </c>
      <c r="U68" s="13">
        <f>SUBTOTAL(3,U63:U67)</f>
        <v>5</v>
      </c>
      <c r="V68" s="15">
        <f>SUBTOTAL(3,V63:V67)</f>
        <v>5</v>
      </c>
      <c r="AF68" s="25"/>
      <c r="AG68" s="13"/>
      <c r="AL68" s="116"/>
      <c r="AM68" s="123"/>
      <c r="AN68" s="123"/>
      <c r="AO68" s="123"/>
      <c r="AT68" s="115"/>
      <c r="AU68" s="115"/>
      <c r="AV68" s="115"/>
      <c r="AW68" s="115"/>
      <c r="AX68" s="115"/>
      <c r="AY68" s="115"/>
      <c r="AZ68" s="115"/>
      <c r="BA68" s="115"/>
      <c r="BB68" s="115"/>
      <c r="BC68" s="115"/>
      <c r="BD68" s="25"/>
      <c r="BE68" s="13"/>
      <c r="BH68" s="114"/>
    </row>
    <row r="69" spans="1:60" ht="20.100000000000001" customHeight="1" x14ac:dyDescent="0.4">
      <c r="A69" s="117"/>
      <c r="B69" s="123"/>
      <c r="C69" s="123"/>
      <c r="D69" s="123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25">
        <v>45872</v>
      </c>
      <c r="V69" s="15" t="s">
        <v>146</v>
      </c>
      <c r="AF69" s="25"/>
      <c r="AG69" s="13"/>
      <c r="AL69" s="116"/>
      <c r="AM69" s="123"/>
      <c r="AN69" s="123"/>
      <c r="AO69" s="123"/>
      <c r="AT69" s="115"/>
      <c r="AU69" s="115"/>
      <c r="AV69" s="115"/>
      <c r="AW69" s="115"/>
      <c r="AX69" s="115"/>
      <c r="AY69" s="115"/>
      <c r="AZ69" s="115"/>
      <c r="BA69" s="115"/>
      <c r="BB69" s="115"/>
      <c r="BC69" s="115"/>
      <c r="BD69" s="25"/>
      <c r="BE69" s="13"/>
      <c r="BH69" s="114"/>
    </row>
    <row r="70" spans="1:60" ht="20.100000000000001" customHeight="1" x14ac:dyDescent="0.4">
      <c r="A70" s="117"/>
      <c r="B70" s="123"/>
      <c r="C70" s="123"/>
      <c r="D70" s="123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25">
        <v>45872</v>
      </c>
      <c r="V70" s="15" t="s">
        <v>146</v>
      </c>
      <c r="AF70" s="25"/>
      <c r="AG70" s="13"/>
      <c r="AL70" s="116"/>
      <c r="AM70" s="123"/>
      <c r="AN70" s="123"/>
      <c r="AO70" s="123"/>
      <c r="AT70" s="115"/>
      <c r="AU70" s="115"/>
      <c r="AV70" s="115"/>
      <c r="AW70" s="115"/>
      <c r="AX70" s="115"/>
      <c r="AY70" s="115"/>
      <c r="AZ70" s="115"/>
      <c r="BA70" s="115"/>
      <c r="BB70" s="115"/>
      <c r="BC70" s="115"/>
      <c r="BD70" s="25"/>
      <c r="BE70" s="13"/>
      <c r="BH70" s="114"/>
    </row>
    <row r="71" spans="1:60" ht="20.100000000000001" customHeight="1" x14ac:dyDescent="0.4">
      <c r="A71" s="117"/>
      <c r="B71" s="123"/>
      <c r="C71" s="123"/>
      <c r="D71" s="123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25">
        <v>45872</v>
      </c>
      <c r="V71" s="105" t="s">
        <v>146</v>
      </c>
      <c r="AF71" s="25"/>
      <c r="AG71" s="13"/>
      <c r="AL71" s="116"/>
      <c r="AM71" s="123"/>
      <c r="AN71" s="123"/>
      <c r="AO71" s="123"/>
      <c r="AT71" s="115"/>
      <c r="AU71" s="115"/>
      <c r="AV71" s="115"/>
      <c r="AW71" s="115"/>
      <c r="AX71" s="115"/>
      <c r="AY71" s="115"/>
      <c r="AZ71" s="115"/>
      <c r="BA71" s="115"/>
      <c r="BB71" s="115"/>
      <c r="BC71" s="115"/>
      <c r="BD71" s="25"/>
      <c r="BE71" s="13"/>
      <c r="BH71" s="114"/>
    </row>
    <row r="72" spans="1:60" ht="20.100000000000001" customHeight="1" x14ac:dyDescent="0.4">
      <c r="A72" s="117"/>
      <c r="B72" s="123"/>
      <c r="C72" s="123"/>
      <c r="D72" s="123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25">
        <v>45872</v>
      </c>
      <c r="V72" s="15" t="s">
        <v>148</v>
      </c>
      <c r="AF72" s="25"/>
      <c r="AG72" s="13"/>
      <c r="AL72" s="116"/>
      <c r="AM72" s="123"/>
      <c r="AN72" s="123"/>
      <c r="AO72" s="123"/>
      <c r="AT72" s="115"/>
      <c r="AU72" s="115"/>
      <c r="AV72" s="115"/>
      <c r="AW72" s="115"/>
      <c r="AX72" s="115"/>
      <c r="AY72" s="115"/>
      <c r="AZ72" s="115"/>
      <c r="BA72" s="115"/>
      <c r="BB72" s="115"/>
      <c r="BC72" s="115"/>
      <c r="BD72" s="25"/>
      <c r="BE72" s="13"/>
      <c r="BH72" s="114"/>
    </row>
    <row r="73" spans="1:60" ht="20.100000000000001" customHeight="1" x14ac:dyDescent="0.4">
      <c r="A73" s="117"/>
      <c r="B73" s="123"/>
      <c r="C73" s="123"/>
      <c r="D73" s="123"/>
      <c r="K73" s="115"/>
      <c r="L73" s="115"/>
      <c r="M73" s="115"/>
      <c r="N73" s="115"/>
      <c r="O73" s="115"/>
      <c r="P73" s="115"/>
      <c r="Q73" s="115"/>
      <c r="R73" s="115"/>
      <c r="S73" s="115"/>
      <c r="T73" s="115" t="s">
        <v>196</v>
      </c>
      <c r="U73" s="13">
        <f>SUBTOTAL(3,U69:U72)</f>
        <v>4</v>
      </c>
      <c r="V73" s="15">
        <f>SUBTOTAL(3,V69:V72)</f>
        <v>4</v>
      </c>
      <c r="AF73" s="25"/>
      <c r="AG73" s="13"/>
      <c r="AL73" s="116"/>
      <c r="AM73" s="123"/>
      <c r="AN73" s="123"/>
      <c r="AO73" s="123"/>
      <c r="AT73" s="115"/>
      <c r="AU73" s="115"/>
      <c r="AV73" s="115"/>
      <c r="AW73" s="115"/>
      <c r="AX73" s="115"/>
      <c r="AY73" s="115"/>
      <c r="AZ73" s="115"/>
      <c r="BA73" s="115"/>
      <c r="BB73" s="115"/>
      <c r="BC73" s="115"/>
      <c r="BD73" s="25"/>
      <c r="BE73" s="13"/>
      <c r="BH73" s="114"/>
    </row>
    <row r="74" spans="1:60" ht="20.100000000000001" customHeight="1" x14ac:dyDescent="0.4">
      <c r="A74" s="117"/>
      <c r="B74" s="123"/>
      <c r="C74" s="123"/>
      <c r="D74" s="123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25">
        <v>45873</v>
      </c>
      <c r="V74" s="15" t="s">
        <v>146</v>
      </c>
      <c r="AF74" s="25"/>
      <c r="AG74" s="13"/>
      <c r="AL74" s="116"/>
      <c r="AM74" s="123"/>
      <c r="AN74" s="123"/>
      <c r="AO74" s="123"/>
      <c r="AT74" s="115"/>
      <c r="AU74" s="115"/>
      <c r="AV74" s="115"/>
      <c r="AW74" s="115"/>
      <c r="AX74" s="115"/>
      <c r="AY74" s="115"/>
      <c r="AZ74" s="115"/>
      <c r="BA74" s="115"/>
      <c r="BB74" s="115"/>
      <c r="BC74" s="115"/>
      <c r="BD74" s="25"/>
      <c r="BE74" s="13"/>
      <c r="BH74" s="114"/>
    </row>
    <row r="75" spans="1:60" ht="20.100000000000001" customHeight="1" x14ac:dyDescent="0.4">
      <c r="A75" s="117"/>
      <c r="B75" s="123"/>
      <c r="C75" s="123"/>
      <c r="D75" s="123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25">
        <v>45873</v>
      </c>
      <c r="V75" s="13" t="s">
        <v>146</v>
      </c>
      <c r="AF75" s="25"/>
      <c r="AG75" s="13"/>
      <c r="AL75" s="116"/>
      <c r="AM75" s="123"/>
      <c r="AN75" s="123"/>
      <c r="AO75" s="123"/>
      <c r="AT75" s="115"/>
      <c r="AU75" s="115"/>
      <c r="AV75" s="115"/>
      <c r="AW75" s="115"/>
      <c r="AX75" s="115"/>
      <c r="AY75" s="115"/>
      <c r="AZ75" s="115"/>
      <c r="BA75" s="115"/>
      <c r="BB75" s="115"/>
      <c r="BC75" s="115"/>
      <c r="BD75" s="25"/>
      <c r="BE75" s="13"/>
      <c r="BH75" s="114"/>
    </row>
    <row r="76" spans="1:60" ht="20.100000000000001" customHeight="1" x14ac:dyDescent="0.4">
      <c r="A76" s="117"/>
      <c r="B76" s="123"/>
      <c r="C76" s="123"/>
      <c r="D76" s="123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25">
        <v>45873</v>
      </c>
      <c r="V76" s="13" t="s">
        <v>146</v>
      </c>
      <c r="AF76" s="25"/>
      <c r="AG76" s="13"/>
      <c r="AL76" s="116"/>
      <c r="AM76" s="123"/>
      <c r="AN76" s="123"/>
      <c r="AO76" s="123"/>
      <c r="AT76" s="115"/>
      <c r="AU76" s="115"/>
      <c r="AV76" s="115"/>
      <c r="AW76" s="115"/>
      <c r="AX76" s="115"/>
      <c r="AY76" s="115"/>
      <c r="AZ76" s="115"/>
      <c r="BA76" s="115"/>
      <c r="BB76" s="115"/>
      <c r="BC76" s="115"/>
      <c r="BD76" s="25"/>
      <c r="BE76" s="13"/>
      <c r="BH76" s="114"/>
    </row>
    <row r="77" spans="1:60" ht="20.100000000000001" customHeight="1" x14ac:dyDescent="0.4">
      <c r="A77" s="117"/>
      <c r="B77" s="123"/>
      <c r="C77" s="123"/>
      <c r="D77" s="123"/>
      <c r="F77" s="125"/>
      <c r="U77" s="25">
        <v>45873</v>
      </c>
      <c r="V77" s="13" t="s">
        <v>146</v>
      </c>
      <c r="AF77" s="25"/>
      <c r="AG77" s="13"/>
      <c r="AL77" s="116"/>
      <c r="AM77" s="123"/>
      <c r="AN77" s="123"/>
      <c r="AO77" s="123"/>
      <c r="AT77" s="115"/>
      <c r="AU77" s="115"/>
      <c r="AV77" s="115"/>
      <c r="AW77" s="115"/>
      <c r="AX77" s="115"/>
      <c r="AY77" s="115"/>
      <c r="AZ77" s="115"/>
      <c r="BA77" s="115"/>
      <c r="BB77" s="115"/>
      <c r="BC77" s="115"/>
      <c r="BD77" s="25"/>
      <c r="BE77" s="13"/>
      <c r="BH77" s="114"/>
    </row>
    <row r="78" spans="1:60" ht="20.100000000000001" customHeight="1" x14ac:dyDescent="0.4">
      <c r="A78" s="117"/>
      <c r="B78" s="123"/>
      <c r="C78" s="123"/>
      <c r="D78" s="123"/>
      <c r="F78" s="117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25">
        <v>45873</v>
      </c>
      <c r="V78" s="13" t="s">
        <v>146</v>
      </c>
      <c r="AF78" s="25"/>
      <c r="AG78" s="13"/>
      <c r="AL78" s="116"/>
      <c r="AM78" s="123"/>
      <c r="AN78" s="123"/>
      <c r="AO78" s="123"/>
      <c r="AT78" s="115"/>
      <c r="AU78" s="115"/>
      <c r="AV78" s="115"/>
      <c r="AW78" s="115"/>
      <c r="AX78" s="115"/>
      <c r="AY78" s="115"/>
      <c r="AZ78" s="115"/>
      <c r="BA78" s="115"/>
      <c r="BB78" s="115"/>
      <c r="BC78" s="115"/>
      <c r="BD78" s="25"/>
      <c r="BE78" s="13"/>
      <c r="BH78" s="114"/>
    </row>
    <row r="79" spans="1:60" ht="20.100000000000001" customHeight="1" x14ac:dyDescent="0.4">
      <c r="A79" s="117"/>
      <c r="B79" s="123"/>
      <c r="C79" s="123"/>
      <c r="D79" s="123"/>
      <c r="F79" s="117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25">
        <v>45873</v>
      </c>
      <c r="V79" s="13" t="s">
        <v>146</v>
      </c>
      <c r="AF79" s="25"/>
      <c r="AG79" s="13"/>
      <c r="AL79" s="116"/>
      <c r="AM79" s="123"/>
      <c r="AN79" s="123"/>
      <c r="AO79" s="123"/>
      <c r="AT79" s="115"/>
      <c r="AU79" s="115"/>
      <c r="AV79" s="115"/>
      <c r="AW79" s="115"/>
      <c r="AX79" s="115"/>
      <c r="AY79" s="115"/>
      <c r="AZ79" s="115"/>
      <c r="BA79" s="115"/>
      <c r="BB79" s="115"/>
      <c r="BC79" s="115"/>
      <c r="BD79" s="25"/>
      <c r="BE79" s="13"/>
      <c r="BH79" s="114"/>
    </row>
    <row r="80" spans="1:60" ht="20.100000000000001" customHeight="1" x14ac:dyDescent="0.4">
      <c r="A80" s="117"/>
      <c r="B80" s="123"/>
      <c r="C80" s="123"/>
      <c r="D80" s="123"/>
      <c r="F80" s="117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25">
        <v>45873</v>
      </c>
      <c r="V80" s="13" t="s">
        <v>147</v>
      </c>
      <c r="AF80" s="25"/>
      <c r="AG80" s="13"/>
      <c r="AL80" s="116"/>
      <c r="AM80" s="123"/>
      <c r="AN80" s="123"/>
      <c r="AO80" s="123"/>
      <c r="AT80" s="115"/>
      <c r="AU80" s="115"/>
      <c r="AV80" s="115"/>
      <c r="AW80" s="115"/>
      <c r="AX80" s="115"/>
      <c r="AY80" s="115"/>
      <c r="AZ80" s="115"/>
      <c r="BA80" s="115"/>
      <c r="BB80" s="115"/>
      <c r="BC80" s="115"/>
      <c r="BD80" s="25"/>
      <c r="BE80" s="13"/>
      <c r="BH80" s="114"/>
    </row>
    <row r="81" spans="1:60" ht="20.100000000000001" customHeight="1" x14ac:dyDescent="0.4">
      <c r="A81" s="117"/>
      <c r="B81" s="123"/>
      <c r="C81" s="123"/>
      <c r="D81" s="123"/>
      <c r="F81" s="117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25">
        <v>45873</v>
      </c>
      <c r="V81" s="13" t="s">
        <v>146</v>
      </c>
      <c r="AF81" s="25"/>
      <c r="AG81" s="13"/>
      <c r="AL81" s="116"/>
      <c r="AM81" s="123"/>
      <c r="AN81" s="123"/>
      <c r="AO81" s="123"/>
      <c r="AT81" s="115"/>
      <c r="AU81" s="115"/>
      <c r="AV81" s="115"/>
      <c r="AW81" s="115"/>
      <c r="AX81" s="115"/>
      <c r="AY81" s="115"/>
      <c r="AZ81" s="115"/>
      <c r="BA81" s="115"/>
      <c r="BB81" s="115"/>
      <c r="BC81" s="115"/>
      <c r="BD81" s="25"/>
      <c r="BE81" s="13"/>
      <c r="BH81" s="114"/>
    </row>
    <row r="82" spans="1:60" ht="20.100000000000001" customHeight="1" x14ac:dyDescent="0.4">
      <c r="A82" s="117"/>
      <c r="B82" s="123"/>
      <c r="C82" s="123"/>
      <c r="D82" s="123"/>
      <c r="F82" s="117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25">
        <v>45873</v>
      </c>
      <c r="V82" s="13" t="s">
        <v>146</v>
      </c>
      <c r="AF82" s="25"/>
      <c r="AG82" s="13"/>
      <c r="AL82" s="116"/>
      <c r="AM82" s="123"/>
      <c r="AN82" s="123"/>
      <c r="AO82" s="123"/>
      <c r="AT82" s="115"/>
      <c r="AU82" s="115"/>
      <c r="AV82" s="115"/>
      <c r="AW82" s="115"/>
      <c r="AX82" s="115"/>
      <c r="AY82" s="115"/>
      <c r="AZ82" s="115"/>
      <c r="BA82" s="115"/>
      <c r="BB82" s="115"/>
      <c r="BC82" s="115"/>
      <c r="BD82" s="25"/>
      <c r="BE82" s="13"/>
      <c r="BH82" s="114"/>
    </row>
    <row r="83" spans="1:60" ht="20.100000000000001" customHeight="1" x14ac:dyDescent="0.4">
      <c r="A83" s="117"/>
      <c r="B83" s="123"/>
      <c r="C83" s="123"/>
      <c r="D83" s="123"/>
      <c r="F83" s="117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25">
        <v>45873</v>
      </c>
      <c r="V83" s="13" t="s">
        <v>146</v>
      </c>
      <c r="AF83" s="25"/>
      <c r="AG83" s="13"/>
      <c r="AL83" s="116"/>
      <c r="AM83" s="123"/>
      <c r="AN83" s="123"/>
      <c r="AO83" s="123"/>
      <c r="AT83" s="115"/>
      <c r="AU83" s="115"/>
      <c r="AV83" s="115"/>
      <c r="AW83" s="115"/>
      <c r="AX83" s="115"/>
      <c r="AY83" s="115"/>
      <c r="AZ83" s="115"/>
      <c r="BA83" s="115"/>
      <c r="BB83" s="115"/>
      <c r="BC83" s="115"/>
      <c r="BD83" s="25"/>
      <c r="BE83" s="13"/>
      <c r="BH83" s="114"/>
    </row>
    <row r="84" spans="1:60" ht="20.100000000000001" customHeight="1" x14ac:dyDescent="0.4">
      <c r="A84" s="117"/>
      <c r="B84" s="123"/>
      <c r="C84" s="123"/>
      <c r="D84" s="123"/>
      <c r="F84" s="117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25">
        <v>45873</v>
      </c>
      <c r="V84" s="13" t="s">
        <v>146</v>
      </c>
      <c r="AF84" s="25"/>
      <c r="AG84" s="13"/>
      <c r="AL84" s="116"/>
      <c r="AM84" s="123"/>
      <c r="AN84" s="123"/>
      <c r="AO84" s="123"/>
      <c r="AT84" s="115"/>
      <c r="AU84" s="115"/>
      <c r="AV84" s="115"/>
      <c r="AW84" s="115"/>
      <c r="AX84" s="115"/>
      <c r="AY84" s="115"/>
      <c r="AZ84" s="115"/>
      <c r="BA84" s="115"/>
      <c r="BB84" s="115"/>
      <c r="BC84" s="115"/>
      <c r="BD84" s="25"/>
      <c r="BE84" s="13"/>
      <c r="BH84" s="114"/>
    </row>
    <row r="85" spans="1:60" ht="20.100000000000001" customHeight="1" x14ac:dyDescent="0.4">
      <c r="A85" s="117"/>
      <c r="B85" s="123"/>
      <c r="C85" s="123"/>
      <c r="D85" s="123"/>
      <c r="F85" s="117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25">
        <v>45873</v>
      </c>
      <c r="V85" s="13" t="s">
        <v>146</v>
      </c>
      <c r="AF85" s="25"/>
      <c r="AG85" s="13"/>
      <c r="AL85" s="116"/>
      <c r="AM85" s="123"/>
      <c r="AN85" s="123"/>
      <c r="AO85" s="123"/>
      <c r="AT85" s="115"/>
      <c r="AU85" s="115"/>
      <c r="AV85" s="115"/>
      <c r="AW85" s="115"/>
      <c r="AX85" s="115"/>
      <c r="AY85" s="115"/>
      <c r="AZ85" s="115"/>
      <c r="BA85" s="115"/>
      <c r="BB85" s="115"/>
      <c r="BC85" s="115"/>
      <c r="BD85" s="25"/>
      <c r="BE85" s="13"/>
      <c r="BH85" s="114"/>
    </row>
    <row r="86" spans="1:60" ht="20.100000000000001" customHeight="1" x14ac:dyDescent="0.4">
      <c r="A86" s="117"/>
      <c r="B86" s="123"/>
      <c r="C86" s="123"/>
      <c r="D86" s="123"/>
      <c r="F86" s="117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25">
        <v>45873</v>
      </c>
      <c r="V86" s="13" t="s">
        <v>146</v>
      </c>
      <c r="AF86" s="25"/>
      <c r="AG86" s="13"/>
      <c r="AL86" s="116"/>
      <c r="AM86" s="123"/>
      <c r="AN86" s="123"/>
      <c r="AO86" s="123"/>
      <c r="AT86" s="115"/>
      <c r="AU86" s="115"/>
      <c r="AV86" s="115"/>
      <c r="AW86" s="115"/>
      <c r="AX86" s="115"/>
      <c r="AY86" s="115"/>
      <c r="AZ86" s="115"/>
      <c r="BA86" s="115"/>
      <c r="BB86" s="115"/>
      <c r="BC86" s="115"/>
      <c r="BD86" s="25"/>
      <c r="BE86" s="13"/>
      <c r="BH86" s="114"/>
    </row>
    <row r="87" spans="1:60" ht="20.100000000000001" customHeight="1" x14ac:dyDescent="0.4">
      <c r="A87" s="117"/>
      <c r="B87" s="123"/>
      <c r="C87" s="123"/>
      <c r="D87" s="123"/>
      <c r="F87" s="117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25">
        <v>45873</v>
      </c>
      <c r="V87" s="13" t="s">
        <v>147</v>
      </c>
      <c r="AF87" s="25"/>
      <c r="AG87" s="13"/>
      <c r="AL87" s="116"/>
      <c r="AM87" s="123"/>
      <c r="AN87" s="123"/>
      <c r="AO87" s="123"/>
      <c r="AT87" s="115"/>
      <c r="AU87" s="115"/>
      <c r="AV87" s="115"/>
      <c r="AW87" s="115"/>
      <c r="AX87" s="115"/>
      <c r="AY87" s="115"/>
      <c r="AZ87" s="115"/>
      <c r="BA87" s="115"/>
      <c r="BB87" s="115"/>
      <c r="BC87" s="115"/>
      <c r="BD87" s="25"/>
      <c r="BE87" s="13"/>
      <c r="BH87" s="114"/>
    </row>
    <row r="88" spans="1:60" ht="20.100000000000001" customHeight="1" x14ac:dyDescent="0.4">
      <c r="A88" s="117"/>
      <c r="B88" s="123"/>
      <c r="C88" s="123"/>
      <c r="D88" s="123"/>
      <c r="F88" s="117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25">
        <v>45873</v>
      </c>
      <c r="V88" s="13" t="s">
        <v>146</v>
      </c>
      <c r="AF88" s="25"/>
      <c r="AG88" s="13"/>
      <c r="AL88" s="116"/>
      <c r="AM88" s="123"/>
      <c r="AN88" s="123"/>
      <c r="AO88" s="123"/>
      <c r="AT88" s="115"/>
      <c r="AU88" s="115"/>
      <c r="AV88" s="115"/>
      <c r="AW88" s="115"/>
      <c r="AX88" s="115"/>
      <c r="AY88" s="115"/>
      <c r="AZ88" s="115"/>
      <c r="BA88" s="115"/>
      <c r="BB88" s="115"/>
      <c r="BC88" s="115"/>
      <c r="BD88" s="25"/>
      <c r="BE88" s="13"/>
      <c r="BH88" s="114"/>
    </row>
    <row r="89" spans="1:60" ht="20.100000000000001" customHeight="1" x14ac:dyDescent="0.4">
      <c r="A89" s="117"/>
      <c r="B89" s="123"/>
      <c r="C89" s="123"/>
      <c r="D89" s="123"/>
      <c r="F89" s="117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25">
        <v>45873</v>
      </c>
      <c r="V89" s="13" t="s">
        <v>146</v>
      </c>
      <c r="AF89" s="25"/>
      <c r="AG89" s="13"/>
      <c r="AL89" s="116"/>
      <c r="AM89" s="123"/>
      <c r="AN89" s="123"/>
      <c r="AO89" s="123"/>
      <c r="AT89" s="115"/>
      <c r="AU89" s="115"/>
      <c r="AV89" s="115"/>
      <c r="AW89" s="115"/>
      <c r="AX89" s="115"/>
      <c r="AY89" s="115"/>
      <c r="AZ89" s="115"/>
      <c r="BA89" s="115"/>
      <c r="BB89" s="115"/>
      <c r="BC89" s="115"/>
      <c r="BD89" s="25"/>
      <c r="BE89" s="13"/>
      <c r="BH89" s="114"/>
    </row>
    <row r="90" spans="1:60" ht="20.100000000000001" customHeight="1" x14ac:dyDescent="0.4">
      <c r="A90" s="117"/>
      <c r="B90" s="123"/>
      <c r="C90" s="123"/>
      <c r="D90" s="123"/>
      <c r="F90" s="117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25">
        <v>45873</v>
      </c>
      <c r="V90" s="13" t="s">
        <v>146</v>
      </c>
      <c r="AF90" s="25"/>
      <c r="AG90" s="13"/>
      <c r="AL90" s="116"/>
      <c r="AM90" s="123"/>
      <c r="AN90" s="123"/>
      <c r="AO90" s="123"/>
      <c r="AT90" s="115"/>
      <c r="AU90" s="115"/>
      <c r="AV90" s="115"/>
      <c r="AW90" s="115"/>
      <c r="AX90" s="115"/>
      <c r="AY90" s="115"/>
      <c r="AZ90" s="115"/>
      <c r="BA90" s="115"/>
      <c r="BB90" s="115"/>
      <c r="BC90" s="115"/>
      <c r="BD90" s="25"/>
      <c r="BE90" s="13"/>
      <c r="BH90" s="114"/>
    </row>
    <row r="91" spans="1:60" ht="20.100000000000001" customHeight="1" x14ac:dyDescent="0.4">
      <c r="A91" s="117"/>
      <c r="B91" s="123"/>
      <c r="C91" s="123"/>
      <c r="D91" s="123"/>
      <c r="F91" s="117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26">
        <v>45873</v>
      </c>
      <c r="V91" s="13" t="s">
        <v>146</v>
      </c>
      <c r="AF91" s="25"/>
      <c r="AG91" s="13"/>
      <c r="AL91" s="116"/>
      <c r="AM91" s="123"/>
      <c r="AN91" s="123"/>
      <c r="AO91" s="123"/>
      <c r="AT91" s="115"/>
      <c r="AU91" s="115"/>
      <c r="AV91" s="115"/>
      <c r="AW91" s="115"/>
      <c r="AX91" s="115"/>
      <c r="AY91" s="115"/>
      <c r="AZ91" s="115"/>
      <c r="BA91" s="115"/>
      <c r="BB91" s="115"/>
      <c r="BC91" s="115"/>
      <c r="BD91" s="25"/>
      <c r="BE91" s="13"/>
      <c r="BH91" s="114"/>
    </row>
    <row r="92" spans="1:60" ht="20.100000000000001" customHeight="1" x14ac:dyDescent="0.4">
      <c r="A92" s="117"/>
      <c r="B92" s="123"/>
      <c r="C92" s="123"/>
      <c r="D92" s="123"/>
      <c r="F92" s="117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26">
        <v>45873</v>
      </c>
      <c r="V92" s="13" t="s">
        <v>146</v>
      </c>
      <c r="AF92" s="25"/>
      <c r="AG92" s="13"/>
      <c r="AL92" s="116"/>
      <c r="AM92" s="123"/>
      <c r="AN92" s="123"/>
      <c r="AO92" s="123"/>
      <c r="AT92" s="115"/>
      <c r="AU92" s="115"/>
      <c r="AV92" s="115"/>
      <c r="AW92" s="115"/>
      <c r="AX92" s="115"/>
      <c r="AY92" s="115"/>
      <c r="AZ92" s="115"/>
      <c r="BA92" s="115"/>
      <c r="BB92" s="115"/>
      <c r="BC92" s="115"/>
      <c r="BD92" s="25"/>
      <c r="BE92" s="13"/>
      <c r="BH92" s="114"/>
    </row>
    <row r="93" spans="1:60" ht="20.100000000000001" customHeight="1" x14ac:dyDescent="0.4">
      <c r="A93" s="117"/>
      <c r="B93" s="123"/>
      <c r="C93" s="123"/>
      <c r="D93" s="123"/>
      <c r="F93" s="117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26">
        <v>45873</v>
      </c>
      <c r="V93" s="13" t="s">
        <v>146</v>
      </c>
      <c r="AF93" s="25"/>
      <c r="AG93" s="13"/>
      <c r="AL93" s="116"/>
      <c r="AM93" s="123"/>
      <c r="AN93" s="123"/>
      <c r="AO93" s="123"/>
      <c r="AT93" s="115"/>
      <c r="AU93" s="115"/>
      <c r="AV93" s="115"/>
      <c r="AW93" s="115"/>
      <c r="AX93" s="115"/>
      <c r="AY93" s="115"/>
      <c r="AZ93" s="115"/>
      <c r="BA93" s="115"/>
      <c r="BB93" s="115"/>
      <c r="BC93" s="115"/>
      <c r="BD93" s="25"/>
      <c r="BE93" s="13"/>
      <c r="BH93" s="114"/>
    </row>
    <row r="94" spans="1:60" ht="20.100000000000001" customHeight="1" x14ac:dyDescent="0.4">
      <c r="A94" s="117"/>
      <c r="B94" s="123"/>
      <c r="C94" s="123"/>
      <c r="D94" s="123"/>
      <c r="F94" s="117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26">
        <v>45873</v>
      </c>
      <c r="V94" s="13" t="s">
        <v>146</v>
      </c>
      <c r="AF94" s="25"/>
      <c r="AG94" s="13"/>
      <c r="AL94" s="116"/>
      <c r="AM94" s="123"/>
      <c r="AN94" s="123"/>
      <c r="AO94" s="123"/>
      <c r="AT94" s="115"/>
      <c r="AU94" s="115"/>
      <c r="AV94" s="115"/>
      <c r="AW94" s="115"/>
      <c r="AX94" s="115"/>
      <c r="AY94" s="115"/>
      <c r="AZ94" s="115"/>
      <c r="BA94" s="115"/>
      <c r="BB94" s="115"/>
      <c r="BC94" s="115"/>
      <c r="BD94" s="25"/>
      <c r="BE94" s="13"/>
      <c r="BH94" s="114"/>
    </row>
    <row r="95" spans="1:60" ht="20.100000000000001" customHeight="1" x14ac:dyDescent="0.4">
      <c r="A95" s="117"/>
      <c r="B95" s="123"/>
      <c r="C95" s="123"/>
      <c r="D95" s="123"/>
      <c r="F95" s="12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26">
        <v>45873</v>
      </c>
      <c r="V95" s="13" t="s">
        <v>146</v>
      </c>
      <c r="AF95" s="25"/>
      <c r="AG95" s="13"/>
      <c r="AL95" s="116"/>
      <c r="AM95" s="123"/>
      <c r="AN95" s="123"/>
      <c r="AO95" s="123"/>
      <c r="AT95" s="115"/>
      <c r="AU95" s="115"/>
      <c r="AV95" s="115"/>
      <c r="AW95" s="115"/>
      <c r="AX95" s="115"/>
      <c r="AY95" s="115"/>
      <c r="AZ95" s="115"/>
      <c r="BA95" s="115"/>
      <c r="BB95" s="115"/>
      <c r="BC95" s="115"/>
      <c r="BD95" s="25"/>
      <c r="BE95" s="13"/>
      <c r="BH95" s="114"/>
    </row>
    <row r="96" spans="1:60" ht="20.100000000000001" customHeight="1" x14ac:dyDescent="0.4">
      <c r="A96" s="117"/>
      <c r="B96" s="123"/>
      <c r="C96" s="123"/>
      <c r="D96" s="123"/>
      <c r="F96" s="12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26">
        <v>45873</v>
      </c>
      <c r="V96" s="13" t="s">
        <v>146</v>
      </c>
      <c r="AF96" s="25"/>
      <c r="AG96" s="13"/>
      <c r="AL96" s="116"/>
      <c r="AM96" s="123"/>
      <c r="AN96" s="123"/>
      <c r="AO96" s="123"/>
      <c r="AT96" s="115"/>
      <c r="AU96" s="115"/>
      <c r="AV96" s="115"/>
      <c r="AW96" s="115"/>
      <c r="AX96" s="115"/>
      <c r="AY96" s="115"/>
      <c r="AZ96" s="115"/>
      <c r="BA96" s="115"/>
      <c r="BB96" s="115"/>
      <c r="BC96" s="115"/>
      <c r="BD96" s="25"/>
      <c r="BE96" s="13"/>
      <c r="BH96" s="114"/>
    </row>
    <row r="97" spans="1:60" ht="20.100000000000001" customHeight="1" x14ac:dyDescent="0.4">
      <c r="A97" s="117"/>
      <c r="B97" s="123"/>
      <c r="C97" s="123"/>
      <c r="D97" s="123"/>
      <c r="F97" s="12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26">
        <v>45873</v>
      </c>
      <c r="V97" s="13" t="s">
        <v>146</v>
      </c>
      <c r="AF97" s="25"/>
      <c r="AG97" s="13"/>
      <c r="AL97" s="116"/>
      <c r="AM97" s="123"/>
      <c r="AN97" s="123"/>
      <c r="AO97" s="123"/>
      <c r="AT97" s="115"/>
      <c r="AU97" s="115"/>
      <c r="AV97" s="115"/>
      <c r="AW97" s="115"/>
      <c r="AX97" s="115"/>
      <c r="AY97" s="115"/>
      <c r="AZ97" s="115"/>
      <c r="BA97" s="115"/>
      <c r="BB97" s="115"/>
      <c r="BC97" s="115"/>
      <c r="BD97" s="25"/>
      <c r="BE97" s="13"/>
      <c r="BH97" s="114"/>
    </row>
    <row r="98" spans="1:60" ht="20.100000000000001" customHeight="1" x14ac:dyDescent="0.4">
      <c r="A98" s="117"/>
      <c r="B98" s="123"/>
      <c r="C98" s="123"/>
      <c r="D98" s="123"/>
      <c r="F98" s="12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25">
        <v>45873</v>
      </c>
      <c r="V98" s="13" t="s">
        <v>146</v>
      </c>
      <c r="AF98" s="25"/>
      <c r="AG98" s="13"/>
      <c r="AL98" s="116"/>
      <c r="AM98" s="123"/>
      <c r="AN98" s="123"/>
      <c r="AO98" s="123"/>
      <c r="AT98" s="115"/>
      <c r="AU98" s="115"/>
      <c r="AV98" s="115"/>
      <c r="AW98" s="115"/>
      <c r="AX98" s="115"/>
      <c r="AY98" s="115"/>
      <c r="AZ98" s="115"/>
      <c r="BA98" s="115"/>
      <c r="BB98" s="115"/>
      <c r="BC98" s="115"/>
      <c r="BD98" s="25"/>
      <c r="BE98" s="13"/>
      <c r="BH98" s="114"/>
    </row>
    <row r="99" spans="1:60" ht="20.100000000000001" customHeight="1" x14ac:dyDescent="0.4">
      <c r="A99" s="117"/>
      <c r="B99" s="123"/>
      <c r="C99" s="123"/>
      <c r="D99" s="123"/>
      <c r="F99" s="12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25">
        <v>45873</v>
      </c>
      <c r="V99" s="13" t="s">
        <v>146</v>
      </c>
      <c r="AF99" s="25"/>
      <c r="AG99" s="13"/>
      <c r="AL99" s="116"/>
      <c r="AM99" s="123"/>
      <c r="AN99" s="123"/>
      <c r="AO99" s="123"/>
      <c r="AT99" s="115"/>
      <c r="AU99" s="115"/>
      <c r="AV99" s="115"/>
      <c r="AW99" s="115"/>
      <c r="AX99" s="115"/>
      <c r="AY99" s="115"/>
      <c r="AZ99" s="115"/>
      <c r="BA99" s="115"/>
      <c r="BB99" s="115"/>
      <c r="BC99" s="115"/>
      <c r="BD99" s="25"/>
      <c r="BE99" s="13"/>
      <c r="BH99" s="114"/>
    </row>
    <row r="100" spans="1:60" ht="20.100000000000001" customHeight="1" x14ac:dyDescent="0.4">
      <c r="A100" s="117"/>
      <c r="B100" s="123"/>
      <c r="C100" s="123"/>
      <c r="D100" s="123"/>
      <c r="F100" s="12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25">
        <v>45873</v>
      </c>
      <c r="V100" s="13" t="s">
        <v>146</v>
      </c>
      <c r="AF100" s="25"/>
      <c r="AG100" s="13"/>
      <c r="AL100" s="116"/>
      <c r="AM100" s="123"/>
      <c r="AN100" s="123"/>
      <c r="AO100" s="123"/>
      <c r="AT100" s="115"/>
      <c r="AU100" s="115"/>
      <c r="AV100" s="115"/>
      <c r="AW100" s="115"/>
      <c r="AX100" s="115"/>
      <c r="AY100" s="115"/>
      <c r="AZ100" s="115"/>
      <c r="BA100" s="115"/>
      <c r="BB100" s="115"/>
      <c r="BC100" s="115"/>
      <c r="BD100" s="25"/>
      <c r="BE100" s="13"/>
      <c r="BH100" s="114"/>
    </row>
    <row r="101" spans="1:60" ht="20.100000000000001" customHeight="1" x14ac:dyDescent="0.4">
      <c r="A101" s="117"/>
      <c r="B101" s="123"/>
      <c r="C101" s="123"/>
      <c r="D101" s="123"/>
      <c r="F101" s="12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25">
        <v>45873</v>
      </c>
      <c r="V101" s="13" t="s">
        <v>146</v>
      </c>
      <c r="AF101" s="25"/>
      <c r="AG101" s="13"/>
      <c r="AL101" s="116"/>
      <c r="AM101" s="123"/>
      <c r="AN101" s="123"/>
      <c r="AO101" s="123"/>
      <c r="AT101" s="115"/>
      <c r="AU101" s="115"/>
      <c r="AV101" s="115"/>
      <c r="AW101" s="115"/>
      <c r="AX101" s="115"/>
      <c r="AY101" s="115"/>
      <c r="AZ101" s="115"/>
      <c r="BA101" s="115"/>
      <c r="BB101" s="115"/>
      <c r="BC101" s="115"/>
      <c r="BD101" s="25"/>
      <c r="BE101" s="13"/>
      <c r="BH101" s="114"/>
    </row>
    <row r="102" spans="1:60" ht="20.100000000000001" customHeight="1" x14ac:dyDescent="0.4">
      <c r="A102" s="117"/>
      <c r="B102" s="123"/>
      <c r="C102" s="123"/>
      <c r="D102" s="123"/>
      <c r="F102" s="12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 t="s">
        <v>378</v>
      </c>
      <c r="U102" s="13">
        <f>SUBTOTAL(3,U74:U101)</f>
        <v>28</v>
      </c>
      <c r="V102" s="13">
        <f>SUBTOTAL(3,V74:V101)</f>
        <v>28</v>
      </c>
      <c r="AF102" s="25"/>
      <c r="AG102" s="13"/>
      <c r="AL102" s="116"/>
      <c r="AM102" s="123"/>
      <c r="AN102" s="123"/>
      <c r="AO102" s="123"/>
      <c r="AT102" s="115"/>
      <c r="AU102" s="115"/>
      <c r="AV102" s="115"/>
      <c r="AW102" s="115"/>
      <c r="AX102" s="115"/>
      <c r="AY102" s="115"/>
      <c r="AZ102" s="115"/>
      <c r="BA102" s="115"/>
      <c r="BB102" s="115"/>
      <c r="BC102" s="115"/>
      <c r="BD102" s="25"/>
      <c r="BE102" s="13"/>
      <c r="BH102" s="114"/>
    </row>
    <row r="103" spans="1:60" ht="20.100000000000001" customHeight="1" x14ac:dyDescent="0.4">
      <c r="A103" s="117"/>
      <c r="B103" s="123"/>
      <c r="C103" s="123"/>
      <c r="D103" s="123"/>
      <c r="F103" s="12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25">
        <v>45874</v>
      </c>
      <c r="V103" s="13" t="s">
        <v>146</v>
      </c>
      <c r="AF103" s="25"/>
      <c r="AG103" s="13"/>
      <c r="AL103" s="116"/>
      <c r="AM103" s="123"/>
      <c r="AN103" s="123"/>
      <c r="AO103" s="123"/>
      <c r="AT103" s="115"/>
      <c r="AU103" s="115"/>
      <c r="AV103" s="115"/>
      <c r="AW103" s="115"/>
      <c r="AX103" s="115"/>
      <c r="AY103" s="115"/>
      <c r="AZ103" s="115"/>
      <c r="BA103" s="115"/>
      <c r="BB103" s="115"/>
      <c r="BC103" s="115"/>
      <c r="BD103" s="25"/>
      <c r="BE103" s="13"/>
      <c r="BH103" s="114"/>
    </row>
    <row r="104" spans="1:60" ht="20.100000000000001" customHeight="1" x14ac:dyDescent="0.4">
      <c r="A104" s="117"/>
      <c r="B104" s="123"/>
      <c r="C104" s="123"/>
      <c r="D104" s="123"/>
      <c r="F104" s="12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25">
        <v>45874</v>
      </c>
      <c r="V104" s="13" t="s">
        <v>148</v>
      </c>
      <c r="AF104" s="25"/>
      <c r="AG104" s="13"/>
      <c r="AL104" s="116"/>
      <c r="AM104" s="123"/>
      <c r="AN104" s="123"/>
      <c r="AO104" s="123"/>
      <c r="AT104" s="115"/>
      <c r="AU104" s="115"/>
      <c r="AV104" s="115"/>
      <c r="AW104" s="115"/>
      <c r="AX104" s="115"/>
      <c r="AY104" s="115"/>
      <c r="AZ104" s="115"/>
      <c r="BA104" s="115"/>
      <c r="BB104" s="115"/>
      <c r="BC104" s="115"/>
      <c r="BD104" s="25"/>
      <c r="BE104" s="13"/>
      <c r="BH104" s="114"/>
    </row>
    <row r="105" spans="1:60" ht="20.100000000000001" customHeight="1" x14ac:dyDescent="0.4">
      <c r="A105" s="117"/>
      <c r="B105" s="123"/>
      <c r="C105" s="123"/>
      <c r="D105" s="123"/>
      <c r="F105" s="12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25">
        <v>45874</v>
      </c>
      <c r="V105" s="13" t="s">
        <v>147</v>
      </c>
      <c r="AF105" s="25"/>
      <c r="AG105" s="13"/>
      <c r="AL105" s="116"/>
      <c r="AM105" s="123"/>
      <c r="AN105" s="123"/>
      <c r="AO105" s="123"/>
      <c r="AT105" s="115"/>
      <c r="AU105" s="115"/>
      <c r="AV105" s="115"/>
      <c r="AW105" s="115"/>
      <c r="AX105" s="115"/>
      <c r="AY105" s="115"/>
      <c r="AZ105" s="115"/>
      <c r="BA105" s="115"/>
      <c r="BB105" s="115"/>
      <c r="BC105" s="115"/>
      <c r="BD105" s="25"/>
      <c r="BE105" s="13"/>
      <c r="BH105" s="114"/>
    </row>
    <row r="106" spans="1:60" ht="20.100000000000001" customHeight="1" x14ac:dyDescent="0.4">
      <c r="A106" s="117"/>
      <c r="B106" s="123"/>
      <c r="C106" s="123"/>
      <c r="D106" s="123"/>
      <c r="F106" s="12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25">
        <v>45874</v>
      </c>
      <c r="V106" s="13" t="s">
        <v>146</v>
      </c>
      <c r="AF106" s="25"/>
      <c r="AG106" s="13"/>
      <c r="AL106" s="116"/>
      <c r="AM106" s="123"/>
      <c r="AN106" s="123"/>
      <c r="AO106" s="123"/>
      <c r="AT106" s="115"/>
      <c r="AU106" s="115"/>
      <c r="AV106" s="115"/>
      <c r="AW106" s="115"/>
      <c r="AX106" s="115"/>
      <c r="AY106" s="115"/>
      <c r="AZ106" s="115"/>
      <c r="BA106" s="115"/>
      <c r="BB106" s="115"/>
      <c r="BC106" s="115"/>
      <c r="BD106" s="25"/>
      <c r="BE106" s="13"/>
      <c r="BH106" s="114"/>
    </row>
    <row r="107" spans="1:60" ht="20.100000000000001" customHeight="1" x14ac:dyDescent="0.4">
      <c r="A107" s="117"/>
      <c r="B107" s="123"/>
      <c r="C107" s="123"/>
      <c r="D107" s="123"/>
      <c r="F107" s="12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25">
        <v>45874</v>
      </c>
      <c r="V107" s="15" t="s">
        <v>146</v>
      </c>
      <c r="AF107" s="25"/>
      <c r="AG107" s="13"/>
      <c r="AL107" s="116"/>
      <c r="AM107" s="123"/>
      <c r="AN107" s="123"/>
      <c r="AO107" s="123"/>
      <c r="AT107" s="115"/>
      <c r="AU107" s="115"/>
      <c r="AV107" s="115"/>
      <c r="AW107" s="115"/>
      <c r="AX107" s="115"/>
      <c r="AY107" s="115"/>
      <c r="AZ107" s="115"/>
      <c r="BA107" s="115"/>
      <c r="BB107" s="115"/>
      <c r="BC107" s="115"/>
      <c r="BD107" s="25"/>
      <c r="BE107" s="13"/>
      <c r="BH107" s="114"/>
    </row>
    <row r="108" spans="1:60" ht="20.100000000000001" customHeight="1" x14ac:dyDescent="0.4">
      <c r="A108" s="117"/>
      <c r="B108" s="123"/>
      <c r="C108" s="123"/>
      <c r="D108" s="123"/>
      <c r="F108" s="12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25">
        <v>45874</v>
      </c>
      <c r="V108" s="15" t="s">
        <v>146</v>
      </c>
      <c r="AF108" s="25"/>
      <c r="AG108" s="13"/>
      <c r="AL108" s="116"/>
      <c r="AM108" s="123"/>
      <c r="AN108" s="123"/>
      <c r="AO108" s="123"/>
      <c r="AT108" s="115"/>
      <c r="AU108" s="115"/>
      <c r="AV108" s="115"/>
      <c r="AW108" s="115"/>
      <c r="AX108" s="115"/>
      <c r="AY108" s="115"/>
      <c r="AZ108" s="115"/>
      <c r="BA108" s="115"/>
      <c r="BB108" s="115"/>
      <c r="BC108" s="115"/>
      <c r="BD108" s="25"/>
      <c r="BE108" s="13"/>
      <c r="BH108" s="114"/>
    </row>
    <row r="109" spans="1:60" ht="20.100000000000001" customHeight="1" x14ac:dyDescent="0.4">
      <c r="A109" s="117"/>
      <c r="B109" s="123"/>
      <c r="C109" s="123"/>
      <c r="D109" s="123"/>
      <c r="F109" s="12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25">
        <v>45874</v>
      </c>
      <c r="V109" s="15" t="s">
        <v>146</v>
      </c>
      <c r="AF109" s="25"/>
      <c r="AG109" s="13"/>
      <c r="AL109" s="116"/>
      <c r="AM109" s="123"/>
      <c r="AN109" s="123"/>
      <c r="AO109" s="123"/>
      <c r="AT109" s="115"/>
      <c r="AU109" s="115"/>
      <c r="AV109" s="115"/>
      <c r="AW109" s="115"/>
      <c r="AX109" s="115"/>
      <c r="AY109" s="115"/>
      <c r="AZ109" s="115"/>
      <c r="BA109" s="115"/>
      <c r="BB109" s="115"/>
      <c r="BC109" s="115"/>
      <c r="BD109" s="25"/>
      <c r="BE109" s="13"/>
      <c r="BH109" s="114"/>
    </row>
    <row r="110" spans="1:60" ht="20.100000000000001" customHeight="1" x14ac:dyDescent="0.4">
      <c r="A110" s="117"/>
      <c r="B110" s="123"/>
      <c r="C110" s="123"/>
      <c r="D110" s="123"/>
      <c r="F110" s="12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25">
        <v>45874</v>
      </c>
      <c r="V110" s="13" t="s">
        <v>146</v>
      </c>
      <c r="AF110" s="25"/>
      <c r="AG110" s="13"/>
      <c r="AL110" s="116"/>
      <c r="AM110" s="123"/>
      <c r="AN110" s="123"/>
      <c r="AO110" s="123"/>
      <c r="AT110" s="115"/>
      <c r="AU110" s="115"/>
      <c r="AV110" s="115"/>
      <c r="AW110" s="115"/>
      <c r="AX110" s="115"/>
      <c r="AY110" s="115"/>
      <c r="AZ110" s="115"/>
      <c r="BA110" s="115"/>
      <c r="BB110" s="115"/>
      <c r="BC110" s="115"/>
      <c r="BD110" s="25"/>
      <c r="BE110" s="13"/>
      <c r="BH110" s="114"/>
    </row>
    <row r="111" spans="1:60" ht="20.100000000000001" customHeight="1" x14ac:dyDescent="0.4">
      <c r="A111" s="117"/>
      <c r="B111" s="123"/>
      <c r="C111" s="123"/>
      <c r="D111" s="123"/>
      <c r="F111" s="12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25">
        <v>45874</v>
      </c>
      <c r="V111" s="13" t="s">
        <v>146</v>
      </c>
      <c r="AF111" s="25"/>
      <c r="AG111" s="13"/>
      <c r="AL111" s="116"/>
      <c r="AM111" s="123"/>
      <c r="AN111" s="123"/>
      <c r="AO111" s="123"/>
      <c r="AT111" s="115"/>
      <c r="AU111" s="115"/>
      <c r="AV111" s="115"/>
      <c r="AW111" s="115"/>
      <c r="AX111" s="115"/>
      <c r="AY111" s="115"/>
      <c r="AZ111" s="115"/>
      <c r="BA111" s="115"/>
      <c r="BB111" s="115"/>
      <c r="BC111" s="115"/>
      <c r="BD111" s="25"/>
      <c r="BE111" s="13"/>
      <c r="BH111" s="114"/>
    </row>
    <row r="112" spans="1:60" ht="20.100000000000001" customHeight="1" x14ac:dyDescent="0.4">
      <c r="A112" s="117"/>
      <c r="B112" s="123"/>
      <c r="C112" s="123"/>
      <c r="D112" s="123"/>
      <c r="F112" s="12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25">
        <v>45874</v>
      </c>
      <c r="V112" s="13" t="s">
        <v>146</v>
      </c>
      <c r="AF112" s="25"/>
      <c r="AG112" s="13"/>
      <c r="AL112" s="116"/>
      <c r="AM112" s="123"/>
      <c r="AN112" s="123"/>
      <c r="AO112" s="123"/>
      <c r="AT112" s="115"/>
      <c r="AU112" s="115"/>
      <c r="AV112" s="115"/>
      <c r="AW112" s="115"/>
      <c r="AX112" s="115"/>
      <c r="AY112" s="115"/>
      <c r="AZ112" s="115"/>
      <c r="BA112" s="115"/>
      <c r="BB112" s="115"/>
      <c r="BC112" s="115"/>
      <c r="BD112" s="25"/>
      <c r="BE112" s="13"/>
      <c r="BH112" s="114"/>
    </row>
    <row r="113" spans="1:60" ht="20.100000000000001" customHeight="1" x14ac:dyDescent="0.4">
      <c r="A113" s="117"/>
      <c r="B113" s="123"/>
      <c r="C113" s="123"/>
      <c r="D113" s="123"/>
      <c r="F113" s="12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25">
        <v>45874</v>
      </c>
      <c r="V113" s="13" t="s">
        <v>146</v>
      </c>
      <c r="AF113" s="25"/>
      <c r="AG113" s="13"/>
      <c r="AL113" s="116"/>
      <c r="AM113" s="123"/>
      <c r="AN113" s="123"/>
      <c r="AO113" s="123"/>
      <c r="AT113" s="115"/>
      <c r="AU113" s="115"/>
      <c r="AV113" s="115"/>
      <c r="AW113" s="115"/>
      <c r="AX113" s="115"/>
      <c r="AY113" s="115"/>
      <c r="AZ113" s="115"/>
      <c r="BA113" s="115"/>
      <c r="BB113" s="115"/>
      <c r="BC113" s="115"/>
      <c r="BD113" s="25"/>
      <c r="BE113" s="13"/>
      <c r="BH113" s="114"/>
    </row>
    <row r="114" spans="1:60" ht="20.100000000000001" customHeight="1" x14ac:dyDescent="0.4">
      <c r="A114" s="117"/>
      <c r="B114" s="123"/>
      <c r="C114" s="123"/>
      <c r="D114" s="123"/>
      <c r="F114" s="12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25">
        <v>45874</v>
      </c>
      <c r="V114" s="13" t="s">
        <v>146</v>
      </c>
      <c r="AF114" s="25"/>
      <c r="AG114" s="13"/>
      <c r="AL114" s="116"/>
      <c r="AM114" s="123"/>
      <c r="AN114" s="123"/>
      <c r="AO114" s="123"/>
      <c r="AT114" s="115"/>
      <c r="AU114" s="115"/>
      <c r="AV114" s="115"/>
      <c r="AW114" s="115"/>
      <c r="AX114" s="115"/>
      <c r="AY114" s="115"/>
      <c r="AZ114" s="115"/>
      <c r="BA114" s="115"/>
      <c r="BB114" s="115"/>
      <c r="BC114" s="115"/>
      <c r="BD114" s="25"/>
      <c r="BE114" s="13"/>
      <c r="BH114" s="114"/>
    </row>
    <row r="115" spans="1:60" ht="20.100000000000001" customHeight="1" x14ac:dyDescent="0.4">
      <c r="A115" s="117"/>
      <c r="B115" s="123"/>
      <c r="C115" s="123"/>
      <c r="D115" s="123"/>
      <c r="F115" s="12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25">
        <v>45874</v>
      </c>
      <c r="V115" s="13" t="s">
        <v>146</v>
      </c>
      <c r="AF115" s="25"/>
      <c r="AG115" s="13"/>
      <c r="AL115" s="116"/>
      <c r="AM115" s="123"/>
      <c r="AN115" s="123"/>
      <c r="AO115" s="123"/>
      <c r="AT115" s="115"/>
      <c r="AU115" s="115"/>
      <c r="AV115" s="115"/>
      <c r="AW115" s="115"/>
      <c r="AX115" s="115"/>
      <c r="AY115" s="115"/>
      <c r="AZ115" s="115"/>
      <c r="BA115" s="115"/>
      <c r="BB115" s="115"/>
      <c r="BC115" s="115"/>
      <c r="BD115" s="25"/>
      <c r="BE115" s="13"/>
      <c r="BH115" s="114"/>
    </row>
    <row r="116" spans="1:60" ht="20.100000000000001" customHeight="1" x14ac:dyDescent="0.4">
      <c r="A116" s="117"/>
      <c r="B116" s="123"/>
      <c r="C116" s="123"/>
      <c r="D116" s="123"/>
      <c r="F116" s="12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25">
        <v>45874</v>
      </c>
      <c r="V116" s="15" t="s">
        <v>146</v>
      </c>
      <c r="AF116" s="25"/>
      <c r="AG116" s="13"/>
      <c r="AL116" s="116"/>
      <c r="AM116" s="123"/>
      <c r="AN116" s="123"/>
      <c r="AO116" s="123"/>
      <c r="AT116" s="115"/>
      <c r="AU116" s="115"/>
      <c r="AV116" s="115"/>
      <c r="AW116" s="115"/>
      <c r="AX116" s="115"/>
      <c r="AY116" s="115"/>
      <c r="AZ116" s="115"/>
      <c r="BA116" s="115"/>
      <c r="BB116" s="115"/>
      <c r="BC116" s="115"/>
      <c r="BD116" s="25"/>
      <c r="BE116" s="13"/>
      <c r="BH116" s="114"/>
    </row>
    <row r="117" spans="1:60" ht="20.100000000000001" customHeight="1" x14ac:dyDescent="0.4">
      <c r="A117" s="117"/>
      <c r="B117" s="123"/>
      <c r="C117" s="123"/>
      <c r="D117" s="123"/>
      <c r="F117" s="125"/>
      <c r="U117" s="25">
        <v>45874</v>
      </c>
      <c r="V117" s="15" t="s">
        <v>146</v>
      </c>
      <c r="AB117" s="115"/>
      <c r="AC117" s="115"/>
      <c r="AD117" s="115"/>
      <c r="AE117" s="115"/>
      <c r="AF117" s="25">
        <v>45669</v>
      </c>
      <c r="AG117" s="13" t="s">
        <v>147</v>
      </c>
      <c r="AL117" s="116"/>
      <c r="AM117" s="123"/>
      <c r="AN117" s="123"/>
      <c r="AO117" s="123"/>
      <c r="AT117" s="115"/>
      <c r="AU117" s="115"/>
      <c r="AV117" s="115"/>
      <c r="AW117" s="115"/>
      <c r="AX117" s="115"/>
      <c r="AY117" s="115"/>
      <c r="AZ117" s="115"/>
      <c r="BA117" s="115"/>
      <c r="BB117" s="115"/>
      <c r="BC117" s="115"/>
      <c r="BD117" s="25"/>
      <c r="BE117" s="13"/>
      <c r="BH117" s="114"/>
    </row>
    <row r="118" spans="1:60" ht="20.100000000000001" customHeight="1" x14ac:dyDescent="0.4">
      <c r="A118" s="117"/>
      <c r="B118" s="123"/>
      <c r="C118" s="123"/>
      <c r="D118" s="123"/>
      <c r="F118" s="125"/>
      <c r="N118" s="115"/>
      <c r="O118" s="115"/>
      <c r="P118" s="115"/>
      <c r="Q118" s="115"/>
      <c r="R118" s="115"/>
      <c r="S118" s="115"/>
      <c r="T118" s="115"/>
      <c r="U118" s="25">
        <v>45874</v>
      </c>
      <c r="V118" s="15" t="s">
        <v>146</v>
      </c>
      <c r="AB118" s="115"/>
      <c r="AC118" s="115"/>
      <c r="AD118" s="115"/>
      <c r="AE118" s="115"/>
      <c r="AF118" s="25"/>
      <c r="AG118" s="13"/>
      <c r="AL118" s="116"/>
      <c r="AM118" s="123"/>
      <c r="AN118" s="123"/>
      <c r="AO118" s="123"/>
      <c r="AT118" s="115"/>
      <c r="AU118" s="115"/>
      <c r="AV118" s="115"/>
      <c r="AW118" s="115"/>
      <c r="AX118" s="115"/>
      <c r="AY118" s="115"/>
      <c r="AZ118" s="115"/>
      <c r="BA118" s="115"/>
      <c r="BB118" s="115"/>
      <c r="BC118" s="115"/>
      <c r="BD118" s="25"/>
      <c r="BE118" s="13"/>
      <c r="BH118" s="114"/>
    </row>
    <row r="119" spans="1:60" ht="20.100000000000001" customHeight="1" x14ac:dyDescent="0.4">
      <c r="A119" s="117"/>
      <c r="B119" s="123"/>
      <c r="C119" s="123"/>
      <c r="D119" s="123"/>
      <c r="F119" s="125"/>
      <c r="U119" s="25">
        <v>45874</v>
      </c>
      <c r="V119" s="15" t="s">
        <v>146</v>
      </c>
      <c r="AB119" s="115"/>
      <c r="AC119" s="115"/>
      <c r="AD119" s="115"/>
      <c r="AE119" s="115"/>
      <c r="AF119" s="25"/>
      <c r="AG119" s="13"/>
      <c r="AL119" s="116"/>
      <c r="AM119" s="123"/>
      <c r="AN119" s="123"/>
      <c r="AO119" s="123"/>
      <c r="AT119" s="115"/>
      <c r="AU119" s="115"/>
      <c r="AV119" s="115"/>
      <c r="AW119" s="115"/>
      <c r="AX119" s="115"/>
      <c r="AY119" s="115"/>
      <c r="AZ119" s="115"/>
      <c r="BA119" s="115"/>
      <c r="BB119" s="115"/>
      <c r="BC119" s="115"/>
      <c r="BD119" s="25"/>
      <c r="BE119" s="13"/>
      <c r="BH119" s="114"/>
    </row>
    <row r="120" spans="1:60" ht="20.100000000000001" customHeight="1" x14ac:dyDescent="0.4">
      <c r="A120" s="117"/>
      <c r="B120" s="123"/>
      <c r="C120" s="123"/>
      <c r="D120" s="123"/>
      <c r="F120" s="12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25">
        <v>45874</v>
      </c>
      <c r="V120" s="15" t="s">
        <v>146</v>
      </c>
      <c r="AB120" s="115"/>
      <c r="AC120" s="115"/>
      <c r="AD120" s="115"/>
      <c r="AE120" s="115"/>
      <c r="AF120" s="25"/>
      <c r="AG120" s="13"/>
      <c r="AL120" s="116"/>
      <c r="AM120" s="123"/>
      <c r="AN120" s="123"/>
      <c r="AO120" s="123"/>
      <c r="AT120" s="115"/>
      <c r="AU120" s="115"/>
      <c r="AV120" s="115"/>
      <c r="AW120" s="115"/>
      <c r="AX120" s="115"/>
      <c r="AY120" s="115"/>
      <c r="AZ120" s="115"/>
      <c r="BA120" s="115"/>
      <c r="BB120" s="115"/>
      <c r="BC120" s="115"/>
      <c r="BD120" s="25"/>
      <c r="BE120" s="13"/>
      <c r="BH120" s="114"/>
    </row>
    <row r="121" spans="1:60" ht="20.100000000000001" customHeight="1" x14ac:dyDescent="0.4">
      <c r="A121" s="117"/>
      <c r="B121" s="123"/>
      <c r="C121" s="123"/>
      <c r="D121" s="123"/>
      <c r="F121" s="12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25">
        <v>45874</v>
      </c>
      <c r="V121" s="15" t="s">
        <v>146</v>
      </c>
      <c r="AB121" s="115"/>
      <c r="AC121" s="115"/>
      <c r="AD121" s="115"/>
      <c r="AE121" s="115"/>
      <c r="AF121" s="25"/>
      <c r="AG121" s="13"/>
      <c r="AL121" s="116"/>
      <c r="AM121" s="123"/>
      <c r="AN121" s="123"/>
      <c r="AO121" s="123"/>
      <c r="AT121" s="115"/>
      <c r="AU121" s="115"/>
      <c r="AV121" s="115"/>
      <c r="AW121" s="115"/>
      <c r="AX121" s="115"/>
      <c r="AY121" s="115"/>
      <c r="AZ121" s="115"/>
      <c r="BA121" s="115"/>
      <c r="BB121" s="115"/>
      <c r="BC121" s="115"/>
      <c r="BD121" s="25"/>
      <c r="BE121" s="13"/>
      <c r="BH121" s="114"/>
    </row>
    <row r="122" spans="1:60" ht="20.100000000000001" customHeight="1" x14ac:dyDescent="0.4">
      <c r="A122" s="117"/>
      <c r="B122" s="123"/>
      <c r="C122" s="123"/>
      <c r="D122" s="123"/>
      <c r="F122" s="12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25">
        <v>45874</v>
      </c>
      <c r="V122" s="15" t="s">
        <v>146</v>
      </c>
      <c r="AB122" s="115"/>
      <c r="AC122" s="115"/>
      <c r="AD122" s="115"/>
      <c r="AE122" s="115"/>
      <c r="AF122" s="25"/>
      <c r="AG122" s="13"/>
      <c r="AL122" s="116"/>
      <c r="AM122" s="123"/>
      <c r="AN122" s="123"/>
      <c r="AO122" s="123"/>
      <c r="AT122" s="115"/>
      <c r="AU122" s="115"/>
      <c r="AV122" s="115"/>
      <c r="AW122" s="115"/>
      <c r="AX122" s="115"/>
      <c r="AY122" s="115"/>
      <c r="AZ122" s="115"/>
      <c r="BA122" s="115"/>
      <c r="BB122" s="115"/>
      <c r="BC122" s="115"/>
      <c r="BD122" s="25"/>
      <c r="BE122" s="13"/>
      <c r="BH122" s="114"/>
    </row>
    <row r="123" spans="1:60" ht="20.100000000000001" customHeight="1" x14ac:dyDescent="0.4">
      <c r="A123" s="117"/>
      <c r="B123" s="123"/>
      <c r="C123" s="123"/>
      <c r="D123" s="123"/>
      <c r="F123" s="12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25">
        <v>45874</v>
      </c>
      <c r="V123" s="105" t="s">
        <v>146</v>
      </c>
      <c r="AB123" s="115"/>
      <c r="AC123" s="115"/>
      <c r="AD123" s="115"/>
      <c r="AE123" s="115"/>
      <c r="AF123" s="25"/>
      <c r="AG123" s="13"/>
      <c r="AL123" s="116"/>
      <c r="AM123" s="123"/>
      <c r="AN123" s="123"/>
      <c r="AO123" s="123"/>
      <c r="AT123" s="115"/>
      <c r="AU123" s="115"/>
      <c r="AV123" s="115"/>
      <c r="AW123" s="115"/>
      <c r="AX123" s="115"/>
      <c r="AY123" s="115"/>
      <c r="AZ123" s="115"/>
      <c r="BA123" s="115"/>
      <c r="BB123" s="115"/>
      <c r="BC123" s="115"/>
      <c r="BD123" s="25"/>
      <c r="BE123" s="13"/>
      <c r="BH123" s="114"/>
    </row>
    <row r="124" spans="1:60" ht="20.100000000000001" customHeight="1" x14ac:dyDescent="0.4">
      <c r="A124" s="117"/>
      <c r="B124" s="123"/>
      <c r="C124" s="123"/>
      <c r="D124" s="123"/>
      <c r="F124" s="12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25">
        <v>45874</v>
      </c>
      <c r="V124" s="105" t="s">
        <v>146</v>
      </c>
      <c r="AB124" s="115"/>
      <c r="AC124" s="115"/>
      <c r="AD124" s="115"/>
      <c r="AE124" s="115"/>
      <c r="AF124" s="25"/>
      <c r="AG124" s="13"/>
      <c r="AL124" s="116"/>
      <c r="AM124" s="123"/>
      <c r="AN124" s="123"/>
      <c r="AO124" s="123"/>
      <c r="AT124" s="115"/>
      <c r="AU124" s="115"/>
      <c r="AV124" s="115"/>
      <c r="AW124" s="115"/>
      <c r="AX124" s="115"/>
      <c r="AY124" s="115"/>
      <c r="AZ124" s="115"/>
      <c r="BA124" s="115"/>
      <c r="BB124" s="115"/>
      <c r="BC124" s="115"/>
      <c r="BD124" s="25"/>
      <c r="BE124" s="13"/>
      <c r="BH124" s="114"/>
    </row>
    <row r="125" spans="1:60" ht="20.100000000000001" customHeight="1" x14ac:dyDescent="0.4">
      <c r="A125" s="117"/>
      <c r="B125" s="123"/>
      <c r="C125" s="123"/>
      <c r="D125" s="123"/>
      <c r="F125" s="12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25">
        <v>45874</v>
      </c>
      <c r="V125" s="105" t="s">
        <v>146</v>
      </c>
      <c r="AB125" s="115"/>
      <c r="AC125" s="115"/>
      <c r="AD125" s="115"/>
      <c r="AE125" s="115"/>
      <c r="AF125" s="25"/>
      <c r="AG125" s="13"/>
      <c r="AL125" s="116"/>
      <c r="AM125" s="123"/>
      <c r="AN125" s="123"/>
      <c r="AO125" s="123"/>
      <c r="AT125" s="115"/>
      <c r="AU125" s="115"/>
      <c r="AV125" s="115"/>
      <c r="AW125" s="115"/>
      <c r="AX125" s="115"/>
      <c r="AY125" s="115"/>
      <c r="AZ125" s="115"/>
      <c r="BA125" s="115"/>
      <c r="BB125" s="115"/>
      <c r="BC125" s="115"/>
      <c r="BD125" s="25"/>
      <c r="BE125" s="13"/>
      <c r="BH125" s="114"/>
    </row>
    <row r="126" spans="1:60" ht="20.100000000000001" customHeight="1" x14ac:dyDescent="0.4">
      <c r="A126" s="117"/>
      <c r="B126" s="123"/>
      <c r="C126" s="123"/>
      <c r="D126" s="123"/>
      <c r="F126" s="12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25">
        <v>45874</v>
      </c>
      <c r="V126" s="105" t="s">
        <v>146</v>
      </c>
      <c r="AB126" s="115"/>
      <c r="AC126" s="115"/>
      <c r="AD126" s="115"/>
      <c r="AE126" s="115"/>
      <c r="AF126" s="25"/>
      <c r="AG126" s="13"/>
      <c r="AL126" s="116"/>
      <c r="AM126" s="123"/>
      <c r="AN126" s="123"/>
      <c r="AO126" s="123"/>
      <c r="AT126" s="115"/>
      <c r="AU126" s="115"/>
      <c r="AV126" s="115"/>
      <c r="AW126" s="115"/>
      <c r="AX126" s="115"/>
      <c r="AY126" s="115"/>
      <c r="AZ126" s="115"/>
      <c r="BA126" s="115"/>
      <c r="BB126" s="115"/>
      <c r="BC126" s="115"/>
      <c r="BD126" s="25"/>
      <c r="BE126" s="13"/>
      <c r="BH126" s="114"/>
    </row>
    <row r="127" spans="1:60" ht="20.100000000000001" customHeight="1" x14ac:dyDescent="0.4">
      <c r="A127" s="117"/>
      <c r="B127" s="123"/>
      <c r="C127" s="123"/>
      <c r="D127" s="123"/>
      <c r="F127" s="12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25">
        <v>45874</v>
      </c>
      <c r="V127" s="15" t="s">
        <v>148</v>
      </c>
      <c r="AB127" s="115"/>
      <c r="AC127" s="115"/>
      <c r="AD127" s="115"/>
      <c r="AE127" s="115"/>
      <c r="AF127" s="25"/>
      <c r="AG127" s="13"/>
      <c r="AL127" s="116"/>
      <c r="AM127" s="123"/>
      <c r="AN127" s="123"/>
      <c r="AO127" s="123"/>
      <c r="AT127" s="115"/>
      <c r="AU127" s="115"/>
      <c r="AV127" s="115"/>
      <c r="AW127" s="115"/>
      <c r="AX127" s="115"/>
      <c r="AY127" s="115"/>
      <c r="AZ127" s="115"/>
      <c r="BA127" s="115"/>
      <c r="BB127" s="115"/>
      <c r="BC127" s="115"/>
      <c r="BD127" s="25"/>
      <c r="BE127" s="13"/>
      <c r="BH127" s="114"/>
    </row>
    <row r="128" spans="1:60" ht="20.100000000000001" customHeight="1" x14ac:dyDescent="0.4">
      <c r="A128" s="117"/>
      <c r="B128" s="123"/>
      <c r="C128" s="123"/>
      <c r="D128" s="123"/>
      <c r="F128" s="12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25">
        <v>45874</v>
      </c>
      <c r="V128" s="15" t="s">
        <v>146</v>
      </c>
      <c r="AB128" s="115"/>
      <c r="AC128" s="115"/>
      <c r="AD128" s="115"/>
      <c r="AE128" s="115"/>
      <c r="AF128" s="25"/>
      <c r="AG128" s="13"/>
      <c r="AL128" s="116"/>
      <c r="AM128" s="123"/>
      <c r="AN128" s="123"/>
      <c r="AO128" s="123"/>
      <c r="AT128" s="115"/>
      <c r="AU128" s="115"/>
      <c r="AV128" s="115"/>
      <c r="AW128" s="115"/>
      <c r="AX128" s="115"/>
      <c r="AY128" s="115"/>
      <c r="AZ128" s="115"/>
      <c r="BA128" s="115"/>
      <c r="BB128" s="115"/>
      <c r="BC128" s="115"/>
      <c r="BD128" s="25"/>
      <c r="BE128" s="13"/>
      <c r="BH128" s="114"/>
    </row>
    <row r="129" spans="1:60" ht="20.100000000000001" customHeight="1" x14ac:dyDescent="0.4">
      <c r="A129" s="117"/>
      <c r="B129" s="123"/>
      <c r="C129" s="123"/>
      <c r="D129" s="123"/>
      <c r="F129" s="12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25">
        <v>45874</v>
      </c>
      <c r="V129" s="13" t="s">
        <v>146</v>
      </c>
      <c r="AB129" s="115"/>
      <c r="AC129" s="115"/>
      <c r="AD129" s="115"/>
      <c r="AE129" s="115"/>
      <c r="AF129" s="25"/>
      <c r="AG129" s="13"/>
      <c r="AL129" s="116"/>
      <c r="AM129" s="123"/>
      <c r="AN129" s="123"/>
      <c r="AO129" s="123"/>
      <c r="AT129" s="115"/>
      <c r="AU129" s="115"/>
      <c r="AV129" s="115"/>
      <c r="AW129" s="115"/>
      <c r="AX129" s="115"/>
      <c r="AY129" s="115"/>
      <c r="AZ129" s="115"/>
      <c r="BA129" s="115"/>
      <c r="BB129" s="115"/>
      <c r="BC129" s="115"/>
      <c r="BD129" s="25"/>
      <c r="BE129" s="13"/>
      <c r="BH129" s="114"/>
    </row>
    <row r="130" spans="1:60" ht="20.100000000000001" customHeight="1" x14ac:dyDescent="0.4">
      <c r="A130" s="117"/>
      <c r="B130" s="123"/>
      <c r="C130" s="123"/>
      <c r="D130" s="123"/>
      <c r="F130" s="12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25">
        <v>45874</v>
      </c>
      <c r="V130" s="13" t="s">
        <v>148</v>
      </c>
      <c r="AB130" s="115"/>
      <c r="AC130" s="115"/>
      <c r="AD130" s="115"/>
      <c r="AE130" s="115"/>
      <c r="AF130" s="25"/>
      <c r="AG130" s="13"/>
      <c r="AL130" s="116"/>
      <c r="AM130" s="123"/>
      <c r="AN130" s="123"/>
      <c r="AO130" s="123"/>
      <c r="AT130" s="115"/>
      <c r="AU130" s="115"/>
      <c r="AV130" s="115"/>
      <c r="AW130" s="115"/>
      <c r="AX130" s="115"/>
      <c r="AY130" s="115"/>
      <c r="AZ130" s="115"/>
      <c r="BA130" s="115"/>
      <c r="BB130" s="115"/>
      <c r="BC130" s="115"/>
      <c r="BD130" s="25"/>
      <c r="BE130" s="13"/>
      <c r="BH130" s="114"/>
    </row>
    <row r="131" spans="1:60" ht="20.100000000000001" customHeight="1" x14ac:dyDescent="0.4">
      <c r="A131" s="117"/>
      <c r="B131" s="123"/>
      <c r="C131" s="123"/>
      <c r="D131" s="123"/>
      <c r="F131" s="12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 t="s">
        <v>379</v>
      </c>
      <c r="U131" s="13">
        <f>SUBTOTAL(3,U103:U130)</f>
        <v>28</v>
      </c>
      <c r="V131" s="13">
        <f>SUBTOTAL(3,V103:V130)</f>
        <v>28</v>
      </c>
      <c r="AB131" s="115"/>
      <c r="AC131" s="115"/>
      <c r="AD131" s="115"/>
      <c r="AE131" s="115"/>
      <c r="AF131" s="25"/>
      <c r="AG131" s="13"/>
      <c r="AL131" s="116"/>
      <c r="AM131" s="123"/>
      <c r="AN131" s="123"/>
      <c r="AO131" s="123"/>
      <c r="AT131" s="115"/>
      <c r="AU131" s="115"/>
      <c r="AV131" s="115"/>
      <c r="AW131" s="115"/>
      <c r="AX131" s="115"/>
      <c r="AY131" s="115"/>
      <c r="AZ131" s="115"/>
      <c r="BA131" s="115"/>
      <c r="BB131" s="115"/>
      <c r="BC131" s="115"/>
      <c r="BD131" s="25"/>
      <c r="BE131" s="13"/>
      <c r="BH131" s="114"/>
    </row>
    <row r="132" spans="1:60" ht="20.100000000000001" customHeight="1" x14ac:dyDescent="0.4">
      <c r="A132" s="117"/>
      <c r="B132" s="123"/>
      <c r="C132" s="123"/>
      <c r="D132" s="123"/>
      <c r="F132" s="12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25">
        <v>45875</v>
      </c>
      <c r="V132" s="13" t="s">
        <v>148</v>
      </c>
      <c r="AB132" s="115"/>
      <c r="AC132" s="115"/>
      <c r="AD132" s="115"/>
      <c r="AE132" s="115"/>
      <c r="AF132" s="25"/>
      <c r="AG132" s="13"/>
      <c r="AL132" s="116"/>
      <c r="AM132" s="123"/>
      <c r="AN132" s="123"/>
      <c r="AO132" s="123"/>
      <c r="AT132" s="115"/>
      <c r="AU132" s="115"/>
      <c r="AV132" s="115"/>
      <c r="AW132" s="115"/>
      <c r="AX132" s="115"/>
      <c r="AY132" s="115"/>
      <c r="AZ132" s="115"/>
      <c r="BA132" s="115"/>
      <c r="BB132" s="115"/>
      <c r="BC132" s="115"/>
      <c r="BD132" s="25"/>
      <c r="BE132" s="13"/>
      <c r="BH132" s="114"/>
    </row>
    <row r="133" spans="1:60" ht="20.100000000000001" customHeight="1" x14ac:dyDescent="0.4">
      <c r="A133" s="117"/>
      <c r="B133" s="123"/>
      <c r="C133" s="123"/>
      <c r="D133" s="123"/>
      <c r="F133" s="12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25">
        <v>45875</v>
      </c>
      <c r="V133" s="13" t="s">
        <v>146</v>
      </c>
      <c r="AB133" s="115"/>
      <c r="AC133" s="115"/>
      <c r="AD133" s="115"/>
      <c r="AE133" s="115"/>
      <c r="AF133" s="25"/>
      <c r="AG133" s="13"/>
      <c r="AL133" s="116"/>
      <c r="AM133" s="123"/>
      <c r="AN133" s="123"/>
      <c r="AO133" s="123"/>
      <c r="AT133" s="115"/>
      <c r="AU133" s="115"/>
      <c r="AV133" s="115"/>
      <c r="AW133" s="115"/>
      <c r="AX133" s="115"/>
      <c r="AY133" s="115"/>
      <c r="AZ133" s="115"/>
      <c r="BA133" s="115"/>
      <c r="BB133" s="115"/>
      <c r="BC133" s="115"/>
      <c r="BD133" s="25"/>
      <c r="BE133" s="13"/>
      <c r="BH133" s="114"/>
    </row>
    <row r="134" spans="1:60" ht="20.100000000000001" customHeight="1" x14ac:dyDescent="0.4">
      <c r="A134" s="117"/>
      <c r="B134" s="123"/>
      <c r="C134" s="123"/>
      <c r="D134" s="123"/>
      <c r="F134" s="12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25">
        <v>45875</v>
      </c>
      <c r="V134" s="13" t="s">
        <v>146</v>
      </c>
      <c r="AB134" s="115"/>
      <c r="AC134" s="115"/>
      <c r="AD134" s="115"/>
      <c r="AE134" s="115"/>
      <c r="AF134" s="25"/>
      <c r="AG134" s="13"/>
      <c r="AL134" s="116"/>
      <c r="AM134" s="123"/>
      <c r="AN134" s="123"/>
      <c r="AO134" s="123"/>
      <c r="AT134" s="115"/>
      <c r="AU134" s="115"/>
      <c r="AV134" s="115"/>
      <c r="AW134" s="115"/>
      <c r="AX134" s="115"/>
      <c r="AY134" s="115"/>
      <c r="AZ134" s="115"/>
      <c r="BA134" s="115"/>
      <c r="BB134" s="115"/>
      <c r="BC134" s="115"/>
      <c r="BD134" s="25"/>
      <c r="BE134" s="13"/>
      <c r="BH134" s="114"/>
    </row>
    <row r="135" spans="1:60" ht="20.100000000000001" customHeight="1" x14ac:dyDescent="0.4">
      <c r="A135" s="117"/>
      <c r="B135" s="123"/>
      <c r="C135" s="123"/>
      <c r="D135" s="123"/>
      <c r="F135" s="12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25">
        <v>45875</v>
      </c>
      <c r="V135" s="13" t="s">
        <v>146</v>
      </c>
      <c r="AB135" s="115"/>
      <c r="AC135" s="115"/>
      <c r="AD135" s="115"/>
      <c r="AE135" s="115"/>
      <c r="AF135" s="25"/>
      <c r="AG135" s="13"/>
      <c r="AL135" s="116"/>
      <c r="AM135" s="123"/>
      <c r="AN135" s="123"/>
      <c r="AO135" s="123"/>
      <c r="AT135" s="115"/>
      <c r="AU135" s="115"/>
      <c r="AV135" s="115"/>
      <c r="AW135" s="115"/>
      <c r="AX135" s="115"/>
      <c r="AY135" s="115"/>
      <c r="AZ135" s="115"/>
      <c r="BA135" s="115"/>
      <c r="BB135" s="115"/>
      <c r="BC135" s="115"/>
      <c r="BD135" s="25"/>
      <c r="BE135" s="13"/>
      <c r="BH135" s="114"/>
    </row>
    <row r="136" spans="1:60" ht="20.100000000000001" customHeight="1" x14ac:dyDescent="0.4">
      <c r="A136" s="117"/>
      <c r="B136" s="123"/>
      <c r="C136" s="123"/>
      <c r="D136" s="123"/>
      <c r="F136" s="12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25">
        <v>45875</v>
      </c>
      <c r="V136" s="13" t="s">
        <v>148</v>
      </c>
      <c r="AB136" s="115"/>
      <c r="AC136" s="115"/>
      <c r="AD136" s="115"/>
      <c r="AE136" s="115"/>
      <c r="AF136" s="25"/>
      <c r="AG136" s="13"/>
      <c r="AL136" s="116"/>
      <c r="AM136" s="123"/>
      <c r="AN136" s="123"/>
      <c r="AO136" s="123"/>
      <c r="AT136" s="115"/>
      <c r="AU136" s="115"/>
      <c r="AV136" s="115"/>
      <c r="AW136" s="115"/>
      <c r="AX136" s="115"/>
      <c r="AY136" s="115"/>
      <c r="AZ136" s="115"/>
      <c r="BA136" s="115"/>
      <c r="BB136" s="115"/>
      <c r="BC136" s="115"/>
      <c r="BD136" s="25"/>
      <c r="BE136" s="13"/>
      <c r="BH136" s="114"/>
    </row>
    <row r="137" spans="1:60" ht="20.100000000000001" customHeight="1" x14ac:dyDescent="0.4">
      <c r="A137" s="117"/>
      <c r="B137" s="123"/>
      <c r="C137" s="123"/>
      <c r="D137" s="123"/>
      <c r="F137" s="12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25">
        <v>45875</v>
      </c>
      <c r="V137" s="13" t="s">
        <v>148</v>
      </c>
      <c r="AB137" s="115"/>
      <c r="AC137" s="115"/>
      <c r="AD137" s="115"/>
      <c r="AE137" s="115"/>
      <c r="AF137" s="25"/>
      <c r="AG137" s="13"/>
      <c r="AL137" s="116"/>
      <c r="AM137" s="123"/>
      <c r="AN137" s="123"/>
      <c r="AO137" s="123"/>
      <c r="AT137" s="115"/>
      <c r="AU137" s="115"/>
      <c r="AV137" s="115"/>
      <c r="AW137" s="115"/>
      <c r="AX137" s="115"/>
      <c r="AY137" s="115"/>
      <c r="AZ137" s="115"/>
      <c r="BA137" s="115"/>
      <c r="BB137" s="115"/>
      <c r="BC137" s="115"/>
      <c r="BD137" s="25"/>
      <c r="BE137" s="13"/>
      <c r="BH137" s="114"/>
    </row>
    <row r="138" spans="1:60" ht="20.100000000000001" customHeight="1" x14ac:dyDescent="0.4">
      <c r="A138" s="117"/>
      <c r="B138" s="123"/>
      <c r="C138" s="123"/>
      <c r="D138" s="123"/>
      <c r="F138" s="12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25">
        <v>45875</v>
      </c>
      <c r="V138" s="13" t="s">
        <v>147</v>
      </c>
      <c r="AB138" s="115"/>
      <c r="AC138" s="115"/>
      <c r="AD138" s="115"/>
      <c r="AE138" s="115"/>
      <c r="AF138" s="25"/>
      <c r="AG138" s="13"/>
      <c r="AL138" s="116"/>
      <c r="AM138" s="123"/>
      <c r="AN138" s="123"/>
      <c r="AO138" s="123"/>
      <c r="AT138" s="115"/>
      <c r="AU138" s="115"/>
      <c r="AV138" s="115"/>
      <c r="AW138" s="115"/>
      <c r="AX138" s="115"/>
      <c r="AY138" s="115"/>
      <c r="AZ138" s="115"/>
      <c r="BA138" s="115"/>
      <c r="BB138" s="115"/>
      <c r="BC138" s="115"/>
      <c r="BD138" s="25"/>
      <c r="BE138" s="13"/>
      <c r="BH138" s="114"/>
    </row>
    <row r="139" spans="1:60" ht="20.100000000000001" customHeight="1" x14ac:dyDescent="0.4">
      <c r="A139" s="117"/>
      <c r="B139" s="123"/>
      <c r="C139" s="123"/>
      <c r="D139" s="123"/>
      <c r="F139" s="12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25">
        <v>45875</v>
      </c>
      <c r="V139" s="13" t="s">
        <v>146</v>
      </c>
      <c r="AB139" s="115"/>
      <c r="AC139" s="115"/>
      <c r="AD139" s="115"/>
      <c r="AE139" s="115"/>
      <c r="AF139" s="25"/>
      <c r="AG139" s="13"/>
      <c r="AL139" s="116"/>
      <c r="AM139" s="123"/>
      <c r="AN139" s="123"/>
      <c r="AO139" s="123"/>
      <c r="AT139" s="115"/>
      <c r="AU139" s="115"/>
      <c r="AV139" s="115"/>
      <c r="AW139" s="115"/>
      <c r="AX139" s="115"/>
      <c r="AY139" s="115"/>
      <c r="AZ139" s="115"/>
      <c r="BA139" s="115"/>
      <c r="BB139" s="115"/>
      <c r="BC139" s="115"/>
      <c r="BD139" s="25"/>
      <c r="BE139" s="13"/>
      <c r="BH139" s="114"/>
    </row>
    <row r="140" spans="1:60" ht="20.100000000000001" customHeight="1" x14ac:dyDescent="0.4">
      <c r="A140" s="117"/>
      <c r="B140" s="123"/>
      <c r="C140" s="123"/>
      <c r="D140" s="123"/>
      <c r="F140" s="125"/>
      <c r="U140" s="25">
        <v>45875</v>
      </c>
      <c r="V140" s="13" t="s">
        <v>147</v>
      </c>
      <c r="AB140" s="115"/>
      <c r="AC140" s="115"/>
      <c r="AD140" s="115"/>
      <c r="AE140" s="115"/>
      <c r="AF140" s="25">
        <v>45671</v>
      </c>
      <c r="AG140" s="13" t="s">
        <v>146</v>
      </c>
      <c r="AL140" s="116"/>
      <c r="AM140" s="123"/>
      <c r="AN140" s="123"/>
      <c r="AO140" s="123"/>
      <c r="AT140" s="115"/>
      <c r="AU140" s="115"/>
      <c r="AV140" s="115"/>
      <c r="AW140" s="115"/>
      <c r="AX140" s="115"/>
      <c r="AY140" s="115"/>
      <c r="AZ140" s="115"/>
      <c r="BA140" s="115"/>
      <c r="BB140" s="115"/>
      <c r="BC140" s="115"/>
      <c r="BD140" s="25"/>
      <c r="BE140" s="13"/>
      <c r="BH140" s="114"/>
    </row>
    <row r="141" spans="1:60" ht="20.100000000000001" customHeight="1" x14ac:dyDescent="0.4">
      <c r="A141" s="117"/>
      <c r="B141" s="123"/>
      <c r="C141" s="123"/>
      <c r="D141" s="123"/>
      <c r="F141" s="12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25">
        <v>45875</v>
      </c>
      <c r="V141" s="13" t="s">
        <v>147</v>
      </c>
      <c r="AB141" s="115"/>
      <c r="AC141" s="115"/>
      <c r="AD141" s="115"/>
      <c r="AE141" s="115"/>
      <c r="AF141" s="25"/>
      <c r="AG141" s="13"/>
      <c r="AL141" s="116"/>
      <c r="AM141" s="123"/>
      <c r="AN141" s="123"/>
      <c r="AO141" s="123"/>
      <c r="AT141" s="115"/>
      <c r="AU141" s="115"/>
      <c r="AV141" s="115"/>
      <c r="AW141" s="115"/>
      <c r="AX141" s="115"/>
      <c r="AY141" s="115"/>
      <c r="AZ141" s="115"/>
      <c r="BA141" s="115"/>
      <c r="BB141" s="115"/>
      <c r="BC141" s="115"/>
      <c r="BD141" s="25"/>
      <c r="BE141" s="13"/>
      <c r="BH141" s="114"/>
    </row>
    <row r="142" spans="1:60" ht="20.100000000000001" customHeight="1" x14ac:dyDescent="0.4">
      <c r="A142" s="117"/>
      <c r="B142" s="123"/>
      <c r="C142" s="123"/>
      <c r="D142" s="123"/>
      <c r="F142" s="12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25">
        <v>45875</v>
      </c>
      <c r="V142" s="13" t="s">
        <v>147</v>
      </c>
      <c r="AB142" s="115"/>
      <c r="AC142" s="115"/>
      <c r="AD142" s="115"/>
      <c r="AE142" s="115"/>
      <c r="AF142" s="25"/>
      <c r="AG142" s="13"/>
      <c r="AL142" s="116"/>
      <c r="AM142" s="123"/>
      <c r="AN142" s="123"/>
      <c r="AO142" s="123"/>
      <c r="AT142" s="115"/>
      <c r="AU142" s="115"/>
      <c r="AV142" s="115"/>
      <c r="AW142" s="115"/>
      <c r="AX142" s="115"/>
      <c r="AY142" s="115"/>
      <c r="AZ142" s="115"/>
      <c r="BA142" s="115"/>
      <c r="BB142" s="115"/>
      <c r="BC142" s="115"/>
      <c r="BD142" s="25"/>
      <c r="BE142" s="13"/>
      <c r="BH142" s="114"/>
    </row>
    <row r="143" spans="1:60" ht="20.100000000000001" customHeight="1" x14ac:dyDescent="0.4">
      <c r="A143" s="117"/>
      <c r="B143" s="123"/>
      <c r="C143" s="123"/>
      <c r="D143" s="123"/>
      <c r="F143" s="125"/>
      <c r="U143" s="25">
        <v>45875</v>
      </c>
      <c r="V143" s="13" t="s">
        <v>146</v>
      </c>
      <c r="Z143" s="115"/>
      <c r="AA143" s="115"/>
      <c r="AB143" s="115"/>
      <c r="AC143" s="115"/>
      <c r="AD143" s="115"/>
      <c r="AE143" s="115"/>
      <c r="AF143" s="25">
        <v>45671</v>
      </c>
      <c r="AG143" s="13" t="s">
        <v>148</v>
      </c>
      <c r="AL143" s="116"/>
      <c r="AM143" s="123"/>
      <c r="AN143" s="123"/>
      <c r="AO143" s="123"/>
      <c r="AT143" s="115"/>
      <c r="AU143" s="115"/>
      <c r="AV143" s="115"/>
      <c r="AW143" s="115"/>
      <c r="AX143" s="115"/>
      <c r="AY143" s="115"/>
      <c r="AZ143" s="115"/>
      <c r="BA143" s="115"/>
      <c r="BB143" s="115"/>
      <c r="BC143" s="115"/>
      <c r="BD143" s="25"/>
      <c r="BE143" s="13"/>
      <c r="BH143" s="114"/>
    </row>
    <row r="144" spans="1:60" ht="20.100000000000001" customHeight="1" x14ac:dyDescent="0.4">
      <c r="A144" s="117"/>
      <c r="B144" s="123"/>
      <c r="C144" s="123"/>
      <c r="D144" s="123"/>
      <c r="F144" s="125"/>
      <c r="Q144" s="115"/>
      <c r="R144" s="115"/>
      <c r="S144" s="115"/>
      <c r="T144" s="115"/>
      <c r="U144" s="25">
        <v>45875</v>
      </c>
      <c r="V144" s="13" t="s">
        <v>146</v>
      </c>
      <c r="Z144" s="115"/>
      <c r="AA144" s="115"/>
      <c r="AB144" s="115"/>
      <c r="AC144" s="115"/>
      <c r="AD144" s="115"/>
      <c r="AE144" s="115"/>
      <c r="AF144" s="25"/>
      <c r="AG144" s="13"/>
      <c r="AL144" s="116"/>
      <c r="AM144" s="123"/>
      <c r="AN144" s="123"/>
      <c r="AO144" s="123"/>
      <c r="AT144" s="115"/>
      <c r="AU144" s="115"/>
      <c r="AV144" s="115"/>
      <c r="AW144" s="115"/>
      <c r="AX144" s="115"/>
      <c r="AY144" s="115"/>
      <c r="AZ144" s="115"/>
      <c r="BA144" s="115"/>
      <c r="BB144" s="115"/>
      <c r="BC144" s="115"/>
      <c r="BD144" s="25"/>
      <c r="BE144" s="13"/>
      <c r="BH144" s="114"/>
    </row>
    <row r="145" spans="1:60" ht="20.100000000000001" customHeight="1" x14ac:dyDescent="0.4">
      <c r="A145" s="117"/>
      <c r="B145" s="123"/>
      <c r="C145" s="123"/>
      <c r="D145" s="123"/>
      <c r="F145" s="125"/>
      <c r="P145" s="115"/>
      <c r="Q145" s="115"/>
      <c r="R145" s="115"/>
      <c r="S145" s="115"/>
      <c r="T145" s="115"/>
      <c r="U145" s="25">
        <v>45875</v>
      </c>
      <c r="V145" s="13" t="s">
        <v>146</v>
      </c>
      <c r="Z145" s="115"/>
      <c r="AA145" s="115"/>
      <c r="AB145" s="115"/>
      <c r="AC145" s="115"/>
      <c r="AD145" s="115"/>
      <c r="AE145" s="115"/>
      <c r="AF145" s="25"/>
      <c r="AG145" s="13"/>
      <c r="AL145" s="116"/>
      <c r="AM145" s="123"/>
      <c r="AN145" s="123"/>
      <c r="AO145" s="123"/>
      <c r="AT145" s="115"/>
      <c r="AU145" s="115"/>
      <c r="AV145" s="115"/>
      <c r="AW145" s="115"/>
      <c r="AX145" s="115"/>
      <c r="AY145" s="115"/>
      <c r="AZ145" s="115"/>
      <c r="BA145" s="115"/>
      <c r="BB145" s="115"/>
      <c r="BC145" s="115"/>
      <c r="BD145" s="25"/>
      <c r="BE145" s="13"/>
      <c r="BH145" s="114"/>
    </row>
    <row r="146" spans="1:60" ht="20.100000000000001" customHeight="1" x14ac:dyDescent="0.4">
      <c r="A146" s="117"/>
      <c r="B146" s="123"/>
      <c r="C146" s="123"/>
      <c r="D146" s="123"/>
      <c r="F146" s="125"/>
      <c r="P146" s="115"/>
      <c r="Q146" s="115"/>
      <c r="R146" s="115"/>
      <c r="S146" s="115"/>
      <c r="T146" s="115"/>
      <c r="U146" s="25">
        <v>45875</v>
      </c>
      <c r="V146" s="13" t="s">
        <v>146</v>
      </c>
      <c r="Z146" s="115"/>
      <c r="AA146" s="115"/>
      <c r="AB146" s="115"/>
      <c r="AC146" s="115"/>
      <c r="AD146" s="115"/>
      <c r="AE146" s="115"/>
      <c r="AF146" s="25"/>
      <c r="AG146" s="13"/>
      <c r="AL146" s="116"/>
      <c r="AM146" s="123"/>
      <c r="AN146" s="123"/>
      <c r="AO146" s="123"/>
      <c r="AT146" s="115"/>
      <c r="AU146" s="115"/>
      <c r="AV146" s="115"/>
      <c r="AW146" s="115"/>
      <c r="AX146" s="115"/>
      <c r="AY146" s="115"/>
      <c r="AZ146" s="115"/>
      <c r="BA146" s="115"/>
      <c r="BB146" s="115"/>
      <c r="BC146" s="115"/>
      <c r="BD146" s="25"/>
      <c r="BE146" s="13"/>
      <c r="BH146" s="114"/>
    </row>
    <row r="147" spans="1:60" ht="20.100000000000001" customHeight="1" x14ac:dyDescent="0.4">
      <c r="A147" s="117"/>
      <c r="B147" s="123"/>
      <c r="C147" s="123"/>
      <c r="D147" s="123"/>
      <c r="F147" s="125"/>
      <c r="P147" s="115"/>
      <c r="Q147" s="115"/>
      <c r="R147" s="115"/>
      <c r="S147" s="115"/>
      <c r="T147" s="115"/>
      <c r="U147" s="25">
        <v>45875</v>
      </c>
      <c r="V147" s="13" t="s">
        <v>146</v>
      </c>
      <c r="Z147" s="115"/>
      <c r="AA147" s="115"/>
      <c r="AB147" s="115"/>
      <c r="AC147" s="115"/>
      <c r="AD147" s="115"/>
      <c r="AE147" s="115"/>
      <c r="AF147" s="25"/>
      <c r="AG147" s="13"/>
      <c r="AL147" s="116"/>
      <c r="AM147" s="123"/>
      <c r="AN147" s="123"/>
      <c r="AO147" s="123"/>
      <c r="AT147" s="115"/>
      <c r="AU147" s="115"/>
      <c r="AV147" s="115"/>
      <c r="AW147" s="115"/>
      <c r="AX147" s="115"/>
      <c r="AY147" s="115"/>
      <c r="AZ147" s="115"/>
      <c r="BA147" s="115"/>
      <c r="BB147" s="115"/>
      <c r="BC147" s="115"/>
      <c r="BD147" s="25"/>
      <c r="BE147" s="13"/>
      <c r="BH147" s="114"/>
    </row>
    <row r="148" spans="1:60" ht="20.100000000000001" customHeight="1" x14ac:dyDescent="0.4">
      <c r="A148" s="117"/>
      <c r="B148" s="123"/>
      <c r="C148" s="123"/>
      <c r="D148" s="123"/>
      <c r="U148" s="25">
        <v>45875</v>
      </c>
      <c r="V148" s="13" t="s">
        <v>146</v>
      </c>
      <c r="Z148" s="115"/>
      <c r="AA148" s="115"/>
      <c r="AB148" s="115"/>
      <c r="AC148" s="115"/>
      <c r="AD148" s="115"/>
      <c r="AE148" s="115"/>
      <c r="AF148" s="25"/>
      <c r="AG148" s="13"/>
      <c r="AL148" s="116"/>
      <c r="AM148" s="123"/>
      <c r="AN148" s="123"/>
      <c r="AO148" s="123"/>
      <c r="AT148" s="115"/>
      <c r="AU148" s="115"/>
      <c r="AV148" s="115"/>
      <c r="AW148" s="115"/>
      <c r="AX148" s="115"/>
      <c r="AY148" s="115"/>
      <c r="AZ148" s="115"/>
      <c r="BA148" s="115"/>
      <c r="BB148" s="115"/>
      <c r="BC148" s="115"/>
      <c r="BD148" s="25"/>
      <c r="BE148" s="13"/>
      <c r="BH148" s="114"/>
    </row>
    <row r="149" spans="1:60" ht="20.100000000000001" customHeight="1" x14ac:dyDescent="0.4">
      <c r="A149" s="117"/>
      <c r="B149" s="123"/>
      <c r="C149" s="123"/>
      <c r="D149" s="123"/>
      <c r="N149" s="115"/>
      <c r="O149" s="115"/>
      <c r="P149" s="115"/>
      <c r="Q149" s="115"/>
      <c r="R149" s="115"/>
      <c r="S149" s="115"/>
      <c r="T149" s="115"/>
      <c r="U149" s="25">
        <v>45875</v>
      </c>
      <c r="V149" s="13" t="s">
        <v>146</v>
      </c>
      <c r="Z149" s="115"/>
      <c r="AA149" s="115"/>
      <c r="AB149" s="115"/>
      <c r="AC149" s="115"/>
      <c r="AD149" s="115"/>
      <c r="AE149" s="115"/>
      <c r="AF149" s="25"/>
      <c r="AG149" s="13"/>
      <c r="AL149" s="116"/>
      <c r="AM149" s="123"/>
      <c r="AN149" s="123"/>
      <c r="AO149" s="123"/>
      <c r="AT149" s="115"/>
      <c r="AU149" s="115"/>
      <c r="AV149" s="115"/>
      <c r="AW149" s="115"/>
      <c r="AX149" s="115"/>
      <c r="AY149" s="115"/>
      <c r="AZ149" s="115"/>
      <c r="BA149" s="115"/>
      <c r="BB149" s="115"/>
      <c r="BC149" s="115"/>
      <c r="BD149" s="25"/>
      <c r="BE149" s="13"/>
      <c r="BH149" s="114"/>
    </row>
    <row r="150" spans="1:60" ht="20.100000000000001" customHeight="1" x14ac:dyDescent="0.4">
      <c r="A150" s="117"/>
      <c r="B150" s="123"/>
      <c r="C150" s="123"/>
      <c r="D150" s="123"/>
      <c r="N150" s="115"/>
      <c r="O150" s="115"/>
      <c r="P150" s="115"/>
      <c r="Q150" s="115"/>
      <c r="R150" s="115"/>
      <c r="S150" s="115"/>
      <c r="T150" s="115"/>
      <c r="U150" s="25">
        <v>45875</v>
      </c>
      <c r="V150" s="13" t="s">
        <v>146</v>
      </c>
      <c r="Z150" s="115"/>
      <c r="AA150" s="115"/>
      <c r="AB150" s="115"/>
      <c r="AC150" s="115"/>
      <c r="AD150" s="115"/>
      <c r="AE150" s="115"/>
      <c r="AF150" s="25"/>
      <c r="AG150" s="13"/>
      <c r="AL150" s="116"/>
      <c r="AM150" s="123"/>
      <c r="AN150" s="123"/>
      <c r="AO150" s="123"/>
      <c r="AT150" s="115"/>
      <c r="AU150" s="115"/>
      <c r="AV150" s="115"/>
      <c r="AW150" s="115"/>
      <c r="AX150" s="115"/>
      <c r="AY150" s="115"/>
      <c r="AZ150" s="115"/>
      <c r="BA150" s="115"/>
      <c r="BB150" s="115"/>
      <c r="BC150" s="115"/>
      <c r="BD150" s="25"/>
      <c r="BE150" s="13"/>
      <c r="BH150" s="114"/>
    </row>
    <row r="151" spans="1:60" ht="20.100000000000001" customHeight="1" x14ac:dyDescent="0.4">
      <c r="A151" s="117"/>
      <c r="B151" s="123"/>
      <c r="C151" s="123"/>
      <c r="D151" s="123"/>
      <c r="N151" s="115"/>
      <c r="O151" s="115"/>
      <c r="P151" s="115"/>
      <c r="Q151" s="115"/>
      <c r="R151" s="115"/>
      <c r="S151" s="115"/>
      <c r="T151" s="115"/>
      <c r="U151" s="25">
        <v>45875</v>
      </c>
      <c r="V151" s="13" t="s">
        <v>147</v>
      </c>
      <c r="Z151" s="115"/>
      <c r="AA151" s="115"/>
      <c r="AB151" s="115"/>
      <c r="AC151" s="115"/>
      <c r="AD151" s="115"/>
      <c r="AE151" s="115"/>
      <c r="AF151" s="25"/>
      <c r="AG151" s="13"/>
      <c r="AL151" s="116"/>
      <c r="AM151" s="123"/>
      <c r="AN151" s="123"/>
      <c r="AO151" s="123"/>
      <c r="AT151" s="115"/>
      <c r="AU151" s="115"/>
      <c r="AV151" s="115"/>
      <c r="AW151" s="115"/>
      <c r="AX151" s="115"/>
      <c r="AY151" s="115"/>
      <c r="AZ151" s="115"/>
      <c r="BA151" s="115"/>
      <c r="BB151" s="115"/>
      <c r="BC151" s="115"/>
      <c r="BD151" s="25"/>
      <c r="BE151" s="13"/>
      <c r="BH151" s="114"/>
    </row>
    <row r="152" spans="1:60" ht="20.100000000000001" customHeight="1" x14ac:dyDescent="0.4">
      <c r="A152" s="117"/>
      <c r="B152" s="123"/>
      <c r="C152" s="123"/>
      <c r="D152" s="123"/>
      <c r="N152" s="115"/>
      <c r="O152" s="115"/>
      <c r="P152" s="115"/>
      <c r="Q152" s="115"/>
      <c r="R152" s="115"/>
      <c r="S152" s="115"/>
      <c r="T152" s="115" t="s">
        <v>380</v>
      </c>
      <c r="U152" s="13">
        <f>SUBTOTAL(3,U132:U151)</f>
        <v>20</v>
      </c>
      <c r="V152" s="13">
        <f>SUBTOTAL(3,V132:V151)</f>
        <v>20</v>
      </c>
      <c r="Z152" s="115"/>
      <c r="AA152" s="115"/>
      <c r="AB152" s="115"/>
      <c r="AC152" s="115"/>
      <c r="AD152" s="115"/>
      <c r="AE152" s="115"/>
      <c r="AF152" s="25"/>
      <c r="AG152" s="13"/>
      <c r="AL152" s="116"/>
      <c r="AM152" s="123"/>
      <c r="AN152" s="123"/>
      <c r="AO152" s="123"/>
      <c r="AT152" s="115"/>
      <c r="AU152" s="115"/>
      <c r="AV152" s="115"/>
      <c r="AW152" s="115"/>
      <c r="AX152" s="115"/>
      <c r="AY152" s="115"/>
      <c r="AZ152" s="115"/>
      <c r="BA152" s="115"/>
      <c r="BB152" s="115"/>
      <c r="BC152" s="115"/>
      <c r="BD152" s="25"/>
      <c r="BE152" s="13"/>
      <c r="BH152" s="114"/>
    </row>
    <row r="153" spans="1:60" ht="20.100000000000001" customHeight="1" x14ac:dyDescent="0.4">
      <c r="A153" s="117"/>
      <c r="B153" s="123"/>
      <c r="C153" s="123"/>
      <c r="D153" s="123"/>
      <c r="N153" s="115"/>
      <c r="O153" s="115"/>
      <c r="P153" s="115"/>
      <c r="Q153" s="115"/>
      <c r="R153" s="115"/>
      <c r="S153" s="115"/>
      <c r="T153" s="115"/>
      <c r="U153" s="25">
        <v>45877</v>
      </c>
      <c r="V153" s="13" t="s">
        <v>146</v>
      </c>
      <c r="Z153" s="115"/>
      <c r="AA153" s="115"/>
      <c r="AB153" s="115"/>
      <c r="AC153" s="115"/>
      <c r="AD153" s="115"/>
      <c r="AE153" s="115"/>
      <c r="AF153" s="25"/>
      <c r="AG153" s="13"/>
      <c r="AL153" s="116"/>
      <c r="AM153" s="123"/>
      <c r="AN153" s="123"/>
      <c r="AO153" s="123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25"/>
      <c r="BE153" s="13"/>
      <c r="BH153" s="114"/>
    </row>
    <row r="154" spans="1:60" ht="20.100000000000001" customHeight="1" x14ac:dyDescent="0.4">
      <c r="A154" s="117"/>
      <c r="B154" s="123"/>
      <c r="C154" s="123"/>
      <c r="D154" s="123"/>
      <c r="N154" s="115"/>
      <c r="O154" s="115"/>
      <c r="P154" s="115"/>
      <c r="Q154" s="115"/>
      <c r="R154" s="115"/>
      <c r="S154" s="115"/>
      <c r="T154" s="115"/>
      <c r="U154" s="25">
        <v>45877</v>
      </c>
      <c r="V154" s="13" t="s">
        <v>148</v>
      </c>
      <c r="Z154" s="115"/>
      <c r="AA154" s="115"/>
      <c r="AB154" s="115"/>
      <c r="AC154" s="115"/>
      <c r="AD154" s="115"/>
      <c r="AE154" s="115"/>
      <c r="AF154" s="25"/>
      <c r="AG154" s="13"/>
      <c r="AL154" s="116"/>
      <c r="AM154" s="123"/>
      <c r="AN154" s="123"/>
      <c r="AO154" s="123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25"/>
      <c r="BE154" s="13"/>
      <c r="BH154" s="114"/>
    </row>
    <row r="155" spans="1:60" ht="20.100000000000001" customHeight="1" x14ac:dyDescent="0.4">
      <c r="A155" s="117"/>
      <c r="B155" s="123"/>
      <c r="C155" s="123"/>
      <c r="D155" s="123"/>
      <c r="U155" s="26">
        <v>45877</v>
      </c>
      <c r="V155" s="13" t="s">
        <v>146</v>
      </c>
      <c r="Z155" s="115"/>
      <c r="AA155" s="115"/>
      <c r="AB155" s="115"/>
      <c r="AC155" s="115"/>
      <c r="AD155" s="115"/>
      <c r="AE155" s="115"/>
      <c r="AF155" s="25"/>
      <c r="AG155" s="13"/>
      <c r="AL155" s="116"/>
      <c r="AM155" s="123"/>
      <c r="AN155" s="123"/>
      <c r="AO155" s="123"/>
      <c r="AT155" s="115"/>
      <c r="AU155" s="115"/>
      <c r="AV155" s="115"/>
      <c r="AW155" s="115"/>
      <c r="AX155" s="115"/>
      <c r="AY155" s="115"/>
      <c r="AZ155" s="115"/>
      <c r="BA155" s="115"/>
      <c r="BB155" s="115"/>
      <c r="BC155" s="115"/>
      <c r="BD155" s="25"/>
      <c r="BE155" s="13"/>
      <c r="BH155" s="114"/>
    </row>
    <row r="156" spans="1:60" ht="20.100000000000001" customHeight="1" x14ac:dyDescent="0.4">
      <c r="A156" s="117"/>
      <c r="B156" s="123"/>
      <c r="C156" s="123"/>
      <c r="D156" s="123"/>
      <c r="S156" s="115"/>
      <c r="T156" s="115"/>
      <c r="U156" s="26">
        <v>45877</v>
      </c>
      <c r="V156" s="13" t="s">
        <v>146</v>
      </c>
      <c r="Z156" s="115"/>
      <c r="AA156" s="115"/>
      <c r="AB156" s="115"/>
      <c r="AC156" s="115"/>
      <c r="AD156" s="115"/>
      <c r="AE156" s="115"/>
      <c r="AF156" s="25"/>
      <c r="AG156" s="13"/>
      <c r="AL156" s="116"/>
      <c r="AM156" s="123"/>
      <c r="AN156" s="123"/>
      <c r="AO156" s="123"/>
      <c r="AT156" s="115"/>
      <c r="AU156" s="115"/>
      <c r="AV156" s="115"/>
      <c r="AW156" s="115"/>
      <c r="AX156" s="115"/>
      <c r="AY156" s="115"/>
      <c r="AZ156" s="115"/>
      <c r="BA156" s="115"/>
      <c r="BB156" s="115"/>
      <c r="BC156" s="115"/>
      <c r="BD156" s="25"/>
      <c r="BE156" s="13"/>
      <c r="BH156" s="114"/>
    </row>
    <row r="157" spans="1:60" ht="20.100000000000001" customHeight="1" x14ac:dyDescent="0.4">
      <c r="A157" s="117"/>
      <c r="B157" s="123"/>
      <c r="C157" s="123"/>
      <c r="D157" s="123"/>
      <c r="M157" s="115"/>
      <c r="N157" s="115"/>
      <c r="O157" s="115"/>
      <c r="P157" s="115"/>
      <c r="Q157" s="115"/>
      <c r="R157" s="115"/>
      <c r="S157" s="115"/>
      <c r="T157" s="115"/>
      <c r="U157" s="26">
        <v>45877</v>
      </c>
      <c r="V157" s="13" t="s">
        <v>146</v>
      </c>
      <c r="Z157" s="115"/>
      <c r="AA157" s="115"/>
      <c r="AB157" s="115"/>
      <c r="AC157" s="115"/>
      <c r="AD157" s="115"/>
      <c r="AE157" s="115"/>
      <c r="AF157" s="25"/>
      <c r="AG157" s="13"/>
      <c r="AL157" s="116"/>
      <c r="AM157" s="123"/>
      <c r="AN157" s="123"/>
      <c r="AO157" s="123"/>
      <c r="AT157" s="115"/>
      <c r="AU157" s="115"/>
      <c r="AV157" s="115"/>
      <c r="AW157" s="115"/>
      <c r="AX157" s="115"/>
      <c r="AY157" s="115"/>
      <c r="AZ157" s="115"/>
      <c r="BA157" s="115"/>
      <c r="BB157" s="115"/>
      <c r="BC157" s="115"/>
      <c r="BD157" s="25"/>
      <c r="BE157" s="13"/>
      <c r="BH157" s="114"/>
    </row>
    <row r="158" spans="1:60" ht="20.100000000000001" customHeight="1" x14ac:dyDescent="0.4">
      <c r="A158" s="117"/>
      <c r="B158" s="123"/>
      <c r="C158" s="123"/>
      <c r="D158" s="123"/>
      <c r="M158" s="115"/>
      <c r="N158" s="115"/>
      <c r="O158" s="115"/>
      <c r="P158" s="115"/>
      <c r="Q158" s="115"/>
      <c r="R158" s="115"/>
      <c r="S158" s="115"/>
      <c r="T158" s="115"/>
      <c r="U158" s="26">
        <v>45877</v>
      </c>
      <c r="V158" s="13" t="s">
        <v>147</v>
      </c>
      <c r="Z158" s="115"/>
      <c r="AA158" s="115"/>
      <c r="AB158" s="115"/>
      <c r="AC158" s="115"/>
      <c r="AD158" s="115"/>
      <c r="AE158" s="115"/>
      <c r="AF158" s="25"/>
      <c r="AG158" s="13"/>
      <c r="AL158" s="116"/>
      <c r="AM158" s="123"/>
      <c r="AN158" s="123"/>
      <c r="AO158" s="123"/>
      <c r="AT158" s="115"/>
      <c r="AU158" s="115"/>
      <c r="AV158" s="115"/>
      <c r="AW158" s="115"/>
      <c r="AX158" s="115"/>
      <c r="AY158" s="115"/>
      <c r="AZ158" s="115"/>
      <c r="BA158" s="115"/>
      <c r="BB158" s="115"/>
      <c r="BC158" s="115"/>
      <c r="BD158" s="25"/>
      <c r="BE158" s="13"/>
      <c r="BH158" s="114"/>
    </row>
    <row r="159" spans="1:60" ht="20.100000000000001" customHeight="1" x14ac:dyDescent="0.4">
      <c r="A159" s="117"/>
      <c r="B159" s="123"/>
      <c r="C159" s="123"/>
      <c r="D159" s="123"/>
      <c r="M159" s="115"/>
      <c r="N159" s="115"/>
      <c r="O159" s="115"/>
      <c r="P159" s="115"/>
      <c r="Q159" s="115"/>
      <c r="R159" s="115"/>
      <c r="S159" s="115"/>
      <c r="T159" s="115"/>
      <c r="U159" s="26">
        <v>45877</v>
      </c>
      <c r="V159" s="13" t="s">
        <v>146</v>
      </c>
      <c r="Z159" s="115"/>
      <c r="AA159" s="115"/>
      <c r="AB159" s="115"/>
      <c r="AC159" s="115"/>
      <c r="AD159" s="115"/>
      <c r="AE159" s="115"/>
      <c r="AF159" s="25"/>
      <c r="AG159" s="13"/>
      <c r="AL159" s="116"/>
      <c r="AM159" s="123"/>
      <c r="AN159" s="123"/>
      <c r="AO159" s="123"/>
      <c r="AT159" s="115"/>
      <c r="AU159" s="115"/>
      <c r="AV159" s="115"/>
      <c r="AW159" s="115"/>
      <c r="AX159" s="115"/>
      <c r="AY159" s="115"/>
      <c r="AZ159" s="115"/>
      <c r="BA159" s="115"/>
      <c r="BB159" s="115"/>
      <c r="BC159" s="115"/>
      <c r="BD159" s="25"/>
      <c r="BE159" s="13"/>
      <c r="BH159" s="114"/>
    </row>
    <row r="160" spans="1:60" ht="20.100000000000001" customHeight="1" x14ac:dyDescent="0.4">
      <c r="A160" s="117"/>
      <c r="B160" s="123"/>
      <c r="C160" s="123"/>
      <c r="D160" s="123"/>
      <c r="M160" s="115"/>
      <c r="N160" s="115"/>
      <c r="O160" s="115"/>
      <c r="P160" s="115"/>
      <c r="Q160" s="115"/>
      <c r="R160" s="115"/>
      <c r="S160" s="115"/>
      <c r="T160" s="115"/>
      <c r="U160" s="26">
        <v>45877</v>
      </c>
      <c r="V160" s="13" t="s">
        <v>146</v>
      </c>
      <c r="Z160" s="115"/>
      <c r="AA160" s="115"/>
      <c r="AB160" s="115"/>
      <c r="AC160" s="115"/>
      <c r="AD160" s="115"/>
      <c r="AE160" s="115"/>
      <c r="AF160" s="25"/>
      <c r="AG160" s="13"/>
      <c r="AL160" s="116"/>
      <c r="AM160" s="123"/>
      <c r="AN160" s="123"/>
      <c r="AO160" s="123"/>
      <c r="AT160" s="115"/>
      <c r="AU160" s="115"/>
      <c r="AV160" s="115"/>
      <c r="AW160" s="115"/>
      <c r="AX160" s="115"/>
      <c r="AY160" s="115"/>
      <c r="AZ160" s="115"/>
      <c r="BA160" s="115"/>
      <c r="BB160" s="115"/>
      <c r="BC160" s="115"/>
      <c r="BD160" s="25"/>
      <c r="BE160" s="13"/>
      <c r="BH160" s="114"/>
    </row>
    <row r="161" spans="1:60" ht="20.100000000000001" customHeight="1" x14ac:dyDescent="0.4">
      <c r="A161" s="117"/>
      <c r="B161" s="123"/>
      <c r="C161" s="123"/>
      <c r="D161" s="123"/>
      <c r="U161" s="26">
        <v>45877</v>
      </c>
      <c r="V161" s="13" t="s">
        <v>147</v>
      </c>
      <c r="Z161" s="115"/>
      <c r="AA161" s="115"/>
      <c r="AB161" s="115"/>
      <c r="AC161" s="115"/>
      <c r="AD161" s="115"/>
      <c r="AE161" s="115"/>
      <c r="AF161" s="25"/>
      <c r="AG161" s="13"/>
      <c r="AL161" s="116"/>
      <c r="AM161" s="123"/>
      <c r="AN161" s="123"/>
      <c r="AO161" s="123"/>
      <c r="AT161" s="115"/>
      <c r="AU161" s="115"/>
      <c r="AV161" s="115"/>
      <c r="AW161" s="115"/>
      <c r="AX161" s="115"/>
      <c r="AY161" s="115"/>
      <c r="AZ161" s="115"/>
      <c r="BA161" s="115"/>
      <c r="BB161" s="115"/>
      <c r="BC161" s="115"/>
      <c r="BD161" s="25"/>
      <c r="BE161" s="13"/>
      <c r="BH161" s="114"/>
    </row>
    <row r="162" spans="1:60" ht="20.100000000000001" customHeight="1" x14ac:dyDescent="0.4">
      <c r="A162" s="117"/>
      <c r="B162" s="123"/>
      <c r="C162" s="123"/>
      <c r="D162" s="123"/>
      <c r="S162" s="115"/>
      <c r="T162" s="115"/>
      <c r="U162" s="26">
        <v>45877</v>
      </c>
      <c r="V162" s="13" t="s">
        <v>148</v>
      </c>
      <c r="Z162" s="115"/>
      <c r="AA162" s="115"/>
      <c r="AB162" s="115"/>
      <c r="AC162" s="115"/>
      <c r="AD162" s="115"/>
      <c r="AE162" s="115"/>
      <c r="AF162" s="25"/>
      <c r="AG162" s="13"/>
      <c r="AL162" s="116"/>
      <c r="AM162" s="123"/>
      <c r="AN162" s="123"/>
      <c r="AO162" s="123"/>
      <c r="AT162" s="115"/>
      <c r="AU162" s="115"/>
      <c r="AV162" s="115"/>
      <c r="AW162" s="115"/>
      <c r="AX162" s="115"/>
      <c r="AY162" s="115"/>
      <c r="AZ162" s="115"/>
      <c r="BA162" s="115"/>
      <c r="BB162" s="115"/>
      <c r="BC162" s="115"/>
      <c r="BD162" s="25"/>
      <c r="BE162" s="13"/>
      <c r="BH162" s="114"/>
    </row>
    <row r="163" spans="1:60" ht="20.100000000000001" customHeight="1" x14ac:dyDescent="0.4">
      <c r="A163" s="117"/>
      <c r="B163" s="123"/>
      <c r="C163" s="123"/>
      <c r="D163" s="123"/>
      <c r="S163" s="115"/>
      <c r="T163" s="115" t="s">
        <v>197</v>
      </c>
      <c r="U163" s="17">
        <f>SUBTOTAL(3,U153:U162)</f>
        <v>10</v>
      </c>
      <c r="V163" s="13">
        <f>SUBTOTAL(3,V153:V162)</f>
        <v>10</v>
      </c>
      <c r="Z163" s="115"/>
      <c r="AA163" s="115"/>
      <c r="AB163" s="115"/>
      <c r="AC163" s="115"/>
      <c r="AD163" s="115"/>
      <c r="AE163" s="115"/>
      <c r="AF163" s="25"/>
      <c r="AG163" s="13"/>
      <c r="AL163" s="116"/>
      <c r="AM163" s="123"/>
      <c r="AN163" s="123"/>
      <c r="AO163" s="123"/>
      <c r="AT163" s="115"/>
      <c r="AU163" s="115"/>
      <c r="AV163" s="115"/>
      <c r="AW163" s="115"/>
      <c r="AX163" s="115"/>
      <c r="AY163" s="115"/>
      <c r="AZ163" s="115"/>
      <c r="BA163" s="115"/>
      <c r="BB163" s="115"/>
      <c r="BC163" s="115"/>
      <c r="BD163" s="25"/>
      <c r="BE163" s="13"/>
      <c r="BH163" s="114"/>
    </row>
    <row r="164" spans="1:60" ht="20.100000000000001" customHeight="1" x14ac:dyDescent="0.4">
      <c r="A164" s="117"/>
      <c r="B164" s="123"/>
      <c r="C164" s="123"/>
      <c r="D164" s="123"/>
      <c r="S164" s="115"/>
      <c r="T164" s="115"/>
      <c r="U164" s="26">
        <v>45885</v>
      </c>
      <c r="V164" s="13" t="s">
        <v>146</v>
      </c>
      <c r="Z164" s="115"/>
      <c r="AA164" s="115"/>
      <c r="AB164" s="115"/>
      <c r="AC164" s="115"/>
      <c r="AD164" s="115"/>
      <c r="AE164" s="115"/>
      <c r="AF164" s="25"/>
      <c r="AG164" s="13"/>
      <c r="AL164" s="116"/>
      <c r="AM164" s="123"/>
      <c r="AN164" s="123"/>
      <c r="AO164" s="123"/>
      <c r="AT164" s="115"/>
      <c r="AU164" s="115"/>
      <c r="AV164" s="115"/>
      <c r="AW164" s="115"/>
      <c r="AX164" s="115"/>
      <c r="AY164" s="115"/>
      <c r="AZ164" s="115"/>
      <c r="BA164" s="115"/>
      <c r="BB164" s="115"/>
      <c r="BC164" s="115"/>
      <c r="BD164" s="25"/>
      <c r="BE164" s="13"/>
      <c r="BH164" s="114"/>
    </row>
    <row r="165" spans="1:60" ht="20.100000000000001" customHeight="1" x14ac:dyDescent="0.4">
      <c r="A165" s="117"/>
      <c r="B165" s="123"/>
      <c r="C165" s="123"/>
      <c r="D165" s="123"/>
      <c r="S165" s="115"/>
      <c r="T165" s="115" t="s">
        <v>381</v>
      </c>
      <c r="U165" s="17">
        <f>SUBTOTAL(3,U164:U164)</f>
        <v>1</v>
      </c>
      <c r="V165" s="13">
        <f>SUBTOTAL(3,V164:V164)</f>
        <v>1</v>
      </c>
      <c r="Z165" s="115"/>
      <c r="AA165" s="115"/>
      <c r="AB165" s="115"/>
      <c r="AC165" s="115"/>
      <c r="AD165" s="115"/>
      <c r="AE165" s="115"/>
      <c r="AF165" s="25"/>
      <c r="AG165" s="13"/>
      <c r="AL165" s="116"/>
      <c r="AM165" s="123"/>
      <c r="AN165" s="123"/>
      <c r="AO165" s="123"/>
      <c r="AT165" s="115"/>
      <c r="AU165" s="115"/>
      <c r="AV165" s="115"/>
      <c r="AW165" s="115"/>
      <c r="AX165" s="115"/>
      <c r="AY165" s="115"/>
      <c r="AZ165" s="115"/>
      <c r="BA165" s="115"/>
      <c r="BB165" s="115"/>
      <c r="BC165" s="115"/>
      <c r="BD165" s="25"/>
      <c r="BE165" s="13"/>
      <c r="BH165" s="114"/>
    </row>
    <row r="166" spans="1:60" ht="20.100000000000001" customHeight="1" x14ac:dyDescent="0.4">
      <c r="A166" s="117"/>
      <c r="B166" s="123"/>
      <c r="C166" s="123"/>
      <c r="D166" s="123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26">
        <v>45887</v>
      </c>
      <c r="V166" s="13" t="s">
        <v>147</v>
      </c>
      <c r="Z166" s="115"/>
      <c r="AA166" s="115"/>
      <c r="AB166" s="115"/>
      <c r="AC166" s="115"/>
      <c r="AD166" s="115"/>
      <c r="AE166" s="115"/>
      <c r="AF166" s="25"/>
      <c r="AG166" s="13"/>
      <c r="AL166" s="116"/>
      <c r="AM166" s="123"/>
      <c r="AN166" s="123"/>
      <c r="AO166" s="123"/>
      <c r="AT166" s="115"/>
      <c r="AU166" s="115"/>
      <c r="AV166" s="115"/>
      <c r="AW166" s="115"/>
      <c r="AX166" s="115"/>
      <c r="AY166" s="115"/>
      <c r="AZ166" s="115"/>
      <c r="BA166" s="115"/>
      <c r="BB166" s="115"/>
      <c r="BC166" s="115"/>
      <c r="BD166" s="25"/>
      <c r="BE166" s="13"/>
      <c r="BH166" s="114"/>
    </row>
    <row r="167" spans="1:60" ht="20.100000000000001" customHeight="1" x14ac:dyDescent="0.4">
      <c r="A167" s="117"/>
      <c r="B167" s="123"/>
      <c r="C167" s="123"/>
      <c r="D167" s="123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26">
        <v>45887</v>
      </c>
      <c r="V167" s="13" t="s">
        <v>147</v>
      </c>
      <c r="Z167" s="115"/>
      <c r="AA167" s="115"/>
      <c r="AB167" s="115"/>
      <c r="AC167" s="115"/>
      <c r="AD167" s="115"/>
      <c r="AE167" s="115"/>
      <c r="AF167" s="25"/>
      <c r="AG167" s="13"/>
      <c r="AL167" s="116"/>
      <c r="AM167" s="123"/>
      <c r="AN167" s="123"/>
      <c r="AO167" s="123"/>
      <c r="AT167" s="115"/>
      <c r="AU167" s="115"/>
      <c r="AV167" s="115"/>
      <c r="AW167" s="115"/>
      <c r="AX167" s="115"/>
      <c r="AY167" s="115"/>
      <c r="AZ167" s="115"/>
      <c r="BA167" s="115"/>
      <c r="BB167" s="115"/>
      <c r="BC167" s="115"/>
      <c r="BD167" s="25"/>
      <c r="BE167" s="13"/>
      <c r="BH167" s="114"/>
    </row>
    <row r="168" spans="1:60" ht="20.100000000000001" customHeight="1" x14ac:dyDescent="0.4">
      <c r="A168" s="117"/>
      <c r="B168" s="123"/>
      <c r="C168" s="123"/>
      <c r="D168" s="123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26">
        <v>45887</v>
      </c>
      <c r="V168" s="13" t="s">
        <v>147</v>
      </c>
      <c r="Z168" s="115"/>
      <c r="AA168" s="115"/>
      <c r="AB168" s="115"/>
      <c r="AC168" s="115"/>
      <c r="AD168" s="115"/>
      <c r="AE168" s="115"/>
      <c r="AF168" s="25"/>
      <c r="AG168" s="13"/>
      <c r="AL168" s="116"/>
      <c r="AM168" s="123"/>
      <c r="AN168" s="123"/>
      <c r="AO168" s="123"/>
      <c r="AT168" s="115"/>
      <c r="AU168" s="115"/>
      <c r="AV168" s="115"/>
      <c r="AW168" s="115"/>
      <c r="AX168" s="115"/>
      <c r="AY168" s="115"/>
      <c r="AZ168" s="115"/>
      <c r="BA168" s="115"/>
      <c r="BB168" s="115"/>
      <c r="BC168" s="115"/>
      <c r="BD168" s="25"/>
      <c r="BE168" s="13"/>
      <c r="BH168" s="114"/>
    </row>
    <row r="169" spans="1:60" ht="20.100000000000001" customHeight="1" x14ac:dyDescent="0.4">
      <c r="A169" s="117"/>
      <c r="B169" s="123"/>
      <c r="C169" s="123"/>
      <c r="D169" s="123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26">
        <v>45887</v>
      </c>
      <c r="V169" s="13" t="s">
        <v>147</v>
      </c>
      <c r="Z169" s="115"/>
      <c r="AA169" s="115"/>
      <c r="AB169" s="115"/>
      <c r="AC169" s="115"/>
      <c r="AD169" s="115"/>
      <c r="AE169" s="115"/>
      <c r="AF169" s="25"/>
      <c r="AG169" s="13"/>
      <c r="AL169" s="116"/>
      <c r="AM169" s="123"/>
      <c r="AN169" s="123"/>
      <c r="AO169" s="123"/>
      <c r="AT169" s="115"/>
      <c r="AU169" s="115"/>
      <c r="AV169" s="115"/>
      <c r="AW169" s="115"/>
      <c r="AX169" s="115"/>
      <c r="AY169" s="115"/>
      <c r="AZ169" s="115"/>
      <c r="BA169" s="115"/>
      <c r="BB169" s="115"/>
      <c r="BC169" s="115"/>
      <c r="BD169" s="25"/>
      <c r="BE169" s="13"/>
      <c r="BH169" s="114"/>
    </row>
    <row r="170" spans="1:60" ht="20.100000000000001" customHeight="1" x14ac:dyDescent="0.4">
      <c r="A170" s="117"/>
      <c r="B170" s="123"/>
      <c r="C170" s="123"/>
      <c r="D170" s="123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 t="s">
        <v>382</v>
      </c>
      <c r="U170" s="17">
        <f>SUBTOTAL(3,U166:U169)</f>
        <v>4</v>
      </c>
      <c r="V170" s="13">
        <f>SUBTOTAL(3,V166:V169)</f>
        <v>4</v>
      </c>
      <c r="Z170" s="115"/>
      <c r="AA170" s="115"/>
      <c r="AB170" s="115"/>
      <c r="AC170" s="115"/>
      <c r="AD170" s="115"/>
      <c r="AE170" s="115"/>
      <c r="AF170" s="25"/>
      <c r="AG170" s="13"/>
      <c r="AL170" s="116"/>
      <c r="AM170" s="123"/>
      <c r="AN170" s="123"/>
      <c r="AO170" s="123"/>
      <c r="AT170" s="115"/>
      <c r="AU170" s="115"/>
      <c r="AV170" s="115"/>
      <c r="AW170" s="115"/>
      <c r="AX170" s="115"/>
      <c r="AY170" s="115"/>
      <c r="AZ170" s="115"/>
      <c r="BA170" s="115"/>
      <c r="BB170" s="115"/>
      <c r="BC170" s="115"/>
      <c r="BD170" s="25"/>
      <c r="BE170" s="13"/>
      <c r="BH170" s="114"/>
    </row>
    <row r="171" spans="1:60" ht="20.100000000000001" customHeight="1" x14ac:dyDescent="0.4">
      <c r="A171" s="117"/>
      <c r="B171" s="123"/>
      <c r="C171" s="123"/>
      <c r="D171" s="123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26">
        <v>45898</v>
      </c>
      <c r="V171" s="13" t="s">
        <v>146</v>
      </c>
      <c r="Z171" s="115"/>
      <c r="AA171" s="115"/>
      <c r="AB171" s="115"/>
      <c r="AC171" s="115"/>
      <c r="AD171" s="115"/>
      <c r="AE171" s="115"/>
      <c r="AF171" s="25"/>
      <c r="AG171" s="13"/>
      <c r="AL171" s="116"/>
      <c r="AM171" s="123"/>
      <c r="AN171" s="123"/>
      <c r="AO171" s="123"/>
      <c r="AT171" s="115"/>
      <c r="AU171" s="115"/>
      <c r="AV171" s="115"/>
      <c r="AW171" s="115"/>
      <c r="AX171" s="115"/>
      <c r="AY171" s="115"/>
      <c r="AZ171" s="115"/>
      <c r="BA171" s="115"/>
      <c r="BB171" s="115"/>
      <c r="BC171" s="115"/>
      <c r="BD171" s="25"/>
      <c r="BE171" s="13"/>
      <c r="BH171" s="114"/>
    </row>
    <row r="172" spans="1:60" ht="20.100000000000001" customHeight="1" x14ac:dyDescent="0.4">
      <c r="A172" s="117"/>
      <c r="B172" s="123"/>
      <c r="C172" s="123"/>
      <c r="D172" s="123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26">
        <v>45898</v>
      </c>
      <c r="V172" s="15" t="s">
        <v>148</v>
      </c>
      <c r="Z172" s="115"/>
      <c r="AA172" s="115"/>
      <c r="AB172" s="115"/>
      <c r="AC172" s="115"/>
      <c r="AD172" s="115"/>
      <c r="AE172" s="115"/>
      <c r="AF172" s="25"/>
      <c r="AG172" s="13"/>
      <c r="AL172" s="116"/>
      <c r="AM172" s="123"/>
      <c r="AN172" s="123"/>
      <c r="AO172" s="123"/>
      <c r="AT172" s="115"/>
      <c r="AU172" s="115"/>
      <c r="AV172" s="115"/>
      <c r="AW172" s="115"/>
      <c r="AX172" s="115"/>
      <c r="AY172" s="115"/>
      <c r="AZ172" s="115"/>
      <c r="BA172" s="115"/>
      <c r="BB172" s="115"/>
      <c r="BC172" s="115"/>
      <c r="BD172" s="25"/>
      <c r="BE172" s="13"/>
      <c r="BH172" s="114"/>
    </row>
    <row r="173" spans="1:60" ht="20.100000000000001" customHeight="1" x14ac:dyDescent="0.4">
      <c r="A173" s="117"/>
      <c r="B173" s="123"/>
      <c r="C173" s="123"/>
      <c r="D173" s="123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 t="s">
        <v>383</v>
      </c>
      <c r="U173" s="17">
        <f>SUBTOTAL(3,U171:U172)</f>
        <v>2</v>
      </c>
      <c r="V173" s="15">
        <f>SUBTOTAL(3,V171:V172)</f>
        <v>2</v>
      </c>
      <c r="Z173" s="115"/>
      <c r="AA173" s="115"/>
      <c r="AB173" s="115"/>
      <c r="AC173" s="115"/>
      <c r="AD173" s="115"/>
      <c r="AE173" s="115"/>
      <c r="AF173" s="25"/>
      <c r="AG173" s="13"/>
      <c r="AL173" s="116"/>
      <c r="AM173" s="123"/>
      <c r="AN173" s="123"/>
      <c r="AO173" s="123"/>
      <c r="AT173" s="115"/>
      <c r="AU173" s="115"/>
      <c r="AV173" s="115"/>
      <c r="AW173" s="115"/>
      <c r="AX173" s="115"/>
      <c r="AY173" s="115"/>
      <c r="AZ173" s="115"/>
      <c r="BA173" s="115"/>
      <c r="BB173" s="115"/>
      <c r="BC173" s="115"/>
      <c r="BD173" s="25"/>
      <c r="BE173" s="13"/>
      <c r="BH173" s="114"/>
    </row>
    <row r="174" spans="1:60" ht="20.100000000000001" customHeight="1" x14ac:dyDescent="0.4">
      <c r="A174" s="117"/>
      <c r="B174" s="123"/>
      <c r="C174" s="123"/>
      <c r="D174" s="123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26">
        <v>45899</v>
      </c>
      <c r="V174" s="15" t="s">
        <v>147</v>
      </c>
      <c r="Z174" s="115"/>
      <c r="AA174" s="115"/>
      <c r="AB174" s="115"/>
      <c r="AC174" s="115"/>
      <c r="AD174" s="115"/>
      <c r="AE174" s="115"/>
      <c r="AF174" s="25"/>
      <c r="AG174" s="13"/>
      <c r="AL174" s="116"/>
      <c r="AM174" s="123"/>
      <c r="AN174" s="123"/>
      <c r="AO174" s="123"/>
      <c r="AT174" s="115"/>
      <c r="AU174" s="115"/>
      <c r="AV174" s="115"/>
      <c r="AW174" s="115"/>
      <c r="AX174" s="115"/>
      <c r="AY174" s="115"/>
      <c r="AZ174" s="115"/>
      <c r="BA174" s="115"/>
      <c r="BB174" s="115"/>
      <c r="BC174" s="115"/>
      <c r="BD174" s="25"/>
      <c r="BE174" s="13"/>
      <c r="BH174" s="114"/>
    </row>
    <row r="175" spans="1:60" ht="20.100000000000001" customHeight="1" x14ac:dyDescent="0.4">
      <c r="A175" s="117"/>
      <c r="B175" s="123"/>
      <c r="C175" s="123"/>
      <c r="D175" s="123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 t="s">
        <v>384</v>
      </c>
      <c r="U175" s="20">
        <f>SUBTOTAL(3,U174:U174)</f>
        <v>1</v>
      </c>
      <c r="V175" s="13">
        <f>SUBTOTAL(3,V174:V174)</f>
        <v>1</v>
      </c>
      <c r="Z175" s="115"/>
      <c r="AA175" s="115"/>
      <c r="AB175" s="115"/>
      <c r="AC175" s="115"/>
      <c r="AD175" s="115"/>
      <c r="AE175" s="115"/>
      <c r="AF175" s="25"/>
      <c r="AG175" s="13"/>
      <c r="AL175" s="116"/>
      <c r="AM175" s="123"/>
      <c r="AN175" s="123"/>
      <c r="AO175" s="123"/>
      <c r="AT175" s="115"/>
      <c r="AU175" s="115"/>
      <c r="AV175" s="115"/>
      <c r="AW175" s="115"/>
      <c r="AX175" s="115"/>
      <c r="AY175" s="115"/>
      <c r="AZ175" s="115"/>
      <c r="BA175" s="115"/>
      <c r="BB175" s="115"/>
      <c r="BC175" s="115"/>
      <c r="BD175" s="25"/>
      <c r="BE175" s="13"/>
      <c r="BH175" s="114"/>
    </row>
    <row r="176" spans="1:60" ht="20.100000000000001" customHeight="1" x14ac:dyDescent="0.4">
      <c r="A176" s="117"/>
      <c r="B176" s="123"/>
      <c r="C176" s="123"/>
      <c r="D176" s="123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 t="s">
        <v>145</v>
      </c>
      <c r="U176" s="20">
        <f>SUBTOTAL(3,U2:U174)</f>
        <v>154</v>
      </c>
      <c r="V176" s="13">
        <f>SUBTOTAL(3,V2:V174)</f>
        <v>154</v>
      </c>
      <c r="Z176" s="115"/>
      <c r="AA176" s="115"/>
      <c r="AB176" s="115"/>
      <c r="AC176" s="115"/>
      <c r="AD176" s="115"/>
      <c r="AE176" s="115"/>
      <c r="AF176" s="25"/>
      <c r="AG176" s="13"/>
      <c r="AL176" s="116"/>
      <c r="AM176" s="123"/>
      <c r="AN176" s="123"/>
      <c r="AO176" s="123"/>
      <c r="AT176" s="115"/>
      <c r="AU176" s="115"/>
      <c r="AV176" s="115"/>
      <c r="AW176" s="115"/>
      <c r="AX176" s="115"/>
      <c r="AY176" s="115"/>
      <c r="AZ176" s="115"/>
      <c r="BA176" s="115"/>
      <c r="BB176" s="115"/>
      <c r="BC176" s="115"/>
      <c r="BD176" s="25"/>
      <c r="BE176" s="13"/>
      <c r="BH176" s="114"/>
    </row>
    <row r="177" spans="1:60" ht="20.100000000000001" customHeight="1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25"/>
      <c r="V177" s="13"/>
      <c r="Z177" s="115"/>
      <c r="AA177" s="115"/>
      <c r="AB177" s="115"/>
      <c r="AC177" s="115"/>
      <c r="AD177" s="115"/>
      <c r="AE177" s="115"/>
      <c r="AF177" s="25"/>
      <c r="AG177" s="13"/>
      <c r="AL177" s="116"/>
      <c r="AM177" s="123"/>
      <c r="AN177" s="123"/>
      <c r="AO177" s="123"/>
      <c r="AT177" s="115"/>
      <c r="AU177" s="115"/>
      <c r="AV177" s="115"/>
      <c r="AW177" s="115"/>
      <c r="AX177" s="115"/>
      <c r="AY177" s="115"/>
      <c r="AZ177" s="115"/>
      <c r="BA177" s="115"/>
      <c r="BB177" s="115"/>
      <c r="BC177" s="115"/>
      <c r="BD177" s="25"/>
      <c r="BE177" s="13"/>
      <c r="BH177" s="114"/>
    </row>
    <row r="178" spans="1:60" ht="20.100000000000001" customHeight="1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3"/>
      <c r="V178" s="13"/>
      <c r="Z178" s="115"/>
      <c r="AA178" s="115"/>
      <c r="AB178" s="115"/>
      <c r="AC178" s="115"/>
      <c r="AD178" s="115"/>
      <c r="AE178" s="115"/>
      <c r="AF178" s="25"/>
      <c r="AG178" s="13"/>
      <c r="AL178" s="116"/>
      <c r="AM178" s="123"/>
      <c r="AN178" s="123"/>
      <c r="AO178" s="123"/>
      <c r="AT178" s="115"/>
      <c r="AU178" s="115"/>
      <c r="AV178" s="115"/>
      <c r="AW178" s="115"/>
      <c r="AX178" s="115"/>
      <c r="AY178" s="115"/>
      <c r="AZ178" s="115"/>
      <c r="BA178" s="115"/>
      <c r="BB178" s="115"/>
      <c r="BC178" s="115"/>
      <c r="BD178" s="25"/>
      <c r="BE178" s="13"/>
      <c r="BH178" s="114"/>
    </row>
    <row r="179" spans="1:60" ht="20.100000000000001" customHeight="1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25"/>
      <c r="V179" s="13"/>
      <c r="Z179" s="115"/>
      <c r="AA179" s="115"/>
      <c r="AB179" s="115"/>
      <c r="AC179" s="115"/>
      <c r="AD179" s="115"/>
      <c r="AE179" s="115"/>
      <c r="AF179" s="25"/>
      <c r="AG179" s="13"/>
      <c r="AL179" s="116"/>
      <c r="AM179" s="123"/>
      <c r="AN179" s="123"/>
      <c r="AO179" s="123"/>
      <c r="AT179" s="115"/>
      <c r="AU179" s="115"/>
      <c r="AV179" s="115"/>
      <c r="AW179" s="115"/>
      <c r="AX179" s="115"/>
      <c r="AY179" s="115"/>
      <c r="AZ179" s="115"/>
      <c r="BA179" s="115"/>
      <c r="BB179" s="115"/>
      <c r="BC179" s="115"/>
      <c r="BD179" s="25"/>
      <c r="BE179" s="13"/>
      <c r="BH179" s="114"/>
    </row>
    <row r="180" spans="1:60" ht="20.100000000000001" customHeight="1" x14ac:dyDescent="0.4">
      <c r="A180" s="117"/>
      <c r="B180" s="123"/>
      <c r="C180" s="123"/>
      <c r="D180" s="123"/>
      <c r="U180" s="25"/>
      <c r="V180" s="25"/>
      <c r="Z180" s="115"/>
      <c r="AA180" s="115"/>
      <c r="AB180" s="115"/>
      <c r="AC180" s="115"/>
      <c r="AD180" s="115"/>
      <c r="AE180" s="115"/>
      <c r="AF180" s="25">
        <v>45672</v>
      </c>
      <c r="AG180" s="13" t="s">
        <v>146</v>
      </c>
      <c r="AL180" s="116"/>
      <c r="AM180" s="123"/>
      <c r="AN180" s="123"/>
      <c r="AO180" s="123"/>
      <c r="AT180" s="115"/>
      <c r="AU180" s="115"/>
      <c r="AV180" s="115"/>
      <c r="AW180" s="115"/>
      <c r="AX180" s="115"/>
      <c r="AY180" s="115"/>
      <c r="AZ180" s="115"/>
      <c r="BA180" s="115"/>
      <c r="BB180" s="115"/>
      <c r="BC180" s="115"/>
      <c r="BD180" s="25"/>
      <c r="BE180" s="13"/>
      <c r="BH180" s="114"/>
    </row>
    <row r="181" spans="1:60" ht="20.100000000000001" customHeight="1" x14ac:dyDescent="0.4">
      <c r="A181" s="117"/>
      <c r="B181" s="123"/>
      <c r="C181" s="123"/>
      <c r="D181" s="123"/>
      <c r="R181" s="115"/>
      <c r="S181" s="115"/>
      <c r="T181" s="115"/>
      <c r="U181" s="13"/>
      <c r="V181" s="13"/>
      <c r="Z181" s="115"/>
      <c r="AA181" s="115"/>
      <c r="AB181" s="115"/>
      <c r="AC181" s="115"/>
      <c r="AD181" s="115"/>
      <c r="AE181" s="115"/>
      <c r="AF181" s="25"/>
      <c r="AG181" s="13"/>
      <c r="AL181" s="116"/>
      <c r="AM181" s="123"/>
      <c r="AN181" s="123"/>
      <c r="AO181" s="123"/>
      <c r="AT181" s="115"/>
      <c r="AU181" s="115"/>
      <c r="AV181" s="115"/>
      <c r="AW181" s="115"/>
      <c r="AX181" s="115"/>
      <c r="AY181" s="115"/>
      <c r="AZ181" s="115"/>
      <c r="BA181" s="115"/>
      <c r="BB181" s="115"/>
      <c r="BC181" s="115"/>
      <c r="BD181" s="25"/>
      <c r="BE181" s="13"/>
      <c r="BH181" s="114"/>
    </row>
    <row r="182" spans="1:60" ht="20.100000000000001" customHeight="1" x14ac:dyDescent="0.4">
      <c r="A182" s="117"/>
      <c r="B182" s="123"/>
      <c r="C182" s="123"/>
      <c r="D182" s="123"/>
      <c r="O182" s="115"/>
      <c r="P182" s="115"/>
      <c r="Q182" s="115"/>
      <c r="R182" s="115"/>
      <c r="S182" s="115"/>
      <c r="T182" s="115"/>
      <c r="U182" s="25"/>
      <c r="V182" s="13"/>
      <c r="Z182" s="115"/>
      <c r="AA182" s="115"/>
      <c r="AB182" s="115"/>
      <c r="AC182" s="115"/>
      <c r="AD182" s="115"/>
      <c r="AE182" s="115"/>
      <c r="AF182" s="25"/>
      <c r="AG182" s="13"/>
      <c r="AL182" s="116"/>
      <c r="AM182" s="123"/>
      <c r="AN182" s="123"/>
      <c r="AO182" s="123"/>
      <c r="AT182" s="115"/>
      <c r="AU182" s="115"/>
      <c r="AV182" s="115"/>
      <c r="AW182" s="115"/>
      <c r="AX182" s="115"/>
      <c r="AY182" s="115"/>
      <c r="AZ182" s="115"/>
      <c r="BA182" s="115"/>
      <c r="BB182" s="115"/>
      <c r="BC182" s="115"/>
      <c r="BD182" s="25"/>
      <c r="BE182" s="13"/>
      <c r="BH182" s="114"/>
    </row>
    <row r="183" spans="1:60" ht="20.100000000000001" customHeight="1" x14ac:dyDescent="0.4">
      <c r="A183" s="117"/>
      <c r="B183" s="123"/>
      <c r="C183" s="123"/>
      <c r="D183" s="123"/>
      <c r="O183" s="115"/>
      <c r="P183" s="115"/>
      <c r="Q183" s="115"/>
      <c r="R183" s="115"/>
      <c r="S183" s="115"/>
      <c r="T183" s="115"/>
      <c r="U183" s="20"/>
      <c r="V183" s="13"/>
      <c r="Z183" s="115"/>
      <c r="AA183" s="115"/>
      <c r="AB183" s="115"/>
      <c r="AC183" s="115"/>
      <c r="AD183" s="115"/>
      <c r="AE183" s="115"/>
      <c r="AF183" s="25"/>
      <c r="AG183" s="13"/>
      <c r="AL183" s="116"/>
      <c r="AM183" s="123"/>
      <c r="AN183" s="123"/>
      <c r="AO183" s="123"/>
      <c r="AT183" s="115"/>
      <c r="AU183" s="115"/>
      <c r="AV183" s="115"/>
      <c r="AW183" s="115"/>
      <c r="AX183" s="115"/>
      <c r="AY183" s="115"/>
      <c r="AZ183" s="115"/>
      <c r="BA183" s="115"/>
      <c r="BB183" s="115"/>
      <c r="BC183" s="115"/>
      <c r="BD183" s="25"/>
      <c r="BE183" s="13"/>
      <c r="BH183" s="114"/>
    </row>
    <row r="184" spans="1:60" ht="20.100000000000001" customHeight="1" x14ac:dyDescent="0.4">
      <c r="A184" s="117"/>
      <c r="B184" s="123"/>
      <c r="C184" s="123"/>
      <c r="D184" s="123"/>
      <c r="N184" s="115"/>
      <c r="O184" s="115"/>
      <c r="P184" s="115"/>
      <c r="Q184" s="115"/>
      <c r="R184" s="115"/>
      <c r="S184" s="115"/>
      <c r="T184" s="115"/>
      <c r="U184" s="26"/>
      <c r="V184" s="15"/>
      <c r="Z184" s="115"/>
      <c r="AA184" s="115"/>
      <c r="AB184" s="115"/>
      <c r="AC184" s="115"/>
      <c r="AD184" s="115"/>
      <c r="AE184" s="115"/>
      <c r="AF184" s="25"/>
      <c r="AG184" s="13"/>
      <c r="AL184" s="116"/>
      <c r="AM184" s="123"/>
      <c r="AN184" s="123"/>
      <c r="AO184" s="123"/>
      <c r="AT184" s="115"/>
      <c r="AU184" s="115"/>
      <c r="AV184" s="115"/>
      <c r="AW184" s="115"/>
      <c r="AX184" s="115"/>
      <c r="AY184" s="115"/>
      <c r="AZ184" s="115"/>
      <c r="BA184" s="115"/>
      <c r="BB184" s="115"/>
      <c r="BC184" s="115"/>
      <c r="BD184" s="25"/>
      <c r="BE184" s="13"/>
      <c r="BH184" s="114"/>
    </row>
    <row r="185" spans="1:60" ht="20.100000000000001" customHeight="1" x14ac:dyDescent="0.4">
      <c r="A185" s="117"/>
      <c r="B185" s="123"/>
      <c r="C185" s="123"/>
      <c r="D185" s="123"/>
      <c r="U185" s="26"/>
      <c r="V185" s="15"/>
      <c r="Z185" s="115"/>
      <c r="AA185" s="115"/>
      <c r="AB185" s="115"/>
      <c r="AC185" s="115"/>
      <c r="AD185" s="115"/>
      <c r="AE185" s="115"/>
      <c r="AF185" s="25">
        <v>45672</v>
      </c>
      <c r="AG185" s="13" t="s">
        <v>146</v>
      </c>
      <c r="AL185" s="116"/>
      <c r="AM185" s="123"/>
      <c r="AN185" s="123"/>
      <c r="AO185" s="123"/>
      <c r="AT185" s="115"/>
      <c r="AU185" s="115"/>
      <c r="AV185" s="115"/>
      <c r="AW185" s="115"/>
      <c r="AX185" s="115"/>
      <c r="AY185" s="115"/>
      <c r="AZ185" s="115"/>
      <c r="BA185" s="115"/>
      <c r="BB185" s="115"/>
      <c r="BC185" s="115"/>
      <c r="BD185" s="25"/>
      <c r="BE185" s="13"/>
      <c r="BH185" s="114"/>
    </row>
    <row r="186" spans="1:60" ht="20.100000000000001" customHeight="1" x14ac:dyDescent="0.4">
      <c r="A186" s="117"/>
      <c r="B186" s="123"/>
      <c r="C186" s="123"/>
      <c r="D186" s="123"/>
      <c r="U186" s="30"/>
      <c r="V186" s="15"/>
      <c r="Z186" s="115"/>
      <c r="AA186" s="115"/>
      <c r="AB186" s="115"/>
      <c r="AC186" s="115"/>
      <c r="AD186" s="115"/>
      <c r="AE186" s="115"/>
      <c r="AF186" s="25"/>
      <c r="AG186" s="13"/>
      <c r="AL186" s="116"/>
      <c r="AM186" s="123"/>
      <c r="AN186" s="123"/>
      <c r="AO186" s="123"/>
      <c r="AT186" s="115"/>
      <c r="AU186" s="115"/>
      <c r="AV186" s="115"/>
      <c r="AW186" s="115"/>
      <c r="AX186" s="115"/>
      <c r="AY186" s="115"/>
      <c r="AZ186" s="115"/>
      <c r="BA186" s="115"/>
      <c r="BB186" s="115"/>
      <c r="BC186" s="115"/>
      <c r="BD186" s="25"/>
      <c r="BE186" s="13"/>
      <c r="BH186" s="114"/>
    </row>
    <row r="187" spans="1:60" ht="20.100000000000001" customHeight="1" x14ac:dyDescent="0.4">
      <c r="A187" s="117"/>
      <c r="B187" s="123"/>
      <c r="C187" s="123"/>
      <c r="D187" s="123"/>
      <c r="R187" s="115"/>
      <c r="S187" s="115"/>
      <c r="T187" s="115"/>
      <c r="U187" s="19"/>
      <c r="V187" s="15"/>
      <c r="Z187" s="115"/>
      <c r="AA187" s="115"/>
      <c r="AB187" s="115"/>
      <c r="AC187" s="115"/>
      <c r="AD187" s="115"/>
      <c r="AE187" s="115"/>
      <c r="AF187" s="25"/>
      <c r="AG187" s="13"/>
      <c r="AL187" s="116"/>
      <c r="AM187" s="123"/>
      <c r="AN187" s="123"/>
      <c r="AO187" s="123"/>
      <c r="AT187" s="115"/>
      <c r="AU187" s="115"/>
      <c r="AV187" s="115"/>
      <c r="AW187" s="115"/>
      <c r="AX187" s="115"/>
      <c r="AY187" s="115"/>
      <c r="AZ187" s="115"/>
      <c r="BA187" s="115"/>
      <c r="BB187" s="115"/>
      <c r="BC187" s="115"/>
      <c r="BD187" s="25"/>
      <c r="BE187" s="13"/>
      <c r="BH187" s="114"/>
    </row>
    <row r="188" spans="1:60" ht="20.100000000000001" customHeight="1" x14ac:dyDescent="0.4">
      <c r="A188" s="117"/>
      <c r="B188" s="123"/>
      <c r="C188" s="123"/>
      <c r="D188" s="123"/>
      <c r="U188" s="30"/>
      <c r="V188" s="15"/>
      <c r="Z188" s="115"/>
      <c r="AA188" s="115"/>
      <c r="AB188" s="115"/>
      <c r="AC188" s="115"/>
      <c r="AD188" s="115"/>
      <c r="AE188" s="115"/>
      <c r="AF188" s="25">
        <v>45672</v>
      </c>
      <c r="AG188" s="25" t="s">
        <v>147</v>
      </c>
      <c r="AL188" s="116"/>
      <c r="AM188" s="123"/>
      <c r="AN188" s="123"/>
      <c r="AO188" s="123"/>
      <c r="AT188" s="115"/>
      <c r="AU188" s="115"/>
      <c r="AV188" s="115"/>
      <c r="AW188" s="115"/>
      <c r="AX188" s="115"/>
      <c r="AY188" s="115"/>
      <c r="AZ188" s="115"/>
      <c r="BA188" s="115"/>
      <c r="BB188" s="115"/>
      <c r="BC188" s="115"/>
      <c r="BD188" s="25"/>
      <c r="BE188" s="13"/>
      <c r="BH188" s="114"/>
    </row>
    <row r="189" spans="1:60" ht="20.100000000000001" customHeight="1" x14ac:dyDescent="0.4">
      <c r="A189" s="117"/>
      <c r="B189" s="123"/>
      <c r="C189" s="123"/>
      <c r="D189" s="123"/>
      <c r="U189" s="26"/>
      <c r="V189" s="15"/>
      <c r="Z189" s="115"/>
      <c r="AA189" s="115"/>
      <c r="AB189" s="115"/>
      <c r="AC189" s="115"/>
      <c r="AD189" s="115"/>
      <c r="AE189" s="115"/>
      <c r="AF189" s="25"/>
      <c r="AG189" s="25"/>
      <c r="AL189" s="116"/>
      <c r="AM189" s="123"/>
      <c r="AN189" s="123"/>
      <c r="AO189" s="123"/>
      <c r="AT189" s="115"/>
      <c r="AU189" s="115"/>
      <c r="AV189" s="115"/>
      <c r="AW189" s="115"/>
      <c r="AX189" s="115"/>
      <c r="AY189" s="115"/>
      <c r="AZ189" s="115"/>
      <c r="BA189" s="115"/>
      <c r="BB189" s="115"/>
      <c r="BC189" s="115"/>
      <c r="BD189" s="25"/>
      <c r="BE189" s="13"/>
      <c r="BH189" s="114"/>
    </row>
    <row r="190" spans="1:60" ht="20.100000000000001" customHeight="1" x14ac:dyDescent="0.4">
      <c r="A190" s="117"/>
      <c r="B190" s="123"/>
      <c r="C190" s="123"/>
      <c r="D190" s="123"/>
      <c r="R190" s="115"/>
      <c r="S190" s="115"/>
      <c r="T190" s="115"/>
      <c r="U190" s="20"/>
      <c r="V190" s="13"/>
      <c r="Z190" s="115"/>
      <c r="AA190" s="115"/>
      <c r="AB190" s="115"/>
      <c r="AC190" s="115"/>
      <c r="AD190" s="115"/>
      <c r="AE190" s="115"/>
      <c r="AF190" s="25"/>
      <c r="AG190" s="25"/>
      <c r="AL190" s="116"/>
      <c r="AM190" s="123"/>
      <c r="AN190" s="123"/>
      <c r="AO190" s="123"/>
      <c r="AT190" s="115"/>
      <c r="AU190" s="115"/>
      <c r="AV190" s="115"/>
      <c r="AW190" s="115"/>
      <c r="AX190" s="115"/>
      <c r="AY190" s="115"/>
      <c r="AZ190" s="115"/>
      <c r="BA190" s="115"/>
      <c r="BB190" s="115"/>
      <c r="BC190" s="115"/>
      <c r="BD190" s="25"/>
      <c r="BE190" s="13"/>
      <c r="BH190" s="114"/>
    </row>
    <row r="191" spans="1:60" ht="20.100000000000001" customHeight="1" x14ac:dyDescent="0.4">
      <c r="A191" s="117"/>
      <c r="B191" s="123"/>
      <c r="C191" s="123"/>
      <c r="D191" s="123"/>
      <c r="R191" s="115"/>
      <c r="S191" s="115"/>
      <c r="T191" s="115"/>
      <c r="U191" s="20"/>
      <c r="V191" s="13"/>
      <c r="Z191" s="115"/>
      <c r="AA191" s="115"/>
      <c r="AB191" s="115"/>
      <c r="AC191" s="115"/>
      <c r="AD191" s="115"/>
      <c r="AE191" s="115"/>
      <c r="AF191" s="25"/>
      <c r="AG191" s="25"/>
      <c r="AL191" s="116"/>
      <c r="AM191" s="123"/>
      <c r="AN191" s="123"/>
      <c r="AO191" s="123"/>
      <c r="AT191" s="115"/>
      <c r="AU191" s="115"/>
      <c r="AV191" s="115"/>
      <c r="AW191" s="115"/>
      <c r="AX191" s="115"/>
      <c r="AY191" s="115"/>
      <c r="AZ191" s="115"/>
      <c r="BA191" s="115"/>
      <c r="BB191" s="115"/>
      <c r="BC191" s="115"/>
      <c r="BD191" s="25"/>
      <c r="BE191" s="13"/>
      <c r="BH191" s="114"/>
    </row>
    <row r="192" spans="1:60" ht="20.100000000000001" customHeight="1" x14ac:dyDescent="0.4">
      <c r="A192" s="117"/>
      <c r="B192" s="123"/>
      <c r="C192" s="123"/>
      <c r="D192" s="123"/>
      <c r="O192" s="115"/>
      <c r="P192" s="115"/>
      <c r="Q192" s="115"/>
      <c r="R192" s="115"/>
      <c r="S192" s="115"/>
      <c r="T192" s="115"/>
      <c r="U192" s="25"/>
      <c r="V192" s="13"/>
      <c r="Z192" s="115"/>
      <c r="AA192" s="115"/>
      <c r="AB192" s="115"/>
      <c r="AC192" s="115"/>
      <c r="AD192" s="115"/>
      <c r="AE192" s="115"/>
      <c r="AF192" s="25"/>
      <c r="AG192" s="25"/>
      <c r="AL192" s="116"/>
      <c r="AM192" s="123"/>
      <c r="AN192" s="123"/>
      <c r="AO192" s="123"/>
      <c r="AT192" s="115"/>
      <c r="AU192" s="115"/>
      <c r="AV192" s="115"/>
      <c r="AW192" s="115"/>
      <c r="AX192" s="115"/>
      <c r="AY192" s="115"/>
      <c r="AZ192" s="115"/>
      <c r="BA192" s="115"/>
      <c r="BB192" s="115"/>
      <c r="BC192" s="115"/>
      <c r="BD192" s="25"/>
      <c r="BE192" s="13"/>
      <c r="BH192" s="114"/>
    </row>
    <row r="193" spans="1:60" ht="20.100000000000001" customHeight="1" x14ac:dyDescent="0.4">
      <c r="A193" s="117"/>
      <c r="B193" s="123"/>
      <c r="C193" s="123"/>
      <c r="D193" s="123"/>
      <c r="O193" s="115"/>
      <c r="P193" s="115"/>
      <c r="Q193" s="115"/>
      <c r="R193" s="115"/>
      <c r="S193" s="115"/>
      <c r="T193" s="115"/>
      <c r="U193" s="20"/>
      <c r="V193" s="13"/>
      <c r="Z193" s="115"/>
      <c r="AA193" s="115"/>
      <c r="AB193" s="115"/>
      <c r="AC193" s="115"/>
      <c r="AD193" s="115"/>
      <c r="AE193" s="115"/>
      <c r="AF193" s="25"/>
      <c r="AG193" s="25"/>
      <c r="AL193" s="116"/>
      <c r="AM193" s="123"/>
      <c r="AN193" s="123"/>
      <c r="AO193" s="123"/>
      <c r="AT193" s="115"/>
      <c r="AU193" s="115"/>
      <c r="AV193" s="115"/>
      <c r="AW193" s="115"/>
      <c r="AX193" s="115"/>
      <c r="AY193" s="115"/>
      <c r="AZ193" s="115"/>
      <c r="BA193" s="115"/>
      <c r="BB193" s="115"/>
      <c r="BC193" s="115"/>
      <c r="BD193" s="25"/>
      <c r="BE193" s="13"/>
      <c r="BH193" s="114"/>
    </row>
    <row r="194" spans="1:60" ht="20.100000000000001" customHeight="1" x14ac:dyDescent="0.4">
      <c r="A194" s="117"/>
      <c r="B194" s="123"/>
      <c r="C194" s="123"/>
      <c r="D194" s="123"/>
      <c r="N194" s="115"/>
      <c r="O194" s="115"/>
      <c r="P194" s="115"/>
      <c r="Q194" s="115"/>
      <c r="R194" s="115"/>
      <c r="S194" s="115"/>
      <c r="T194" s="115"/>
      <c r="U194" s="26"/>
      <c r="V194" s="13"/>
      <c r="Z194" s="115"/>
      <c r="AA194" s="115"/>
      <c r="AB194" s="115"/>
      <c r="AC194" s="115"/>
      <c r="AD194" s="115"/>
      <c r="AE194" s="115"/>
      <c r="AF194" s="25"/>
      <c r="AG194" s="25"/>
      <c r="AL194" s="116"/>
      <c r="AM194" s="123"/>
      <c r="AN194" s="123"/>
      <c r="AO194" s="123"/>
      <c r="AT194" s="115"/>
      <c r="AU194" s="115"/>
      <c r="AV194" s="115"/>
      <c r="AW194" s="115"/>
      <c r="AX194" s="115"/>
      <c r="AY194" s="115"/>
      <c r="AZ194" s="115"/>
      <c r="BA194" s="115"/>
      <c r="BB194" s="115"/>
      <c r="BC194" s="115"/>
      <c r="BD194" s="25"/>
      <c r="BE194" s="13"/>
      <c r="BH194" s="114"/>
    </row>
    <row r="195" spans="1:60" ht="20.100000000000001" customHeight="1" x14ac:dyDescent="0.4">
      <c r="A195" s="117"/>
      <c r="B195" s="123"/>
      <c r="C195" s="123"/>
      <c r="D195" s="123"/>
      <c r="U195" s="26"/>
      <c r="V195" s="13"/>
      <c r="Z195" s="115"/>
      <c r="AA195" s="115"/>
      <c r="AB195" s="115"/>
      <c r="AC195" s="115"/>
      <c r="AD195" s="115"/>
      <c r="AE195" s="115"/>
      <c r="AF195" s="25">
        <v>45673</v>
      </c>
      <c r="AG195" s="13" t="s">
        <v>147</v>
      </c>
      <c r="AL195" s="116"/>
      <c r="AM195" s="123"/>
      <c r="AN195" s="123"/>
      <c r="AO195" s="123"/>
      <c r="AT195" s="115"/>
      <c r="AU195" s="115"/>
      <c r="AV195" s="115"/>
      <c r="AW195" s="115"/>
      <c r="AX195" s="115"/>
      <c r="AY195" s="115"/>
      <c r="AZ195" s="115"/>
      <c r="BA195" s="115"/>
      <c r="BB195" s="115"/>
      <c r="BC195" s="115"/>
      <c r="BD195" s="25"/>
      <c r="BE195" s="13"/>
      <c r="BH195" s="114"/>
    </row>
    <row r="196" spans="1:60" ht="20.100000000000001" customHeight="1" x14ac:dyDescent="0.4">
      <c r="A196" s="117"/>
      <c r="B196" s="123"/>
      <c r="C196" s="123"/>
      <c r="D196" s="123"/>
      <c r="P196" s="115"/>
      <c r="Q196" s="115"/>
      <c r="R196" s="115"/>
      <c r="S196" s="115"/>
      <c r="T196" s="115"/>
      <c r="U196" s="26"/>
      <c r="V196" s="13"/>
      <c r="Z196" s="115"/>
      <c r="AA196" s="115"/>
      <c r="AB196" s="115"/>
      <c r="AC196" s="115"/>
      <c r="AD196" s="115"/>
      <c r="AE196" s="115"/>
      <c r="AF196" s="25"/>
      <c r="AG196" s="13"/>
      <c r="AL196" s="116"/>
      <c r="AM196" s="123"/>
      <c r="AN196" s="123"/>
      <c r="AO196" s="123"/>
      <c r="AT196" s="115"/>
      <c r="AU196" s="115"/>
      <c r="AV196" s="115"/>
      <c r="AW196" s="115"/>
      <c r="AX196" s="115"/>
      <c r="AY196" s="115"/>
      <c r="AZ196" s="115"/>
      <c r="BA196" s="115"/>
      <c r="BB196" s="115"/>
      <c r="BC196" s="115"/>
      <c r="BD196" s="25"/>
      <c r="BE196" s="13"/>
      <c r="BH196" s="114"/>
    </row>
    <row r="197" spans="1:60" ht="20.100000000000001" customHeight="1" x14ac:dyDescent="0.4">
      <c r="A197" s="117"/>
      <c r="B197" s="123"/>
      <c r="C197" s="123"/>
      <c r="D197" s="123"/>
      <c r="L197" s="115"/>
      <c r="M197" s="115"/>
      <c r="N197" s="115"/>
      <c r="O197" s="115"/>
      <c r="P197" s="115"/>
      <c r="Q197" s="115"/>
      <c r="R197" s="115"/>
      <c r="S197" s="115"/>
      <c r="T197" s="115"/>
      <c r="U197" s="26"/>
      <c r="V197" s="13"/>
      <c r="Z197" s="115"/>
      <c r="AA197" s="115"/>
      <c r="AB197" s="115"/>
      <c r="AC197" s="115"/>
      <c r="AD197" s="115"/>
      <c r="AE197" s="115"/>
      <c r="AF197" s="25"/>
      <c r="AG197" s="13"/>
      <c r="AL197" s="116"/>
      <c r="AM197" s="123"/>
      <c r="AN197" s="123"/>
      <c r="AO197" s="123"/>
      <c r="AT197" s="115"/>
      <c r="AU197" s="115"/>
      <c r="AV197" s="115"/>
      <c r="AW197" s="115"/>
      <c r="AX197" s="115"/>
      <c r="AY197" s="115"/>
      <c r="AZ197" s="115"/>
      <c r="BA197" s="115"/>
      <c r="BB197" s="115"/>
      <c r="BC197" s="115"/>
      <c r="BD197" s="25"/>
      <c r="BE197" s="13"/>
      <c r="BH197" s="114"/>
    </row>
    <row r="198" spans="1:60" ht="20.100000000000001" customHeight="1" x14ac:dyDescent="0.4">
      <c r="A198" s="117"/>
      <c r="B198" s="123"/>
      <c r="C198" s="123"/>
      <c r="D198" s="123"/>
      <c r="L198" s="115"/>
      <c r="M198" s="115"/>
      <c r="N198" s="115"/>
      <c r="O198" s="115"/>
      <c r="P198" s="115"/>
      <c r="Q198" s="115"/>
      <c r="R198" s="115"/>
      <c r="S198" s="115"/>
      <c r="T198" s="115"/>
      <c r="U198" s="17"/>
      <c r="V198" s="13"/>
      <c r="Z198" s="115"/>
      <c r="AA198" s="115"/>
      <c r="AB198" s="115"/>
      <c r="AC198" s="115"/>
      <c r="AD198" s="115"/>
      <c r="AE198" s="115"/>
      <c r="AF198" s="25"/>
      <c r="AG198" s="13"/>
      <c r="AL198" s="116"/>
      <c r="AM198" s="123"/>
      <c r="AN198" s="123"/>
      <c r="AO198" s="123"/>
      <c r="AT198" s="115"/>
      <c r="AU198" s="115"/>
      <c r="AV198" s="115"/>
      <c r="AW198" s="115"/>
      <c r="AX198" s="115"/>
      <c r="AY198" s="115"/>
      <c r="AZ198" s="115"/>
      <c r="BA198" s="115"/>
      <c r="BB198" s="115"/>
      <c r="BC198" s="115"/>
      <c r="BD198" s="25"/>
      <c r="BE198" s="13"/>
      <c r="BH198" s="114"/>
    </row>
    <row r="199" spans="1:60" ht="20.100000000000001" customHeight="1" x14ac:dyDescent="0.4">
      <c r="A199" s="117"/>
      <c r="B199" s="123"/>
      <c r="C199" s="123"/>
      <c r="D199" s="123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26"/>
      <c r="V199" s="13"/>
      <c r="Z199" s="115"/>
      <c r="AA199" s="115"/>
      <c r="AB199" s="115"/>
      <c r="AC199" s="115"/>
      <c r="AD199" s="115"/>
      <c r="AE199" s="115"/>
      <c r="AF199" s="25"/>
      <c r="AG199" s="13"/>
      <c r="AL199" s="116"/>
      <c r="AM199" s="123"/>
      <c r="AN199" s="123"/>
      <c r="AO199" s="123"/>
      <c r="AT199" s="115"/>
      <c r="AU199" s="115"/>
      <c r="AV199" s="115"/>
      <c r="AW199" s="115"/>
      <c r="AX199" s="115"/>
      <c r="AY199" s="115"/>
      <c r="AZ199" s="115"/>
      <c r="BA199" s="115"/>
      <c r="BB199" s="115"/>
      <c r="BC199" s="115"/>
      <c r="BD199" s="25"/>
      <c r="BE199" s="13"/>
      <c r="BH199" s="114"/>
    </row>
    <row r="200" spans="1:60" ht="20.100000000000001" customHeight="1" x14ac:dyDescent="0.4">
      <c r="A200" s="117"/>
      <c r="B200" s="123"/>
      <c r="C200" s="123"/>
      <c r="D200" s="123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7"/>
      <c r="V200" s="13"/>
      <c r="Z200" s="115"/>
      <c r="AA200" s="115"/>
      <c r="AB200" s="115"/>
      <c r="AC200" s="115"/>
      <c r="AD200" s="115"/>
      <c r="AE200" s="115"/>
      <c r="AF200" s="25"/>
      <c r="AG200" s="13"/>
      <c r="AL200" s="116"/>
      <c r="AM200" s="123"/>
      <c r="AN200" s="123"/>
      <c r="AO200" s="123"/>
      <c r="AT200" s="115"/>
      <c r="AU200" s="115"/>
      <c r="AV200" s="115"/>
      <c r="AW200" s="115"/>
      <c r="AX200" s="115"/>
      <c r="AY200" s="115"/>
      <c r="AZ200" s="115"/>
      <c r="BA200" s="115"/>
      <c r="BB200" s="115"/>
      <c r="BC200" s="115"/>
      <c r="BD200" s="25"/>
      <c r="BE200" s="13"/>
      <c r="BH200" s="114"/>
    </row>
    <row r="201" spans="1:60" ht="20.100000000000001" customHeight="1" x14ac:dyDescent="0.4">
      <c r="A201" s="117"/>
      <c r="B201" s="123"/>
      <c r="C201" s="123"/>
      <c r="D201" s="123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26"/>
      <c r="V201" s="13"/>
      <c r="Z201" s="115"/>
      <c r="AA201" s="115"/>
      <c r="AB201" s="115"/>
      <c r="AC201" s="115"/>
      <c r="AD201" s="115"/>
      <c r="AE201" s="115"/>
      <c r="AF201" s="25"/>
      <c r="AG201" s="13"/>
      <c r="AL201" s="116"/>
      <c r="AM201" s="123"/>
      <c r="AN201" s="123"/>
      <c r="AO201" s="123"/>
      <c r="AT201" s="115"/>
      <c r="AU201" s="115"/>
      <c r="AV201" s="115"/>
      <c r="AW201" s="115"/>
      <c r="AX201" s="115"/>
      <c r="AY201" s="115"/>
      <c r="AZ201" s="115"/>
      <c r="BA201" s="115"/>
      <c r="BB201" s="115"/>
      <c r="BC201" s="115"/>
      <c r="BD201" s="25"/>
      <c r="BE201" s="13"/>
      <c r="BH201" s="114"/>
    </row>
    <row r="202" spans="1:60" ht="20.100000000000001" customHeight="1" x14ac:dyDescent="0.4">
      <c r="A202" s="117"/>
      <c r="B202" s="123"/>
      <c r="C202" s="123"/>
      <c r="D202" s="123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7"/>
      <c r="V202" s="13"/>
      <c r="Z202" s="115"/>
      <c r="AA202" s="115"/>
      <c r="AB202" s="115"/>
      <c r="AC202" s="115"/>
      <c r="AD202" s="115"/>
      <c r="AE202" s="115"/>
      <c r="AF202" s="25"/>
      <c r="AG202" s="13"/>
      <c r="AL202" s="116"/>
      <c r="AM202" s="123"/>
      <c r="AN202" s="123"/>
      <c r="AO202" s="123"/>
      <c r="AT202" s="115"/>
      <c r="AU202" s="115"/>
      <c r="AV202" s="115"/>
      <c r="AW202" s="115"/>
      <c r="AX202" s="115"/>
      <c r="AY202" s="115"/>
      <c r="AZ202" s="115"/>
      <c r="BA202" s="115"/>
      <c r="BB202" s="115"/>
      <c r="BC202" s="115"/>
      <c r="BD202" s="25"/>
      <c r="BE202" s="13"/>
      <c r="BH202" s="114"/>
    </row>
    <row r="203" spans="1:60" ht="20.100000000000001" customHeight="1" x14ac:dyDescent="0.4">
      <c r="A203" s="117"/>
      <c r="B203" s="123"/>
      <c r="C203" s="123"/>
      <c r="D203" s="123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26"/>
      <c r="V203" s="25"/>
      <c r="Z203" s="115"/>
      <c r="AA203" s="115"/>
      <c r="AB203" s="115"/>
      <c r="AC203" s="115"/>
      <c r="AD203" s="115"/>
      <c r="AE203" s="115"/>
      <c r="AF203" s="25"/>
      <c r="AG203" s="13"/>
      <c r="AL203" s="116"/>
      <c r="AM203" s="123"/>
      <c r="AN203" s="123"/>
      <c r="AO203" s="123"/>
      <c r="AT203" s="115"/>
      <c r="AU203" s="115"/>
      <c r="AV203" s="115"/>
      <c r="AW203" s="115"/>
      <c r="AX203" s="115"/>
      <c r="AY203" s="115"/>
      <c r="AZ203" s="115"/>
      <c r="BA203" s="115"/>
      <c r="BB203" s="115"/>
      <c r="BC203" s="115"/>
      <c r="BD203" s="25"/>
      <c r="BE203" s="13"/>
      <c r="BH203" s="114"/>
    </row>
    <row r="204" spans="1:60" ht="20.100000000000001" customHeight="1" x14ac:dyDescent="0.4">
      <c r="A204" s="117"/>
      <c r="B204" s="123"/>
      <c r="C204" s="123"/>
      <c r="D204" s="123"/>
      <c r="U204" s="26"/>
      <c r="V204" s="25"/>
      <c r="Z204" s="115"/>
      <c r="AA204" s="115"/>
      <c r="AB204" s="115"/>
      <c r="AC204" s="115"/>
      <c r="AD204" s="115"/>
      <c r="AE204" s="115"/>
      <c r="AF204" s="25">
        <v>45673</v>
      </c>
      <c r="AG204" s="13" t="s">
        <v>147</v>
      </c>
      <c r="AL204" s="116"/>
      <c r="AM204" s="123"/>
      <c r="AN204" s="123"/>
      <c r="AO204" s="123"/>
      <c r="AT204" s="115"/>
      <c r="AU204" s="115"/>
      <c r="AV204" s="115"/>
      <c r="AW204" s="115"/>
      <c r="AX204" s="115"/>
      <c r="AY204" s="115"/>
      <c r="AZ204" s="115"/>
      <c r="BA204" s="115"/>
      <c r="BB204" s="115"/>
      <c r="BC204" s="115"/>
      <c r="BD204" s="25"/>
      <c r="BE204" s="13"/>
      <c r="BH204" s="114"/>
    </row>
    <row r="205" spans="1:60" ht="20.100000000000001" customHeight="1" x14ac:dyDescent="0.4">
      <c r="A205" s="117"/>
      <c r="B205" s="123"/>
      <c r="C205" s="123"/>
      <c r="D205" s="123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26"/>
      <c r="V205" s="13"/>
      <c r="Z205" s="115"/>
      <c r="AA205" s="115"/>
      <c r="AB205" s="115"/>
      <c r="AC205" s="115"/>
      <c r="AD205" s="115"/>
      <c r="AE205" s="115"/>
      <c r="AF205" s="25"/>
      <c r="AG205" s="13"/>
      <c r="AL205" s="116"/>
      <c r="AM205" s="123"/>
      <c r="AN205" s="123"/>
      <c r="AO205" s="123"/>
      <c r="AT205" s="115"/>
      <c r="AU205" s="115"/>
      <c r="AV205" s="115"/>
      <c r="AW205" s="115"/>
      <c r="AX205" s="115"/>
      <c r="AY205" s="115"/>
      <c r="AZ205" s="115"/>
      <c r="BA205" s="115"/>
      <c r="BB205" s="115"/>
      <c r="BC205" s="115"/>
      <c r="BD205" s="25"/>
      <c r="BE205" s="13"/>
      <c r="BH205" s="114"/>
    </row>
    <row r="206" spans="1:60" ht="20.100000000000001" customHeight="1" x14ac:dyDescent="0.4">
      <c r="A206" s="117"/>
      <c r="B206" s="123"/>
      <c r="C206" s="123"/>
      <c r="D206" s="123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26"/>
      <c r="V206" s="13"/>
      <c r="Z206" s="115"/>
      <c r="AA206" s="115"/>
      <c r="AB206" s="115"/>
      <c r="AC206" s="115"/>
      <c r="AD206" s="115"/>
      <c r="AE206" s="115"/>
      <c r="AF206" s="25"/>
      <c r="AG206" s="13"/>
      <c r="AL206" s="116"/>
      <c r="AM206" s="123"/>
      <c r="AN206" s="123"/>
      <c r="AO206" s="123"/>
      <c r="AT206" s="115"/>
      <c r="AU206" s="115"/>
      <c r="AV206" s="115"/>
      <c r="AW206" s="115"/>
      <c r="AX206" s="115"/>
      <c r="AY206" s="115"/>
      <c r="AZ206" s="115"/>
      <c r="BA206" s="115"/>
      <c r="BB206" s="115"/>
      <c r="BC206" s="115"/>
      <c r="BD206" s="25"/>
      <c r="BE206" s="13"/>
      <c r="BH206" s="114"/>
    </row>
    <row r="207" spans="1:60" ht="20.100000000000001" customHeight="1" x14ac:dyDescent="0.4">
      <c r="A207" s="117"/>
      <c r="B207" s="123"/>
      <c r="C207" s="123"/>
      <c r="D207" s="123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26"/>
      <c r="V207" s="13"/>
      <c r="Z207" s="115"/>
      <c r="AA207" s="115"/>
      <c r="AB207" s="115"/>
      <c r="AC207" s="115"/>
      <c r="AD207" s="115"/>
      <c r="AE207" s="115"/>
      <c r="AF207" s="25"/>
      <c r="AG207" s="13"/>
      <c r="AL207" s="116"/>
      <c r="AM207" s="123"/>
      <c r="AN207" s="123"/>
      <c r="AO207" s="123"/>
      <c r="AT207" s="115"/>
      <c r="AU207" s="115"/>
      <c r="AV207" s="115"/>
      <c r="AW207" s="115"/>
      <c r="AX207" s="115"/>
      <c r="AY207" s="115"/>
      <c r="AZ207" s="115"/>
      <c r="BA207" s="115"/>
      <c r="BB207" s="115"/>
      <c r="BC207" s="115"/>
      <c r="BD207" s="25"/>
      <c r="BE207" s="13"/>
      <c r="BH207" s="114"/>
    </row>
    <row r="208" spans="1:60" ht="20.100000000000001" customHeight="1" x14ac:dyDescent="0.4">
      <c r="A208" s="117"/>
      <c r="B208" s="123"/>
      <c r="C208" s="123"/>
      <c r="D208" s="123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26"/>
      <c r="V208" s="13"/>
      <c r="Z208" s="115"/>
      <c r="AA208" s="115"/>
      <c r="AB208" s="115"/>
      <c r="AC208" s="115"/>
      <c r="AD208" s="115"/>
      <c r="AE208" s="115"/>
      <c r="AF208" s="25"/>
      <c r="AG208" s="13"/>
      <c r="AL208" s="116"/>
      <c r="AM208" s="123"/>
      <c r="AN208" s="123"/>
      <c r="AO208" s="123"/>
      <c r="AT208" s="115"/>
      <c r="AU208" s="115"/>
      <c r="AV208" s="115"/>
      <c r="AW208" s="115"/>
      <c r="AX208" s="115"/>
      <c r="AY208" s="115"/>
      <c r="AZ208" s="115"/>
      <c r="BA208" s="115"/>
      <c r="BB208" s="115"/>
      <c r="BC208" s="115"/>
      <c r="BD208" s="25"/>
      <c r="BE208" s="13"/>
      <c r="BH208" s="114"/>
    </row>
    <row r="209" spans="1:60" ht="20.100000000000001" customHeight="1" x14ac:dyDescent="0.4">
      <c r="A209" s="117"/>
      <c r="B209" s="123"/>
      <c r="C209" s="123"/>
      <c r="D209" s="123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7"/>
      <c r="V209" s="13"/>
      <c r="Z209" s="115"/>
      <c r="AA209" s="115"/>
      <c r="AB209" s="115"/>
      <c r="AC209" s="115"/>
      <c r="AD209" s="115"/>
      <c r="AE209" s="115"/>
      <c r="AF209" s="25"/>
      <c r="AG209" s="13"/>
      <c r="AL209" s="116"/>
      <c r="AM209" s="123"/>
      <c r="AN209" s="123"/>
      <c r="AO209" s="123"/>
      <c r="AT209" s="115"/>
      <c r="AU209" s="115"/>
      <c r="AV209" s="115"/>
      <c r="AW209" s="115"/>
      <c r="AX209" s="115"/>
      <c r="AY209" s="115"/>
      <c r="AZ209" s="115"/>
      <c r="BA209" s="115"/>
      <c r="BB209" s="115"/>
      <c r="BC209" s="115"/>
      <c r="BD209" s="25"/>
      <c r="BE209" s="13"/>
      <c r="BH209" s="114"/>
    </row>
    <row r="210" spans="1:60" ht="20.100000000000001" customHeight="1" x14ac:dyDescent="0.4">
      <c r="A210" s="117"/>
      <c r="B210" s="123"/>
      <c r="C210" s="123"/>
      <c r="D210" s="123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7"/>
      <c r="V210" s="13"/>
      <c r="Z210" s="115"/>
      <c r="AA210" s="115"/>
      <c r="AB210" s="115"/>
      <c r="AC210" s="115"/>
      <c r="AD210" s="115"/>
      <c r="AE210" s="115"/>
      <c r="AF210" s="25"/>
      <c r="AG210" s="13"/>
      <c r="AL210" s="116"/>
      <c r="AM210" s="123"/>
      <c r="AN210" s="123"/>
      <c r="AO210" s="123"/>
      <c r="AT210" s="115"/>
      <c r="AU210" s="115"/>
      <c r="AV210" s="115"/>
      <c r="AW210" s="115"/>
      <c r="AX210" s="115"/>
      <c r="AY210" s="115"/>
      <c r="AZ210" s="115"/>
      <c r="BA210" s="115"/>
      <c r="BB210" s="115"/>
      <c r="BC210" s="115"/>
      <c r="BD210" s="25"/>
      <c r="BE210" s="13"/>
      <c r="BH210" s="114"/>
    </row>
    <row r="211" spans="1:60" ht="20.100000000000001" customHeight="1" x14ac:dyDescent="0.4">
      <c r="A211" s="117"/>
      <c r="B211" s="123"/>
      <c r="C211" s="123"/>
      <c r="D211" s="123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26"/>
      <c r="V211" s="13"/>
      <c r="Z211" s="115"/>
      <c r="AA211" s="115"/>
      <c r="AB211" s="115"/>
      <c r="AC211" s="115"/>
      <c r="AD211" s="115"/>
      <c r="AE211" s="115"/>
      <c r="AF211" s="25"/>
      <c r="AG211" s="13"/>
      <c r="AL211" s="116"/>
      <c r="AM211" s="123"/>
      <c r="AN211" s="123"/>
      <c r="AO211" s="123"/>
      <c r="AT211" s="115"/>
      <c r="AU211" s="115"/>
      <c r="AV211" s="115"/>
      <c r="AW211" s="115"/>
      <c r="AX211" s="115"/>
      <c r="AY211" s="115"/>
      <c r="AZ211" s="115"/>
      <c r="BA211" s="115"/>
      <c r="BB211" s="115"/>
      <c r="BC211" s="115"/>
      <c r="BD211" s="25"/>
      <c r="BE211" s="13"/>
      <c r="BH211" s="114"/>
    </row>
    <row r="212" spans="1:60" ht="20.100000000000001" customHeight="1" x14ac:dyDescent="0.4">
      <c r="A212" s="117"/>
      <c r="B212" s="123"/>
      <c r="C212" s="123"/>
      <c r="D212" s="123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26"/>
      <c r="V212" s="13"/>
      <c r="Z212" s="115"/>
      <c r="AA212" s="115"/>
      <c r="AB212" s="115"/>
      <c r="AC212" s="115"/>
      <c r="AD212" s="115"/>
      <c r="AE212" s="115"/>
      <c r="AF212" s="25"/>
      <c r="AG212" s="13"/>
      <c r="AL212" s="116"/>
      <c r="AM212" s="123"/>
      <c r="AN212" s="123"/>
      <c r="AO212" s="123"/>
      <c r="AT212" s="115"/>
      <c r="AU212" s="115"/>
      <c r="AV212" s="115"/>
      <c r="AW212" s="115"/>
      <c r="AX212" s="115"/>
      <c r="AY212" s="115"/>
      <c r="AZ212" s="115"/>
      <c r="BA212" s="115"/>
      <c r="BB212" s="115"/>
      <c r="BC212" s="115"/>
      <c r="BD212" s="25"/>
      <c r="BE212" s="13"/>
      <c r="BH212" s="114"/>
    </row>
    <row r="213" spans="1:60" ht="20.100000000000001" customHeight="1" x14ac:dyDescent="0.4">
      <c r="A213" s="117"/>
      <c r="B213" s="123"/>
      <c r="C213" s="123"/>
      <c r="D213" s="123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26"/>
      <c r="V213" s="13"/>
      <c r="Z213" s="115"/>
      <c r="AA213" s="115"/>
      <c r="AB213" s="115"/>
      <c r="AC213" s="115"/>
      <c r="AD213" s="115"/>
      <c r="AE213" s="115"/>
      <c r="AF213" s="25"/>
      <c r="AG213" s="13"/>
      <c r="AL213" s="116"/>
      <c r="AM213" s="123"/>
      <c r="AN213" s="123"/>
      <c r="AO213" s="123"/>
      <c r="AT213" s="115"/>
      <c r="AU213" s="115"/>
      <c r="AV213" s="115"/>
      <c r="AW213" s="115"/>
      <c r="AX213" s="115"/>
      <c r="AY213" s="115"/>
      <c r="AZ213" s="115"/>
      <c r="BA213" s="115"/>
      <c r="BB213" s="115"/>
      <c r="BC213" s="115"/>
      <c r="BD213" s="25"/>
      <c r="BE213" s="13"/>
      <c r="BH213" s="114"/>
    </row>
    <row r="214" spans="1:60" ht="20.100000000000001" customHeight="1" x14ac:dyDescent="0.4">
      <c r="A214" s="117"/>
      <c r="B214" s="123"/>
      <c r="C214" s="123"/>
      <c r="D214" s="123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26"/>
      <c r="V214" s="13"/>
      <c r="Z214" s="115"/>
      <c r="AA214" s="115"/>
      <c r="AB214" s="115"/>
      <c r="AC214" s="115"/>
      <c r="AD214" s="115"/>
      <c r="AE214" s="115"/>
      <c r="AF214" s="25"/>
      <c r="AG214" s="13"/>
      <c r="AL214" s="116"/>
      <c r="AM214" s="123"/>
      <c r="AN214" s="123"/>
      <c r="AO214" s="123"/>
      <c r="AT214" s="115"/>
      <c r="AU214" s="115"/>
      <c r="AV214" s="115"/>
      <c r="AW214" s="115"/>
      <c r="AX214" s="115"/>
      <c r="AY214" s="115"/>
      <c r="AZ214" s="115"/>
      <c r="BA214" s="115"/>
      <c r="BB214" s="115"/>
      <c r="BC214" s="115"/>
      <c r="BD214" s="25"/>
      <c r="BE214" s="13"/>
      <c r="BH214" s="114"/>
    </row>
    <row r="215" spans="1:60" ht="20.100000000000001" customHeight="1" x14ac:dyDescent="0.4">
      <c r="A215" s="117"/>
      <c r="B215" s="123"/>
      <c r="C215" s="123"/>
      <c r="D215" s="123"/>
      <c r="U215" s="26"/>
      <c r="V215" s="13"/>
      <c r="X215" s="115"/>
      <c r="Y215" s="115"/>
      <c r="Z215" s="115"/>
      <c r="AA215" s="115"/>
      <c r="AB215" s="115"/>
      <c r="AC215" s="115"/>
      <c r="AD215" s="115"/>
      <c r="AE215" s="115"/>
      <c r="AF215" s="25">
        <v>45673</v>
      </c>
      <c r="AG215" s="13" t="s">
        <v>148</v>
      </c>
      <c r="AL215" s="116"/>
      <c r="AM215" s="123"/>
      <c r="AN215" s="123"/>
      <c r="AO215" s="123"/>
      <c r="AT215" s="115"/>
      <c r="AU215" s="115"/>
      <c r="AV215" s="115"/>
      <c r="AW215" s="115"/>
      <c r="AX215" s="115"/>
      <c r="AY215" s="115"/>
      <c r="AZ215" s="115"/>
      <c r="BA215" s="115"/>
      <c r="BB215" s="115"/>
      <c r="BC215" s="115"/>
      <c r="BD215" s="25"/>
      <c r="BE215" s="13"/>
      <c r="BH215" s="114"/>
    </row>
    <row r="216" spans="1:60" ht="20.100000000000001" customHeight="1" x14ac:dyDescent="0.4">
      <c r="A216" s="117"/>
      <c r="B216" s="123"/>
      <c r="C216" s="123"/>
      <c r="D216" s="123"/>
      <c r="P216" s="115"/>
      <c r="Q216" s="115"/>
      <c r="R216" s="115"/>
      <c r="S216" s="115"/>
      <c r="T216" s="115"/>
      <c r="U216" s="17"/>
      <c r="V216" s="13"/>
      <c r="X216" s="115"/>
      <c r="Y216" s="115"/>
      <c r="Z216" s="115"/>
      <c r="AA216" s="115"/>
      <c r="AB216" s="115"/>
      <c r="AC216" s="115"/>
      <c r="AD216" s="115"/>
      <c r="AE216" s="115"/>
      <c r="AF216" s="25"/>
      <c r="AG216" s="13"/>
      <c r="AL216" s="116"/>
      <c r="AM216" s="123"/>
      <c r="AN216" s="123"/>
      <c r="AO216" s="123"/>
      <c r="AT216" s="115"/>
      <c r="AU216" s="115"/>
      <c r="AV216" s="115"/>
      <c r="AW216" s="115"/>
      <c r="AX216" s="115"/>
      <c r="AY216" s="115"/>
      <c r="AZ216" s="115"/>
      <c r="BA216" s="115"/>
      <c r="BB216" s="115"/>
      <c r="BC216" s="115"/>
      <c r="BD216" s="25"/>
      <c r="BE216" s="13"/>
      <c r="BH216" s="114"/>
    </row>
    <row r="217" spans="1:60" ht="20.100000000000001" customHeight="1" x14ac:dyDescent="0.4">
      <c r="A217" s="117"/>
      <c r="B217" s="123"/>
      <c r="C217" s="123"/>
      <c r="D217" s="123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26"/>
      <c r="V217" s="13"/>
      <c r="X217" s="115"/>
      <c r="Y217" s="115"/>
      <c r="Z217" s="115"/>
      <c r="AA217" s="115"/>
      <c r="AB217" s="115"/>
      <c r="AC217" s="115"/>
      <c r="AD217" s="115"/>
      <c r="AE217" s="115"/>
      <c r="AF217" s="25"/>
      <c r="AG217" s="13"/>
      <c r="AL217" s="116"/>
      <c r="AM217" s="123"/>
      <c r="AN217" s="123"/>
      <c r="AO217" s="123"/>
      <c r="AT217" s="115"/>
      <c r="AU217" s="115"/>
      <c r="AV217" s="115"/>
      <c r="AW217" s="115"/>
      <c r="AX217" s="115"/>
      <c r="AY217" s="115"/>
      <c r="AZ217" s="115"/>
      <c r="BA217" s="115"/>
      <c r="BB217" s="115"/>
      <c r="BC217" s="115"/>
      <c r="BD217" s="25"/>
      <c r="BE217" s="13"/>
      <c r="BH217" s="114"/>
    </row>
    <row r="218" spans="1:60" ht="20.100000000000001" customHeight="1" x14ac:dyDescent="0.4">
      <c r="A218" s="117"/>
      <c r="B218" s="123"/>
      <c r="C218" s="123"/>
      <c r="D218" s="123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26"/>
      <c r="V218" s="13"/>
      <c r="X218" s="115"/>
      <c r="Y218" s="115"/>
      <c r="Z218" s="115"/>
      <c r="AA218" s="115"/>
      <c r="AB218" s="115"/>
      <c r="AC218" s="115"/>
      <c r="AD218" s="115"/>
      <c r="AE218" s="115"/>
      <c r="AF218" s="25"/>
      <c r="AG218" s="13"/>
      <c r="AL218" s="116"/>
      <c r="AM218" s="123"/>
      <c r="AN218" s="123"/>
      <c r="AO218" s="123"/>
      <c r="AT218" s="115"/>
      <c r="AU218" s="115"/>
      <c r="AV218" s="115"/>
      <c r="AW218" s="115"/>
      <c r="AX218" s="115"/>
      <c r="AY218" s="115"/>
      <c r="AZ218" s="115"/>
      <c r="BA218" s="115"/>
      <c r="BB218" s="115"/>
      <c r="BC218" s="115"/>
      <c r="BD218" s="25"/>
      <c r="BE218" s="13"/>
      <c r="BH218" s="114"/>
    </row>
    <row r="219" spans="1:60" ht="20.100000000000001" customHeight="1" x14ac:dyDescent="0.4">
      <c r="A219" s="117"/>
      <c r="B219" s="123"/>
      <c r="C219" s="123"/>
      <c r="D219" s="123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26"/>
      <c r="V219" s="13"/>
      <c r="X219" s="115"/>
      <c r="Y219" s="115"/>
      <c r="Z219" s="115"/>
      <c r="AA219" s="115"/>
      <c r="AB219" s="115"/>
      <c r="AC219" s="115"/>
      <c r="AD219" s="115"/>
      <c r="AE219" s="115"/>
      <c r="AF219" s="25"/>
      <c r="AG219" s="13"/>
      <c r="AL219" s="116"/>
      <c r="AM219" s="123"/>
      <c r="AN219" s="123"/>
      <c r="AO219" s="123"/>
      <c r="AT219" s="115"/>
      <c r="AU219" s="115"/>
      <c r="AV219" s="115"/>
      <c r="AW219" s="115"/>
      <c r="AX219" s="115"/>
      <c r="AY219" s="115"/>
      <c r="AZ219" s="115"/>
      <c r="BA219" s="115"/>
      <c r="BB219" s="115"/>
      <c r="BC219" s="115"/>
      <c r="BD219" s="25"/>
      <c r="BE219" s="13"/>
      <c r="BH219" s="114"/>
    </row>
    <row r="220" spans="1:60" ht="20.100000000000001" customHeight="1" x14ac:dyDescent="0.4">
      <c r="A220" s="117"/>
      <c r="B220" s="123"/>
      <c r="C220" s="123"/>
      <c r="D220" s="123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26"/>
      <c r="V220" s="13"/>
      <c r="X220" s="115"/>
      <c r="Y220" s="115"/>
      <c r="Z220" s="115"/>
      <c r="AA220" s="115"/>
      <c r="AB220" s="115"/>
      <c r="AC220" s="115"/>
      <c r="AD220" s="115"/>
      <c r="AE220" s="115"/>
      <c r="AF220" s="25"/>
      <c r="AG220" s="13"/>
      <c r="AL220" s="116"/>
      <c r="AM220" s="123"/>
      <c r="AN220" s="123"/>
      <c r="AO220" s="123"/>
      <c r="AT220" s="115"/>
      <c r="AU220" s="115"/>
      <c r="AV220" s="115"/>
      <c r="AW220" s="115"/>
      <c r="AX220" s="115"/>
      <c r="AY220" s="115"/>
      <c r="AZ220" s="115"/>
      <c r="BA220" s="115"/>
      <c r="BB220" s="115"/>
      <c r="BC220" s="115"/>
      <c r="BD220" s="25"/>
      <c r="BE220" s="13"/>
      <c r="BH220" s="114"/>
    </row>
    <row r="221" spans="1:60" ht="20.100000000000001" customHeight="1" x14ac:dyDescent="0.4">
      <c r="A221" s="117"/>
      <c r="B221" s="123"/>
      <c r="C221" s="123"/>
      <c r="D221" s="123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7"/>
      <c r="V221" s="13"/>
      <c r="X221" s="115"/>
      <c r="Y221" s="115"/>
      <c r="Z221" s="115"/>
      <c r="AA221" s="115"/>
      <c r="AB221" s="115"/>
      <c r="AC221" s="115"/>
      <c r="AD221" s="115"/>
      <c r="AE221" s="115"/>
      <c r="AF221" s="25"/>
      <c r="AG221" s="13"/>
      <c r="AL221" s="116"/>
      <c r="AM221" s="123"/>
      <c r="AN221" s="123"/>
      <c r="AO221" s="123"/>
      <c r="AT221" s="115"/>
      <c r="AU221" s="115"/>
      <c r="AV221" s="115"/>
      <c r="AW221" s="115"/>
      <c r="AX221" s="115"/>
      <c r="AY221" s="115"/>
      <c r="AZ221" s="115"/>
      <c r="BA221" s="115"/>
      <c r="BB221" s="115"/>
      <c r="BC221" s="115"/>
      <c r="BD221" s="25"/>
      <c r="BE221" s="13"/>
      <c r="BH221" s="114"/>
    </row>
    <row r="222" spans="1:60" ht="20.100000000000001" customHeight="1" x14ac:dyDescent="0.4">
      <c r="A222" s="117"/>
      <c r="B222" s="123"/>
      <c r="C222" s="123"/>
      <c r="D222" s="123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26"/>
      <c r="V222" s="13"/>
      <c r="X222" s="115"/>
      <c r="Y222" s="115"/>
      <c r="Z222" s="115"/>
      <c r="AA222" s="115"/>
      <c r="AB222" s="115"/>
      <c r="AC222" s="115"/>
      <c r="AD222" s="115"/>
      <c r="AE222" s="115"/>
      <c r="AF222" s="25"/>
      <c r="AG222" s="13"/>
      <c r="AL222" s="116"/>
      <c r="AM222" s="123"/>
      <c r="AN222" s="123"/>
      <c r="AO222" s="123"/>
      <c r="AT222" s="115"/>
      <c r="AU222" s="115"/>
      <c r="AV222" s="115"/>
      <c r="AW222" s="115"/>
      <c r="AX222" s="115"/>
      <c r="AY222" s="115"/>
      <c r="AZ222" s="115"/>
      <c r="BA222" s="115"/>
      <c r="BB222" s="115"/>
      <c r="BC222" s="115"/>
      <c r="BD222" s="25"/>
      <c r="BE222" s="13"/>
      <c r="BH222" s="114"/>
    </row>
    <row r="223" spans="1:60" ht="20.100000000000001" customHeight="1" x14ac:dyDescent="0.4">
      <c r="A223" s="117"/>
      <c r="B223" s="123"/>
      <c r="C223" s="123"/>
      <c r="D223" s="123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26"/>
      <c r="V223" s="15"/>
      <c r="X223" s="115"/>
      <c r="Y223" s="115"/>
      <c r="Z223" s="115"/>
      <c r="AA223" s="115"/>
      <c r="AB223" s="115"/>
      <c r="AC223" s="115"/>
      <c r="AD223" s="115"/>
      <c r="AE223" s="115"/>
      <c r="AF223" s="25"/>
      <c r="AG223" s="13"/>
      <c r="AL223" s="116"/>
      <c r="AM223" s="123"/>
      <c r="AN223" s="123"/>
      <c r="AO223" s="123"/>
      <c r="AT223" s="115"/>
      <c r="AU223" s="115"/>
      <c r="AV223" s="115"/>
      <c r="AW223" s="115"/>
      <c r="AX223" s="115"/>
      <c r="AY223" s="115"/>
      <c r="AZ223" s="115"/>
      <c r="BA223" s="115"/>
      <c r="BB223" s="115"/>
      <c r="BC223" s="115"/>
      <c r="BD223" s="25"/>
      <c r="BE223" s="13"/>
      <c r="BH223" s="114"/>
    </row>
    <row r="224" spans="1:60" ht="20.100000000000001" customHeight="1" x14ac:dyDescent="0.4">
      <c r="A224" s="117"/>
      <c r="B224" s="123"/>
      <c r="C224" s="123"/>
      <c r="D224" s="123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26"/>
      <c r="V224" s="15"/>
      <c r="X224" s="115"/>
      <c r="Y224" s="115"/>
      <c r="Z224" s="115"/>
      <c r="AA224" s="115"/>
      <c r="AB224" s="115"/>
      <c r="AC224" s="115"/>
      <c r="AD224" s="115"/>
      <c r="AE224" s="115"/>
      <c r="AF224" s="25"/>
      <c r="AG224" s="13"/>
      <c r="AL224" s="116"/>
      <c r="AM224" s="123"/>
      <c r="AN224" s="123"/>
      <c r="AO224" s="123"/>
      <c r="AT224" s="115"/>
      <c r="AU224" s="115"/>
      <c r="AV224" s="115"/>
      <c r="AW224" s="115"/>
      <c r="AX224" s="115"/>
      <c r="AY224" s="115"/>
      <c r="AZ224" s="115"/>
      <c r="BA224" s="115"/>
      <c r="BB224" s="115"/>
      <c r="BC224" s="115"/>
      <c r="BD224" s="25"/>
      <c r="BE224" s="13"/>
      <c r="BH224" s="114"/>
    </row>
    <row r="225" spans="1:60" ht="20.100000000000001" customHeight="1" x14ac:dyDescent="0.4">
      <c r="A225" s="117"/>
      <c r="B225" s="123"/>
      <c r="C225" s="123"/>
      <c r="D225" s="123"/>
      <c r="U225" s="26"/>
      <c r="V225" s="15"/>
      <c r="X225" s="115"/>
      <c r="Y225" s="115"/>
      <c r="Z225" s="115"/>
      <c r="AA225" s="115"/>
      <c r="AB225" s="115"/>
      <c r="AC225" s="115"/>
      <c r="AD225" s="115"/>
      <c r="AE225" s="115"/>
      <c r="AF225" s="25">
        <v>45673</v>
      </c>
      <c r="AG225" s="13" t="s">
        <v>147</v>
      </c>
      <c r="AL225" s="116"/>
      <c r="AM225" s="123"/>
      <c r="AN225" s="123"/>
      <c r="AO225" s="123"/>
      <c r="AT225" s="115"/>
      <c r="AU225" s="115"/>
      <c r="AV225" s="115"/>
      <c r="AW225" s="115"/>
      <c r="AX225" s="115"/>
      <c r="AY225" s="115"/>
      <c r="AZ225" s="115"/>
      <c r="BA225" s="115"/>
      <c r="BB225" s="115"/>
      <c r="BC225" s="115"/>
      <c r="BD225" s="25"/>
      <c r="BE225" s="13"/>
      <c r="BH225" s="114"/>
    </row>
    <row r="226" spans="1:60" ht="20.100000000000001" customHeight="1" x14ac:dyDescent="0.4">
      <c r="A226" s="117"/>
      <c r="B226" s="123"/>
      <c r="C226" s="123"/>
      <c r="D226" s="123"/>
      <c r="P226" s="115"/>
      <c r="Q226" s="115"/>
      <c r="R226" s="115"/>
      <c r="S226" s="115"/>
      <c r="T226" s="115"/>
      <c r="U226" s="17"/>
      <c r="V226" s="15"/>
      <c r="X226" s="115"/>
      <c r="Y226" s="115"/>
      <c r="Z226" s="115"/>
      <c r="AA226" s="115"/>
      <c r="AB226" s="115"/>
      <c r="AC226" s="115"/>
      <c r="AD226" s="115"/>
      <c r="AE226" s="115"/>
      <c r="AF226" s="25"/>
      <c r="AG226" s="13"/>
      <c r="AL226" s="116"/>
      <c r="AM226" s="123"/>
      <c r="AN226" s="123"/>
      <c r="AO226" s="123"/>
      <c r="AT226" s="115"/>
      <c r="AU226" s="115"/>
      <c r="AV226" s="115"/>
      <c r="AW226" s="115"/>
      <c r="AX226" s="115"/>
      <c r="AY226" s="115"/>
      <c r="AZ226" s="115"/>
      <c r="BA226" s="115"/>
      <c r="BB226" s="115"/>
      <c r="BC226" s="115"/>
      <c r="BD226" s="25"/>
      <c r="BE226" s="13"/>
      <c r="BH226" s="114"/>
    </row>
    <row r="227" spans="1:60" ht="20.100000000000001" customHeight="1" x14ac:dyDescent="0.4">
      <c r="A227" s="117"/>
      <c r="B227" s="123"/>
      <c r="C227" s="123"/>
      <c r="D227" s="123"/>
      <c r="U227" s="26"/>
      <c r="V227" s="15"/>
      <c r="X227" s="115"/>
      <c r="Y227" s="115"/>
      <c r="Z227" s="115"/>
      <c r="AA227" s="115"/>
      <c r="AB227" s="115"/>
      <c r="AC227" s="115"/>
      <c r="AD227" s="115"/>
      <c r="AE227" s="115"/>
      <c r="AF227" s="25"/>
      <c r="AG227" s="13"/>
      <c r="AL227" s="116"/>
      <c r="AM227" s="123"/>
      <c r="AN227" s="123"/>
      <c r="AO227" s="123"/>
      <c r="AT227" s="115"/>
      <c r="AU227" s="115"/>
      <c r="AV227" s="115"/>
      <c r="AW227" s="115"/>
      <c r="AX227" s="115"/>
      <c r="AY227" s="115"/>
      <c r="AZ227" s="115"/>
      <c r="BA227" s="115"/>
      <c r="BB227" s="115"/>
      <c r="BC227" s="115"/>
      <c r="BD227" s="25"/>
      <c r="BE227" s="13"/>
      <c r="BH227" s="114"/>
    </row>
    <row r="228" spans="1:60" ht="20.100000000000001" customHeight="1" x14ac:dyDescent="0.4">
      <c r="A228" s="117"/>
      <c r="B228" s="123"/>
      <c r="C228" s="123"/>
      <c r="D228" s="123"/>
      <c r="P228" s="115"/>
      <c r="Q228" s="115"/>
      <c r="R228" s="115"/>
      <c r="S228" s="115"/>
      <c r="T228" s="115"/>
      <c r="U228" s="17"/>
      <c r="V228" s="15"/>
      <c r="X228" s="115"/>
      <c r="Y228" s="115"/>
      <c r="Z228" s="115"/>
      <c r="AA228" s="115"/>
      <c r="AB228" s="115"/>
      <c r="AC228" s="115"/>
      <c r="AD228" s="115"/>
      <c r="AE228" s="115"/>
      <c r="AF228" s="25"/>
      <c r="AG228" s="13"/>
      <c r="AL228" s="116"/>
      <c r="AM228" s="123"/>
      <c r="AN228" s="123"/>
      <c r="AO228" s="123"/>
      <c r="AT228" s="115"/>
      <c r="AU228" s="115"/>
      <c r="AV228" s="115"/>
      <c r="AW228" s="115"/>
      <c r="AX228" s="115"/>
      <c r="AY228" s="115"/>
      <c r="AZ228" s="115"/>
      <c r="BA228" s="115"/>
      <c r="BB228" s="115"/>
      <c r="BC228" s="115"/>
      <c r="BD228" s="25"/>
      <c r="BE228" s="13"/>
      <c r="BH228" s="114"/>
    </row>
    <row r="229" spans="1:60" ht="20.100000000000001" customHeight="1" x14ac:dyDescent="0.4">
      <c r="A229" s="117"/>
      <c r="B229" s="123"/>
      <c r="C229" s="123"/>
      <c r="D229" s="123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26"/>
      <c r="V229" s="15"/>
      <c r="X229" s="115"/>
      <c r="Y229" s="115"/>
      <c r="Z229" s="115"/>
      <c r="AA229" s="115"/>
      <c r="AB229" s="115"/>
      <c r="AC229" s="115"/>
      <c r="AD229" s="115"/>
      <c r="AE229" s="115"/>
      <c r="AF229" s="25"/>
      <c r="AG229" s="13"/>
      <c r="AL229" s="116"/>
      <c r="AM229" s="123"/>
      <c r="AN229" s="123"/>
      <c r="AO229" s="123"/>
      <c r="AT229" s="115"/>
      <c r="AU229" s="115"/>
      <c r="AV229" s="115"/>
      <c r="AW229" s="115"/>
      <c r="AX229" s="115"/>
      <c r="AY229" s="115"/>
      <c r="AZ229" s="115"/>
      <c r="BA229" s="115"/>
      <c r="BB229" s="115"/>
      <c r="BC229" s="115"/>
      <c r="BD229" s="25"/>
      <c r="BE229" s="13"/>
      <c r="BH229" s="114"/>
    </row>
    <row r="230" spans="1:60" ht="20.100000000000001" customHeight="1" x14ac:dyDescent="0.4">
      <c r="A230" s="117"/>
      <c r="B230" s="123"/>
      <c r="C230" s="123"/>
      <c r="D230" s="123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20"/>
      <c r="V230" s="13"/>
      <c r="X230" s="115"/>
      <c r="Y230" s="115"/>
      <c r="Z230" s="115"/>
      <c r="AA230" s="115"/>
      <c r="AB230" s="115"/>
      <c r="AC230" s="115"/>
      <c r="AD230" s="115"/>
      <c r="AE230" s="115"/>
      <c r="AF230" s="25"/>
      <c r="AG230" s="13"/>
      <c r="AL230" s="116"/>
      <c r="AM230" s="123"/>
      <c r="AN230" s="123"/>
      <c r="AO230" s="123"/>
      <c r="AT230" s="115"/>
      <c r="AU230" s="115"/>
      <c r="AV230" s="115"/>
      <c r="AW230" s="115"/>
      <c r="AX230" s="115"/>
      <c r="AY230" s="115"/>
      <c r="AZ230" s="115"/>
      <c r="BA230" s="115"/>
      <c r="BB230" s="115"/>
      <c r="BC230" s="115"/>
      <c r="BD230" s="25"/>
      <c r="BE230" s="13"/>
      <c r="BH230" s="114"/>
    </row>
    <row r="231" spans="1:60" ht="20.100000000000001" customHeight="1" x14ac:dyDescent="0.4">
      <c r="A231" s="117"/>
      <c r="B231" s="123"/>
      <c r="C231" s="123"/>
      <c r="D231" s="123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20"/>
      <c r="V231" s="13"/>
      <c r="X231" s="115"/>
      <c r="Y231" s="115"/>
      <c r="Z231" s="115"/>
      <c r="AA231" s="115"/>
      <c r="AB231" s="115"/>
      <c r="AC231" s="115"/>
      <c r="AD231" s="115"/>
      <c r="AE231" s="115"/>
      <c r="AF231" s="25"/>
      <c r="AG231" s="13"/>
      <c r="AL231" s="116"/>
      <c r="AM231" s="123"/>
      <c r="AN231" s="123"/>
      <c r="AO231" s="123"/>
      <c r="AT231" s="115"/>
      <c r="AU231" s="115"/>
      <c r="AV231" s="115"/>
      <c r="AW231" s="115"/>
      <c r="AX231" s="115"/>
      <c r="AY231" s="115"/>
      <c r="AZ231" s="115"/>
      <c r="BA231" s="115"/>
      <c r="BB231" s="115"/>
      <c r="BC231" s="115"/>
      <c r="BD231" s="25"/>
      <c r="BE231" s="13"/>
      <c r="BH231" s="114"/>
    </row>
    <row r="232" spans="1:60" ht="20.100000000000001" customHeight="1" x14ac:dyDescent="0.4">
      <c r="A232" s="117"/>
      <c r="B232" s="123"/>
      <c r="C232" s="123"/>
      <c r="D232" s="123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3"/>
      <c r="V232" s="13"/>
      <c r="X232" s="115"/>
      <c r="Y232" s="115"/>
      <c r="Z232" s="115"/>
      <c r="AA232" s="115"/>
      <c r="AB232" s="115"/>
      <c r="AC232" s="115"/>
      <c r="AD232" s="115"/>
      <c r="AE232" s="115"/>
      <c r="AF232" s="25"/>
      <c r="AG232" s="13"/>
      <c r="AL232" s="116"/>
      <c r="AM232" s="123"/>
      <c r="AN232" s="123"/>
      <c r="AO232" s="123"/>
      <c r="AT232" s="115"/>
      <c r="AU232" s="115"/>
      <c r="AV232" s="115"/>
      <c r="AW232" s="115"/>
      <c r="AX232" s="115"/>
      <c r="AY232" s="115"/>
      <c r="AZ232" s="115"/>
      <c r="BA232" s="115"/>
      <c r="BB232" s="115"/>
      <c r="BC232" s="115"/>
      <c r="BD232" s="25"/>
      <c r="BE232" s="13"/>
      <c r="BH232" s="114"/>
    </row>
    <row r="233" spans="1:60" ht="20.100000000000001" customHeight="1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25"/>
      <c r="V233" s="13"/>
      <c r="X233" s="115"/>
      <c r="Y233" s="115"/>
      <c r="Z233" s="115"/>
      <c r="AA233" s="115"/>
      <c r="AB233" s="115"/>
      <c r="AC233" s="115"/>
      <c r="AD233" s="115"/>
      <c r="AE233" s="115"/>
      <c r="AF233" s="25"/>
      <c r="AG233" s="13"/>
      <c r="AL233" s="116"/>
      <c r="AM233" s="123"/>
      <c r="AN233" s="123"/>
      <c r="AO233" s="123"/>
      <c r="AT233" s="115"/>
      <c r="AU233" s="115"/>
      <c r="AV233" s="115"/>
      <c r="AW233" s="115"/>
      <c r="AX233" s="115"/>
      <c r="AY233" s="115"/>
      <c r="AZ233" s="115"/>
      <c r="BA233" s="115"/>
      <c r="BB233" s="115"/>
      <c r="BC233" s="115"/>
      <c r="BD233" s="25"/>
      <c r="BE233" s="13"/>
      <c r="BH233" s="114"/>
    </row>
    <row r="234" spans="1:60" ht="20.100000000000001" customHeight="1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3"/>
      <c r="V234" s="13"/>
      <c r="X234" s="115"/>
      <c r="Y234" s="115"/>
      <c r="Z234" s="115"/>
      <c r="AA234" s="115"/>
      <c r="AB234" s="115"/>
      <c r="AC234" s="115"/>
      <c r="AD234" s="115"/>
      <c r="AE234" s="115"/>
      <c r="AF234" s="25"/>
      <c r="AG234" s="13"/>
      <c r="AL234" s="116"/>
      <c r="AM234" s="123"/>
      <c r="AN234" s="123"/>
      <c r="AO234" s="123"/>
      <c r="AT234" s="115"/>
      <c r="AU234" s="115"/>
      <c r="AV234" s="115"/>
      <c r="AW234" s="115"/>
      <c r="AX234" s="115"/>
      <c r="AY234" s="115"/>
      <c r="AZ234" s="115"/>
      <c r="BA234" s="115"/>
      <c r="BB234" s="115"/>
      <c r="BC234" s="115"/>
      <c r="BD234" s="25"/>
      <c r="BE234" s="13"/>
      <c r="BH234" s="114"/>
    </row>
    <row r="235" spans="1:60" ht="20.100000000000001" customHeight="1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25"/>
      <c r="V235" s="13"/>
      <c r="X235" s="115"/>
      <c r="Y235" s="115"/>
      <c r="Z235" s="115"/>
      <c r="AA235" s="115"/>
      <c r="AB235" s="115"/>
      <c r="AC235" s="115"/>
      <c r="AD235" s="115"/>
      <c r="AE235" s="115"/>
      <c r="AF235" s="25"/>
      <c r="AG235" s="13"/>
      <c r="AL235" s="116"/>
      <c r="AM235" s="123"/>
      <c r="AN235" s="123"/>
      <c r="AO235" s="123"/>
      <c r="AT235" s="115"/>
      <c r="AU235" s="115"/>
      <c r="AV235" s="115"/>
      <c r="AW235" s="115"/>
      <c r="AX235" s="115"/>
      <c r="AY235" s="115"/>
      <c r="AZ235" s="115"/>
      <c r="BA235" s="115"/>
      <c r="BB235" s="115"/>
      <c r="BC235" s="115"/>
      <c r="BD235" s="25"/>
      <c r="BE235" s="13"/>
      <c r="BH235" s="114"/>
    </row>
    <row r="236" spans="1:60" ht="20.100000000000001" customHeight="1" x14ac:dyDescent="0.4">
      <c r="A236" s="117"/>
      <c r="B236" s="123"/>
      <c r="C236" s="123"/>
      <c r="D236" s="123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25"/>
      <c r="V236" s="13"/>
      <c r="X236" s="115"/>
      <c r="Y236" s="115"/>
      <c r="Z236" s="115"/>
      <c r="AA236" s="115"/>
      <c r="AB236" s="115"/>
      <c r="AC236" s="115"/>
      <c r="AD236" s="115"/>
      <c r="AE236" s="115"/>
      <c r="AF236" s="25"/>
      <c r="AG236" s="13"/>
      <c r="AL236" s="116"/>
      <c r="AM236" s="123"/>
      <c r="AN236" s="123"/>
      <c r="AO236" s="123"/>
      <c r="AT236" s="115"/>
      <c r="AU236" s="115"/>
      <c r="AV236" s="115"/>
      <c r="AW236" s="115"/>
      <c r="AX236" s="115"/>
      <c r="AY236" s="115"/>
      <c r="AZ236" s="115"/>
      <c r="BA236" s="115"/>
      <c r="BB236" s="115"/>
      <c r="BC236" s="115"/>
      <c r="BD236" s="25"/>
      <c r="BE236" s="13"/>
      <c r="BH236" s="114"/>
    </row>
    <row r="237" spans="1:60" ht="20.100000000000001" customHeight="1" x14ac:dyDescent="0.4">
      <c r="A237" s="117"/>
      <c r="B237" s="123"/>
      <c r="C237" s="123"/>
      <c r="D237" s="123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25"/>
      <c r="V237" s="13"/>
      <c r="X237" s="115"/>
      <c r="Y237" s="115"/>
      <c r="Z237" s="115"/>
      <c r="AA237" s="115"/>
      <c r="AB237" s="115"/>
      <c r="AC237" s="115"/>
      <c r="AD237" s="115"/>
      <c r="AE237" s="115"/>
      <c r="AF237" s="25"/>
      <c r="AG237" s="13"/>
      <c r="AL237" s="116"/>
      <c r="AM237" s="123"/>
      <c r="AN237" s="123"/>
      <c r="AO237" s="123"/>
      <c r="AT237" s="115"/>
      <c r="AU237" s="115"/>
      <c r="AV237" s="115"/>
      <c r="AW237" s="115"/>
      <c r="AX237" s="115"/>
      <c r="AY237" s="115"/>
      <c r="AZ237" s="115"/>
      <c r="BA237" s="115"/>
      <c r="BB237" s="115"/>
      <c r="BC237" s="115"/>
      <c r="BD237" s="25"/>
      <c r="BE237" s="13"/>
      <c r="BH237" s="114"/>
    </row>
    <row r="238" spans="1:60" ht="20.100000000000001" customHeight="1" x14ac:dyDescent="0.4">
      <c r="A238" s="117"/>
      <c r="B238" s="123"/>
      <c r="C238" s="123"/>
      <c r="D238" s="123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25"/>
      <c r="V238" s="13"/>
      <c r="X238" s="115"/>
      <c r="Y238" s="115"/>
      <c r="Z238" s="115"/>
      <c r="AA238" s="115"/>
      <c r="AB238" s="115"/>
      <c r="AC238" s="115"/>
      <c r="AD238" s="115"/>
      <c r="AE238" s="115"/>
      <c r="AF238" s="25"/>
      <c r="AG238" s="13"/>
      <c r="AL238" s="116"/>
      <c r="AM238" s="123"/>
      <c r="AN238" s="123"/>
      <c r="AO238" s="123"/>
      <c r="AT238" s="115"/>
      <c r="AU238" s="115"/>
      <c r="AV238" s="115"/>
      <c r="AW238" s="115"/>
      <c r="AX238" s="115"/>
      <c r="AY238" s="115"/>
      <c r="AZ238" s="115"/>
      <c r="BA238" s="115"/>
      <c r="BB238" s="115"/>
      <c r="BC238" s="115"/>
      <c r="BD238" s="25"/>
      <c r="BE238" s="13"/>
      <c r="BH238" s="114"/>
    </row>
    <row r="239" spans="1:60" ht="20.100000000000001" customHeight="1" x14ac:dyDescent="0.4">
      <c r="A239" s="117"/>
      <c r="B239" s="123"/>
      <c r="C239" s="123"/>
      <c r="D239" s="123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25"/>
      <c r="V239" s="13"/>
      <c r="X239" s="115"/>
      <c r="Y239" s="115"/>
      <c r="Z239" s="115"/>
      <c r="AA239" s="115"/>
      <c r="AB239" s="115"/>
      <c r="AC239" s="115"/>
      <c r="AD239" s="115"/>
      <c r="AE239" s="115"/>
      <c r="AF239" s="25"/>
      <c r="AG239" s="13"/>
      <c r="AL239" s="116"/>
      <c r="AM239" s="123"/>
      <c r="AN239" s="123"/>
      <c r="AO239" s="123"/>
      <c r="AT239" s="115"/>
      <c r="AU239" s="115"/>
      <c r="AV239" s="115"/>
      <c r="AW239" s="115"/>
      <c r="AX239" s="115"/>
      <c r="AY239" s="115"/>
      <c r="AZ239" s="115"/>
      <c r="BA239" s="115"/>
      <c r="BB239" s="115"/>
      <c r="BC239" s="115"/>
      <c r="BD239" s="25"/>
      <c r="BE239" s="13"/>
      <c r="BH239" s="114"/>
    </row>
    <row r="240" spans="1:60" ht="20.100000000000001" customHeight="1" x14ac:dyDescent="0.4">
      <c r="A240" s="117"/>
      <c r="B240" s="123"/>
      <c r="C240" s="123"/>
      <c r="D240" s="123"/>
      <c r="U240" s="25"/>
      <c r="V240" s="13"/>
      <c r="X240" s="115"/>
      <c r="Y240" s="115"/>
      <c r="Z240" s="115"/>
      <c r="AA240" s="115"/>
      <c r="AB240" s="115"/>
      <c r="AC240" s="115"/>
      <c r="AD240" s="115"/>
      <c r="AE240" s="115"/>
      <c r="AF240" s="25">
        <v>45673</v>
      </c>
      <c r="AG240" s="13" t="s">
        <v>147</v>
      </c>
      <c r="AL240" s="116"/>
      <c r="AM240" s="123"/>
      <c r="AN240" s="123"/>
      <c r="AO240" s="123"/>
      <c r="AT240" s="115"/>
      <c r="AU240" s="115"/>
      <c r="AV240" s="115"/>
      <c r="AW240" s="115"/>
      <c r="AX240" s="115"/>
      <c r="AY240" s="115"/>
      <c r="AZ240" s="115"/>
      <c r="BA240" s="115"/>
      <c r="BB240" s="115"/>
      <c r="BC240" s="115"/>
      <c r="BD240" s="25"/>
      <c r="BE240" s="13"/>
      <c r="BH240" s="114"/>
    </row>
    <row r="241" spans="1:60" ht="20.100000000000001" customHeight="1" x14ac:dyDescent="0.4">
      <c r="A241" s="117"/>
      <c r="B241" s="123"/>
      <c r="C241" s="123"/>
      <c r="D241" s="123"/>
      <c r="U241" s="25"/>
      <c r="V241" s="13"/>
      <c r="X241" s="115"/>
      <c r="Y241" s="115"/>
      <c r="Z241" s="115"/>
      <c r="AA241" s="115"/>
      <c r="AB241" s="115"/>
      <c r="AC241" s="115"/>
      <c r="AD241" s="115"/>
      <c r="AE241" s="115"/>
      <c r="AF241" s="25">
        <v>45673</v>
      </c>
      <c r="AG241" s="13" t="s">
        <v>147</v>
      </c>
      <c r="AL241" s="116"/>
      <c r="AM241" s="123"/>
      <c r="AN241" s="123"/>
      <c r="AO241" s="123"/>
      <c r="AT241" s="115"/>
      <c r="AU241" s="115"/>
      <c r="AV241" s="115"/>
      <c r="AW241" s="115"/>
      <c r="AX241" s="115"/>
      <c r="AY241" s="115"/>
      <c r="AZ241" s="115"/>
      <c r="BA241" s="115"/>
      <c r="BB241" s="115"/>
      <c r="BC241" s="115"/>
      <c r="BD241" s="25"/>
      <c r="BE241" s="13"/>
      <c r="BH241" s="114"/>
    </row>
    <row r="242" spans="1:60" ht="20.100000000000001" customHeight="1" x14ac:dyDescent="0.4">
      <c r="A242" s="117"/>
      <c r="B242" s="123"/>
      <c r="C242" s="123"/>
      <c r="D242" s="123"/>
      <c r="U242" s="25"/>
      <c r="V242" s="13"/>
      <c r="X242" s="115"/>
      <c r="Y242" s="115"/>
      <c r="Z242" s="115"/>
      <c r="AA242" s="115"/>
      <c r="AB242" s="115"/>
      <c r="AC242" s="115"/>
      <c r="AD242" s="115"/>
      <c r="AE242" s="115"/>
      <c r="AF242" s="25">
        <v>45675</v>
      </c>
      <c r="AG242" s="13" t="s">
        <v>147</v>
      </c>
      <c r="AL242" s="116"/>
      <c r="AM242" s="123"/>
      <c r="AN242" s="123"/>
      <c r="AO242" s="123"/>
      <c r="AT242" s="115"/>
      <c r="AU242" s="115"/>
      <c r="AV242" s="115"/>
      <c r="AW242" s="115"/>
      <c r="AX242" s="115"/>
      <c r="AY242" s="115"/>
      <c r="AZ242" s="115"/>
      <c r="BA242" s="115"/>
      <c r="BB242" s="115"/>
      <c r="BC242" s="115"/>
      <c r="BD242" s="25"/>
      <c r="BE242" s="13"/>
      <c r="BH242" s="114"/>
    </row>
    <row r="243" spans="1:60" ht="20.100000000000001" customHeight="1" x14ac:dyDescent="0.4">
      <c r="A243" s="117"/>
      <c r="B243" s="123"/>
      <c r="C243" s="123"/>
      <c r="D243" s="123"/>
      <c r="U243" s="25"/>
      <c r="V243" s="13"/>
      <c r="X243" s="115"/>
      <c r="Y243" s="115"/>
      <c r="Z243" s="115"/>
      <c r="AA243" s="115"/>
      <c r="AB243" s="115"/>
      <c r="AC243" s="115"/>
      <c r="AD243" s="115"/>
      <c r="AE243" s="115"/>
      <c r="AF243" s="25"/>
      <c r="AG243" s="13"/>
      <c r="AL243" s="116"/>
      <c r="AM243" s="123"/>
      <c r="AN243" s="123"/>
      <c r="AO243" s="123"/>
      <c r="AT243" s="115"/>
      <c r="AU243" s="115"/>
      <c r="AV243" s="115"/>
      <c r="AW243" s="115"/>
      <c r="AX243" s="115"/>
      <c r="AY243" s="115"/>
      <c r="AZ243" s="115"/>
      <c r="BA243" s="115"/>
      <c r="BB243" s="115"/>
      <c r="BC243" s="115"/>
      <c r="BD243" s="25"/>
      <c r="BE243" s="13"/>
      <c r="BH243" s="114"/>
    </row>
    <row r="244" spans="1:60" ht="20.100000000000001" customHeight="1" x14ac:dyDescent="0.4">
      <c r="A244" s="117"/>
      <c r="B244" s="123"/>
      <c r="C244" s="123"/>
      <c r="D244" s="123"/>
      <c r="N244" s="115"/>
      <c r="O244" s="115"/>
      <c r="P244" s="115"/>
      <c r="Q244" s="115"/>
      <c r="R244" s="115"/>
      <c r="S244" s="115"/>
      <c r="T244" s="115"/>
      <c r="U244" s="25"/>
      <c r="V244" s="13"/>
      <c r="X244" s="115"/>
      <c r="Y244" s="115"/>
      <c r="Z244" s="115"/>
      <c r="AA244" s="115"/>
      <c r="AB244" s="115"/>
      <c r="AC244" s="115"/>
      <c r="AD244" s="115"/>
      <c r="AE244" s="115"/>
      <c r="AF244" s="25"/>
      <c r="AG244" s="13"/>
      <c r="AL244" s="116"/>
      <c r="AM244" s="123"/>
      <c r="AN244" s="123"/>
      <c r="AO244" s="123"/>
      <c r="AT244" s="115"/>
      <c r="AU244" s="115"/>
      <c r="AV244" s="115"/>
      <c r="AW244" s="115"/>
      <c r="AX244" s="115"/>
      <c r="AY244" s="115"/>
      <c r="AZ244" s="115"/>
      <c r="BA244" s="115"/>
      <c r="BB244" s="115"/>
      <c r="BC244" s="115"/>
      <c r="BD244" s="25"/>
      <c r="BE244" s="13"/>
      <c r="BH244" s="114"/>
    </row>
    <row r="245" spans="1:60" ht="20.100000000000001" customHeight="1" x14ac:dyDescent="0.4">
      <c r="A245" s="117"/>
      <c r="B245" s="123"/>
      <c r="C245" s="123"/>
      <c r="D245" s="123"/>
      <c r="U245" s="25"/>
      <c r="V245" s="13"/>
      <c r="X245" s="115"/>
      <c r="Y245" s="115"/>
      <c r="Z245" s="115"/>
      <c r="AA245" s="115"/>
      <c r="AB245" s="115"/>
      <c r="AC245" s="115"/>
      <c r="AD245" s="115"/>
      <c r="AE245" s="115"/>
      <c r="AF245" s="25">
        <v>45675</v>
      </c>
      <c r="AG245" s="15" t="s">
        <v>147</v>
      </c>
      <c r="AL245" s="116"/>
      <c r="AM245" s="123"/>
      <c r="AN245" s="123"/>
      <c r="AO245" s="123"/>
      <c r="AT245" s="115"/>
      <c r="AU245" s="115"/>
      <c r="AV245" s="115"/>
      <c r="AW245" s="115"/>
      <c r="AX245" s="115"/>
      <c r="AY245" s="115"/>
      <c r="AZ245" s="115"/>
      <c r="BA245" s="115"/>
      <c r="BB245" s="115"/>
      <c r="BC245" s="115"/>
      <c r="BD245" s="25"/>
      <c r="BE245" s="13"/>
      <c r="BH245" s="114"/>
    </row>
    <row r="246" spans="1:60" ht="20.100000000000001" customHeight="1" x14ac:dyDescent="0.4">
      <c r="A246" s="117"/>
      <c r="B246" s="123"/>
      <c r="C246" s="123"/>
      <c r="D246" s="123"/>
      <c r="U246" s="26"/>
      <c r="V246" s="13"/>
      <c r="X246" s="115"/>
      <c r="Y246" s="115"/>
      <c r="Z246" s="115"/>
      <c r="AA246" s="115"/>
      <c r="AB246" s="115"/>
      <c r="AC246" s="115"/>
      <c r="AD246" s="115"/>
      <c r="AE246" s="115"/>
      <c r="AF246" s="25"/>
      <c r="AG246" s="13"/>
      <c r="AL246" s="116"/>
      <c r="AM246" s="123"/>
      <c r="AN246" s="123"/>
      <c r="AO246" s="123"/>
      <c r="AT246" s="115"/>
      <c r="AU246" s="115"/>
      <c r="AV246" s="115"/>
      <c r="AW246" s="115"/>
      <c r="AX246" s="115"/>
      <c r="AY246" s="115"/>
      <c r="AZ246" s="115"/>
      <c r="BA246" s="115"/>
      <c r="BB246" s="115"/>
      <c r="BC246" s="115"/>
      <c r="BD246" s="25"/>
      <c r="BE246" s="13"/>
      <c r="BH246" s="114"/>
    </row>
    <row r="247" spans="1:60" ht="20.100000000000001" customHeight="1" x14ac:dyDescent="0.4">
      <c r="A247" s="117"/>
      <c r="B247" s="123"/>
      <c r="C247" s="123"/>
      <c r="D247" s="123"/>
      <c r="U247" s="26"/>
      <c r="V247" s="13"/>
      <c r="X247" s="115"/>
      <c r="Y247" s="115"/>
      <c r="Z247" s="115"/>
      <c r="AA247" s="115"/>
      <c r="AB247" s="115"/>
      <c r="AC247" s="115"/>
      <c r="AD247" s="115"/>
      <c r="AE247" s="115"/>
      <c r="AF247" s="25">
        <v>45675</v>
      </c>
      <c r="AG247" s="13" t="s">
        <v>147</v>
      </c>
      <c r="AL247" s="116"/>
      <c r="AM247" s="123"/>
      <c r="AN247" s="123"/>
      <c r="AO247" s="123"/>
      <c r="AT247" s="115"/>
      <c r="AU247" s="115"/>
      <c r="AV247" s="115"/>
      <c r="AW247" s="115"/>
      <c r="AX247" s="115"/>
      <c r="AY247" s="115"/>
      <c r="AZ247" s="115"/>
      <c r="BA247" s="115"/>
      <c r="BB247" s="115"/>
      <c r="BC247" s="115"/>
      <c r="BD247" s="25"/>
      <c r="BE247" s="13"/>
      <c r="BH247" s="114"/>
    </row>
    <row r="248" spans="1:60" ht="20.100000000000001" customHeight="1" x14ac:dyDescent="0.4">
      <c r="A248" s="117"/>
      <c r="B248" s="123"/>
      <c r="C248" s="123"/>
      <c r="D248" s="123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26"/>
      <c r="V248" s="13"/>
      <c r="X248" s="115"/>
      <c r="Y248" s="115"/>
      <c r="Z248" s="115"/>
      <c r="AA248" s="115"/>
      <c r="AB248" s="115"/>
      <c r="AC248" s="115"/>
      <c r="AD248" s="115"/>
      <c r="AE248" s="115"/>
      <c r="AF248" s="25"/>
      <c r="AG248" s="13"/>
      <c r="AL248" s="116"/>
      <c r="AM248" s="123"/>
      <c r="AN248" s="123"/>
      <c r="AO248" s="123"/>
      <c r="AT248" s="115"/>
      <c r="AU248" s="115"/>
      <c r="AV248" s="115"/>
      <c r="AW248" s="115"/>
      <c r="AX248" s="115"/>
      <c r="AY248" s="115"/>
      <c r="AZ248" s="115"/>
      <c r="BA248" s="115"/>
      <c r="BB248" s="115"/>
      <c r="BC248" s="115"/>
      <c r="BD248" s="25"/>
      <c r="BE248" s="13"/>
      <c r="BH248" s="114"/>
    </row>
    <row r="249" spans="1:60" ht="20.100000000000001" customHeight="1" x14ac:dyDescent="0.4">
      <c r="A249" s="117"/>
      <c r="B249" s="123"/>
      <c r="C249" s="123"/>
      <c r="D249" s="123"/>
      <c r="U249" s="26"/>
      <c r="V249" s="13"/>
      <c r="X249" s="115"/>
      <c r="Y249" s="115"/>
      <c r="Z249" s="115"/>
      <c r="AA249" s="115"/>
      <c r="AB249" s="115"/>
      <c r="AC249" s="115"/>
      <c r="AD249" s="115"/>
      <c r="AE249" s="115"/>
      <c r="AF249" s="25"/>
      <c r="AG249" s="13"/>
      <c r="AL249" s="116"/>
      <c r="AM249" s="123"/>
      <c r="AN249" s="123"/>
      <c r="AO249" s="123"/>
      <c r="AT249" s="115"/>
      <c r="AU249" s="115"/>
      <c r="AV249" s="115"/>
      <c r="AW249" s="115"/>
      <c r="AX249" s="115"/>
      <c r="AY249" s="115"/>
      <c r="AZ249" s="115"/>
      <c r="BA249" s="115"/>
      <c r="BB249" s="115"/>
      <c r="BC249" s="115"/>
      <c r="BD249" s="25"/>
      <c r="BE249" s="13"/>
      <c r="BH249" s="114"/>
    </row>
    <row r="250" spans="1:60" ht="20.100000000000001" customHeight="1" x14ac:dyDescent="0.4">
      <c r="A250" s="117"/>
      <c r="B250" s="123"/>
      <c r="C250" s="123"/>
      <c r="D250" s="123"/>
      <c r="M250" s="115"/>
      <c r="N250" s="115"/>
      <c r="O250" s="115"/>
      <c r="P250" s="115"/>
      <c r="Q250" s="115"/>
      <c r="R250" s="115"/>
      <c r="S250" s="115"/>
      <c r="T250" s="115"/>
      <c r="U250" s="26"/>
      <c r="V250" s="13"/>
      <c r="X250" s="115"/>
      <c r="Y250" s="115"/>
      <c r="Z250" s="115"/>
      <c r="AA250" s="115"/>
      <c r="AB250" s="115"/>
      <c r="AC250" s="115"/>
      <c r="AD250" s="115"/>
      <c r="AE250" s="115"/>
      <c r="AF250" s="25"/>
      <c r="AG250" s="13"/>
      <c r="AL250" s="116"/>
      <c r="AM250" s="123"/>
      <c r="AN250" s="123"/>
      <c r="AO250" s="123"/>
      <c r="AT250" s="115"/>
      <c r="AU250" s="115"/>
      <c r="AV250" s="115"/>
      <c r="AW250" s="115"/>
      <c r="AX250" s="115"/>
      <c r="AY250" s="115"/>
      <c r="AZ250" s="115"/>
      <c r="BA250" s="115"/>
      <c r="BB250" s="115"/>
      <c r="BC250" s="115"/>
      <c r="BD250" s="25"/>
      <c r="BE250" s="13"/>
      <c r="BH250" s="114"/>
    </row>
    <row r="251" spans="1:60" ht="20.100000000000001" customHeight="1" x14ac:dyDescent="0.4">
      <c r="A251" s="117"/>
      <c r="B251" s="123"/>
      <c r="C251" s="123"/>
      <c r="D251" s="123"/>
      <c r="M251" s="115"/>
      <c r="N251" s="115"/>
      <c r="O251" s="115"/>
      <c r="P251" s="115"/>
      <c r="Q251" s="115"/>
      <c r="R251" s="115"/>
      <c r="S251" s="115"/>
      <c r="T251" s="115"/>
      <c r="U251" s="17"/>
      <c r="V251" s="13"/>
      <c r="X251" s="115"/>
      <c r="Y251" s="115"/>
      <c r="Z251" s="115"/>
      <c r="AA251" s="115"/>
      <c r="AB251" s="115"/>
      <c r="AC251" s="115"/>
      <c r="AD251" s="115"/>
      <c r="AE251" s="115"/>
      <c r="AF251" s="25"/>
      <c r="AG251" s="13"/>
      <c r="AL251" s="116"/>
      <c r="AM251" s="123"/>
      <c r="AN251" s="123"/>
      <c r="AO251" s="123"/>
      <c r="AT251" s="115"/>
      <c r="AU251" s="115"/>
      <c r="AV251" s="115"/>
      <c r="AW251" s="115"/>
      <c r="AX251" s="115"/>
      <c r="AY251" s="115"/>
      <c r="AZ251" s="115"/>
      <c r="BA251" s="115"/>
      <c r="BB251" s="115"/>
      <c r="BC251" s="115"/>
      <c r="BD251" s="25"/>
      <c r="BE251" s="13"/>
      <c r="BH251" s="114"/>
    </row>
    <row r="252" spans="1:60" ht="20.100000000000001" customHeight="1" x14ac:dyDescent="0.4">
      <c r="A252" s="117"/>
      <c r="B252" s="123"/>
      <c r="C252" s="123"/>
      <c r="D252" s="123"/>
      <c r="L252" s="115"/>
      <c r="M252" s="115"/>
      <c r="N252" s="115"/>
      <c r="O252" s="115"/>
      <c r="P252" s="115"/>
      <c r="Q252" s="115"/>
      <c r="R252" s="115"/>
      <c r="S252" s="115"/>
      <c r="T252" s="115"/>
      <c r="U252" s="26"/>
      <c r="V252" s="25"/>
      <c r="X252" s="115"/>
      <c r="Y252" s="115"/>
      <c r="Z252" s="115"/>
      <c r="AA252" s="115"/>
      <c r="AB252" s="115"/>
      <c r="AC252" s="115"/>
      <c r="AD252" s="115"/>
      <c r="AE252" s="115"/>
      <c r="AF252" s="25"/>
      <c r="AG252" s="13"/>
      <c r="AL252" s="116"/>
      <c r="AM252" s="123"/>
      <c r="AN252" s="123"/>
      <c r="AO252" s="123"/>
      <c r="AT252" s="115"/>
      <c r="AU252" s="115"/>
      <c r="AV252" s="115"/>
      <c r="AW252" s="115"/>
      <c r="AX252" s="115"/>
      <c r="AY252" s="115"/>
      <c r="AZ252" s="115"/>
      <c r="BA252" s="115"/>
      <c r="BB252" s="115"/>
      <c r="BC252" s="115"/>
      <c r="BD252" s="25"/>
      <c r="BE252" s="13"/>
      <c r="BH252" s="114"/>
    </row>
    <row r="253" spans="1:60" ht="20.100000000000001" customHeight="1" x14ac:dyDescent="0.4">
      <c r="A253" s="117"/>
      <c r="B253" s="123"/>
      <c r="C253" s="123"/>
      <c r="D253" s="123"/>
      <c r="U253" s="26"/>
      <c r="V253" s="25"/>
      <c r="X253" s="115"/>
      <c r="Y253" s="115"/>
      <c r="Z253" s="115"/>
      <c r="AA253" s="115"/>
      <c r="AB253" s="115"/>
      <c r="AC253" s="115"/>
      <c r="AD253" s="115"/>
      <c r="AE253" s="115"/>
      <c r="AF253" s="25"/>
      <c r="AG253" s="13"/>
      <c r="AL253" s="116"/>
      <c r="AM253" s="123"/>
      <c r="AN253" s="123"/>
      <c r="AO253" s="123"/>
      <c r="AT253" s="115"/>
      <c r="AU253" s="115"/>
      <c r="AV253" s="115"/>
      <c r="AW253" s="115"/>
      <c r="AX253" s="115"/>
      <c r="AY253" s="115"/>
      <c r="AZ253" s="115"/>
      <c r="BA253" s="115"/>
      <c r="BB253" s="115"/>
      <c r="BC253" s="115"/>
      <c r="BD253" s="25"/>
      <c r="BE253" s="13"/>
      <c r="BH253" s="114"/>
    </row>
    <row r="254" spans="1:60" ht="20.100000000000001" customHeight="1" x14ac:dyDescent="0.4">
      <c r="A254" s="117"/>
      <c r="B254" s="123"/>
      <c r="C254" s="123"/>
      <c r="D254" s="123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26"/>
      <c r="V254" s="25"/>
      <c r="X254" s="115"/>
      <c r="Y254" s="115"/>
      <c r="Z254" s="115"/>
      <c r="AA254" s="115"/>
      <c r="AB254" s="115"/>
      <c r="AC254" s="115"/>
      <c r="AD254" s="115"/>
      <c r="AE254" s="115"/>
      <c r="AF254" s="25"/>
      <c r="AG254" s="13"/>
      <c r="AL254" s="116"/>
      <c r="AM254" s="123"/>
      <c r="AN254" s="123"/>
      <c r="AO254" s="123"/>
      <c r="AT254" s="115"/>
      <c r="AU254" s="115"/>
      <c r="AV254" s="115"/>
      <c r="AW254" s="115"/>
      <c r="AX254" s="115"/>
      <c r="AY254" s="115"/>
      <c r="AZ254" s="115"/>
      <c r="BA254" s="115"/>
      <c r="BB254" s="115"/>
      <c r="BC254" s="115"/>
      <c r="BD254" s="25"/>
      <c r="BE254" s="13"/>
      <c r="BH254" s="114"/>
    </row>
    <row r="255" spans="1:60" ht="20.100000000000001" customHeight="1" x14ac:dyDescent="0.4">
      <c r="A255" s="117"/>
      <c r="B255" s="123"/>
      <c r="C255" s="123"/>
      <c r="D255" s="123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26"/>
      <c r="V255" s="13"/>
      <c r="X255" s="115"/>
      <c r="Y255" s="115"/>
      <c r="Z255" s="115"/>
      <c r="AA255" s="115"/>
      <c r="AB255" s="115"/>
      <c r="AC255" s="115"/>
      <c r="AD255" s="115"/>
      <c r="AE255" s="115"/>
      <c r="AF255" s="25"/>
      <c r="AG255" s="13"/>
      <c r="AL255" s="116"/>
      <c r="AM255" s="123"/>
      <c r="AN255" s="123"/>
      <c r="AO255" s="123"/>
      <c r="AT255" s="115"/>
      <c r="AU255" s="115"/>
      <c r="AV255" s="115"/>
      <c r="AW255" s="115"/>
      <c r="AX255" s="115"/>
      <c r="AY255" s="115"/>
      <c r="AZ255" s="115"/>
      <c r="BA255" s="115"/>
      <c r="BB255" s="115"/>
      <c r="BC255" s="115"/>
      <c r="BD255" s="25"/>
      <c r="BE255" s="13"/>
      <c r="BH255" s="114"/>
    </row>
    <row r="256" spans="1:60" ht="20.100000000000001" customHeight="1" x14ac:dyDescent="0.4">
      <c r="A256" s="117"/>
      <c r="B256" s="123"/>
      <c r="C256" s="123"/>
      <c r="D256" s="123"/>
      <c r="U256" s="26"/>
      <c r="V256" s="13"/>
      <c r="W256" s="115"/>
      <c r="X256" s="115"/>
      <c r="Y256" s="115"/>
      <c r="Z256" s="115"/>
      <c r="AA256" s="115"/>
      <c r="AB256" s="115"/>
      <c r="AC256" s="115"/>
      <c r="AD256" s="115"/>
      <c r="AE256" s="115"/>
      <c r="AF256" s="25">
        <v>45675</v>
      </c>
      <c r="AG256" s="13" t="s">
        <v>146</v>
      </c>
      <c r="AL256" s="116"/>
      <c r="AM256" s="123"/>
      <c r="AN256" s="123"/>
      <c r="AO256" s="123"/>
      <c r="AT256" s="115"/>
      <c r="AU256" s="115"/>
      <c r="AV256" s="115"/>
      <c r="AW256" s="115"/>
      <c r="AX256" s="115"/>
      <c r="AY256" s="115"/>
      <c r="AZ256" s="115"/>
      <c r="BA256" s="115"/>
      <c r="BB256" s="115"/>
      <c r="BC256" s="115"/>
      <c r="BD256" s="25"/>
      <c r="BE256" s="13"/>
      <c r="BH256" s="114"/>
    </row>
    <row r="257" spans="1:60" ht="20.100000000000001" customHeight="1" x14ac:dyDescent="0.4">
      <c r="A257" s="117"/>
      <c r="B257" s="123"/>
      <c r="C257" s="123"/>
      <c r="D257" s="123"/>
      <c r="O257" s="115"/>
      <c r="P257" s="115"/>
      <c r="Q257" s="115"/>
      <c r="R257" s="115"/>
      <c r="S257" s="115"/>
      <c r="T257" s="115"/>
      <c r="U257" s="17"/>
      <c r="V257" s="13"/>
      <c r="W257" s="115"/>
      <c r="X257" s="115"/>
      <c r="Y257" s="115"/>
      <c r="Z257" s="115"/>
      <c r="AA257" s="115"/>
      <c r="AB257" s="115"/>
      <c r="AC257" s="115"/>
      <c r="AD257" s="115"/>
      <c r="AE257" s="115"/>
      <c r="AF257" s="25"/>
      <c r="AG257" s="13"/>
      <c r="AL257" s="116"/>
      <c r="AM257" s="123"/>
      <c r="AN257" s="123"/>
      <c r="AO257" s="123"/>
      <c r="AT257" s="115"/>
      <c r="AU257" s="115"/>
      <c r="AV257" s="115"/>
      <c r="AW257" s="115"/>
      <c r="AX257" s="115"/>
      <c r="AY257" s="115"/>
      <c r="AZ257" s="115"/>
      <c r="BA257" s="115"/>
      <c r="BB257" s="115"/>
      <c r="BC257" s="115"/>
      <c r="BD257" s="25"/>
      <c r="BE257" s="13"/>
      <c r="BH257" s="114"/>
    </row>
    <row r="258" spans="1:60" ht="20.100000000000001" customHeight="1" x14ac:dyDescent="0.4">
      <c r="A258" s="117"/>
      <c r="B258" s="123"/>
      <c r="C258" s="123"/>
      <c r="D258" s="123"/>
      <c r="U258" s="26"/>
      <c r="V258" s="13"/>
      <c r="W258" s="115"/>
      <c r="X258" s="115"/>
      <c r="Y258" s="115"/>
      <c r="Z258" s="115"/>
      <c r="AA258" s="115"/>
      <c r="AB258" s="115"/>
      <c r="AC258" s="115"/>
      <c r="AD258" s="115"/>
      <c r="AE258" s="115"/>
      <c r="AF258" s="25">
        <v>45676</v>
      </c>
      <c r="AG258" s="13" t="s">
        <v>148</v>
      </c>
      <c r="AL258" s="116"/>
      <c r="AM258" s="123"/>
      <c r="AN258" s="123"/>
      <c r="AO258" s="123"/>
      <c r="AT258" s="115"/>
      <c r="AU258" s="115"/>
      <c r="AV258" s="115"/>
      <c r="AW258" s="115"/>
      <c r="AX258" s="115"/>
      <c r="AY258" s="115"/>
      <c r="AZ258" s="115"/>
      <c r="BA258" s="115"/>
      <c r="BB258" s="115"/>
      <c r="BC258" s="115"/>
      <c r="BD258" s="25"/>
      <c r="BE258" s="13"/>
      <c r="BH258" s="114"/>
    </row>
    <row r="259" spans="1:60" ht="20.100000000000001" customHeight="1" x14ac:dyDescent="0.4">
      <c r="A259" s="117"/>
      <c r="B259" s="123"/>
      <c r="C259" s="123"/>
      <c r="D259" s="123"/>
      <c r="O259" s="115"/>
      <c r="P259" s="115"/>
      <c r="Q259" s="115"/>
      <c r="R259" s="115"/>
      <c r="S259" s="115"/>
      <c r="T259" s="115"/>
      <c r="U259" s="17"/>
      <c r="V259" s="13"/>
      <c r="W259" s="115"/>
      <c r="X259" s="115"/>
      <c r="Y259" s="115"/>
      <c r="Z259" s="115"/>
      <c r="AA259" s="115"/>
      <c r="AB259" s="115"/>
      <c r="AC259" s="115"/>
      <c r="AD259" s="115"/>
      <c r="AE259" s="115"/>
      <c r="AF259" s="25"/>
      <c r="AG259" s="13"/>
      <c r="AL259" s="116"/>
      <c r="AM259" s="123"/>
      <c r="AN259" s="123"/>
      <c r="AO259" s="123"/>
      <c r="AT259" s="115"/>
      <c r="AU259" s="115"/>
      <c r="AV259" s="115"/>
      <c r="AW259" s="115"/>
      <c r="AX259" s="115"/>
      <c r="AY259" s="115"/>
      <c r="AZ259" s="115"/>
      <c r="BA259" s="115"/>
      <c r="BB259" s="115"/>
      <c r="BC259" s="115"/>
      <c r="BD259" s="25"/>
      <c r="BE259" s="13"/>
      <c r="BH259" s="114"/>
    </row>
    <row r="260" spans="1:60" ht="20.100000000000001" customHeight="1" x14ac:dyDescent="0.4">
      <c r="A260" s="117"/>
      <c r="B260" s="123"/>
      <c r="C260" s="123"/>
      <c r="D260" s="123"/>
      <c r="N260" s="115"/>
      <c r="O260" s="115"/>
      <c r="P260" s="115"/>
      <c r="Q260" s="115"/>
      <c r="R260" s="115"/>
      <c r="S260" s="115"/>
      <c r="T260" s="115"/>
      <c r="U260" s="26"/>
      <c r="V260" s="13"/>
      <c r="W260" s="115"/>
      <c r="X260" s="115"/>
      <c r="Y260" s="115"/>
      <c r="Z260" s="115"/>
      <c r="AA260" s="115"/>
      <c r="AB260" s="115"/>
      <c r="AC260" s="115"/>
      <c r="AD260" s="115"/>
      <c r="AE260" s="115"/>
      <c r="AF260" s="25"/>
      <c r="AG260" s="13"/>
      <c r="AL260" s="116"/>
      <c r="AM260" s="123"/>
      <c r="AN260" s="123"/>
      <c r="AO260" s="123"/>
      <c r="AT260" s="115"/>
      <c r="AU260" s="115"/>
      <c r="AV260" s="115"/>
      <c r="AW260" s="115"/>
      <c r="AX260" s="115"/>
      <c r="AY260" s="115"/>
      <c r="AZ260" s="115"/>
      <c r="BA260" s="115"/>
      <c r="BB260" s="115"/>
      <c r="BC260" s="115"/>
      <c r="BD260" s="25"/>
      <c r="BE260" s="13"/>
      <c r="BH260" s="114"/>
    </row>
    <row r="261" spans="1:60" ht="20.100000000000001" customHeight="1" x14ac:dyDescent="0.4">
      <c r="A261" s="117"/>
      <c r="B261" s="123"/>
      <c r="C261" s="123"/>
      <c r="D261" s="123"/>
      <c r="N261" s="115"/>
      <c r="O261" s="115"/>
      <c r="P261" s="115"/>
      <c r="Q261" s="115"/>
      <c r="R261" s="115"/>
      <c r="S261" s="115"/>
      <c r="T261" s="115"/>
      <c r="U261" s="17"/>
      <c r="V261" s="13"/>
      <c r="W261" s="115"/>
      <c r="X261" s="115"/>
      <c r="Y261" s="115"/>
      <c r="Z261" s="115"/>
      <c r="AA261" s="115"/>
      <c r="AB261" s="115"/>
      <c r="AC261" s="115"/>
      <c r="AD261" s="115"/>
      <c r="AE261" s="115"/>
      <c r="AF261" s="25"/>
      <c r="AG261" s="13"/>
      <c r="AL261" s="116"/>
      <c r="AM261" s="123"/>
      <c r="AN261" s="123"/>
      <c r="AO261" s="123"/>
      <c r="AT261" s="115"/>
      <c r="AU261" s="115"/>
      <c r="AV261" s="115"/>
      <c r="AW261" s="115"/>
      <c r="AX261" s="115"/>
      <c r="AY261" s="115"/>
      <c r="AZ261" s="115"/>
      <c r="BA261" s="115"/>
      <c r="BB261" s="115"/>
      <c r="BC261" s="115"/>
      <c r="BD261" s="25"/>
      <c r="BE261" s="13"/>
      <c r="BH261" s="114"/>
    </row>
    <row r="262" spans="1:60" ht="20.100000000000001" customHeight="1" x14ac:dyDescent="0.4">
      <c r="A262" s="117"/>
      <c r="B262" s="123"/>
      <c r="C262" s="123"/>
      <c r="D262" s="123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26"/>
      <c r="V262" s="13"/>
      <c r="W262" s="115"/>
      <c r="X262" s="115"/>
      <c r="Y262" s="115"/>
      <c r="Z262" s="115"/>
      <c r="AA262" s="115"/>
      <c r="AB262" s="115"/>
      <c r="AC262" s="115"/>
      <c r="AD262" s="115"/>
      <c r="AE262" s="115"/>
      <c r="AF262" s="25"/>
      <c r="AG262" s="13"/>
      <c r="AL262" s="116"/>
      <c r="AM262" s="123"/>
      <c r="AN262" s="123"/>
      <c r="AO262" s="123"/>
      <c r="AT262" s="115"/>
      <c r="AU262" s="115"/>
      <c r="AV262" s="115"/>
      <c r="AW262" s="115"/>
      <c r="AX262" s="115"/>
      <c r="AY262" s="115"/>
      <c r="AZ262" s="115"/>
      <c r="BA262" s="115"/>
      <c r="BB262" s="115"/>
      <c r="BC262" s="115"/>
      <c r="BD262" s="25"/>
      <c r="BE262" s="13"/>
      <c r="BH262" s="114"/>
    </row>
    <row r="263" spans="1:60" ht="20.100000000000001" customHeight="1" x14ac:dyDescent="0.4">
      <c r="A263" s="117"/>
      <c r="B263" s="123"/>
      <c r="C263" s="123"/>
      <c r="D263" s="123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26"/>
      <c r="V263" s="13"/>
      <c r="W263" s="115"/>
      <c r="X263" s="115"/>
      <c r="Y263" s="115"/>
      <c r="Z263" s="115"/>
      <c r="AA263" s="115"/>
      <c r="AB263" s="115"/>
      <c r="AC263" s="115"/>
      <c r="AD263" s="115"/>
      <c r="AE263" s="115"/>
      <c r="AF263" s="25"/>
      <c r="AG263" s="13"/>
      <c r="AL263" s="116"/>
      <c r="AM263" s="123"/>
      <c r="AN263" s="123"/>
      <c r="AO263" s="123"/>
      <c r="AT263" s="115"/>
      <c r="AU263" s="115"/>
      <c r="AV263" s="115"/>
      <c r="AW263" s="115"/>
      <c r="AX263" s="115"/>
      <c r="AY263" s="115"/>
      <c r="AZ263" s="115"/>
      <c r="BA263" s="115"/>
      <c r="BB263" s="115"/>
      <c r="BC263" s="115"/>
      <c r="BD263" s="25"/>
      <c r="BE263" s="13"/>
      <c r="BH263" s="114"/>
    </row>
    <row r="264" spans="1:60" ht="20.100000000000001" customHeight="1" x14ac:dyDescent="0.4">
      <c r="A264" s="117"/>
      <c r="B264" s="123"/>
      <c r="C264" s="123"/>
      <c r="D264" s="123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26"/>
      <c r="V264" s="13"/>
      <c r="W264" s="115"/>
      <c r="X264" s="115"/>
      <c r="Y264" s="115"/>
      <c r="Z264" s="115"/>
      <c r="AA264" s="115"/>
      <c r="AB264" s="115"/>
      <c r="AC264" s="115"/>
      <c r="AD264" s="115"/>
      <c r="AE264" s="115"/>
      <c r="AF264" s="25"/>
      <c r="AG264" s="13"/>
      <c r="AL264" s="116"/>
      <c r="AM264" s="123"/>
      <c r="AN264" s="123"/>
      <c r="AO264" s="123"/>
      <c r="AT264" s="115"/>
      <c r="AU264" s="115"/>
      <c r="AV264" s="115"/>
      <c r="AW264" s="115"/>
      <c r="AX264" s="115"/>
      <c r="AY264" s="115"/>
      <c r="AZ264" s="115"/>
      <c r="BA264" s="115"/>
      <c r="BB264" s="115"/>
      <c r="BC264" s="115"/>
      <c r="BD264" s="25"/>
      <c r="BE264" s="13"/>
      <c r="BH264" s="114"/>
    </row>
    <row r="265" spans="1:60" ht="20.100000000000001" customHeight="1" x14ac:dyDescent="0.4">
      <c r="A265" s="117"/>
      <c r="B265" s="123"/>
      <c r="C265" s="123"/>
      <c r="D265" s="123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26"/>
      <c r="V265" s="13"/>
      <c r="W265" s="115"/>
      <c r="X265" s="115"/>
      <c r="Y265" s="115"/>
      <c r="Z265" s="115"/>
      <c r="AA265" s="115"/>
      <c r="AB265" s="115"/>
      <c r="AC265" s="115"/>
      <c r="AD265" s="115"/>
      <c r="AE265" s="115"/>
      <c r="AF265" s="25"/>
      <c r="AG265" s="13"/>
      <c r="AL265" s="116"/>
      <c r="AM265" s="123"/>
      <c r="AN265" s="123"/>
      <c r="AO265" s="123"/>
      <c r="AT265" s="115"/>
      <c r="AU265" s="115"/>
      <c r="AV265" s="115"/>
      <c r="AW265" s="115"/>
      <c r="AX265" s="115"/>
      <c r="AY265" s="115"/>
      <c r="AZ265" s="115"/>
      <c r="BA265" s="115"/>
      <c r="BB265" s="115"/>
      <c r="BC265" s="115"/>
      <c r="BD265" s="25"/>
      <c r="BE265" s="13"/>
      <c r="BH265" s="114"/>
    </row>
    <row r="266" spans="1:60" ht="20.100000000000001" customHeight="1" x14ac:dyDescent="0.4">
      <c r="A266" s="117"/>
      <c r="B266" s="123"/>
      <c r="C266" s="123"/>
      <c r="D266" s="123"/>
      <c r="U266" s="26"/>
      <c r="V266" s="15"/>
      <c r="W266" s="115"/>
      <c r="X266" s="115"/>
      <c r="Y266" s="115"/>
      <c r="Z266" s="115"/>
      <c r="AA266" s="115"/>
      <c r="AB266" s="115"/>
      <c r="AC266" s="115"/>
      <c r="AD266" s="115"/>
      <c r="AE266" s="115"/>
      <c r="AF266" s="25">
        <v>45677</v>
      </c>
      <c r="AG266" s="13" t="s">
        <v>146</v>
      </c>
      <c r="AL266" s="116"/>
      <c r="AM266" s="123"/>
      <c r="AN266" s="123"/>
      <c r="AO266" s="123"/>
      <c r="AT266" s="115"/>
      <c r="AU266" s="115"/>
      <c r="AV266" s="115"/>
      <c r="AW266" s="115"/>
      <c r="AX266" s="115"/>
      <c r="AY266" s="115"/>
      <c r="AZ266" s="115"/>
      <c r="BA266" s="115"/>
      <c r="BB266" s="115"/>
      <c r="BC266" s="115"/>
      <c r="BD266" s="25"/>
      <c r="BE266" s="13"/>
      <c r="BH266" s="114"/>
    </row>
    <row r="267" spans="1:60" ht="20.100000000000001" customHeight="1" x14ac:dyDescent="0.4">
      <c r="A267" s="117"/>
      <c r="B267" s="123"/>
      <c r="C267" s="123"/>
      <c r="D267" s="123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26"/>
      <c r="V267" s="15"/>
      <c r="W267" s="115"/>
      <c r="X267" s="115"/>
      <c r="Y267" s="115"/>
      <c r="Z267" s="115"/>
      <c r="AA267" s="115"/>
      <c r="AB267" s="115"/>
      <c r="AC267" s="115"/>
      <c r="AD267" s="115"/>
      <c r="AE267" s="115"/>
      <c r="AF267" s="25"/>
      <c r="AG267" s="13"/>
      <c r="AL267" s="116"/>
      <c r="AM267" s="123"/>
      <c r="AN267" s="123"/>
      <c r="AO267" s="123"/>
      <c r="AT267" s="115"/>
      <c r="AU267" s="115"/>
      <c r="AV267" s="115"/>
      <c r="AW267" s="115"/>
      <c r="AX267" s="115"/>
      <c r="AY267" s="115"/>
      <c r="AZ267" s="115"/>
      <c r="BA267" s="115"/>
      <c r="BB267" s="115"/>
      <c r="BC267" s="115"/>
      <c r="BD267" s="25"/>
      <c r="BE267" s="13"/>
      <c r="BH267" s="114"/>
    </row>
    <row r="268" spans="1:60" ht="20.100000000000001" customHeight="1" x14ac:dyDescent="0.4">
      <c r="A268" s="117"/>
      <c r="B268" s="123"/>
      <c r="C268" s="123"/>
      <c r="D268" s="123"/>
      <c r="U268" s="26"/>
      <c r="V268" s="15"/>
      <c r="W268" s="115"/>
      <c r="X268" s="115"/>
      <c r="Y268" s="115"/>
      <c r="Z268" s="115"/>
      <c r="AA268" s="115"/>
      <c r="AB268" s="115"/>
      <c r="AC268" s="115"/>
      <c r="AD268" s="115"/>
      <c r="AE268" s="115"/>
      <c r="AF268" s="25"/>
      <c r="AG268" s="13"/>
      <c r="AL268" s="116"/>
      <c r="AM268" s="123"/>
      <c r="AN268" s="123"/>
      <c r="AO268" s="123"/>
      <c r="AT268" s="115"/>
      <c r="AU268" s="115"/>
      <c r="AV268" s="115"/>
      <c r="AW268" s="115"/>
      <c r="AX268" s="115"/>
      <c r="AY268" s="115"/>
      <c r="AZ268" s="115"/>
      <c r="BA268" s="115"/>
      <c r="BB268" s="115"/>
      <c r="BC268" s="115"/>
      <c r="BD268" s="25"/>
      <c r="BE268" s="13"/>
      <c r="BH268" s="114"/>
    </row>
    <row r="269" spans="1:60" ht="20.100000000000001" customHeight="1" x14ac:dyDescent="0.4">
      <c r="A269" s="117"/>
      <c r="B269" s="123"/>
      <c r="C269" s="123"/>
      <c r="D269" s="123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26"/>
      <c r="V269" s="15"/>
      <c r="W269" s="115"/>
      <c r="X269" s="115"/>
      <c r="Y269" s="115"/>
      <c r="Z269" s="115"/>
      <c r="AA269" s="115"/>
      <c r="AB269" s="115"/>
      <c r="AC269" s="115"/>
      <c r="AD269" s="115"/>
      <c r="AE269" s="115"/>
      <c r="AF269" s="25"/>
      <c r="AG269" s="13"/>
      <c r="AL269" s="116"/>
      <c r="AM269" s="123"/>
      <c r="AN269" s="123"/>
      <c r="AO269" s="123"/>
      <c r="AT269" s="115"/>
      <c r="AU269" s="115"/>
      <c r="AV269" s="115"/>
      <c r="AW269" s="115"/>
      <c r="AX269" s="115"/>
      <c r="AY269" s="115"/>
      <c r="AZ269" s="115"/>
      <c r="BA269" s="115"/>
      <c r="BB269" s="115"/>
      <c r="BC269" s="115"/>
      <c r="BD269" s="25"/>
      <c r="BE269" s="13"/>
      <c r="BH269" s="114"/>
    </row>
    <row r="270" spans="1:60" ht="20.100000000000001" customHeight="1" x14ac:dyDescent="0.4">
      <c r="A270" s="117"/>
      <c r="B270" s="123"/>
      <c r="C270" s="123"/>
      <c r="D270" s="123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26"/>
      <c r="V270" s="13"/>
      <c r="W270" s="115"/>
      <c r="X270" s="115"/>
      <c r="Y270" s="115"/>
      <c r="Z270" s="115"/>
      <c r="AA270" s="115"/>
      <c r="AB270" s="115"/>
      <c r="AC270" s="115"/>
      <c r="AD270" s="115"/>
      <c r="AE270" s="115"/>
      <c r="AF270" s="25"/>
      <c r="AG270" s="13"/>
      <c r="AL270" s="116"/>
      <c r="AM270" s="123"/>
      <c r="AN270" s="123"/>
      <c r="AO270" s="123"/>
      <c r="AT270" s="115"/>
      <c r="AU270" s="115"/>
      <c r="AV270" s="115"/>
      <c r="AW270" s="115"/>
      <c r="AX270" s="115"/>
      <c r="AY270" s="115"/>
      <c r="AZ270" s="115"/>
      <c r="BA270" s="115"/>
      <c r="BB270" s="115"/>
      <c r="BC270" s="115"/>
      <c r="BD270" s="25"/>
      <c r="BE270" s="13"/>
      <c r="BH270" s="114"/>
    </row>
    <row r="271" spans="1:60" ht="20.100000000000001" customHeight="1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26"/>
      <c r="V271" s="13"/>
      <c r="W271" s="115"/>
      <c r="X271" s="115"/>
      <c r="Y271" s="115"/>
      <c r="Z271" s="115"/>
      <c r="AA271" s="115"/>
      <c r="AB271" s="115"/>
      <c r="AC271" s="115"/>
      <c r="AD271" s="115"/>
      <c r="AE271" s="115"/>
      <c r="AF271" s="25"/>
      <c r="AG271" s="13"/>
      <c r="AL271" s="116"/>
      <c r="AM271" s="123"/>
      <c r="AN271" s="123"/>
      <c r="AO271" s="123"/>
      <c r="AT271" s="115"/>
      <c r="AU271" s="115"/>
      <c r="AV271" s="115"/>
      <c r="AW271" s="115"/>
      <c r="AX271" s="115"/>
      <c r="AY271" s="115"/>
      <c r="AZ271" s="115"/>
      <c r="BA271" s="115"/>
      <c r="BB271" s="115"/>
      <c r="BC271" s="115"/>
      <c r="BD271" s="25"/>
      <c r="BE271" s="13"/>
      <c r="BH271" s="114"/>
    </row>
    <row r="272" spans="1:60" ht="20.100000000000001" customHeight="1" x14ac:dyDescent="0.4">
      <c r="A272" s="117"/>
      <c r="B272" s="123"/>
      <c r="C272" s="123"/>
      <c r="D272" s="123"/>
      <c r="U272" s="26"/>
      <c r="V272" s="13"/>
      <c r="W272" s="115"/>
      <c r="X272" s="115"/>
      <c r="Y272" s="115"/>
      <c r="Z272" s="115"/>
      <c r="AA272" s="115"/>
      <c r="AB272" s="115"/>
      <c r="AC272" s="115"/>
      <c r="AD272" s="115"/>
      <c r="AE272" s="115"/>
      <c r="AF272" s="25">
        <v>45677</v>
      </c>
      <c r="AG272" s="13" t="s">
        <v>146</v>
      </c>
      <c r="AL272" s="116"/>
      <c r="AM272" s="123"/>
      <c r="AN272" s="123"/>
      <c r="AO272" s="123"/>
      <c r="AT272" s="115"/>
      <c r="AU272" s="115"/>
      <c r="AV272" s="115"/>
      <c r="AW272" s="115"/>
      <c r="AX272" s="115"/>
      <c r="AY272" s="115"/>
      <c r="AZ272" s="115"/>
      <c r="BA272" s="115"/>
      <c r="BB272" s="115"/>
      <c r="BC272" s="115"/>
      <c r="BD272" s="25"/>
      <c r="BE272" s="13"/>
      <c r="BH272" s="114"/>
    </row>
    <row r="273" spans="1:60" ht="20.100000000000001" customHeight="1" x14ac:dyDescent="0.4">
      <c r="A273" s="117"/>
      <c r="B273" s="123"/>
      <c r="C273" s="123"/>
      <c r="D273" s="123"/>
      <c r="N273" s="115"/>
      <c r="O273" s="115"/>
      <c r="P273" s="115"/>
      <c r="Q273" s="115"/>
      <c r="R273" s="115"/>
      <c r="S273" s="115"/>
      <c r="T273" s="115"/>
      <c r="U273" s="26"/>
      <c r="V273" s="13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25"/>
      <c r="AG273" s="13"/>
      <c r="AL273" s="116"/>
      <c r="AM273" s="123"/>
      <c r="AN273" s="123"/>
      <c r="AO273" s="123"/>
      <c r="AT273" s="115"/>
      <c r="AU273" s="115"/>
      <c r="AV273" s="115"/>
      <c r="AW273" s="115"/>
      <c r="AX273" s="115"/>
      <c r="AY273" s="115"/>
      <c r="AZ273" s="115"/>
      <c r="BA273" s="115"/>
      <c r="BB273" s="115"/>
      <c r="BC273" s="115"/>
      <c r="BD273" s="25"/>
      <c r="BE273" s="13"/>
      <c r="BH273" s="114"/>
    </row>
    <row r="274" spans="1:60" ht="20.100000000000001" customHeight="1" x14ac:dyDescent="0.4">
      <c r="A274" s="117"/>
      <c r="B274" s="123"/>
      <c r="C274" s="123"/>
      <c r="D274" s="123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26"/>
      <c r="V274" s="13"/>
      <c r="W274" s="115"/>
      <c r="X274" s="115"/>
      <c r="Y274" s="115"/>
      <c r="Z274" s="115"/>
      <c r="AA274" s="115"/>
      <c r="AB274" s="115"/>
      <c r="AC274" s="115"/>
      <c r="AD274" s="115"/>
      <c r="AE274" s="115"/>
      <c r="AF274" s="25"/>
      <c r="AG274" s="13"/>
      <c r="AL274" s="116"/>
      <c r="AM274" s="123"/>
      <c r="AN274" s="123"/>
      <c r="AO274" s="123"/>
      <c r="AT274" s="115"/>
      <c r="AU274" s="115"/>
      <c r="AV274" s="115"/>
      <c r="AW274" s="115"/>
      <c r="AX274" s="115"/>
      <c r="AY274" s="115"/>
      <c r="AZ274" s="115"/>
      <c r="BA274" s="115"/>
      <c r="BB274" s="115"/>
      <c r="BC274" s="115"/>
      <c r="BD274" s="25"/>
      <c r="BE274" s="13"/>
      <c r="BH274" s="114"/>
    </row>
    <row r="275" spans="1:60" ht="20.100000000000001" customHeight="1" x14ac:dyDescent="0.4">
      <c r="A275" s="117"/>
      <c r="B275" s="123"/>
      <c r="C275" s="123"/>
      <c r="D275" s="123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7"/>
      <c r="V275" s="13"/>
      <c r="W275" s="115"/>
      <c r="X275" s="115"/>
      <c r="Y275" s="115"/>
      <c r="Z275" s="115"/>
      <c r="AA275" s="115"/>
      <c r="AB275" s="115"/>
      <c r="AC275" s="115"/>
      <c r="AD275" s="115"/>
      <c r="AE275" s="115"/>
      <c r="AF275" s="25"/>
      <c r="AG275" s="13"/>
      <c r="AL275" s="116"/>
      <c r="AM275" s="123"/>
      <c r="AN275" s="123"/>
      <c r="AO275" s="123"/>
      <c r="AT275" s="115"/>
      <c r="AU275" s="115"/>
      <c r="AV275" s="115"/>
      <c r="AW275" s="115"/>
      <c r="AX275" s="115"/>
      <c r="AY275" s="115"/>
      <c r="AZ275" s="115"/>
      <c r="BA275" s="115"/>
      <c r="BB275" s="115"/>
      <c r="BC275" s="115"/>
      <c r="BD275" s="25"/>
      <c r="BE275" s="13"/>
      <c r="BH275" s="114"/>
    </row>
    <row r="276" spans="1:60" ht="20.100000000000001" customHeight="1" x14ac:dyDescent="0.4">
      <c r="A276" s="117"/>
      <c r="B276" s="123"/>
      <c r="C276" s="123"/>
      <c r="D276" s="123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26"/>
      <c r="V276" s="13"/>
      <c r="W276" s="115"/>
      <c r="X276" s="115"/>
      <c r="Y276" s="115"/>
      <c r="Z276" s="115"/>
      <c r="AA276" s="115"/>
      <c r="AB276" s="115"/>
      <c r="AC276" s="115"/>
      <c r="AD276" s="115"/>
      <c r="AE276" s="115"/>
      <c r="AF276" s="25"/>
      <c r="AG276" s="13"/>
      <c r="AL276" s="116"/>
      <c r="AM276" s="123"/>
      <c r="AN276" s="123"/>
      <c r="AO276" s="123"/>
      <c r="AT276" s="115"/>
      <c r="AU276" s="115"/>
      <c r="AV276" s="115"/>
      <c r="AW276" s="115"/>
      <c r="AX276" s="115"/>
      <c r="AY276" s="115"/>
      <c r="AZ276" s="115"/>
      <c r="BA276" s="115"/>
      <c r="BB276" s="115"/>
      <c r="BC276" s="115"/>
      <c r="BD276" s="25"/>
      <c r="BE276" s="13"/>
      <c r="BH276" s="114"/>
    </row>
    <row r="277" spans="1:60" ht="20.100000000000001" customHeight="1" x14ac:dyDescent="0.4">
      <c r="A277" s="117"/>
      <c r="B277" s="123"/>
      <c r="C277" s="123"/>
      <c r="D277" s="123"/>
      <c r="U277" s="26"/>
      <c r="V277" s="13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25">
        <v>45677</v>
      </c>
      <c r="AG277" s="13" t="s">
        <v>148</v>
      </c>
      <c r="AL277" s="116"/>
      <c r="AM277" s="123"/>
      <c r="AN277" s="123"/>
      <c r="AO277" s="123"/>
      <c r="AT277" s="115"/>
      <c r="AU277" s="115"/>
      <c r="AV277" s="115"/>
      <c r="AW277" s="115"/>
      <c r="AX277" s="115"/>
      <c r="AY277" s="115"/>
      <c r="AZ277" s="115"/>
      <c r="BA277" s="115"/>
      <c r="BB277" s="115"/>
      <c r="BC277" s="115"/>
      <c r="BD277" s="25"/>
      <c r="BE277" s="13"/>
      <c r="BH277" s="114"/>
    </row>
    <row r="278" spans="1:60" ht="19.5" x14ac:dyDescent="0.4">
      <c r="A278" s="117"/>
      <c r="B278" s="123"/>
      <c r="C278" s="123"/>
      <c r="D278" s="123"/>
      <c r="U278" s="26"/>
      <c r="V278" s="13"/>
      <c r="W278" s="115"/>
      <c r="X278" s="115"/>
      <c r="Y278" s="115"/>
      <c r="Z278" s="115"/>
      <c r="AA278" s="115"/>
      <c r="AB278" s="115"/>
      <c r="AC278" s="115"/>
      <c r="AD278" s="115"/>
      <c r="AE278" s="115"/>
      <c r="AF278" s="25"/>
      <c r="AG278" s="13"/>
      <c r="AL278" s="116"/>
      <c r="AM278" s="123"/>
      <c r="AN278" s="123"/>
      <c r="AO278" s="123"/>
      <c r="AT278" s="115"/>
      <c r="AU278" s="115"/>
      <c r="AV278" s="115"/>
      <c r="AW278" s="115"/>
      <c r="AX278" s="115"/>
      <c r="AY278" s="115"/>
      <c r="AZ278" s="115"/>
      <c r="BA278" s="115"/>
      <c r="BB278" s="115"/>
      <c r="BC278" s="115"/>
      <c r="BD278" s="25"/>
      <c r="BE278" s="13"/>
      <c r="BH278" s="114"/>
    </row>
    <row r="279" spans="1:60" ht="19.5" x14ac:dyDescent="0.4">
      <c r="A279" s="117"/>
      <c r="B279" s="123"/>
      <c r="C279" s="123"/>
      <c r="D279" s="123"/>
      <c r="O279" s="115"/>
      <c r="P279" s="115"/>
      <c r="Q279" s="115"/>
      <c r="R279" s="115"/>
      <c r="S279" s="115"/>
      <c r="T279" s="115"/>
      <c r="U279" s="17"/>
      <c r="V279" s="13"/>
      <c r="W279" s="115"/>
      <c r="X279" s="115"/>
      <c r="Y279" s="115"/>
      <c r="Z279" s="115"/>
      <c r="AA279" s="115"/>
      <c r="AB279" s="115"/>
      <c r="AC279" s="115"/>
      <c r="AD279" s="115"/>
      <c r="AE279" s="115"/>
      <c r="AF279" s="25"/>
      <c r="AG279" s="13"/>
      <c r="AL279" s="116"/>
      <c r="AM279" s="123"/>
      <c r="AN279" s="123"/>
      <c r="AO279" s="123"/>
      <c r="AT279" s="115"/>
      <c r="AU279" s="115"/>
      <c r="AV279" s="115"/>
      <c r="AW279" s="115"/>
      <c r="AX279" s="115"/>
      <c r="AY279" s="115"/>
      <c r="AZ279" s="115"/>
      <c r="BA279" s="115"/>
      <c r="BB279" s="115"/>
      <c r="BC279" s="115"/>
      <c r="BD279" s="25"/>
      <c r="BE279" s="13"/>
      <c r="BH279" s="114"/>
    </row>
    <row r="280" spans="1:60" ht="19.5" x14ac:dyDescent="0.4">
      <c r="A280" s="117"/>
      <c r="B280" s="123"/>
      <c r="C280" s="123"/>
      <c r="D280" s="123"/>
      <c r="M280" s="115"/>
      <c r="N280" s="115"/>
      <c r="O280" s="115"/>
      <c r="P280" s="115"/>
      <c r="Q280" s="115"/>
      <c r="R280" s="115"/>
      <c r="S280" s="115"/>
      <c r="T280" s="115"/>
      <c r="U280" s="26"/>
      <c r="V280" s="13"/>
      <c r="W280" s="115"/>
      <c r="X280" s="115"/>
      <c r="Y280" s="115"/>
      <c r="Z280" s="115"/>
      <c r="AA280" s="115"/>
      <c r="AB280" s="115"/>
      <c r="AC280" s="115"/>
      <c r="AD280" s="115"/>
      <c r="AE280" s="115"/>
      <c r="AF280" s="25"/>
      <c r="AG280" s="13"/>
      <c r="AL280" s="116"/>
      <c r="AM280" s="123"/>
      <c r="AN280" s="123"/>
      <c r="AO280" s="123"/>
      <c r="AT280" s="115"/>
      <c r="AU280" s="115"/>
      <c r="AV280" s="115"/>
      <c r="AW280" s="115"/>
      <c r="AX280" s="115"/>
      <c r="AY280" s="115"/>
      <c r="AZ280" s="115"/>
      <c r="BA280" s="115"/>
      <c r="BB280" s="115"/>
      <c r="BC280" s="115"/>
      <c r="BD280" s="25"/>
      <c r="BE280" s="13"/>
      <c r="BH280" s="114"/>
    </row>
    <row r="281" spans="1:60" ht="19.5" x14ac:dyDescent="0.4">
      <c r="A281" s="117"/>
      <c r="B281" s="123"/>
      <c r="C281" s="123"/>
      <c r="D281" s="123"/>
      <c r="M281" s="115"/>
      <c r="N281" s="115"/>
      <c r="O281" s="115"/>
      <c r="P281" s="115"/>
      <c r="Q281" s="115"/>
      <c r="R281" s="115"/>
      <c r="S281" s="115"/>
      <c r="T281" s="115"/>
      <c r="U281" s="17"/>
      <c r="V281" s="13"/>
      <c r="W281" s="115"/>
      <c r="X281" s="115"/>
      <c r="Y281" s="115"/>
      <c r="Z281" s="115"/>
      <c r="AA281" s="115"/>
      <c r="AB281" s="115"/>
      <c r="AC281" s="115"/>
      <c r="AD281" s="115"/>
      <c r="AE281" s="115"/>
      <c r="AF281" s="25"/>
      <c r="AG281" s="13"/>
      <c r="AL281" s="116"/>
      <c r="AM281" s="123"/>
      <c r="AN281" s="123"/>
      <c r="AO281" s="123"/>
      <c r="AT281" s="115"/>
      <c r="AU281" s="115"/>
      <c r="AV281" s="115"/>
      <c r="AW281" s="115"/>
      <c r="AX281" s="115"/>
      <c r="AY281" s="115"/>
      <c r="AZ281" s="115"/>
      <c r="BA281" s="115"/>
      <c r="BB281" s="115"/>
      <c r="BC281" s="115"/>
      <c r="BD281" s="25"/>
      <c r="BE281" s="13"/>
      <c r="BH281" s="114"/>
    </row>
    <row r="282" spans="1:60" ht="19.5" x14ac:dyDescent="0.4">
      <c r="A282" s="117"/>
      <c r="B282" s="123"/>
      <c r="C282" s="123"/>
      <c r="D282" s="123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26"/>
      <c r="V282" s="13"/>
      <c r="W282" s="115"/>
      <c r="X282" s="115"/>
      <c r="Y282" s="115"/>
      <c r="Z282" s="115"/>
      <c r="AA282" s="115"/>
      <c r="AB282" s="115"/>
      <c r="AC282" s="115"/>
      <c r="AD282" s="115"/>
      <c r="AE282" s="115"/>
      <c r="AF282" s="25"/>
      <c r="AG282" s="13"/>
      <c r="AL282" s="116"/>
      <c r="AM282" s="123"/>
      <c r="AN282" s="123"/>
      <c r="AO282" s="123"/>
      <c r="AT282" s="115"/>
      <c r="AU282" s="115"/>
      <c r="AV282" s="115"/>
      <c r="AW282" s="115"/>
      <c r="AX282" s="115"/>
      <c r="AY282" s="115"/>
      <c r="AZ282" s="115"/>
      <c r="BA282" s="115"/>
      <c r="BB282" s="115"/>
      <c r="BC282" s="115"/>
      <c r="BD282" s="25"/>
      <c r="BE282" s="13"/>
      <c r="BH282" s="114"/>
    </row>
    <row r="283" spans="1:60" ht="19.5" x14ac:dyDescent="0.4">
      <c r="A283" s="117"/>
      <c r="B283" s="123"/>
      <c r="C283" s="123"/>
      <c r="D283" s="123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7"/>
      <c r="V283" s="13"/>
      <c r="W283" s="115"/>
      <c r="X283" s="115"/>
      <c r="Y283" s="115"/>
      <c r="Z283" s="115"/>
      <c r="AA283" s="115"/>
      <c r="AB283" s="115"/>
      <c r="AC283" s="115"/>
      <c r="AD283" s="115"/>
      <c r="AE283" s="115"/>
      <c r="AF283" s="25"/>
      <c r="AG283" s="13"/>
      <c r="AL283" s="116"/>
      <c r="AM283" s="123"/>
      <c r="AN283" s="123"/>
      <c r="AO283" s="123"/>
      <c r="AT283" s="115"/>
      <c r="AU283" s="115"/>
      <c r="AV283" s="115"/>
      <c r="AW283" s="115"/>
      <c r="AX283" s="115"/>
      <c r="AY283" s="115"/>
      <c r="AZ283" s="115"/>
      <c r="BA283" s="115"/>
      <c r="BB283" s="115"/>
      <c r="BC283" s="115"/>
      <c r="BD283" s="25"/>
      <c r="BE283" s="13"/>
      <c r="BH283" s="114"/>
    </row>
    <row r="284" spans="1:60" ht="19.5" x14ac:dyDescent="0.4">
      <c r="A284" s="117"/>
      <c r="B284" s="123"/>
      <c r="C284" s="123"/>
      <c r="D284" s="123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26"/>
      <c r="V284" s="13"/>
      <c r="W284" s="115"/>
      <c r="X284" s="115"/>
      <c r="Y284" s="115"/>
      <c r="Z284" s="115"/>
      <c r="AA284" s="115"/>
      <c r="AB284" s="115"/>
      <c r="AC284" s="115"/>
      <c r="AD284" s="115"/>
      <c r="AE284" s="115"/>
      <c r="AF284" s="25"/>
      <c r="AG284" s="13"/>
      <c r="AL284" s="116"/>
      <c r="AM284" s="123"/>
      <c r="AN284" s="123"/>
      <c r="AO284" s="123"/>
      <c r="AT284" s="115"/>
      <c r="AU284" s="115"/>
      <c r="AV284" s="115"/>
      <c r="AW284" s="115"/>
      <c r="AX284" s="115"/>
      <c r="AY284" s="115"/>
      <c r="AZ284" s="115"/>
      <c r="BA284" s="115"/>
      <c r="BB284" s="115"/>
      <c r="BC284" s="115"/>
      <c r="BD284" s="25"/>
      <c r="BE284" s="13"/>
      <c r="BH284" s="114"/>
    </row>
    <row r="285" spans="1:60" ht="19.5" x14ac:dyDescent="0.4">
      <c r="A285" s="117"/>
      <c r="B285" s="123"/>
      <c r="C285" s="123"/>
      <c r="D285" s="123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26"/>
      <c r="V285" s="13"/>
      <c r="W285" s="115"/>
      <c r="X285" s="115"/>
      <c r="Y285" s="115"/>
      <c r="Z285" s="115"/>
      <c r="AA285" s="115"/>
      <c r="AB285" s="115"/>
      <c r="AC285" s="115"/>
      <c r="AD285" s="115"/>
      <c r="AE285" s="115"/>
      <c r="AF285" s="25"/>
      <c r="AG285" s="13"/>
      <c r="AL285" s="116"/>
      <c r="AM285" s="123"/>
      <c r="AN285" s="123"/>
      <c r="AO285" s="123"/>
      <c r="AT285" s="115"/>
      <c r="AU285" s="115"/>
      <c r="AV285" s="115"/>
      <c r="AW285" s="115"/>
      <c r="AX285" s="115"/>
      <c r="AY285" s="115"/>
      <c r="AZ285" s="115"/>
      <c r="BA285" s="115"/>
      <c r="BB285" s="115"/>
      <c r="BC285" s="115"/>
      <c r="BD285" s="25"/>
      <c r="BE285" s="13"/>
      <c r="BH285" s="114"/>
    </row>
    <row r="286" spans="1:60" ht="19.5" x14ac:dyDescent="0.4">
      <c r="A286" s="117"/>
      <c r="B286" s="123"/>
      <c r="C286" s="123"/>
      <c r="D286" s="123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26"/>
      <c r="V286" s="13"/>
      <c r="W286" s="115"/>
      <c r="X286" s="115"/>
      <c r="Y286" s="115"/>
      <c r="Z286" s="115"/>
      <c r="AA286" s="115"/>
      <c r="AB286" s="115"/>
      <c r="AC286" s="115"/>
      <c r="AD286" s="115"/>
      <c r="AE286" s="115"/>
      <c r="AF286" s="25"/>
      <c r="AG286" s="13"/>
      <c r="AL286" s="116"/>
      <c r="AM286" s="123"/>
      <c r="AN286" s="123"/>
      <c r="AO286" s="123"/>
      <c r="AT286" s="115"/>
      <c r="AU286" s="115"/>
      <c r="AV286" s="115"/>
      <c r="AW286" s="115"/>
      <c r="AX286" s="115"/>
      <c r="AY286" s="115"/>
      <c r="AZ286" s="115"/>
      <c r="BA286" s="115"/>
      <c r="BB286" s="115"/>
      <c r="BC286" s="115"/>
      <c r="BD286" s="25"/>
      <c r="BE286" s="13"/>
      <c r="BH286" s="114"/>
    </row>
    <row r="287" spans="1:60" ht="19.5" x14ac:dyDescent="0.4">
      <c r="A287" s="117"/>
      <c r="B287" s="123"/>
      <c r="C287" s="123"/>
      <c r="D287" s="123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7"/>
      <c r="V287" s="13"/>
      <c r="W287" s="115"/>
      <c r="X287" s="115"/>
      <c r="Y287" s="115"/>
      <c r="Z287" s="115"/>
      <c r="AA287" s="115"/>
      <c r="AB287" s="115"/>
      <c r="AC287" s="115"/>
      <c r="AD287" s="115"/>
      <c r="AE287" s="115"/>
      <c r="AF287" s="25"/>
      <c r="AG287" s="13"/>
      <c r="AL287" s="116"/>
      <c r="AM287" s="123"/>
      <c r="AN287" s="123"/>
      <c r="AO287" s="123"/>
      <c r="AT287" s="115"/>
      <c r="AU287" s="115"/>
      <c r="AV287" s="115"/>
      <c r="AW287" s="115"/>
      <c r="AX287" s="115"/>
      <c r="AY287" s="115"/>
      <c r="AZ287" s="115"/>
      <c r="BA287" s="115"/>
      <c r="BB287" s="115"/>
      <c r="BC287" s="115"/>
      <c r="BD287" s="25"/>
      <c r="BE287" s="13"/>
      <c r="BH287" s="114"/>
    </row>
    <row r="288" spans="1:60" ht="19.5" x14ac:dyDescent="0.4">
      <c r="A288" s="117"/>
      <c r="B288" s="123"/>
      <c r="C288" s="123"/>
      <c r="D288" s="123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26"/>
      <c r="V288" s="15"/>
      <c r="W288" s="115"/>
      <c r="X288" s="115"/>
      <c r="Y288" s="115"/>
      <c r="Z288" s="115"/>
      <c r="AA288" s="115"/>
      <c r="AB288" s="115"/>
      <c r="AC288" s="115"/>
      <c r="AD288" s="115"/>
      <c r="AE288" s="115"/>
      <c r="AF288" s="25"/>
      <c r="AG288" s="13"/>
      <c r="AL288" s="116"/>
      <c r="AM288" s="123"/>
      <c r="AN288" s="123"/>
      <c r="AO288" s="123"/>
      <c r="AT288" s="115"/>
      <c r="AU288" s="115"/>
      <c r="AV288" s="115"/>
      <c r="AW288" s="115"/>
      <c r="AX288" s="115"/>
      <c r="AY288" s="115"/>
      <c r="AZ288" s="115"/>
      <c r="BA288" s="115"/>
      <c r="BB288" s="115"/>
      <c r="BC288" s="115"/>
      <c r="BD288" s="25"/>
      <c r="BE288" s="13"/>
      <c r="BH288" s="114"/>
    </row>
    <row r="289" spans="1:60" ht="19.5" x14ac:dyDescent="0.4">
      <c r="A289" s="117"/>
      <c r="B289" s="123"/>
      <c r="C289" s="123"/>
      <c r="D289" s="123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7"/>
      <c r="V289" s="15"/>
      <c r="W289" s="115"/>
      <c r="X289" s="115"/>
      <c r="Y289" s="115"/>
      <c r="Z289" s="115"/>
      <c r="AA289" s="115"/>
      <c r="AB289" s="115"/>
      <c r="AC289" s="115"/>
      <c r="AD289" s="115"/>
      <c r="AE289" s="115"/>
      <c r="AF289" s="25"/>
      <c r="AG289" s="13"/>
      <c r="AL289" s="116"/>
      <c r="AM289" s="123"/>
      <c r="AN289" s="123"/>
      <c r="AO289" s="123"/>
      <c r="AT289" s="115"/>
      <c r="AU289" s="115"/>
      <c r="AV289" s="115"/>
      <c r="AW289" s="115"/>
      <c r="AX289" s="115"/>
      <c r="AY289" s="115"/>
      <c r="AZ289" s="115"/>
      <c r="BA289" s="115"/>
      <c r="BB289" s="115"/>
      <c r="BC289" s="115"/>
      <c r="BD289" s="25"/>
      <c r="BE289" s="13"/>
      <c r="BH289" s="114"/>
    </row>
    <row r="290" spans="1:60" ht="19.5" x14ac:dyDescent="0.4">
      <c r="A290" s="117"/>
      <c r="B290" s="123"/>
      <c r="C290" s="123"/>
      <c r="D290" s="123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26"/>
      <c r="V290" s="15"/>
      <c r="W290" s="115"/>
      <c r="X290" s="115"/>
      <c r="Y290" s="115"/>
      <c r="Z290" s="115"/>
      <c r="AA290" s="115"/>
      <c r="AB290" s="115"/>
      <c r="AC290" s="115"/>
      <c r="AD290" s="115"/>
      <c r="AE290" s="115"/>
      <c r="AF290" s="25"/>
      <c r="AG290" s="13"/>
      <c r="AL290" s="116"/>
      <c r="AM290" s="123"/>
      <c r="AN290" s="123"/>
      <c r="AO290" s="123"/>
      <c r="AT290" s="115"/>
      <c r="AU290" s="115"/>
      <c r="AV290" s="115"/>
      <c r="AW290" s="115"/>
      <c r="AX290" s="115"/>
      <c r="AY290" s="115"/>
      <c r="AZ290" s="115"/>
      <c r="BA290" s="115"/>
      <c r="BB290" s="115"/>
      <c r="BC290" s="115"/>
      <c r="BD290" s="25"/>
      <c r="BE290" s="13"/>
      <c r="BH290" s="114"/>
    </row>
    <row r="291" spans="1:60" ht="19.5" x14ac:dyDescent="0.4">
      <c r="A291" s="117"/>
      <c r="B291" s="123"/>
      <c r="C291" s="123"/>
      <c r="D291" s="123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7"/>
      <c r="V291" s="13"/>
      <c r="W291" s="115"/>
      <c r="X291" s="115"/>
      <c r="Y291" s="115"/>
      <c r="Z291" s="115"/>
      <c r="AA291" s="115"/>
      <c r="AB291" s="115"/>
      <c r="AC291" s="115"/>
      <c r="AD291" s="115"/>
      <c r="AE291" s="115"/>
      <c r="AF291" s="25"/>
      <c r="AG291" s="13"/>
      <c r="AL291" s="116"/>
      <c r="AM291" s="123"/>
      <c r="AN291" s="123"/>
      <c r="AO291" s="123"/>
      <c r="AT291" s="115"/>
      <c r="AU291" s="115"/>
      <c r="AV291" s="115"/>
      <c r="AW291" s="115"/>
      <c r="AX291" s="115"/>
      <c r="AY291" s="115"/>
      <c r="AZ291" s="115"/>
      <c r="BA291" s="115"/>
      <c r="BB291" s="115"/>
      <c r="BC291" s="115"/>
      <c r="BD291" s="25"/>
      <c r="BE291" s="13"/>
      <c r="BH291" s="114"/>
    </row>
    <row r="292" spans="1:60" ht="19.5" x14ac:dyDescent="0.4">
      <c r="A292" s="117"/>
      <c r="B292" s="123"/>
      <c r="C292" s="123"/>
      <c r="D292" s="123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7"/>
      <c r="V292" s="13"/>
      <c r="W292" s="115"/>
      <c r="X292" s="115"/>
      <c r="Y292" s="115"/>
      <c r="Z292" s="115"/>
      <c r="AA292" s="115"/>
      <c r="AB292" s="115"/>
      <c r="AC292" s="115"/>
      <c r="AD292" s="115"/>
      <c r="AE292" s="115"/>
      <c r="AF292" s="25"/>
      <c r="AG292" s="13"/>
      <c r="AL292" s="116"/>
      <c r="AM292" s="123"/>
      <c r="AN292" s="123"/>
      <c r="AO292" s="123"/>
      <c r="AT292" s="115"/>
      <c r="AU292" s="115"/>
      <c r="AV292" s="115"/>
      <c r="AW292" s="115"/>
      <c r="AX292" s="115"/>
      <c r="AY292" s="115"/>
      <c r="AZ292" s="115"/>
      <c r="BA292" s="115"/>
      <c r="BB292" s="115"/>
      <c r="BC292" s="115"/>
      <c r="BD292" s="25"/>
      <c r="BE292" s="13"/>
      <c r="BH292" s="114"/>
    </row>
    <row r="293" spans="1:60" ht="19.5" x14ac:dyDescent="0.4">
      <c r="A293" s="117"/>
      <c r="B293" s="123"/>
      <c r="C293" s="123"/>
      <c r="D293" s="123"/>
      <c r="U293" s="26"/>
      <c r="V293" s="13"/>
      <c r="W293" s="115"/>
      <c r="X293" s="115"/>
      <c r="Y293" s="115"/>
      <c r="Z293" s="115"/>
      <c r="AA293" s="115"/>
      <c r="AB293" s="115"/>
      <c r="AC293" s="115"/>
      <c r="AD293" s="115"/>
      <c r="AE293" s="115"/>
      <c r="AF293" s="25">
        <v>45677</v>
      </c>
      <c r="AG293" s="13" t="s">
        <v>146</v>
      </c>
      <c r="AL293" s="116"/>
      <c r="AM293" s="123"/>
      <c r="AN293" s="123"/>
      <c r="AO293" s="123"/>
      <c r="AT293" s="115"/>
      <c r="AU293" s="115"/>
      <c r="AV293" s="115"/>
      <c r="AW293" s="115"/>
      <c r="AX293" s="115"/>
      <c r="AY293" s="115"/>
      <c r="AZ293" s="115"/>
      <c r="BA293" s="115"/>
      <c r="BB293" s="115"/>
      <c r="BC293" s="115"/>
      <c r="BD293" s="25"/>
      <c r="BE293" s="13"/>
      <c r="BH293" s="114"/>
    </row>
    <row r="294" spans="1:60" ht="19.5" x14ac:dyDescent="0.4">
      <c r="A294" s="117"/>
      <c r="B294" s="123"/>
      <c r="C294" s="123"/>
      <c r="D294" s="123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26"/>
      <c r="V294" s="13"/>
      <c r="W294" s="115"/>
      <c r="X294" s="115"/>
      <c r="Y294" s="115"/>
      <c r="Z294" s="115"/>
      <c r="AA294" s="115"/>
      <c r="AB294" s="115"/>
      <c r="AC294" s="115"/>
      <c r="AD294" s="115"/>
      <c r="AE294" s="115"/>
      <c r="AF294" s="25"/>
      <c r="AG294" s="13"/>
      <c r="AL294" s="116"/>
      <c r="AM294" s="123"/>
      <c r="AN294" s="123"/>
      <c r="AO294" s="123"/>
      <c r="AT294" s="115"/>
      <c r="AU294" s="115"/>
      <c r="AV294" s="115"/>
      <c r="AW294" s="115"/>
      <c r="AX294" s="115"/>
      <c r="AY294" s="115"/>
      <c r="AZ294" s="115"/>
      <c r="BA294" s="115"/>
      <c r="BB294" s="115"/>
      <c r="BC294" s="115"/>
      <c r="BD294" s="25"/>
      <c r="BE294" s="13"/>
      <c r="BH294" s="114"/>
    </row>
    <row r="295" spans="1:60" ht="19.5" x14ac:dyDescent="0.4">
      <c r="A295" s="117"/>
      <c r="B295" s="123"/>
      <c r="C295" s="123"/>
      <c r="D295" s="123"/>
      <c r="U295" s="26"/>
      <c r="V295" s="13"/>
      <c r="W295" s="115"/>
      <c r="X295" s="115"/>
      <c r="Y295" s="115"/>
      <c r="Z295" s="115"/>
      <c r="AA295" s="115"/>
      <c r="AB295" s="115"/>
      <c r="AC295" s="115"/>
      <c r="AD295" s="115"/>
      <c r="AE295" s="115"/>
      <c r="AF295" s="25"/>
      <c r="AG295" s="13"/>
      <c r="AL295" s="116"/>
      <c r="AM295" s="123"/>
      <c r="AN295" s="123"/>
      <c r="AO295" s="123"/>
      <c r="AT295" s="115"/>
      <c r="AU295" s="115"/>
      <c r="AV295" s="115"/>
      <c r="AW295" s="115"/>
      <c r="AX295" s="115"/>
      <c r="AY295" s="115"/>
      <c r="AZ295" s="115"/>
      <c r="BA295" s="115"/>
      <c r="BB295" s="115"/>
      <c r="BC295" s="115"/>
      <c r="BD295" s="25"/>
      <c r="BE295" s="13"/>
      <c r="BH295" s="114"/>
    </row>
    <row r="296" spans="1:60" ht="19.5" x14ac:dyDescent="0.4">
      <c r="A296" s="117"/>
      <c r="B296" s="123"/>
      <c r="C296" s="123"/>
      <c r="D296" s="123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26"/>
      <c r="V296" s="13"/>
      <c r="W296" s="115"/>
      <c r="X296" s="115"/>
      <c r="Y296" s="115"/>
      <c r="Z296" s="115"/>
      <c r="AA296" s="115"/>
      <c r="AB296" s="115"/>
      <c r="AC296" s="115"/>
      <c r="AD296" s="115"/>
      <c r="AE296" s="115"/>
      <c r="AF296" s="25"/>
      <c r="AG296" s="13"/>
      <c r="AL296" s="116"/>
      <c r="AM296" s="123"/>
      <c r="AN296" s="123"/>
      <c r="AO296" s="123"/>
      <c r="AT296" s="115"/>
      <c r="AU296" s="115"/>
      <c r="AV296" s="115"/>
      <c r="AW296" s="115"/>
      <c r="AX296" s="115"/>
      <c r="AY296" s="115"/>
      <c r="AZ296" s="115"/>
      <c r="BA296" s="115"/>
      <c r="BB296" s="115"/>
      <c r="BC296" s="115"/>
      <c r="BD296" s="25"/>
      <c r="BE296" s="13"/>
      <c r="BH296" s="114"/>
    </row>
    <row r="297" spans="1:60" ht="19.5" x14ac:dyDescent="0.4">
      <c r="A297" s="117"/>
      <c r="B297" s="123"/>
      <c r="C297" s="123"/>
      <c r="D297" s="123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26"/>
      <c r="V297" s="15"/>
      <c r="W297" s="115"/>
      <c r="X297" s="115"/>
      <c r="Y297" s="115"/>
      <c r="Z297" s="115"/>
      <c r="AA297" s="115"/>
      <c r="AB297" s="115"/>
      <c r="AC297" s="115"/>
      <c r="AD297" s="115"/>
      <c r="AE297" s="115"/>
      <c r="AF297" s="25"/>
      <c r="AG297" s="13"/>
      <c r="AL297" s="116"/>
      <c r="AM297" s="123"/>
      <c r="AN297" s="123"/>
      <c r="AO297" s="123"/>
      <c r="AT297" s="115"/>
      <c r="AU297" s="115"/>
      <c r="AV297" s="115"/>
      <c r="AW297" s="115"/>
      <c r="AX297" s="115"/>
      <c r="AY297" s="115"/>
      <c r="AZ297" s="115"/>
      <c r="BA297" s="115"/>
      <c r="BB297" s="115"/>
      <c r="BC297" s="115"/>
      <c r="BD297" s="25"/>
      <c r="BE297" s="13"/>
      <c r="BH297" s="114"/>
    </row>
    <row r="298" spans="1:60" ht="19.5" x14ac:dyDescent="0.4">
      <c r="A298" s="117"/>
      <c r="B298" s="123"/>
      <c r="C298" s="123"/>
      <c r="D298" s="123"/>
      <c r="U298" s="26"/>
      <c r="V298" s="13"/>
      <c r="W298" s="115"/>
      <c r="X298" s="115"/>
      <c r="Y298" s="115"/>
      <c r="Z298" s="115"/>
      <c r="AA298" s="115"/>
      <c r="AB298" s="115"/>
      <c r="AC298" s="115"/>
      <c r="AD298" s="115"/>
      <c r="AE298" s="115"/>
      <c r="AF298" s="25"/>
      <c r="AG298" s="13"/>
      <c r="AL298" s="116"/>
      <c r="AM298" s="123"/>
      <c r="AN298" s="123"/>
      <c r="AO298" s="123"/>
      <c r="AT298" s="115"/>
      <c r="AU298" s="115"/>
      <c r="AV298" s="115"/>
      <c r="AW298" s="115"/>
      <c r="AX298" s="115"/>
      <c r="AY298" s="115"/>
      <c r="AZ298" s="115"/>
      <c r="BA298" s="115"/>
      <c r="BB298" s="115"/>
      <c r="BC298" s="115"/>
      <c r="BD298" s="25"/>
      <c r="BE298" s="13"/>
      <c r="BH298" s="114"/>
    </row>
    <row r="299" spans="1:60" ht="19.5" x14ac:dyDescent="0.4">
      <c r="A299" s="117"/>
      <c r="B299" s="123"/>
      <c r="C299" s="123"/>
      <c r="D299" s="123"/>
      <c r="M299" s="115"/>
      <c r="N299" s="115"/>
      <c r="O299" s="115"/>
      <c r="P299" s="115"/>
      <c r="Q299" s="115"/>
      <c r="R299" s="115"/>
      <c r="S299" s="115"/>
      <c r="T299" s="115"/>
      <c r="U299" s="26"/>
      <c r="V299" s="13"/>
      <c r="W299" s="115"/>
      <c r="X299" s="115"/>
      <c r="Y299" s="115"/>
      <c r="Z299" s="115"/>
      <c r="AA299" s="115"/>
      <c r="AB299" s="115"/>
      <c r="AC299" s="115"/>
      <c r="AD299" s="115"/>
      <c r="AE299" s="115"/>
      <c r="AF299" s="25"/>
      <c r="AG299" s="13"/>
      <c r="AL299" s="116"/>
      <c r="AM299" s="123"/>
      <c r="AN299" s="123"/>
      <c r="AO299" s="123"/>
      <c r="AT299" s="115"/>
      <c r="AU299" s="115"/>
      <c r="AV299" s="115"/>
      <c r="AW299" s="115"/>
      <c r="AX299" s="115"/>
      <c r="AY299" s="115"/>
      <c r="AZ299" s="115"/>
      <c r="BA299" s="115"/>
      <c r="BB299" s="115"/>
      <c r="BC299" s="115"/>
      <c r="BD299" s="25"/>
      <c r="BE299" s="13"/>
      <c r="BH299" s="114"/>
    </row>
    <row r="300" spans="1:60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26"/>
      <c r="V300" s="13"/>
      <c r="W300" s="115"/>
      <c r="X300" s="115"/>
      <c r="Y300" s="115"/>
      <c r="Z300" s="115"/>
      <c r="AA300" s="115"/>
      <c r="AB300" s="115"/>
      <c r="AC300" s="115"/>
      <c r="AD300" s="115"/>
      <c r="AE300" s="115"/>
      <c r="AF300" s="25"/>
      <c r="AG300" s="13"/>
      <c r="AL300" s="116"/>
      <c r="AM300" s="123"/>
      <c r="AN300" s="123"/>
      <c r="AO300" s="123"/>
      <c r="AT300" s="115"/>
      <c r="AU300" s="115"/>
      <c r="AV300" s="115"/>
      <c r="AW300" s="115"/>
      <c r="AX300" s="115"/>
      <c r="AY300" s="115"/>
      <c r="AZ300" s="115"/>
      <c r="BA300" s="115"/>
      <c r="BB300" s="115"/>
      <c r="BC300" s="115"/>
      <c r="BD300" s="25"/>
      <c r="BE300" s="13"/>
      <c r="BH300" s="114"/>
    </row>
    <row r="301" spans="1:60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26"/>
      <c r="V301" s="13"/>
      <c r="W301" s="115"/>
      <c r="X301" s="115"/>
      <c r="Y301" s="115"/>
      <c r="Z301" s="115"/>
      <c r="AA301" s="115"/>
      <c r="AB301" s="115"/>
      <c r="AC301" s="115"/>
      <c r="AD301" s="115"/>
      <c r="AE301" s="115"/>
      <c r="AF301" s="25"/>
      <c r="AG301" s="13"/>
      <c r="AL301" s="116"/>
      <c r="AM301" s="123"/>
      <c r="AN301" s="123"/>
      <c r="AO301" s="123"/>
      <c r="AT301" s="115"/>
      <c r="AU301" s="115"/>
      <c r="AV301" s="115"/>
      <c r="AW301" s="115"/>
      <c r="AX301" s="115"/>
      <c r="AY301" s="115"/>
      <c r="AZ301" s="115"/>
      <c r="BA301" s="115"/>
      <c r="BB301" s="115"/>
      <c r="BC301" s="115"/>
      <c r="BD301" s="25"/>
      <c r="BE301" s="13"/>
      <c r="BH301" s="114"/>
    </row>
    <row r="302" spans="1:60" ht="19.5" x14ac:dyDescent="0.4">
      <c r="A302" s="117"/>
      <c r="B302" s="123"/>
      <c r="C302" s="123"/>
      <c r="D302" s="123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7"/>
      <c r="V302" s="13"/>
      <c r="W302" s="115"/>
      <c r="X302" s="115"/>
      <c r="Y302" s="115"/>
      <c r="Z302" s="115"/>
      <c r="AA302" s="115"/>
      <c r="AB302" s="115"/>
      <c r="AC302" s="115"/>
      <c r="AD302" s="115"/>
      <c r="AE302" s="115"/>
      <c r="AF302" s="25"/>
      <c r="AG302" s="13"/>
      <c r="AL302" s="116"/>
      <c r="AM302" s="123"/>
      <c r="AN302" s="123"/>
      <c r="AO302" s="123"/>
      <c r="AT302" s="115"/>
      <c r="AU302" s="115"/>
      <c r="AV302" s="115"/>
      <c r="AW302" s="115"/>
      <c r="AX302" s="115"/>
      <c r="AY302" s="115"/>
      <c r="AZ302" s="115"/>
      <c r="BA302" s="115"/>
      <c r="BB302" s="115"/>
      <c r="BC302" s="115"/>
      <c r="BD302" s="25"/>
      <c r="BE302" s="13"/>
      <c r="BH302" s="114"/>
    </row>
    <row r="303" spans="1:60" ht="19.5" x14ac:dyDescent="0.4">
      <c r="A303" s="117"/>
      <c r="B303" s="123"/>
      <c r="C303" s="123"/>
      <c r="D303" s="123"/>
      <c r="U303" s="26"/>
      <c r="V303" s="13"/>
      <c r="W303" s="115"/>
      <c r="X303" s="115"/>
      <c r="Y303" s="115"/>
      <c r="Z303" s="115"/>
      <c r="AA303" s="115"/>
      <c r="AB303" s="115"/>
      <c r="AC303" s="115"/>
      <c r="AD303" s="115"/>
      <c r="AE303" s="115"/>
      <c r="AF303" s="25">
        <v>45677</v>
      </c>
      <c r="AG303" s="13" t="s">
        <v>147</v>
      </c>
      <c r="AL303" s="116"/>
      <c r="AM303" s="123"/>
      <c r="AN303" s="123"/>
      <c r="AO303" s="123"/>
      <c r="AT303" s="115"/>
      <c r="AU303" s="115"/>
      <c r="AV303" s="115"/>
      <c r="AW303" s="115"/>
      <c r="AX303" s="115"/>
      <c r="AY303" s="115"/>
      <c r="AZ303" s="115"/>
      <c r="BA303" s="115"/>
      <c r="BB303" s="115"/>
      <c r="BC303" s="115"/>
      <c r="BD303" s="25"/>
      <c r="BE303" s="13"/>
      <c r="BH303" s="114"/>
    </row>
    <row r="304" spans="1:60" ht="19.5" x14ac:dyDescent="0.4">
      <c r="A304" s="117"/>
      <c r="B304" s="123"/>
      <c r="C304" s="123"/>
      <c r="D304" s="123"/>
      <c r="L304" s="115"/>
      <c r="M304" s="115"/>
      <c r="N304" s="115"/>
      <c r="O304" s="115"/>
      <c r="P304" s="115"/>
      <c r="Q304" s="115"/>
      <c r="R304" s="115"/>
      <c r="S304" s="115"/>
      <c r="T304" s="115"/>
      <c r="U304" s="26"/>
      <c r="V304" s="13"/>
      <c r="W304" s="115"/>
      <c r="X304" s="115"/>
      <c r="Y304" s="115"/>
      <c r="Z304" s="115"/>
      <c r="AA304" s="115"/>
      <c r="AB304" s="115"/>
      <c r="AC304" s="115"/>
      <c r="AD304" s="115"/>
      <c r="AE304" s="115"/>
      <c r="AF304" s="25"/>
      <c r="AG304" s="13"/>
      <c r="AL304" s="116"/>
      <c r="AM304" s="123"/>
      <c r="AN304" s="123"/>
      <c r="AO304" s="123"/>
      <c r="AT304" s="115"/>
      <c r="AU304" s="115"/>
      <c r="AV304" s="115"/>
      <c r="AW304" s="115"/>
      <c r="AX304" s="115"/>
      <c r="AY304" s="115"/>
      <c r="AZ304" s="115"/>
      <c r="BA304" s="115"/>
      <c r="BB304" s="115"/>
      <c r="BC304" s="115"/>
      <c r="BD304" s="25"/>
      <c r="BE304" s="13"/>
      <c r="BH304" s="114"/>
    </row>
    <row r="305" spans="1:60" ht="19.5" x14ac:dyDescent="0.4">
      <c r="A305" s="117"/>
      <c r="B305" s="123"/>
      <c r="C305" s="123"/>
      <c r="D305" s="123"/>
      <c r="U305" s="26"/>
      <c r="V305" s="13"/>
      <c r="W305" s="115"/>
      <c r="X305" s="115"/>
      <c r="Y305" s="115"/>
      <c r="Z305" s="115"/>
      <c r="AA305" s="115"/>
      <c r="AB305" s="115"/>
      <c r="AC305" s="115"/>
      <c r="AD305" s="115"/>
      <c r="AE305" s="115"/>
      <c r="AF305" s="25">
        <v>45677</v>
      </c>
      <c r="AG305" s="25" t="s">
        <v>147</v>
      </c>
      <c r="AL305" s="116"/>
      <c r="AM305" s="123"/>
      <c r="AN305" s="123"/>
      <c r="AO305" s="123"/>
      <c r="AT305" s="115"/>
      <c r="AU305" s="115"/>
      <c r="AV305" s="115"/>
      <c r="AW305" s="115"/>
      <c r="AX305" s="115"/>
      <c r="AY305" s="115"/>
      <c r="AZ305" s="115"/>
      <c r="BA305" s="115"/>
      <c r="BB305" s="115"/>
      <c r="BC305" s="115"/>
      <c r="BD305" s="25"/>
      <c r="BE305" s="13"/>
      <c r="BH305" s="114"/>
    </row>
    <row r="306" spans="1:60" ht="19.5" x14ac:dyDescent="0.4">
      <c r="A306" s="117"/>
      <c r="B306" s="123"/>
      <c r="C306" s="123"/>
      <c r="D306" s="123"/>
      <c r="U306" s="26"/>
      <c r="V306" s="13"/>
      <c r="W306" s="115"/>
      <c r="X306" s="115"/>
      <c r="Y306" s="115"/>
      <c r="Z306" s="115"/>
      <c r="AA306" s="115"/>
      <c r="AB306" s="115"/>
      <c r="AC306" s="115"/>
      <c r="AD306" s="115"/>
      <c r="AE306" s="115"/>
      <c r="AF306" s="25"/>
      <c r="AG306" s="25"/>
      <c r="AL306" s="116"/>
      <c r="AM306" s="123"/>
      <c r="AN306" s="123"/>
      <c r="AO306" s="123"/>
      <c r="AT306" s="115"/>
      <c r="AU306" s="115"/>
      <c r="AV306" s="115"/>
      <c r="AW306" s="115"/>
      <c r="AX306" s="115"/>
      <c r="AY306" s="115"/>
      <c r="AZ306" s="115"/>
      <c r="BA306" s="115"/>
      <c r="BB306" s="115"/>
      <c r="BC306" s="115"/>
      <c r="BD306" s="25"/>
      <c r="BE306" s="13"/>
      <c r="BH306" s="114"/>
    </row>
    <row r="307" spans="1:60" ht="19.5" x14ac:dyDescent="0.4">
      <c r="A307" s="117"/>
      <c r="B307" s="123"/>
      <c r="C307" s="123"/>
      <c r="D307" s="123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26"/>
      <c r="V307" s="13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25"/>
      <c r="AG307" s="25"/>
      <c r="AL307" s="116"/>
      <c r="AM307" s="123"/>
      <c r="AN307" s="123"/>
      <c r="AO307" s="123"/>
      <c r="AT307" s="115"/>
      <c r="AU307" s="115"/>
      <c r="AV307" s="115"/>
      <c r="AW307" s="115"/>
      <c r="AX307" s="115"/>
      <c r="AY307" s="115"/>
      <c r="AZ307" s="115"/>
      <c r="BA307" s="115"/>
      <c r="BB307" s="115"/>
      <c r="BC307" s="115"/>
      <c r="BD307" s="25"/>
      <c r="BE307" s="13"/>
      <c r="BH307" s="114"/>
    </row>
    <row r="308" spans="1:60" ht="19.5" x14ac:dyDescent="0.4">
      <c r="A308" s="117"/>
      <c r="B308" s="123"/>
      <c r="C308" s="123"/>
      <c r="D308" s="123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26"/>
      <c r="V308" s="13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25"/>
      <c r="AG308" s="25"/>
      <c r="AL308" s="116"/>
      <c r="AM308" s="123"/>
      <c r="AN308" s="123"/>
      <c r="AO308" s="123"/>
      <c r="AT308" s="115"/>
      <c r="AU308" s="115"/>
      <c r="AV308" s="115"/>
      <c r="AW308" s="115"/>
      <c r="AX308" s="115"/>
      <c r="AY308" s="115"/>
      <c r="AZ308" s="115"/>
      <c r="BA308" s="115"/>
      <c r="BB308" s="115"/>
      <c r="BC308" s="115"/>
      <c r="BD308" s="25"/>
      <c r="BE308" s="13"/>
      <c r="BH308" s="114"/>
    </row>
    <row r="309" spans="1:60" ht="19.5" x14ac:dyDescent="0.4">
      <c r="A309" s="117"/>
      <c r="B309" s="123"/>
      <c r="C309" s="123"/>
      <c r="D309" s="123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26"/>
      <c r="V309" s="13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25"/>
      <c r="AG309" s="25"/>
      <c r="AL309" s="116"/>
      <c r="AM309" s="123"/>
      <c r="AN309" s="123"/>
      <c r="AO309" s="123"/>
      <c r="AT309" s="115"/>
      <c r="AU309" s="115"/>
      <c r="AV309" s="115"/>
      <c r="AW309" s="115"/>
      <c r="AX309" s="115"/>
      <c r="AY309" s="115"/>
      <c r="AZ309" s="115"/>
      <c r="BA309" s="115"/>
      <c r="BB309" s="115"/>
      <c r="BC309" s="115"/>
      <c r="BD309" s="25"/>
      <c r="BE309" s="13"/>
      <c r="BH309" s="114"/>
    </row>
    <row r="310" spans="1:60" ht="19.5" x14ac:dyDescent="0.4">
      <c r="A310" s="117"/>
      <c r="B310" s="123"/>
      <c r="C310" s="123"/>
      <c r="D310" s="123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7"/>
      <c r="V310" s="13"/>
      <c r="W310" s="115"/>
      <c r="X310" s="115"/>
      <c r="Y310" s="115"/>
      <c r="Z310" s="115"/>
      <c r="AA310" s="115"/>
      <c r="AB310" s="115"/>
      <c r="AC310" s="115"/>
      <c r="AD310" s="115"/>
      <c r="AE310" s="115"/>
      <c r="AF310" s="25"/>
      <c r="AG310" s="25"/>
      <c r="AL310" s="116"/>
      <c r="AM310" s="123"/>
      <c r="AN310" s="123"/>
      <c r="AO310" s="123"/>
      <c r="AT310" s="115"/>
      <c r="AU310" s="115"/>
      <c r="AV310" s="115"/>
      <c r="AW310" s="115"/>
      <c r="AX310" s="115"/>
      <c r="AY310" s="115"/>
      <c r="AZ310" s="115"/>
      <c r="BA310" s="115"/>
      <c r="BB310" s="115"/>
      <c r="BC310" s="115"/>
      <c r="BD310" s="25"/>
      <c r="BE310" s="13"/>
      <c r="BH310" s="114"/>
    </row>
    <row r="311" spans="1:60" ht="19.5" x14ac:dyDescent="0.4">
      <c r="A311" s="117"/>
      <c r="B311" s="123"/>
      <c r="C311" s="123"/>
      <c r="D311" s="123"/>
      <c r="U311" s="26"/>
      <c r="V311" s="13"/>
      <c r="W311" s="115"/>
      <c r="X311" s="115"/>
      <c r="Y311" s="115"/>
      <c r="Z311" s="115"/>
      <c r="AA311" s="115"/>
      <c r="AB311" s="115"/>
      <c r="AC311" s="115"/>
      <c r="AD311" s="115"/>
      <c r="AE311" s="115"/>
      <c r="AF311" s="25">
        <v>45678</v>
      </c>
      <c r="AG311" s="13" t="s">
        <v>147</v>
      </c>
      <c r="AL311" s="116"/>
      <c r="AM311" s="123"/>
      <c r="AN311" s="123"/>
      <c r="AO311" s="123"/>
      <c r="AT311" s="115"/>
      <c r="AU311" s="115"/>
      <c r="AV311" s="115"/>
      <c r="AW311" s="115"/>
      <c r="AX311" s="115"/>
      <c r="AY311" s="115"/>
      <c r="AZ311" s="115"/>
      <c r="BA311" s="115"/>
      <c r="BB311" s="115"/>
      <c r="BC311" s="115"/>
      <c r="BD311" s="25"/>
      <c r="BE311" s="13"/>
      <c r="BH311" s="114"/>
    </row>
    <row r="312" spans="1:60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26"/>
      <c r="V312" s="13"/>
      <c r="W312" s="115"/>
      <c r="X312" s="115"/>
      <c r="Y312" s="115"/>
      <c r="Z312" s="115"/>
      <c r="AA312" s="115"/>
      <c r="AB312" s="115"/>
      <c r="AC312" s="115"/>
      <c r="AD312" s="115"/>
      <c r="AE312" s="115"/>
      <c r="AF312" s="25"/>
      <c r="AG312" s="13"/>
      <c r="AL312" s="116"/>
      <c r="AM312" s="123"/>
      <c r="AN312" s="123"/>
      <c r="AO312" s="123"/>
      <c r="AT312" s="115"/>
      <c r="AU312" s="115"/>
      <c r="AV312" s="115"/>
      <c r="AW312" s="115"/>
      <c r="AX312" s="115"/>
      <c r="AY312" s="115"/>
      <c r="AZ312" s="115"/>
      <c r="BA312" s="115"/>
      <c r="BB312" s="115"/>
      <c r="BC312" s="115"/>
      <c r="BD312" s="25"/>
      <c r="BE312" s="13"/>
      <c r="BH312" s="114"/>
    </row>
    <row r="313" spans="1:60" ht="19.5" x14ac:dyDescent="0.4">
      <c r="A313" s="117"/>
      <c r="B313" s="123"/>
      <c r="C313" s="123"/>
      <c r="D313" s="123"/>
      <c r="U313" s="26"/>
      <c r="V313" s="15"/>
      <c r="W313" s="115"/>
      <c r="X313" s="115"/>
      <c r="Y313" s="115"/>
      <c r="Z313" s="115"/>
      <c r="AA313" s="115"/>
      <c r="AB313" s="115"/>
      <c r="AC313" s="115"/>
      <c r="AD313" s="115"/>
      <c r="AE313" s="115"/>
      <c r="AF313" s="25">
        <v>45678</v>
      </c>
      <c r="AG313" s="13" t="s">
        <v>146</v>
      </c>
      <c r="AL313" s="116"/>
      <c r="AM313" s="123"/>
      <c r="AN313" s="123"/>
      <c r="AO313" s="123"/>
      <c r="AT313" s="115"/>
      <c r="AU313" s="115"/>
      <c r="AV313" s="115"/>
      <c r="AW313" s="115"/>
      <c r="AX313" s="115"/>
      <c r="AY313" s="115"/>
      <c r="AZ313" s="115"/>
      <c r="BA313" s="115"/>
      <c r="BB313" s="115"/>
      <c r="BC313" s="115"/>
      <c r="BD313" s="25"/>
      <c r="BE313" s="13"/>
      <c r="BH313" s="114"/>
    </row>
    <row r="314" spans="1:60" ht="19.5" x14ac:dyDescent="0.4">
      <c r="A314" s="117"/>
      <c r="B314" s="123"/>
      <c r="C314" s="123"/>
      <c r="D314" s="123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26"/>
      <c r="V314" s="15"/>
      <c r="W314" s="115"/>
      <c r="X314" s="115"/>
      <c r="Y314" s="115"/>
      <c r="Z314" s="115"/>
      <c r="AA314" s="115"/>
      <c r="AB314" s="115"/>
      <c r="AC314" s="115"/>
      <c r="AD314" s="115"/>
      <c r="AE314" s="115"/>
      <c r="AF314" s="25"/>
      <c r="AG314" s="13"/>
      <c r="AL314" s="116"/>
      <c r="AM314" s="123"/>
      <c r="AN314" s="123"/>
      <c r="AO314" s="123"/>
      <c r="AT314" s="115"/>
      <c r="AU314" s="115"/>
      <c r="AV314" s="115"/>
      <c r="AW314" s="115"/>
      <c r="AX314" s="115"/>
      <c r="AY314" s="115"/>
      <c r="AZ314" s="115"/>
      <c r="BA314" s="115"/>
      <c r="BB314" s="115"/>
      <c r="BC314" s="115"/>
      <c r="BD314" s="25"/>
      <c r="BE314" s="13"/>
      <c r="BH314" s="114"/>
    </row>
    <row r="315" spans="1:60" ht="19.5" x14ac:dyDescent="0.4">
      <c r="A315" s="117"/>
      <c r="B315" s="123"/>
      <c r="C315" s="123"/>
      <c r="D315" s="123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26"/>
      <c r="V315" s="13"/>
      <c r="W315" s="115"/>
      <c r="X315" s="115"/>
      <c r="Y315" s="115"/>
      <c r="Z315" s="115"/>
      <c r="AA315" s="115"/>
      <c r="AB315" s="115"/>
      <c r="AC315" s="115"/>
      <c r="AD315" s="115"/>
      <c r="AE315" s="115"/>
      <c r="AF315" s="25"/>
      <c r="AG315" s="13"/>
      <c r="AL315" s="116"/>
      <c r="AM315" s="123"/>
      <c r="AN315" s="123"/>
      <c r="AO315" s="123"/>
      <c r="AT315" s="115"/>
      <c r="AU315" s="115"/>
      <c r="AV315" s="115"/>
      <c r="AW315" s="115"/>
      <c r="AX315" s="115"/>
      <c r="AY315" s="115"/>
      <c r="AZ315" s="115"/>
      <c r="BA315" s="115"/>
      <c r="BB315" s="115"/>
      <c r="BC315" s="115"/>
      <c r="BD315" s="25"/>
      <c r="BE315" s="13"/>
      <c r="BH315" s="114"/>
    </row>
    <row r="316" spans="1:60" ht="19.5" x14ac:dyDescent="0.4">
      <c r="A316" s="117"/>
      <c r="B316" s="123"/>
      <c r="C316" s="123"/>
      <c r="D316" s="123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26"/>
      <c r="V316" s="13"/>
      <c r="W316" s="115"/>
      <c r="X316" s="115"/>
      <c r="Y316" s="115"/>
      <c r="Z316" s="115"/>
      <c r="AA316" s="115"/>
      <c r="AB316" s="115"/>
      <c r="AC316" s="115"/>
      <c r="AD316" s="115"/>
      <c r="AE316" s="115"/>
      <c r="AF316" s="25"/>
      <c r="AG316" s="13"/>
      <c r="AL316" s="116"/>
      <c r="AM316" s="123"/>
      <c r="AN316" s="123"/>
      <c r="AO316" s="123"/>
      <c r="AT316" s="115"/>
      <c r="AU316" s="115"/>
      <c r="AV316" s="115"/>
      <c r="AW316" s="115"/>
      <c r="AX316" s="115"/>
      <c r="AY316" s="115"/>
      <c r="AZ316" s="115"/>
      <c r="BA316" s="115"/>
      <c r="BB316" s="115"/>
      <c r="BC316" s="115"/>
      <c r="BD316" s="25"/>
      <c r="BE316" s="13"/>
      <c r="BH316" s="114"/>
    </row>
    <row r="317" spans="1:60" ht="19.5" x14ac:dyDescent="0.4">
      <c r="A317" s="117"/>
      <c r="B317" s="123"/>
      <c r="C317" s="123"/>
      <c r="D317" s="123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26"/>
      <c r="V317" s="13"/>
      <c r="W317" s="115"/>
      <c r="X317" s="115"/>
      <c r="Y317" s="115"/>
      <c r="Z317" s="115"/>
      <c r="AA317" s="115"/>
      <c r="AB317" s="115"/>
      <c r="AC317" s="115"/>
      <c r="AD317" s="115"/>
      <c r="AE317" s="115"/>
      <c r="AF317" s="25"/>
      <c r="AG317" s="13"/>
      <c r="AL317" s="116"/>
      <c r="AM317" s="123"/>
      <c r="AN317" s="123"/>
      <c r="AO317" s="123"/>
      <c r="AT317" s="115"/>
      <c r="AU317" s="115"/>
      <c r="AV317" s="115"/>
      <c r="AW317" s="115"/>
      <c r="AX317" s="115"/>
      <c r="AY317" s="115"/>
      <c r="AZ317" s="115"/>
      <c r="BA317" s="115"/>
      <c r="BB317" s="115"/>
      <c r="BC317" s="115"/>
      <c r="BD317" s="25"/>
      <c r="BE317" s="13"/>
      <c r="BH317" s="114"/>
    </row>
    <row r="318" spans="1:60" ht="19.5" x14ac:dyDescent="0.4">
      <c r="A318" s="117"/>
      <c r="B318" s="123"/>
      <c r="C318" s="123"/>
      <c r="D318" s="123"/>
      <c r="U318" s="26"/>
      <c r="V318" s="13"/>
      <c r="W318" s="115"/>
      <c r="X318" s="115"/>
      <c r="Y318" s="115"/>
      <c r="Z318" s="115"/>
      <c r="AA318" s="115"/>
      <c r="AB318" s="115"/>
      <c r="AC318" s="115"/>
      <c r="AD318" s="115"/>
      <c r="AE318" s="115"/>
      <c r="AF318" s="25">
        <v>45678</v>
      </c>
      <c r="AG318" s="13" t="s">
        <v>148</v>
      </c>
      <c r="AL318" s="116"/>
      <c r="AM318" s="123"/>
      <c r="AN318" s="123"/>
      <c r="AO318" s="123"/>
      <c r="AT318" s="115"/>
      <c r="AU318" s="115"/>
      <c r="AV318" s="115"/>
      <c r="AW318" s="115"/>
      <c r="AX318" s="115"/>
      <c r="AY318" s="115"/>
      <c r="AZ318" s="115"/>
      <c r="BA318" s="115"/>
      <c r="BB318" s="115"/>
      <c r="BC318" s="115"/>
      <c r="BD318" s="25"/>
      <c r="BE318" s="13"/>
      <c r="BH318" s="114"/>
    </row>
    <row r="319" spans="1:60" ht="19.5" x14ac:dyDescent="0.4">
      <c r="A319" s="117"/>
      <c r="B319" s="123"/>
      <c r="C319" s="123"/>
      <c r="D319" s="123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26"/>
      <c r="V319" s="13"/>
      <c r="W319" s="115"/>
      <c r="X319" s="115"/>
      <c r="Y319" s="115"/>
      <c r="Z319" s="115"/>
      <c r="AA319" s="115"/>
      <c r="AB319" s="115"/>
      <c r="AC319" s="115"/>
      <c r="AD319" s="115"/>
      <c r="AE319" s="115"/>
      <c r="AF319" s="25"/>
      <c r="AG319" s="13"/>
      <c r="AL319" s="116"/>
      <c r="AM319" s="123"/>
      <c r="AN319" s="123"/>
      <c r="AO319" s="123"/>
      <c r="AT319" s="115"/>
      <c r="AU319" s="115"/>
      <c r="AV319" s="115"/>
      <c r="AW319" s="115"/>
      <c r="AX319" s="115"/>
      <c r="AY319" s="115"/>
      <c r="AZ319" s="115"/>
      <c r="BA319" s="115"/>
      <c r="BB319" s="115"/>
      <c r="BC319" s="115"/>
      <c r="BD319" s="25"/>
      <c r="BE319" s="13"/>
      <c r="BH319" s="114"/>
    </row>
    <row r="320" spans="1:60" ht="19.5" x14ac:dyDescent="0.4">
      <c r="A320" s="117"/>
      <c r="B320" s="123"/>
      <c r="C320" s="123"/>
      <c r="D320" s="123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7"/>
      <c r="V320" s="13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25"/>
      <c r="AG320" s="13"/>
      <c r="AL320" s="116"/>
      <c r="AM320" s="123"/>
      <c r="AN320" s="123"/>
      <c r="AO320" s="123"/>
      <c r="AT320" s="115"/>
      <c r="AU320" s="115"/>
      <c r="AV320" s="115"/>
      <c r="AW320" s="115"/>
      <c r="AX320" s="115"/>
      <c r="AY320" s="115"/>
      <c r="AZ320" s="115"/>
      <c r="BA320" s="115"/>
      <c r="BB320" s="115"/>
      <c r="BC320" s="115"/>
      <c r="BD320" s="25"/>
      <c r="BE320" s="13"/>
      <c r="BH320" s="114"/>
    </row>
    <row r="321" spans="1:60" ht="19.5" x14ac:dyDescent="0.4">
      <c r="A321" s="117"/>
      <c r="B321" s="123"/>
      <c r="C321" s="123"/>
      <c r="D321" s="123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26"/>
      <c r="V321" s="134"/>
      <c r="W321" s="115"/>
      <c r="X321" s="115"/>
      <c r="Y321" s="115"/>
      <c r="Z321" s="115"/>
      <c r="AA321" s="115"/>
      <c r="AB321" s="115"/>
      <c r="AC321" s="115"/>
      <c r="AD321" s="115"/>
      <c r="AE321" s="115"/>
      <c r="AF321" s="25"/>
      <c r="AG321" s="13"/>
      <c r="AL321" s="116"/>
      <c r="AM321" s="123"/>
      <c r="AN321" s="123"/>
      <c r="AO321" s="123"/>
      <c r="AT321" s="115"/>
      <c r="AU321" s="115"/>
      <c r="AV321" s="115"/>
      <c r="AW321" s="115"/>
      <c r="AX321" s="115"/>
      <c r="AY321" s="115"/>
      <c r="AZ321" s="115"/>
      <c r="BA321" s="115"/>
      <c r="BB321" s="115"/>
      <c r="BC321" s="115"/>
      <c r="BD321" s="25"/>
      <c r="BE321" s="13"/>
      <c r="BH321" s="114"/>
    </row>
    <row r="322" spans="1:60" ht="19.5" x14ac:dyDescent="0.4">
      <c r="A322" s="117"/>
      <c r="B322" s="123"/>
      <c r="C322" s="123"/>
      <c r="D322" s="123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26"/>
      <c r="V322" s="13"/>
      <c r="W322" s="115"/>
      <c r="X322" s="115"/>
      <c r="Y322" s="115"/>
      <c r="Z322" s="115"/>
      <c r="AA322" s="115"/>
      <c r="AB322" s="115"/>
      <c r="AC322" s="115"/>
      <c r="AD322" s="115"/>
      <c r="AE322" s="115"/>
      <c r="AF322" s="25"/>
      <c r="AG322" s="13"/>
      <c r="AL322" s="116"/>
      <c r="AM322" s="123"/>
      <c r="AN322" s="123"/>
      <c r="AO322" s="123"/>
      <c r="AT322" s="115"/>
      <c r="AU322" s="115"/>
      <c r="AV322" s="115"/>
      <c r="AW322" s="115"/>
      <c r="AX322" s="115"/>
      <c r="AY322" s="115"/>
      <c r="AZ322" s="115"/>
      <c r="BA322" s="115"/>
      <c r="BB322" s="115"/>
      <c r="BC322" s="115"/>
      <c r="BD322" s="25"/>
      <c r="BE322" s="13"/>
      <c r="BH322" s="114"/>
    </row>
    <row r="323" spans="1:60" ht="19.5" x14ac:dyDescent="0.4">
      <c r="A323" s="117"/>
      <c r="B323" s="123"/>
      <c r="C323" s="123"/>
      <c r="D323" s="123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26"/>
      <c r="V323" s="13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25"/>
      <c r="AG323" s="13"/>
      <c r="AL323" s="116"/>
      <c r="AM323" s="123"/>
      <c r="AN323" s="123"/>
      <c r="AO323" s="123"/>
      <c r="AT323" s="115"/>
      <c r="AU323" s="115"/>
      <c r="AV323" s="115"/>
      <c r="AW323" s="115"/>
      <c r="AX323" s="115"/>
      <c r="AY323" s="115"/>
      <c r="AZ323" s="115"/>
      <c r="BA323" s="115"/>
      <c r="BB323" s="115"/>
      <c r="BC323" s="115"/>
      <c r="BD323" s="25"/>
      <c r="BE323" s="13"/>
      <c r="BH323" s="114"/>
    </row>
    <row r="324" spans="1:60" ht="19.5" x14ac:dyDescent="0.4">
      <c r="A324" s="117"/>
      <c r="B324" s="123"/>
      <c r="C324" s="123"/>
      <c r="D324" s="123"/>
      <c r="U324" s="26"/>
      <c r="V324" s="13"/>
      <c r="W324" s="115"/>
      <c r="X324" s="115"/>
      <c r="Y324" s="115"/>
      <c r="Z324" s="115"/>
      <c r="AA324" s="115"/>
      <c r="AB324" s="115"/>
      <c r="AC324" s="115"/>
      <c r="AD324" s="115"/>
      <c r="AE324" s="115"/>
      <c r="AF324" s="25">
        <v>45678</v>
      </c>
      <c r="AG324" s="13" t="s">
        <v>148</v>
      </c>
      <c r="AL324" s="116"/>
      <c r="AM324" s="123"/>
      <c r="AN324" s="123"/>
      <c r="AO324" s="123"/>
      <c r="AT324" s="115"/>
      <c r="AU324" s="115"/>
      <c r="AV324" s="115"/>
      <c r="AW324" s="115"/>
      <c r="AX324" s="115"/>
      <c r="AY324" s="115"/>
      <c r="AZ324" s="115"/>
      <c r="BA324" s="115"/>
      <c r="BB324" s="115"/>
      <c r="BC324" s="115"/>
      <c r="BD324" s="25"/>
      <c r="BE324" s="13"/>
      <c r="BH324" s="114"/>
    </row>
    <row r="325" spans="1:60" ht="19.5" x14ac:dyDescent="0.4">
      <c r="A325" s="117"/>
      <c r="B325" s="123"/>
      <c r="C325" s="123"/>
      <c r="D325" s="123"/>
      <c r="U325" s="26"/>
      <c r="V325" s="13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25">
        <v>45678</v>
      </c>
      <c r="AG325" s="13" t="s">
        <v>148</v>
      </c>
      <c r="AL325" s="116"/>
      <c r="AM325" s="123"/>
      <c r="AN325" s="123"/>
      <c r="AO325" s="123"/>
      <c r="AT325" s="115"/>
      <c r="AU325" s="115"/>
      <c r="AV325" s="115"/>
      <c r="AW325" s="115"/>
      <c r="AX325" s="115"/>
      <c r="AY325" s="115"/>
      <c r="AZ325" s="115"/>
      <c r="BA325" s="115"/>
      <c r="BB325" s="115"/>
      <c r="BC325" s="115"/>
      <c r="BD325" s="25"/>
      <c r="BE325" s="13"/>
      <c r="BH325" s="114"/>
    </row>
    <row r="326" spans="1:60" ht="19.5" x14ac:dyDescent="0.4">
      <c r="A326" s="117"/>
      <c r="B326" s="123"/>
      <c r="C326" s="123"/>
      <c r="D326" s="123"/>
      <c r="L326" s="115"/>
      <c r="M326" s="115"/>
      <c r="N326" s="115"/>
      <c r="O326" s="115"/>
      <c r="P326" s="115"/>
      <c r="Q326" s="115"/>
      <c r="R326" s="115"/>
      <c r="S326" s="115"/>
      <c r="T326" s="115"/>
      <c r="U326" s="26"/>
      <c r="V326" s="13"/>
      <c r="W326" s="115"/>
      <c r="X326" s="115"/>
      <c r="Y326" s="115"/>
      <c r="Z326" s="115"/>
      <c r="AA326" s="115"/>
      <c r="AB326" s="115"/>
      <c r="AC326" s="115"/>
      <c r="AD326" s="115"/>
      <c r="AE326" s="115"/>
      <c r="AF326" s="25"/>
      <c r="AG326" s="13"/>
      <c r="AL326" s="116"/>
      <c r="AM326" s="123"/>
      <c r="AN326" s="123"/>
      <c r="AO326" s="123"/>
      <c r="AT326" s="115"/>
      <c r="AU326" s="115"/>
      <c r="AV326" s="115"/>
      <c r="AW326" s="115"/>
      <c r="AX326" s="115"/>
      <c r="AY326" s="115"/>
      <c r="AZ326" s="115"/>
      <c r="BA326" s="115"/>
      <c r="BB326" s="115"/>
      <c r="BC326" s="115"/>
      <c r="BD326" s="25"/>
      <c r="BE326" s="13"/>
      <c r="BH326" s="114"/>
    </row>
    <row r="327" spans="1:60" ht="19.5" x14ac:dyDescent="0.4">
      <c r="A327" s="117"/>
      <c r="B327" s="123"/>
      <c r="C327" s="123"/>
      <c r="D327" s="123"/>
      <c r="L327" s="115"/>
      <c r="M327" s="115"/>
      <c r="N327" s="115"/>
      <c r="O327" s="115"/>
      <c r="P327" s="115"/>
      <c r="Q327" s="115"/>
      <c r="R327" s="115"/>
      <c r="S327" s="115"/>
      <c r="T327" s="115"/>
      <c r="U327" s="26"/>
      <c r="V327" s="13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25"/>
      <c r="AG327" s="13"/>
      <c r="AL327" s="116"/>
      <c r="AM327" s="123"/>
      <c r="AN327" s="123"/>
      <c r="AO327" s="123"/>
      <c r="AT327" s="115"/>
      <c r="AU327" s="115"/>
      <c r="AV327" s="115"/>
      <c r="AW327" s="115"/>
      <c r="AX327" s="115"/>
      <c r="AY327" s="115"/>
      <c r="AZ327" s="115"/>
      <c r="BA327" s="115"/>
      <c r="BB327" s="115"/>
      <c r="BC327" s="115"/>
      <c r="BD327" s="25"/>
      <c r="BE327" s="13"/>
      <c r="BH327" s="114"/>
    </row>
    <row r="328" spans="1:60" ht="19.5" x14ac:dyDescent="0.4">
      <c r="A328" s="117"/>
      <c r="B328" s="123"/>
      <c r="C328" s="123"/>
      <c r="D328" s="123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26"/>
      <c r="V328" s="13"/>
      <c r="W328" s="115"/>
      <c r="X328" s="115"/>
      <c r="Y328" s="115"/>
      <c r="Z328" s="115"/>
      <c r="AA328" s="115"/>
      <c r="AB328" s="115"/>
      <c r="AC328" s="115"/>
      <c r="AD328" s="115"/>
      <c r="AE328" s="115"/>
      <c r="AF328" s="25"/>
      <c r="AG328" s="13"/>
      <c r="AL328" s="116"/>
      <c r="AM328" s="123"/>
      <c r="AN328" s="123"/>
      <c r="AO328" s="123"/>
      <c r="AT328" s="115"/>
      <c r="AU328" s="115"/>
      <c r="AV328" s="115"/>
      <c r="AW328" s="115"/>
      <c r="AX328" s="115"/>
      <c r="AY328" s="115"/>
      <c r="AZ328" s="115"/>
      <c r="BA328" s="115"/>
      <c r="BB328" s="115"/>
      <c r="BC328" s="115"/>
      <c r="BD328" s="25"/>
      <c r="BE328" s="13"/>
      <c r="BH328" s="114"/>
    </row>
    <row r="329" spans="1:60" ht="19.5" x14ac:dyDescent="0.4">
      <c r="A329" s="117"/>
      <c r="B329" s="123"/>
      <c r="C329" s="123"/>
      <c r="D329" s="123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26"/>
      <c r="V329" s="13"/>
      <c r="W329" s="115"/>
      <c r="X329" s="115"/>
      <c r="Y329" s="115"/>
      <c r="Z329" s="115"/>
      <c r="AA329" s="115"/>
      <c r="AB329" s="115"/>
      <c r="AC329" s="115"/>
      <c r="AD329" s="115"/>
      <c r="AE329" s="115"/>
      <c r="AF329" s="25"/>
      <c r="AG329" s="13"/>
      <c r="AL329" s="116"/>
      <c r="AM329" s="123"/>
      <c r="AN329" s="123"/>
      <c r="AO329" s="123"/>
      <c r="AT329" s="115"/>
      <c r="AU329" s="115"/>
      <c r="AV329" s="115"/>
      <c r="AW329" s="115"/>
      <c r="AX329" s="115"/>
      <c r="AY329" s="115"/>
      <c r="AZ329" s="115"/>
      <c r="BA329" s="115"/>
      <c r="BB329" s="115"/>
      <c r="BC329" s="115"/>
      <c r="BD329" s="25"/>
      <c r="BE329" s="13"/>
      <c r="BH329" s="114"/>
    </row>
    <row r="330" spans="1:60" ht="19.5" x14ac:dyDescent="0.4">
      <c r="A330" s="117"/>
      <c r="B330" s="123"/>
      <c r="C330" s="123"/>
      <c r="D330" s="123"/>
      <c r="U330" s="26"/>
      <c r="V330" s="13"/>
      <c r="W330" s="115"/>
      <c r="X330" s="115"/>
      <c r="Y330" s="115"/>
      <c r="Z330" s="115"/>
      <c r="AA330" s="115"/>
      <c r="AB330" s="115"/>
      <c r="AC330" s="115"/>
      <c r="AD330" s="115"/>
      <c r="AE330" s="115"/>
      <c r="AF330" s="25">
        <v>45679</v>
      </c>
      <c r="AG330" s="15" t="s">
        <v>146</v>
      </c>
      <c r="AL330" s="116"/>
      <c r="AM330" s="123"/>
      <c r="AN330" s="123"/>
      <c r="AO330" s="123"/>
      <c r="AT330" s="115"/>
      <c r="AU330" s="115"/>
      <c r="AV330" s="115"/>
      <c r="AW330" s="115"/>
      <c r="AX330" s="115"/>
      <c r="AY330" s="115"/>
      <c r="AZ330" s="115"/>
      <c r="BA330" s="115"/>
      <c r="BB330" s="115"/>
      <c r="BC330" s="115"/>
      <c r="BD330" s="25"/>
      <c r="BE330" s="13"/>
      <c r="BH330" s="114"/>
    </row>
    <row r="331" spans="1:60" ht="19.5" x14ac:dyDescent="0.4">
      <c r="A331" s="117"/>
      <c r="B331" s="123"/>
      <c r="C331" s="123"/>
      <c r="D331" s="123"/>
      <c r="M331" s="115"/>
      <c r="N331" s="115"/>
      <c r="O331" s="115"/>
      <c r="P331" s="115"/>
      <c r="Q331" s="115"/>
      <c r="R331" s="115"/>
      <c r="S331" s="115"/>
      <c r="T331" s="115"/>
      <c r="U331" s="26"/>
      <c r="V331" s="13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25"/>
      <c r="AG331" s="15"/>
      <c r="AL331" s="116"/>
      <c r="AM331" s="123"/>
      <c r="AN331" s="123"/>
      <c r="AO331" s="123"/>
      <c r="AT331" s="115"/>
      <c r="AU331" s="115"/>
      <c r="AV331" s="115"/>
      <c r="AW331" s="115"/>
      <c r="AX331" s="115"/>
      <c r="AY331" s="115"/>
      <c r="AZ331" s="115"/>
      <c r="BA331" s="115"/>
      <c r="BB331" s="115"/>
      <c r="BC331" s="115"/>
      <c r="BD331" s="25"/>
      <c r="BE331" s="13"/>
      <c r="BH331" s="114"/>
    </row>
    <row r="332" spans="1:60" ht="19.5" x14ac:dyDescent="0.4">
      <c r="A332" s="117"/>
      <c r="B332" s="123"/>
      <c r="C332" s="123"/>
      <c r="D332" s="123"/>
      <c r="M332" s="115"/>
      <c r="N332" s="115"/>
      <c r="O332" s="115"/>
      <c r="P332" s="115"/>
      <c r="Q332" s="115"/>
      <c r="R332" s="115"/>
      <c r="S332" s="115"/>
      <c r="T332" s="115"/>
      <c r="U332" s="17"/>
      <c r="V332" s="13"/>
      <c r="W332" s="115"/>
      <c r="X332" s="115"/>
      <c r="Y332" s="115"/>
      <c r="Z332" s="115"/>
      <c r="AA332" s="115"/>
      <c r="AB332" s="115"/>
      <c r="AC332" s="115"/>
      <c r="AD332" s="115"/>
      <c r="AE332" s="115"/>
      <c r="AF332" s="25"/>
      <c r="AG332" s="15"/>
      <c r="AL332" s="116"/>
      <c r="AM332" s="123"/>
      <c r="AN332" s="123"/>
      <c r="AO332" s="123"/>
      <c r="AT332" s="115"/>
      <c r="AU332" s="115"/>
      <c r="AV332" s="115"/>
      <c r="AW332" s="115"/>
      <c r="AX332" s="115"/>
      <c r="AY332" s="115"/>
      <c r="AZ332" s="115"/>
      <c r="BA332" s="115"/>
      <c r="BB332" s="115"/>
      <c r="BC332" s="115"/>
      <c r="BD332" s="25"/>
      <c r="BE332" s="13"/>
      <c r="BH332" s="114"/>
    </row>
    <row r="333" spans="1:60" ht="19.5" x14ac:dyDescent="0.4">
      <c r="A333" s="117"/>
      <c r="B333" s="123"/>
      <c r="C333" s="123"/>
      <c r="D333" s="123"/>
      <c r="U333" s="26"/>
      <c r="V333" s="13"/>
      <c r="W333" s="115"/>
      <c r="X333" s="115"/>
      <c r="Y333" s="115"/>
      <c r="Z333" s="115"/>
      <c r="AA333" s="115"/>
      <c r="AB333" s="115"/>
      <c r="AC333" s="115"/>
      <c r="AD333" s="115"/>
      <c r="AE333" s="115"/>
      <c r="AF333" s="25"/>
      <c r="AG333" s="15"/>
      <c r="AL333" s="116"/>
      <c r="AM333" s="123"/>
      <c r="AN333" s="123"/>
      <c r="AO333" s="123"/>
      <c r="AT333" s="115"/>
      <c r="AU333" s="115"/>
      <c r="AV333" s="115"/>
      <c r="AW333" s="115"/>
      <c r="AX333" s="115"/>
      <c r="AY333" s="115"/>
      <c r="AZ333" s="115"/>
      <c r="BA333" s="115"/>
      <c r="BB333" s="115"/>
      <c r="BC333" s="115"/>
      <c r="BD333" s="25"/>
      <c r="BE333" s="13"/>
      <c r="BH333" s="114"/>
    </row>
    <row r="334" spans="1:60" ht="19.5" x14ac:dyDescent="0.4">
      <c r="A334" s="117"/>
      <c r="B334" s="123"/>
      <c r="C334" s="123"/>
      <c r="D334" s="123"/>
      <c r="M334" s="115"/>
      <c r="N334" s="115"/>
      <c r="O334" s="115"/>
      <c r="P334" s="115"/>
      <c r="Q334" s="115"/>
      <c r="R334" s="115"/>
      <c r="S334" s="115"/>
      <c r="T334" s="115"/>
      <c r="U334" s="26"/>
      <c r="V334" s="13"/>
      <c r="W334" s="115"/>
      <c r="X334" s="115"/>
      <c r="Y334" s="115"/>
      <c r="Z334" s="115"/>
      <c r="AA334" s="115"/>
      <c r="AB334" s="115"/>
      <c r="AC334" s="115"/>
      <c r="AD334" s="115"/>
      <c r="AE334" s="115"/>
      <c r="AF334" s="25"/>
      <c r="AG334" s="15"/>
      <c r="AL334" s="116"/>
      <c r="AM334" s="123"/>
      <c r="AN334" s="123"/>
      <c r="AO334" s="123"/>
      <c r="AT334" s="115"/>
      <c r="AU334" s="115"/>
      <c r="AV334" s="115"/>
      <c r="AW334" s="115"/>
      <c r="AX334" s="115"/>
      <c r="AY334" s="115"/>
      <c r="AZ334" s="115"/>
      <c r="BA334" s="115"/>
      <c r="BB334" s="115"/>
      <c r="BC334" s="115"/>
      <c r="BD334" s="25"/>
      <c r="BE334" s="13"/>
      <c r="BH334" s="114"/>
    </row>
    <row r="335" spans="1:60" ht="19.5" x14ac:dyDescent="0.4">
      <c r="A335" s="117"/>
      <c r="B335" s="123"/>
      <c r="C335" s="123"/>
      <c r="D335" s="123"/>
      <c r="M335" s="115"/>
      <c r="N335" s="115"/>
      <c r="O335" s="115"/>
      <c r="P335" s="115"/>
      <c r="Q335" s="115"/>
      <c r="R335" s="115"/>
      <c r="S335" s="115"/>
      <c r="T335" s="115"/>
      <c r="U335" s="17"/>
      <c r="V335" s="13"/>
      <c r="W335" s="115"/>
      <c r="X335" s="115"/>
      <c r="Y335" s="115"/>
      <c r="Z335" s="115"/>
      <c r="AA335" s="115"/>
      <c r="AB335" s="115"/>
      <c r="AC335" s="115"/>
      <c r="AD335" s="115"/>
      <c r="AE335" s="115"/>
      <c r="AF335" s="25"/>
      <c r="AG335" s="15"/>
      <c r="AL335" s="116"/>
      <c r="AM335" s="123"/>
      <c r="AN335" s="123"/>
      <c r="AO335" s="123"/>
      <c r="AT335" s="115"/>
      <c r="AU335" s="115"/>
      <c r="AV335" s="115"/>
      <c r="AW335" s="115"/>
      <c r="AX335" s="115"/>
      <c r="AY335" s="115"/>
      <c r="AZ335" s="115"/>
      <c r="BA335" s="115"/>
      <c r="BB335" s="115"/>
      <c r="BC335" s="115"/>
      <c r="BD335" s="25"/>
      <c r="BE335" s="13"/>
      <c r="BH335" s="114"/>
    </row>
    <row r="336" spans="1:60" ht="19.5" x14ac:dyDescent="0.4">
      <c r="A336" s="117"/>
      <c r="B336" s="123"/>
      <c r="C336" s="123"/>
      <c r="D336" s="123"/>
      <c r="L336" s="115"/>
      <c r="M336" s="115"/>
      <c r="N336" s="115"/>
      <c r="O336" s="115"/>
      <c r="P336" s="115"/>
      <c r="Q336" s="115"/>
      <c r="R336" s="115"/>
      <c r="S336" s="115"/>
      <c r="T336" s="115"/>
      <c r="U336" s="26"/>
      <c r="V336" s="13"/>
      <c r="W336" s="115"/>
      <c r="X336" s="115"/>
      <c r="Y336" s="115"/>
      <c r="Z336" s="115"/>
      <c r="AA336" s="115"/>
      <c r="AB336" s="115"/>
      <c r="AC336" s="115"/>
      <c r="AD336" s="115"/>
      <c r="AE336" s="115"/>
      <c r="AF336" s="25"/>
      <c r="AG336" s="15"/>
      <c r="AL336" s="116"/>
      <c r="AM336" s="123"/>
      <c r="AN336" s="123"/>
      <c r="AO336" s="123"/>
      <c r="AT336" s="115"/>
      <c r="AU336" s="115"/>
      <c r="AV336" s="115"/>
      <c r="AW336" s="115"/>
      <c r="AX336" s="115"/>
      <c r="AY336" s="115"/>
      <c r="AZ336" s="115"/>
      <c r="BA336" s="115"/>
      <c r="BB336" s="115"/>
      <c r="BC336" s="115"/>
      <c r="BD336" s="25"/>
      <c r="BE336" s="13"/>
      <c r="BH336" s="114"/>
    </row>
    <row r="337" spans="1:60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26"/>
      <c r="V337" s="13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25"/>
      <c r="AG337" s="15"/>
      <c r="AL337" s="116"/>
      <c r="AM337" s="123"/>
      <c r="AN337" s="123"/>
      <c r="AO337" s="123"/>
      <c r="AT337" s="115"/>
      <c r="AU337" s="115"/>
      <c r="AV337" s="115"/>
      <c r="AW337" s="115"/>
      <c r="AX337" s="115"/>
      <c r="AY337" s="115"/>
      <c r="AZ337" s="115"/>
      <c r="BA337" s="115"/>
      <c r="BB337" s="115"/>
      <c r="BC337" s="115"/>
      <c r="BD337" s="25"/>
      <c r="BE337" s="13"/>
      <c r="BH337" s="114"/>
    </row>
    <row r="338" spans="1:60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26"/>
      <c r="V338" s="13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25"/>
      <c r="AG338" s="15"/>
      <c r="AL338" s="116"/>
      <c r="AM338" s="123"/>
      <c r="AN338" s="123"/>
      <c r="AO338" s="123"/>
      <c r="AT338" s="115"/>
      <c r="AU338" s="115"/>
      <c r="AV338" s="115"/>
      <c r="AW338" s="115"/>
      <c r="AX338" s="115"/>
      <c r="AY338" s="115"/>
      <c r="AZ338" s="115"/>
      <c r="BA338" s="115"/>
      <c r="BB338" s="115"/>
      <c r="BC338" s="115"/>
      <c r="BD338" s="25"/>
      <c r="BE338" s="13"/>
      <c r="BH338" s="114"/>
    </row>
    <row r="339" spans="1:60" ht="19.5" x14ac:dyDescent="0.4">
      <c r="A339" s="117"/>
      <c r="B339" s="123"/>
      <c r="C339" s="123"/>
      <c r="D339" s="123"/>
      <c r="U339" s="26"/>
      <c r="V339" s="13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25">
        <v>45679</v>
      </c>
      <c r="AG339" s="15" t="s">
        <v>148</v>
      </c>
      <c r="AL339" s="116"/>
      <c r="AM339" s="123"/>
      <c r="AN339" s="123"/>
      <c r="AO339" s="123"/>
      <c r="AT339" s="115"/>
      <c r="AU339" s="115"/>
      <c r="AV339" s="115"/>
      <c r="AW339" s="115"/>
      <c r="AX339" s="115"/>
      <c r="AY339" s="115"/>
      <c r="AZ339" s="115"/>
      <c r="BA339" s="115"/>
      <c r="BB339" s="115"/>
      <c r="BC339" s="115"/>
      <c r="BD339" s="25"/>
      <c r="BE339" s="13"/>
      <c r="BH339" s="114"/>
    </row>
    <row r="340" spans="1:60" ht="19.5" x14ac:dyDescent="0.4">
      <c r="A340" s="117"/>
      <c r="B340" s="123"/>
      <c r="C340" s="123"/>
      <c r="D340" s="123"/>
      <c r="M340" s="115"/>
      <c r="N340" s="115"/>
      <c r="O340" s="115"/>
      <c r="P340" s="115"/>
      <c r="Q340" s="115"/>
      <c r="R340" s="115"/>
      <c r="S340" s="115"/>
      <c r="T340" s="115"/>
      <c r="U340" s="26"/>
      <c r="V340" s="13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25"/>
      <c r="AG340" s="13"/>
      <c r="AL340" s="116"/>
      <c r="AM340" s="123"/>
      <c r="AN340" s="123"/>
      <c r="AO340" s="123"/>
      <c r="AT340" s="115"/>
      <c r="AU340" s="115"/>
      <c r="AV340" s="115"/>
      <c r="AW340" s="115"/>
      <c r="AX340" s="115"/>
      <c r="AY340" s="115"/>
      <c r="AZ340" s="115"/>
      <c r="BA340" s="115"/>
      <c r="BB340" s="115"/>
      <c r="BC340" s="115"/>
      <c r="BD340" s="25"/>
      <c r="BE340" s="13"/>
      <c r="BH340" s="114"/>
    </row>
    <row r="341" spans="1:60" ht="19.5" x14ac:dyDescent="0.4">
      <c r="A341" s="117"/>
      <c r="B341" s="123"/>
      <c r="C341" s="123"/>
      <c r="D341" s="123"/>
      <c r="L341" s="115"/>
      <c r="M341" s="115"/>
      <c r="N341" s="115"/>
      <c r="O341" s="115"/>
      <c r="P341" s="115"/>
      <c r="Q341" s="115"/>
      <c r="R341" s="115"/>
      <c r="S341" s="115"/>
      <c r="T341" s="115"/>
      <c r="U341" s="26"/>
      <c r="V341" s="13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25"/>
      <c r="AG341" s="13"/>
      <c r="AL341" s="116"/>
      <c r="AM341" s="123"/>
      <c r="AN341" s="123"/>
      <c r="AO341" s="123"/>
      <c r="AT341" s="115"/>
      <c r="AU341" s="115"/>
      <c r="AV341" s="115"/>
      <c r="AW341" s="115"/>
      <c r="AX341" s="115"/>
      <c r="AY341" s="115"/>
      <c r="AZ341" s="115"/>
      <c r="BA341" s="115"/>
      <c r="BB341" s="115"/>
      <c r="BC341" s="115"/>
      <c r="BD341" s="25"/>
      <c r="BE341" s="13"/>
      <c r="BH341" s="114"/>
    </row>
    <row r="342" spans="1:60" ht="19.5" x14ac:dyDescent="0.4">
      <c r="A342" s="117"/>
      <c r="B342" s="123"/>
      <c r="C342" s="123"/>
      <c r="D342" s="123"/>
      <c r="L342" s="115"/>
      <c r="M342" s="115"/>
      <c r="N342" s="115"/>
      <c r="O342" s="115"/>
      <c r="P342" s="115"/>
      <c r="Q342" s="115"/>
      <c r="R342" s="115"/>
      <c r="S342" s="115"/>
      <c r="T342" s="115"/>
      <c r="U342" s="26"/>
      <c r="V342" s="13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25"/>
      <c r="AG342" s="13"/>
      <c r="AL342" s="116"/>
      <c r="AM342" s="123"/>
      <c r="AN342" s="123"/>
      <c r="AO342" s="123"/>
      <c r="AT342" s="115"/>
      <c r="AU342" s="115"/>
      <c r="AV342" s="115"/>
      <c r="AW342" s="115"/>
      <c r="AX342" s="115"/>
      <c r="AY342" s="115"/>
      <c r="AZ342" s="115"/>
      <c r="BA342" s="115"/>
      <c r="BB342" s="115"/>
      <c r="BC342" s="115"/>
      <c r="BD342" s="25"/>
      <c r="BE342" s="13"/>
      <c r="BH342" s="114"/>
    </row>
    <row r="343" spans="1:60" ht="19.5" x14ac:dyDescent="0.4">
      <c r="A343" s="117"/>
      <c r="B343" s="123"/>
      <c r="C343" s="123"/>
      <c r="D343" s="123"/>
      <c r="L343" s="115"/>
      <c r="M343" s="115"/>
      <c r="N343" s="115"/>
      <c r="O343" s="115"/>
      <c r="P343" s="115"/>
      <c r="Q343" s="115"/>
      <c r="R343" s="115"/>
      <c r="S343" s="115"/>
      <c r="T343" s="115"/>
      <c r="U343" s="17"/>
      <c r="V343" s="13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25"/>
      <c r="AG343" s="13"/>
      <c r="AL343" s="116"/>
      <c r="AM343" s="123"/>
      <c r="AN343" s="123"/>
      <c r="AO343" s="123"/>
      <c r="AT343" s="115"/>
      <c r="AU343" s="115"/>
      <c r="AV343" s="115"/>
      <c r="AW343" s="115"/>
      <c r="AX343" s="115"/>
      <c r="AY343" s="115"/>
      <c r="AZ343" s="115"/>
      <c r="BA343" s="115"/>
      <c r="BB343" s="115"/>
      <c r="BC343" s="115"/>
      <c r="BD343" s="25"/>
      <c r="BE343" s="13"/>
      <c r="BH343" s="114"/>
    </row>
    <row r="344" spans="1:60" ht="19.5" x14ac:dyDescent="0.4">
      <c r="A344" s="117"/>
      <c r="B344" s="123"/>
      <c r="C344" s="123"/>
      <c r="D344" s="123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26"/>
      <c r="V344" s="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25"/>
      <c r="AG344" s="13"/>
      <c r="AL344" s="116"/>
      <c r="AM344" s="123"/>
      <c r="AN344" s="123"/>
      <c r="AO344" s="123"/>
      <c r="AT344" s="115"/>
      <c r="AU344" s="115"/>
      <c r="AV344" s="115"/>
      <c r="AW344" s="115"/>
      <c r="AX344" s="115"/>
      <c r="AY344" s="115"/>
      <c r="AZ344" s="115"/>
      <c r="BA344" s="115"/>
      <c r="BB344" s="115"/>
      <c r="BC344" s="115"/>
      <c r="BD344" s="25"/>
      <c r="BE344" s="13"/>
      <c r="BH344" s="114"/>
    </row>
    <row r="345" spans="1:60" ht="19.5" x14ac:dyDescent="0.4">
      <c r="A345" s="117"/>
      <c r="B345" s="123"/>
      <c r="C345" s="123"/>
      <c r="D345" s="123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7"/>
      <c r="V345" s="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25"/>
      <c r="AG345" s="13"/>
      <c r="AL345" s="116"/>
      <c r="AM345" s="123"/>
      <c r="AN345" s="123"/>
      <c r="AO345" s="123"/>
      <c r="AT345" s="115"/>
      <c r="AU345" s="115"/>
      <c r="AV345" s="115"/>
      <c r="AW345" s="115"/>
      <c r="AX345" s="115"/>
      <c r="AY345" s="115"/>
      <c r="AZ345" s="115"/>
      <c r="BA345" s="115"/>
      <c r="BB345" s="115"/>
      <c r="BC345" s="115"/>
      <c r="BD345" s="25"/>
      <c r="BE345" s="13"/>
      <c r="BH345" s="114"/>
    </row>
    <row r="346" spans="1:60" ht="19.5" x14ac:dyDescent="0.4">
      <c r="A346" s="117"/>
      <c r="B346" s="123"/>
      <c r="C346" s="123"/>
      <c r="D346" s="123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26"/>
      <c r="V346" s="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25"/>
      <c r="AG346" s="13"/>
      <c r="AL346" s="116"/>
      <c r="AM346" s="123"/>
      <c r="AN346" s="123"/>
      <c r="AO346" s="123"/>
      <c r="AT346" s="115"/>
      <c r="AU346" s="115"/>
      <c r="AV346" s="115"/>
      <c r="AW346" s="115"/>
      <c r="AX346" s="115"/>
      <c r="AY346" s="115"/>
      <c r="AZ346" s="115"/>
      <c r="BA346" s="115"/>
      <c r="BB346" s="115"/>
      <c r="BC346" s="115"/>
      <c r="BD346" s="25"/>
      <c r="BE346" s="13"/>
      <c r="BH346" s="114"/>
    </row>
    <row r="347" spans="1:60" ht="19.5" x14ac:dyDescent="0.4">
      <c r="A347" s="117"/>
      <c r="B347" s="123"/>
      <c r="C347" s="123"/>
      <c r="D347" s="123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7"/>
      <c r="V347" s="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25"/>
      <c r="AG347" s="13"/>
      <c r="AL347" s="116"/>
      <c r="AM347" s="123"/>
      <c r="AN347" s="123"/>
      <c r="AO347" s="123"/>
      <c r="AT347" s="115"/>
      <c r="AU347" s="115"/>
      <c r="AV347" s="115"/>
      <c r="AW347" s="115"/>
      <c r="AX347" s="115"/>
      <c r="AY347" s="115"/>
      <c r="AZ347" s="115"/>
      <c r="BA347" s="115"/>
      <c r="BB347" s="115"/>
      <c r="BC347" s="115"/>
      <c r="BD347" s="25"/>
      <c r="BE347" s="13"/>
      <c r="BH347" s="114"/>
    </row>
    <row r="348" spans="1:60" ht="19.5" x14ac:dyDescent="0.4">
      <c r="A348" s="117"/>
      <c r="B348" s="123"/>
      <c r="C348" s="123"/>
      <c r="D348" s="123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26"/>
      <c r="V348" s="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25"/>
      <c r="AG348" s="13"/>
      <c r="AL348" s="116"/>
      <c r="AM348" s="123"/>
      <c r="AN348" s="123"/>
      <c r="AO348" s="123"/>
      <c r="AT348" s="115"/>
      <c r="AU348" s="115"/>
      <c r="AV348" s="115"/>
      <c r="AW348" s="115"/>
      <c r="AX348" s="115"/>
      <c r="AY348" s="115"/>
      <c r="AZ348" s="115"/>
      <c r="BA348" s="115"/>
      <c r="BB348" s="115"/>
      <c r="BC348" s="115"/>
      <c r="BD348" s="25"/>
      <c r="BE348" s="13"/>
      <c r="BH348" s="114"/>
    </row>
    <row r="349" spans="1:60" ht="19.5" x14ac:dyDescent="0.4">
      <c r="A349" s="117"/>
      <c r="B349" s="123"/>
      <c r="C349" s="123"/>
      <c r="D349" s="123"/>
      <c r="U349" s="26"/>
      <c r="V349" s="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25">
        <v>45679</v>
      </c>
      <c r="AG349" s="13" t="s">
        <v>147</v>
      </c>
      <c r="AL349" s="116"/>
      <c r="AM349" s="123"/>
      <c r="AN349" s="123"/>
      <c r="AO349" s="123"/>
      <c r="AT349" s="115"/>
      <c r="AU349" s="115"/>
      <c r="AV349" s="115"/>
      <c r="AW349" s="115"/>
      <c r="AX349" s="115"/>
      <c r="AY349" s="115"/>
      <c r="AZ349" s="115"/>
      <c r="BA349" s="115"/>
      <c r="BB349" s="115"/>
      <c r="BC349" s="115"/>
      <c r="BD349" s="25"/>
      <c r="BE349" s="13"/>
      <c r="BH349" s="114"/>
    </row>
    <row r="350" spans="1:60" ht="19.5" x14ac:dyDescent="0.4">
      <c r="A350" s="117"/>
      <c r="B350" s="123"/>
      <c r="C350" s="123"/>
      <c r="D350" s="123"/>
      <c r="N350" s="115"/>
      <c r="O350" s="115"/>
      <c r="P350" s="115"/>
      <c r="Q350" s="115"/>
      <c r="R350" s="115"/>
      <c r="S350" s="115"/>
      <c r="T350" s="115"/>
      <c r="U350" s="17"/>
      <c r="V350" s="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25"/>
      <c r="AG350" s="13"/>
      <c r="AL350" s="116"/>
      <c r="AM350" s="123"/>
      <c r="AN350" s="123"/>
      <c r="AO350" s="123"/>
      <c r="AT350" s="115"/>
      <c r="AU350" s="115"/>
      <c r="AV350" s="115"/>
      <c r="AW350" s="115"/>
      <c r="AX350" s="115"/>
      <c r="AY350" s="115"/>
      <c r="AZ350" s="115"/>
      <c r="BA350" s="115"/>
      <c r="BB350" s="115"/>
      <c r="BC350" s="115"/>
      <c r="BD350" s="25"/>
      <c r="BE350" s="13"/>
      <c r="BH350" s="114"/>
    </row>
    <row r="351" spans="1:60" ht="19.5" x14ac:dyDescent="0.4">
      <c r="A351" s="117"/>
      <c r="B351" s="123"/>
      <c r="C351" s="123"/>
      <c r="D351" s="123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26"/>
      <c r="V351" s="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25"/>
      <c r="AG351" s="13"/>
      <c r="AL351" s="116"/>
      <c r="AM351" s="123"/>
      <c r="AN351" s="123"/>
      <c r="AO351" s="123"/>
      <c r="AT351" s="115"/>
      <c r="AU351" s="115"/>
      <c r="AV351" s="115"/>
      <c r="AW351" s="115"/>
      <c r="AX351" s="115"/>
      <c r="AY351" s="115"/>
      <c r="AZ351" s="115"/>
      <c r="BA351" s="115"/>
      <c r="BB351" s="115"/>
      <c r="BC351" s="115"/>
      <c r="BD351" s="25"/>
      <c r="BE351" s="13"/>
      <c r="BH351" s="114"/>
    </row>
    <row r="352" spans="1:60" ht="19.5" x14ac:dyDescent="0.4">
      <c r="A352" s="117"/>
      <c r="B352" s="123"/>
      <c r="C352" s="123"/>
      <c r="D352" s="123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26"/>
      <c r="V352" s="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25"/>
      <c r="AG352" s="13"/>
      <c r="AL352" s="116"/>
      <c r="AM352" s="123"/>
      <c r="AN352" s="123"/>
      <c r="AO352" s="123"/>
      <c r="AT352" s="115"/>
      <c r="AU352" s="115"/>
      <c r="AV352" s="115"/>
      <c r="AW352" s="115"/>
      <c r="AX352" s="115"/>
      <c r="AY352" s="115"/>
      <c r="AZ352" s="115"/>
      <c r="BA352" s="115"/>
      <c r="BB352" s="115"/>
      <c r="BC352" s="115"/>
      <c r="BD352" s="25"/>
      <c r="BE352" s="13"/>
      <c r="BH352" s="114"/>
    </row>
    <row r="353" spans="1:60" ht="19.5" x14ac:dyDescent="0.4">
      <c r="A353" s="117"/>
      <c r="B353" s="123"/>
      <c r="C353" s="123"/>
      <c r="D353" s="123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7"/>
      <c r="V353" s="13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25"/>
      <c r="AG353" s="13"/>
      <c r="AL353" s="116"/>
      <c r="AM353" s="123"/>
      <c r="AN353" s="123"/>
      <c r="AO353" s="123"/>
      <c r="AT353" s="115"/>
      <c r="AU353" s="115"/>
      <c r="AV353" s="115"/>
      <c r="AW353" s="115"/>
      <c r="AX353" s="115"/>
      <c r="AY353" s="115"/>
      <c r="AZ353" s="115"/>
      <c r="BA353" s="115"/>
      <c r="BB353" s="115"/>
      <c r="BC353" s="115"/>
      <c r="BD353" s="25"/>
      <c r="BE353" s="13"/>
      <c r="BH353" s="114"/>
    </row>
    <row r="354" spans="1:60" ht="19.5" x14ac:dyDescent="0.4">
      <c r="A354" s="117"/>
      <c r="B354" s="123"/>
      <c r="C354" s="123"/>
      <c r="D354" s="123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7"/>
      <c r="V354" s="13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25"/>
      <c r="AG354" s="13"/>
      <c r="AL354" s="116"/>
      <c r="AM354" s="123"/>
      <c r="AN354" s="123"/>
      <c r="AO354" s="123"/>
      <c r="AT354" s="115"/>
      <c r="AU354" s="115"/>
      <c r="AV354" s="115"/>
      <c r="AW354" s="115"/>
      <c r="AX354" s="115"/>
      <c r="AY354" s="115"/>
      <c r="AZ354" s="115"/>
      <c r="BA354" s="115"/>
      <c r="BB354" s="115"/>
      <c r="BC354" s="115"/>
      <c r="BD354" s="25"/>
      <c r="BE354" s="13"/>
      <c r="BH354" s="114"/>
    </row>
    <row r="355" spans="1:60" ht="19.5" x14ac:dyDescent="0.4">
      <c r="A355" s="117"/>
      <c r="B355" s="123"/>
      <c r="C355" s="123"/>
      <c r="D355" s="123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26"/>
      <c r="V355" s="13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25"/>
      <c r="AG355" s="13"/>
      <c r="AL355" s="116"/>
      <c r="AM355" s="123"/>
      <c r="AN355" s="123"/>
      <c r="AO355" s="123"/>
      <c r="AT355" s="115"/>
      <c r="AU355" s="115"/>
      <c r="AV355" s="115"/>
      <c r="AW355" s="115"/>
      <c r="AX355" s="115"/>
      <c r="AY355" s="115"/>
      <c r="AZ355" s="115"/>
      <c r="BA355" s="115"/>
      <c r="BB355" s="115"/>
      <c r="BC355" s="115"/>
      <c r="BD355" s="25"/>
      <c r="BE355" s="13"/>
      <c r="BH355" s="114"/>
    </row>
    <row r="356" spans="1:60" ht="19.5" x14ac:dyDescent="0.4">
      <c r="A356" s="117"/>
      <c r="B356" s="123"/>
      <c r="C356" s="123"/>
      <c r="D356" s="123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7"/>
      <c r="V356" s="13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25"/>
      <c r="AG356" s="13"/>
      <c r="AL356" s="116"/>
      <c r="AM356" s="123"/>
      <c r="AN356" s="123"/>
      <c r="AO356" s="123"/>
      <c r="AT356" s="115"/>
      <c r="AU356" s="115"/>
      <c r="AV356" s="115"/>
      <c r="AW356" s="115"/>
      <c r="AX356" s="115"/>
      <c r="AY356" s="115"/>
      <c r="AZ356" s="115"/>
      <c r="BA356" s="115"/>
      <c r="BB356" s="115"/>
      <c r="BC356" s="115"/>
      <c r="BD356" s="25"/>
      <c r="BE356" s="13"/>
      <c r="BH356" s="114"/>
    </row>
    <row r="357" spans="1:60" ht="19.5" x14ac:dyDescent="0.4">
      <c r="A357" s="117"/>
      <c r="B357" s="123"/>
      <c r="C357" s="123"/>
      <c r="D357" s="123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26"/>
      <c r="V357" s="13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25"/>
      <c r="AG357" s="13"/>
      <c r="AL357" s="116"/>
      <c r="AM357" s="123"/>
      <c r="AN357" s="123"/>
      <c r="AO357" s="123"/>
      <c r="AT357" s="115"/>
      <c r="AU357" s="115"/>
      <c r="AV357" s="115"/>
      <c r="AW357" s="115"/>
      <c r="AX357" s="115"/>
      <c r="AY357" s="115"/>
      <c r="AZ357" s="115"/>
      <c r="BA357" s="115"/>
      <c r="BB357" s="115"/>
      <c r="BC357" s="115"/>
      <c r="BD357" s="25"/>
      <c r="BE357" s="13"/>
      <c r="BH357" s="114"/>
    </row>
    <row r="358" spans="1:60" ht="19.5" x14ac:dyDescent="0.4">
      <c r="A358" s="117"/>
      <c r="B358" s="123"/>
      <c r="C358" s="123"/>
      <c r="D358" s="123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26"/>
      <c r="V358" s="13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25"/>
      <c r="AG358" s="13"/>
      <c r="AL358" s="116"/>
      <c r="AM358" s="123"/>
      <c r="AN358" s="123"/>
      <c r="AO358" s="123"/>
      <c r="AT358" s="115"/>
      <c r="AU358" s="115"/>
      <c r="AV358" s="115"/>
      <c r="AW358" s="115"/>
      <c r="AX358" s="115"/>
      <c r="AY358" s="115"/>
      <c r="AZ358" s="115"/>
      <c r="BA358" s="115"/>
      <c r="BB358" s="115"/>
      <c r="BC358" s="115"/>
      <c r="BD358" s="25"/>
      <c r="BE358" s="13"/>
      <c r="BH358" s="114"/>
    </row>
    <row r="359" spans="1:60" ht="19.5" x14ac:dyDescent="0.4">
      <c r="A359" s="117"/>
      <c r="B359" s="123"/>
      <c r="C359" s="123"/>
      <c r="D359" s="123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26"/>
      <c r="V359" s="13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25"/>
      <c r="AG359" s="13"/>
      <c r="AL359" s="116"/>
      <c r="AM359" s="123"/>
      <c r="AN359" s="123"/>
      <c r="AO359" s="123"/>
      <c r="AT359" s="115"/>
      <c r="AU359" s="115"/>
      <c r="AV359" s="115"/>
      <c r="AW359" s="115"/>
      <c r="AX359" s="115"/>
      <c r="AY359" s="115"/>
      <c r="AZ359" s="115"/>
      <c r="BA359" s="115"/>
      <c r="BB359" s="115"/>
      <c r="BC359" s="115"/>
      <c r="BD359" s="25"/>
      <c r="BE359" s="13"/>
      <c r="BH359" s="114"/>
    </row>
    <row r="360" spans="1:60" ht="19.5" x14ac:dyDescent="0.4">
      <c r="A360" s="117"/>
      <c r="B360" s="123"/>
      <c r="C360" s="123"/>
      <c r="D360" s="123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26"/>
      <c r="V360" s="13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25"/>
      <c r="AG360" s="13"/>
      <c r="AL360" s="116"/>
      <c r="AM360" s="123"/>
      <c r="AN360" s="123"/>
      <c r="AO360" s="123"/>
      <c r="AT360" s="115"/>
      <c r="AU360" s="115"/>
      <c r="AV360" s="115"/>
      <c r="AW360" s="115"/>
      <c r="AX360" s="115"/>
      <c r="AY360" s="115"/>
      <c r="AZ360" s="115"/>
      <c r="BA360" s="115"/>
      <c r="BB360" s="115"/>
      <c r="BC360" s="115"/>
      <c r="BD360" s="25"/>
      <c r="BE360" s="13"/>
      <c r="BH360" s="114"/>
    </row>
    <row r="361" spans="1:60" ht="19.5" x14ac:dyDescent="0.4">
      <c r="A361" s="117"/>
      <c r="B361" s="123"/>
      <c r="C361" s="123"/>
      <c r="D361" s="123"/>
      <c r="U361" s="26"/>
      <c r="V361" s="13"/>
      <c r="AF361" s="25">
        <v>45679</v>
      </c>
      <c r="AG361" s="13" t="s">
        <v>147</v>
      </c>
      <c r="AL361" s="116"/>
      <c r="AM361" s="123"/>
      <c r="AN361" s="123"/>
      <c r="AO361" s="123"/>
      <c r="AT361" s="115"/>
      <c r="AU361" s="115"/>
      <c r="AV361" s="115"/>
      <c r="AW361" s="115"/>
      <c r="AX361" s="115"/>
      <c r="AY361" s="115"/>
      <c r="AZ361" s="115"/>
      <c r="BA361" s="115"/>
      <c r="BB361" s="115"/>
      <c r="BC361" s="115"/>
      <c r="BD361" s="25"/>
      <c r="BE361" s="13"/>
      <c r="BH361" s="114"/>
    </row>
    <row r="362" spans="1:60" ht="19.5" x14ac:dyDescent="0.4">
      <c r="A362" s="117"/>
      <c r="B362" s="123"/>
      <c r="C362" s="123"/>
      <c r="D362" s="123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26"/>
      <c r="V362" s="13"/>
      <c r="AF362" s="25"/>
      <c r="AG362" s="13"/>
      <c r="AL362" s="116"/>
      <c r="AM362" s="123"/>
      <c r="AN362" s="123"/>
      <c r="AO362" s="123"/>
      <c r="AT362" s="115"/>
      <c r="AU362" s="115"/>
      <c r="AV362" s="115"/>
      <c r="AW362" s="115"/>
      <c r="AX362" s="115"/>
      <c r="AY362" s="115"/>
      <c r="AZ362" s="115"/>
      <c r="BA362" s="115"/>
      <c r="BB362" s="115"/>
      <c r="BC362" s="115"/>
      <c r="BD362" s="25"/>
      <c r="BE362" s="13"/>
      <c r="BH362" s="114"/>
    </row>
    <row r="363" spans="1:60" ht="19.5" x14ac:dyDescent="0.4">
      <c r="A363" s="117"/>
      <c r="B363" s="123"/>
      <c r="C363" s="123"/>
      <c r="D363" s="123"/>
      <c r="U363" s="26"/>
      <c r="V363" s="13"/>
      <c r="AF363" s="25"/>
      <c r="AG363" s="13"/>
      <c r="AL363" s="116"/>
      <c r="AM363" s="123"/>
      <c r="AN363" s="123"/>
      <c r="AO363" s="123"/>
      <c r="AT363" s="115"/>
      <c r="AU363" s="115"/>
      <c r="AV363" s="115"/>
      <c r="AW363" s="115"/>
      <c r="AX363" s="115"/>
      <c r="AY363" s="115"/>
      <c r="AZ363" s="115"/>
      <c r="BA363" s="115"/>
      <c r="BB363" s="115"/>
      <c r="BC363" s="115"/>
      <c r="BD363" s="25"/>
      <c r="BE363" s="13"/>
      <c r="BH363" s="114"/>
    </row>
    <row r="364" spans="1:60" ht="19.5" x14ac:dyDescent="0.4">
      <c r="A364" s="117"/>
      <c r="B364" s="123"/>
      <c r="C364" s="123"/>
      <c r="D364" s="123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26"/>
      <c r="V364" s="13"/>
      <c r="AF364" s="25"/>
      <c r="AG364" s="13"/>
      <c r="AL364" s="116"/>
      <c r="AM364" s="123"/>
      <c r="AN364" s="123"/>
      <c r="AO364" s="123"/>
      <c r="AT364" s="115"/>
      <c r="AU364" s="115"/>
      <c r="AV364" s="115"/>
      <c r="AW364" s="115"/>
      <c r="AX364" s="115"/>
      <c r="AY364" s="115"/>
      <c r="AZ364" s="115"/>
      <c r="BA364" s="115"/>
      <c r="BB364" s="115"/>
      <c r="BC364" s="115"/>
      <c r="BD364" s="25"/>
      <c r="BE364" s="13"/>
      <c r="BH364" s="114"/>
    </row>
    <row r="365" spans="1:60" ht="19.5" x14ac:dyDescent="0.4">
      <c r="A365" s="117"/>
      <c r="B365" s="123"/>
      <c r="C365" s="123"/>
      <c r="D365" s="123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7"/>
      <c r="V365" s="13"/>
      <c r="AF365" s="25"/>
      <c r="AG365" s="13"/>
      <c r="AL365" s="116"/>
      <c r="AM365" s="123"/>
      <c r="AN365" s="123"/>
      <c r="AO365" s="123"/>
      <c r="AT365" s="115"/>
      <c r="AU365" s="115"/>
      <c r="AV365" s="115"/>
      <c r="AW365" s="115"/>
      <c r="AX365" s="115"/>
      <c r="AY365" s="115"/>
      <c r="AZ365" s="115"/>
      <c r="BA365" s="115"/>
      <c r="BB365" s="115"/>
      <c r="BC365" s="115"/>
      <c r="BD365" s="25"/>
      <c r="BE365" s="13"/>
      <c r="BH365" s="114"/>
    </row>
    <row r="366" spans="1:60" ht="19.5" x14ac:dyDescent="0.4">
      <c r="A366" s="117"/>
      <c r="B366" s="123"/>
      <c r="C366" s="123"/>
      <c r="D366" s="123"/>
      <c r="U366" s="26"/>
      <c r="V366" s="13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25">
        <v>45679</v>
      </c>
      <c r="AG366" s="13" t="s">
        <v>146</v>
      </c>
      <c r="AL366" s="116"/>
      <c r="AM366" s="123"/>
      <c r="AN366" s="123"/>
      <c r="AO366" s="123"/>
      <c r="AT366" s="115"/>
      <c r="AU366" s="115"/>
      <c r="AV366" s="115"/>
      <c r="AW366" s="115"/>
      <c r="AX366" s="115"/>
      <c r="AY366" s="115"/>
      <c r="AZ366" s="115"/>
      <c r="BA366" s="115"/>
      <c r="BB366" s="115"/>
      <c r="BC366" s="115"/>
      <c r="BD366" s="25"/>
      <c r="BE366" s="13"/>
      <c r="BH366" s="114"/>
    </row>
    <row r="367" spans="1:60" ht="19.5" x14ac:dyDescent="0.4">
      <c r="A367" s="117"/>
      <c r="B367" s="123"/>
      <c r="C367" s="123"/>
      <c r="D367" s="123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26"/>
      <c r="V367" s="13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25"/>
      <c r="AG367" s="13"/>
      <c r="AL367" s="116"/>
      <c r="AM367" s="123"/>
      <c r="AN367" s="123"/>
      <c r="AO367" s="123"/>
      <c r="AT367" s="115"/>
      <c r="AU367" s="115"/>
      <c r="AV367" s="115"/>
      <c r="AW367" s="115"/>
      <c r="AX367" s="115"/>
      <c r="AY367" s="115"/>
      <c r="AZ367" s="115"/>
      <c r="BA367" s="115"/>
      <c r="BB367" s="115"/>
      <c r="BC367" s="115"/>
      <c r="BD367" s="25"/>
      <c r="BE367" s="13"/>
      <c r="BH367" s="114"/>
    </row>
    <row r="368" spans="1:60" ht="19.5" x14ac:dyDescent="0.4">
      <c r="A368" s="117"/>
      <c r="B368" s="123"/>
      <c r="C368" s="123"/>
      <c r="D368" s="123"/>
      <c r="U368" s="26"/>
      <c r="V368" s="13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25"/>
      <c r="AG368" s="13"/>
      <c r="AL368" s="116"/>
      <c r="AM368" s="123"/>
      <c r="AN368" s="123"/>
      <c r="AO368" s="123"/>
      <c r="AT368" s="115"/>
      <c r="AU368" s="115"/>
      <c r="AV368" s="115"/>
      <c r="AW368" s="115"/>
      <c r="AX368" s="115"/>
      <c r="AY368" s="115"/>
      <c r="AZ368" s="115"/>
      <c r="BA368" s="115"/>
      <c r="BB368" s="115"/>
      <c r="BC368" s="115"/>
      <c r="BD368" s="25"/>
      <c r="BE368" s="13"/>
      <c r="BH368" s="114"/>
    </row>
    <row r="369" spans="1:60" ht="19.5" x14ac:dyDescent="0.4">
      <c r="A369" s="117"/>
      <c r="B369" s="123"/>
      <c r="C369" s="123"/>
      <c r="D369" s="123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26"/>
      <c r="V369" s="13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25"/>
      <c r="AG369" s="13"/>
      <c r="AL369" s="116"/>
      <c r="AM369" s="123"/>
      <c r="AN369" s="123"/>
      <c r="AO369" s="123"/>
      <c r="AT369" s="115"/>
      <c r="AU369" s="115"/>
      <c r="AV369" s="115"/>
      <c r="AW369" s="115"/>
      <c r="AX369" s="115"/>
      <c r="AY369" s="115"/>
      <c r="AZ369" s="115"/>
      <c r="BA369" s="115"/>
      <c r="BB369" s="115"/>
      <c r="BC369" s="115"/>
      <c r="BD369" s="25"/>
      <c r="BE369" s="13"/>
      <c r="BH369" s="114"/>
    </row>
    <row r="370" spans="1:60" ht="19.5" x14ac:dyDescent="0.4">
      <c r="A370" s="117"/>
      <c r="B370" s="123"/>
      <c r="C370" s="123"/>
      <c r="D370" s="123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26"/>
      <c r="V370" s="13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25"/>
      <c r="AG370" s="13"/>
      <c r="AL370" s="116"/>
      <c r="AM370" s="123"/>
      <c r="AN370" s="123"/>
      <c r="AO370" s="123"/>
      <c r="AT370" s="115"/>
      <c r="AU370" s="115"/>
      <c r="AV370" s="115"/>
      <c r="AW370" s="115"/>
      <c r="AX370" s="115"/>
      <c r="AY370" s="115"/>
      <c r="AZ370" s="115"/>
      <c r="BA370" s="115"/>
      <c r="BB370" s="115"/>
      <c r="BC370" s="115"/>
      <c r="BD370" s="25"/>
      <c r="BE370" s="13"/>
      <c r="BH370" s="114"/>
    </row>
    <row r="371" spans="1:60" ht="19.5" x14ac:dyDescent="0.4">
      <c r="A371" s="117"/>
      <c r="B371" s="123"/>
      <c r="C371" s="123"/>
      <c r="D371" s="123"/>
      <c r="U371" s="26"/>
      <c r="V371" s="13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25">
        <v>45679</v>
      </c>
      <c r="AG371" s="13" t="s">
        <v>147</v>
      </c>
      <c r="AL371" s="116"/>
      <c r="AM371" s="123"/>
      <c r="AN371" s="123"/>
      <c r="AO371" s="123"/>
      <c r="AT371" s="115"/>
      <c r="AU371" s="115"/>
      <c r="AV371" s="115"/>
      <c r="AW371" s="115"/>
      <c r="AX371" s="115"/>
      <c r="AY371" s="115"/>
      <c r="AZ371" s="115"/>
      <c r="BA371" s="115"/>
      <c r="BB371" s="115"/>
      <c r="BC371" s="115"/>
      <c r="BD371" s="25"/>
      <c r="BE371" s="13"/>
      <c r="BH371" s="114"/>
    </row>
    <row r="372" spans="1:60" ht="19.5" x14ac:dyDescent="0.4">
      <c r="A372" s="117"/>
      <c r="B372" s="123"/>
      <c r="C372" s="123"/>
      <c r="D372" s="123"/>
      <c r="U372" s="26"/>
      <c r="V372" s="13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25">
        <v>45680</v>
      </c>
      <c r="AG372" s="13" t="s">
        <v>148</v>
      </c>
      <c r="AL372" s="116"/>
      <c r="AM372" s="123"/>
      <c r="AN372" s="123"/>
      <c r="AO372" s="123"/>
      <c r="AT372" s="115"/>
      <c r="AU372" s="115"/>
      <c r="AV372" s="115"/>
      <c r="AW372" s="115"/>
      <c r="AX372" s="115"/>
      <c r="AY372" s="115"/>
      <c r="AZ372" s="115"/>
      <c r="BA372" s="115"/>
      <c r="BB372" s="115"/>
      <c r="BC372" s="115"/>
      <c r="BD372" s="25"/>
      <c r="BE372" s="13"/>
      <c r="BH372" s="114"/>
    </row>
    <row r="373" spans="1:60" ht="19.5" x14ac:dyDescent="0.4">
      <c r="A373" s="117"/>
      <c r="B373" s="123"/>
      <c r="C373" s="123"/>
      <c r="D373" s="123"/>
      <c r="M373" s="115"/>
      <c r="N373" s="115"/>
      <c r="O373" s="115"/>
      <c r="P373" s="115"/>
      <c r="Q373" s="115"/>
      <c r="R373" s="115"/>
      <c r="S373" s="115"/>
      <c r="T373" s="115"/>
      <c r="U373" s="17"/>
      <c r="V373" s="13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25"/>
      <c r="AG373" s="13"/>
      <c r="AL373" s="116"/>
      <c r="AM373" s="123"/>
      <c r="AN373" s="123"/>
      <c r="AO373" s="123"/>
      <c r="AT373" s="115"/>
      <c r="AU373" s="115"/>
      <c r="AV373" s="115"/>
      <c r="AW373" s="115"/>
      <c r="AX373" s="115"/>
      <c r="AY373" s="115"/>
      <c r="AZ373" s="115"/>
      <c r="BA373" s="115"/>
      <c r="BB373" s="115"/>
      <c r="BC373" s="115"/>
      <c r="BD373" s="25"/>
      <c r="BE373" s="13"/>
      <c r="BH373" s="114"/>
    </row>
    <row r="374" spans="1:60" ht="19.5" x14ac:dyDescent="0.4">
      <c r="A374" s="117"/>
      <c r="B374" s="123"/>
      <c r="C374" s="123"/>
      <c r="D374" s="123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26"/>
      <c r="V374" s="13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25"/>
      <c r="AG374" s="13"/>
      <c r="AL374" s="116"/>
      <c r="AM374" s="123"/>
      <c r="AN374" s="123"/>
      <c r="AO374" s="123"/>
      <c r="AT374" s="115"/>
      <c r="AU374" s="115"/>
      <c r="AV374" s="115"/>
      <c r="AW374" s="115"/>
      <c r="AX374" s="115"/>
      <c r="AY374" s="115"/>
      <c r="AZ374" s="115"/>
      <c r="BA374" s="115"/>
      <c r="BB374" s="115"/>
      <c r="BC374" s="115"/>
      <c r="BD374" s="25"/>
      <c r="BE374" s="13"/>
      <c r="BH374" s="114"/>
    </row>
    <row r="375" spans="1:60" ht="19.5" x14ac:dyDescent="0.4">
      <c r="A375" s="117"/>
      <c r="B375" s="123"/>
      <c r="C375" s="123"/>
      <c r="D375" s="123"/>
      <c r="U375" s="26"/>
      <c r="V375" s="13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25">
        <v>45680</v>
      </c>
      <c r="AG375" s="13" t="s">
        <v>147</v>
      </c>
      <c r="AL375" s="116"/>
      <c r="AM375" s="123"/>
      <c r="AN375" s="123"/>
      <c r="AO375" s="123"/>
      <c r="AT375" s="115"/>
      <c r="AU375" s="115"/>
      <c r="AV375" s="115"/>
      <c r="AW375" s="115"/>
      <c r="AX375" s="115"/>
      <c r="AY375" s="115"/>
      <c r="AZ375" s="115"/>
      <c r="BA375" s="115"/>
      <c r="BB375" s="115"/>
      <c r="BC375" s="115"/>
      <c r="BD375" s="25"/>
      <c r="BE375" s="13"/>
      <c r="BH375" s="114"/>
    </row>
    <row r="376" spans="1:60" ht="19.5" x14ac:dyDescent="0.4">
      <c r="A376" s="117"/>
      <c r="B376" s="123"/>
      <c r="C376" s="123"/>
      <c r="D376" s="123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26"/>
      <c r="V376" s="13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25"/>
      <c r="AG376" s="13"/>
      <c r="AL376" s="116"/>
      <c r="AM376" s="123"/>
      <c r="AN376" s="123"/>
      <c r="AO376" s="123"/>
      <c r="AT376" s="115"/>
      <c r="AU376" s="115"/>
      <c r="AV376" s="115"/>
      <c r="AW376" s="115"/>
      <c r="AX376" s="115"/>
      <c r="AY376" s="115"/>
      <c r="AZ376" s="115"/>
      <c r="BA376" s="115"/>
      <c r="BB376" s="115"/>
      <c r="BC376" s="115"/>
      <c r="BD376" s="25"/>
      <c r="BE376" s="13"/>
      <c r="BH376" s="114"/>
    </row>
    <row r="377" spans="1:60" ht="19.5" x14ac:dyDescent="0.4">
      <c r="A377" s="117"/>
      <c r="B377" s="123"/>
      <c r="C377" s="123"/>
      <c r="D377" s="123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26"/>
      <c r="V377" s="13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25"/>
      <c r="AG377" s="13"/>
      <c r="AL377" s="116"/>
      <c r="AM377" s="123"/>
      <c r="AN377" s="123"/>
      <c r="AO377" s="123"/>
      <c r="AT377" s="115"/>
      <c r="AU377" s="115"/>
      <c r="AV377" s="115"/>
      <c r="AW377" s="115"/>
      <c r="AX377" s="115"/>
      <c r="AY377" s="115"/>
      <c r="AZ377" s="115"/>
      <c r="BA377" s="115"/>
      <c r="BB377" s="115"/>
      <c r="BC377" s="115"/>
      <c r="BD377" s="25"/>
      <c r="BE377" s="13"/>
      <c r="BH377" s="114"/>
    </row>
    <row r="378" spans="1:60" ht="19.5" x14ac:dyDescent="0.4">
      <c r="A378" s="117"/>
      <c r="B378" s="123"/>
      <c r="C378" s="123"/>
      <c r="D378" s="123"/>
      <c r="U378" s="26"/>
      <c r="V378" s="13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25">
        <v>45680</v>
      </c>
      <c r="AG378" s="13" t="s">
        <v>147</v>
      </c>
      <c r="AL378" s="116"/>
      <c r="AM378" s="123"/>
      <c r="AN378" s="123"/>
      <c r="AO378" s="123"/>
      <c r="AT378" s="115"/>
      <c r="AU378" s="115"/>
      <c r="AV378" s="115"/>
      <c r="AW378" s="115"/>
      <c r="AX378" s="115"/>
      <c r="AY378" s="115"/>
      <c r="AZ378" s="115"/>
      <c r="BA378" s="115"/>
      <c r="BB378" s="115"/>
      <c r="BC378" s="115"/>
      <c r="BD378" s="25"/>
      <c r="BE378" s="13"/>
      <c r="BH378" s="114"/>
    </row>
    <row r="379" spans="1:60" ht="19.5" x14ac:dyDescent="0.4">
      <c r="A379" s="117"/>
      <c r="B379" s="123"/>
      <c r="C379" s="123"/>
      <c r="D379" s="123"/>
      <c r="U379" s="26"/>
      <c r="V379" s="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25"/>
      <c r="AG379" s="13"/>
      <c r="AL379" s="116"/>
      <c r="AM379" s="123"/>
      <c r="AN379" s="123"/>
      <c r="AO379" s="123"/>
      <c r="AT379" s="115"/>
      <c r="AU379" s="115"/>
      <c r="AV379" s="115"/>
      <c r="AW379" s="115"/>
      <c r="AX379" s="115"/>
      <c r="AY379" s="115"/>
      <c r="AZ379" s="115"/>
      <c r="BA379" s="115"/>
      <c r="BB379" s="115"/>
      <c r="BC379" s="115"/>
      <c r="BD379" s="25"/>
      <c r="BE379" s="13"/>
      <c r="BH379" s="114"/>
    </row>
    <row r="380" spans="1:60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26"/>
      <c r="V380" s="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25"/>
      <c r="AG380" s="13"/>
      <c r="AL380" s="116"/>
      <c r="AM380" s="123"/>
      <c r="AN380" s="123"/>
      <c r="AO380" s="123"/>
      <c r="AT380" s="115"/>
      <c r="AU380" s="115"/>
      <c r="AV380" s="115"/>
      <c r="AW380" s="115"/>
      <c r="AX380" s="115"/>
      <c r="AY380" s="115"/>
      <c r="AZ380" s="115"/>
      <c r="BA380" s="115"/>
      <c r="BB380" s="115"/>
      <c r="BC380" s="115"/>
      <c r="BD380" s="25"/>
      <c r="BE380" s="13"/>
      <c r="BH380" s="114"/>
    </row>
    <row r="381" spans="1:60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26"/>
      <c r="V381" s="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25"/>
      <c r="AG381" s="13"/>
      <c r="AL381" s="116"/>
      <c r="AM381" s="123"/>
      <c r="AN381" s="123"/>
      <c r="AO381" s="123"/>
      <c r="AT381" s="115"/>
      <c r="AU381" s="115"/>
      <c r="AV381" s="115"/>
      <c r="AW381" s="115"/>
      <c r="AX381" s="115"/>
      <c r="AY381" s="115"/>
      <c r="AZ381" s="115"/>
      <c r="BA381" s="115"/>
      <c r="BB381" s="115"/>
      <c r="BC381" s="115"/>
      <c r="BD381" s="25"/>
      <c r="BE381" s="13"/>
      <c r="BH381" s="114"/>
    </row>
    <row r="382" spans="1:60" ht="19.5" x14ac:dyDescent="0.4">
      <c r="A382" s="117"/>
      <c r="B382" s="123"/>
      <c r="C382" s="123"/>
      <c r="D382" s="123"/>
      <c r="U382" s="26"/>
      <c r="V382" s="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25">
        <v>45680</v>
      </c>
      <c r="AG382" s="13" t="s">
        <v>146</v>
      </c>
      <c r="AL382" s="116"/>
      <c r="AM382" s="123"/>
      <c r="AN382" s="123"/>
      <c r="AO382" s="123"/>
      <c r="AT382" s="115"/>
      <c r="AU382" s="115"/>
      <c r="AV382" s="115"/>
      <c r="AW382" s="115"/>
      <c r="AX382" s="115"/>
      <c r="AY382" s="115"/>
      <c r="AZ382" s="115"/>
      <c r="BA382" s="115"/>
      <c r="BB382" s="115"/>
      <c r="BC382" s="115"/>
      <c r="BD382" s="25"/>
      <c r="BE382" s="13"/>
      <c r="BH382" s="114"/>
    </row>
    <row r="383" spans="1:60" ht="19.5" x14ac:dyDescent="0.4">
      <c r="A383" s="117"/>
      <c r="B383" s="123"/>
      <c r="C383" s="123"/>
      <c r="D383" s="123"/>
      <c r="U383" s="26"/>
      <c r="V383" s="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25">
        <v>45680</v>
      </c>
      <c r="AG383" s="13" t="s">
        <v>146</v>
      </c>
      <c r="AL383" s="116"/>
      <c r="AM383" s="123"/>
      <c r="AN383" s="123"/>
      <c r="AO383" s="123"/>
      <c r="AT383" s="115"/>
      <c r="AU383" s="115"/>
      <c r="AV383" s="115"/>
      <c r="AW383" s="115"/>
      <c r="AX383" s="115"/>
      <c r="AY383" s="115"/>
      <c r="AZ383" s="115"/>
      <c r="BA383" s="115"/>
      <c r="BB383" s="115"/>
      <c r="BC383" s="115"/>
      <c r="BD383" s="25"/>
      <c r="BE383" s="13"/>
      <c r="BH383" s="114"/>
    </row>
    <row r="384" spans="1:60" ht="19.5" x14ac:dyDescent="0.4">
      <c r="A384" s="117"/>
      <c r="B384" s="123"/>
      <c r="C384" s="123"/>
      <c r="D384" s="123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26"/>
      <c r="V384" s="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25">
        <v>45680</v>
      </c>
      <c r="AG384" s="13" t="s">
        <v>147</v>
      </c>
      <c r="AL384" s="116"/>
      <c r="AM384" s="123"/>
      <c r="AN384" s="123"/>
      <c r="AO384" s="123"/>
      <c r="AT384" s="115"/>
      <c r="AU384" s="115"/>
      <c r="AV384" s="115"/>
      <c r="AW384" s="115"/>
      <c r="AX384" s="115"/>
      <c r="AY384" s="115"/>
      <c r="AZ384" s="115"/>
      <c r="BA384" s="115"/>
      <c r="BB384" s="115"/>
      <c r="BC384" s="115"/>
      <c r="BD384" s="25"/>
      <c r="BE384" s="13"/>
      <c r="BH384" s="114"/>
    </row>
    <row r="385" spans="1:60" ht="19.5" x14ac:dyDescent="0.4">
      <c r="A385" s="117"/>
      <c r="B385" s="123"/>
      <c r="C385" s="123"/>
      <c r="D385" s="123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26"/>
      <c r="V385" s="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25"/>
      <c r="AG385" s="13"/>
      <c r="AL385" s="116"/>
      <c r="AM385" s="123"/>
      <c r="AN385" s="123"/>
      <c r="AO385" s="123"/>
      <c r="AT385" s="115"/>
      <c r="AU385" s="115"/>
      <c r="AV385" s="115"/>
      <c r="AW385" s="115"/>
      <c r="AX385" s="115"/>
      <c r="AY385" s="115"/>
      <c r="AZ385" s="115"/>
      <c r="BA385" s="115"/>
      <c r="BB385" s="115"/>
      <c r="BC385" s="115"/>
      <c r="BD385" s="25"/>
      <c r="BE385" s="13"/>
      <c r="BH385" s="114"/>
    </row>
    <row r="386" spans="1:60" ht="19.5" x14ac:dyDescent="0.4">
      <c r="A386" s="117"/>
      <c r="B386" s="123"/>
      <c r="C386" s="123"/>
      <c r="D386" s="123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7"/>
      <c r="V386" s="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25"/>
      <c r="AG386" s="13"/>
      <c r="AL386" s="116"/>
      <c r="AM386" s="123"/>
      <c r="AN386" s="123"/>
      <c r="AO386" s="123"/>
      <c r="AT386" s="115"/>
      <c r="AU386" s="115"/>
      <c r="AV386" s="115"/>
      <c r="AW386" s="115"/>
      <c r="AX386" s="115"/>
      <c r="AY386" s="115"/>
      <c r="AZ386" s="115"/>
      <c r="BA386" s="115"/>
      <c r="BB386" s="115"/>
      <c r="BC386" s="115"/>
      <c r="BD386" s="25"/>
      <c r="BE386" s="13"/>
      <c r="BH386" s="114"/>
    </row>
    <row r="387" spans="1:60" ht="19.5" x14ac:dyDescent="0.4">
      <c r="A387" s="117"/>
      <c r="B387" s="123"/>
      <c r="C387" s="123"/>
      <c r="D387" s="123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26"/>
      <c r="V387" s="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25"/>
      <c r="AG387" s="13"/>
      <c r="AL387" s="116"/>
      <c r="AM387" s="123"/>
      <c r="AN387" s="123"/>
      <c r="AO387" s="123"/>
      <c r="AT387" s="115"/>
      <c r="AU387" s="115"/>
      <c r="AV387" s="115"/>
      <c r="AW387" s="115"/>
      <c r="AX387" s="115"/>
      <c r="AY387" s="115"/>
      <c r="AZ387" s="115"/>
      <c r="BA387" s="115"/>
      <c r="BB387" s="115"/>
      <c r="BC387" s="115"/>
      <c r="BD387" s="25"/>
      <c r="BE387" s="13"/>
      <c r="BH387" s="114"/>
    </row>
    <row r="388" spans="1:60" ht="19.5" x14ac:dyDescent="0.4">
      <c r="A388" s="117"/>
      <c r="B388" s="123"/>
      <c r="C388" s="123"/>
      <c r="D388" s="123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7"/>
      <c r="V388" s="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25"/>
      <c r="AG388" s="13"/>
      <c r="AL388" s="116"/>
      <c r="AM388" s="123"/>
      <c r="AN388" s="123"/>
      <c r="AO388" s="123"/>
      <c r="AT388" s="115"/>
      <c r="AU388" s="115"/>
      <c r="AV388" s="115"/>
      <c r="AW388" s="115"/>
      <c r="AX388" s="115"/>
      <c r="AY388" s="115"/>
      <c r="AZ388" s="115"/>
      <c r="BA388" s="115"/>
      <c r="BB388" s="115"/>
      <c r="BC388" s="115"/>
      <c r="BD388" s="25"/>
      <c r="BE388" s="13"/>
      <c r="BH388" s="114"/>
    </row>
    <row r="389" spans="1:60" ht="19.5" x14ac:dyDescent="0.4">
      <c r="A389" s="117"/>
      <c r="B389" s="123"/>
      <c r="C389" s="123"/>
      <c r="D389" s="123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26"/>
      <c r="V389" s="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25">
        <v>45680</v>
      </c>
      <c r="AG389" s="15" t="s">
        <v>142</v>
      </c>
      <c r="AL389" s="116"/>
      <c r="AM389" s="123"/>
      <c r="AN389" s="123"/>
      <c r="AO389" s="123"/>
      <c r="AT389" s="115"/>
      <c r="AU389" s="115"/>
      <c r="AV389" s="115"/>
      <c r="AW389" s="115"/>
      <c r="AX389" s="115"/>
      <c r="AY389" s="115"/>
      <c r="AZ389" s="115"/>
      <c r="BA389" s="115"/>
      <c r="BB389" s="115"/>
      <c r="BC389" s="115"/>
      <c r="BD389" s="25"/>
      <c r="BE389" s="13"/>
      <c r="BH389" s="114"/>
    </row>
    <row r="390" spans="1:60" ht="19.5" x14ac:dyDescent="0.4">
      <c r="A390" s="117"/>
      <c r="B390" s="123"/>
      <c r="C390" s="123"/>
      <c r="D390" s="123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7"/>
      <c r="V390" s="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25"/>
      <c r="AG390" s="15"/>
      <c r="AL390" s="116"/>
      <c r="AM390" s="123"/>
      <c r="AN390" s="123"/>
      <c r="AO390" s="123"/>
      <c r="AT390" s="115"/>
      <c r="AU390" s="115"/>
      <c r="AV390" s="115"/>
      <c r="AW390" s="115"/>
      <c r="AX390" s="115"/>
      <c r="AY390" s="115"/>
      <c r="AZ390" s="115"/>
      <c r="BA390" s="115"/>
      <c r="BB390" s="115"/>
      <c r="BC390" s="115"/>
      <c r="BD390" s="25"/>
      <c r="BE390" s="13"/>
      <c r="BH390" s="114"/>
    </row>
    <row r="391" spans="1:60" ht="19.5" x14ac:dyDescent="0.4">
      <c r="A391" s="117"/>
      <c r="B391" s="123"/>
      <c r="C391" s="123"/>
      <c r="D391" s="123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26"/>
      <c r="V391" s="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25"/>
      <c r="AG391" s="15"/>
      <c r="AL391" s="116"/>
      <c r="AM391" s="123"/>
      <c r="AN391" s="123"/>
      <c r="AO391" s="123"/>
      <c r="AT391" s="115"/>
      <c r="AU391" s="115"/>
      <c r="AV391" s="115"/>
      <c r="AW391" s="115"/>
      <c r="AX391" s="115"/>
      <c r="AY391" s="115"/>
      <c r="AZ391" s="115"/>
      <c r="BA391" s="115"/>
      <c r="BB391" s="115"/>
      <c r="BC391" s="115"/>
      <c r="BD391" s="25"/>
      <c r="BE391" s="13"/>
      <c r="BH391" s="114"/>
    </row>
    <row r="392" spans="1:60" ht="19.5" x14ac:dyDescent="0.4">
      <c r="A392" s="117"/>
      <c r="B392" s="123"/>
      <c r="C392" s="123"/>
      <c r="D392" s="123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26"/>
      <c r="V392" s="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25">
        <v>45680</v>
      </c>
      <c r="AG392" s="15" t="s">
        <v>146</v>
      </c>
      <c r="AL392" s="116"/>
      <c r="AM392" s="123"/>
      <c r="AN392" s="123"/>
      <c r="AO392" s="123"/>
      <c r="AT392" s="115"/>
      <c r="AU392" s="115"/>
      <c r="AV392" s="115"/>
      <c r="AW392" s="115"/>
      <c r="AX392" s="115"/>
      <c r="AY392" s="115"/>
      <c r="AZ392" s="115"/>
      <c r="BA392" s="115"/>
      <c r="BB392" s="115"/>
      <c r="BC392" s="115"/>
      <c r="BD392" s="25"/>
      <c r="BE392" s="13"/>
      <c r="BH392" s="114"/>
    </row>
    <row r="393" spans="1:60" ht="19.5" x14ac:dyDescent="0.4">
      <c r="A393" s="117"/>
      <c r="B393" s="123"/>
      <c r="C393" s="123"/>
      <c r="D393" s="123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26"/>
      <c r="V393" s="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25"/>
      <c r="AG393" s="15"/>
      <c r="AL393" s="116"/>
      <c r="AM393" s="123"/>
      <c r="AN393" s="123"/>
      <c r="AO393" s="123"/>
      <c r="AT393" s="115"/>
      <c r="AU393" s="115"/>
      <c r="AV393" s="115"/>
      <c r="AW393" s="115"/>
      <c r="AX393" s="115"/>
      <c r="AY393" s="115"/>
      <c r="AZ393" s="115"/>
      <c r="BA393" s="115"/>
      <c r="BB393" s="115"/>
      <c r="BC393" s="115"/>
      <c r="BD393" s="25"/>
      <c r="BE393" s="13"/>
      <c r="BH393" s="114"/>
    </row>
    <row r="394" spans="1:60" ht="19.5" x14ac:dyDescent="0.4">
      <c r="A394" s="117"/>
      <c r="B394" s="123"/>
      <c r="C394" s="123"/>
      <c r="D394" s="123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26"/>
      <c r="V394" s="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25">
        <v>45680</v>
      </c>
      <c r="AG394" s="15" t="s">
        <v>146</v>
      </c>
      <c r="AL394" s="116"/>
      <c r="AM394" s="123"/>
      <c r="AN394" s="123"/>
      <c r="AO394" s="123"/>
      <c r="AT394" s="115"/>
      <c r="AU394" s="115"/>
      <c r="AV394" s="115"/>
      <c r="AW394" s="115"/>
      <c r="AX394" s="115"/>
      <c r="AY394" s="115"/>
      <c r="AZ394" s="115"/>
      <c r="BA394" s="115"/>
      <c r="BB394" s="115"/>
      <c r="BC394" s="115"/>
      <c r="BD394" s="25"/>
      <c r="BE394" s="13"/>
      <c r="BH394" s="114"/>
    </row>
    <row r="395" spans="1:60" ht="19.5" x14ac:dyDescent="0.4">
      <c r="A395" s="117"/>
      <c r="B395" s="123"/>
      <c r="C395" s="123"/>
      <c r="D395" s="123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26"/>
      <c r="V395" s="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25"/>
      <c r="AG395" s="15"/>
      <c r="AL395" s="116"/>
      <c r="AM395" s="123"/>
      <c r="AN395" s="123"/>
      <c r="AO395" s="123"/>
      <c r="AT395" s="115"/>
      <c r="AU395" s="115"/>
      <c r="AV395" s="115"/>
      <c r="AW395" s="115"/>
      <c r="AX395" s="115"/>
      <c r="AY395" s="115"/>
      <c r="AZ395" s="115"/>
      <c r="BA395" s="115"/>
      <c r="BB395" s="115"/>
      <c r="BC395" s="115"/>
      <c r="BD395" s="25"/>
      <c r="BE395" s="13"/>
      <c r="BH395" s="114"/>
    </row>
    <row r="396" spans="1:60" ht="19.5" x14ac:dyDescent="0.4">
      <c r="A396" s="117"/>
      <c r="B396" s="123"/>
      <c r="C396" s="123"/>
      <c r="D396" s="123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26"/>
      <c r="V396" s="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25"/>
      <c r="AG396" s="15"/>
      <c r="AL396" s="116"/>
      <c r="AM396" s="123"/>
      <c r="AN396" s="123"/>
      <c r="AO396" s="123"/>
      <c r="AT396" s="115"/>
      <c r="AU396" s="115"/>
      <c r="AV396" s="115"/>
      <c r="AW396" s="115"/>
      <c r="AX396" s="115"/>
      <c r="AY396" s="115"/>
      <c r="AZ396" s="115"/>
      <c r="BA396" s="115"/>
      <c r="BB396" s="115"/>
      <c r="BC396" s="115"/>
      <c r="BD396" s="25"/>
      <c r="BE396" s="13"/>
      <c r="BH396" s="114"/>
    </row>
    <row r="397" spans="1:60" ht="19.5" x14ac:dyDescent="0.4">
      <c r="A397" s="117"/>
      <c r="B397" s="123"/>
      <c r="C397" s="123"/>
      <c r="D397" s="123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26"/>
      <c r="V397" s="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25"/>
      <c r="AG397" s="15"/>
      <c r="AL397" s="116"/>
      <c r="AM397" s="123"/>
      <c r="AN397" s="123"/>
      <c r="AO397" s="123"/>
      <c r="AT397" s="115"/>
      <c r="AU397" s="115"/>
      <c r="AV397" s="115"/>
      <c r="AW397" s="115"/>
      <c r="AX397" s="115"/>
      <c r="AY397" s="115"/>
      <c r="AZ397" s="115"/>
      <c r="BA397" s="115"/>
      <c r="BB397" s="115"/>
      <c r="BC397" s="115"/>
      <c r="BD397" s="25"/>
      <c r="BE397" s="13"/>
      <c r="BH397" s="114"/>
    </row>
    <row r="398" spans="1:60" ht="19.5" x14ac:dyDescent="0.4">
      <c r="A398" s="117"/>
      <c r="B398" s="123"/>
      <c r="C398" s="123"/>
      <c r="D398" s="123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26"/>
      <c r="V398" s="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25">
        <v>45680</v>
      </c>
      <c r="AG398" s="15" t="s">
        <v>146</v>
      </c>
      <c r="AL398" s="116"/>
      <c r="AM398" s="123"/>
      <c r="AN398" s="123"/>
      <c r="AO398" s="123"/>
      <c r="AT398" s="115"/>
      <c r="AU398" s="115"/>
      <c r="AV398" s="115"/>
      <c r="AW398" s="115"/>
      <c r="AX398" s="115"/>
      <c r="AY398" s="115"/>
      <c r="AZ398" s="115"/>
      <c r="BA398" s="115"/>
      <c r="BB398" s="115"/>
      <c r="BC398" s="115"/>
      <c r="BD398" s="25"/>
      <c r="BE398" s="13"/>
      <c r="BH398" s="114"/>
    </row>
    <row r="399" spans="1:60" ht="19.5" x14ac:dyDescent="0.4">
      <c r="A399" s="117"/>
      <c r="B399" s="123"/>
      <c r="C399" s="123"/>
      <c r="D399" s="123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26"/>
      <c r="V399" s="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25"/>
      <c r="AG399" s="15"/>
      <c r="AL399" s="116"/>
      <c r="AM399" s="123"/>
      <c r="AN399" s="123"/>
      <c r="AO399" s="123"/>
      <c r="AT399" s="115"/>
      <c r="AU399" s="115"/>
      <c r="AV399" s="115"/>
      <c r="AW399" s="115"/>
      <c r="AX399" s="115"/>
      <c r="AY399" s="115"/>
      <c r="AZ399" s="115"/>
      <c r="BA399" s="115"/>
      <c r="BB399" s="115"/>
      <c r="BC399" s="115"/>
      <c r="BD399" s="25"/>
      <c r="BE399" s="13"/>
      <c r="BH399" s="114"/>
    </row>
    <row r="400" spans="1:60" ht="19.5" x14ac:dyDescent="0.4">
      <c r="A400" s="117"/>
      <c r="B400" s="123"/>
      <c r="C400" s="123"/>
      <c r="D400" s="123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7"/>
      <c r="V400" s="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25"/>
      <c r="AG400" s="15"/>
      <c r="AL400" s="116"/>
      <c r="AM400" s="123"/>
      <c r="AN400" s="123"/>
      <c r="AO400" s="123"/>
      <c r="AT400" s="115"/>
      <c r="AU400" s="115"/>
      <c r="AV400" s="115"/>
      <c r="AW400" s="115"/>
      <c r="AX400" s="115"/>
      <c r="AY400" s="115"/>
      <c r="AZ400" s="115"/>
      <c r="BA400" s="115"/>
      <c r="BB400" s="115"/>
      <c r="BC400" s="115"/>
      <c r="BD400" s="25"/>
      <c r="BE400" s="13"/>
      <c r="BH400" s="114"/>
    </row>
    <row r="401" spans="1:60" ht="19.5" x14ac:dyDescent="0.4">
      <c r="A401" s="117"/>
      <c r="B401" s="123"/>
      <c r="C401" s="123"/>
      <c r="D401" s="123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26"/>
      <c r="V401" s="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25">
        <v>45680</v>
      </c>
      <c r="AG401" s="15" t="s">
        <v>147</v>
      </c>
      <c r="AL401" s="116"/>
      <c r="AM401" s="123"/>
      <c r="AN401" s="123"/>
      <c r="AO401" s="123"/>
      <c r="AT401" s="115"/>
      <c r="AU401" s="115"/>
      <c r="AV401" s="115"/>
      <c r="AW401" s="115"/>
      <c r="AX401" s="115"/>
      <c r="AY401" s="115"/>
      <c r="AZ401" s="115"/>
      <c r="BA401" s="115"/>
      <c r="BB401" s="115"/>
      <c r="BC401" s="115"/>
      <c r="BD401" s="25"/>
      <c r="BE401" s="13"/>
      <c r="BH401" s="114"/>
    </row>
    <row r="402" spans="1:60" ht="19.5" x14ac:dyDescent="0.4">
      <c r="A402" s="117"/>
      <c r="B402" s="123"/>
      <c r="C402" s="123"/>
      <c r="D402" s="123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7"/>
      <c r="V402" s="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25"/>
      <c r="AG402" s="13"/>
      <c r="AL402" s="116"/>
      <c r="AM402" s="123"/>
      <c r="AN402" s="123"/>
      <c r="AO402" s="123"/>
      <c r="AT402" s="115"/>
      <c r="AU402" s="115"/>
      <c r="AV402" s="115"/>
      <c r="AW402" s="115"/>
      <c r="AX402" s="115"/>
      <c r="AY402" s="115"/>
      <c r="AZ402" s="115"/>
      <c r="BA402" s="115"/>
      <c r="BB402" s="115"/>
      <c r="BC402" s="115"/>
      <c r="BD402" s="25"/>
      <c r="BE402" s="13"/>
      <c r="BH402" s="114"/>
    </row>
    <row r="403" spans="1:60" ht="19.5" x14ac:dyDescent="0.4">
      <c r="A403" s="117"/>
      <c r="B403" s="123"/>
      <c r="C403" s="123"/>
      <c r="D403" s="123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26"/>
      <c r="V403" s="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25"/>
      <c r="AG403" s="13"/>
      <c r="AL403" s="116"/>
      <c r="AM403" s="123"/>
      <c r="AN403" s="123"/>
      <c r="AO403" s="123"/>
      <c r="AT403" s="115"/>
      <c r="AU403" s="115"/>
      <c r="AV403" s="115"/>
      <c r="AW403" s="115"/>
      <c r="AX403" s="115"/>
      <c r="AY403" s="115"/>
      <c r="AZ403" s="115"/>
      <c r="BA403" s="115"/>
      <c r="BB403" s="115"/>
      <c r="BC403" s="115"/>
      <c r="BD403" s="25"/>
      <c r="BE403" s="13"/>
      <c r="BH403" s="114"/>
    </row>
    <row r="404" spans="1:60" ht="19.5" x14ac:dyDescent="0.4">
      <c r="A404" s="117"/>
      <c r="B404" s="123"/>
      <c r="C404" s="123"/>
      <c r="D404" s="123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26"/>
      <c r="V404" s="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25"/>
      <c r="AG404" s="13"/>
      <c r="AL404" s="116"/>
      <c r="AM404" s="123"/>
      <c r="AN404" s="123"/>
      <c r="AO404" s="123"/>
      <c r="AT404" s="115"/>
      <c r="AU404" s="115"/>
      <c r="AV404" s="115"/>
      <c r="AW404" s="115"/>
      <c r="AX404" s="115"/>
      <c r="AY404" s="115"/>
      <c r="AZ404" s="115"/>
      <c r="BA404" s="115"/>
      <c r="BB404" s="115"/>
      <c r="BC404" s="115"/>
      <c r="BD404" s="25"/>
      <c r="BE404" s="13"/>
      <c r="BH404" s="114"/>
    </row>
    <row r="405" spans="1:60" ht="19.5" x14ac:dyDescent="0.4">
      <c r="A405" s="117"/>
      <c r="B405" s="123"/>
      <c r="C405" s="123"/>
      <c r="D405" s="123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7"/>
      <c r="V405" s="13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25"/>
      <c r="AG405" s="13"/>
      <c r="AL405" s="116"/>
      <c r="AM405" s="123"/>
      <c r="AN405" s="123"/>
      <c r="AO405" s="123"/>
      <c r="AT405" s="115"/>
      <c r="AU405" s="115"/>
      <c r="AV405" s="115"/>
      <c r="AW405" s="115"/>
      <c r="AX405" s="115"/>
      <c r="AY405" s="115"/>
      <c r="AZ405" s="115"/>
      <c r="BA405" s="115"/>
      <c r="BB405" s="115"/>
      <c r="BC405" s="115"/>
      <c r="BD405" s="25"/>
      <c r="BE405" s="13"/>
      <c r="BH405" s="114"/>
    </row>
    <row r="406" spans="1:60" ht="19.5" x14ac:dyDescent="0.4">
      <c r="A406" s="117"/>
      <c r="B406" s="123"/>
      <c r="C406" s="123"/>
      <c r="D406" s="123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7"/>
      <c r="V406" s="13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25"/>
      <c r="AG406" s="13"/>
      <c r="AL406" s="116"/>
      <c r="AM406" s="123"/>
      <c r="AN406" s="123"/>
      <c r="AO406" s="123"/>
      <c r="AT406" s="115"/>
      <c r="AU406" s="115"/>
      <c r="AV406" s="115"/>
      <c r="AW406" s="115"/>
      <c r="AX406" s="115"/>
      <c r="AY406" s="115"/>
      <c r="AZ406" s="115"/>
      <c r="BA406" s="115"/>
      <c r="BB406" s="115"/>
      <c r="BC406" s="115"/>
      <c r="BD406" s="25"/>
      <c r="BE406" s="13"/>
      <c r="BH406" s="114"/>
    </row>
    <row r="407" spans="1:60" ht="19.5" x14ac:dyDescent="0.4">
      <c r="A407" s="117"/>
      <c r="B407" s="123"/>
      <c r="C407" s="123"/>
      <c r="D407" s="123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26"/>
      <c r="V407" s="13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25"/>
      <c r="AG407" s="13"/>
      <c r="AL407" s="116"/>
      <c r="AM407" s="123"/>
      <c r="AN407" s="123"/>
      <c r="AO407" s="123"/>
      <c r="AT407" s="115"/>
      <c r="AU407" s="115"/>
      <c r="AV407" s="115"/>
      <c r="AW407" s="115"/>
      <c r="AX407" s="115"/>
      <c r="AY407" s="115"/>
      <c r="AZ407" s="115"/>
      <c r="BA407" s="115"/>
      <c r="BB407" s="115"/>
      <c r="BC407" s="115"/>
      <c r="BD407" s="25"/>
      <c r="BE407" s="13"/>
      <c r="BH407" s="114"/>
    </row>
    <row r="408" spans="1:60" ht="19.5" x14ac:dyDescent="0.4">
      <c r="A408" s="117"/>
      <c r="B408" s="123"/>
      <c r="C408" s="123"/>
      <c r="D408" s="123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26"/>
      <c r="V408" s="13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25"/>
      <c r="AG408" s="13"/>
      <c r="AL408" s="116"/>
      <c r="AM408" s="123"/>
      <c r="AN408" s="123"/>
      <c r="AO408" s="123"/>
      <c r="AT408" s="115"/>
      <c r="AU408" s="115"/>
      <c r="AV408" s="115"/>
      <c r="AW408" s="115"/>
      <c r="AX408" s="115"/>
      <c r="AY408" s="115"/>
      <c r="AZ408" s="115"/>
      <c r="BA408" s="115"/>
      <c r="BB408" s="115"/>
      <c r="BC408" s="115"/>
      <c r="BD408" s="25"/>
      <c r="BE408" s="13"/>
      <c r="BH408" s="114"/>
    </row>
    <row r="409" spans="1:60" ht="19.5" x14ac:dyDescent="0.4">
      <c r="A409" s="117"/>
      <c r="B409" s="123"/>
      <c r="C409" s="123"/>
      <c r="D409" s="123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26"/>
      <c r="V409" s="13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25"/>
      <c r="AG409" s="13"/>
      <c r="AL409" s="116"/>
      <c r="AM409" s="123"/>
      <c r="AN409" s="123"/>
      <c r="AO409" s="123"/>
      <c r="AT409" s="115"/>
      <c r="AU409" s="115"/>
      <c r="AV409" s="115"/>
      <c r="AW409" s="115"/>
      <c r="AX409" s="115"/>
      <c r="AY409" s="115"/>
      <c r="AZ409" s="115"/>
      <c r="BA409" s="115"/>
      <c r="BB409" s="115"/>
      <c r="BC409" s="115"/>
      <c r="BD409" s="25"/>
      <c r="BE409" s="13"/>
      <c r="BH409" s="114"/>
    </row>
    <row r="410" spans="1:60" ht="19.5" x14ac:dyDescent="0.4">
      <c r="A410" s="117"/>
      <c r="B410" s="123"/>
      <c r="C410" s="123"/>
      <c r="D410" s="123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26"/>
      <c r="V410" s="13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25"/>
      <c r="AG410" s="13"/>
      <c r="AL410" s="116"/>
      <c r="AM410" s="123"/>
      <c r="AN410" s="123"/>
      <c r="AO410" s="123"/>
      <c r="AT410" s="115"/>
      <c r="AU410" s="115"/>
      <c r="AV410" s="115"/>
      <c r="AW410" s="115"/>
      <c r="AX410" s="115"/>
      <c r="AY410" s="115"/>
      <c r="AZ410" s="115"/>
      <c r="BA410" s="115"/>
      <c r="BB410" s="115"/>
      <c r="BC410" s="115"/>
      <c r="BD410" s="25"/>
      <c r="BE410" s="13"/>
      <c r="BH410" s="114"/>
    </row>
    <row r="411" spans="1:60" ht="19.5" x14ac:dyDescent="0.4">
      <c r="A411" s="117"/>
      <c r="B411" s="123"/>
      <c r="C411" s="123"/>
      <c r="D411" s="123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26"/>
      <c r="V411" s="13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25">
        <v>45680</v>
      </c>
      <c r="AG411" s="13" t="s">
        <v>146</v>
      </c>
      <c r="AL411" s="116"/>
      <c r="AM411" s="123"/>
      <c r="AN411" s="123"/>
      <c r="AO411" s="123"/>
      <c r="AT411" s="115"/>
      <c r="AU411" s="115"/>
      <c r="AV411" s="115"/>
      <c r="AW411" s="115"/>
      <c r="AX411" s="115"/>
      <c r="AY411" s="115"/>
      <c r="AZ411" s="115"/>
      <c r="BA411" s="115"/>
      <c r="BB411" s="115"/>
      <c r="BC411" s="115"/>
      <c r="BD411" s="25"/>
      <c r="BE411" s="13"/>
      <c r="BH411" s="114"/>
    </row>
    <row r="412" spans="1:60" ht="19.5" x14ac:dyDescent="0.4">
      <c r="A412" s="117"/>
      <c r="B412" s="123"/>
      <c r="C412" s="123"/>
      <c r="D412" s="123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7"/>
      <c r="V412" s="13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25"/>
      <c r="AG412" s="13"/>
      <c r="AL412" s="116"/>
      <c r="AM412" s="123"/>
      <c r="AN412" s="123"/>
      <c r="AO412" s="123"/>
      <c r="AT412" s="115"/>
      <c r="AU412" s="115"/>
      <c r="AV412" s="115"/>
      <c r="AW412" s="115"/>
      <c r="AX412" s="115"/>
      <c r="AY412" s="115"/>
      <c r="AZ412" s="115"/>
      <c r="BA412" s="115"/>
      <c r="BB412" s="115"/>
      <c r="BC412" s="115"/>
      <c r="BD412" s="25"/>
      <c r="BE412" s="13"/>
      <c r="BH412" s="114"/>
    </row>
    <row r="413" spans="1:60" ht="19.5" x14ac:dyDescent="0.4">
      <c r="A413" s="117"/>
      <c r="B413" s="123"/>
      <c r="C413" s="123"/>
      <c r="D413" s="123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26"/>
      <c r="V413" s="13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25">
        <v>45680</v>
      </c>
      <c r="AG413" s="13" t="s">
        <v>147</v>
      </c>
      <c r="AL413" s="116"/>
      <c r="AM413" s="123"/>
      <c r="AN413" s="123"/>
      <c r="AO413" s="123"/>
      <c r="AT413" s="115"/>
      <c r="AU413" s="115"/>
      <c r="AV413" s="115"/>
      <c r="AW413" s="115"/>
      <c r="AX413" s="115"/>
      <c r="AY413" s="115"/>
      <c r="AZ413" s="115"/>
      <c r="BA413" s="115"/>
      <c r="BB413" s="115"/>
      <c r="BC413" s="115"/>
      <c r="BD413" s="25"/>
      <c r="BE413" s="13"/>
      <c r="BH413" s="114"/>
    </row>
    <row r="414" spans="1:60" ht="19.5" x14ac:dyDescent="0.4">
      <c r="A414" s="117"/>
      <c r="B414" s="123"/>
      <c r="C414" s="123"/>
      <c r="D414" s="123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26"/>
      <c r="V414" s="13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25">
        <v>45680</v>
      </c>
      <c r="AG414" s="13" t="s">
        <v>146</v>
      </c>
      <c r="AL414" s="116"/>
      <c r="AM414" s="123"/>
      <c r="AN414" s="123"/>
      <c r="AO414" s="123"/>
      <c r="AT414" s="115"/>
      <c r="AU414" s="115"/>
      <c r="AV414" s="115"/>
      <c r="AW414" s="115"/>
      <c r="AX414" s="115"/>
      <c r="AY414" s="115"/>
      <c r="AZ414" s="115"/>
      <c r="BA414" s="115"/>
      <c r="BB414" s="115"/>
      <c r="BC414" s="115"/>
      <c r="BD414" s="25"/>
      <c r="BE414" s="13"/>
      <c r="BH414" s="114"/>
    </row>
    <row r="415" spans="1:60" ht="19.5" x14ac:dyDescent="0.4">
      <c r="A415" s="117"/>
      <c r="B415" s="123"/>
      <c r="C415" s="123"/>
      <c r="D415" s="123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7"/>
      <c r="V415" s="13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25"/>
      <c r="AG415" s="13"/>
      <c r="AL415" s="116"/>
      <c r="AM415" s="123"/>
      <c r="AN415" s="123"/>
      <c r="AO415" s="123"/>
      <c r="AT415" s="115"/>
      <c r="AU415" s="115"/>
      <c r="AV415" s="115"/>
      <c r="AW415" s="115"/>
      <c r="AX415" s="115"/>
      <c r="AY415" s="115"/>
      <c r="AZ415" s="115"/>
      <c r="BA415" s="115"/>
      <c r="BB415" s="115"/>
      <c r="BC415" s="115"/>
      <c r="BD415" s="25"/>
      <c r="BE415" s="13"/>
      <c r="BH415" s="114"/>
    </row>
    <row r="416" spans="1:60" ht="19.5" x14ac:dyDescent="0.4">
      <c r="A416" s="117"/>
      <c r="B416" s="123"/>
      <c r="C416" s="123"/>
      <c r="D416" s="123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26"/>
      <c r="V416" s="13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25"/>
      <c r="AG416" s="13"/>
      <c r="AL416" s="116"/>
      <c r="AM416" s="123"/>
      <c r="AN416" s="123"/>
      <c r="AO416" s="123"/>
      <c r="AT416" s="115"/>
      <c r="AU416" s="115"/>
      <c r="AV416" s="115"/>
      <c r="AW416" s="115"/>
      <c r="AX416" s="115"/>
      <c r="AY416" s="115"/>
      <c r="AZ416" s="115"/>
      <c r="BA416" s="115"/>
      <c r="BB416" s="115"/>
      <c r="BC416" s="115"/>
      <c r="BD416" s="25"/>
      <c r="BE416" s="13"/>
      <c r="BH416" s="114"/>
    </row>
    <row r="417" spans="1:60" ht="19.5" x14ac:dyDescent="0.4">
      <c r="A417" s="117"/>
      <c r="B417" s="123"/>
      <c r="C417" s="123"/>
      <c r="D417" s="123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7"/>
      <c r="V417" s="13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25"/>
      <c r="AG417" s="13"/>
      <c r="AL417" s="116"/>
      <c r="AM417" s="123"/>
      <c r="AN417" s="123"/>
      <c r="AO417" s="123"/>
      <c r="AT417" s="115"/>
      <c r="AU417" s="115"/>
      <c r="AV417" s="115"/>
      <c r="AW417" s="115"/>
      <c r="AX417" s="115"/>
      <c r="AY417" s="115"/>
      <c r="AZ417" s="115"/>
      <c r="BA417" s="115"/>
      <c r="BB417" s="115"/>
      <c r="BC417" s="115"/>
      <c r="BD417" s="25"/>
      <c r="BE417" s="13"/>
      <c r="BH417" s="114"/>
    </row>
    <row r="418" spans="1:60" ht="19.5" x14ac:dyDescent="0.4">
      <c r="A418" s="117"/>
      <c r="B418" s="123"/>
      <c r="C418" s="123"/>
      <c r="D418" s="123"/>
      <c r="U418" s="26"/>
      <c r="V418" s="13"/>
      <c r="AF418" s="25">
        <v>45680</v>
      </c>
      <c r="AG418" s="13" t="s">
        <v>146</v>
      </c>
      <c r="AL418" s="117"/>
      <c r="AM418" s="123"/>
      <c r="AN418" s="123"/>
      <c r="AO418" s="123"/>
      <c r="AT418" s="115"/>
      <c r="AU418" s="115"/>
      <c r="AV418" s="115"/>
      <c r="AW418" s="115"/>
      <c r="AX418" s="115"/>
      <c r="AY418" s="115"/>
      <c r="AZ418" s="115"/>
      <c r="BA418" s="115"/>
      <c r="BB418" s="115"/>
      <c r="BC418" s="115" t="s">
        <v>149</v>
      </c>
      <c r="BD418" s="13">
        <f>SUBTOTAL(3,BD2:BD2)</f>
        <v>1</v>
      </c>
      <c r="BE418" s="13">
        <f>SUBTOTAL(3,BE2:BE2)</f>
        <v>1</v>
      </c>
      <c r="BH418" s="114"/>
    </row>
    <row r="419" spans="1:60" ht="19.5" x14ac:dyDescent="0.4">
      <c r="A419" s="117"/>
      <c r="B419" s="123"/>
      <c r="C419" s="123"/>
      <c r="D419" s="123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7"/>
      <c r="V419" s="13"/>
      <c r="AF419" s="25"/>
      <c r="AG419" s="13"/>
      <c r="AL419" s="117"/>
      <c r="AM419" s="123"/>
      <c r="AN419" s="123"/>
      <c r="AO419" s="123"/>
      <c r="AT419" s="115"/>
      <c r="AU419" s="115"/>
      <c r="AV419" s="115"/>
      <c r="AW419" s="115"/>
      <c r="AX419" s="115"/>
      <c r="AY419" s="115"/>
      <c r="AZ419" s="115"/>
      <c r="BA419" s="115"/>
      <c r="BB419" s="115"/>
      <c r="BC419" s="115"/>
      <c r="BD419" s="13"/>
      <c r="BE419" s="13"/>
      <c r="BH419" s="114"/>
    </row>
    <row r="420" spans="1:60" ht="19.5" x14ac:dyDescent="0.4">
      <c r="A420" s="117"/>
      <c r="B420" s="123"/>
      <c r="C420" s="123"/>
      <c r="D420" s="123"/>
      <c r="U420" s="26"/>
      <c r="V420" s="13"/>
      <c r="AF420" s="25"/>
      <c r="AG420" s="13"/>
      <c r="AL420" s="117"/>
      <c r="AM420" s="123"/>
      <c r="AN420" s="123"/>
      <c r="AO420" s="123"/>
      <c r="AT420" s="115"/>
      <c r="AU420" s="115"/>
      <c r="AV420" s="115"/>
      <c r="AW420" s="115"/>
      <c r="AX420" s="115"/>
      <c r="AY420" s="115"/>
      <c r="AZ420" s="115"/>
      <c r="BA420" s="115"/>
      <c r="BB420" s="115"/>
      <c r="BC420" s="115"/>
      <c r="BD420" s="13"/>
      <c r="BE420" s="13"/>
      <c r="BH420" s="114"/>
    </row>
    <row r="421" spans="1:60" ht="19.5" x14ac:dyDescent="0.4">
      <c r="A421" s="117"/>
      <c r="B421" s="123"/>
      <c r="C421" s="123"/>
      <c r="D421" s="123"/>
      <c r="U421" s="26"/>
      <c r="V421" s="13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25">
        <v>45682</v>
      </c>
      <c r="AG421" s="13" t="s">
        <v>147</v>
      </c>
      <c r="AL421" s="117"/>
      <c r="AM421" s="123"/>
      <c r="AN421" s="123"/>
      <c r="AO421" s="123"/>
      <c r="AT421" s="115"/>
      <c r="AU421" s="115"/>
      <c r="AV421" s="115"/>
      <c r="AW421" s="115"/>
      <c r="AX421" s="115"/>
      <c r="AY421" s="115"/>
      <c r="AZ421" s="115"/>
      <c r="BA421" s="115"/>
      <c r="BB421" s="115"/>
      <c r="BC421" s="115"/>
      <c r="BD421" s="13"/>
      <c r="BE421" s="13"/>
      <c r="BH421" s="114"/>
    </row>
    <row r="422" spans="1:60" ht="19.5" x14ac:dyDescent="0.4">
      <c r="A422" s="117"/>
      <c r="B422" s="123"/>
      <c r="C422" s="123"/>
      <c r="D422" s="123"/>
      <c r="U422" s="26"/>
      <c r="V422" s="13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25">
        <v>45682</v>
      </c>
      <c r="AG422" s="13" t="s">
        <v>146</v>
      </c>
      <c r="AL422" s="117"/>
      <c r="AM422" s="123"/>
      <c r="AN422" s="123"/>
      <c r="AO422" s="123"/>
      <c r="AT422" s="115"/>
      <c r="AU422" s="115"/>
      <c r="AV422" s="115"/>
      <c r="AW422" s="115"/>
      <c r="AX422" s="115"/>
      <c r="AY422" s="115"/>
      <c r="AZ422" s="115"/>
      <c r="BA422" s="115"/>
      <c r="BB422" s="115"/>
      <c r="BC422" s="115"/>
      <c r="BD422" s="13"/>
      <c r="BE422" s="13"/>
      <c r="BH422" s="114"/>
    </row>
    <row r="423" spans="1:60" ht="19.5" x14ac:dyDescent="0.4">
      <c r="A423" s="117"/>
      <c r="B423" s="123"/>
      <c r="C423" s="123"/>
      <c r="D423" s="123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26"/>
      <c r="V423" s="13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25"/>
      <c r="AG423" s="13"/>
      <c r="AL423" s="117"/>
      <c r="AM423" s="123"/>
      <c r="AN423" s="123"/>
      <c r="AO423" s="123"/>
      <c r="AT423" s="115"/>
      <c r="AU423" s="115"/>
      <c r="AV423" s="115"/>
      <c r="AW423" s="115"/>
      <c r="AX423" s="115"/>
      <c r="AY423" s="115"/>
      <c r="AZ423" s="115"/>
      <c r="BA423" s="115"/>
      <c r="BB423" s="115"/>
      <c r="BC423" s="115"/>
      <c r="BD423" s="13"/>
      <c r="BE423" s="13"/>
      <c r="BH423" s="114"/>
    </row>
    <row r="424" spans="1:60" ht="19.5" x14ac:dyDescent="0.4">
      <c r="A424" s="117"/>
      <c r="B424" s="123"/>
      <c r="C424" s="123"/>
      <c r="D424" s="123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26"/>
      <c r="V424" s="13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25"/>
      <c r="AG424" s="13"/>
      <c r="AL424" s="117"/>
      <c r="AM424" s="123"/>
      <c r="AN424" s="123"/>
      <c r="AO424" s="123"/>
      <c r="AT424" s="115"/>
      <c r="AU424" s="115"/>
      <c r="AV424" s="115"/>
      <c r="AW424" s="115"/>
      <c r="AX424" s="115"/>
      <c r="AY424" s="115"/>
      <c r="AZ424" s="115"/>
      <c r="BA424" s="115"/>
      <c r="BB424" s="115"/>
      <c r="BC424" s="115"/>
      <c r="BD424" s="13"/>
      <c r="BE424" s="13"/>
      <c r="BH424" s="114"/>
    </row>
    <row r="425" spans="1:60" ht="19.5" x14ac:dyDescent="0.4">
      <c r="A425" s="117"/>
      <c r="B425" s="123"/>
      <c r="C425" s="123"/>
      <c r="D425" s="123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7"/>
      <c r="V425" s="13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25"/>
      <c r="AG425" s="13"/>
      <c r="AL425" s="117"/>
      <c r="AM425" s="123"/>
      <c r="AN425" s="123"/>
      <c r="AO425" s="123"/>
      <c r="AT425" s="115"/>
      <c r="AU425" s="115"/>
      <c r="AV425" s="115"/>
      <c r="AW425" s="115"/>
      <c r="AX425" s="115"/>
      <c r="AY425" s="115"/>
      <c r="AZ425" s="115"/>
      <c r="BA425" s="115"/>
      <c r="BB425" s="115"/>
      <c r="BC425" s="115"/>
      <c r="BD425" s="13"/>
      <c r="BE425" s="13"/>
      <c r="BH425" s="114"/>
    </row>
    <row r="426" spans="1:60" ht="19.5" x14ac:dyDescent="0.4">
      <c r="A426" s="117"/>
      <c r="B426" s="123"/>
      <c r="C426" s="123"/>
      <c r="D426" s="123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26"/>
      <c r="V426" s="13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25"/>
      <c r="AG426" s="13"/>
      <c r="AL426" s="117"/>
      <c r="AM426" s="123"/>
      <c r="AN426" s="123"/>
      <c r="AO426" s="123"/>
      <c r="AT426" s="115"/>
      <c r="AU426" s="115"/>
      <c r="AV426" s="115"/>
      <c r="AW426" s="115"/>
      <c r="AX426" s="115"/>
      <c r="AY426" s="115"/>
      <c r="AZ426" s="115"/>
      <c r="BA426" s="115"/>
      <c r="BB426" s="115"/>
      <c r="BC426" s="115"/>
      <c r="BD426" s="13"/>
      <c r="BE426" s="13"/>
      <c r="BH426" s="114"/>
    </row>
    <row r="427" spans="1:60" ht="19.5" x14ac:dyDescent="0.4">
      <c r="A427" s="117"/>
      <c r="B427" s="123"/>
      <c r="C427" s="123"/>
      <c r="D427" s="123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7"/>
      <c r="V427" s="13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25"/>
      <c r="AG427" s="13"/>
      <c r="AL427" s="117"/>
      <c r="AM427" s="123"/>
      <c r="AN427" s="123"/>
      <c r="AO427" s="123"/>
      <c r="AT427" s="115"/>
      <c r="AU427" s="115"/>
      <c r="AV427" s="115"/>
      <c r="AW427" s="115"/>
      <c r="AX427" s="115"/>
      <c r="AY427" s="115"/>
      <c r="AZ427" s="115"/>
      <c r="BA427" s="115"/>
      <c r="BB427" s="115"/>
      <c r="BC427" s="115"/>
      <c r="BD427" s="13"/>
      <c r="BE427" s="13"/>
      <c r="BH427" s="114"/>
    </row>
    <row r="428" spans="1:60" ht="19.5" x14ac:dyDescent="0.4">
      <c r="A428" s="117"/>
      <c r="B428" s="123"/>
      <c r="C428" s="123"/>
      <c r="D428" s="123"/>
      <c r="U428" s="26"/>
      <c r="V428" s="13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25">
        <v>45682</v>
      </c>
      <c r="AG428" s="13" t="s">
        <v>147</v>
      </c>
      <c r="AL428" s="117"/>
      <c r="AM428" s="123"/>
      <c r="AN428" s="123"/>
      <c r="AO428" s="123"/>
      <c r="AT428" s="115"/>
      <c r="AU428" s="115"/>
      <c r="AV428" s="115"/>
      <c r="AW428" s="115"/>
      <c r="AX428" s="115"/>
      <c r="AY428" s="115"/>
      <c r="AZ428" s="115"/>
      <c r="BA428" s="115"/>
      <c r="BB428" s="115"/>
      <c r="BC428" s="115"/>
      <c r="BD428" s="13"/>
      <c r="BE428" s="13"/>
      <c r="BH428" s="114"/>
    </row>
    <row r="429" spans="1:60" ht="19.5" x14ac:dyDescent="0.4">
      <c r="A429" s="117"/>
      <c r="B429" s="123"/>
      <c r="C429" s="123"/>
      <c r="D429" s="123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7"/>
      <c r="V429" s="13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25"/>
      <c r="AG429" s="13"/>
      <c r="AL429" s="117"/>
      <c r="AM429" s="123"/>
      <c r="AN429" s="123"/>
      <c r="AO429" s="123"/>
      <c r="AT429" s="115"/>
      <c r="AU429" s="115"/>
      <c r="AV429" s="115"/>
      <c r="AW429" s="115"/>
      <c r="AX429" s="115"/>
      <c r="AY429" s="115"/>
      <c r="AZ429" s="115"/>
      <c r="BA429" s="115"/>
      <c r="BB429" s="115"/>
      <c r="BC429" s="115"/>
      <c r="BD429" s="13"/>
      <c r="BE429" s="13"/>
      <c r="BH429" s="114"/>
    </row>
    <row r="430" spans="1:60" ht="19.5" x14ac:dyDescent="0.4">
      <c r="A430" s="117"/>
      <c r="B430" s="123"/>
      <c r="C430" s="123"/>
      <c r="D430" s="123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7"/>
      <c r="V430" s="13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25"/>
      <c r="AG430" s="13"/>
      <c r="AL430" s="117"/>
      <c r="AM430" s="123"/>
      <c r="AN430" s="123"/>
      <c r="AO430" s="123"/>
      <c r="AT430" s="115"/>
      <c r="AU430" s="115"/>
      <c r="AV430" s="115"/>
      <c r="AW430" s="115"/>
      <c r="AX430" s="115"/>
      <c r="AY430" s="115"/>
      <c r="AZ430" s="115"/>
      <c r="BA430" s="115"/>
      <c r="BB430" s="115"/>
      <c r="BC430" s="115"/>
      <c r="BD430" s="13"/>
      <c r="BE430" s="13"/>
      <c r="BH430" s="114"/>
    </row>
    <row r="431" spans="1:60" ht="19.5" x14ac:dyDescent="0.4">
      <c r="A431" s="117"/>
      <c r="B431" s="123"/>
      <c r="C431" s="123"/>
      <c r="D431" s="123"/>
      <c r="U431" s="129"/>
      <c r="V431" s="13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25"/>
      <c r="AG431" s="13"/>
      <c r="AL431" s="117"/>
      <c r="AM431" s="123"/>
      <c r="AN431" s="123"/>
      <c r="AO431" s="123"/>
      <c r="AT431" s="115"/>
      <c r="AU431" s="115"/>
      <c r="AV431" s="115"/>
      <c r="AW431" s="115"/>
      <c r="AX431" s="115"/>
      <c r="AY431" s="115"/>
      <c r="AZ431" s="115"/>
      <c r="BA431" s="115"/>
      <c r="BB431" s="115"/>
      <c r="BC431" s="115"/>
      <c r="BD431" s="13"/>
      <c r="BE431" s="13"/>
      <c r="BH431" s="114"/>
    </row>
    <row r="432" spans="1:60" ht="19.5" x14ac:dyDescent="0.4">
      <c r="A432" s="117"/>
      <c r="B432" s="123"/>
      <c r="C432" s="123"/>
      <c r="D432" s="123"/>
      <c r="U432" s="26"/>
      <c r="V432" s="13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25"/>
      <c r="AG432" s="13"/>
      <c r="AL432" s="117"/>
      <c r="AM432" s="123"/>
      <c r="AN432" s="123"/>
      <c r="AO432" s="123"/>
      <c r="AT432" s="115"/>
      <c r="AU432" s="115"/>
      <c r="AV432" s="115"/>
      <c r="AW432" s="115"/>
      <c r="AX432" s="115"/>
      <c r="AY432" s="115"/>
      <c r="AZ432" s="115"/>
      <c r="BA432" s="115"/>
      <c r="BB432" s="115"/>
      <c r="BC432" s="115"/>
      <c r="BD432" s="13"/>
      <c r="BE432" s="13"/>
      <c r="BH432" s="114"/>
    </row>
    <row r="433" spans="1:60" ht="19.5" x14ac:dyDescent="0.4">
      <c r="A433" s="117"/>
      <c r="B433" s="123"/>
      <c r="C433" s="123"/>
      <c r="D433" s="123"/>
      <c r="U433" s="26"/>
      <c r="V433" s="13"/>
      <c r="AF433" s="25">
        <v>45682</v>
      </c>
      <c r="AG433" s="15" t="s">
        <v>146</v>
      </c>
      <c r="AL433" s="117"/>
      <c r="AM433" s="123"/>
      <c r="AN433" s="123"/>
      <c r="AO433" s="123"/>
      <c r="AT433" s="115"/>
      <c r="AU433" s="115"/>
      <c r="AV433" s="115"/>
      <c r="AW433" s="115"/>
      <c r="AX433" s="115"/>
      <c r="AY433" s="115"/>
      <c r="AZ433" s="115"/>
      <c r="BA433" s="115"/>
      <c r="BB433" s="115"/>
      <c r="BC433" s="115"/>
      <c r="BD433" s="13"/>
      <c r="BE433" s="13"/>
      <c r="BH433" s="114"/>
    </row>
    <row r="434" spans="1:60" ht="19.5" x14ac:dyDescent="0.4">
      <c r="A434" s="117"/>
      <c r="B434" s="123"/>
      <c r="C434" s="123"/>
      <c r="D434" s="123"/>
      <c r="U434" s="129"/>
      <c r="V434" s="13"/>
      <c r="AF434" s="25"/>
      <c r="AG434" s="15"/>
      <c r="AL434" s="117"/>
      <c r="AM434" s="123"/>
      <c r="AN434" s="123"/>
      <c r="AO434" s="123"/>
      <c r="AT434" s="115"/>
      <c r="AU434" s="115"/>
      <c r="AV434" s="115"/>
      <c r="AW434" s="115"/>
      <c r="AX434" s="115"/>
      <c r="AY434" s="115"/>
      <c r="AZ434" s="115"/>
      <c r="BA434" s="115"/>
      <c r="BB434" s="115"/>
      <c r="BC434" s="115"/>
      <c r="BD434" s="13"/>
      <c r="BE434" s="13"/>
      <c r="BH434" s="114"/>
    </row>
    <row r="435" spans="1:60" ht="19.5" x14ac:dyDescent="0.4">
      <c r="A435" s="117"/>
      <c r="B435" s="123"/>
      <c r="C435" s="123"/>
      <c r="D435" s="123"/>
      <c r="U435" s="26"/>
      <c r="V435" s="13"/>
      <c r="AF435" s="25"/>
      <c r="AG435" s="15"/>
      <c r="AL435" s="117"/>
      <c r="AM435" s="123"/>
      <c r="AN435" s="123"/>
      <c r="AO435" s="123"/>
      <c r="AT435" s="115"/>
      <c r="AU435" s="115"/>
      <c r="AV435" s="115"/>
      <c r="AW435" s="115"/>
      <c r="AX435" s="115"/>
      <c r="AY435" s="115"/>
      <c r="AZ435" s="115"/>
      <c r="BA435" s="115"/>
      <c r="BB435" s="115"/>
      <c r="BC435" s="115"/>
      <c r="BD435" s="13"/>
      <c r="BE435" s="13"/>
      <c r="BH435" s="114"/>
    </row>
    <row r="436" spans="1:60" ht="19.5" x14ac:dyDescent="0.4">
      <c r="A436" s="117"/>
      <c r="B436" s="123"/>
      <c r="C436" s="123"/>
      <c r="D436" s="123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26"/>
      <c r="V436" s="13"/>
      <c r="AF436" s="25"/>
      <c r="AG436" s="15"/>
      <c r="AL436" s="117"/>
      <c r="AM436" s="123"/>
      <c r="AN436" s="123"/>
      <c r="AO436" s="123"/>
      <c r="AT436" s="115"/>
      <c r="AU436" s="115"/>
      <c r="AV436" s="115"/>
      <c r="AW436" s="115"/>
      <c r="AX436" s="115"/>
      <c r="AY436" s="115"/>
      <c r="AZ436" s="115"/>
      <c r="BA436" s="115"/>
      <c r="BB436" s="115"/>
      <c r="BC436" s="115"/>
      <c r="BD436" s="13"/>
      <c r="BE436" s="13"/>
      <c r="BH436" s="114"/>
    </row>
    <row r="437" spans="1:60" ht="19.5" x14ac:dyDescent="0.4">
      <c r="A437" s="117"/>
      <c r="B437" s="123"/>
      <c r="C437" s="123"/>
      <c r="D437" s="123"/>
      <c r="U437" s="26"/>
      <c r="V437" s="13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25">
        <v>45682</v>
      </c>
      <c r="AG437" s="15" t="s">
        <v>146</v>
      </c>
      <c r="AL437" s="117"/>
      <c r="AM437" s="123"/>
      <c r="AN437" s="123"/>
      <c r="AO437" s="123"/>
      <c r="AT437" s="115"/>
      <c r="AU437" s="115"/>
      <c r="AV437" s="115"/>
      <c r="AW437" s="115"/>
      <c r="AX437" s="115"/>
      <c r="AY437" s="115"/>
      <c r="AZ437" s="115"/>
      <c r="BA437" s="115"/>
      <c r="BB437" s="115"/>
      <c r="BC437" s="115"/>
      <c r="BD437" s="13"/>
      <c r="BE437" s="13"/>
      <c r="BH437" s="114"/>
    </row>
    <row r="438" spans="1:60" ht="19.5" x14ac:dyDescent="0.4">
      <c r="A438" s="117"/>
      <c r="B438" s="123"/>
      <c r="C438" s="123"/>
      <c r="D438" s="123"/>
      <c r="U438" s="129"/>
      <c r="V438" s="13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25"/>
      <c r="AG438" s="15"/>
      <c r="AL438" s="117"/>
      <c r="AM438" s="123"/>
      <c r="AN438" s="123"/>
      <c r="AO438" s="123"/>
      <c r="AT438" s="115"/>
      <c r="AU438" s="115"/>
      <c r="AV438" s="115"/>
      <c r="AW438" s="115"/>
      <c r="AX438" s="115"/>
      <c r="AY438" s="115"/>
      <c r="AZ438" s="115"/>
      <c r="BA438" s="115"/>
      <c r="BB438" s="115"/>
      <c r="BC438" s="115"/>
      <c r="BD438" s="13"/>
      <c r="BE438" s="13"/>
      <c r="BH438" s="114"/>
    </row>
    <row r="439" spans="1:60" ht="19.5" x14ac:dyDescent="0.4">
      <c r="A439" s="117"/>
      <c r="B439" s="123"/>
      <c r="C439" s="123"/>
      <c r="D439" s="123"/>
      <c r="U439" s="26"/>
      <c r="V439" s="13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25">
        <v>45682</v>
      </c>
      <c r="AG439" s="15" t="s">
        <v>148</v>
      </c>
      <c r="AL439" s="117"/>
      <c r="AM439" s="123"/>
      <c r="AN439" s="123"/>
      <c r="AO439" s="123"/>
      <c r="AT439" s="115"/>
      <c r="AU439" s="115"/>
      <c r="AV439" s="115"/>
      <c r="AW439" s="115"/>
      <c r="AX439" s="115"/>
      <c r="AY439" s="115"/>
      <c r="AZ439" s="115"/>
      <c r="BA439" s="115"/>
      <c r="BB439" s="115"/>
      <c r="BC439" s="115"/>
      <c r="BD439" s="13"/>
      <c r="BE439" s="13"/>
      <c r="BH439" s="114"/>
    </row>
    <row r="440" spans="1:60" ht="19.5" x14ac:dyDescent="0.4">
      <c r="A440" s="117"/>
      <c r="B440" s="123"/>
      <c r="C440" s="123"/>
      <c r="D440" s="123"/>
      <c r="U440" s="26"/>
      <c r="V440" s="13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25">
        <v>45682</v>
      </c>
      <c r="AG440" s="15" t="s">
        <v>146</v>
      </c>
      <c r="AL440" s="117"/>
      <c r="AM440" s="123"/>
      <c r="AN440" s="123"/>
      <c r="AO440" s="123"/>
      <c r="AT440" s="115"/>
      <c r="AU440" s="115"/>
      <c r="AV440" s="115"/>
      <c r="AW440" s="115"/>
      <c r="AX440" s="115"/>
      <c r="AY440" s="115"/>
      <c r="AZ440" s="115"/>
      <c r="BA440" s="115"/>
      <c r="BB440" s="115"/>
      <c r="BC440" s="115"/>
      <c r="BD440" s="13"/>
      <c r="BE440" s="13"/>
      <c r="BH440" s="114"/>
    </row>
    <row r="441" spans="1:60" ht="19.5" x14ac:dyDescent="0.4">
      <c r="A441" s="117"/>
      <c r="B441" s="123"/>
      <c r="C441" s="123"/>
      <c r="D441" s="123"/>
      <c r="U441" s="26"/>
      <c r="V441" s="13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25">
        <v>45682</v>
      </c>
      <c r="AG441" s="15" t="s">
        <v>148</v>
      </c>
      <c r="AL441" s="117"/>
      <c r="AM441" s="123"/>
      <c r="AN441" s="123"/>
      <c r="AO441" s="123"/>
      <c r="AT441" s="115"/>
      <c r="AU441" s="115"/>
      <c r="AV441" s="115"/>
      <c r="AW441" s="115"/>
      <c r="AX441" s="115"/>
      <c r="AY441" s="115"/>
      <c r="AZ441" s="115"/>
      <c r="BA441" s="115"/>
      <c r="BB441" s="115"/>
      <c r="BC441" s="115"/>
      <c r="BD441" s="13"/>
      <c r="BE441" s="13"/>
      <c r="BH441" s="114"/>
    </row>
    <row r="442" spans="1:60" ht="19.5" x14ac:dyDescent="0.4">
      <c r="A442" s="117"/>
      <c r="B442" s="123"/>
      <c r="C442" s="123"/>
      <c r="D442" s="123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26"/>
      <c r="V442" s="13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25"/>
      <c r="AG442" s="15"/>
      <c r="AL442" s="117"/>
      <c r="AM442" s="123"/>
      <c r="AN442" s="123"/>
      <c r="AO442" s="123"/>
      <c r="AT442" s="115"/>
      <c r="AU442" s="115"/>
      <c r="AV442" s="115"/>
      <c r="AW442" s="115"/>
      <c r="AX442" s="115"/>
      <c r="AY442" s="115"/>
      <c r="AZ442" s="115"/>
      <c r="BA442" s="115"/>
      <c r="BB442" s="115"/>
      <c r="BC442" s="115"/>
      <c r="BD442" s="13"/>
      <c r="BE442" s="13"/>
      <c r="BH442" s="114"/>
    </row>
    <row r="443" spans="1:60" ht="19.5" x14ac:dyDescent="0.4">
      <c r="A443" s="117"/>
      <c r="B443" s="123"/>
      <c r="C443" s="123"/>
      <c r="D443" s="123"/>
      <c r="U443" s="26"/>
      <c r="V443" s="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25">
        <v>45682</v>
      </c>
      <c r="AG443" s="15" t="s">
        <v>148</v>
      </c>
      <c r="AL443" s="117"/>
      <c r="AM443" s="123"/>
      <c r="AN443" s="123"/>
      <c r="AO443" s="123"/>
      <c r="AT443" s="115"/>
      <c r="AU443" s="115"/>
      <c r="AV443" s="115"/>
      <c r="AW443" s="115"/>
      <c r="AX443" s="115"/>
      <c r="AY443" s="115"/>
      <c r="AZ443" s="115"/>
      <c r="BA443" s="115"/>
      <c r="BB443" s="115"/>
      <c r="BC443" s="115"/>
      <c r="BD443" s="13"/>
      <c r="BE443" s="13"/>
      <c r="BH443" s="114"/>
    </row>
    <row r="444" spans="1:60" ht="19.5" x14ac:dyDescent="0.4">
      <c r="A444" s="117"/>
      <c r="B444" s="123"/>
      <c r="C444" s="123"/>
      <c r="D444" s="123"/>
      <c r="U444" s="26"/>
      <c r="V444" s="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25">
        <v>45682</v>
      </c>
      <c r="AG444" s="105" t="s">
        <v>148</v>
      </c>
      <c r="AL444" s="117"/>
      <c r="AM444" s="123"/>
      <c r="AN444" s="123"/>
      <c r="AO444" s="123"/>
      <c r="AT444" s="115"/>
      <c r="AU444" s="115"/>
      <c r="AV444" s="115"/>
      <c r="AW444" s="115"/>
      <c r="AX444" s="115"/>
      <c r="AY444" s="115"/>
      <c r="AZ444" s="115"/>
      <c r="BA444" s="115"/>
      <c r="BB444" s="115"/>
      <c r="BC444" s="115"/>
      <c r="BD444" s="13"/>
      <c r="BE444" s="13"/>
      <c r="BH444" s="114"/>
    </row>
    <row r="445" spans="1:60" ht="19.5" x14ac:dyDescent="0.4">
      <c r="A445" s="117"/>
      <c r="B445" s="123"/>
      <c r="C445" s="123"/>
      <c r="D445" s="123"/>
      <c r="U445" s="26"/>
      <c r="V445" s="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25">
        <v>45682</v>
      </c>
      <c r="AG445" s="105" t="s">
        <v>146</v>
      </c>
      <c r="AL445" s="117"/>
      <c r="AM445" s="123"/>
      <c r="AN445" s="123"/>
      <c r="AO445" s="123"/>
      <c r="AT445" s="115"/>
      <c r="AU445" s="115"/>
      <c r="AV445" s="115"/>
      <c r="AW445" s="115"/>
      <c r="AX445" s="115"/>
      <c r="AY445" s="115"/>
      <c r="AZ445" s="115"/>
      <c r="BA445" s="115"/>
      <c r="BB445" s="115"/>
      <c r="BC445" s="115"/>
      <c r="BD445" s="13"/>
      <c r="BE445" s="13"/>
      <c r="BH445" s="114"/>
    </row>
    <row r="446" spans="1:60" ht="19.5" x14ac:dyDescent="0.4">
      <c r="A446" s="117"/>
      <c r="B446" s="123"/>
      <c r="C446" s="123"/>
      <c r="D446" s="123"/>
      <c r="U446" s="129"/>
      <c r="V446" s="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25"/>
      <c r="AG446" s="105"/>
      <c r="AL446" s="117"/>
      <c r="AM446" s="123"/>
      <c r="AN446" s="123"/>
      <c r="AO446" s="123"/>
      <c r="AT446" s="115"/>
      <c r="AU446" s="115"/>
      <c r="AV446" s="115"/>
      <c r="AW446" s="115"/>
      <c r="AX446" s="115"/>
      <c r="AY446" s="115"/>
      <c r="AZ446" s="115"/>
      <c r="BA446" s="115"/>
      <c r="BB446" s="115"/>
      <c r="BC446" s="115"/>
      <c r="BD446" s="13"/>
      <c r="BE446" s="13"/>
      <c r="BH446" s="114"/>
    </row>
    <row r="447" spans="1:60" ht="19.5" x14ac:dyDescent="0.4">
      <c r="A447" s="117"/>
      <c r="B447" s="123"/>
      <c r="C447" s="123"/>
      <c r="D447" s="123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26"/>
      <c r="V447" s="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25">
        <v>45682</v>
      </c>
      <c r="AG447" s="15" t="s">
        <v>146</v>
      </c>
      <c r="AL447" s="117"/>
      <c r="AM447" s="123"/>
      <c r="AN447" s="123"/>
      <c r="AO447" s="123"/>
      <c r="AT447" s="115"/>
      <c r="AU447" s="115"/>
      <c r="AV447" s="115"/>
      <c r="AW447" s="115"/>
      <c r="AX447" s="115"/>
      <c r="AY447" s="115"/>
      <c r="AZ447" s="115"/>
      <c r="BA447" s="115"/>
      <c r="BB447" s="115"/>
      <c r="BC447" s="115"/>
      <c r="BD447" s="13"/>
      <c r="BE447" s="13"/>
      <c r="BH447" s="114"/>
    </row>
    <row r="448" spans="1:60" ht="19.5" x14ac:dyDescent="0.4">
      <c r="A448" s="117"/>
      <c r="B448" s="123"/>
      <c r="C448" s="123"/>
      <c r="D448" s="123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26"/>
      <c r="V448" s="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25">
        <v>45683</v>
      </c>
      <c r="AG448" s="13" t="s">
        <v>147</v>
      </c>
      <c r="AL448" s="117"/>
      <c r="AM448" s="123"/>
      <c r="AN448" s="123"/>
      <c r="AO448" s="123"/>
      <c r="AT448" s="115"/>
      <c r="AU448" s="115"/>
      <c r="AV448" s="115"/>
      <c r="AW448" s="115"/>
      <c r="AX448" s="115"/>
      <c r="AY448" s="115"/>
      <c r="AZ448" s="115"/>
      <c r="BA448" s="115"/>
      <c r="BB448" s="115"/>
      <c r="BC448" s="115"/>
      <c r="BD448" s="13"/>
      <c r="BE448" s="13"/>
      <c r="BH448" s="114"/>
    </row>
    <row r="449" spans="1:60" ht="19.5" x14ac:dyDescent="0.4">
      <c r="A449" s="117"/>
      <c r="B449" s="123"/>
      <c r="C449" s="123"/>
      <c r="D449" s="123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26"/>
      <c r="V449" s="13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25">
        <v>45683</v>
      </c>
      <c r="AG449" s="13" t="s">
        <v>147</v>
      </c>
      <c r="AL449" s="117"/>
      <c r="AM449" s="123"/>
      <c r="AN449" s="123"/>
      <c r="AO449" s="123"/>
      <c r="AT449" s="115"/>
      <c r="AU449" s="115"/>
      <c r="AV449" s="115"/>
      <c r="AW449" s="115"/>
      <c r="AX449" s="115"/>
      <c r="AY449" s="115"/>
      <c r="AZ449" s="115"/>
      <c r="BA449" s="115"/>
      <c r="BB449" s="115"/>
      <c r="BC449" s="115"/>
      <c r="BD449" s="13"/>
      <c r="BE449" s="13"/>
      <c r="BH449" s="114"/>
    </row>
    <row r="450" spans="1:60" ht="19.5" x14ac:dyDescent="0.4">
      <c r="A450" s="117"/>
      <c r="B450" s="123"/>
      <c r="C450" s="123"/>
      <c r="D450" s="123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26"/>
      <c r="V450" s="13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25"/>
      <c r="AG450" s="13"/>
      <c r="AL450" s="117"/>
      <c r="AM450" s="123"/>
      <c r="AN450" s="123"/>
      <c r="AO450" s="123"/>
      <c r="AT450" s="115"/>
      <c r="AU450" s="115"/>
      <c r="AV450" s="115"/>
      <c r="AW450" s="115"/>
      <c r="AX450" s="115"/>
      <c r="AY450" s="115"/>
      <c r="AZ450" s="115"/>
      <c r="BA450" s="115"/>
      <c r="BB450" s="115"/>
      <c r="BC450" s="115"/>
      <c r="BD450" s="13"/>
      <c r="BE450" s="13"/>
      <c r="BH450" s="114"/>
    </row>
    <row r="451" spans="1:60" ht="19.5" x14ac:dyDescent="0.4">
      <c r="A451" s="117"/>
      <c r="B451" s="123"/>
      <c r="C451" s="123"/>
      <c r="D451" s="123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26"/>
      <c r="V451" s="13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25">
        <v>45684</v>
      </c>
      <c r="AG451" s="13" t="s">
        <v>146</v>
      </c>
      <c r="AL451" s="117"/>
      <c r="AM451" s="123"/>
      <c r="AN451" s="123"/>
      <c r="AO451" s="123"/>
      <c r="AT451" s="115"/>
      <c r="AU451" s="115"/>
      <c r="AV451" s="115"/>
      <c r="AW451" s="115"/>
      <c r="AX451" s="115"/>
      <c r="AY451" s="115"/>
      <c r="AZ451" s="115"/>
      <c r="BA451" s="115"/>
      <c r="BB451" s="115"/>
      <c r="BC451" s="115"/>
      <c r="BD451" s="13"/>
      <c r="BE451" s="13"/>
      <c r="BH451" s="114"/>
    </row>
    <row r="452" spans="1:60" ht="19.5" x14ac:dyDescent="0.4">
      <c r="A452" s="117"/>
      <c r="B452" s="123"/>
      <c r="C452" s="123"/>
      <c r="D452" s="123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26"/>
      <c r="V452" s="13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25"/>
      <c r="AG452" s="13"/>
      <c r="AL452" s="117"/>
      <c r="AM452" s="123"/>
      <c r="AN452" s="123"/>
      <c r="AO452" s="123"/>
      <c r="AT452" s="115"/>
      <c r="AU452" s="115"/>
      <c r="AV452" s="115"/>
      <c r="AW452" s="115"/>
      <c r="AX452" s="115"/>
      <c r="AY452" s="115"/>
      <c r="AZ452" s="115"/>
      <c r="BA452" s="115"/>
      <c r="BB452" s="115"/>
      <c r="BC452" s="115"/>
      <c r="BD452" s="13"/>
      <c r="BE452" s="13"/>
      <c r="BH452" s="114"/>
    </row>
    <row r="453" spans="1:60" ht="19.5" x14ac:dyDescent="0.4">
      <c r="A453" s="117"/>
      <c r="B453" s="123"/>
      <c r="C453" s="123"/>
      <c r="D453" s="123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29"/>
      <c r="V453" s="13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25"/>
      <c r="AG453" s="13"/>
      <c r="AL453" s="117"/>
      <c r="AM453" s="123"/>
      <c r="AN453" s="123"/>
      <c r="AO453" s="123"/>
      <c r="AT453" s="115"/>
      <c r="AU453" s="115"/>
      <c r="AV453" s="115"/>
      <c r="AW453" s="115"/>
      <c r="AX453" s="115"/>
      <c r="AY453" s="115"/>
      <c r="AZ453" s="115"/>
      <c r="BA453" s="115"/>
      <c r="BB453" s="115"/>
      <c r="BC453" s="115"/>
      <c r="BD453" s="13"/>
      <c r="BE453" s="13"/>
      <c r="BH453" s="114"/>
    </row>
    <row r="454" spans="1:60" ht="19.5" x14ac:dyDescent="0.4">
      <c r="A454" s="117"/>
      <c r="B454" s="123"/>
      <c r="C454" s="123"/>
      <c r="D454" s="123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26"/>
      <c r="V454" s="13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25">
        <v>45684</v>
      </c>
      <c r="AG454" s="13" t="s">
        <v>148</v>
      </c>
      <c r="AL454" s="117"/>
      <c r="AM454" s="123"/>
      <c r="AN454" s="123"/>
      <c r="AO454" s="123"/>
      <c r="AT454" s="115"/>
      <c r="AU454" s="115"/>
      <c r="AV454" s="115"/>
      <c r="AW454" s="115"/>
      <c r="AX454" s="115"/>
      <c r="AY454" s="115"/>
      <c r="AZ454" s="115"/>
      <c r="BA454" s="115"/>
      <c r="BB454" s="115"/>
      <c r="BC454" s="115"/>
      <c r="BD454" s="13"/>
      <c r="BE454" s="13"/>
      <c r="BH454" s="114"/>
    </row>
    <row r="455" spans="1:60" ht="19.5" x14ac:dyDescent="0.4">
      <c r="A455" s="117"/>
      <c r="B455" s="123"/>
      <c r="C455" s="123"/>
      <c r="D455" s="123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26"/>
      <c r="V455" s="13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25"/>
      <c r="AG455" s="13"/>
      <c r="AL455" s="117"/>
      <c r="AM455" s="123"/>
      <c r="AN455" s="123"/>
      <c r="AO455" s="123"/>
      <c r="AT455" s="115"/>
      <c r="AU455" s="115"/>
      <c r="AV455" s="115"/>
      <c r="AW455" s="115"/>
      <c r="AX455" s="115"/>
      <c r="AY455" s="115"/>
      <c r="AZ455" s="115"/>
      <c r="BA455" s="115"/>
      <c r="BB455" s="115"/>
      <c r="BC455" s="115"/>
      <c r="BD455" s="13"/>
      <c r="BE455" s="13"/>
      <c r="BH455" s="114"/>
    </row>
    <row r="456" spans="1:60" ht="19.5" x14ac:dyDescent="0.4">
      <c r="A456" s="117"/>
      <c r="B456" s="123"/>
      <c r="C456" s="123"/>
      <c r="D456" s="123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26"/>
      <c r="V456" s="13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25"/>
      <c r="AG456" s="13"/>
      <c r="AL456" s="117"/>
      <c r="AM456" s="123"/>
      <c r="AN456" s="123"/>
      <c r="AO456" s="123"/>
      <c r="AT456" s="115"/>
      <c r="AU456" s="115"/>
      <c r="AV456" s="115"/>
      <c r="AW456" s="115"/>
      <c r="AX456" s="115"/>
      <c r="AY456" s="115"/>
      <c r="AZ456" s="115"/>
      <c r="BA456" s="115"/>
      <c r="BB456" s="115"/>
      <c r="BC456" s="115"/>
      <c r="BD456" s="13"/>
      <c r="BE456" s="13"/>
      <c r="BH456" s="114"/>
    </row>
    <row r="457" spans="1:60" ht="19.5" x14ac:dyDescent="0.4">
      <c r="A457" s="117"/>
      <c r="B457" s="123"/>
      <c r="C457" s="123"/>
      <c r="D457" s="123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29"/>
      <c r="V457" s="13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25"/>
      <c r="AG457" s="13"/>
      <c r="AL457" s="117"/>
      <c r="AM457" s="123"/>
      <c r="AN457" s="123"/>
      <c r="AO457" s="123"/>
      <c r="AT457" s="115"/>
      <c r="AU457" s="115"/>
      <c r="AV457" s="115"/>
      <c r="AW457" s="115"/>
      <c r="AX457" s="115"/>
      <c r="AY457" s="115"/>
      <c r="AZ457" s="115"/>
      <c r="BA457" s="115"/>
      <c r="BB457" s="115"/>
      <c r="BC457" s="115"/>
      <c r="BD457" s="13"/>
      <c r="BE457" s="13"/>
      <c r="BH457" s="114"/>
    </row>
    <row r="458" spans="1:60" ht="19.5" x14ac:dyDescent="0.4">
      <c r="A458" s="117"/>
      <c r="B458" s="123"/>
      <c r="C458" s="123"/>
      <c r="D458" s="123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26"/>
      <c r="V458" s="2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25"/>
      <c r="AG458" s="13"/>
      <c r="AL458" s="117"/>
      <c r="AM458" s="123"/>
      <c r="AN458" s="123"/>
      <c r="AO458" s="123"/>
      <c r="AT458" s="115"/>
      <c r="AU458" s="115"/>
      <c r="AV458" s="115"/>
      <c r="AW458" s="115"/>
      <c r="AX458" s="115"/>
      <c r="AY458" s="115"/>
      <c r="AZ458" s="115"/>
      <c r="BA458" s="115"/>
      <c r="BB458" s="115"/>
      <c r="BC458" s="115"/>
      <c r="BD458" s="13"/>
      <c r="BE458" s="13"/>
      <c r="BH458" s="114"/>
    </row>
    <row r="459" spans="1:60" ht="19.5" x14ac:dyDescent="0.4">
      <c r="A459" s="117"/>
      <c r="B459" s="123"/>
      <c r="C459" s="123"/>
      <c r="D459" s="123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26"/>
      <c r="V459" s="13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25"/>
      <c r="AG459" s="13"/>
      <c r="AL459" s="117"/>
      <c r="AM459" s="123"/>
      <c r="AN459" s="123"/>
      <c r="AO459" s="123"/>
      <c r="AT459" s="115"/>
      <c r="AU459" s="115"/>
      <c r="AV459" s="115"/>
      <c r="AW459" s="115"/>
      <c r="AX459" s="115"/>
      <c r="AY459" s="115"/>
      <c r="AZ459" s="115"/>
      <c r="BA459" s="115"/>
      <c r="BB459" s="115"/>
      <c r="BC459" s="115"/>
      <c r="BD459" s="13"/>
      <c r="BE459" s="13"/>
      <c r="BH459" s="114"/>
    </row>
    <row r="460" spans="1:60" ht="19.5" x14ac:dyDescent="0.4">
      <c r="A460" s="117"/>
      <c r="B460" s="123"/>
      <c r="C460" s="123"/>
      <c r="D460" s="123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26"/>
      <c r="V460" s="13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25"/>
      <c r="AG460" s="13"/>
      <c r="AL460" s="117"/>
      <c r="AM460" s="123"/>
      <c r="AN460" s="123"/>
      <c r="AO460" s="123"/>
      <c r="AT460" s="115"/>
      <c r="AU460" s="115"/>
      <c r="AV460" s="115"/>
      <c r="AW460" s="115"/>
      <c r="AX460" s="115"/>
      <c r="AY460" s="115"/>
      <c r="AZ460" s="115"/>
      <c r="BA460" s="115"/>
      <c r="BB460" s="115"/>
      <c r="BC460" s="115"/>
      <c r="BD460" s="13"/>
      <c r="BE460" s="13"/>
      <c r="BH460" s="114"/>
    </row>
    <row r="461" spans="1:60" ht="19.5" x14ac:dyDescent="0.4">
      <c r="A461" s="117"/>
      <c r="B461" s="123"/>
      <c r="C461" s="123"/>
      <c r="D461" s="123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29"/>
      <c r="V461" s="13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25"/>
      <c r="AG461" s="13"/>
      <c r="AL461" s="117"/>
      <c r="AM461" s="123"/>
      <c r="AN461" s="123"/>
      <c r="AO461" s="123"/>
      <c r="AT461" s="115"/>
      <c r="AU461" s="115"/>
      <c r="AV461" s="115"/>
      <c r="AW461" s="115"/>
      <c r="AX461" s="115"/>
      <c r="AY461" s="115"/>
      <c r="AZ461" s="115"/>
      <c r="BA461" s="115"/>
      <c r="BB461" s="115"/>
      <c r="BC461" s="115"/>
      <c r="BD461" s="13"/>
      <c r="BE461" s="13"/>
      <c r="BH461" s="114"/>
    </row>
    <row r="462" spans="1:60" ht="19.5" x14ac:dyDescent="0.4">
      <c r="A462" s="117"/>
      <c r="B462" s="123"/>
      <c r="C462" s="123"/>
      <c r="D462" s="123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26"/>
      <c r="V462" s="134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25"/>
      <c r="AG462" s="13"/>
      <c r="AL462" s="117"/>
      <c r="AM462" s="123"/>
      <c r="AN462" s="123"/>
      <c r="AO462" s="123"/>
      <c r="AT462" s="115"/>
      <c r="AU462" s="115"/>
      <c r="AV462" s="115"/>
      <c r="AW462" s="115"/>
      <c r="AX462" s="115"/>
      <c r="AY462" s="115"/>
      <c r="AZ462" s="115"/>
      <c r="BA462" s="115"/>
      <c r="BB462" s="115"/>
      <c r="BC462" s="115"/>
      <c r="BD462" s="13"/>
      <c r="BE462" s="13"/>
      <c r="BH462" s="114"/>
    </row>
    <row r="463" spans="1:60" ht="19.5" x14ac:dyDescent="0.4">
      <c r="A463" s="117"/>
      <c r="B463" s="123"/>
      <c r="C463" s="123"/>
      <c r="D463" s="123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26"/>
      <c r="V463" s="13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25">
        <v>45684</v>
      </c>
      <c r="AG463" s="13" t="s">
        <v>147</v>
      </c>
      <c r="AL463" s="117"/>
      <c r="AM463" s="123"/>
      <c r="AN463" s="123"/>
      <c r="AO463" s="123"/>
      <c r="AT463" s="115"/>
      <c r="AU463" s="115"/>
      <c r="AV463" s="115"/>
      <c r="AW463" s="115"/>
      <c r="AX463" s="115"/>
      <c r="AY463" s="115"/>
      <c r="AZ463" s="115"/>
      <c r="BA463" s="115"/>
      <c r="BB463" s="115"/>
      <c r="BC463" s="115"/>
      <c r="BD463" s="13"/>
      <c r="BE463" s="13"/>
      <c r="BH463" s="114"/>
    </row>
    <row r="464" spans="1:60" ht="19.5" x14ac:dyDescent="0.4">
      <c r="A464" s="117"/>
      <c r="B464" s="123"/>
      <c r="C464" s="123"/>
      <c r="D464" s="123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29"/>
      <c r="V464" s="13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25"/>
      <c r="AG464" s="13"/>
      <c r="AL464" s="117"/>
      <c r="AM464" s="123"/>
      <c r="AN464" s="123"/>
      <c r="AO464" s="123"/>
      <c r="AT464" s="115"/>
      <c r="AU464" s="115"/>
      <c r="AV464" s="115"/>
      <c r="AW464" s="115"/>
      <c r="AX464" s="115"/>
      <c r="AY464" s="115"/>
      <c r="AZ464" s="115"/>
      <c r="BA464" s="115"/>
      <c r="BB464" s="115"/>
      <c r="BC464" s="115"/>
      <c r="BD464" s="13"/>
      <c r="BE464" s="13"/>
      <c r="BH464" s="114"/>
    </row>
    <row r="465" spans="1:60" ht="19.5" x14ac:dyDescent="0.4">
      <c r="A465" s="117"/>
      <c r="B465" s="123"/>
      <c r="C465" s="123"/>
      <c r="D465" s="123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26"/>
      <c r="V465" s="13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25"/>
      <c r="AG465" s="13"/>
      <c r="AL465" s="117"/>
      <c r="AM465" s="123"/>
      <c r="AN465" s="123"/>
      <c r="AO465" s="123"/>
      <c r="AT465" s="115"/>
      <c r="AU465" s="115"/>
      <c r="AV465" s="115"/>
      <c r="AW465" s="115"/>
      <c r="AX465" s="115"/>
      <c r="AY465" s="115"/>
      <c r="AZ465" s="115"/>
      <c r="BA465" s="115"/>
      <c r="BB465" s="115"/>
      <c r="BC465" s="115"/>
      <c r="BD465" s="13"/>
      <c r="BE465" s="13"/>
      <c r="BH465" s="114"/>
    </row>
    <row r="466" spans="1:60" ht="19.5" x14ac:dyDescent="0.4">
      <c r="A466" s="117"/>
      <c r="B466" s="123"/>
      <c r="C466" s="123"/>
      <c r="D466" s="123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26"/>
      <c r="V466" s="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25">
        <v>45684</v>
      </c>
      <c r="AG466" s="13" t="s">
        <v>146</v>
      </c>
      <c r="AL466" s="117"/>
      <c r="AM466" s="123"/>
      <c r="AN466" s="123"/>
      <c r="AO466" s="123"/>
      <c r="AT466" s="115"/>
      <c r="AU466" s="115"/>
      <c r="AV466" s="115"/>
      <c r="AW466" s="115"/>
      <c r="AX466" s="115"/>
      <c r="AY466" s="115"/>
      <c r="AZ466" s="115"/>
      <c r="BA466" s="115"/>
      <c r="BB466" s="115"/>
      <c r="BC466" s="115"/>
      <c r="BD466" s="13"/>
      <c r="BE466" s="13"/>
      <c r="BH466" s="114"/>
    </row>
    <row r="467" spans="1:60" ht="19.5" x14ac:dyDescent="0.4">
      <c r="A467" s="117"/>
      <c r="B467" s="123"/>
      <c r="C467" s="123"/>
      <c r="D467" s="123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29"/>
      <c r="V467" s="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25"/>
      <c r="AG467" s="13"/>
      <c r="AL467" s="117"/>
      <c r="AM467" s="123"/>
      <c r="AN467" s="123"/>
      <c r="AO467" s="123"/>
      <c r="AT467" s="115"/>
      <c r="AU467" s="115"/>
      <c r="AV467" s="115"/>
      <c r="AW467" s="115"/>
      <c r="AX467" s="115"/>
      <c r="AY467" s="115"/>
      <c r="AZ467" s="115"/>
      <c r="BA467" s="115"/>
      <c r="BB467" s="115"/>
      <c r="BC467" s="115"/>
      <c r="BD467" s="13"/>
      <c r="BE467" s="13"/>
      <c r="BH467" s="114"/>
    </row>
    <row r="468" spans="1:60" ht="19.5" x14ac:dyDescent="0.4">
      <c r="A468" s="117"/>
      <c r="B468" s="123"/>
      <c r="C468" s="123"/>
      <c r="D468" s="123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26"/>
      <c r="V468" s="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25"/>
      <c r="AG468" s="13"/>
      <c r="AL468" s="117"/>
      <c r="AM468" s="123"/>
      <c r="AN468" s="123"/>
      <c r="AO468" s="123"/>
      <c r="AT468" s="115"/>
      <c r="AU468" s="115"/>
      <c r="AV468" s="115"/>
      <c r="AW468" s="115"/>
      <c r="AX468" s="115"/>
      <c r="AY468" s="115"/>
      <c r="AZ468" s="115"/>
      <c r="BA468" s="115"/>
      <c r="BB468" s="115"/>
      <c r="BC468" s="115"/>
      <c r="BD468" s="13"/>
      <c r="BE468" s="13"/>
      <c r="BH468" s="114"/>
    </row>
    <row r="469" spans="1:60" ht="19.5" x14ac:dyDescent="0.4">
      <c r="A469" s="117"/>
      <c r="B469" s="123"/>
      <c r="C469" s="123"/>
      <c r="D469" s="123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29"/>
      <c r="V469" s="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25"/>
      <c r="AG469" s="13"/>
      <c r="AL469" s="117"/>
      <c r="AM469" s="123"/>
      <c r="AN469" s="123"/>
      <c r="AO469" s="123"/>
      <c r="AT469" s="115"/>
      <c r="AU469" s="115"/>
      <c r="AV469" s="115"/>
      <c r="AW469" s="115"/>
      <c r="AX469" s="115"/>
      <c r="AY469" s="115"/>
      <c r="AZ469" s="115"/>
      <c r="BA469" s="115"/>
      <c r="BB469" s="115"/>
      <c r="BC469" s="115"/>
      <c r="BD469" s="13"/>
      <c r="BE469" s="13"/>
      <c r="BH469" s="114"/>
    </row>
    <row r="470" spans="1:60" ht="19.5" x14ac:dyDescent="0.4">
      <c r="A470" s="117"/>
      <c r="B470" s="123"/>
      <c r="C470" s="123"/>
      <c r="D470" s="123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26"/>
      <c r="V470" s="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25"/>
      <c r="AG470" s="13"/>
      <c r="AL470" s="117"/>
      <c r="AM470" s="123"/>
      <c r="AN470" s="123"/>
      <c r="AO470" s="123"/>
      <c r="AT470" s="115"/>
      <c r="AU470" s="115"/>
      <c r="AV470" s="115"/>
      <c r="AW470" s="115"/>
      <c r="AX470" s="115"/>
      <c r="AY470" s="115"/>
      <c r="AZ470" s="115"/>
      <c r="BA470" s="115"/>
      <c r="BB470" s="115"/>
      <c r="BC470" s="115"/>
      <c r="BD470" s="13"/>
      <c r="BE470" s="13"/>
      <c r="BH470" s="114"/>
    </row>
    <row r="471" spans="1:60" ht="19.5" x14ac:dyDescent="0.4">
      <c r="A471" s="117"/>
      <c r="B471" s="123"/>
      <c r="C471" s="123"/>
      <c r="D471" s="123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29"/>
      <c r="V471" s="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25"/>
      <c r="AG471" s="13"/>
      <c r="AL471" s="117"/>
      <c r="AM471" s="123"/>
      <c r="AN471" s="123"/>
      <c r="AO471" s="123"/>
      <c r="AT471" s="115"/>
      <c r="AU471" s="115"/>
      <c r="AV471" s="115"/>
      <c r="AW471" s="115"/>
      <c r="AX471" s="115"/>
      <c r="AY471" s="115"/>
      <c r="AZ471" s="115"/>
      <c r="BA471" s="115"/>
      <c r="BB471" s="115"/>
      <c r="BC471" s="115"/>
      <c r="BD471" s="13"/>
      <c r="BE471" s="13"/>
      <c r="BH471" s="114"/>
    </row>
    <row r="472" spans="1:60" ht="19.5" x14ac:dyDescent="0.4">
      <c r="A472" s="117"/>
      <c r="B472" s="123"/>
      <c r="C472" s="123"/>
      <c r="D472" s="123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29"/>
      <c r="V472" s="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25"/>
      <c r="AG472" s="13"/>
      <c r="AL472" s="117"/>
      <c r="AM472" s="123"/>
      <c r="AN472" s="123"/>
      <c r="AO472" s="123"/>
      <c r="AT472" s="115"/>
      <c r="AU472" s="115"/>
      <c r="AV472" s="115"/>
      <c r="AW472" s="115"/>
      <c r="AX472" s="115"/>
      <c r="AY472" s="115"/>
      <c r="AZ472" s="115"/>
      <c r="BA472" s="115"/>
      <c r="BB472" s="115"/>
      <c r="BC472" s="115"/>
      <c r="BD472" s="13"/>
      <c r="BE472" s="13"/>
      <c r="BH472" s="114"/>
    </row>
    <row r="473" spans="1:60" ht="19.5" x14ac:dyDescent="0.4">
      <c r="A473" s="117"/>
      <c r="B473" s="123"/>
      <c r="C473" s="123"/>
      <c r="D473" s="123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26"/>
      <c r="V473" s="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25">
        <v>45684</v>
      </c>
      <c r="AG473" s="13" t="s">
        <v>147</v>
      </c>
      <c r="AL473" s="117"/>
      <c r="AM473" s="123"/>
      <c r="AN473" s="123"/>
      <c r="AO473" s="123"/>
      <c r="AT473" s="115"/>
      <c r="AU473" s="115"/>
      <c r="AV473" s="115"/>
      <c r="AW473" s="115"/>
      <c r="AX473" s="115"/>
      <c r="AY473" s="115"/>
      <c r="AZ473" s="115"/>
      <c r="BA473" s="115"/>
      <c r="BB473" s="115"/>
      <c r="BC473" s="115"/>
      <c r="BD473" s="13"/>
      <c r="BE473" s="13"/>
      <c r="BH473" s="114"/>
    </row>
    <row r="474" spans="1:60" ht="19.5" x14ac:dyDescent="0.4">
      <c r="A474" s="117"/>
      <c r="B474" s="123"/>
      <c r="C474" s="123"/>
      <c r="D474" s="123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26"/>
      <c r="V474" s="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25">
        <v>45684</v>
      </c>
      <c r="AG474" s="13" t="s">
        <v>146</v>
      </c>
      <c r="AL474" s="117"/>
      <c r="AM474" s="123"/>
      <c r="AN474" s="123"/>
      <c r="AO474" s="123"/>
      <c r="AT474" s="115"/>
      <c r="AU474" s="115"/>
      <c r="AV474" s="115"/>
      <c r="AW474" s="115"/>
      <c r="AX474" s="115"/>
      <c r="AY474" s="115"/>
      <c r="AZ474" s="115"/>
      <c r="BA474" s="115"/>
      <c r="BB474" s="115"/>
      <c r="BC474" s="115"/>
      <c r="BD474" s="13"/>
      <c r="BE474" s="13"/>
      <c r="BH474" s="114"/>
    </row>
    <row r="475" spans="1:60" ht="19.5" x14ac:dyDescent="0.4">
      <c r="A475" s="117"/>
      <c r="B475" s="123"/>
      <c r="C475" s="123"/>
      <c r="D475" s="123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26"/>
      <c r="V475" s="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25">
        <v>45684</v>
      </c>
      <c r="AG475" s="13" t="s">
        <v>146</v>
      </c>
      <c r="AL475" s="117"/>
      <c r="AM475" s="123"/>
      <c r="AN475" s="123"/>
      <c r="AO475" s="123"/>
      <c r="AT475" s="115"/>
      <c r="AU475" s="115"/>
      <c r="AV475" s="115"/>
      <c r="AW475" s="115"/>
      <c r="AX475" s="115"/>
      <c r="AY475" s="115"/>
      <c r="AZ475" s="115"/>
      <c r="BA475" s="115"/>
      <c r="BB475" s="115"/>
      <c r="BC475" s="115"/>
      <c r="BD475" s="13"/>
      <c r="BE475" s="13"/>
      <c r="BH475" s="114"/>
    </row>
    <row r="476" spans="1:60" ht="19.5" x14ac:dyDescent="0.4">
      <c r="A476" s="117"/>
      <c r="B476" s="123"/>
      <c r="C476" s="123"/>
      <c r="D476" s="123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20"/>
      <c r="V476" s="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25"/>
      <c r="AG476" s="13"/>
      <c r="AL476" s="117"/>
      <c r="AM476" s="123"/>
      <c r="AN476" s="123"/>
      <c r="AO476" s="123"/>
      <c r="AT476" s="115"/>
      <c r="AU476" s="115"/>
      <c r="AV476" s="115"/>
      <c r="AW476" s="115"/>
      <c r="AX476" s="115"/>
      <c r="AY476" s="115"/>
      <c r="AZ476" s="115"/>
      <c r="BA476" s="115"/>
      <c r="BB476" s="115"/>
      <c r="BC476" s="115"/>
      <c r="BD476" s="13"/>
      <c r="BE476" s="13"/>
      <c r="BH476" s="114"/>
    </row>
    <row r="477" spans="1:60" ht="19.5" x14ac:dyDescent="0.4">
      <c r="A477" s="117"/>
      <c r="B477" s="123"/>
      <c r="C477" s="123"/>
      <c r="D477" s="123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20"/>
      <c r="V477" s="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25"/>
      <c r="AG477" s="13"/>
      <c r="AL477" s="117"/>
      <c r="AM477" s="123"/>
      <c r="AN477" s="123"/>
      <c r="AO477" s="123"/>
      <c r="AT477" s="115"/>
      <c r="AU477" s="115"/>
      <c r="AV477" s="115"/>
      <c r="AW477" s="115"/>
      <c r="AX477" s="115"/>
      <c r="AY477" s="115"/>
      <c r="AZ477" s="115"/>
      <c r="BA477" s="115"/>
      <c r="BB477" s="115"/>
      <c r="BC477" s="115"/>
      <c r="BD477" s="13"/>
      <c r="BE477" s="13"/>
      <c r="BH477" s="114"/>
    </row>
    <row r="478" spans="1:60" ht="19.5" x14ac:dyDescent="0.4">
      <c r="A478" s="117"/>
      <c r="B478" s="123"/>
      <c r="C478" s="123"/>
      <c r="D478" s="123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25"/>
      <c r="V478" s="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25">
        <v>45684</v>
      </c>
      <c r="AG478" s="13" t="s">
        <v>147</v>
      </c>
      <c r="AL478" s="117"/>
      <c r="AM478" s="123"/>
      <c r="AN478" s="123"/>
      <c r="AO478" s="123"/>
      <c r="AT478" s="115"/>
      <c r="AU478" s="115"/>
      <c r="AV478" s="115"/>
      <c r="AW478" s="115"/>
      <c r="AX478" s="115"/>
      <c r="AY478" s="115"/>
      <c r="AZ478" s="115"/>
      <c r="BA478" s="115"/>
      <c r="BB478" s="115"/>
      <c r="BC478" s="115"/>
      <c r="BD478" s="13"/>
      <c r="BE478" s="13"/>
      <c r="BH478" s="114"/>
    </row>
    <row r="479" spans="1:60" ht="19.5" x14ac:dyDescent="0.4">
      <c r="A479" s="117"/>
      <c r="B479" s="123"/>
      <c r="C479" s="123"/>
      <c r="D479" s="123"/>
      <c r="U479" s="25"/>
      <c r="V479" s="15"/>
      <c r="AF479" s="25">
        <v>45685</v>
      </c>
      <c r="AG479" s="13" t="s">
        <v>146</v>
      </c>
      <c r="AL479" s="117"/>
      <c r="AM479" s="123"/>
      <c r="AN479" s="123"/>
      <c r="AO479" s="123"/>
      <c r="AT479" s="115"/>
      <c r="AU479" s="115"/>
      <c r="AV479" s="115"/>
      <c r="AW479" s="115"/>
      <c r="AX479" s="115"/>
      <c r="AY479" s="115"/>
      <c r="AZ479" s="115"/>
      <c r="BA479" s="115"/>
      <c r="BB479" s="115"/>
      <c r="BC479" s="115"/>
      <c r="BD479" s="25">
        <v>45263</v>
      </c>
      <c r="BE479" s="13" t="s">
        <v>162</v>
      </c>
      <c r="BH479" s="114"/>
    </row>
    <row r="480" spans="1:60" ht="19.5" x14ac:dyDescent="0.4">
      <c r="A480" s="117"/>
      <c r="B480" s="123"/>
      <c r="C480" s="123"/>
      <c r="D480" s="123"/>
      <c r="U480" s="25"/>
      <c r="V480" s="15"/>
      <c r="AC480" s="115"/>
      <c r="AD480" s="115"/>
      <c r="AE480" s="115"/>
      <c r="AF480" s="25">
        <v>45685</v>
      </c>
      <c r="AG480" s="13" t="s">
        <v>147</v>
      </c>
      <c r="AL480" s="117"/>
      <c r="AM480" s="123"/>
      <c r="AN480" s="123"/>
      <c r="AO480" s="123"/>
      <c r="AT480" s="115"/>
      <c r="AU480" s="115"/>
      <c r="AV480" s="115"/>
      <c r="AW480" s="115"/>
      <c r="AX480" s="115"/>
      <c r="AY480" s="115"/>
      <c r="AZ480" s="115"/>
      <c r="BA480" s="115"/>
      <c r="BB480" s="115"/>
      <c r="BC480" s="115"/>
      <c r="BD480" s="25"/>
      <c r="BE480" s="13"/>
      <c r="BH480" s="114"/>
    </row>
    <row r="481" spans="1:60" ht="19.5" x14ac:dyDescent="0.4">
      <c r="A481" s="117"/>
      <c r="B481" s="123"/>
      <c r="C481" s="123"/>
      <c r="D481" s="123"/>
      <c r="U481" s="133"/>
      <c r="V481" s="15"/>
      <c r="AC481" s="115"/>
      <c r="AD481" s="115"/>
      <c r="AE481" s="115"/>
      <c r="AF481" s="25"/>
      <c r="AG481" s="13"/>
      <c r="AL481" s="117"/>
      <c r="AM481" s="123"/>
      <c r="AN481" s="123"/>
      <c r="AO481" s="123"/>
      <c r="AT481" s="115"/>
      <c r="AU481" s="115"/>
      <c r="AV481" s="115"/>
      <c r="AW481" s="115"/>
      <c r="AX481" s="115"/>
      <c r="AY481" s="115"/>
      <c r="AZ481" s="115"/>
      <c r="BA481" s="115"/>
      <c r="BB481" s="115"/>
      <c r="BC481" s="115"/>
      <c r="BD481" s="25"/>
      <c r="BE481" s="13"/>
      <c r="BH481" s="114"/>
    </row>
    <row r="482" spans="1:60" ht="19.5" x14ac:dyDescent="0.4">
      <c r="A482" s="117"/>
      <c r="B482" s="123"/>
      <c r="C482" s="123"/>
      <c r="D482" s="123"/>
      <c r="U482" s="25"/>
      <c r="V482" s="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25">
        <v>45685</v>
      </c>
      <c r="AG482" s="13" t="s">
        <v>147</v>
      </c>
      <c r="AL482" s="117"/>
      <c r="AM482" s="123"/>
      <c r="AN482" s="123"/>
      <c r="AO482" s="123"/>
      <c r="AT482" s="115"/>
      <c r="AU482" s="115"/>
      <c r="AV482" s="115"/>
      <c r="AW482" s="115"/>
      <c r="AX482" s="115"/>
      <c r="AY482" s="115"/>
      <c r="AZ482" s="115"/>
      <c r="BA482" s="115"/>
      <c r="BB482" s="115"/>
      <c r="BC482" s="115"/>
      <c r="BD482" s="25"/>
      <c r="BE482" s="13"/>
      <c r="BH482" s="114"/>
    </row>
    <row r="483" spans="1:60" ht="19.5" x14ac:dyDescent="0.4">
      <c r="A483" s="117"/>
      <c r="B483" s="123"/>
      <c r="C483" s="123"/>
      <c r="D483" s="123"/>
      <c r="U483" s="25"/>
      <c r="V483" s="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25">
        <v>45685</v>
      </c>
      <c r="AG483" s="13" t="s">
        <v>148</v>
      </c>
      <c r="AL483" s="117"/>
      <c r="AM483" s="123"/>
      <c r="AN483" s="123"/>
      <c r="AO483" s="123"/>
      <c r="AT483" s="115"/>
      <c r="AU483" s="115"/>
      <c r="AV483" s="115"/>
      <c r="AW483" s="115"/>
      <c r="AX483" s="115"/>
      <c r="AY483" s="115"/>
      <c r="AZ483" s="115"/>
      <c r="BA483" s="115"/>
      <c r="BB483" s="115"/>
      <c r="BC483" s="115"/>
      <c r="BD483" s="25"/>
      <c r="BE483" s="13"/>
      <c r="BH483" s="114"/>
    </row>
    <row r="484" spans="1:60" ht="19.5" x14ac:dyDescent="0.4">
      <c r="A484" s="117"/>
      <c r="B484" s="123"/>
      <c r="C484" s="123"/>
      <c r="D484" s="123"/>
      <c r="U484" s="25"/>
      <c r="V484" s="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25">
        <v>45685</v>
      </c>
      <c r="AG484" s="13" t="s">
        <v>148</v>
      </c>
      <c r="AL484" s="117"/>
      <c r="AM484" s="123"/>
      <c r="AN484" s="123"/>
      <c r="AO484" s="123"/>
      <c r="AT484" s="115"/>
      <c r="AU484" s="115"/>
      <c r="AV484" s="115"/>
      <c r="AW484" s="115"/>
      <c r="AX484" s="115"/>
      <c r="AY484" s="115"/>
      <c r="AZ484" s="115"/>
      <c r="BA484" s="115"/>
      <c r="BB484" s="115"/>
      <c r="BC484" s="115"/>
      <c r="BD484" s="25"/>
      <c r="BE484" s="13"/>
      <c r="BH484" s="114"/>
    </row>
    <row r="485" spans="1:60" ht="19.5" x14ac:dyDescent="0.4">
      <c r="A485" s="117"/>
      <c r="B485" s="123"/>
      <c r="C485" s="123"/>
      <c r="D485" s="123"/>
      <c r="U485" s="133"/>
      <c r="V485" s="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25"/>
      <c r="AG485" s="13"/>
      <c r="AL485" s="117"/>
      <c r="AM485" s="123"/>
      <c r="AN485" s="123"/>
      <c r="AO485" s="123"/>
      <c r="AT485" s="115"/>
      <c r="AU485" s="115"/>
      <c r="AV485" s="115"/>
      <c r="AW485" s="115"/>
      <c r="AX485" s="115"/>
      <c r="AY485" s="115"/>
      <c r="AZ485" s="115"/>
      <c r="BA485" s="115"/>
      <c r="BB485" s="115"/>
      <c r="BC485" s="115"/>
      <c r="BD485" s="25"/>
      <c r="BE485" s="13"/>
      <c r="BH485" s="114"/>
    </row>
    <row r="486" spans="1:60" ht="19.5" x14ac:dyDescent="0.4">
      <c r="A486" s="117"/>
      <c r="B486" s="123"/>
      <c r="C486" s="123"/>
      <c r="D486" s="123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25"/>
      <c r="V486" s="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25"/>
      <c r="AG486" s="13"/>
      <c r="AL486" s="117"/>
      <c r="AM486" s="123"/>
      <c r="AN486" s="123"/>
      <c r="AO486" s="123"/>
      <c r="AT486" s="115"/>
      <c r="AU486" s="115"/>
      <c r="AV486" s="115"/>
      <c r="AW486" s="115"/>
      <c r="AX486" s="115"/>
      <c r="AY486" s="115"/>
      <c r="AZ486" s="115"/>
      <c r="BA486" s="115"/>
      <c r="BB486" s="115"/>
      <c r="BC486" s="115"/>
      <c r="BD486" s="25"/>
      <c r="BE486" s="13"/>
      <c r="BH486" s="114"/>
    </row>
    <row r="487" spans="1:60" ht="19.5" x14ac:dyDescent="0.4">
      <c r="A487" s="117"/>
      <c r="B487" s="123"/>
      <c r="C487" s="123"/>
      <c r="D487" s="123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33"/>
      <c r="V487" s="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25"/>
      <c r="AG487" s="13"/>
      <c r="AL487" s="117"/>
      <c r="AM487" s="123"/>
      <c r="AN487" s="123"/>
      <c r="AO487" s="123"/>
      <c r="AT487" s="115"/>
      <c r="AU487" s="115"/>
      <c r="AV487" s="115"/>
      <c r="AW487" s="115"/>
      <c r="AX487" s="115"/>
      <c r="AY487" s="115"/>
      <c r="AZ487" s="115"/>
      <c r="BA487" s="115"/>
      <c r="BB487" s="115"/>
      <c r="BC487" s="115"/>
      <c r="BD487" s="25"/>
      <c r="BE487" s="13"/>
      <c r="BH487" s="114"/>
    </row>
    <row r="488" spans="1:60" ht="19.5" x14ac:dyDescent="0.4">
      <c r="A488" s="117"/>
      <c r="B488" s="123"/>
      <c r="C488" s="123"/>
      <c r="D488" s="123"/>
      <c r="U488" s="25"/>
      <c r="V488" s="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25">
        <v>45685</v>
      </c>
      <c r="AG488" s="13" t="s">
        <v>148</v>
      </c>
      <c r="AL488" s="117"/>
      <c r="AM488" s="123"/>
      <c r="AN488" s="123"/>
      <c r="AO488" s="123"/>
      <c r="AT488" s="115"/>
      <c r="AU488" s="115"/>
      <c r="AV488" s="115"/>
      <c r="AW488" s="115"/>
      <c r="AX488" s="115"/>
      <c r="AY488" s="115"/>
      <c r="AZ488" s="115"/>
      <c r="BA488" s="115"/>
      <c r="BB488" s="115"/>
      <c r="BC488" s="115"/>
      <c r="BD488" s="25"/>
      <c r="BE488" s="13"/>
      <c r="BH488" s="114"/>
    </row>
    <row r="489" spans="1:60" ht="19.5" x14ac:dyDescent="0.4">
      <c r="A489" s="117"/>
      <c r="B489" s="123"/>
      <c r="C489" s="123"/>
      <c r="D489" s="123"/>
      <c r="U489" s="25"/>
      <c r="V489" s="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25">
        <v>45685</v>
      </c>
      <c r="AG489" s="13" t="s">
        <v>148</v>
      </c>
      <c r="AL489" s="117"/>
      <c r="AM489" s="123"/>
      <c r="AN489" s="123"/>
      <c r="AO489" s="123"/>
      <c r="AT489" s="115"/>
      <c r="AU489" s="115"/>
      <c r="AV489" s="115"/>
      <c r="AW489" s="115"/>
      <c r="AX489" s="115"/>
      <c r="AY489" s="115"/>
      <c r="AZ489" s="115"/>
      <c r="BA489" s="115"/>
      <c r="BB489" s="115"/>
      <c r="BC489" s="115"/>
      <c r="BD489" s="25"/>
      <c r="BE489" s="13"/>
      <c r="BH489" s="114"/>
    </row>
    <row r="490" spans="1:60" ht="19.5" x14ac:dyDescent="0.4">
      <c r="A490" s="117"/>
      <c r="B490" s="123"/>
      <c r="C490" s="123"/>
      <c r="D490" s="123"/>
      <c r="U490" s="25"/>
      <c r="V490" s="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25">
        <v>45685</v>
      </c>
      <c r="AG490" s="13" t="s">
        <v>146</v>
      </c>
      <c r="AL490" s="117"/>
      <c r="AM490" s="123"/>
      <c r="AN490" s="123"/>
      <c r="AO490" s="123"/>
      <c r="AT490" s="115"/>
      <c r="AU490" s="115"/>
      <c r="AV490" s="115"/>
      <c r="AW490" s="115"/>
      <c r="AX490" s="115"/>
      <c r="AY490" s="115"/>
      <c r="AZ490" s="115"/>
      <c r="BA490" s="115"/>
      <c r="BB490" s="115"/>
      <c r="BC490" s="115"/>
      <c r="BD490" s="25"/>
      <c r="BE490" s="13"/>
      <c r="BH490" s="114"/>
    </row>
    <row r="491" spans="1:60" ht="19.5" x14ac:dyDescent="0.4">
      <c r="A491" s="117"/>
      <c r="B491" s="123"/>
      <c r="C491" s="123"/>
      <c r="D491" s="123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25"/>
      <c r="V491" s="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25"/>
      <c r="AG491" s="13"/>
      <c r="AL491" s="117"/>
      <c r="AM491" s="123"/>
      <c r="AN491" s="123"/>
      <c r="AO491" s="123"/>
      <c r="AT491" s="115"/>
      <c r="AU491" s="115"/>
      <c r="AV491" s="115"/>
      <c r="AW491" s="115"/>
      <c r="AX491" s="115"/>
      <c r="AY491" s="115"/>
      <c r="AZ491" s="115"/>
      <c r="BA491" s="115"/>
      <c r="BB491" s="115"/>
      <c r="BC491" s="115"/>
      <c r="BD491" s="25"/>
      <c r="BE491" s="13"/>
      <c r="BH491" s="114"/>
    </row>
    <row r="492" spans="1:60" ht="19.5" x14ac:dyDescent="0.4">
      <c r="A492" s="117"/>
      <c r="B492" s="123"/>
      <c r="C492" s="123"/>
      <c r="D492" s="123"/>
      <c r="U492" s="25"/>
      <c r="V492" s="15"/>
      <c r="AF492" s="25">
        <v>45685</v>
      </c>
      <c r="AG492" s="13" t="s">
        <v>148</v>
      </c>
      <c r="AL492" s="117"/>
      <c r="AM492" s="123"/>
      <c r="AN492" s="123"/>
      <c r="AO492" s="123"/>
      <c r="AT492" s="115"/>
      <c r="AU492" s="115"/>
      <c r="AV492" s="115"/>
      <c r="AW492" s="115"/>
      <c r="AX492" s="115"/>
      <c r="AY492" s="115"/>
      <c r="AZ492" s="115"/>
      <c r="BA492" s="115"/>
      <c r="BB492" s="115"/>
      <c r="BC492" s="115" t="s">
        <v>150</v>
      </c>
      <c r="BD492" s="13">
        <f>SUBTOTAL(3,BD479:BD479)</f>
        <v>1</v>
      </c>
      <c r="BE492" s="13">
        <f>SUBTOTAL(3,BE479:BE479)</f>
        <v>1</v>
      </c>
      <c r="BH492" s="114"/>
    </row>
    <row r="493" spans="1:60" ht="19.5" x14ac:dyDescent="0.4">
      <c r="A493" s="117"/>
      <c r="B493" s="123"/>
      <c r="C493" s="123"/>
      <c r="D493" s="123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25"/>
      <c r="V493" s="15"/>
      <c r="AF493" s="25"/>
      <c r="AG493" s="13"/>
      <c r="AL493" s="117"/>
      <c r="AM493" s="123"/>
      <c r="AN493" s="123"/>
      <c r="AO493" s="123"/>
      <c r="AT493" s="115"/>
      <c r="AU493" s="115"/>
      <c r="AV493" s="115"/>
      <c r="AW493" s="115"/>
      <c r="AX493" s="115"/>
      <c r="AY493" s="115"/>
      <c r="AZ493" s="115"/>
      <c r="BA493" s="115"/>
      <c r="BB493" s="115"/>
      <c r="BC493" s="115"/>
      <c r="BD493" s="13"/>
      <c r="BE493" s="13"/>
      <c r="BH493" s="114"/>
    </row>
    <row r="494" spans="1:60" ht="19.5" x14ac:dyDescent="0.4">
      <c r="A494" s="117"/>
      <c r="B494" s="123"/>
      <c r="C494" s="123"/>
      <c r="D494" s="123"/>
      <c r="U494" s="25"/>
      <c r="V494" s="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25">
        <v>45685</v>
      </c>
      <c r="AG494" s="15" t="s">
        <v>146</v>
      </c>
      <c r="AL494" s="117"/>
      <c r="AM494" s="123"/>
      <c r="AN494" s="123"/>
      <c r="AO494" s="123"/>
      <c r="AT494" s="115"/>
      <c r="AU494" s="115"/>
      <c r="AV494" s="115"/>
      <c r="AW494" s="115"/>
      <c r="AX494" s="115"/>
      <c r="AY494" s="115"/>
      <c r="AZ494" s="115"/>
      <c r="BA494" s="115"/>
      <c r="BB494" s="115"/>
      <c r="BC494" s="115"/>
      <c r="BD494" s="13"/>
      <c r="BE494" s="13"/>
      <c r="BH494" s="114"/>
    </row>
    <row r="495" spans="1:60" ht="19.5" x14ac:dyDescent="0.4">
      <c r="A495" s="117"/>
      <c r="B495" s="123"/>
      <c r="C495" s="123"/>
      <c r="D495" s="123"/>
      <c r="U495" s="25"/>
      <c r="V495" s="15"/>
      <c r="AF495" s="25">
        <v>45685</v>
      </c>
      <c r="AG495" s="15" t="s">
        <v>146</v>
      </c>
      <c r="AL495" s="117"/>
      <c r="AM495" s="123"/>
      <c r="AN495" s="123"/>
      <c r="AO495" s="123"/>
      <c r="AT495" s="115"/>
      <c r="AU495" s="115"/>
      <c r="AV495" s="115"/>
      <c r="AW495" s="115"/>
      <c r="AX495" s="115"/>
      <c r="AY495" s="115"/>
      <c r="AZ495" s="115"/>
      <c r="BA495" s="115"/>
      <c r="BB495" s="115"/>
      <c r="BC495" s="115"/>
      <c r="BD495" s="25">
        <v>45264</v>
      </c>
      <c r="BE495" s="13" t="s">
        <v>162</v>
      </c>
      <c r="BH495" s="114"/>
    </row>
    <row r="496" spans="1:60" ht="19.5" x14ac:dyDescent="0.4">
      <c r="A496" s="117"/>
      <c r="B496" s="123"/>
      <c r="C496" s="123"/>
      <c r="D496" s="123"/>
      <c r="U496" s="25"/>
      <c r="V496" s="15"/>
      <c r="AB496" s="115"/>
      <c r="AC496" s="115"/>
      <c r="AD496" s="115"/>
      <c r="AE496" s="115"/>
      <c r="AF496" s="25">
        <v>45686</v>
      </c>
      <c r="AG496" s="15" t="s">
        <v>148</v>
      </c>
      <c r="AL496" s="117"/>
      <c r="AM496" s="123"/>
      <c r="AN496" s="123"/>
      <c r="AO496" s="123"/>
      <c r="AT496" s="115"/>
      <c r="AU496" s="115"/>
      <c r="AV496" s="115"/>
      <c r="AW496" s="115"/>
      <c r="AX496" s="115"/>
      <c r="AY496" s="115"/>
      <c r="AZ496" s="115"/>
      <c r="BA496" s="115"/>
      <c r="BB496" s="115"/>
      <c r="BC496" s="115"/>
      <c r="BD496" s="25"/>
      <c r="BE496" s="13"/>
      <c r="BH496" s="114"/>
    </row>
    <row r="497" spans="1:60" ht="19.5" x14ac:dyDescent="0.4">
      <c r="A497" s="117"/>
      <c r="B497" s="123"/>
      <c r="C497" s="123"/>
      <c r="D497" s="123"/>
      <c r="U497" s="25"/>
      <c r="V497" s="15"/>
      <c r="Z497" s="115"/>
      <c r="AA497" s="115"/>
      <c r="AB497" s="115"/>
      <c r="AC497" s="115"/>
      <c r="AD497" s="115"/>
      <c r="AE497" s="115"/>
      <c r="AF497" s="25">
        <v>45686</v>
      </c>
      <c r="AG497" s="15" t="s">
        <v>146</v>
      </c>
      <c r="AL497" s="117"/>
      <c r="AM497" s="123"/>
      <c r="AN497" s="123"/>
      <c r="AO497" s="123"/>
      <c r="AT497" s="115"/>
      <c r="AU497" s="115"/>
      <c r="AV497" s="115"/>
      <c r="AW497" s="115"/>
      <c r="AX497" s="115"/>
      <c r="AY497" s="115"/>
      <c r="AZ497" s="115"/>
      <c r="BA497" s="115"/>
      <c r="BB497" s="115"/>
      <c r="BC497" s="115"/>
      <c r="BD497" s="25"/>
      <c r="BE497" s="13"/>
      <c r="BH497" s="114"/>
    </row>
    <row r="498" spans="1:60" ht="19.5" x14ac:dyDescent="0.4">
      <c r="A498" s="117"/>
      <c r="B498" s="123"/>
      <c r="C498" s="123"/>
      <c r="D498" s="123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25"/>
      <c r="V498" s="15"/>
      <c r="Z498" s="115"/>
      <c r="AA498" s="115"/>
      <c r="AB498" s="115"/>
      <c r="AC498" s="115"/>
      <c r="AD498" s="115"/>
      <c r="AE498" s="115"/>
      <c r="AF498" s="25"/>
      <c r="AG498" s="15"/>
      <c r="AL498" s="117"/>
      <c r="AM498" s="123"/>
      <c r="AN498" s="123"/>
      <c r="AO498" s="123"/>
      <c r="AT498" s="115"/>
      <c r="AU498" s="115"/>
      <c r="AV498" s="115"/>
      <c r="AW498" s="115"/>
      <c r="AX498" s="115"/>
      <c r="AY498" s="115"/>
      <c r="AZ498" s="115"/>
      <c r="BA498" s="115"/>
      <c r="BB498" s="115"/>
      <c r="BC498" s="115"/>
      <c r="BD498" s="25"/>
      <c r="BE498" s="13"/>
      <c r="BH498" s="114"/>
    </row>
    <row r="499" spans="1:60" ht="19.5" x14ac:dyDescent="0.4">
      <c r="A499" s="117"/>
      <c r="B499" s="123"/>
      <c r="C499" s="123"/>
      <c r="D499" s="123"/>
      <c r="U499" s="26"/>
      <c r="V499" s="15"/>
      <c r="Z499" s="115"/>
      <c r="AA499" s="115"/>
      <c r="AB499" s="115"/>
      <c r="AC499" s="115"/>
      <c r="AD499" s="115"/>
      <c r="AE499" s="115"/>
      <c r="AF499" s="25">
        <v>45686</v>
      </c>
      <c r="AG499" s="15" t="s">
        <v>148</v>
      </c>
      <c r="AL499" s="117"/>
      <c r="AM499" s="123"/>
      <c r="AN499" s="123"/>
      <c r="AO499" s="123"/>
      <c r="AT499" s="115"/>
      <c r="AU499" s="115"/>
      <c r="AV499" s="115"/>
      <c r="AW499" s="115"/>
      <c r="AX499" s="115"/>
      <c r="AY499" s="115"/>
      <c r="AZ499" s="115"/>
      <c r="BA499" s="115"/>
      <c r="BB499" s="115"/>
      <c r="BC499" s="115"/>
      <c r="BD499" s="25"/>
      <c r="BE499" s="13"/>
      <c r="BH499" s="114"/>
    </row>
    <row r="500" spans="1:60" ht="19.5" x14ac:dyDescent="0.4">
      <c r="A500" s="117"/>
      <c r="B500" s="123"/>
      <c r="C500" s="123"/>
      <c r="D500" s="123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26"/>
      <c r="V500" s="13"/>
      <c r="Z500" s="115"/>
      <c r="AA500" s="115"/>
      <c r="AB500" s="115"/>
      <c r="AC500" s="115"/>
      <c r="AD500" s="115"/>
      <c r="AE500" s="115"/>
      <c r="AF500" s="25"/>
      <c r="AG500" s="15"/>
      <c r="AL500" s="117"/>
      <c r="AM500" s="123"/>
      <c r="AN500" s="123"/>
      <c r="AO500" s="123"/>
      <c r="AT500" s="115"/>
      <c r="AU500" s="115"/>
      <c r="AV500" s="115"/>
      <c r="AW500" s="115"/>
      <c r="AX500" s="115"/>
      <c r="AY500" s="115"/>
      <c r="AZ500" s="115"/>
      <c r="BA500" s="115"/>
      <c r="BB500" s="115"/>
      <c r="BC500" s="115"/>
      <c r="BD500" s="25"/>
      <c r="BE500" s="13"/>
      <c r="BH500" s="114"/>
    </row>
    <row r="501" spans="1:60" ht="19.5" x14ac:dyDescent="0.4">
      <c r="A501" s="117"/>
      <c r="B501" s="123"/>
      <c r="C501" s="123"/>
      <c r="D501" s="123"/>
      <c r="U501" s="26"/>
      <c r="V501" s="13"/>
      <c r="AF501" s="25">
        <v>45686</v>
      </c>
      <c r="AG501" s="15" t="s">
        <v>146</v>
      </c>
      <c r="AL501" s="117"/>
      <c r="AM501" s="123"/>
      <c r="AN501" s="123"/>
      <c r="AO501" s="123"/>
      <c r="AT501" s="115"/>
      <c r="AU501" s="115"/>
      <c r="AV501" s="115"/>
      <c r="AW501" s="115"/>
      <c r="AX501" s="115"/>
      <c r="AY501" s="115"/>
      <c r="AZ501" s="115"/>
      <c r="BA501" s="115"/>
      <c r="BB501" s="115"/>
      <c r="BC501" s="115" t="s">
        <v>154</v>
      </c>
      <c r="BD501" s="13">
        <f>SUBTOTAL(3,BD495:BD495)</f>
        <v>1</v>
      </c>
      <c r="BE501" s="13">
        <f>SUBTOTAL(3,BE495:BE495)</f>
        <v>1</v>
      </c>
      <c r="BH501" s="114"/>
    </row>
    <row r="502" spans="1:60" ht="19.5" x14ac:dyDescent="0.4">
      <c r="A502" s="117"/>
      <c r="B502" s="123"/>
      <c r="C502" s="123"/>
      <c r="D502" s="123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26"/>
      <c r="V502" s="13"/>
      <c r="AF502" s="25"/>
      <c r="AG502" s="15"/>
      <c r="AL502" s="117"/>
      <c r="AM502" s="123"/>
      <c r="AN502" s="123"/>
      <c r="AO502" s="123"/>
      <c r="AT502" s="115"/>
      <c r="AU502" s="115"/>
      <c r="AV502" s="115"/>
      <c r="AW502" s="115"/>
      <c r="AX502" s="115"/>
      <c r="AY502" s="115"/>
      <c r="AZ502" s="115"/>
      <c r="BA502" s="115"/>
      <c r="BB502" s="115"/>
      <c r="BC502" s="115"/>
      <c r="BD502" s="13"/>
      <c r="BE502" s="13"/>
      <c r="BH502" s="114"/>
    </row>
    <row r="503" spans="1:60" ht="19.5" x14ac:dyDescent="0.4">
      <c r="A503" s="117"/>
      <c r="B503" s="123"/>
      <c r="C503" s="123"/>
      <c r="D503" s="123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26"/>
      <c r="V503" s="13"/>
      <c r="AF503" s="25"/>
      <c r="AG503" s="15"/>
      <c r="AL503" s="117"/>
      <c r="AM503" s="123"/>
      <c r="AN503" s="123"/>
      <c r="AO503" s="123"/>
      <c r="AT503" s="115"/>
      <c r="AU503" s="115"/>
      <c r="AV503" s="115"/>
      <c r="AW503" s="115"/>
      <c r="AX503" s="115"/>
      <c r="AY503" s="115"/>
      <c r="AZ503" s="115"/>
      <c r="BA503" s="115"/>
      <c r="BB503" s="115"/>
      <c r="BC503" s="115"/>
      <c r="BD503" s="13"/>
      <c r="BE503" s="13"/>
      <c r="BH503" s="114"/>
    </row>
    <row r="504" spans="1:60" ht="19.5" x14ac:dyDescent="0.4">
      <c r="A504" s="117"/>
      <c r="B504" s="123"/>
      <c r="C504" s="123"/>
      <c r="D504" s="123"/>
      <c r="U504" s="26"/>
      <c r="V504" s="13"/>
      <c r="AF504" s="25">
        <v>45686</v>
      </c>
      <c r="AG504" s="15" t="s">
        <v>146</v>
      </c>
      <c r="AL504" s="117"/>
      <c r="AM504" s="123"/>
      <c r="AN504" s="123"/>
      <c r="AO504" s="123"/>
      <c r="AT504" s="115"/>
      <c r="AU504" s="115"/>
      <c r="AV504" s="115"/>
      <c r="AW504" s="115"/>
      <c r="AX504" s="115"/>
      <c r="AY504" s="115"/>
      <c r="AZ504" s="115"/>
      <c r="BA504" s="115"/>
      <c r="BB504" s="115"/>
      <c r="BC504" s="115"/>
      <c r="BD504" s="25">
        <v>45265</v>
      </c>
      <c r="BE504" s="13" t="s">
        <v>162</v>
      </c>
      <c r="BH504" s="114"/>
    </row>
    <row r="505" spans="1:60" ht="19.5" x14ac:dyDescent="0.4">
      <c r="A505" s="117"/>
      <c r="B505" s="123"/>
      <c r="C505" s="123"/>
      <c r="D505" s="123"/>
      <c r="U505" s="26"/>
      <c r="V505" s="13"/>
      <c r="AF505" s="25">
        <v>45686</v>
      </c>
      <c r="AG505" s="15" t="s">
        <v>146</v>
      </c>
      <c r="AL505" s="117"/>
      <c r="AM505" s="123"/>
      <c r="AN505" s="123"/>
      <c r="AO505" s="123"/>
      <c r="AT505" s="115"/>
      <c r="AU505" s="115"/>
      <c r="AV505" s="115"/>
      <c r="AW505" s="115"/>
      <c r="AX505" s="115"/>
      <c r="AY505" s="115"/>
      <c r="AZ505" s="115"/>
      <c r="BA505" s="115"/>
      <c r="BB505" s="115"/>
      <c r="BC505" s="115"/>
      <c r="BD505" s="25">
        <v>45265</v>
      </c>
      <c r="BE505" s="25" t="s">
        <v>162</v>
      </c>
      <c r="BH505" s="114"/>
    </row>
    <row r="506" spans="1:60" ht="19.5" x14ac:dyDescent="0.4">
      <c r="A506" s="117"/>
      <c r="B506" s="123"/>
      <c r="C506" s="123"/>
      <c r="D506" s="123"/>
      <c r="U506" s="26"/>
      <c r="V506" s="13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25">
        <v>45686</v>
      </c>
      <c r="AG506" s="15" t="s">
        <v>146</v>
      </c>
      <c r="AL506" s="117"/>
      <c r="AM506" s="123"/>
      <c r="AN506" s="123"/>
      <c r="AO506" s="123"/>
      <c r="AT506" s="115"/>
      <c r="AU506" s="115"/>
      <c r="AV506" s="115"/>
      <c r="AW506" s="115"/>
      <c r="AX506" s="115"/>
      <c r="AY506" s="115"/>
      <c r="AZ506" s="115"/>
      <c r="BA506" s="115"/>
      <c r="BB506" s="115"/>
      <c r="BC506" s="115"/>
      <c r="BD506" s="25"/>
      <c r="BE506" s="25"/>
      <c r="BH506" s="114"/>
    </row>
    <row r="507" spans="1:60" ht="19.5" x14ac:dyDescent="0.4">
      <c r="A507" s="117"/>
      <c r="B507" s="123"/>
      <c r="C507" s="123"/>
      <c r="D507" s="123"/>
      <c r="U507" s="129"/>
      <c r="V507" s="13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25"/>
      <c r="AG507" s="13"/>
      <c r="AL507" s="117"/>
      <c r="AM507" s="123"/>
      <c r="AN507" s="123"/>
      <c r="AO507" s="123"/>
      <c r="AT507" s="115"/>
      <c r="AU507" s="115"/>
      <c r="AV507" s="115"/>
      <c r="AW507" s="115"/>
      <c r="AX507" s="115"/>
      <c r="AY507" s="115"/>
      <c r="AZ507" s="115"/>
      <c r="BA507" s="115"/>
      <c r="BB507" s="115"/>
      <c r="BC507" s="115"/>
      <c r="BD507" s="25"/>
      <c r="BE507" s="25"/>
      <c r="BH507" s="114"/>
    </row>
    <row r="508" spans="1:60" ht="19.5" x14ac:dyDescent="0.4">
      <c r="A508" s="117"/>
      <c r="B508" s="123"/>
      <c r="C508" s="123"/>
      <c r="D508" s="123"/>
      <c r="U508" s="26"/>
      <c r="V508" s="13"/>
      <c r="AF508" s="25">
        <v>45686</v>
      </c>
      <c r="AG508" s="13" t="s">
        <v>146</v>
      </c>
      <c r="AL508" s="117"/>
      <c r="AM508" s="123"/>
      <c r="AN508" s="123"/>
      <c r="AO508" s="123"/>
      <c r="AT508" s="115"/>
      <c r="AU508" s="115"/>
      <c r="AV508" s="115"/>
      <c r="AW508" s="115"/>
      <c r="AX508" s="115"/>
      <c r="AY508" s="115"/>
      <c r="AZ508" s="115"/>
      <c r="BA508" s="115"/>
      <c r="BB508" s="115"/>
      <c r="BC508" s="115"/>
      <c r="BD508" s="25">
        <v>45265</v>
      </c>
      <c r="BE508" s="13" t="s">
        <v>162</v>
      </c>
      <c r="BH508" s="114"/>
    </row>
    <row r="509" spans="1:60" ht="19.5" x14ac:dyDescent="0.4">
      <c r="A509" s="117"/>
      <c r="B509" s="123"/>
      <c r="C509" s="123"/>
      <c r="D509" s="123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26"/>
      <c r="V509" s="13"/>
      <c r="AF509" s="25"/>
      <c r="AG509" s="13"/>
      <c r="AL509" s="117"/>
      <c r="AM509" s="123"/>
      <c r="AN509" s="123"/>
      <c r="AO509" s="123"/>
      <c r="AT509" s="115"/>
      <c r="AU509" s="115"/>
      <c r="AV509" s="115"/>
      <c r="AW509" s="115"/>
      <c r="AX509" s="115"/>
      <c r="AY509" s="115"/>
      <c r="AZ509" s="115"/>
      <c r="BA509" s="115"/>
      <c r="BB509" s="115"/>
      <c r="BC509" s="115"/>
      <c r="BD509" s="25"/>
      <c r="BE509" s="13"/>
      <c r="BH509" s="114"/>
    </row>
    <row r="510" spans="1:60" ht="19.5" x14ac:dyDescent="0.4">
      <c r="A510" s="117"/>
      <c r="B510" s="123"/>
      <c r="C510" s="123"/>
      <c r="D510" s="123"/>
      <c r="U510" s="26"/>
      <c r="V510" s="13"/>
      <c r="AB510" s="115"/>
      <c r="AC510" s="115"/>
      <c r="AD510" s="115"/>
      <c r="AE510" s="115"/>
      <c r="AF510" s="25">
        <v>45686</v>
      </c>
      <c r="AG510" s="15" t="s">
        <v>146</v>
      </c>
      <c r="AL510" s="117"/>
      <c r="AM510" s="123"/>
      <c r="AN510" s="123"/>
      <c r="AO510" s="123"/>
      <c r="AT510" s="115"/>
      <c r="AU510" s="115"/>
      <c r="AV510" s="115"/>
      <c r="AW510" s="115"/>
      <c r="AX510" s="115"/>
      <c r="AY510" s="115"/>
      <c r="AZ510" s="115"/>
      <c r="BA510" s="115"/>
      <c r="BB510" s="115"/>
      <c r="BC510" s="115"/>
      <c r="BD510" s="25"/>
      <c r="BE510" s="13"/>
      <c r="BH510" s="114"/>
    </row>
    <row r="511" spans="1:60" ht="19.5" x14ac:dyDescent="0.4">
      <c r="A511" s="117"/>
      <c r="B511" s="123"/>
      <c r="C511" s="123"/>
      <c r="D511" s="123"/>
      <c r="U511" s="26"/>
      <c r="V511" s="13"/>
      <c r="AF511" s="25">
        <v>45686</v>
      </c>
      <c r="AG511" s="15" t="s">
        <v>147</v>
      </c>
      <c r="AL511" s="117"/>
      <c r="AM511" s="123"/>
      <c r="AN511" s="123"/>
      <c r="AO511" s="123"/>
      <c r="AT511" s="115"/>
      <c r="AU511" s="115"/>
      <c r="AV511" s="115"/>
      <c r="AW511" s="115"/>
      <c r="AX511" s="115"/>
      <c r="AY511" s="115"/>
      <c r="AZ511" s="115"/>
      <c r="BA511" s="115"/>
      <c r="BB511" s="115"/>
      <c r="BC511" s="115"/>
      <c r="BD511" s="25">
        <v>45265</v>
      </c>
      <c r="BE511" s="13" t="s">
        <v>162</v>
      </c>
      <c r="BH511" s="114"/>
    </row>
    <row r="512" spans="1:60" ht="19.5" x14ac:dyDescent="0.4">
      <c r="A512" s="117"/>
      <c r="B512" s="123"/>
      <c r="C512" s="123"/>
      <c r="D512" s="123"/>
      <c r="U512" s="26"/>
      <c r="V512" s="13"/>
      <c r="AC512" s="115"/>
      <c r="AD512" s="115"/>
      <c r="AE512" s="115"/>
      <c r="AF512" s="25">
        <v>45686</v>
      </c>
      <c r="AG512" s="15" t="s">
        <v>147</v>
      </c>
      <c r="AL512" s="117"/>
      <c r="AM512" s="123"/>
      <c r="AN512" s="123"/>
      <c r="AO512" s="123"/>
      <c r="AT512" s="115"/>
      <c r="AU512" s="115"/>
      <c r="AV512" s="115"/>
      <c r="AW512" s="115"/>
      <c r="AX512" s="115"/>
      <c r="AY512" s="115"/>
      <c r="AZ512" s="115"/>
      <c r="BA512" s="115"/>
      <c r="BB512" s="115"/>
      <c r="BC512" s="115"/>
      <c r="BD512" s="25"/>
      <c r="BE512" s="13"/>
      <c r="BH512" s="114"/>
    </row>
    <row r="513" spans="1:60" ht="19.5" x14ac:dyDescent="0.4">
      <c r="A513" s="117"/>
      <c r="B513" s="123"/>
      <c r="C513" s="123"/>
      <c r="D513" s="123"/>
      <c r="U513" s="26"/>
      <c r="V513" s="13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25">
        <v>45686</v>
      </c>
      <c r="AG513" s="13" t="s">
        <v>146</v>
      </c>
      <c r="AL513" s="117"/>
      <c r="AM513" s="123"/>
      <c r="AN513" s="123"/>
      <c r="AO513" s="123"/>
      <c r="AT513" s="115"/>
      <c r="AU513" s="115"/>
      <c r="AV513" s="115"/>
      <c r="AW513" s="115"/>
      <c r="AX513" s="115"/>
      <c r="AY513" s="115"/>
      <c r="AZ513" s="115"/>
      <c r="BA513" s="115"/>
      <c r="BB513" s="115"/>
      <c r="BC513" s="115"/>
      <c r="BD513" s="25"/>
      <c r="BE513" s="13"/>
      <c r="BH513" s="114"/>
    </row>
    <row r="514" spans="1:60" ht="19.5" x14ac:dyDescent="0.4">
      <c r="A514" s="117"/>
      <c r="B514" s="123"/>
      <c r="C514" s="123"/>
      <c r="D514" s="123"/>
      <c r="U514" s="26"/>
      <c r="V514" s="13"/>
      <c r="AF514" s="25">
        <v>45686</v>
      </c>
      <c r="AG514" s="25" t="s">
        <v>146</v>
      </c>
      <c r="AL514" s="117"/>
      <c r="AM514" s="123"/>
      <c r="AN514" s="123"/>
      <c r="AO514" s="123"/>
      <c r="AT514" s="115"/>
      <c r="AU514" s="115"/>
      <c r="AV514" s="115"/>
      <c r="AW514" s="115"/>
      <c r="AX514" s="115"/>
      <c r="AY514" s="115"/>
      <c r="AZ514" s="115"/>
      <c r="BA514" s="115"/>
      <c r="BB514" s="115"/>
      <c r="BC514" s="115"/>
      <c r="BD514" s="25">
        <v>45265</v>
      </c>
      <c r="BE514" s="13" t="s">
        <v>163</v>
      </c>
      <c r="BH514" s="114"/>
    </row>
    <row r="515" spans="1:60" ht="19.5" x14ac:dyDescent="0.4">
      <c r="A515" s="117"/>
      <c r="B515" s="123"/>
      <c r="C515" s="123"/>
      <c r="D515" s="123"/>
      <c r="U515" s="26"/>
      <c r="V515" s="13"/>
      <c r="AF515" s="25">
        <v>45686</v>
      </c>
      <c r="AG515" s="25" t="s">
        <v>147</v>
      </c>
      <c r="AL515" s="117"/>
      <c r="AM515" s="123"/>
      <c r="AN515" s="123"/>
      <c r="AO515" s="123"/>
      <c r="AT515" s="115"/>
      <c r="AU515" s="115"/>
      <c r="AV515" s="115"/>
      <c r="AW515" s="115"/>
      <c r="AX515" s="115"/>
      <c r="AY515" s="115"/>
      <c r="AZ515" s="115"/>
      <c r="BA515" s="115"/>
      <c r="BB515" s="115"/>
      <c r="BC515" s="115" t="s">
        <v>155</v>
      </c>
      <c r="BD515" s="13">
        <f>SUBTOTAL(3,BD504:BD514)</f>
        <v>5</v>
      </c>
      <c r="BE515" s="13">
        <f>SUBTOTAL(3,BE504:BE514)</f>
        <v>5</v>
      </c>
      <c r="BH515" s="114"/>
    </row>
    <row r="516" spans="1:60" ht="19.5" x14ac:dyDescent="0.4">
      <c r="A516" s="117"/>
      <c r="B516" s="123"/>
      <c r="C516" s="123"/>
      <c r="D516" s="123"/>
      <c r="U516" s="26"/>
      <c r="V516" s="13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25">
        <v>45686</v>
      </c>
      <c r="AG516" s="25" t="s">
        <v>148</v>
      </c>
      <c r="AL516" s="117"/>
      <c r="AM516" s="123"/>
      <c r="AN516" s="123"/>
      <c r="AO516" s="123"/>
      <c r="AT516" s="115"/>
      <c r="AU516" s="115"/>
      <c r="AV516" s="115"/>
      <c r="AW516" s="115"/>
      <c r="AX516" s="115"/>
      <c r="AY516" s="115"/>
      <c r="AZ516" s="115"/>
      <c r="BA516" s="115"/>
      <c r="BB516" s="115"/>
      <c r="BC516" s="115"/>
      <c r="BD516" s="13"/>
      <c r="BE516" s="13"/>
      <c r="BH516" s="114"/>
    </row>
    <row r="517" spans="1:60" ht="19.5" x14ac:dyDescent="0.4">
      <c r="A517" s="117"/>
      <c r="B517" s="123"/>
      <c r="C517" s="123"/>
      <c r="D517" s="123"/>
      <c r="U517" s="26"/>
      <c r="V517" s="13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25">
        <v>45686</v>
      </c>
      <c r="AG517" s="13" t="s">
        <v>146</v>
      </c>
      <c r="AL517" s="117"/>
      <c r="AM517" s="123"/>
      <c r="AN517" s="123"/>
      <c r="AO517" s="123"/>
      <c r="AT517" s="115"/>
      <c r="AU517" s="115"/>
      <c r="AV517" s="115"/>
      <c r="AW517" s="115"/>
      <c r="AX517" s="115"/>
      <c r="AY517" s="115"/>
      <c r="AZ517" s="115"/>
      <c r="BA517" s="115"/>
      <c r="BB517" s="115"/>
      <c r="BC517" s="115"/>
      <c r="BD517" s="13"/>
      <c r="BE517" s="13"/>
      <c r="BH517" s="114"/>
    </row>
    <row r="518" spans="1:60" ht="19.5" x14ac:dyDescent="0.4">
      <c r="A518" s="117"/>
      <c r="B518" s="123"/>
      <c r="C518" s="123"/>
      <c r="D518" s="123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26"/>
      <c r="V518" s="13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25">
        <v>45686</v>
      </c>
      <c r="AG518" s="13" t="s">
        <v>146</v>
      </c>
      <c r="AL518" s="117"/>
      <c r="AM518" s="123"/>
      <c r="AN518" s="123"/>
      <c r="AO518" s="123"/>
      <c r="AT518" s="115"/>
      <c r="AU518" s="115"/>
      <c r="AV518" s="115"/>
      <c r="AW518" s="115"/>
      <c r="AX518" s="115"/>
      <c r="AY518" s="115"/>
      <c r="AZ518" s="115"/>
      <c r="BA518" s="115"/>
      <c r="BB518" s="115"/>
      <c r="BC518" s="115"/>
      <c r="BD518" s="13"/>
      <c r="BE518" s="13"/>
      <c r="BH518" s="114"/>
    </row>
    <row r="519" spans="1:60" ht="19.5" x14ac:dyDescent="0.4">
      <c r="A519" s="117"/>
      <c r="B519" s="123"/>
      <c r="C519" s="123"/>
      <c r="D519" s="123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26"/>
      <c r="V519" s="13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25">
        <v>45686</v>
      </c>
      <c r="AG519" s="15" t="s">
        <v>148</v>
      </c>
      <c r="AL519" s="117"/>
      <c r="AM519" s="123"/>
      <c r="AN519" s="123"/>
      <c r="AO519" s="123"/>
      <c r="AT519" s="115"/>
      <c r="AU519" s="115"/>
      <c r="AV519" s="115"/>
      <c r="AW519" s="115"/>
      <c r="AX519" s="115"/>
      <c r="AY519" s="115"/>
      <c r="AZ519" s="115"/>
      <c r="BA519" s="115"/>
      <c r="BB519" s="115"/>
      <c r="BC519" s="115"/>
      <c r="BD519" s="13"/>
      <c r="BE519" s="13"/>
      <c r="BH519" s="114"/>
    </row>
    <row r="520" spans="1:60" ht="19.5" x14ac:dyDescent="0.4">
      <c r="A520" s="117"/>
      <c r="B520" s="123"/>
      <c r="C520" s="123"/>
      <c r="D520" s="123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26"/>
      <c r="V520" s="13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25">
        <v>45686</v>
      </c>
      <c r="AG520" s="15" t="s">
        <v>148</v>
      </c>
      <c r="AL520" s="117"/>
      <c r="AM520" s="123"/>
      <c r="AN520" s="123"/>
      <c r="AO520" s="123"/>
      <c r="AT520" s="115"/>
      <c r="AU520" s="115"/>
      <c r="AV520" s="115"/>
      <c r="AW520" s="115"/>
      <c r="AX520" s="115"/>
      <c r="AY520" s="115"/>
      <c r="AZ520" s="115"/>
      <c r="BA520" s="115"/>
      <c r="BB520" s="115"/>
      <c r="BC520" s="115"/>
      <c r="BD520" s="13"/>
      <c r="BE520" s="13"/>
      <c r="BH520" s="114"/>
    </row>
    <row r="521" spans="1:60" ht="19.5" x14ac:dyDescent="0.4">
      <c r="A521" s="117"/>
      <c r="B521" s="123"/>
      <c r="C521" s="123"/>
      <c r="D521" s="123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26"/>
      <c r="V521" s="13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25">
        <v>45686</v>
      </c>
      <c r="AG521" s="15" t="s">
        <v>148</v>
      </c>
      <c r="AL521" s="117"/>
      <c r="AM521" s="123"/>
      <c r="AN521" s="123"/>
      <c r="AO521" s="123"/>
      <c r="AT521" s="115"/>
      <c r="AU521" s="115"/>
      <c r="AV521" s="115"/>
      <c r="AW521" s="115"/>
      <c r="AX521" s="115"/>
      <c r="AY521" s="115"/>
      <c r="AZ521" s="115"/>
      <c r="BA521" s="115"/>
      <c r="BB521" s="115"/>
      <c r="BC521" s="115"/>
      <c r="BD521" s="13"/>
      <c r="BE521" s="13"/>
      <c r="BH521" s="114"/>
    </row>
    <row r="522" spans="1:60" ht="19.5" x14ac:dyDescent="0.4">
      <c r="A522" s="117"/>
      <c r="B522" s="123"/>
      <c r="C522" s="123"/>
      <c r="D522" s="123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26"/>
      <c r="V522" s="13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25">
        <v>45686</v>
      </c>
      <c r="AG522" s="15" t="s">
        <v>146</v>
      </c>
      <c r="AL522" s="117"/>
      <c r="AM522" s="123"/>
      <c r="AN522" s="123"/>
      <c r="AO522" s="123"/>
      <c r="AT522" s="115"/>
      <c r="AU522" s="115"/>
      <c r="AV522" s="115"/>
      <c r="AW522" s="115"/>
      <c r="AX522" s="115"/>
      <c r="AY522" s="115"/>
      <c r="AZ522" s="115"/>
      <c r="BA522" s="115"/>
      <c r="BB522" s="115"/>
      <c r="BC522" s="115"/>
      <c r="BD522" s="13"/>
      <c r="BE522" s="13"/>
      <c r="BH522" s="114"/>
    </row>
    <row r="523" spans="1:60" ht="19.5" x14ac:dyDescent="0.4">
      <c r="A523" s="117"/>
      <c r="B523" s="123"/>
      <c r="C523" s="123"/>
      <c r="D523" s="123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26"/>
      <c r="V523" s="13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25">
        <v>45686</v>
      </c>
      <c r="AG523" s="15" t="s">
        <v>148</v>
      </c>
      <c r="AL523" s="117"/>
      <c r="AM523" s="123"/>
      <c r="AN523" s="123"/>
      <c r="AO523" s="123"/>
      <c r="AT523" s="115"/>
      <c r="AU523" s="115"/>
      <c r="AV523" s="115"/>
      <c r="AW523" s="115"/>
      <c r="AX523" s="115"/>
      <c r="AY523" s="115"/>
      <c r="AZ523" s="115"/>
      <c r="BA523" s="115"/>
      <c r="BB523" s="115"/>
      <c r="BC523" s="115"/>
      <c r="BD523" s="13"/>
      <c r="BE523" s="13"/>
      <c r="BH523" s="114"/>
    </row>
    <row r="524" spans="1:60" ht="19.5" x14ac:dyDescent="0.4">
      <c r="A524" s="117"/>
      <c r="B524" s="123"/>
      <c r="C524" s="123"/>
      <c r="D524" s="123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26"/>
      <c r="V524" s="13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25">
        <v>45689</v>
      </c>
      <c r="AG524" s="15" t="s">
        <v>147</v>
      </c>
      <c r="AL524" s="117"/>
      <c r="AM524" s="123"/>
      <c r="AN524" s="123"/>
      <c r="AO524" s="123"/>
      <c r="AT524" s="115"/>
      <c r="AU524" s="115"/>
      <c r="AV524" s="115"/>
      <c r="AW524" s="115"/>
      <c r="AX524" s="115"/>
      <c r="AY524" s="115"/>
      <c r="AZ524" s="115"/>
      <c r="BA524" s="115"/>
      <c r="BB524" s="115"/>
      <c r="BC524" s="115"/>
      <c r="BD524" s="13"/>
      <c r="BE524" s="13"/>
      <c r="BH524" s="114"/>
    </row>
    <row r="525" spans="1:60" ht="19.5" x14ac:dyDescent="0.4">
      <c r="A525" s="117"/>
      <c r="B525" s="123"/>
      <c r="C525" s="123"/>
      <c r="D525" s="123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26"/>
      <c r="V525" s="13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25"/>
      <c r="AG525" s="15"/>
      <c r="AL525" s="117"/>
      <c r="AM525" s="123"/>
      <c r="AN525" s="123"/>
      <c r="AO525" s="123"/>
      <c r="AT525" s="115"/>
      <c r="AU525" s="115"/>
      <c r="AV525" s="115"/>
      <c r="AW525" s="115"/>
      <c r="AX525" s="115"/>
      <c r="AY525" s="115"/>
      <c r="AZ525" s="115"/>
      <c r="BA525" s="115"/>
      <c r="BB525" s="115"/>
      <c r="BC525" s="115"/>
      <c r="BD525" s="13"/>
      <c r="BE525" s="13"/>
      <c r="BH525" s="114"/>
    </row>
    <row r="526" spans="1:60" ht="19.5" x14ac:dyDescent="0.4">
      <c r="A526" s="117"/>
      <c r="B526" s="123"/>
      <c r="C526" s="123"/>
      <c r="D526" s="123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26"/>
      <c r="V526" s="13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25">
        <v>45689</v>
      </c>
      <c r="AG526" s="15" t="s">
        <v>147</v>
      </c>
      <c r="AL526" s="117"/>
      <c r="AM526" s="123"/>
      <c r="AN526" s="123"/>
      <c r="AO526" s="123"/>
      <c r="AT526" s="115"/>
      <c r="AU526" s="115"/>
      <c r="AV526" s="115"/>
      <c r="AW526" s="115"/>
      <c r="AX526" s="115"/>
      <c r="AY526" s="115"/>
      <c r="AZ526" s="115"/>
      <c r="BA526" s="115"/>
      <c r="BB526" s="115"/>
      <c r="BC526" s="115"/>
      <c r="BD526" s="13"/>
      <c r="BE526" s="13"/>
      <c r="BH526" s="114"/>
    </row>
    <row r="527" spans="1:60" ht="19.5" x14ac:dyDescent="0.4">
      <c r="A527" s="117"/>
      <c r="B527" s="123"/>
      <c r="C527" s="123"/>
      <c r="D527" s="123"/>
      <c r="U527" s="26"/>
      <c r="V527" s="13"/>
      <c r="AF527" s="25">
        <v>45689</v>
      </c>
      <c r="AG527" s="15" t="s">
        <v>146</v>
      </c>
      <c r="AL527" s="117"/>
      <c r="AM527" s="123"/>
      <c r="AN527" s="123"/>
      <c r="AO527" s="123"/>
      <c r="AQ527" s="115"/>
      <c r="AR527" s="115"/>
      <c r="AS527" s="115"/>
      <c r="AT527" s="115"/>
      <c r="AU527" s="115"/>
      <c r="AV527" s="115"/>
      <c r="AW527" s="115"/>
      <c r="AX527" s="115"/>
      <c r="AY527" s="115"/>
      <c r="AZ527" s="115"/>
      <c r="BA527" s="115"/>
      <c r="BB527" s="115"/>
      <c r="BC527" s="115"/>
      <c r="BD527" s="25">
        <v>45266</v>
      </c>
      <c r="BE527" s="25" t="s">
        <v>162</v>
      </c>
      <c r="BH527" s="114"/>
    </row>
    <row r="528" spans="1:60" ht="19.5" x14ac:dyDescent="0.4">
      <c r="A528" s="117"/>
      <c r="B528" s="123"/>
      <c r="C528" s="123"/>
      <c r="D528" s="123"/>
      <c r="U528" s="129"/>
      <c r="V528" s="13"/>
      <c r="AF528" s="25"/>
      <c r="AG528" s="15"/>
      <c r="AL528" s="117"/>
      <c r="AM528" s="123"/>
      <c r="AN528" s="123"/>
      <c r="AO528" s="123"/>
      <c r="AQ528" s="115"/>
      <c r="AR528" s="115"/>
      <c r="AS528" s="115"/>
      <c r="AT528" s="115"/>
      <c r="AU528" s="115"/>
      <c r="AV528" s="115"/>
      <c r="AW528" s="115"/>
      <c r="AX528" s="115"/>
      <c r="AY528" s="115"/>
      <c r="AZ528" s="115"/>
      <c r="BA528" s="115"/>
      <c r="BB528" s="115"/>
      <c r="BC528" s="115"/>
      <c r="BD528" s="25"/>
      <c r="BE528" s="25"/>
      <c r="BH528" s="114"/>
    </row>
    <row r="529" spans="1:60" ht="19.5" x14ac:dyDescent="0.4">
      <c r="A529" s="117"/>
      <c r="B529" s="123"/>
      <c r="C529" s="123"/>
      <c r="D529" s="123"/>
      <c r="U529" s="26"/>
      <c r="V529" s="13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25">
        <v>45689</v>
      </c>
      <c r="AG529" s="15" t="s">
        <v>146</v>
      </c>
      <c r="AL529" s="117"/>
      <c r="AM529" s="123"/>
      <c r="AN529" s="123"/>
      <c r="AO529" s="123"/>
      <c r="AQ529" s="115"/>
      <c r="AR529" s="115"/>
      <c r="AS529" s="115"/>
      <c r="AT529" s="115"/>
      <c r="AU529" s="115"/>
      <c r="AV529" s="115"/>
      <c r="AW529" s="115"/>
      <c r="AX529" s="115"/>
      <c r="AY529" s="115"/>
      <c r="AZ529" s="115"/>
      <c r="BA529" s="115"/>
      <c r="BB529" s="115"/>
      <c r="BC529" s="115"/>
      <c r="BD529" s="25"/>
      <c r="BE529" s="25"/>
      <c r="BH529" s="114"/>
    </row>
    <row r="530" spans="1:60" ht="19.5" x14ac:dyDescent="0.4">
      <c r="A530" s="117"/>
      <c r="B530" s="123"/>
      <c r="C530" s="123"/>
      <c r="D530" s="123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26"/>
      <c r="V530" s="13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25"/>
      <c r="AG530" s="15"/>
      <c r="AL530" s="117"/>
      <c r="AM530" s="123"/>
      <c r="AN530" s="123"/>
      <c r="AO530" s="123"/>
      <c r="AQ530" s="115"/>
      <c r="AR530" s="115"/>
      <c r="AS530" s="115"/>
      <c r="AT530" s="115"/>
      <c r="AU530" s="115"/>
      <c r="AV530" s="115"/>
      <c r="AW530" s="115"/>
      <c r="AX530" s="115"/>
      <c r="AY530" s="115"/>
      <c r="AZ530" s="115"/>
      <c r="BA530" s="115"/>
      <c r="BB530" s="115"/>
      <c r="BC530" s="115"/>
      <c r="BD530" s="25"/>
      <c r="BE530" s="25"/>
      <c r="BH530" s="114"/>
    </row>
    <row r="531" spans="1:60" ht="19.5" x14ac:dyDescent="0.4">
      <c r="A531" s="117"/>
      <c r="B531" s="123"/>
      <c r="C531" s="123"/>
      <c r="D531" s="123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26"/>
      <c r="V531" s="13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25"/>
      <c r="AG531" s="15"/>
      <c r="AL531" s="117"/>
      <c r="AM531" s="123"/>
      <c r="AN531" s="123"/>
      <c r="AO531" s="123"/>
      <c r="AQ531" s="115"/>
      <c r="AR531" s="115"/>
      <c r="AS531" s="115"/>
      <c r="AT531" s="115"/>
      <c r="AU531" s="115"/>
      <c r="AV531" s="115"/>
      <c r="AW531" s="115"/>
      <c r="AX531" s="115"/>
      <c r="AY531" s="115"/>
      <c r="AZ531" s="115"/>
      <c r="BA531" s="115"/>
      <c r="BB531" s="115"/>
      <c r="BC531" s="115"/>
      <c r="BD531" s="25"/>
      <c r="BE531" s="25"/>
      <c r="BH531" s="114"/>
    </row>
    <row r="532" spans="1:60" ht="19.5" x14ac:dyDescent="0.4">
      <c r="A532" s="117"/>
      <c r="B532" s="123"/>
      <c r="C532" s="123"/>
      <c r="D532" s="123"/>
      <c r="U532" s="26"/>
      <c r="V532" s="13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25">
        <v>45690</v>
      </c>
      <c r="AG532" s="15" t="s">
        <v>146</v>
      </c>
      <c r="AL532" s="117"/>
      <c r="AM532" s="123"/>
      <c r="AN532" s="123"/>
      <c r="AO532" s="123"/>
      <c r="AQ532" s="115"/>
      <c r="AR532" s="115"/>
      <c r="AS532" s="115"/>
      <c r="AT532" s="115"/>
      <c r="AU532" s="115"/>
      <c r="AV532" s="115"/>
      <c r="AW532" s="115"/>
      <c r="AX532" s="115"/>
      <c r="AY532" s="115"/>
      <c r="AZ532" s="115"/>
      <c r="BA532" s="115"/>
      <c r="BB532" s="115"/>
      <c r="BC532" s="115"/>
      <c r="BD532" s="25"/>
      <c r="BE532" s="25"/>
      <c r="BH532" s="114"/>
    </row>
    <row r="533" spans="1:60" ht="19.5" x14ac:dyDescent="0.4">
      <c r="A533" s="117"/>
      <c r="B533" s="123"/>
      <c r="C533" s="123"/>
      <c r="D533" s="123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26"/>
      <c r="V533" s="13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25"/>
      <c r="AG533" s="15"/>
      <c r="AL533" s="117"/>
      <c r="AM533" s="123"/>
      <c r="AN533" s="123"/>
      <c r="AO533" s="123"/>
      <c r="AQ533" s="115"/>
      <c r="AR533" s="115"/>
      <c r="AS533" s="115"/>
      <c r="AT533" s="115"/>
      <c r="AU533" s="115"/>
      <c r="AV533" s="115"/>
      <c r="AW533" s="115"/>
      <c r="AX533" s="115"/>
      <c r="AY533" s="115"/>
      <c r="AZ533" s="115"/>
      <c r="BA533" s="115"/>
      <c r="BB533" s="115"/>
      <c r="BC533" s="115"/>
      <c r="BD533" s="25"/>
      <c r="BE533" s="25"/>
      <c r="BH533" s="114"/>
    </row>
    <row r="534" spans="1:60" ht="19.5" x14ac:dyDescent="0.4">
      <c r="A534" s="117"/>
      <c r="B534" s="123"/>
      <c r="C534" s="123"/>
      <c r="D534" s="123"/>
      <c r="U534" s="26"/>
      <c r="V534" s="13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25">
        <v>45691</v>
      </c>
      <c r="AG534" s="15" t="s">
        <v>146</v>
      </c>
      <c r="AL534" s="117"/>
      <c r="AM534" s="123"/>
      <c r="AN534" s="123"/>
      <c r="AO534" s="123"/>
      <c r="AQ534" s="115"/>
      <c r="AR534" s="115"/>
      <c r="AS534" s="115"/>
      <c r="AT534" s="115"/>
      <c r="AU534" s="115"/>
      <c r="AV534" s="115"/>
      <c r="AW534" s="115"/>
      <c r="AX534" s="115"/>
      <c r="AY534" s="115"/>
      <c r="AZ534" s="115"/>
      <c r="BA534" s="115"/>
      <c r="BB534" s="115"/>
      <c r="BC534" s="115"/>
      <c r="BD534" s="25"/>
      <c r="BE534" s="25"/>
      <c r="BH534" s="114"/>
    </row>
    <row r="535" spans="1:60" ht="19.5" x14ac:dyDescent="0.4">
      <c r="A535" s="117"/>
      <c r="B535" s="123"/>
      <c r="C535" s="123"/>
      <c r="D535" s="123"/>
      <c r="U535" s="26"/>
      <c r="V535" s="13"/>
      <c r="AF535" s="25">
        <v>45691</v>
      </c>
      <c r="AG535" s="15" t="s">
        <v>146</v>
      </c>
      <c r="AL535" s="117"/>
      <c r="AM535" s="123"/>
      <c r="AN535" s="123"/>
      <c r="AO535" s="123"/>
      <c r="AQ535" s="115"/>
      <c r="AR535" s="115"/>
      <c r="AS535" s="115"/>
      <c r="AT535" s="115"/>
      <c r="AU535" s="115"/>
      <c r="AV535" s="115"/>
      <c r="AW535" s="115"/>
      <c r="AX535" s="115"/>
      <c r="AY535" s="115"/>
      <c r="AZ535" s="115"/>
      <c r="BA535" s="115"/>
      <c r="BB535" s="115"/>
      <c r="BC535" s="115" t="s">
        <v>156</v>
      </c>
      <c r="BD535" s="13">
        <f>SUBTOTAL(3,BD527:BD527)</f>
        <v>1</v>
      </c>
      <c r="BE535" s="13">
        <f>SUBTOTAL(3,BE527:BE527)</f>
        <v>1</v>
      </c>
      <c r="BH535" s="114"/>
    </row>
    <row r="536" spans="1:60" ht="19.5" x14ac:dyDescent="0.4">
      <c r="A536" s="117"/>
      <c r="B536" s="123"/>
      <c r="C536" s="123"/>
      <c r="D536" s="123"/>
      <c r="U536" s="26"/>
      <c r="V536" s="13"/>
      <c r="AB536" s="115"/>
      <c r="AC536" s="115"/>
      <c r="AD536" s="115"/>
      <c r="AE536" s="115"/>
      <c r="AF536" s="25">
        <v>45691</v>
      </c>
      <c r="AG536" s="15" t="s">
        <v>146</v>
      </c>
      <c r="AL536" s="117"/>
      <c r="AM536" s="123"/>
      <c r="AN536" s="123"/>
      <c r="AO536" s="123"/>
      <c r="AQ536" s="115"/>
      <c r="AR536" s="115"/>
      <c r="AS536" s="115"/>
      <c r="AT536" s="115"/>
      <c r="AU536" s="115"/>
      <c r="AV536" s="115"/>
      <c r="AW536" s="115"/>
      <c r="AX536" s="115"/>
      <c r="AY536" s="115"/>
      <c r="AZ536" s="115"/>
      <c r="BA536" s="115"/>
      <c r="BB536" s="115"/>
      <c r="BC536" s="115"/>
      <c r="BD536" s="13"/>
      <c r="BE536" s="13"/>
      <c r="BH536" s="114"/>
    </row>
    <row r="537" spans="1:60" ht="19.5" x14ac:dyDescent="0.4">
      <c r="A537" s="117"/>
      <c r="B537" s="123"/>
      <c r="C537" s="123"/>
      <c r="D537" s="123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26"/>
      <c r="V537" s="13"/>
      <c r="AB537" s="115"/>
      <c r="AC537" s="115"/>
      <c r="AD537" s="115"/>
      <c r="AE537" s="115"/>
      <c r="AF537" s="25"/>
      <c r="AG537" s="15"/>
      <c r="AL537" s="117"/>
      <c r="AM537" s="123"/>
      <c r="AN537" s="123"/>
      <c r="AO537" s="123"/>
      <c r="AQ537" s="115"/>
      <c r="AR537" s="115"/>
      <c r="AS537" s="115"/>
      <c r="AT537" s="115"/>
      <c r="AU537" s="115"/>
      <c r="AV537" s="115"/>
      <c r="AW537" s="115"/>
      <c r="AX537" s="115"/>
      <c r="AY537" s="115"/>
      <c r="AZ537" s="115"/>
      <c r="BA537" s="115"/>
      <c r="BB537" s="115"/>
      <c r="BC537" s="115"/>
      <c r="BD537" s="13"/>
      <c r="BE537" s="13"/>
      <c r="BH537" s="114"/>
    </row>
    <row r="538" spans="1:60" ht="19.5" x14ac:dyDescent="0.4">
      <c r="A538" s="117"/>
      <c r="B538" s="123"/>
      <c r="C538" s="123"/>
      <c r="D538" s="123"/>
      <c r="U538" s="26"/>
      <c r="V538" s="13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25">
        <v>45691</v>
      </c>
      <c r="AG538" s="15" t="s">
        <v>146</v>
      </c>
      <c r="AL538" s="117"/>
      <c r="AM538" s="123"/>
      <c r="AN538" s="123"/>
      <c r="AO538" s="123"/>
      <c r="AQ538" s="115"/>
      <c r="AR538" s="115"/>
      <c r="AS538" s="115"/>
      <c r="AT538" s="115"/>
      <c r="AU538" s="115"/>
      <c r="AV538" s="115"/>
      <c r="AW538" s="115"/>
      <c r="AX538" s="115"/>
      <c r="AY538" s="115"/>
      <c r="AZ538" s="115"/>
      <c r="BA538" s="115"/>
      <c r="BB538" s="115"/>
      <c r="BC538" s="115"/>
      <c r="BD538" s="13"/>
      <c r="BE538" s="13"/>
      <c r="BH538" s="114"/>
    </row>
    <row r="539" spans="1:60" ht="19.5" x14ac:dyDescent="0.4">
      <c r="A539" s="117"/>
      <c r="B539" s="123"/>
      <c r="C539" s="123"/>
      <c r="D539" s="123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26"/>
      <c r="V539" s="13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25"/>
      <c r="AG539" s="15"/>
      <c r="AL539" s="117"/>
      <c r="AM539" s="123"/>
      <c r="AN539" s="123"/>
      <c r="AO539" s="123"/>
      <c r="AQ539" s="115"/>
      <c r="AR539" s="115"/>
      <c r="AS539" s="115"/>
      <c r="AT539" s="115"/>
      <c r="AU539" s="115"/>
      <c r="AV539" s="115"/>
      <c r="AW539" s="115"/>
      <c r="AX539" s="115"/>
      <c r="AY539" s="115"/>
      <c r="AZ539" s="115"/>
      <c r="BA539" s="115"/>
      <c r="BB539" s="115"/>
      <c r="BC539" s="115"/>
      <c r="BD539" s="13"/>
      <c r="BE539" s="13"/>
      <c r="BH539" s="114"/>
    </row>
    <row r="540" spans="1:60" ht="19.5" x14ac:dyDescent="0.4">
      <c r="A540" s="117"/>
      <c r="B540" s="123"/>
      <c r="C540" s="123"/>
      <c r="D540" s="123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26"/>
      <c r="V540" s="13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25"/>
      <c r="AG540" s="15"/>
      <c r="AL540" s="117"/>
      <c r="AM540" s="123"/>
      <c r="AN540" s="123"/>
      <c r="AO540" s="123"/>
      <c r="AQ540" s="115"/>
      <c r="AR540" s="115"/>
      <c r="AS540" s="115"/>
      <c r="AT540" s="115"/>
      <c r="AU540" s="115"/>
      <c r="AV540" s="115"/>
      <c r="AW540" s="115"/>
      <c r="AX540" s="115"/>
      <c r="AY540" s="115"/>
      <c r="AZ540" s="115"/>
      <c r="BA540" s="115"/>
      <c r="BB540" s="115"/>
      <c r="BC540" s="115"/>
      <c r="BD540" s="13"/>
      <c r="BE540" s="13"/>
      <c r="BH540" s="114"/>
    </row>
    <row r="541" spans="1:60" ht="19.5" x14ac:dyDescent="0.4">
      <c r="A541" s="117"/>
      <c r="B541" s="123"/>
      <c r="C541" s="123"/>
      <c r="D541" s="123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26"/>
      <c r="V541" s="13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25"/>
      <c r="AG541" s="15"/>
      <c r="AL541" s="117"/>
      <c r="AM541" s="123"/>
      <c r="AN541" s="123"/>
      <c r="AO541" s="123"/>
      <c r="AQ541" s="115"/>
      <c r="AR541" s="115"/>
      <c r="AS541" s="115"/>
      <c r="AT541" s="115"/>
      <c r="AU541" s="115"/>
      <c r="AV541" s="115"/>
      <c r="AW541" s="115"/>
      <c r="AX541" s="115"/>
      <c r="AY541" s="115"/>
      <c r="AZ541" s="115"/>
      <c r="BA541" s="115"/>
      <c r="BB541" s="115"/>
      <c r="BC541" s="115"/>
      <c r="BD541" s="13"/>
      <c r="BE541" s="13"/>
      <c r="BH541" s="114"/>
    </row>
    <row r="542" spans="1:60" ht="19.5" x14ac:dyDescent="0.4">
      <c r="A542" s="117"/>
      <c r="B542" s="123"/>
      <c r="C542" s="123"/>
      <c r="D542" s="123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29"/>
      <c r="V542" s="13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25"/>
      <c r="AG542" s="15"/>
      <c r="AL542" s="117"/>
      <c r="AM542" s="123"/>
      <c r="AN542" s="123"/>
      <c r="AO542" s="123"/>
      <c r="AQ542" s="115"/>
      <c r="AR542" s="115"/>
      <c r="AS542" s="115"/>
      <c r="AT542" s="115"/>
      <c r="AU542" s="115"/>
      <c r="AV542" s="115"/>
      <c r="AW542" s="115"/>
      <c r="AX542" s="115"/>
      <c r="AY542" s="115"/>
      <c r="AZ542" s="115"/>
      <c r="BA542" s="115"/>
      <c r="BB542" s="115"/>
      <c r="BC542" s="115"/>
      <c r="BD542" s="13"/>
      <c r="BE542" s="13"/>
      <c r="BH542" s="114"/>
    </row>
    <row r="543" spans="1:60" ht="19.5" x14ac:dyDescent="0.4">
      <c r="A543" s="117"/>
      <c r="B543" s="123"/>
      <c r="C543" s="123"/>
      <c r="D543" s="123"/>
      <c r="U543" s="26"/>
      <c r="V543" s="13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25">
        <v>45692</v>
      </c>
      <c r="AG543" s="15" t="s">
        <v>146</v>
      </c>
      <c r="AL543" s="117"/>
      <c r="AM543" s="123"/>
      <c r="AN543" s="123"/>
      <c r="AO543" s="123"/>
      <c r="AQ543" s="115"/>
      <c r="AR543" s="115"/>
      <c r="AS543" s="115"/>
      <c r="AT543" s="115"/>
      <c r="AU543" s="115"/>
      <c r="AV543" s="115"/>
      <c r="AW543" s="115"/>
      <c r="AX543" s="115"/>
      <c r="AY543" s="115"/>
      <c r="AZ543" s="115"/>
      <c r="BA543" s="115"/>
      <c r="BB543" s="115"/>
      <c r="BC543" s="115"/>
      <c r="BD543" s="13"/>
      <c r="BE543" s="13"/>
      <c r="BH543" s="114"/>
    </row>
    <row r="544" spans="1:60" ht="19.5" x14ac:dyDescent="0.4">
      <c r="A544" s="117"/>
      <c r="B544" s="123"/>
      <c r="C544" s="123"/>
      <c r="D544" s="123"/>
      <c r="U544" s="129"/>
      <c r="V544" s="13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25"/>
      <c r="AG544" s="15"/>
      <c r="AL544" s="117"/>
      <c r="AM544" s="123"/>
      <c r="AN544" s="123"/>
      <c r="AO544" s="123"/>
      <c r="AQ544" s="115"/>
      <c r="AR544" s="115"/>
      <c r="AS544" s="115"/>
      <c r="AT544" s="115"/>
      <c r="AU544" s="115"/>
      <c r="AV544" s="115"/>
      <c r="AW544" s="115"/>
      <c r="AX544" s="115"/>
      <c r="AY544" s="115"/>
      <c r="AZ544" s="115"/>
      <c r="BA544" s="115"/>
      <c r="BB544" s="115"/>
      <c r="BC544" s="115"/>
      <c r="BD544" s="13"/>
      <c r="BE544" s="13"/>
      <c r="BH544" s="114"/>
    </row>
    <row r="545" spans="1:60" ht="19.5" x14ac:dyDescent="0.4">
      <c r="A545" s="117"/>
      <c r="B545" s="123"/>
      <c r="C545" s="123"/>
      <c r="D545" s="123"/>
      <c r="U545" s="26"/>
      <c r="V545" s="13"/>
      <c r="AF545" s="25">
        <v>45692</v>
      </c>
      <c r="AG545" s="15" t="s">
        <v>146</v>
      </c>
      <c r="AL545" s="117"/>
      <c r="AM545" s="123"/>
      <c r="AN545" s="123"/>
      <c r="AO545" s="123"/>
      <c r="AQ545" s="115"/>
      <c r="AR545" s="115"/>
      <c r="AS545" s="115"/>
      <c r="AT545" s="115"/>
      <c r="AU545" s="115"/>
      <c r="AV545" s="115"/>
      <c r="AW545" s="115"/>
      <c r="AX545" s="115"/>
      <c r="AY545" s="115"/>
      <c r="AZ545" s="115"/>
      <c r="BA545" s="115"/>
      <c r="BB545" s="115"/>
      <c r="BC545" s="115"/>
      <c r="BD545" s="25">
        <v>45267</v>
      </c>
      <c r="BE545" s="13" t="s">
        <v>142</v>
      </c>
      <c r="BH545" s="114"/>
    </row>
    <row r="546" spans="1:60" ht="19.5" x14ac:dyDescent="0.4">
      <c r="A546" s="117"/>
      <c r="B546" s="123"/>
      <c r="C546" s="123"/>
      <c r="D546" s="123"/>
      <c r="U546" s="26"/>
      <c r="V546" s="13"/>
      <c r="AB546" s="115"/>
      <c r="AC546" s="115"/>
      <c r="AD546" s="115"/>
      <c r="AE546" s="115"/>
      <c r="AF546" s="25">
        <v>45692</v>
      </c>
      <c r="AG546" s="15" t="s">
        <v>146</v>
      </c>
      <c r="AL546" s="117"/>
      <c r="AM546" s="123"/>
      <c r="AN546" s="123"/>
      <c r="AO546" s="123"/>
      <c r="AQ546" s="115"/>
      <c r="AR546" s="115"/>
      <c r="AS546" s="115"/>
      <c r="AT546" s="115"/>
      <c r="AU546" s="115"/>
      <c r="AV546" s="115"/>
      <c r="AW546" s="115"/>
      <c r="AX546" s="115"/>
      <c r="AY546" s="115"/>
      <c r="AZ546" s="115"/>
      <c r="BA546" s="115"/>
      <c r="BB546" s="115"/>
      <c r="BC546" s="115"/>
      <c r="BD546" s="25"/>
      <c r="BE546" s="13"/>
      <c r="BH546" s="114"/>
    </row>
    <row r="547" spans="1:60" ht="19.5" x14ac:dyDescent="0.4">
      <c r="A547" s="117"/>
      <c r="B547" s="123"/>
      <c r="C547" s="123"/>
      <c r="D547" s="123"/>
      <c r="U547" s="26"/>
      <c r="V547" s="13"/>
      <c r="X547" s="115"/>
      <c r="Y547" s="115"/>
      <c r="Z547" s="115"/>
      <c r="AA547" s="115"/>
      <c r="AB547" s="115"/>
      <c r="AC547" s="115"/>
      <c r="AD547" s="115"/>
      <c r="AE547" s="115"/>
      <c r="AF547" s="25">
        <v>45692</v>
      </c>
      <c r="AG547" s="15" t="s">
        <v>146</v>
      </c>
      <c r="AL547" s="117"/>
      <c r="AM547" s="123"/>
      <c r="AN547" s="123"/>
      <c r="AO547" s="123"/>
      <c r="AQ547" s="115"/>
      <c r="AR547" s="115"/>
      <c r="AS547" s="115"/>
      <c r="AT547" s="115"/>
      <c r="AU547" s="115"/>
      <c r="AV547" s="115"/>
      <c r="AW547" s="115"/>
      <c r="AX547" s="115"/>
      <c r="AY547" s="115"/>
      <c r="AZ547" s="115"/>
      <c r="BA547" s="115"/>
      <c r="BB547" s="115"/>
      <c r="BC547" s="115"/>
      <c r="BD547" s="25"/>
      <c r="BE547" s="13"/>
      <c r="BH547" s="114"/>
    </row>
    <row r="548" spans="1:60" ht="19.5" x14ac:dyDescent="0.4">
      <c r="A548" s="117"/>
      <c r="B548" s="123"/>
      <c r="C548" s="123"/>
      <c r="D548" s="123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26"/>
      <c r="V548" s="13"/>
      <c r="X548" s="115"/>
      <c r="Y548" s="115"/>
      <c r="Z548" s="115"/>
      <c r="AA548" s="115"/>
      <c r="AB548" s="115"/>
      <c r="AC548" s="115"/>
      <c r="AD548" s="115"/>
      <c r="AE548" s="115"/>
      <c r="AF548" s="25"/>
      <c r="AG548" s="15"/>
      <c r="AL548" s="117"/>
      <c r="AM548" s="123"/>
      <c r="AN548" s="123"/>
      <c r="AO548" s="123"/>
      <c r="AQ548" s="115"/>
      <c r="AR548" s="115"/>
      <c r="AS548" s="115"/>
      <c r="AT548" s="115"/>
      <c r="AU548" s="115"/>
      <c r="AV548" s="115"/>
      <c r="AW548" s="115"/>
      <c r="AX548" s="115"/>
      <c r="AY548" s="115"/>
      <c r="AZ548" s="115"/>
      <c r="BA548" s="115"/>
      <c r="BB548" s="115"/>
      <c r="BC548" s="115"/>
      <c r="BD548" s="25"/>
      <c r="BE548" s="13"/>
      <c r="BH548" s="114"/>
    </row>
    <row r="549" spans="1:60" ht="19.5" x14ac:dyDescent="0.4">
      <c r="A549" s="117"/>
      <c r="B549" s="123"/>
      <c r="C549" s="123"/>
      <c r="D549" s="123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29"/>
      <c r="V549" s="13"/>
      <c r="X549" s="115"/>
      <c r="Y549" s="115"/>
      <c r="Z549" s="115"/>
      <c r="AA549" s="115"/>
      <c r="AB549" s="115"/>
      <c r="AC549" s="115"/>
      <c r="AD549" s="115"/>
      <c r="AE549" s="115"/>
      <c r="AF549" s="25"/>
      <c r="AG549" s="15"/>
      <c r="AL549" s="117"/>
      <c r="AM549" s="123"/>
      <c r="AN549" s="123"/>
      <c r="AO549" s="123"/>
      <c r="AQ549" s="115"/>
      <c r="AR549" s="115"/>
      <c r="AS549" s="115"/>
      <c r="AT549" s="115"/>
      <c r="AU549" s="115"/>
      <c r="AV549" s="115"/>
      <c r="AW549" s="115"/>
      <c r="AX549" s="115"/>
      <c r="AY549" s="115"/>
      <c r="AZ549" s="115"/>
      <c r="BA549" s="115"/>
      <c r="BB549" s="115"/>
      <c r="BC549" s="115"/>
      <c r="BD549" s="25"/>
      <c r="BE549" s="13"/>
      <c r="BH549" s="114"/>
    </row>
    <row r="550" spans="1:60" ht="19.5" x14ac:dyDescent="0.4">
      <c r="A550" s="117"/>
      <c r="B550" s="123"/>
      <c r="C550" s="123"/>
      <c r="D550" s="123"/>
      <c r="U550" s="26"/>
      <c r="V550" s="13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25">
        <v>45693</v>
      </c>
      <c r="AG550" s="15" t="s">
        <v>146</v>
      </c>
      <c r="AL550" s="117"/>
      <c r="AM550" s="123"/>
      <c r="AN550" s="123"/>
      <c r="AO550" s="123"/>
      <c r="AQ550" s="115"/>
      <c r="AR550" s="115"/>
      <c r="AS550" s="115"/>
      <c r="AT550" s="115"/>
      <c r="AU550" s="115"/>
      <c r="AV550" s="115"/>
      <c r="AW550" s="115"/>
      <c r="AX550" s="115"/>
      <c r="AY550" s="115"/>
      <c r="AZ550" s="115"/>
      <c r="BA550" s="115"/>
      <c r="BB550" s="115"/>
      <c r="BC550" s="115"/>
      <c r="BD550" s="25"/>
      <c r="BE550" s="13"/>
      <c r="BH550" s="114"/>
    </row>
    <row r="551" spans="1:60" ht="19.5" x14ac:dyDescent="0.4">
      <c r="A551" s="117"/>
      <c r="B551" s="123"/>
      <c r="C551" s="123"/>
      <c r="D551" s="123"/>
      <c r="U551" s="129"/>
      <c r="V551" s="13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25"/>
      <c r="AG551" s="15"/>
      <c r="AL551" s="117"/>
      <c r="AM551" s="123"/>
      <c r="AN551" s="123"/>
      <c r="AO551" s="123"/>
      <c r="AQ551" s="115"/>
      <c r="AR551" s="115"/>
      <c r="AS551" s="115"/>
      <c r="AT551" s="115"/>
      <c r="AU551" s="115"/>
      <c r="AV551" s="115"/>
      <c r="AW551" s="115"/>
      <c r="AX551" s="115"/>
      <c r="AY551" s="115"/>
      <c r="AZ551" s="115"/>
      <c r="BA551" s="115"/>
      <c r="BB551" s="115"/>
      <c r="BC551" s="115"/>
      <c r="BD551" s="25"/>
      <c r="BE551" s="13"/>
      <c r="BH551" s="114"/>
    </row>
    <row r="552" spans="1:60" ht="19.5" x14ac:dyDescent="0.4">
      <c r="A552" s="117"/>
      <c r="B552" s="123"/>
      <c r="C552" s="123"/>
      <c r="D552" s="123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26"/>
      <c r="V552" s="13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25"/>
      <c r="AG552" s="15"/>
      <c r="AL552" s="117"/>
      <c r="AM552" s="123"/>
      <c r="AN552" s="123"/>
      <c r="AO552" s="123"/>
      <c r="AQ552" s="115"/>
      <c r="AR552" s="115"/>
      <c r="AS552" s="115"/>
      <c r="AT552" s="115"/>
      <c r="AU552" s="115"/>
      <c r="AV552" s="115"/>
      <c r="AW552" s="115"/>
      <c r="AX552" s="115"/>
      <c r="AY552" s="115"/>
      <c r="AZ552" s="115"/>
      <c r="BA552" s="115"/>
      <c r="BB552" s="115"/>
      <c r="BC552" s="115"/>
      <c r="BD552" s="25"/>
      <c r="BE552" s="13"/>
      <c r="BH552" s="114"/>
    </row>
    <row r="553" spans="1:60" ht="19.5" x14ac:dyDescent="0.4">
      <c r="A553" s="117"/>
      <c r="B553" s="123"/>
      <c r="C553" s="123"/>
      <c r="D553" s="123"/>
      <c r="U553" s="26"/>
      <c r="V553" s="13"/>
      <c r="AF553" s="25">
        <v>45693</v>
      </c>
      <c r="AG553" s="15" t="s">
        <v>146</v>
      </c>
      <c r="AL553" s="117"/>
      <c r="AM553" s="123"/>
      <c r="AN553" s="123"/>
      <c r="AO553" s="123"/>
      <c r="AQ553" s="115"/>
      <c r="AR553" s="115"/>
      <c r="AS553" s="115"/>
      <c r="AT553" s="115"/>
      <c r="AU553" s="115"/>
      <c r="AV553" s="115"/>
      <c r="AW553" s="115"/>
      <c r="AX553" s="115"/>
      <c r="AY553" s="115"/>
      <c r="AZ553" s="115"/>
      <c r="BA553" s="115"/>
      <c r="BB553" s="115"/>
      <c r="BC553" s="115" t="s">
        <v>157</v>
      </c>
      <c r="BD553" s="13">
        <f>SUBTOTAL(3,BD545:BD545)</f>
        <v>1</v>
      </c>
      <c r="BE553" s="13">
        <f>SUBTOTAL(3,BE545:BE545)</f>
        <v>1</v>
      </c>
      <c r="BH553" s="114"/>
    </row>
    <row r="554" spans="1:60" ht="19.5" x14ac:dyDescent="0.4">
      <c r="A554" s="117"/>
      <c r="B554" s="123"/>
      <c r="C554" s="123"/>
      <c r="D554" s="123"/>
      <c r="U554" s="26"/>
      <c r="V554" s="13"/>
      <c r="X554" s="115"/>
      <c r="Y554" s="115"/>
      <c r="Z554" s="115"/>
      <c r="AA554" s="115"/>
      <c r="AB554" s="115"/>
      <c r="AC554" s="115"/>
      <c r="AD554" s="115"/>
      <c r="AE554" s="115"/>
      <c r="AF554" s="25">
        <v>45693</v>
      </c>
      <c r="AG554" s="15" t="s">
        <v>146</v>
      </c>
      <c r="AL554" s="117"/>
      <c r="AM554" s="123"/>
      <c r="AN554" s="123"/>
      <c r="AO554" s="123"/>
      <c r="AQ554" s="115"/>
      <c r="AR554" s="115"/>
      <c r="AS554" s="115"/>
      <c r="AT554" s="115"/>
      <c r="AU554" s="115"/>
      <c r="AV554" s="115"/>
      <c r="AW554" s="115"/>
      <c r="AX554" s="115"/>
      <c r="AY554" s="115"/>
      <c r="AZ554" s="115"/>
      <c r="BA554" s="115"/>
      <c r="BB554" s="115"/>
      <c r="BC554" s="115"/>
      <c r="BD554" s="13"/>
      <c r="BE554" s="13"/>
      <c r="BH554" s="114"/>
    </row>
    <row r="555" spans="1:60" ht="19.5" x14ac:dyDescent="0.4">
      <c r="A555" s="117"/>
      <c r="B555" s="123"/>
      <c r="C555" s="123"/>
      <c r="D555" s="123"/>
      <c r="U555" s="129"/>
      <c r="V555" s="13"/>
      <c r="X555" s="115"/>
      <c r="Y555" s="115"/>
      <c r="Z555" s="115"/>
      <c r="AA555" s="115"/>
      <c r="AB555" s="115"/>
      <c r="AC555" s="115"/>
      <c r="AD555" s="115"/>
      <c r="AE555" s="115"/>
      <c r="AF555" s="25"/>
      <c r="AG555" s="15"/>
      <c r="AL555" s="117"/>
      <c r="AM555" s="123"/>
      <c r="AN555" s="123"/>
      <c r="AO555" s="123"/>
      <c r="AQ555" s="115"/>
      <c r="AR555" s="115"/>
      <c r="AS555" s="115"/>
      <c r="AT555" s="115"/>
      <c r="AU555" s="115"/>
      <c r="AV555" s="115"/>
      <c r="AW555" s="115"/>
      <c r="AX555" s="115"/>
      <c r="AY555" s="115"/>
      <c r="AZ555" s="115"/>
      <c r="BA555" s="115"/>
      <c r="BB555" s="115"/>
      <c r="BC555" s="115"/>
      <c r="BD555" s="13"/>
      <c r="BE555" s="13"/>
      <c r="BH555" s="114"/>
    </row>
    <row r="556" spans="1:60" ht="19.5" x14ac:dyDescent="0.4">
      <c r="A556" s="117"/>
      <c r="B556" s="123"/>
      <c r="C556" s="123"/>
      <c r="D556" s="123"/>
      <c r="U556" s="129"/>
      <c r="V556" s="13"/>
      <c r="X556" s="115"/>
      <c r="Y556" s="115"/>
      <c r="Z556" s="115"/>
      <c r="AA556" s="115"/>
      <c r="AB556" s="115"/>
      <c r="AC556" s="115"/>
      <c r="AD556" s="115"/>
      <c r="AE556" s="115"/>
      <c r="AF556" s="25"/>
      <c r="AG556" s="15"/>
      <c r="AL556" s="117"/>
      <c r="AM556" s="123"/>
      <c r="AN556" s="123"/>
      <c r="AO556" s="123"/>
      <c r="AQ556" s="115"/>
      <c r="AR556" s="115"/>
      <c r="AS556" s="115"/>
      <c r="AT556" s="115"/>
      <c r="AU556" s="115"/>
      <c r="AV556" s="115"/>
      <c r="AW556" s="115"/>
      <c r="AX556" s="115"/>
      <c r="AY556" s="115"/>
      <c r="AZ556" s="115"/>
      <c r="BA556" s="115"/>
      <c r="BB556" s="115"/>
      <c r="BC556" s="115"/>
      <c r="BD556" s="13"/>
      <c r="BE556" s="13"/>
      <c r="BH556" s="114"/>
    </row>
    <row r="557" spans="1:60" ht="19.5" x14ac:dyDescent="0.4">
      <c r="A557" s="117"/>
      <c r="B557" s="123"/>
      <c r="C557" s="123"/>
      <c r="D557" s="123"/>
      <c r="U557" s="26"/>
      <c r="V557" s="13"/>
      <c r="X557" s="115"/>
      <c r="Y557" s="115"/>
      <c r="Z557" s="115"/>
      <c r="AA557" s="115"/>
      <c r="AB557" s="115"/>
      <c r="AC557" s="115"/>
      <c r="AD557" s="115"/>
      <c r="AE557" s="115"/>
      <c r="AF557" s="25">
        <v>45694</v>
      </c>
      <c r="AG557" s="15" t="s">
        <v>147</v>
      </c>
      <c r="AL557" s="117"/>
      <c r="AM557" s="123"/>
      <c r="AN557" s="123"/>
      <c r="AO557" s="123"/>
      <c r="AQ557" s="115"/>
      <c r="AR557" s="115"/>
      <c r="AS557" s="115"/>
      <c r="AT557" s="115"/>
      <c r="AU557" s="115"/>
      <c r="AV557" s="115"/>
      <c r="AW557" s="115"/>
      <c r="AX557" s="115"/>
      <c r="AY557" s="115"/>
      <c r="AZ557" s="115"/>
      <c r="BA557" s="115"/>
      <c r="BB557" s="115"/>
      <c r="BC557" s="115"/>
      <c r="BD557" s="13"/>
      <c r="BE557" s="13"/>
      <c r="BH557" s="114"/>
    </row>
    <row r="558" spans="1:60" ht="19.5" x14ac:dyDescent="0.4">
      <c r="A558" s="117"/>
      <c r="B558" s="123"/>
      <c r="C558" s="123"/>
      <c r="D558" s="123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7"/>
      <c r="V558" s="13"/>
      <c r="X558" s="115"/>
      <c r="Y558" s="115"/>
      <c r="Z558" s="115"/>
      <c r="AA558" s="115"/>
      <c r="AB558" s="115"/>
      <c r="AC558" s="115"/>
      <c r="AD558" s="115"/>
      <c r="AE558" s="115"/>
      <c r="AF558" s="25"/>
      <c r="AG558" s="15"/>
      <c r="AL558" s="117"/>
      <c r="AM558" s="123"/>
      <c r="AN558" s="123"/>
      <c r="AO558" s="123"/>
      <c r="AQ558" s="115"/>
      <c r="AR558" s="115"/>
      <c r="AS558" s="115"/>
      <c r="AT558" s="115"/>
      <c r="AU558" s="115"/>
      <c r="AV558" s="115"/>
      <c r="AW558" s="115"/>
      <c r="AX558" s="115"/>
      <c r="AY558" s="115"/>
      <c r="AZ558" s="115"/>
      <c r="BA558" s="115"/>
      <c r="BB558" s="115"/>
      <c r="BC558" s="115"/>
      <c r="BD558" s="13"/>
      <c r="BE558" s="13"/>
      <c r="BH558" s="114"/>
    </row>
    <row r="559" spans="1:60" ht="19.5" x14ac:dyDescent="0.4">
      <c r="A559" s="117"/>
      <c r="B559" s="123"/>
      <c r="C559" s="123"/>
      <c r="D559" s="123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7"/>
      <c r="V559" s="13"/>
      <c r="X559" s="115"/>
      <c r="Y559" s="115"/>
      <c r="Z559" s="115"/>
      <c r="AA559" s="115"/>
      <c r="AB559" s="115"/>
      <c r="AC559" s="115"/>
      <c r="AD559" s="115"/>
      <c r="AE559" s="115"/>
      <c r="AF559" s="25"/>
      <c r="AG559" s="15"/>
      <c r="AL559" s="117"/>
      <c r="AM559" s="123"/>
      <c r="AN559" s="123"/>
      <c r="AO559" s="123"/>
      <c r="AQ559" s="115"/>
      <c r="AR559" s="115"/>
      <c r="AS559" s="115"/>
      <c r="AT559" s="115"/>
      <c r="AU559" s="115"/>
      <c r="AV559" s="115"/>
      <c r="AW559" s="115"/>
      <c r="AX559" s="115"/>
      <c r="AY559" s="115"/>
      <c r="AZ559" s="115"/>
      <c r="BA559" s="115"/>
      <c r="BB559" s="115"/>
      <c r="BC559" s="115"/>
      <c r="BD559" s="13"/>
      <c r="BE559" s="13"/>
      <c r="BH559" s="114"/>
    </row>
    <row r="560" spans="1:60" ht="19.5" x14ac:dyDescent="0.4">
      <c r="A560" s="117"/>
      <c r="B560" s="123"/>
      <c r="C560" s="123"/>
      <c r="D560" s="123"/>
      <c r="U560" s="26"/>
      <c r="V560" s="13"/>
      <c r="X560" s="115"/>
      <c r="Y560" s="115"/>
      <c r="Z560" s="115"/>
      <c r="AA560" s="115"/>
      <c r="AB560" s="115"/>
      <c r="AC560" s="115"/>
      <c r="AD560" s="115"/>
      <c r="AE560" s="115"/>
      <c r="AF560" s="25">
        <v>45694</v>
      </c>
      <c r="AG560" s="105" t="s">
        <v>147</v>
      </c>
      <c r="AL560" s="117"/>
      <c r="AM560" s="123"/>
      <c r="AN560" s="123"/>
      <c r="AO560" s="123"/>
      <c r="AQ560" s="115"/>
      <c r="AR560" s="115"/>
      <c r="AS560" s="115"/>
      <c r="AT560" s="115"/>
      <c r="AU560" s="115"/>
      <c r="AV560" s="115"/>
      <c r="AW560" s="115"/>
      <c r="AX560" s="115"/>
      <c r="AY560" s="115"/>
      <c r="AZ560" s="115"/>
      <c r="BA560" s="115"/>
      <c r="BB560" s="115"/>
      <c r="BC560" s="115"/>
      <c r="BD560" s="13"/>
      <c r="BE560" s="13"/>
      <c r="BH560" s="114"/>
    </row>
    <row r="561" spans="1:60" ht="19.5" x14ac:dyDescent="0.4">
      <c r="A561" s="117"/>
      <c r="B561" s="123"/>
      <c r="C561" s="123"/>
      <c r="D561" s="123"/>
      <c r="U561" s="26"/>
      <c r="V561" s="13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25">
        <v>45694</v>
      </c>
      <c r="AG561" s="15" t="s">
        <v>147</v>
      </c>
      <c r="AL561" s="117"/>
      <c r="AM561" s="123"/>
      <c r="AN561" s="123"/>
      <c r="AO561" s="123"/>
      <c r="AQ561" s="115"/>
      <c r="AR561" s="115"/>
      <c r="AS561" s="115"/>
      <c r="AT561" s="115"/>
      <c r="AU561" s="115"/>
      <c r="AV561" s="115"/>
      <c r="AW561" s="115"/>
      <c r="AX561" s="115"/>
      <c r="AY561" s="115"/>
      <c r="AZ561" s="115"/>
      <c r="BA561" s="115"/>
      <c r="BB561" s="115"/>
      <c r="BC561" s="115"/>
      <c r="BD561" s="13"/>
      <c r="BE561" s="13"/>
      <c r="BH561" s="114"/>
    </row>
    <row r="562" spans="1:60" ht="19.5" x14ac:dyDescent="0.4">
      <c r="A562" s="117"/>
      <c r="B562" s="123"/>
      <c r="C562" s="123"/>
      <c r="D562" s="123"/>
      <c r="U562" s="26"/>
      <c r="V562" s="13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26">
        <v>45694</v>
      </c>
      <c r="AG562" s="15" t="s">
        <v>148</v>
      </c>
      <c r="AL562" s="117"/>
      <c r="AM562" s="123"/>
      <c r="AN562" s="123"/>
      <c r="AO562" s="123"/>
      <c r="AQ562" s="115"/>
      <c r="AR562" s="115"/>
      <c r="AS562" s="115"/>
      <c r="AT562" s="115"/>
      <c r="AU562" s="115"/>
      <c r="AV562" s="115"/>
      <c r="AW562" s="115"/>
      <c r="AX562" s="115"/>
      <c r="AY562" s="115"/>
      <c r="AZ562" s="115"/>
      <c r="BA562" s="115"/>
      <c r="BB562" s="115"/>
      <c r="BC562" s="115"/>
      <c r="BD562" s="13"/>
      <c r="BE562" s="13"/>
      <c r="BH562" s="114"/>
    </row>
    <row r="563" spans="1:60" ht="19.5" x14ac:dyDescent="0.4">
      <c r="A563" s="117"/>
      <c r="B563" s="123"/>
      <c r="C563" s="123"/>
      <c r="D563" s="123"/>
      <c r="U563" s="26"/>
      <c r="V563" s="13"/>
      <c r="AF563" s="26">
        <v>45694</v>
      </c>
      <c r="AG563" s="13" t="s">
        <v>147</v>
      </c>
      <c r="AL563" s="117"/>
      <c r="AM563" s="123"/>
      <c r="AN563" s="123"/>
      <c r="AO563" s="123"/>
      <c r="AQ563" s="115"/>
      <c r="AR563" s="115"/>
      <c r="AS563" s="115"/>
      <c r="AT563" s="115"/>
      <c r="AU563" s="115"/>
      <c r="AV563" s="115"/>
      <c r="AW563" s="115"/>
      <c r="AX563" s="115"/>
      <c r="AY563" s="115"/>
      <c r="AZ563" s="115"/>
      <c r="BA563" s="115"/>
      <c r="BB563" s="115"/>
      <c r="BC563" s="115"/>
      <c r="BD563" s="25">
        <v>45268</v>
      </c>
      <c r="BE563" s="13" t="s">
        <v>162</v>
      </c>
      <c r="BH563" s="114"/>
    </row>
    <row r="564" spans="1:60" ht="19.5" x14ac:dyDescent="0.4">
      <c r="A564" s="117"/>
      <c r="B564" s="123"/>
      <c r="C564" s="123"/>
      <c r="D564" s="123"/>
      <c r="U564" s="26"/>
      <c r="V564" s="13"/>
      <c r="X564" s="115"/>
      <c r="Y564" s="115"/>
      <c r="Z564" s="115"/>
      <c r="AA564" s="115"/>
      <c r="AB564" s="115"/>
      <c r="AC564" s="115"/>
      <c r="AD564" s="115"/>
      <c r="AE564" s="115"/>
      <c r="AF564" s="26">
        <v>45694</v>
      </c>
      <c r="AG564" s="13" t="s">
        <v>147</v>
      </c>
      <c r="AL564" s="117"/>
      <c r="AM564" s="123"/>
      <c r="AN564" s="123"/>
      <c r="AO564" s="123"/>
      <c r="AQ564" s="115"/>
      <c r="AR564" s="115"/>
      <c r="AS564" s="115"/>
      <c r="AT564" s="115"/>
      <c r="AU564" s="115"/>
      <c r="AV564" s="115"/>
      <c r="AW564" s="115"/>
      <c r="AX564" s="115"/>
      <c r="AY564" s="115"/>
      <c r="AZ564" s="115"/>
      <c r="BA564" s="115"/>
      <c r="BB564" s="115"/>
      <c r="BC564" s="115"/>
      <c r="BD564" s="25"/>
      <c r="BE564" s="13"/>
      <c r="BH564" s="114"/>
    </row>
    <row r="565" spans="1:60" ht="19.5" x14ac:dyDescent="0.4">
      <c r="A565" s="117"/>
      <c r="B565" s="123"/>
      <c r="C565" s="123"/>
      <c r="D565" s="123"/>
      <c r="U565" s="26"/>
      <c r="V565" s="13"/>
      <c r="AF565" s="26">
        <v>45694</v>
      </c>
      <c r="AG565" s="13" t="s">
        <v>147</v>
      </c>
      <c r="AL565" s="117"/>
      <c r="AM565" s="123"/>
      <c r="AN565" s="123"/>
      <c r="AO565" s="123"/>
      <c r="AQ565" s="115"/>
      <c r="AR565" s="115"/>
      <c r="AS565" s="115"/>
      <c r="AT565" s="115"/>
      <c r="AU565" s="115"/>
      <c r="AV565" s="115"/>
      <c r="AW565" s="115"/>
      <c r="AX565" s="115"/>
      <c r="AY565" s="115"/>
      <c r="AZ565" s="115"/>
      <c r="BA565" s="115"/>
      <c r="BB565" s="115"/>
      <c r="BC565" s="115"/>
      <c r="BD565" s="25">
        <v>45268</v>
      </c>
      <c r="BE565" s="13" t="s">
        <v>162</v>
      </c>
      <c r="BH565" s="114"/>
    </row>
    <row r="566" spans="1:60" ht="19.5" x14ac:dyDescent="0.4">
      <c r="A566" s="117"/>
      <c r="B566" s="123"/>
      <c r="C566" s="123"/>
      <c r="D566" s="123"/>
      <c r="U566" s="26"/>
      <c r="V566" s="13"/>
      <c r="AC566" s="115"/>
      <c r="AD566" s="115"/>
      <c r="AE566" s="115"/>
      <c r="AF566" s="26">
        <v>45696</v>
      </c>
      <c r="AG566" s="13" t="s">
        <v>147</v>
      </c>
      <c r="AL566" s="117"/>
      <c r="AM566" s="123"/>
      <c r="AN566" s="123"/>
      <c r="AO566" s="123"/>
      <c r="AQ566" s="115"/>
      <c r="AR566" s="115"/>
      <c r="AS566" s="115"/>
      <c r="AT566" s="115"/>
      <c r="AU566" s="115"/>
      <c r="AV566" s="115"/>
      <c r="AW566" s="115"/>
      <c r="AX566" s="115"/>
      <c r="AY566" s="115"/>
      <c r="AZ566" s="115"/>
      <c r="BA566" s="115"/>
      <c r="BB566" s="115"/>
      <c r="BC566" s="115"/>
      <c r="BD566" s="25"/>
      <c r="BE566" s="13"/>
      <c r="BH566" s="114"/>
    </row>
    <row r="567" spans="1:60" ht="19.5" x14ac:dyDescent="0.4">
      <c r="A567" s="117"/>
      <c r="B567" s="123"/>
      <c r="C567" s="123"/>
      <c r="D567" s="123"/>
      <c r="U567" s="26"/>
      <c r="V567" s="13"/>
      <c r="AF567" s="26">
        <v>45698</v>
      </c>
      <c r="AG567" s="13" t="s">
        <v>147</v>
      </c>
      <c r="AL567" s="117"/>
      <c r="AM567" s="123"/>
      <c r="AN567" s="123"/>
      <c r="AO567" s="123"/>
      <c r="AQ567" s="115"/>
      <c r="AR567" s="115"/>
      <c r="AS567" s="115"/>
      <c r="AT567" s="115"/>
      <c r="AU567" s="115"/>
      <c r="AV567" s="115"/>
      <c r="AW567" s="115"/>
      <c r="AX567" s="115"/>
      <c r="AY567" s="115"/>
      <c r="AZ567" s="115"/>
      <c r="BA567" s="115"/>
      <c r="BB567" s="115"/>
      <c r="BC567" s="115"/>
      <c r="BD567" s="25">
        <v>45268</v>
      </c>
      <c r="BE567" s="13" t="s">
        <v>163</v>
      </c>
      <c r="BH567" s="114"/>
    </row>
    <row r="568" spans="1:60" ht="19.5" x14ac:dyDescent="0.4">
      <c r="A568" s="117"/>
      <c r="B568" s="123"/>
      <c r="C568" s="123"/>
      <c r="D568" s="123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7"/>
      <c r="V568" s="13"/>
      <c r="AF568" s="26"/>
      <c r="AG568" s="13"/>
      <c r="AL568" s="117"/>
      <c r="AM568" s="123"/>
      <c r="AN568" s="123"/>
      <c r="AO568" s="123"/>
      <c r="AQ568" s="115"/>
      <c r="AR568" s="115"/>
      <c r="AS568" s="115"/>
      <c r="AT568" s="115"/>
      <c r="AU568" s="115"/>
      <c r="AV568" s="115"/>
      <c r="AW568" s="115"/>
      <c r="AX568" s="115"/>
      <c r="AY568" s="115"/>
      <c r="AZ568" s="115"/>
      <c r="BA568" s="115"/>
      <c r="BB568" s="115"/>
      <c r="BC568" s="115"/>
      <c r="BD568" s="25"/>
      <c r="BE568" s="13"/>
      <c r="BH568" s="114"/>
    </row>
    <row r="569" spans="1:60" ht="19.5" x14ac:dyDescent="0.4">
      <c r="A569" s="117"/>
      <c r="B569" s="123"/>
      <c r="C569" s="123"/>
      <c r="D569" s="123"/>
      <c r="U569" s="26"/>
      <c r="V569" s="13"/>
      <c r="AC569" s="115"/>
      <c r="AD569" s="115"/>
      <c r="AE569" s="115"/>
      <c r="AF569" s="26">
        <v>45698</v>
      </c>
      <c r="AG569" s="13" t="s">
        <v>147</v>
      </c>
      <c r="AL569" s="117"/>
      <c r="AM569" s="123"/>
      <c r="AN569" s="123"/>
      <c r="AO569" s="123"/>
      <c r="AQ569" s="115"/>
      <c r="AR569" s="115"/>
      <c r="AS569" s="115"/>
      <c r="AT569" s="115"/>
      <c r="AU569" s="115"/>
      <c r="AV569" s="115"/>
      <c r="AW569" s="115"/>
      <c r="AX569" s="115"/>
      <c r="AY569" s="115"/>
      <c r="AZ569" s="115"/>
      <c r="BA569" s="115"/>
      <c r="BB569" s="115"/>
      <c r="BC569" s="115"/>
      <c r="BD569" s="25"/>
      <c r="BE569" s="13"/>
      <c r="BH569" s="114"/>
    </row>
    <row r="570" spans="1:60" ht="19.5" x14ac:dyDescent="0.4">
      <c r="A570" s="117"/>
      <c r="B570" s="123"/>
      <c r="C570" s="123"/>
      <c r="D570" s="123"/>
      <c r="U570" s="26"/>
      <c r="V570" s="13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26">
        <v>45699</v>
      </c>
      <c r="AG570" s="13" t="s">
        <v>148</v>
      </c>
      <c r="AL570" s="117"/>
      <c r="AM570" s="123"/>
      <c r="AN570" s="123"/>
      <c r="AO570" s="123"/>
      <c r="AQ570" s="115"/>
      <c r="AR570" s="115"/>
      <c r="AS570" s="115"/>
      <c r="AT570" s="115"/>
      <c r="AU570" s="115"/>
      <c r="AV570" s="115"/>
      <c r="AW570" s="115"/>
      <c r="AX570" s="115"/>
      <c r="AY570" s="115"/>
      <c r="AZ570" s="115"/>
      <c r="BA570" s="115"/>
      <c r="BB570" s="115"/>
      <c r="BC570" s="115"/>
      <c r="BD570" s="25"/>
      <c r="BE570" s="13"/>
      <c r="BH570" s="114"/>
    </row>
    <row r="571" spans="1:60" ht="19.5" x14ac:dyDescent="0.4">
      <c r="A571" s="117"/>
      <c r="B571" s="123"/>
      <c r="C571" s="123"/>
      <c r="D571" s="123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7"/>
      <c r="V571" s="13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26"/>
      <c r="AG571" s="13"/>
      <c r="AL571" s="117"/>
      <c r="AM571" s="123"/>
      <c r="AN571" s="123"/>
      <c r="AO571" s="123"/>
      <c r="AQ571" s="115"/>
      <c r="AR571" s="115"/>
      <c r="AS571" s="115"/>
      <c r="AT571" s="115"/>
      <c r="AU571" s="115"/>
      <c r="AV571" s="115"/>
      <c r="AW571" s="115"/>
      <c r="AX571" s="115"/>
      <c r="AY571" s="115"/>
      <c r="AZ571" s="115"/>
      <c r="BA571" s="115"/>
      <c r="BB571" s="115"/>
      <c r="BC571" s="115"/>
      <c r="BD571" s="25"/>
      <c r="BE571" s="13"/>
      <c r="BH571" s="114"/>
    </row>
    <row r="572" spans="1:60" ht="19.5" x14ac:dyDescent="0.4">
      <c r="A572" s="117"/>
      <c r="B572" s="123"/>
      <c r="C572" s="123"/>
      <c r="D572" s="123"/>
      <c r="U572" s="26"/>
      <c r="V572" s="13"/>
      <c r="AF572" s="26">
        <v>45699</v>
      </c>
      <c r="AG572" s="13" t="s">
        <v>148</v>
      </c>
      <c r="AL572" s="117"/>
      <c r="AM572" s="123"/>
      <c r="AN572" s="123"/>
      <c r="AO572" s="123"/>
      <c r="AP572" s="115"/>
      <c r="AQ572" s="115"/>
      <c r="AR572" s="115"/>
      <c r="AS572" s="115"/>
      <c r="AT572" s="115"/>
      <c r="AU572" s="115"/>
      <c r="AV572" s="115"/>
      <c r="AW572" s="115"/>
      <c r="AX572" s="115"/>
      <c r="AY572" s="115"/>
      <c r="AZ572" s="115"/>
      <c r="BA572" s="115"/>
      <c r="BB572" s="115"/>
      <c r="BC572" s="115"/>
      <c r="BD572" s="25">
        <v>45268</v>
      </c>
      <c r="BE572" s="13" t="s">
        <v>163</v>
      </c>
      <c r="BH572" s="114"/>
    </row>
    <row r="573" spans="1:60" ht="19.5" x14ac:dyDescent="0.4">
      <c r="A573" s="117"/>
      <c r="B573" s="123"/>
      <c r="C573" s="123"/>
      <c r="D573" s="123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7"/>
      <c r="V573" s="13"/>
      <c r="AF573" s="26"/>
      <c r="AG573" s="13"/>
      <c r="AL573" s="117"/>
      <c r="AM573" s="123"/>
      <c r="AN573" s="123"/>
      <c r="AO573" s="123"/>
      <c r="AP573" s="115"/>
      <c r="AQ573" s="115"/>
      <c r="AR573" s="115"/>
      <c r="AS573" s="115"/>
      <c r="AT573" s="115"/>
      <c r="AU573" s="115"/>
      <c r="AV573" s="115"/>
      <c r="AW573" s="115"/>
      <c r="AX573" s="115"/>
      <c r="AY573" s="115"/>
      <c r="AZ573" s="115"/>
      <c r="BA573" s="115"/>
      <c r="BB573" s="115"/>
      <c r="BC573" s="115"/>
      <c r="BD573" s="25"/>
      <c r="BE573" s="13"/>
      <c r="BH573" s="114"/>
    </row>
    <row r="574" spans="1:60" ht="19.5" x14ac:dyDescent="0.4">
      <c r="A574" s="117"/>
      <c r="B574" s="123"/>
      <c r="C574" s="123"/>
      <c r="D574" s="123"/>
      <c r="U574" s="26"/>
      <c r="V574" s="13"/>
      <c r="Y574" s="115"/>
      <c r="Z574" s="115"/>
      <c r="AA574" s="115"/>
      <c r="AB574" s="115"/>
      <c r="AC574" s="115"/>
      <c r="AD574" s="115"/>
      <c r="AE574" s="115"/>
      <c r="AF574" s="26">
        <v>45699</v>
      </c>
      <c r="AG574" s="13" t="s">
        <v>148</v>
      </c>
      <c r="AL574" s="117"/>
      <c r="AM574" s="123"/>
      <c r="AN574" s="123"/>
      <c r="AO574" s="123"/>
      <c r="AP574" s="115"/>
      <c r="AQ574" s="115"/>
      <c r="AR574" s="115"/>
      <c r="AS574" s="115"/>
      <c r="AT574" s="115"/>
      <c r="AU574" s="115"/>
      <c r="AV574" s="115"/>
      <c r="AW574" s="115"/>
      <c r="AX574" s="115"/>
      <c r="AY574" s="115"/>
      <c r="AZ574" s="115"/>
      <c r="BA574" s="115"/>
      <c r="BB574" s="115"/>
      <c r="BC574" s="115"/>
      <c r="BD574" s="25"/>
      <c r="BE574" s="13"/>
      <c r="BH574" s="114"/>
    </row>
    <row r="575" spans="1:60" ht="19.5" x14ac:dyDescent="0.4">
      <c r="A575" s="117"/>
      <c r="B575" s="123"/>
      <c r="C575" s="123"/>
      <c r="D575" s="123"/>
      <c r="U575" s="26"/>
      <c r="V575" s="13"/>
      <c r="Y575" s="115"/>
      <c r="Z575" s="115"/>
      <c r="AA575" s="115"/>
      <c r="AB575" s="115"/>
      <c r="AC575" s="115"/>
      <c r="AD575" s="115"/>
      <c r="AE575" s="115"/>
      <c r="AF575" s="26">
        <v>45699</v>
      </c>
      <c r="AG575" s="13" t="s">
        <v>148</v>
      </c>
      <c r="AL575" s="117"/>
      <c r="AM575" s="123"/>
      <c r="AN575" s="123"/>
      <c r="AO575" s="123"/>
      <c r="AP575" s="115"/>
      <c r="AQ575" s="115"/>
      <c r="AR575" s="115"/>
      <c r="AS575" s="115"/>
      <c r="AT575" s="115"/>
      <c r="AU575" s="115"/>
      <c r="AV575" s="115"/>
      <c r="AW575" s="115"/>
      <c r="AX575" s="115"/>
      <c r="AY575" s="115"/>
      <c r="AZ575" s="115"/>
      <c r="BA575" s="115"/>
      <c r="BB575" s="115"/>
      <c r="BC575" s="115"/>
      <c r="BD575" s="25"/>
      <c r="BE575" s="13"/>
      <c r="BH575" s="114"/>
    </row>
    <row r="576" spans="1:60" ht="19.5" x14ac:dyDescent="0.4">
      <c r="A576" s="117"/>
      <c r="B576" s="123"/>
      <c r="C576" s="123"/>
      <c r="D576" s="123"/>
      <c r="U576" s="26"/>
      <c r="V576" s="13"/>
      <c r="Y576" s="115"/>
      <c r="Z576" s="115"/>
      <c r="AA576" s="115"/>
      <c r="AB576" s="115"/>
      <c r="AC576" s="115"/>
      <c r="AD576" s="115"/>
      <c r="AE576" s="115"/>
      <c r="AF576" s="26">
        <v>45699</v>
      </c>
      <c r="AG576" s="13" t="s">
        <v>148</v>
      </c>
      <c r="AL576" s="117"/>
      <c r="AM576" s="123"/>
      <c r="AN576" s="123"/>
      <c r="AO576" s="123"/>
      <c r="AP576" s="115"/>
      <c r="AQ576" s="115"/>
      <c r="AR576" s="115"/>
      <c r="AS576" s="115"/>
      <c r="AT576" s="115"/>
      <c r="AU576" s="115"/>
      <c r="AV576" s="115"/>
      <c r="AW576" s="115"/>
      <c r="AX576" s="115"/>
      <c r="AY576" s="115"/>
      <c r="AZ576" s="115"/>
      <c r="BA576" s="115"/>
      <c r="BB576" s="115"/>
      <c r="BC576" s="115"/>
      <c r="BD576" s="25"/>
      <c r="BE576" s="13"/>
      <c r="BH576" s="114"/>
    </row>
    <row r="577" spans="1:60" ht="19.5" x14ac:dyDescent="0.4">
      <c r="A577" s="117"/>
      <c r="B577" s="123"/>
      <c r="C577" s="123"/>
      <c r="D577" s="123"/>
      <c r="U577" s="26"/>
      <c r="V577" s="13"/>
      <c r="AF577" s="26">
        <v>45699</v>
      </c>
      <c r="AG577" s="13" t="s">
        <v>148</v>
      </c>
      <c r="AL577" s="117"/>
      <c r="AM577" s="123"/>
      <c r="AN577" s="123"/>
      <c r="AO577" s="123"/>
      <c r="AP577" s="115"/>
      <c r="AQ577" s="115"/>
      <c r="AR577" s="115"/>
      <c r="AS577" s="115"/>
      <c r="AT577" s="115"/>
      <c r="AU577" s="115"/>
      <c r="AV577" s="115"/>
      <c r="AW577" s="115"/>
      <c r="AX577" s="115"/>
      <c r="AY577" s="115"/>
      <c r="AZ577" s="115"/>
      <c r="BA577" s="115"/>
      <c r="BB577" s="115"/>
      <c r="BC577" s="115" t="s">
        <v>158</v>
      </c>
      <c r="BD577" s="13">
        <f>SUBTOTAL(3,BD563:BD572)</f>
        <v>4</v>
      </c>
      <c r="BE577" s="13">
        <f>SUBTOTAL(3,BE563:BE572)</f>
        <v>4</v>
      </c>
      <c r="BH577" s="114"/>
    </row>
    <row r="578" spans="1:60" ht="19.5" x14ac:dyDescent="0.4">
      <c r="A578" s="117"/>
      <c r="B578" s="123"/>
      <c r="C578" s="123"/>
      <c r="D578" s="123"/>
      <c r="U578" s="26"/>
      <c r="V578" s="15"/>
      <c r="AC578" s="115"/>
      <c r="AD578" s="115"/>
      <c r="AE578" s="115"/>
      <c r="AF578" s="26">
        <v>45706</v>
      </c>
      <c r="AG578" s="13" t="s">
        <v>146</v>
      </c>
      <c r="AL578" s="117"/>
      <c r="AM578" s="123"/>
      <c r="AN578" s="123"/>
      <c r="AO578" s="123"/>
      <c r="AP578" s="115"/>
      <c r="AQ578" s="115"/>
      <c r="AR578" s="115"/>
      <c r="AS578" s="115"/>
      <c r="AT578" s="115"/>
      <c r="AU578" s="115"/>
      <c r="AV578" s="115"/>
      <c r="AW578" s="115"/>
      <c r="AX578" s="115"/>
      <c r="AY578" s="115"/>
      <c r="AZ578" s="115"/>
      <c r="BA578" s="115"/>
      <c r="BB578" s="115"/>
      <c r="BC578" s="115"/>
      <c r="BD578" s="13"/>
      <c r="BE578" s="13"/>
      <c r="BH578" s="114"/>
    </row>
    <row r="579" spans="1:60" ht="19.5" x14ac:dyDescent="0.4">
      <c r="A579" s="117"/>
      <c r="B579" s="123"/>
      <c r="C579" s="123"/>
      <c r="D579" s="123"/>
      <c r="U579" s="26"/>
      <c r="V579" s="13"/>
      <c r="AB579" s="115"/>
      <c r="AC579" s="115"/>
      <c r="AD579" s="115"/>
      <c r="AE579" s="115"/>
      <c r="AF579" s="26">
        <v>45709</v>
      </c>
      <c r="AG579" s="13" t="s">
        <v>148</v>
      </c>
      <c r="AL579" s="117"/>
      <c r="AM579" s="123"/>
      <c r="AN579" s="123"/>
      <c r="AO579" s="123"/>
      <c r="AP579" s="115"/>
      <c r="AQ579" s="115"/>
      <c r="AR579" s="115"/>
      <c r="AS579" s="115"/>
      <c r="AT579" s="115"/>
      <c r="AU579" s="115"/>
      <c r="AV579" s="115"/>
      <c r="AW579" s="115"/>
      <c r="AX579" s="115"/>
      <c r="AY579" s="115"/>
      <c r="AZ579" s="115"/>
      <c r="BA579" s="115"/>
      <c r="BB579" s="115"/>
      <c r="BC579" s="115"/>
      <c r="BD579" s="13"/>
      <c r="BE579" s="13"/>
      <c r="BH579" s="114"/>
    </row>
    <row r="580" spans="1:60" ht="19.5" x14ac:dyDescent="0.4">
      <c r="A580" s="117"/>
      <c r="B580" s="123"/>
      <c r="C580" s="123"/>
      <c r="D580" s="123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7"/>
      <c r="V580" s="13"/>
      <c r="AB580" s="115"/>
      <c r="AC580" s="115"/>
      <c r="AD580" s="115"/>
      <c r="AE580" s="115"/>
      <c r="AF580" s="26"/>
      <c r="AG580" s="13"/>
      <c r="AL580" s="117"/>
      <c r="AM580" s="123"/>
      <c r="AN580" s="123"/>
      <c r="AO580" s="123"/>
      <c r="AP580" s="115"/>
      <c r="AQ580" s="115"/>
      <c r="AR580" s="115"/>
      <c r="AS580" s="115"/>
      <c r="AT580" s="115"/>
      <c r="AU580" s="115"/>
      <c r="AV580" s="115"/>
      <c r="AW580" s="115"/>
      <c r="AX580" s="115"/>
      <c r="AY580" s="115"/>
      <c r="AZ580" s="115"/>
      <c r="BA580" s="115"/>
      <c r="BB580" s="115"/>
      <c r="BC580" s="115"/>
      <c r="BD580" s="13"/>
      <c r="BE580" s="13"/>
      <c r="BH580" s="114"/>
    </row>
    <row r="581" spans="1:60" ht="19.5" x14ac:dyDescent="0.4">
      <c r="A581" s="117"/>
      <c r="B581" s="123"/>
      <c r="C581" s="123"/>
      <c r="D581" s="123"/>
      <c r="U581" s="26"/>
      <c r="V581" s="13"/>
      <c r="AB581" s="115"/>
      <c r="AC581" s="115"/>
      <c r="AD581" s="115"/>
      <c r="AE581" s="115"/>
      <c r="AF581" s="26">
        <v>45709</v>
      </c>
      <c r="AG581" s="13" t="s">
        <v>147</v>
      </c>
      <c r="AL581" s="117"/>
      <c r="AM581" s="123"/>
      <c r="AN581" s="123"/>
      <c r="AO581" s="123"/>
      <c r="AP581" s="115"/>
      <c r="AQ581" s="115"/>
      <c r="AR581" s="115"/>
      <c r="AS581" s="115"/>
      <c r="AT581" s="115"/>
      <c r="AU581" s="115"/>
      <c r="AV581" s="115"/>
      <c r="AW581" s="115"/>
      <c r="AX581" s="115"/>
      <c r="AY581" s="115"/>
      <c r="AZ581" s="115"/>
      <c r="BA581" s="115"/>
      <c r="BB581" s="115"/>
      <c r="BC581" s="115"/>
      <c r="BD581" s="13"/>
      <c r="BE581" s="13"/>
      <c r="BH581" s="114"/>
    </row>
    <row r="582" spans="1:60" ht="19.5" x14ac:dyDescent="0.4">
      <c r="A582" s="117"/>
      <c r="B582" s="123"/>
      <c r="C582" s="123"/>
      <c r="D582" s="123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7"/>
      <c r="V582" s="13"/>
      <c r="AB582" s="115"/>
      <c r="AC582" s="115"/>
      <c r="AD582" s="115"/>
      <c r="AE582" s="115"/>
      <c r="AF582" s="26"/>
      <c r="AG582" s="13"/>
      <c r="AL582" s="117"/>
      <c r="AM582" s="123"/>
      <c r="AN582" s="123"/>
      <c r="AO582" s="123"/>
      <c r="AP582" s="115"/>
      <c r="AQ582" s="115"/>
      <c r="AR582" s="115"/>
      <c r="AS582" s="115"/>
      <c r="AT582" s="115"/>
      <c r="AU582" s="115"/>
      <c r="AV582" s="115"/>
      <c r="AW582" s="115"/>
      <c r="AX582" s="115"/>
      <c r="AY582" s="115"/>
      <c r="AZ582" s="115"/>
      <c r="BA582" s="115"/>
      <c r="BB582" s="115"/>
      <c r="BC582" s="115"/>
      <c r="BD582" s="13"/>
      <c r="BE582" s="13"/>
      <c r="BH582" s="114"/>
    </row>
    <row r="583" spans="1:60" ht="19.5" x14ac:dyDescent="0.4">
      <c r="A583" s="117"/>
      <c r="B583" s="123"/>
      <c r="C583" s="123"/>
      <c r="D583" s="123"/>
      <c r="U583" s="26"/>
      <c r="V583" s="13"/>
      <c r="AB583" s="115"/>
      <c r="AC583" s="115"/>
      <c r="AD583" s="115"/>
      <c r="AE583" s="115"/>
      <c r="AF583" s="26">
        <v>45712</v>
      </c>
      <c r="AG583" s="13" t="s">
        <v>146</v>
      </c>
      <c r="AL583" s="117"/>
      <c r="AM583" s="123"/>
      <c r="AN583" s="123"/>
      <c r="AO583" s="123"/>
      <c r="AP583" s="115"/>
      <c r="AQ583" s="115"/>
      <c r="AR583" s="115"/>
      <c r="AS583" s="115"/>
      <c r="AT583" s="115"/>
      <c r="AU583" s="115"/>
      <c r="AV583" s="115"/>
      <c r="AW583" s="115"/>
      <c r="AX583" s="115"/>
      <c r="AY583" s="115"/>
      <c r="AZ583" s="115"/>
      <c r="BA583" s="115"/>
      <c r="BB583" s="115"/>
      <c r="BC583" s="115"/>
      <c r="BD583" s="13"/>
      <c r="BE583" s="13"/>
      <c r="BH583" s="114"/>
    </row>
    <row r="584" spans="1:60" ht="19.5" x14ac:dyDescent="0.4">
      <c r="A584" s="117"/>
      <c r="B584" s="123"/>
      <c r="C584" s="123"/>
      <c r="D584" s="123"/>
      <c r="U584" s="26"/>
      <c r="V584" s="13"/>
      <c r="AB584" s="115"/>
      <c r="AC584" s="115"/>
      <c r="AD584" s="115"/>
      <c r="AE584" s="115"/>
      <c r="AF584" s="26">
        <v>45712</v>
      </c>
      <c r="AG584" s="13" t="s">
        <v>148</v>
      </c>
      <c r="AL584" s="117"/>
      <c r="AM584" s="123"/>
      <c r="AN584" s="123"/>
      <c r="AO584" s="123"/>
      <c r="AP584" s="115"/>
      <c r="AQ584" s="115"/>
      <c r="AR584" s="115"/>
      <c r="AS584" s="115"/>
      <c r="AT584" s="115"/>
      <c r="AU584" s="115"/>
      <c r="AV584" s="115"/>
      <c r="AW584" s="115"/>
      <c r="AX584" s="115"/>
      <c r="AY584" s="115"/>
      <c r="AZ584" s="115"/>
      <c r="BA584" s="115"/>
      <c r="BB584" s="115"/>
      <c r="BC584" s="115"/>
      <c r="BD584" s="13"/>
      <c r="BE584" s="13"/>
      <c r="BH584" s="114"/>
    </row>
    <row r="585" spans="1:60" ht="19.5" x14ac:dyDescent="0.4">
      <c r="A585" s="117"/>
      <c r="B585" s="123"/>
      <c r="C585" s="123"/>
      <c r="D585" s="123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7"/>
      <c r="V585" s="13"/>
      <c r="AB585" s="115"/>
      <c r="AC585" s="115"/>
      <c r="AD585" s="115"/>
      <c r="AE585" s="115"/>
      <c r="AF585" s="26"/>
      <c r="AG585" s="13"/>
      <c r="AL585" s="117"/>
      <c r="AM585" s="123"/>
      <c r="AN585" s="123"/>
      <c r="AO585" s="123"/>
      <c r="AP585" s="115"/>
      <c r="AQ585" s="115"/>
      <c r="AR585" s="115"/>
      <c r="AS585" s="115"/>
      <c r="AT585" s="115"/>
      <c r="AU585" s="115"/>
      <c r="AV585" s="115"/>
      <c r="AW585" s="115"/>
      <c r="AX585" s="115"/>
      <c r="AY585" s="115"/>
      <c r="AZ585" s="115"/>
      <c r="BA585" s="115"/>
      <c r="BB585" s="115"/>
      <c r="BC585" s="115"/>
      <c r="BD585" s="13"/>
      <c r="BE585" s="13"/>
      <c r="BH585" s="114"/>
    </row>
    <row r="586" spans="1:60" ht="19.5" x14ac:dyDescent="0.4">
      <c r="A586" s="117"/>
      <c r="B586" s="123"/>
      <c r="C586" s="123"/>
      <c r="D586" s="123"/>
      <c r="U586" s="26"/>
      <c r="V586" s="13"/>
      <c r="Z586" s="115"/>
      <c r="AA586" s="115"/>
      <c r="AB586" s="115"/>
      <c r="AC586" s="115"/>
      <c r="AD586" s="115"/>
      <c r="AE586" s="115"/>
      <c r="AF586" s="26">
        <v>45714</v>
      </c>
      <c r="AG586" s="13" t="s">
        <v>147</v>
      </c>
      <c r="AL586" s="117"/>
      <c r="AM586" s="123"/>
      <c r="AN586" s="123"/>
      <c r="AO586" s="123"/>
      <c r="AP586" s="115"/>
      <c r="AQ586" s="115"/>
      <c r="AR586" s="115"/>
      <c r="AS586" s="115"/>
      <c r="AT586" s="115"/>
      <c r="AU586" s="115"/>
      <c r="AV586" s="115"/>
      <c r="AW586" s="115"/>
      <c r="AX586" s="115"/>
      <c r="AY586" s="115"/>
      <c r="AZ586" s="115"/>
      <c r="BA586" s="115"/>
      <c r="BB586" s="115"/>
      <c r="BC586" s="115"/>
      <c r="BD586" s="13"/>
      <c r="BE586" s="13"/>
      <c r="BH586" s="114"/>
    </row>
    <row r="587" spans="1:60" ht="19.5" x14ac:dyDescent="0.4">
      <c r="A587" s="117"/>
      <c r="B587" s="123"/>
      <c r="C587" s="123"/>
      <c r="D587" s="123"/>
      <c r="U587" s="26"/>
      <c r="V587" s="13"/>
      <c r="AF587" s="26">
        <v>45714</v>
      </c>
      <c r="AG587" s="13" t="s">
        <v>147</v>
      </c>
      <c r="AL587" s="117"/>
      <c r="AM587" s="123"/>
      <c r="AN587" s="123"/>
      <c r="AO587" s="123"/>
      <c r="AP587" s="115"/>
      <c r="AQ587" s="115"/>
      <c r="AR587" s="115"/>
      <c r="AS587" s="115"/>
      <c r="AT587" s="115"/>
      <c r="AU587" s="115"/>
      <c r="AV587" s="115"/>
      <c r="AW587" s="115"/>
      <c r="AX587" s="115"/>
      <c r="AY587" s="115"/>
      <c r="AZ587" s="115"/>
      <c r="BA587" s="115"/>
      <c r="BB587" s="115"/>
      <c r="BC587" s="115"/>
      <c r="BD587" s="25">
        <v>45269</v>
      </c>
      <c r="BE587" s="13" t="s">
        <v>163</v>
      </c>
      <c r="BH587" s="114"/>
    </row>
    <row r="588" spans="1:60" ht="19.5" x14ac:dyDescent="0.4">
      <c r="A588" s="117"/>
      <c r="B588" s="123"/>
      <c r="C588" s="123"/>
      <c r="D588" s="123"/>
      <c r="U588" s="26"/>
      <c r="V588" s="13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26">
        <v>45714</v>
      </c>
      <c r="AG588" s="13" t="s">
        <v>147</v>
      </c>
      <c r="AL588" s="117"/>
      <c r="AM588" s="123"/>
      <c r="AN588" s="123"/>
      <c r="AO588" s="123"/>
      <c r="AP588" s="115"/>
      <c r="AQ588" s="115"/>
      <c r="AR588" s="115"/>
      <c r="AS588" s="115"/>
      <c r="AT588" s="115"/>
      <c r="AU588" s="115"/>
      <c r="AV588" s="115"/>
      <c r="AW588" s="115"/>
      <c r="AX588" s="115"/>
      <c r="AY588" s="115"/>
      <c r="AZ588" s="115"/>
      <c r="BA588" s="115"/>
      <c r="BB588" s="115"/>
      <c r="BC588" s="115"/>
      <c r="BD588" s="25"/>
      <c r="BE588" s="13"/>
      <c r="BH588" s="114"/>
    </row>
    <row r="589" spans="1:60" ht="19.5" x14ac:dyDescent="0.4">
      <c r="A589" s="117"/>
      <c r="B589" s="123"/>
      <c r="C589" s="123"/>
      <c r="D589" s="123"/>
      <c r="U589" s="26"/>
      <c r="V589" s="13"/>
      <c r="W589" s="115"/>
      <c r="X589" s="115"/>
      <c r="Y589" s="115"/>
      <c r="Z589" s="115"/>
      <c r="AA589" s="115"/>
      <c r="AB589" s="115"/>
      <c r="AC589" s="115"/>
      <c r="AD589" s="115" t="s">
        <v>145</v>
      </c>
      <c r="AE589" s="115">
        <f>SUBTOTAL(3,AE2:AE588)</f>
        <v>0</v>
      </c>
      <c r="AF589" s="26"/>
      <c r="AG589" s="13">
        <f>SUBTOTAL(3,AG2:AG588)</f>
        <v>145</v>
      </c>
      <c r="AL589" s="117"/>
      <c r="AM589" s="123"/>
      <c r="AN589" s="123"/>
      <c r="AO589" s="123"/>
      <c r="AP589" s="115"/>
      <c r="AQ589" s="115"/>
      <c r="AR589" s="115"/>
      <c r="AS589" s="115"/>
      <c r="AT589" s="115"/>
      <c r="AU589" s="115"/>
      <c r="AV589" s="115"/>
      <c r="AW589" s="115"/>
      <c r="AX589" s="115"/>
      <c r="AY589" s="115"/>
      <c r="AZ589" s="115"/>
      <c r="BA589" s="115"/>
      <c r="BB589" s="115"/>
      <c r="BC589" s="115"/>
      <c r="BD589" s="25"/>
      <c r="BE589" s="13"/>
      <c r="BH589" s="114"/>
    </row>
    <row r="590" spans="1:60" ht="19.5" x14ac:dyDescent="0.4">
      <c r="A590" s="117"/>
      <c r="B590" s="123"/>
      <c r="C590" s="123"/>
      <c r="D590" s="123"/>
      <c r="U590" s="26"/>
      <c r="V590" s="13"/>
      <c r="AF590" s="26"/>
      <c r="AG590" s="13"/>
      <c r="AL590" s="117"/>
      <c r="AM590" s="123"/>
      <c r="AN590" s="123"/>
      <c r="AO590" s="123"/>
      <c r="AP590" s="115"/>
      <c r="AQ590" s="115"/>
      <c r="AR590" s="115"/>
      <c r="AS590" s="115"/>
      <c r="AT590" s="115"/>
      <c r="AU590" s="115"/>
      <c r="AV590" s="115"/>
      <c r="AW590" s="115"/>
      <c r="AX590" s="115"/>
      <c r="AY590" s="115"/>
      <c r="AZ590" s="115"/>
      <c r="BA590" s="115"/>
      <c r="BB590" s="115"/>
      <c r="BC590" s="115"/>
      <c r="BD590" s="25">
        <v>45269</v>
      </c>
      <c r="BE590" s="13" t="s">
        <v>163</v>
      </c>
      <c r="BH590" s="114"/>
    </row>
    <row r="591" spans="1:60" ht="19.5" x14ac:dyDescent="0.4">
      <c r="A591" s="117"/>
      <c r="B591" s="123"/>
      <c r="C591" s="123"/>
      <c r="D591" s="123"/>
      <c r="U591" s="26"/>
      <c r="V591" s="13"/>
      <c r="Y591" s="115"/>
      <c r="Z591" s="115"/>
      <c r="AA591" s="115"/>
      <c r="AB591" s="115"/>
      <c r="AC591" s="115"/>
      <c r="AD591" s="115"/>
      <c r="AE591" s="115"/>
      <c r="AF591" s="26"/>
      <c r="AG591" s="13"/>
      <c r="AL591" s="117"/>
      <c r="AM591" s="123"/>
      <c r="AN591" s="123"/>
      <c r="AO591" s="123"/>
      <c r="AP591" s="115"/>
      <c r="AQ591" s="115"/>
      <c r="AR591" s="115"/>
      <c r="AS591" s="115"/>
      <c r="AT591" s="115"/>
      <c r="AU591" s="115"/>
      <c r="AV591" s="115"/>
      <c r="AW591" s="115"/>
      <c r="AX591" s="115"/>
      <c r="AY591" s="115"/>
      <c r="AZ591" s="115"/>
      <c r="BA591" s="115"/>
      <c r="BB591" s="115"/>
      <c r="BC591" s="115"/>
      <c r="BD591" s="25"/>
      <c r="BE591" s="13"/>
      <c r="BH591" s="114"/>
    </row>
    <row r="592" spans="1:60" ht="19.5" x14ac:dyDescent="0.4">
      <c r="A592" s="117"/>
      <c r="B592" s="123"/>
      <c r="C592" s="123"/>
      <c r="D592" s="123"/>
      <c r="U592" s="26"/>
      <c r="V592" s="13"/>
      <c r="AF592" s="26"/>
      <c r="AG592" s="13"/>
      <c r="AL592" s="117"/>
      <c r="AM592" s="123"/>
      <c r="AN592" s="123"/>
      <c r="AO592" s="123"/>
      <c r="AP592" s="115"/>
      <c r="AQ592" s="115"/>
      <c r="AR592" s="115"/>
      <c r="AS592" s="115"/>
      <c r="AT592" s="115"/>
      <c r="AU592" s="115"/>
      <c r="AV592" s="115"/>
      <c r="AW592" s="115"/>
      <c r="AX592" s="115"/>
      <c r="AY592" s="115"/>
      <c r="AZ592" s="115"/>
      <c r="BA592" s="115"/>
      <c r="BB592" s="115"/>
      <c r="BC592" s="115" t="s">
        <v>159</v>
      </c>
      <c r="BD592" s="13">
        <f>SUBTOTAL(3,BD587:BD590)</f>
        <v>2</v>
      </c>
      <c r="BE592" s="13">
        <f>SUBTOTAL(3,BE587:BE590)</f>
        <v>2</v>
      </c>
      <c r="BH592" s="114"/>
    </row>
    <row r="593" spans="1:60" ht="19.5" x14ac:dyDescent="0.4">
      <c r="A593" s="117"/>
      <c r="B593" s="123"/>
      <c r="C593" s="123"/>
      <c r="D593" s="123"/>
      <c r="U593" s="26"/>
      <c r="V593" s="13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26"/>
      <c r="AG593" s="13"/>
      <c r="AL593" s="117"/>
      <c r="AM593" s="123"/>
      <c r="AN593" s="123"/>
      <c r="AO593" s="123"/>
      <c r="AP593" s="115"/>
      <c r="AQ593" s="115"/>
      <c r="AR593" s="115"/>
      <c r="AS593" s="115"/>
      <c r="AT593" s="115"/>
      <c r="AU593" s="115"/>
      <c r="AV593" s="115"/>
      <c r="AW593" s="115"/>
      <c r="AX593" s="115"/>
      <c r="AY593" s="115"/>
      <c r="AZ593" s="115"/>
      <c r="BA593" s="115"/>
      <c r="BB593" s="115"/>
      <c r="BC593" s="115"/>
      <c r="BD593" s="13"/>
      <c r="BE593" s="13"/>
      <c r="BH593" s="114"/>
    </row>
    <row r="594" spans="1:60" ht="19.5" x14ac:dyDescent="0.4">
      <c r="A594" s="117"/>
      <c r="B594" s="123"/>
      <c r="C594" s="123"/>
      <c r="D594" s="123"/>
      <c r="U594" s="26"/>
      <c r="V594" s="13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26"/>
      <c r="AG594" s="13"/>
      <c r="AL594" s="117"/>
      <c r="AM594" s="123"/>
      <c r="AN594" s="123"/>
      <c r="AO594" s="123"/>
      <c r="AP594" s="115"/>
      <c r="AQ594" s="115"/>
      <c r="AR594" s="115"/>
      <c r="AS594" s="115"/>
      <c r="AT594" s="115"/>
      <c r="AU594" s="115"/>
      <c r="AV594" s="115"/>
      <c r="AW594" s="115"/>
      <c r="AX594" s="115"/>
      <c r="AY594" s="115"/>
      <c r="AZ594" s="115"/>
      <c r="BA594" s="115"/>
      <c r="BB594" s="115"/>
      <c r="BC594" s="115"/>
      <c r="BD594" s="13"/>
      <c r="BE594" s="13"/>
      <c r="BH594" s="114"/>
    </row>
    <row r="595" spans="1:60" ht="19.5" x14ac:dyDescent="0.4">
      <c r="A595" s="117"/>
      <c r="B595" s="123"/>
      <c r="C595" s="123"/>
      <c r="D595" s="123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26"/>
      <c r="V595" s="13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26"/>
      <c r="AG595" s="13"/>
      <c r="AL595" s="117"/>
      <c r="AM595" s="123"/>
      <c r="AN595" s="123"/>
      <c r="AO595" s="123"/>
      <c r="AP595" s="115"/>
      <c r="AQ595" s="115"/>
      <c r="AR595" s="115"/>
      <c r="AS595" s="115"/>
      <c r="AT595" s="115"/>
      <c r="AU595" s="115"/>
      <c r="AV595" s="115"/>
      <c r="AW595" s="115"/>
      <c r="AX595" s="115"/>
      <c r="AY595" s="115"/>
      <c r="AZ595" s="115"/>
      <c r="BA595" s="115"/>
      <c r="BB595" s="115"/>
      <c r="BC595" s="115"/>
      <c r="BD595" s="13"/>
      <c r="BE595" s="13"/>
      <c r="BH595" s="114"/>
    </row>
    <row r="596" spans="1:60" ht="19.5" x14ac:dyDescent="0.4">
      <c r="A596" s="117"/>
      <c r="B596" s="123"/>
      <c r="C596" s="123"/>
      <c r="D596" s="123"/>
      <c r="U596" s="26"/>
      <c r="V596" s="13"/>
      <c r="AF596" s="26"/>
      <c r="AG596" s="13"/>
      <c r="AL596" s="117"/>
      <c r="AM596" s="123"/>
      <c r="AN596" s="123"/>
      <c r="AO596" s="123"/>
      <c r="AP596" s="115"/>
      <c r="AQ596" s="115"/>
      <c r="AR596" s="115"/>
      <c r="AS596" s="115"/>
      <c r="AT596" s="115"/>
      <c r="AU596" s="115"/>
      <c r="AV596" s="115"/>
      <c r="AW596" s="115"/>
      <c r="AX596" s="115"/>
      <c r="AY596" s="115"/>
      <c r="AZ596" s="115"/>
      <c r="BA596" s="115"/>
      <c r="BB596" s="115"/>
      <c r="BC596" s="115"/>
      <c r="BD596" s="25">
        <v>45270</v>
      </c>
      <c r="BE596" s="13" t="s">
        <v>164</v>
      </c>
      <c r="BH596" s="114"/>
    </row>
    <row r="597" spans="1:60" ht="19.5" x14ac:dyDescent="0.4">
      <c r="A597" s="117"/>
      <c r="B597" s="123"/>
      <c r="C597" s="123"/>
      <c r="D597" s="123"/>
      <c r="U597" s="26"/>
      <c r="V597" s="13"/>
      <c r="AA597" s="115"/>
      <c r="AB597" s="115"/>
      <c r="AC597" s="115"/>
      <c r="AD597" s="115"/>
      <c r="AE597" s="115"/>
      <c r="AF597" s="17"/>
      <c r="AG597" s="13"/>
      <c r="AL597" s="117"/>
      <c r="AM597" s="123"/>
      <c r="AN597" s="123"/>
      <c r="AO597" s="123"/>
      <c r="AP597" s="115"/>
      <c r="AQ597" s="115"/>
      <c r="AR597" s="115"/>
      <c r="AS597" s="115"/>
      <c r="AT597" s="115"/>
      <c r="AU597" s="115"/>
      <c r="AV597" s="115"/>
      <c r="AW597" s="115"/>
      <c r="AX597" s="115"/>
      <c r="AY597" s="115"/>
      <c r="AZ597" s="115"/>
      <c r="BA597" s="115"/>
      <c r="BB597" s="115"/>
      <c r="BC597" s="115"/>
      <c r="BD597" s="25"/>
      <c r="BE597" s="13"/>
      <c r="BH597" s="114"/>
    </row>
    <row r="598" spans="1:60" ht="19.5" x14ac:dyDescent="0.4">
      <c r="A598" s="117"/>
      <c r="B598" s="123"/>
      <c r="C598" s="123"/>
      <c r="D598" s="123"/>
      <c r="U598" s="26"/>
      <c r="V598" s="13"/>
      <c r="AF598" s="26"/>
      <c r="AG598" s="13"/>
      <c r="AL598" s="117"/>
      <c r="AM598" s="123"/>
      <c r="AN598" s="123"/>
      <c r="AO598" s="123"/>
      <c r="AP598" s="115"/>
      <c r="AQ598" s="115"/>
      <c r="AR598" s="115"/>
      <c r="AS598" s="115"/>
      <c r="AT598" s="115"/>
      <c r="AU598" s="115"/>
      <c r="AV598" s="115"/>
      <c r="AW598" s="115"/>
      <c r="AX598" s="115"/>
      <c r="AY598" s="115"/>
      <c r="AZ598" s="115"/>
      <c r="BA598" s="115"/>
      <c r="BB598" s="115"/>
      <c r="BC598" s="115"/>
      <c r="BD598" s="25"/>
      <c r="BE598" s="13"/>
      <c r="BH598" s="114"/>
    </row>
    <row r="599" spans="1:60" ht="19.5" x14ac:dyDescent="0.4">
      <c r="A599" s="117"/>
      <c r="B599" s="123"/>
      <c r="C599" s="123"/>
      <c r="D599" s="123"/>
      <c r="U599" s="26"/>
      <c r="V599" s="13"/>
      <c r="X599" s="115"/>
      <c r="Y599" s="115"/>
      <c r="Z599" s="115"/>
      <c r="AA599" s="115"/>
      <c r="AB599" s="115"/>
      <c r="AC599" s="115"/>
      <c r="AD599" s="115"/>
      <c r="AE599" s="115"/>
      <c r="AF599" s="26"/>
      <c r="AG599" s="13"/>
      <c r="AL599" s="117"/>
      <c r="AM599" s="123"/>
      <c r="AN599" s="123"/>
      <c r="AO599" s="123"/>
      <c r="AP599" s="115"/>
      <c r="AQ599" s="115"/>
      <c r="AR599" s="115"/>
      <c r="AS599" s="115"/>
      <c r="AT599" s="115"/>
      <c r="AU599" s="115"/>
      <c r="AV599" s="115"/>
      <c r="AW599" s="115"/>
      <c r="AX599" s="115"/>
      <c r="AY599" s="115"/>
      <c r="AZ599" s="115"/>
      <c r="BA599" s="115"/>
      <c r="BB599" s="115"/>
      <c r="BC599" s="115"/>
      <c r="BD599" s="25"/>
      <c r="BE599" s="13"/>
      <c r="BH599" s="114"/>
    </row>
    <row r="600" spans="1:60" ht="19.5" x14ac:dyDescent="0.4">
      <c r="A600" s="117"/>
      <c r="B600" s="123"/>
      <c r="C600" s="123"/>
      <c r="D600" s="123"/>
      <c r="U600" s="26"/>
      <c r="V600" s="13"/>
      <c r="AF600" s="26"/>
      <c r="AG600" s="13"/>
      <c r="AL600" s="117"/>
      <c r="AM600" s="123"/>
      <c r="AN600" s="123"/>
      <c r="AO600" s="123"/>
      <c r="AP600" s="115"/>
      <c r="AQ600" s="115"/>
      <c r="AR600" s="115"/>
      <c r="AS600" s="115"/>
      <c r="AT600" s="115"/>
      <c r="AU600" s="115"/>
      <c r="AV600" s="115"/>
      <c r="AW600" s="115"/>
      <c r="AX600" s="115"/>
      <c r="AY600" s="115"/>
      <c r="AZ600" s="115"/>
      <c r="BA600" s="115"/>
      <c r="BB600" s="115"/>
      <c r="BC600" s="115"/>
      <c r="BD600" s="25">
        <v>45270</v>
      </c>
      <c r="BE600" s="13" t="s">
        <v>164</v>
      </c>
      <c r="BH600" s="114"/>
    </row>
    <row r="601" spans="1:60" ht="19.5" x14ac:dyDescent="0.4">
      <c r="A601" s="117"/>
      <c r="B601" s="123"/>
      <c r="C601" s="123"/>
      <c r="D601" s="123"/>
      <c r="U601" s="26"/>
      <c r="V601" s="13"/>
      <c r="Z601" s="115"/>
      <c r="AA601" s="115"/>
      <c r="AB601" s="115"/>
      <c r="AC601" s="115"/>
      <c r="AD601" s="115"/>
      <c r="AE601" s="115"/>
      <c r="AF601" s="26"/>
      <c r="AG601" s="13"/>
      <c r="AL601" s="117"/>
      <c r="AM601" s="123"/>
      <c r="AN601" s="123"/>
      <c r="AO601" s="123"/>
      <c r="AP601" s="115"/>
      <c r="AQ601" s="115"/>
      <c r="AR601" s="115"/>
      <c r="AS601" s="115"/>
      <c r="AT601" s="115"/>
      <c r="AU601" s="115"/>
      <c r="AV601" s="115"/>
      <c r="AW601" s="115"/>
      <c r="AX601" s="115"/>
      <c r="AY601" s="115"/>
      <c r="AZ601" s="115"/>
      <c r="BA601" s="115"/>
      <c r="BB601" s="115"/>
      <c r="BC601" s="115"/>
      <c r="BD601" s="25"/>
      <c r="BE601" s="13"/>
      <c r="BH601" s="114"/>
    </row>
    <row r="602" spans="1:60" ht="19.5" x14ac:dyDescent="0.4">
      <c r="A602" s="117"/>
      <c r="B602" s="123"/>
      <c r="C602" s="123"/>
      <c r="D602" s="123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26"/>
      <c r="V602" s="13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26"/>
      <c r="AG602" s="13"/>
      <c r="AL602" s="117"/>
      <c r="AM602" s="123"/>
      <c r="AN602" s="123"/>
      <c r="AO602" s="123"/>
      <c r="AP602" s="115"/>
      <c r="AQ602" s="115"/>
      <c r="AR602" s="115"/>
      <c r="AS602" s="115"/>
      <c r="AT602" s="115"/>
      <c r="AU602" s="115"/>
      <c r="AV602" s="115"/>
      <c r="AW602" s="115"/>
      <c r="AX602" s="115"/>
      <c r="AY602" s="115"/>
      <c r="AZ602" s="115"/>
      <c r="BA602" s="115"/>
      <c r="BB602" s="115"/>
      <c r="BC602" s="115"/>
      <c r="BD602" s="25"/>
      <c r="BE602" s="13"/>
      <c r="BH602" s="114"/>
    </row>
    <row r="603" spans="1:60" ht="19.5" x14ac:dyDescent="0.4">
      <c r="A603" s="117"/>
      <c r="B603" s="123"/>
      <c r="C603" s="123"/>
      <c r="D603" s="123"/>
      <c r="U603" s="26"/>
      <c r="V603" s="15"/>
      <c r="AF603" s="26"/>
      <c r="AG603" s="13"/>
      <c r="AL603" s="117"/>
      <c r="AM603" s="123"/>
      <c r="AN603" s="123"/>
      <c r="AO603" s="123"/>
      <c r="AP603" s="115"/>
      <c r="AQ603" s="115"/>
      <c r="AR603" s="115"/>
      <c r="AS603" s="115"/>
      <c r="AT603" s="115"/>
      <c r="AU603" s="115"/>
      <c r="AV603" s="115"/>
      <c r="AW603" s="115"/>
      <c r="AX603" s="115"/>
      <c r="AY603" s="115"/>
      <c r="AZ603" s="115"/>
      <c r="BA603" s="115"/>
      <c r="BB603" s="115"/>
      <c r="BC603" s="115"/>
      <c r="BD603" s="25">
        <v>45270</v>
      </c>
      <c r="BE603" s="13" t="s">
        <v>162</v>
      </c>
      <c r="BH603" s="114"/>
    </row>
    <row r="604" spans="1:60" ht="19.5" x14ac:dyDescent="0.4">
      <c r="A604" s="117"/>
      <c r="B604" s="123"/>
      <c r="C604" s="123"/>
      <c r="D604" s="123"/>
      <c r="U604" s="26"/>
      <c r="V604" s="15"/>
      <c r="Y604" s="115"/>
      <c r="Z604" s="115"/>
      <c r="AA604" s="115"/>
      <c r="AB604" s="115"/>
      <c r="AC604" s="115"/>
      <c r="AD604" s="115"/>
      <c r="AE604" s="115"/>
      <c r="AF604" s="26"/>
      <c r="AG604" s="15"/>
      <c r="AL604" s="117"/>
      <c r="AM604" s="123"/>
      <c r="AN604" s="123"/>
      <c r="AO604" s="123"/>
      <c r="AP604" s="115"/>
      <c r="AQ604" s="115"/>
      <c r="AR604" s="115"/>
      <c r="AS604" s="115"/>
      <c r="AT604" s="115"/>
      <c r="AU604" s="115"/>
      <c r="AV604" s="115"/>
      <c r="AW604" s="115"/>
      <c r="AX604" s="115"/>
      <c r="AY604" s="115"/>
      <c r="AZ604" s="115"/>
      <c r="BA604" s="115"/>
      <c r="BB604" s="115"/>
      <c r="BC604" s="115"/>
      <c r="BD604" s="25"/>
      <c r="BE604" s="13"/>
      <c r="BH604" s="114"/>
    </row>
    <row r="605" spans="1:60" ht="19.5" x14ac:dyDescent="0.4">
      <c r="A605" s="117"/>
      <c r="B605" s="123"/>
      <c r="C605" s="123"/>
      <c r="D605" s="123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7"/>
      <c r="V605" s="15"/>
      <c r="Y605" s="115"/>
      <c r="Z605" s="115"/>
      <c r="AA605" s="115"/>
      <c r="AB605" s="115"/>
      <c r="AC605" s="115"/>
      <c r="AD605" s="115"/>
      <c r="AE605" s="115"/>
      <c r="AF605" s="26"/>
      <c r="AG605" s="13"/>
      <c r="AL605" s="117"/>
      <c r="AM605" s="123"/>
      <c r="AN605" s="123"/>
      <c r="AO605" s="123"/>
      <c r="AP605" s="115"/>
      <c r="AQ605" s="115"/>
      <c r="AR605" s="115"/>
      <c r="AS605" s="115"/>
      <c r="AT605" s="115"/>
      <c r="AU605" s="115"/>
      <c r="AV605" s="115"/>
      <c r="AW605" s="115"/>
      <c r="AX605" s="115"/>
      <c r="AY605" s="115"/>
      <c r="AZ605" s="115"/>
      <c r="BA605" s="115"/>
      <c r="BB605" s="115"/>
      <c r="BC605" s="115"/>
      <c r="BD605" s="25"/>
      <c r="BE605" s="13"/>
      <c r="BH605" s="114"/>
    </row>
    <row r="606" spans="1:60" ht="19.5" x14ac:dyDescent="0.4">
      <c r="A606" s="117"/>
      <c r="B606" s="123"/>
      <c r="C606" s="123"/>
      <c r="D606" s="123"/>
      <c r="U606" s="26"/>
      <c r="V606" s="15"/>
      <c r="AF606" s="26"/>
      <c r="AG606" s="13"/>
      <c r="AL606" s="117"/>
      <c r="AM606" s="123"/>
      <c r="AN606" s="123"/>
      <c r="AO606" s="123"/>
      <c r="AP606" s="115"/>
      <c r="AQ606" s="115"/>
      <c r="AR606" s="115"/>
      <c r="AS606" s="115"/>
      <c r="AT606" s="115"/>
      <c r="AU606" s="115"/>
      <c r="AV606" s="115"/>
      <c r="AW606" s="115"/>
      <c r="AX606" s="115"/>
      <c r="AY606" s="115"/>
      <c r="AZ606" s="115"/>
      <c r="BA606" s="115"/>
      <c r="BB606" s="115"/>
      <c r="BC606" s="115"/>
      <c r="BD606" s="25">
        <v>45270</v>
      </c>
      <c r="BE606" s="13" t="s">
        <v>162</v>
      </c>
      <c r="BH606" s="114"/>
    </row>
    <row r="607" spans="1:60" ht="19.5" x14ac:dyDescent="0.4">
      <c r="A607" s="117"/>
      <c r="B607" s="123"/>
      <c r="C607" s="123"/>
      <c r="D607" s="123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7"/>
      <c r="V607" s="15"/>
      <c r="AF607" s="26"/>
      <c r="AG607" s="13"/>
      <c r="AL607" s="117"/>
      <c r="AM607" s="123"/>
      <c r="AN607" s="123"/>
      <c r="AO607" s="123"/>
      <c r="AP607" s="115"/>
      <c r="AQ607" s="115"/>
      <c r="AR607" s="115"/>
      <c r="AS607" s="115"/>
      <c r="AT607" s="115"/>
      <c r="AU607" s="115"/>
      <c r="AV607" s="115"/>
      <c r="AW607" s="115"/>
      <c r="AX607" s="115"/>
      <c r="AY607" s="115"/>
      <c r="AZ607" s="115"/>
      <c r="BA607" s="115"/>
      <c r="BB607" s="115"/>
      <c r="BC607" s="115"/>
      <c r="BD607" s="25"/>
      <c r="BE607" s="13"/>
      <c r="BH607" s="114"/>
    </row>
    <row r="608" spans="1:60" ht="19.5" x14ac:dyDescent="0.4">
      <c r="A608" s="117"/>
      <c r="B608" s="123"/>
      <c r="C608" s="123"/>
      <c r="D608" s="123"/>
      <c r="U608" s="26"/>
      <c r="V608" s="15"/>
      <c r="AA608" s="115"/>
      <c r="AB608" s="115"/>
      <c r="AC608" s="115"/>
      <c r="AD608" s="115"/>
      <c r="AE608" s="115"/>
      <c r="AF608" s="17"/>
      <c r="AG608" s="13"/>
      <c r="AL608" s="117"/>
      <c r="AM608" s="123"/>
      <c r="AN608" s="123"/>
      <c r="AO608" s="123"/>
      <c r="AP608" s="115"/>
      <c r="AQ608" s="115"/>
      <c r="AR608" s="115"/>
      <c r="AS608" s="115"/>
      <c r="AT608" s="115"/>
      <c r="AU608" s="115"/>
      <c r="AV608" s="115"/>
      <c r="AW608" s="115"/>
      <c r="AX608" s="115"/>
      <c r="AY608" s="115"/>
      <c r="AZ608" s="115"/>
      <c r="BA608" s="115"/>
      <c r="BB608" s="115"/>
      <c r="BC608" s="115"/>
      <c r="BD608" s="25"/>
      <c r="BE608" s="13"/>
      <c r="BH608" s="114"/>
    </row>
    <row r="609" spans="1:60" ht="19.5" x14ac:dyDescent="0.4">
      <c r="A609" s="117"/>
      <c r="B609" s="123"/>
      <c r="C609" s="123"/>
      <c r="D609" s="123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9"/>
      <c r="V609" s="119"/>
      <c r="AA609" s="115"/>
      <c r="AB609" s="115"/>
      <c r="AC609" s="115"/>
      <c r="AD609" s="115"/>
      <c r="AE609" s="115"/>
      <c r="AF609" s="17"/>
      <c r="AG609" s="13"/>
      <c r="AL609" s="117"/>
      <c r="AM609" s="123"/>
      <c r="AN609" s="123"/>
      <c r="AO609" s="123"/>
      <c r="AP609" s="115"/>
      <c r="AQ609" s="115"/>
      <c r="AR609" s="115"/>
      <c r="AS609" s="115"/>
      <c r="AT609" s="115"/>
      <c r="AU609" s="115"/>
      <c r="AV609" s="115"/>
      <c r="AW609" s="115"/>
      <c r="AX609" s="115"/>
      <c r="AY609" s="115"/>
      <c r="AZ609" s="115"/>
      <c r="BA609" s="115"/>
      <c r="BB609" s="115"/>
      <c r="BC609" s="115"/>
      <c r="BD609" s="25"/>
      <c r="BE609" s="13"/>
      <c r="BH609" s="114"/>
    </row>
    <row r="610" spans="1:60" ht="19.5" x14ac:dyDescent="0.4">
      <c r="A610" s="117"/>
      <c r="B610" s="123"/>
      <c r="C610" s="123"/>
      <c r="D610" s="123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9"/>
      <c r="V610" s="119"/>
      <c r="AA610" s="115"/>
      <c r="AB610" s="115"/>
      <c r="AC610" s="115"/>
      <c r="AD610" s="115"/>
      <c r="AE610" s="115"/>
      <c r="AF610" s="17"/>
      <c r="AG610" s="13"/>
      <c r="AL610" s="117"/>
      <c r="AM610" s="123"/>
      <c r="AN610" s="123"/>
      <c r="AO610" s="123"/>
      <c r="AP610" s="115"/>
      <c r="AQ610" s="115"/>
      <c r="AR610" s="115"/>
      <c r="AS610" s="115"/>
      <c r="AT610" s="115"/>
      <c r="AU610" s="115"/>
      <c r="AV610" s="115"/>
      <c r="AW610" s="115"/>
      <c r="AX610" s="115"/>
      <c r="AY610" s="115"/>
      <c r="AZ610" s="115"/>
      <c r="BA610" s="115"/>
      <c r="BB610" s="115"/>
      <c r="BC610" s="115"/>
      <c r="BD610" s="25"/>
      <c r="BE610" s="13"/>
      <c r="BH610" s="114"/>
    </row>
    <row r="611" spans="1:60" ht="19.5" x14ac:dyDescent="0.4">
      <c r="A611" s="117"/>
      <c r="B611" s="123"/>
      <c r="C611" s="123"/>
      <c r="D611" s="123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26"/>
      <c r="AG611" s="13"/>
      <c r="AL611" s="117"/>
      <c r="AM611" s="123"/>
      <c r="AN611" s="123"/>
      <c r="AO611" s="123"/>
      <c r="AP611" s="115"/>
      <c r="AQ611" s="115"/>
      <c r="AR611" s="115"/>
      <c r="AS611" s="115"/>
      <c r="AT611" s="115"/>
      <c r="AU611" s="115"/>
      <c r="AV611" s="115"/>
      <c r="AW611" s="115"/>
      <c r="AX611" s="115"/>
      <c r="AY611" s="115"/>
      <c r="AZ611" s="115"/>
      <c r="BA611" s="115"/>
      <c r="BB611" s="115"/>
      <c r="BC611" s="115"/>
      <c r="BD611" s="25"/>
      <c r="BE611" s="13"/>
      <c r="BH611" s="114"/>
    </row>
    <row r="612" spans="1:60" ht="19.5" x14ac:dyDescent="0.4">
      <c r="A612" s="117"/>
      <c r="B612" s="123"/>
      <c r="C612" s="123"/>
      <c r="D612" s="123"/>
      <c r="AF612" s="26"/>
      <c r="AG612" s="13"/>
      <c r="AL612" s="117"/>
      <c r="AM612" s="123"/>
      <c r="AN612" s="123"/>
      <c r="AO612" s="123"/>
      <c r="AP612" s="115"/>
      <c r="AQ612" s="115"/>
      <c r="AR612" s="115"/>
      <c r="AS612" s="115"/>
      <c r="AT612" s="115"/>
      <c r="AU612" s="115"/>
      <c r="AV612" s="115"/>
      <c r="AW612" s="115"/>
      <c r="AX612" s="115"/>
      <c r="AY612" s="115"/>
      <c r="AZ612" s="115"/>
      <c r="BA612" s="115"/>
      <c r="BB612" s="115"/>
      <c r="BC612" s="115"/>
      <c r="BD612" s="25"/>
      <c r="BE612" s="13"/>
      <c r="BH612" s="114"/>
    </row>
    <row r="613" spans="1:60" ht="19.5" x14ac:dyDescent="0.4">
      <c r="A613" s="117"/>
      <c r="B613" s="123"/>
      <c r="C613" s="123"/>
      <c r="D613" s="123"/>
      <c r="AF613" s="26"/>
      <c r="AG613" s="13"/>
      <c r="AL613" s="117"/>
      <c r="AM613" s="123"/>
      <c r="AN613" s="123"/>
      <c r="AO613" s="123"/>
      <c r="AP613" s="115"/>
      <c r="AQ613" s="115"/>
      <c r="AR613" s="115"/>
      <c r="AS613" s="115"/>
      <c r="AT613" s="115"/>
      <c r="AU613" s="115"/>
      <c r="AV613" s="115"/>
      <c r="AW613" s="115"/>
      <c r="AX613" s="115"/>
      <c r="AY613" s="115"/>
      <c r="AZ613" s="115"/>
      <c r="BA613" s="115"/>
      <c r="BB613" s="115"/>
      <c r="BC613" s="115"/>
      <c r="BD613" s="25">
        <v>45270</v>
      </c>
      <c r="BE613" s="13" t="s">
        <v>163</v>
      </c>
      <c r="BH613" s="114"/>
    </row>
    <row r="614" spans="1:60" ht="19.5" x14ac:dyDescent="0.4">
      <c r="A614" s="117"/>
      <c r="B614" s="123"/>
      <c r="C614" s="123"/>
      <c r="D614" s="123"/>
      <c r="AA614" s="115"/>
      <c r="AB614" s="115"/>
      <c r="AC614" s="115"/>
      <c r="AD614" s="115"/>
      <c r="AE614" s="115"/>
      <c r="AF614" s="17"/>
      <c r="AG614" s="13"/>
      <c r="AL614" s="117"/>
      <c r="AM614" s="123"/>
      <c r="AN614" s="123"/>
      <c r="AO614" s="123"/>
      <c r="AP614" s="115"/>
      <c r="AQ614" s="115"/>
      <c r="AR614" s="115"/>
      <c r="AS614" s="115"/>
      <c r="AT614" s="115"/>
      <c r="AU614" s="115"/>
      <c r="AV614" s="115"/>
      <c r="AW614" s="115"/>
      <c r="AX614" s="115"/>
      <c r="AY614" s="115"/>
      <c r="AZ614" s="115"/>
      <c r="BA614" s="115"/>
      <c r="BB614" s="115"/>
      <c r="BC614" s="115"/>
      <c r="BD614" s="25"/>
      <c r="BE614" s="13"/>
      <c r="BH614" s="114"/>
    </row>
    <row r="615" spans="1:60" ht="19.5" x14ac:dyDescent="0.4">
      <c r="A615" s="117"/>
      <c r="B615" s="123"/>
      <c r="C615" s="123"/>
      <c r="D615" s="123"/>
      <c r="AF615" s="26"/>
      <c r="AG615" s="13"/>
      <c r="AL615" s="117"/>
      <c r="AM615" s="123"/>
      <c r="AN615" s="123"/>
      <c r="AO615" s="123"/>
      <c r="AP615" s="115"/>
      <c r="AQ615" s="115"/>
      <c r="AR615" s="115"/>
      <c r="AS615" s="115"/>
      <c r="AT615" s="115"/>
      <c r="AU615" s="115"/>
      <c r="AV615" s="115"/>
      <c r="AW615" s="115"/>
      <c r="AX615" s="115"/>
      <c r="AY615" s="115"/>
      <c r="AZ615" s="115"/>
      <c r="BA615" s="115"/>
      <c r="BB615" s="115"/>
      <c r="BC615" s="115" t="s">
        <v>151</v>
      </c>
      <c r="BD615" s="13">
        <f>SUBTOTAL(3,BD596:BD613)</f>
        <v>5</v>
      </c>
      <c r="BE615" s="13">
        <f>SUBTOTAL(3,BE596:BE613)</f>
        <v>5</v>
      </c>
      <c r="BH615" s="114"/>
    </row>
    <row r="616" spans="1:60" ht="19.5" x14ac:dyDescent="0.4">
      <c r="A616" s="117"/>
      <c r="B616" s="123"/>
      <c r="C616" s="123"/>
      <c r="D616" s="123"/>
      <c r="Z616" s="115"/>
      <c r="AA616" s="115"/>
      <c r="AB616" s="115"/>
      <c r="AC616" s="115"/>
      <c r="AD616" s="115"/>
      <c r="AE616" s="115"/>
      <c r="AF616" s="26"/>
      <c r="AG616" s="13"/>
      <c r="AL616" s="117"/>
      <c r="AM616" s="123"/>
      <c r="AN616" s="123"/>
      <c r="AO616" s="123"/>
      <c r="AP616" s="115"/>
      <c r="AQ616" s="115"/>
      <c r="AR616" s="115"/>
      <c r="AS616" s="115"/>
      <c r="AT616" s="115"/>
      <c r="AU616" s="115"/>
      <c r="AV616" s="115"/>
      <c r="AW616" s="115"/>
      <c r="AX616" s="115"/>
      <c r="AY616" s="115"/>
      <c r="AZ616" s="115"/>
      <c r="BA616" s="115"/>
      <c r="BB616" s="115"/>
      <c r="BC616" s="115"/>
      <c r="BD616" s="13"/>
      <c r="BE616" s="13"/>
      <c r="BH616" s="114"/>
    </row>
    <row r="617" spans="1:60" ht="19.5" x14ac:dyDescent="0.4">
      <c r="A617" s="117"/>
      <c r="B617" s="123"/>
      <c r="C617" s="123"/>
      <c r="D617" s="123"/>
      <c r="AF617" s="26"/>
      <c r="AG617" s="13"/>
      <c r="AL617" s="117"/>
      <c r="AM617" s="123"/>
      <c r="AN617" s="123"/>
      <c r="AO617" s="123"/>
      <c r="AP617" s="115"/>
      <c r="AQ617" s="115"/>
      <c r="AR617" s="115"/>
      <c r="AS617" s="115"/>
      <c r="AT617" s="115"/>
      <c r="AU617" s="115"/>
      <c r="AV617" s="115"/>
      <c r="AW617" s="115"/>
      <c r="AX617" s="115"/>
      <c r="AY617" s="115"/>
      <c r="AZ617" s="115"/>
      <c r="BA617" s="115"/>
      <c r="BB617" s="115"/>
      <c r="BC617" s="115"/>
      <c r="BD617" s="25">
        <v>45271</v>
      </c>
      <c r="BE617" s="13" t="s">
        <v>162</v>
      </c>
      <c r="BH617" s="114"/>
    </row>
    <row r="618" spans="1:60" ht="19.5" x14ac:dyDescent="0.4">
      <c r="A618" s="117"/>
      <c r="B618" s="123"/>
      <c r="C618" s="123"/>
      <c r="D618" s="123"/>
      <c r="AF618" s="26"/>
      <c r="AG618" s="13"/>
      <c r="AL618" s="117"/>
      <c r="AM618" s="123"/>
      <c r="AN618" s="123"/>
      <c r="AO618" s="123"/>
      <c r="AP618" s="115"/>
      <c r="AQ618" s="115"/>
      <c r="AR618" s="115"/>
      <c r="AS618" s="115"/>
      <c r="AT618" s="115"/>
      <c r="AU618" s="115"/>
      <c r="AV618" s="115"/>
      <c r="AW618" s="115"/>
      <c r="AX618" s="115"/>
      <c r="AY618" s="115"/>
      <c r="AZ618" s="115"/>
      <c r="BA618" s="115"/>
      <c r="BB618" s="115"/>
      <c r="BC618" s="115"/>
      <c r="BD618" s="25">
        <v>45271</v>
      </c>
      <c r="BE618" s="13" t="s">
        <v>163</v>
      </c>
      <c r="BH618" s="114"/>
    </row>
    <row r="619" spans="1:60" ht="19.5" x14ac:dyDescent="0.4">
      <c r="A619" s="117"/>
      <c r="B619" s="123"/>
      <c r="C619" s="123"/>
      <c r="D619" s="123"/>
      <c r="Z619" s="115"/>
      <c r="AA619" s="115"/>
      <c r="AB619" s="115"/>
      <c r="AC619" s="115"/>
      <c r="AD619" s="115"/>
      <c r="AE619" s="115"/>
      <c r="AF619" s="26"/>
      <c r="AG619" s="13"/>
      <c r="AL619" s="117"/>
      <c r="AM619" s="123"/>
      <c r="AN619" s="123"/>
      <c r="AO619" s="123"/>
      <c r="AP619" s="115"/>
      <c r="AQ619" s="115"/>
      <c r="AR619" s="115"/>
      <c r="AS619" s="115"/>
      <c r="AT619" s="115"/>
      <c r="AU619" s="115"/>
      <c r="AV619" s="115"/>
      <c r="AW619" s="115"/>
      <c r="AX619" s="115"/>
      <c r="AY619" s="115"/>
      <c r="AZ619" s="115"/>
      <c r="BA619" s="115"/>
      <c r="BB619" s="115"/>
      <c r="BC619" s="115"/>
      <c r="BD619" s="25"/>
      <c r="BE619" s="13"/>
      <c r="BH619" s="114"/>
    </row>
    <row r="620" spans="1:60" ht="19.5" x14ac:dyDescent="0.4">
      <c r="A620" s="117"/>
      <c r="B620" s="123"/>
      <c r="C620" s="123"/>
      <c r="D620" s="123"/>
      <c r="Y620" s="115"/>
      <c r="Z620" s="115"/>
      <c r="AA620" s="115"/>
      <c r="AB620" s="115"/>
      <c r="AC620" s="115"/>
      <c r="AD620" s="115"/>
      <c r="AE620" s="115"/>
      <c r="AF620" s="26"/>
      <c r="AG620" s="13"/>
      <c r="AL620" s="117"/>
      <c r="AM620" s="123"/>
      <c r="AN620" s="123"/>
      <c r="AO620" s="123"/>
      <c r="AP620" s="115"/>
      <c r="AQ620" s="115"/>
      <c r="AR620" s="115"/>
      <c r="AS620" s="115"/>
      <c r="AT620" s="115"/>
      <c r="AU620" s="115"/>
      <c r="AV620" s="115"/>
      <c r="AW620" s="115"/>
      <c r="AX620" s="115"/>
      <c r="AY620" s="115"/>
      <c r="AZ620" s="115"/>
      <c r="BA620" s="115"/>
      <c r="BB620" s="115"/>
      <c r="BC620" s="115"/>
      <c r="BD620" s="25"/>
      <c r="BE620" s="13"/>
      <c r="BH620" s="114"/>
    </row>
    <row r="621" spans="1:60" ht="19.5" x14ac:dyDescent="0.4">
      <c r="A621" s="117"/>
      <c r="B621" s="123"/>
      <c r="C621" s="123"/>
      <c r="D621" s="123"/>
      <c r="Y621" s="115"/>
      <c r="Z621" s="115"/>
      <c r="AA621" s="115"/>
      <c r="AB621" s="115"/>
      <c r="AC621" s="115"/>
      <c r="AD621" s="115"/>
      <c r="AE621" s="115"/>
      <c r="AF621" s="17"/>
      <c r="AG621" s="13"/>
      <c r="AL621" s="117"/>
      <c r="AM621" s="123"/>
      <c r="AN621" s="123"/>
      <c r="AO621" s="123"/>
      <c r="AP621" s="115"/>
      <c r="AQ621" s="115"/>
      <c r="AR621" s="115"/>
      <c r="AS621" s="115"/>
      <c r="AT621" s="115"/>
      <c r="AU621" s="115"/>
      <c r="AV621" s="115"/>
      <c r="AW621" s="115"/>
      <c r="AX621" s="115"/>
      <c r="AY621" s="115"/>
      <c r="AZ621" s="115"/>
      <c r="BA621" s="115"/>
      <c r="BB621" s="115"/>
      <c r="BC621" s="115"/>
      <c r="BD621" s="25"/>
      <c r="BE621" s="13"/>
      <c r="BH621" s="114"/>
    </row>
    <row r="622" spans="1:60" ht="19.5" x14ac:dyDescent="0.4">
      <c r="A622" s="117"/>
      <c r="B622" s="123"/>
      <c r="C622" s="123"/>
      <c r="D622" s="123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26"/>
      <c r="AG622" s="13"/>
      <c r="AL622" s="117"/>
      <c r="AM622" s="123"/>
      <c r="AN622" s="123"/>
      <c r="AO622" s="123"/>
      <c r="AP622" s="115"/>
      <c r="AQ622" s="115"/>
      <c r="AR622" s="115"/>
      <c r="AS622" s="115"/>
      <c r="AT622" s="115"/>
      <c r="AU622" s="115"/>
      <c r="AV622" s="115"/>
      <c r="AW622" s="115"/>
      <c r="AX622" s="115"/>
      <c r="AY622" s="115"/>
      <c r="AZ622" s="115"/>
      <c r="BA622" s="115"/>
      <c r="BB622" s="115"/>
      <c r="BC622" s="115"/>
      <c r="BD622" s="25"/>
      <c r="BE622" s="13"/>
      <c r="BH622" s="114"/>
    </row>
    <row r="623" spans="1:60" ht="19.5" x14ac:dyDescent="0.4">
      <c r="A623" s="117"/>
      <c r="B623" s="123"/>
      <c r="C623" s="123"/>
      <c r="D623" s="123"/>
      <c r="AF623" s="26"/>
      <c r="AG623" s="13"/>
      <c r="AL623" s="117"/>
      <c r="AM623" s="123"/>
      <c r="AN623" s="123"/>
      <c r="AO623" s="123"/>
      <c r="AP623" s="115"/>
      <c r="AQ623" s="115"/>
      <c r="AR623" s="115"/>
      <c r="AS623" s="115"/>
      <c r="AT623" s="115"/>
      <c r="AU623" s="115"/>
      <c r="AV623" s="115"/>
      <c r="AW623" s="115"/>
      <c r="AX623" s="115"/>
      <c r="AY623" s="115"/>
      <c r="AZ623" s="115"/>
      <c r="BA623" s="115"/>
      <c r="BB623" s="115"/>
      <c r="BC623" s="115"/>
      <c r="BD623" s="25">
        <v>45271</v>
      </c>
      <c r="BE623" s="13" t="s">
        <v>163</v>
      </c>
      <c r="BH623" s="114"/>
    </row>
    <row r="624" spans="1:60" ht="19.5" x14ac:dyDescent="0.4">
      <c r="A624" s="117"/>
      <c r="B624" s="123"/>
      <c r="C624" s="123"/>
      <c r="D624" s="123"/>
      <c r="Z624" s="115"/>
      <c r="AA624" s="115"/>
      <c r="AB624" s="115"/>
      <c r="AC624" s="115"/>
      <c r="AD624" s="115"/>
      <c r="AE624" s="115"/>
      <c r="AF624" s="26"/>
      <c r="AG624" s="13"/>
      <c r="AL624" s="117"/>
      <c r="AM624" s="123"/>
      <c r="AN624" s="123"/>
      <c r="AO624" s="123"/>
      <c r="AP624" s="115"/>
      <c r="AQ624" s="115"/>
      <c r="AR624" s="115"/>
      <c r="AS624" s="115"/>
      <c r="AT624" s="115"/>
      <c r="AU624" s="115"/>
      <c r="AV624" s="115"/>
      <c r="AW624" s="115"/>
      <c r="AX624" s="115"/>
      <c r="AY624" s="115"/>
      <c r="AZ624" s="115"/>
      <c r="BA624" s="115"/>
      <c r="BB624" s="115"/>
      <c r="BC624" s="115"/>
      <c r="BD624" s="25"/>
      <c r="BE624" s="13"/>
      <c r="BH624" s="114"/>
    </row>
    <row r="625" spans="1:60" ht="19.5" x14ac:dyDescent="0.4">
      <c r="A625" s="117"/>
      <c r="B625" s="123"/>
      <c r="C625" s="123"/>
      <c r="D625" s="123"/>
      <c r="X625" s="115"/>
      <c r="Y625" s="115"/>
      <c r="Z625" s="115"/>
      <c r="AA625" s="115"/>
      <c r="AB625" s="115"/>
      <c r="AC625" s="115"/>
      <c r="AD625" s="115"/>
      <c r="AE625" s="115"/>
      <c r="AF625" s="26"/>
      <c r="AG625" s="13"/>
      <c r="AL625" s="117"/>
      <c r="AM625" s="123"/>
      <c r="AN625" s="123"/>
      <c r="AO625" s="123"/>
      <c r="AP625" s="115"/>
      <c r="AQ625" s="115"/>
      <c r="AR625" s="115"/>
      <c r="AS625" s="115"/>
      <c r="AT625" s="115"/>
      <c r="AU625" s="115"/>
      <c r="AV625" s="115"/>
      <c r="AW625" s="115"/>
      <c r="AX625" s="115"/>
      <c r="AY625" s="115"/>
      <c r="AZ625" s="115"/>
      <c r="BA625" s="115"/>
      <c r="BB625" s="115"/>
      <c r="BC625" s="115"/>
      <c r="BD625" s="25"/>
      <c r="BE625" s="13"/>
      <c r="BH625" s="114"/>
    </row>
    <row r="626" spans="1:60" ht="19.5" x14ac:dyDescent="0.4">
      <c r="A626" s="117"/>
      <c r="B626" s="123"/>
      <c r="C626" s="123"/>
      <c r="D626" s="123"/>
      <c r="X626" s="115"/>
      <c r="Y626" s="115"/>
      <c r="Z626" s="115"/>
      <c r="AA626" s="115"/>
      <c r="AB626" s="115"/>
      <c r="AC626" s="115"/>
      <c r="AD626" s="115"/>
      <c r="AE626" s="115"/>
      <c r="AF626" s="17"/>
      <c r="AG626" s="13"/>
      <c r="AL626" s="117"/>
      <c r="AM626" s="123"/>
      <c r="AN626" s="123"/>
      <c r="AO626" s="123"/>
      <c r="AP626" s="115"/>
      <c r="AQ626" s="115"/>
      <c r="AR626" s="115"/>
      <c r="AS626" s="115"/>
      <c r="AT626" s="115"/>
      <c r="AU626" s="115"/>
      <c r="AV626" s="115"/>
      <c r="AW626" s="115"/>
      <c r="AX626" s="115"/>
      <c r="AY626" s="115"/>
      <c r="AZ626" s="115"/>
      <c r="BA626" s="115"/>
      <c r="BB626" s="115"/>
      <c r="BC626" s="115"/>
      <c r="BD626" s="25"/>
      <c r="BE626" s="13"/>
      <c r="BH626" s="114"/>
    </row>
    <row r="627" spans="1:60" ht="19.5" x14ac:dyDescent="0.4">
      <c r="A627" s="117"/>
      <c r="B627" s="123"/>
      <c r="C627" s="123"/>
      <c r="D627" s="123"/>
      <c r="AF627" s="26"/>
      <c r="AG627" s="13"/>
      <c r="AL627" s="117"/>
      <c r="AM627" s="123"/>
      <c r="AN627" s="123"/>
      <c r="AO627" s="123"/>
      <c r="AP627" s="115"/>
      <c r="AQ627" s="115"/>
      <c r="AR627" s="115"/>
      <c r="AS627" s="115"/>
      <c r="AT627" s="115"/>
      <c r="AU627" s="115"/>
      <c r="AV627" s="115"/>
      <c r="AW627" s="115"/>
      <c r="AX627" s="115"/>
      <c r="AY627" s="115"/>
      <c r="AZ627" s="115"/>
      <c r="BA627" s="115"/>
      <c r="BB627" s="115"/>
      <c r="BC627" s="115" t="s">
        <v>165</v>
      </c>
      <c r="BD627" s="13">
        <f>SUBTOTAL(3,BD617:BD623)</f>
        <v>3</v>
      </c>
      <c r="BE627" s="13">
        <f>SUBTOTAL(3,BE617:BE623)</f>
        <v>3</v>
      </c>
      <c r="BH627" s="114"/>
    </row>
    <row r="628" spans="1:60" ht="19.5" x14ac:dyDescent="0.4">
      <c r="A628" s="117"/>
      <c r="B628" s="123"/>
      <c r="C628" s="123"/>
      <c r="D628" s="123"/>
      <c r="AF628" s="26"/>
      <c r="AG628" s="13"/>
      <c r="AL628" s="117"/>
      <c r="AM628" s="123"/>
      <c r="AN628" s="123"/>
      <c r="AO628" s="123"/>
      <c r="AP628" s="115"/>
      <c r="AQ628" s="115"/>
      <c r="AR628" s="115"/>
      <c r="AS628" s="115"/>
      <c r="AT628" s="115"/>
      <c r="AU628" s="115"/>
      <c r="AV628" s="115"/>
      <c r="AW628" s="115"/>
      <c r="AX628" s="115"/>
      <c r="AY628" s="115"/>
      <c r="AZ628" s="115"/>
      <c r="BA628" s="115"/>
      <c r="BB628" s="115"/>
      <c r="BC628" s="115"/>
      <c r="BD628" s="25">
        <v>45272</v>
      </c>
      <c r="BE628" s="13" t="s">
        <v>162</v>
      </c>
      <c r="BH628" s="114"/>
    </row>
    <row r="629" spans="1:60" ht="19.5" x14ac:dyDescent="0.4">
      <c r="A629" s="117"/>
      <c r="B629" s="123"/>
      <c r="C629" s="123"/>
      <c r="D629" s="123"/>
      <c r="AA629" s="115"/>
      <c r="AB629" s="115"/>
      <c r="AC629" s="115"/>
      <c r="AD629" s="115"/>
      <c r="AE629" s="115"/>
      <c r="AF629" s="17"/>
      <c r="AG629" s="13"/>
      <c r="AL629" s="117"/>
      <c r="AM629" s="123"/>
      <c r="AN629" s="123"/>
      <c r="AO629" s="123"/>
      <c r="AP629" s="115"/>
      <c r="AQ629" s="115"/>
      <c r="AR629" s="115"/>
      <c r="AS629" s="115"/>
      <c r="AT629" s="115"/>
      <c r="AU629" s="115"/>
      <c r="AV629" s="115"/>
      <c r="AW629" s="115"/>
      <c r="AX629" s="115"/>
      <c r="AY629" s="115"/>
      <c r="AZ629" s="115"/>
      <c r="BA629" s="115"/>
      <c r="BB629" s="115"/>
      <c r="BC629" s="115"/>
      <c r="BD629" s="25"/>
      <c r="BE629" s="13"/>
      <c r="BH629" s="114"/>
    </row>
    <row r="630" spans="1:60" ht="19.5" x14ac:dyDescent="0.4">
      <c r="A630" s="117"/>
      <c r="B630" s="123"/>
      <c r="C630" s="123"/>
      <c r="D630" s="123"/>
      <c r="AF630" s="26"/>
      <c r="AG630" s="15"/>
      <c r="AL630" s="117"/>
      <c r="AM630" s="123"/>
      <c r="AN630" s="123"/>
      <c r="AO630" s="123"/>
      <c r="AP630" s="115"/>
      <c r="AQ630" s="115"/>
      <c r="AR630" s="115"/>
      <c r="AS630" s="115"/>
      <c r="AT630" s="115"/>
      <c r="AU630" s="115"/>
      <c r="AV630" s="115"/>
      <c r="AW630" s="115"/>
      <c r="AX630" s="115"/>
      <c r="AY630" s="115"/>
      <c r="AZ630" s="115"/>
      <c r="BA630" s="115"/>
      <c r="BB630" s="115"/>
      <c r="BC630" s="115"/>
      <c r="BD630" s="25">
        <v>45272</v>
      </c>
      <c r="BE630" s="13" t="s">
        <v>162</v>
      </c>
      <c r="BH630" s="114"/>
    </row>
    <row r="631" spans="1:60" ht="19.5" x14ac:dyDescent="0.4">
      <c r="A631" s="117"/>
      <c r="B631" s="123"/>
      <c r="C631" s="123"/>
      <c r="D631" s="123"/>
      <c r="AA631" s="115"/>
      <c r="AB631" s="115"/>
      <c r="AC631" s="115"/>
      <c r="AD631" s="115"/>
      <c r="AE631" s="115"/>
      <c r="AF631" s="17"/>
      <c r="AG631" s="13"/>
      <c r="AL631" s="117"/>
      <c r="AM631" s="123"/>
      <c r="AN631" s="123"/>
      <c r="AO631" s="123"/>
      <c r="AP631" s="115"/>
      <c r="AQ631" s="115"/>
      <c r="AR631" s="115"/>
      <c r="AS631" s="115"/>
      <c r="AT631" s="115"/>
      <c r="AU631" s="115"/>
      <c r="AV631" s="115"/>
      <c r="AW631" s="115"/>
      <c r="AX631" s="115"/>
      <c r="AY631" s="115"/>
      <c r="AZ631" s="115"/>
      <c r="BA631" s="115"/>
      <c r="BB631" s="115"/>
      <c r="BC631" s="115"/>
      <c r="BD631" s="25"/>
      <c r="BE631" s="13"/>
      <c r="BH631" s="114"/>
    </row>
    <row r="632" spans="1:60" ht="19.5" x14ac:dyDescent="0.4">
      <c r="A632" s="117"/>
      <c r="B632" s="123"/>
      <c r="C632" s="123"/>
      <c r="D632" s="123"/>
      <c r="AA632" s="115"/>
      <c r="AB632" s="115"/>
      <c r="AC632" s="115"/>
      <c r="AD632" s="115"/>
      <c r="AE632" s="115"/>
      <c r="AF632" s="17"/>
      <c r="AG632" s="13"/>
      <c r="AL632" s="117"/>
      <c r="AM632" s="123"/>
      <c r="AN632" s="123"/>
      <c r="AO632" s="123"/>
      <c r="AP632" s="115"/>
      <c r="AQ632" s="115"/>
      <c r="AR632" s="115"/>
      <c r="AS632" s="115"/>
      <c r="AT632" s="115"/>
      <c r="AU632" s="115"/>
      <c r="AV632" s="115"/>
      <c r="AW632" s="115"/>
      <c r="AX632" s="115"/>
      <c r="AY632" s="115"/>
      <c r="AZ632" s="115"/>
      <c r="BA632" s="115"/>
      <c r="BB632" s="115"/>
      <c r="BC632" s="115"/>
      <c r="BD632" s="25"/>
      <c r="BE632" s="13"/>
      <c r="BH632" s="114"/>
    </row>
    <row r="633" spans="1:60" ht="19.5" x14ac:dyDescent="0.4">
      <c r="A633" s="117"/>
      <c r="B633" s="123"/>
      <c r="C633" s="123"/>
      <c r="D633" s="123"/>
      <c r="AF633" s="26"/>
      <c r="AG633" s="13"/>
      <c r="AL633" s="117"/>
      <c r="AM633" s="123"/>
      <c r="AN633" s="123"/>
      <c r="AO633" s="123"/>
      <c r="AP633" s="115"/>
      <c r="AQ633" s="115"/>
      <c r="AR633" s="115"/>
      <c r="AS633" s="115"/>
      <c r="AT633" s="115"/>
      <c r="AU633" s="115"/>
      <c r="AV633" s="115"/>
      <c r="AW633" s="115"/>
      <c r="AX633" s="115"/>
      <c r="AY633" s="115"/>
      <c r="AZ633" s="115"/>
      <c r="BA633" s="115"/>
      <c r="BB633" s="115"/>
      <c r="BC633" s="115"/>
      <c r="BD633" s="25">
        <v>45272</v>
      </c>
      <c r="BE633" s="13" t="s">
        <v>162</v>
      </c>
      <c r="BH633" s="114"/>
    </row>
    <row r="634" spans="1:60" ht="19.5" x14ac:dyDescent="0.4">
      <c r="A634" s="125"/>
      <c r="B634" s="126"/>
      <c r="C634" s="126"/>
      <c r="D634" s="126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26"/>
      <c r="AG634" s="13"/>
      <c r="AL634" s="117"/>
      <c r="AM634" s="123"/>
      <c r="AN634" s="123"/>
      <c r="AO634" s="123"/>
      <c r="AP634" s="115"/>
      <c r="AQ634" s="115"/>
      <c r="AR634" s="115"/>
      <c r="AS634" s="115"/>
      <c r="AT634" s="115"/>
      <c r="AU634" s="115"/>
      <c r="AV634" s="115"/>
      <c r="AW634" s="115"/>
      <c r="AX634" s="115"/>
      <c r="AY634" s="115"/>
      <c r="AZ634" s="115"/>
      <c r="BA634" s="115"/>
      <c r="BB634" s="115"/>
      <c r="BC634" s="115"/>
      <c r="BD634" s="25"/>
      <c r="BE634" s="13"/>
      <c r="BH634" s="114"/>
    </row>
    <row r="635" spans="1:60" ht="19.5" x14ac:dyDescent="0.4">
      <c r="A635" s="125"/>
      <c r="B635" s="126"/>
      <c r="C635" s="126"/>
      <c r="D635" s="126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26"/>
      <c r="AG635" s="13"/>
      <c r="AL635" s="117"/>
      <c r="AM635" s="123"/>
      <c r="AN635" s="123"/>
      <c r="AO635" s="123"/>
      <c r="AP635" s="115"/>
      <c r="AQ635" s="115"/>
      <c r="AR635" s="115"/>
      <c r="AS635" s="115"/>
      <c r="AT635" s="115"/>
      <c r="AU635" s="115"/>
      <c r="AV635" s="115"/>
      <c r="AW635" s="115"/>
      <c r="AX635" s="115"/>
      <c r="AY635" s="115"/>
      <c r="AZ635" s="115"/>
      <c r="BA635" s="115"/>
      <c r="BB635" s="115"/>
      <c r="BC635" s="115"/>
      <c r="BD635" s="25"/>
      <c r="BE635" s="13"/>
      <c r="BH635" s="114"/>
    </row>
    <row r="636" spans="1:60" ht="19.5" x14ac:dyDescent="0.4">
      <c r="A636" s="125"/>
      <c r="B636" s="126"/>
      <c r="C636" s="126"/>
      <c r="D636" s="126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7"/>
      <c r="AG636" s="13"/>
      <c r="AL636" s="117"/>
      <c r="AM636" s="123"/>
      <c r="AN636" s="123"/>
      <c r="AO636" s="123"/>
      <c r="AP636" s="115"/>
      <c r="AQ636" s="115"/>
      <c r="AR636" s="115"/>
      <c r="AS636" s="115"/>
      <c r="AT636" s="115"/>
      <c r="AU636" s="115"/>
      <c r="AV636" s="115"/>
      <c r="AW636" s="115"/>
      <c r="AX636" s="115"/>
      <c r="AY636" s="115"/>
      <c r="AZ636" s="115"/>
      <c r="BA636" s="115"/>
      <c r="BB636" s="115"/>
      <c r="BC636" s="115"/>
      <c r="BD636" s="25"/>
      <c r="BE636" s="13"/>
      <c r="BH636" s="114"/>
    </row>
    <row r="637" spans="1:60" ht="19.5" x14ac:dyDescent="0.4">
      <c r="A637" s="125"/>
      <c r="B637" s="126"/>
      <c r="C637" s="126"/>
      <c r="D637" s="126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26"/>
      <c r="AG637" s="13"/>
      <c r="AL637" s="117"/>
      <c r="AM637" s="123"/>
      <c r="AN637" s="123"/>
      <c r="AO637" s="123"/>
      <c r="AP637" s="115"/>
      <c r="AQ637" s="115"/>
      <c r="AR637" s="115"/>
      <c r="AS637" s="115"/>
      <c r="AT637" s="115"/>
      <c r="AU637" s="115"/>
      <c r="AV637" s="115"/>
      <c r="AW637" s="115"/>
      <c r="AX637" s="115"/>
      <c r="AY637" s="115"/>
      <c r="AZ637" s="115"/>
      <c r="BA637" s="115"/>
      <c r="BB637" s="115"/>
      <c r="BC637" s="115"/>
      <c r="BD637" s="25"/>
      <c r="BE637" s="13"/>
      <c r="BH637" s="114"/>
    </row>
    <row r="638" spans="1:60" ht="19.5" x14ac:dyDescent="0.4">
      <c r="AF638" s="26"/>
      <c r="AG638" s="13"/>
      <c r="AL638" s="117"/>
      <c r="AM638" s="123"/>
      <c r="AN638" s="123"/>
      <c r="AO638" s="123"/>
      <c r="AP638" s="115"/>
      <c r="AQ638" s="115"/>
      <c r="AR638" s="115"/>
      <c r="AS638" s="115"/>
      <c r="AT638" s="115"/>
      <c r="AU638" s="115"/>
      <c r="AV638" s="115"/>
      <c r="AW638" s="115"/>
      <c r="AX638" s="115"/>
      <c r="AY638" s="115"/>
      <c r="AZ638" s="115"/>
      <c r="BA638" s="115"/>
      <c r="BB638" s="115"/>
      <c r="BC638" s="115"/>
      <c r="BD638" s="25">
        <v>45272</v>
      </c>
      <c r="BE638" s="13" t="s">
        <v>162</v>
      </c>
      <c r="BH638" s="114"/>
    </row>
    <row r="639" spans="1:60" ht="19.5" x14ac:dyDescent="0.4">
      <c r="AF639" s="26"/>
      <c r="AG639" s="13"/>
      <c r="AL639" s="117"/>
      <c r="AM639" s="123"/>
      <c r="AN639" s="123"/>
      <c r="AO639" s="123"/>
      <c r="AP639" s="115"/>
      <c r="AQ639" s="115"/>
      <c r="AR639" s="115"/>
      <c r="AS639" s="115"/>
      <c r="AT639" s="115"/>
      <c r="AU639" s="115"/>
      <c r="AV639" s="115"/>
      <c r="AW639" s="115"/>
      <c r="AX639" s="115"/>
      <c r="AY639" s="115"/>
      <c r="AZ639" s="115"/>
      <c r="BA639" s="115"/>
      <c r="BB639" s="115"/>
      <c r="BC639" s="115"/>
      <c r="BD639" s="25"/>
      <c r="BE639" s="13"/>
      <c r="BH639" s="114"/>
    </row>
    <row r="640" spans="1:60" ht="19.5" x14ac:dyDescent="0.4"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26"/>
      <c r="AG640" s="25"/>
      <c r="AL640" s="117"/>
      <c r="AM640" s="123"/>
      <c r="AN640" s="123"/>
      <c r="AO640" s="123"/>
      <c r="AP640" s="115"/>
      <c r="AQ640" s="115"/>
      <c r="AR640" s="115"/>
      <c r="AS640" s="115"/>
      <c r="AT640" s="115"/>
      <c r="AU640" s="115"/>
      <c r="AV640" s="115"/>
      <c r="AW640" s="115"/>
      <c r="AX640" s="115"/>
      <c r="AY640" s="115"/>
      <c r="AZ640" s="115"/>
      <c r="BA640" s="115"/>
      <c r="BB640" s="115"/>
      <c r="BC640" s="115"/>
      <c r="BD640" s="25"/>
      <c r="BE640" s="13"/>
      <c r="BH640" s="114"/>
    </row>
    <row r="641" spans="6:60" ht="19.5" x14ac:dyDescent="0.4">
      <c r="AF641" s="26"/>
      <c r="AG641" s="25"/>
      <c r="AL641" s="117"/>
      <c r="AM641" s="123"/>
      <c r="AN641" s="123"/>
      <c r="AO641" s="123"/>
      <c r="AP641" s="115"/>
      <c r="AQ641" s="115"/>
      <c r="AR641" s="115"/>
      <c r="AS641" s="115"/>
      <c r="AT641" s="115"/>
      <c r="AU641" s="115"/>
      <c r="AV641" s="115"/>
      <c r="AW641" s="115"/>
      <c r="AX641" s="115"/>
      <c r="AY641" s="115"/>
      <c r="AZ641" s="115"/>
      <c r="BA641" s="115"/>
      <c r="BB641" s="115"/>
      <c r="BC641" s="115"/>
      <c r="BD641" s="25">
        <v>45272</v>
      </c>
      <c r="BE641" s="13" t="s">
        <v>162</v>
      </c>
      <c r="BH641" s="114"/>
    </row>
    <row r="642" spans="6:60" ht="19.5" x14ac:dyDescent="0.4">
      <c r="AF642" s="26"/>
      <c r="AG642" s="13"/>
      <c r="AL642" s="117"/>
      <c r="AM642" s="123"/>
      <c r="AN642" s="123"/>
      <c r="AO642" s="123"/>
      <c r="AP642" s="115"/>
      <c r="AQ642" s="115"/>
      <c r="AR642" s="115"/>
      <c r="AS642" s="115"/>
      <c r="AT642" s="115"/>
      <c r="AU642" s="115"/>
      <c r="AV642" s="115"/>
      <c r="AW642" s="115"/>
      <c r="AX642" s="115"/>
      <c r="AY642" s="115"/>
      <c r="AZ642" s="115"/>
      <c r="BA642" s="115"/>
      <c r="BB642" s="115"/>
      <c r="BC642" s="115"/>
      <c r="BD642" s="25">
        <v>45272</v>
      </c>
      <c r="BE642" s="15" t="s">
        <v>162</v>
      </c>
      <c r="BH642" s="114"/>
    </row>
    <row r="643" spans="6:60" ht="19.5" x14ac:dyDescent="0.4">
      <c r="AF643" s="26"/>
      <c r="AG643" s="13"/>
      <c r="AL643" s="117"/>
      <c r="AM643" s="123"/>
      <c r="AN643" s="123"/>
      <c r="AO643" s="123"/>
      <c r="AP643" s="115"/>
      <c r="AQ643" s="115"/>
      <c r="AR643" s="115"/>
      <c r="AS643" s="115"/>
      <c r="AT643" s="115"/>
      <c r="AU643" s="115"/>
      <c r="AV643" s="115"/>
      <c r="AW643" s="115"/>
      <c r="AX643" s="115"/>
      <c r="AY643" s="115"/>
      <c r="AZ643" s="115"/>
      <c r="BA643" s="115"/>
      <c r="BB643" s="115"/>
      <c r="BC643" s="115"/>
      <c r="BD643" s="25">
        <v>45272</v>
      </c>
      <c r="BE643" s="15" t="s">
        <v>162</v>
      </c>
      <c r="BH643" s="114"/>
    </row>
    <row r="644" spans="6:60" ht="19.5" x14ac:dyDescent="0.4"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26"/>
      <c r="AG644" s="13"/>
      <c r="AL644" s="117"/>
      <c r="AM644" s="123"/>
      <c r="AN644" s="123"/>
      <c r="AO644" s="123"/>
      <c r="AP644" s="115"/>
      <c r="AQ644" s="115"/>
      <c r="AR644" s="115"/>
      <c r="AS644" s="115"/>
      <c r="AT644" s="115"/>
      <c r="AU644" s="115"/>
      <c r="AV644" s="115"/>
      <c r="AW644" s="115"/>
      <c r="AX644" s="115"/>
      <c r="AY644" s="115"/>
      <c r="AZ644" s="115"/>
      <c r="BA644" s="115"/>
      <c r="BB644" s="115"/>
      <c r="BC644" s="115"/>
      <c r="BD644" s="25"/>
      <c r="BE644" s="15"/>
      <c r="BH644" s="114"/>
    </row>
    <row r="645" spans="6:60" ht="19.5" x14ac:dyDescent="0.4"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7"/>
      <c r="AG645" s="13"/>
      <c r="AL645" s="117"/>
      <c r="AM645" s="123"/>
      <c r="AN645" s="123"/>
      <c r="AO645" s="123"/>
      <c r="AP645" s="115"/>
      <c r="AQ645" s="115"/>
      <c r="AR645" s="115"/>
      <c r="AS645" s="115"/>
      <c r="AT645" s="115"/>
      <c r="AU645" s="115"/>
      <c r="AV645" s="115"/>
      <c r="AW645" s="115"/>
      <c r="AX645" s="115"/>
      <c r="AY645" s="115"/>
      <c r="AZ645" s="115"/>
      <c r="BA645" s="115"/>
      <c r="BB645" s="115"/>
      <c r="BC645" s="115"/>
      <c r="BD645" s="25"/>
      <c r="BE645" s="15"/>
      <c r="BH645" s="114"/>
    </row>
    <row r="646" spans="6:60" ht="19.5" x14ac:dyDescent="0.4">
      <c r="AF646" s="26"/>
      <c r="AG646" s="13"/>
      <c r="AL646" s="117"/>
      <c r="AM646" s="123"/>
      <c r="AN646" s="123"/>
      <c r="AO646" s="123"/>
      <c r="AP646" s="115"/>
      <c r="AQ646" s="115"/>
      <c r="AR646" s="115"/>
      <c r="AS646" s="115"/>
      <c r="AT646" s="115"/>
      <c r="AU646" s="115"/>
      <c r="AV646" s="115"/>
      <c r="AW646" s="115"/>
      <c r="AX646" s="115"/>
      <c r="AY646" s="115"/>
      <c r="AZ646" s="115"/>
      <c r="BA646" s="115"/>
      <c r="BB646" s="115"/>
      <c r="BC646" s="115"/>
      <c r="BD646" s="25">
        <v>45272</v>
      </c>
      <c r="BE646" s="15" t="s">
        <v>162</v>
      </c>
      <c r="BH646" s="114"/>
    </row>
    <row r="647" spans="6:60" ht="19.5" x14ac:dyDescent="0.4"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26"/>
      <c r="AG647" s="13"/>
      <c r="AL647" s="117"/>
      <c r="AM647" s="123"/>
      <c r="AN647" s="123"/>
      <c r="AO647" s="123"/>
      <c r="AP647" s="115"/>
      <c r="AQ647" s="115"/>
      <c r="AR647" s="115"/>
      <c r="AS647" s="115"/>
      <c r="AT647" s="115"/>
      <c r="AU647" s="115"/>
      <c r="AV647" s="115"/>
      <c r="AW647" s="115"/>
      <c r="AX647" s="115"/>
      <c r="AY647" s="115"/>
      <c r="AZ647" s="115"/>
      <c r="BA647" s="115"/>
      <c r="BB647" s="115"/>
      <c r="BC647" s="115"/>
      <c r="BD647" s="25"/>
      <c r="BE647" s="15"/>
      <c r="BH647" s="114"/>
    </row>
    <row r="648" spans="6:60" ht="19.5" x14ac:dyDescent="0.4"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26"/>
      <c r="AG648" s="13"/>
      <c r="AL648" s="117"/>
      <c r="AM648" s="123"/>
      <c r="AN648" s="123"/>
      <c r="AO648" s="123"/>
      <c r="AP648" s="115"/>
      <c r="AQ648" s="115"/>
      <c r="AR648" s="115"/>
      <c r="AS648" s="115"/>
      <c r="AT648" s="115"/>
      <c r="AU648" s="115"/>
      <c r="AV648" s="115"/>
      <c r="AW648" s="115"/>
      <c r="AX648" s="115"/>
      <c r="AY648" s="115"/>
      <c r="AZ648" s="115"/>
      <c r="BA648" s="115"/>
      <c r="BB648" s="115"/>
      <c r="BC648" s="115"/>
      <c r="BD648" s="25"/>
      <c r="BE648" s="15"/>
      <c r="BH648" s="114"/>
    </row>
    <row r="649" spans="6:60" ht="19.5" x14ac:dyDescent="0.4"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7"/>
      <c r="AG649" s="13"/>
      <c r="AL649" s="117"/>
      <c r="AM649" s="123"/>
      <c r="AN649" s="123"/>
      <c r="AO649" s="123"/>
      <c r="AP649" s="115"/>
      <c r="AQ649" s="115"/>
      <c r="AR649" s="115"/>
      <c r="AS649" s="115"/>
      <c r="AT649" s="115"/>
      <c r="AU649" s="115"/>
      <c r="AV649" s="115"/>
      <c r="AW649" s="115"/>
      <c r="AX649" s="115"/>
      <c r="AY649" s="115"/>
      <c r="AZ649" s="115"/>
      <c r="BA649" s="115"/>
      <c r="BB649" s="115"/>
      <c r="BC649" s="115"/>
      <c r="BD649" s="25"/>
      <c r="BE649" s="15"/>
      <c r="BH649" s="114"/>
    </row>
    <row r="650" spans="6:60" ht="19.5" x14ac:dyDescent="0.4"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26"/>
      <c r="AG650" s="13"/>
      <c r="AL650" s="117"/>
      <c r="AM650" s="123"/>
      <c r="AN650" s="123"/>
      <c r="AO650" s="123"/>
      <c r="AP650" s="115"/>
      <c r="AQ650" s="115"/>
      <c r="AR650" s="115"/>
      <c r="AS650" s="115"/>
      <c r="AT650" s="115"/>
      <c r="AU650" s="115"/>
      <c r="AV650" s="115"/>
      <c r="AW650" s="115"/>
      <c r="AX650" s="115"/>
      <c r="AY650" s="115"/>
      <c r="AZ650" s="115"/>
      <c r="BA650" s="115"/>
      <c r="BB650" s="115"/>
      <c r="BC650" s="115"/>
      <c r="BD650" s="25"/>
      <c r="BE650" s="15"/>
      <c r="BH650" s="114"/>
    </row>
    <row r="651" spans="6:60" ht="19.5" x14ac:dyDescent="0.4"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7"/>
      <c r="AG651" s="13"/>
      <c r="AL651" s="117"/>
      <c r="AM651" s="123"/>
      <c r="AN651" s="123"/>
      <c r="AO651" s="123"/>
      <c r="AP651" s="115"/>
      <c r="AQ651" s="115"/>
      <c r="AR651" s="115"/>
      <c r="AS651" s="115"/>
      <c r="AT651" s="115"/>
      <c r="AU651" s="115"/>
      <c r="AV651" s="115"/>
      <c r="AW651" s="115"/>
      <c r="AX651" s="115"/>
      <c r="AY651" s="115"/>
      <c r="AZ651" s="115"/>
      <c r="BA651" s="115"/>
      <c r="BB651" s="115"/>
      <c r="BC651" s="115"/>
      <c r="BD651" s="25"/>
      <c r="BE651" s="15"/>
      <c r="BH651" s="114"/>
    </row>
    <row r="652" spans="6:60" ht="19.5" x14ac:dyDescent="0.4"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26"/>
      <c r="AG652" s="13"/>
      <c r="AL652" s="117"/>
      <c r="AM652" s="123"/>
      <c r="AN652" s="123"/>
      <c r="AO652" s="123"/>
      <c r="AP652" s="115"/>
      <c r="AQ652" s="115"/>
      <c r="AR652" s="115"/>
      <c r="AS652" s="115"/>
      <c r="AT652" s="115"/>
      <c r="AU652" s="115"/>
      <c r="AV652" s="115"/>
      <c r="AW652" s="115"/>
      <c r="AX652" s="115"/>
      <c r="AY652" s="115"/>
      <c r="AZ652" s="115"/>
      <c r="BA652" s="115"/>
      <c r="BB652" s="115"/>
      <c r="BC652" s="115"/>
      <c r="BD652" s="25"/>
      <c r="BE652" s="15"/>
      <c r="BH652" s="114"/>
    </row>
    <row r="653" spans="6:60" ht="19.5" x14ac:dyDescent="0.4">
      <c r="AF653" s="26"/>
      <c r="AG653" s="13"/>
      <c r="AL653" s="117"/>
      <c r="AM653" s="123"/>
      <c r="AN653" s="123"/>
      <c r="AO653" s="123"/>
      <c r="AP653" s="115"/>
      <c r="AQ653" s="115"/>
      <c r="AR653" s="115"/>
      <c r="AS653" s="115"/>
      <c r="AT653" s="115"/>
      <c r="AU653" s="115"/>
      <c r="AV653" s="115"/>
      <c r="AW653" s="115"/>
      <c r="AX653" s="115"/>
      <c r="AY653" s="115"/>
      <c r="AZ653" s="115"/>
      <c r="BA653" s="115"/>
      <c r="BB653" s="115"/>
      <c r="BC653" s="115"/>
      <c r="BD653" s="25">
        <v>45272</v>
      </c>
      <c r="BE653" s="15" t="s">
        <v>162</v>
      </c>
      <c r="BH653" s="114"/>
    </row>
    <row r="654" spans="6:60" ht="19.5" x14ac:dyDescent="0.4">
      <c r="Y654" s="115"/>
      <c r="Z654" s="115"/>
      <c r="AA654" s="115"/>
      <c r="AB654" s="115"/>
      <c r="AC654" s="115"/>
      <c r="AD654" s="115"/>
      <c r="AE654" s="115"/>
      <c r="AF654" s="26"/>
      <c r="AG654" s="13"/>
      <c r="AL654" s="117"/>
      <c r="AM654" s="123"/>
      <c r="AN654" s="123"/>
      <c r="AO654" s="123"/>
      <c r="AP654" s="115"/>
      <c r="AQ654" s="115"/>
      <c r="AR654" s="115"/>
      <c r="AS654" s="115"/>
      <c r="AT654" s="115"/>
      <c r="AU654" s="115"/>
      <c r="AV654" s="115"/>
      <c r="AW654" s="115"/>
      <c r="AX654" s="115"/>
      <c r="AY654" s="115"/>
      <c r="AZ654" s="115"/>
      <c r="BA654" s="115"/>
      <c r="BB654" s="115"/>
      <c r="BC654" s="115"/>
      <c r="BD654" s="25"/>
      <c r="BE654" s="15"/>
      <c r="BH654" s="114"/>
    </row>
    <row r="655" spans="6:60" ht="19.5" x14ac:dyDescent="0.4">
      <c r="Y655" s="115"/>
      <c r="Z655" s="115"/>
      <c r="AA655" s="115"/>
      <c r="AB655" s="115"/>
      <c r="AC655" s="115"/>
      <c r="AD655" s="115"/>
      <c r="AE655" s="115"/>
      <c r="AF655" s="17"/>
      <c r="AG655" s="13"/>
      <c r="AL655" s="117"/>
      <c r="AM655" s="123"/>
      <c r="AN655" s="123"/>
      <c r="AO655" s="123"/>
      <c r="AP655" s="115"/>
      <c r="AQ655" s="115"/>
      <c r="AR655" s="115"/>
      <c r="AS655" s="115"/>
      <c r="AT655" s="115"/>
      <c r="AU655" s="115"/>
      <c r="AV655" s="115"/>
      <c r="AW655" s="115"/>
      <c r="AX655" s="115"/>
      <c r="AY655" s="115"/>
      <c r="AZ655" s="115"/>
      <c r="BA655" s="115"/>
      <c r="BB655" s="115"/>
      <c r="BC655" s="115"/>
      <c r="BD655" s="25"/>
      <c r="BE655" s="15"/>
      <c r="BH655" s="114"/>
    </row>
    <row r="656" spans="6:60" ht="19.5" x14ac:dyDescent="0.4"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26"/>
      <c r="AG656" s="13"/>
      <c r="AL656" s="117"/>
      <c r="AM656" s="123"/>
      <c r="AN656" s="123"/>
      <c r="AO656" s="123"/>
      <c r="AP656" s="115"/>
      <c r="AQ656" s="115"/>
      <c r="AR656" s="115"/>
      <c r="AS656" s="115"/>
      <c r="AT656" s="115"/>
      <c r="AU656" s="115"/>
      <c r="AV656" s="115"/>
      <c r="AW656" s="115"/>
      <c r="AX656" s="115"/>
      <c r="AY656" s="115"/>
      <c r="AZ656" s="115"/>
      <c r="BA656" s="115"/>
      <c r="BB656" s="115"/>
      <c r="BC656" s="115"/>
      <c r="BD656" s="25"/>
      <c r="BE656" s="15"/>
      <c r="BH656" s="114"/>
    </row>
    <row r="657" spans="6:60" ht="19.5" x14ac:dyDescent="0.4"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7"/>
      <c r="AG657" s="13"/>
      <c r="AL657" s="117"/>
      <c r="AM657" s="123"/>
      <c r="AN657" s="123"/>
      <c r="AO657" s="123"/>
      <c r="AP657" s="115"/>
      <c r="AQ657" s="115"/>
      <c r="AR657" s="115"/>
      <c r="AS657" s="115"/>
      <c r="AT657" s="115"/>
      <c r="AU657" s="115"/>
      <c r="AV657" s="115"/>
      <c r="AW657" s="115"/>
      <c r="AX657" s="115"/>
      <c r="AY657" s="115"/>
      <c r="AZ657" s="115"/>
      <c r="BA657" s="115"/>
      <c r="BB657" s="115"/>
      <c r="BC657" s="115"/>
      <c r="BD657" s="25"/>
      <c r="BE657" s="15"/>
      <c r="BH657" s="114"/>
    </row>
    <row r="658" spans="6:60" ht="19.5" x14ac:dyDescent="0.4"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26"/>
      <c r="AG658" s="25"/>
      <c r="AL658" s="117"/>
      <c r="AM658" s="123"/>
      <c r="AN658" s="123"/>
      <c r="AO658" s="123"/>
      <c r="AP658" s="115"/>
      <c r="AQ658" s="115"/>
      <c r="AR658" s="115"/>
      <c r="AS658" s="115"/>
      <c r="AT658" s="115"/>
      <c r="AU658" s="115"/>
      <c r="AV658" s="115"/>
      <c r="AW658" s="115"/>
      <c r="AX658" s="115"/>
      <c r="AY658" s="115"/>
      <c r="AZ658" s="115"/>
      <c r="BA658" s="115"/>
      <c r="BB658" s="115"/>
      <c r="BC658" s="115"/>
      <c r="BD658" s="25"/>
      <c r="BE658" s="15"/>
      <c r="BH658" s="114"/>
    </row>
    <row r="659" spans="6:60" ht="19.5" x14ac:dyDescent="0.4"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7"/>
      <c r="AG659" s="13"/>
      <c r="AL659" s="117"/>
      <c r="AM659" s="123"/>
      <c r="AN659" s="123"/>
      <c r="AO659" s="123"/>
      <c r="AP659" s="115"/>
      <c r="AQ659" s="115"/>
      <c r="AR659" s="115"/>
      <c r="AS659" s="115"/>
      <c r="AT659" s="115"/>
      <c r="AU659" s="115"/>
      <c r="AV659" s="115"/>
      <c r="AW659" s="115"/>
      <c r="AX659" s="115"/>
      <c r="AY659" s="115"/>
      <c r="AZ659" s="115"/>
      <c r="BA659" s="115"/>
      <c r="BB659" s="115"/>
      <c r="BC659" s="115"/>
      <c r="BD659" s="25"/>
      <c r="BE659" s="15"/>
      <c r="BH659" s="114"/>
    </row>
    <row r="660" spans="6:60" ht="19.5" x14ac:dyDescent="0.4"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26"/>
      <c r="AG660" s="13"/>
      <c r="AL660" s="117"/>
      <c r="AM660" s="123"/>
      <c r="AN660" s="123"/>
      <c r="AO660" s="123"/>
      <c r="AP660" s="115"/>
      <c r="AQ660" s="115"/>
      <c r="AR660" s="115"/>
      <c r="AS660" s="115"/>
      <c r="AT660" s="115"/>
      <c r="AU660" s="115"/>
      <c r="AV660" s="115"/>
      <c r="AW660" s="115"/>
      <c r="AX660" s="115"/>
      <c r="AY660" s="115"/>
      <c r="AZ660" s="115"/>
      <c r="BA660" s="115"/>
      <c r="BB660" s="115"/>
      <c r="BC660" s="115"/>
      <c r="BD660" s="25"/>
      <c r="BE660" s="15"/>
      <c r="BH660" s="114"/>
    </row>
    <row r="661" spans="6:60" ht="19.5" x14ac:dyDescent="0.4">
      <c r="AF661" s="26"/>
      <c r="AG661" s="13"/>
      <c r="AL661" s="117"/>
      <c r="AM661" s="123"/>
      <c r="AN661" s="123"/>
      <c r="AO661" s="123"/>
      <c r="AP661" s="115"/>
      <c r="AQ661" s="115"/>
      <c r="AR661" s="115"/>
      <c r="AS661" s="115"/>
      <c r="AT661" s="115"/>
      <c r="AU661" s="115"/>
      <c r="AV661" s="115"/>
      <c r="AW661" s="115"/>
      <c r="AX661" s="115"/>
      <c r="AY661" s="115"/>
      <c r="AZ661" s="115"/>
      <c r="BA661" s="115"/>
      <c r="BB661" s="115"/>
      <c r="BC661" s="115"/>
      <c r="BD661" s="25">
        <v>45272</v>
      </c>
      <c r="BE661" s="15" t="s">
        <v>162</v>
      </c>
      <c r="BH661" s="114"/>
    </row>
    <row r="662" spans="6:60" ht="19.5" x14ac:dyDescent="0.4">
      <c r="Z662" s="115"/>
      <c r="AA662" s="115"/>
      <c r="AB662" s="115"/>
      <c r="AC662" s="115"/>
      <c r="AD662" s="115"/>
      <c r="AE662" s="115"/>
      <c r="AF662" s="17"/>
      <c r="AG662" s="13"/>
      <c r="AL662" s="117"/>
      <c r="AM662" s="123"/>
      <c r="AN662" s="123"/>
      <c r="AO662" s="123"/>
      <c r="AP662" s="115"/>
      <c r="AQ662" s="115"/>
      <c r="AR662" s="115"/>
      <c r="AS662" s="115"/>
      <c r="AT662" s="115"/>
      <c r="AU662" s="115"/>
      <c r="AV662" s="115"/>
      <c r="AW662" s="115"/>
      <c r="AX662" s="115"/>
      <c r="AY662" s="115"/>
      <c r="AZ662" s="115"/>
      <c r="BA662" s="115"/>
      <c r="BB662" s="115"/>
      <c r="BC662" s="115"/>
      <c r="BD662" s="25"/>
      <c r="BE662" s="15"/>
      <c r="BH662" s="114"/>
    </row>
    <row r="663" spans="6:60" ht="19.5" x14ac:dyDescent="0.4">
      <c r="Y663" s="115"/>
      <c r="Z663" s="115"/>
      <c r="AA663" s="115"/>
      <c r="AB663" s="115"/>
      <c r="AC663" s="115"/>
      <c r="AD663" s="115"/>
      <c r="AE663" s="115"/>
      <c r="AF663" s="26"/>
      <c r="AG663" s="13"/>
      <c r="AL663" s="117"/>
      <c r="AM663" s="123"/>
      <c r="AN663" s="123"/>
      <c r="AO663" s="123"/>
      <c r="AP663" s="115"/>
      <c r="AQ663" s="115"/>
      <c r="AR663" s="115"/>
      <c r="AS663" s="115"/>
      <c r="AT663" s="115"/>
      <c r="AU663" s="115"/>
      <c r="AV663" s="115"/>
      <c r="AW663" s="115"/>
      <c r="AX663" s="115"/>
      <c r="AY663" s="115"/>
      <c r="AZ663" s="115"/>
      <c r="BA663" s="115"/>
      <c r="BB663" s="115"/>
      <c r="BC663" s="115"/>
      <c r="BD663" s="25"/>
      <c r="BE663" s="15"/>
      <c r="BH663" s="114"/>
    </row>
    <row r="664" spans="6:60" ht="19.5" x14ac:dyDescent="0.4">
      <c r="Y664" s="115"/>
      <c r="Z664" s="115"/>
      <c r="AA664" s="115"/>
      <c r="AB664" s="115"/>
      <c r="AC664" s="115"/>
      <c r="AD664" s="115"/>
      <c r="AE664" s="115"/>
      <c r="AF664" s="17"/>
      <c r="AG664" s="13"/>
      <c r="AL664" s="117"/>
      <c r="AM664" s="123"/>
      <c r="AN664" s="123"/>
      <c r="AO664" s="123"/>
      <c r="AP664" s="115"/>
      <c r="AQ664" s="115"/>
      <c r="AR664" s="115"/>
      <c r="AS664" s="115"/>
      <c r="AT664" s="115"/>
      <c r="AU664" s="115"/>
      <c r="AV664" s="115"/>
      <c r="AW664" s="115"/>
      <c r="AX664" s="115"/>
      <c r="AY664" s="115"/>
      <c r="AZ664" s="115"/>
      <c r="BA664" s="115"/>
      <c r="BB664" s="115"/>
      <c r="BC664" s="115"/>
      <c r="BD664" s="25"/>
      <c r="BE664" s="15"/>
      <c r="BH664" s="114"/>
    </row>
    <row r="665" spans="6:60" ht="19.5" x14ac:dyDescent="0.4">
      <c r="Y665" s="115"/>
      <c r="Z665" s="115"/>
      <c r="AA665" s="115"/>
      <c r="AB665" s="115"/>
      <c r="AC665" s="115"/>
      <c r="AD665" s="115"/>
      <c r="AE665" s="115"/>
      <c r="AF665" s="17"/>
      <c r="AG665" s="13"/>
      <c r="AL665" s="117"/>
      <c r="AM665" s="123"/>
      <c r="AN665" s="123"/>
      <c r="AO665" s="123"/>
      <c r="AP665" s="115"/>
      <c r="AQ665" s="115"/>
      <c r="AR665" s="115"/>
      <c r="AS665" s="115"/>
      <c r="AT665" s="115"/>
      <c r="AU665" s="115"/>
      <c r="AV665" s="115"/>
      <c r="AW665" s="115"/>
      <c r="AX665" s="115"/>
      <c r="AY665" s="115"/>
      <c r="AZ665" s="115"/>
      <c r="BA665" s="115"/>
      <c r="BB665" s="115"/>
      <c r="BC665" s="115"/>
      <c r="BD665" s="25"/>
      <c r="BE665" s="15"/>
      <c r="BH665" s="114"/>
    </row>
    <row r="666" spans="6:60" ht="19.5" x14ac:dyDescent="0.4"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26"/>
      <c r="AG666" s="13"/>
      <c r="AL666" s="117"/>
      <c r="AM666" s="123"/>
      <c r="AN666" s="123"/>
      <c r="AO666" s="123"/>
      <c r="AP666" s="115"/>
      <c r="AQ666" s="115"/>
      <c r="AR666" s="115"/>
      <c r="AS666" s="115"/>
      <c r="AT666" s="115"/>
      <c r="AU666" s="115"/>
      <c r="AV666" s="115"/>
      <c r="AW666" s="115"/>
      <c r="AX666" s="115"/>
      <c r="AY666" s="115"/>
      <c r="AZ666" s="115"/>
      <c r="BA666" s="115"/>
      <c r="BB666" s="115"/>
      <c r="BC666" s="115"/>
      <c r="BD666" s="25"/>
      <c r="BE666" s="15"/>
      <c r="BH666" s="114"/>
    </row>
    <row r="667" spans="6:60" ht="19.5" x14ac:dyDescent="0.4"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20"/>
      <c r="AG667" s="13"/>
      <c r="AL667" s="117"/>
      <c r="AM667" s="123"/>
      <c r="AN667" s="123"/>
      <c r="AO667" s="123"/>
      <c r="AP667" s="115"/>
      <c r="AQ667" s="115"/>
      <c r="AR667" s="115"/>
      <c r="AS667" s="115"/>
      <c r="AT667" s="115"/>
      <c r="AU667" s="115"/>
      <c r="AV667" s="115"/>
      <c r="AW667" s="115"/>
      <c r="AX667" s="115"/>
      <c r="AY667" s="115"/>
      <c r="AZ667" s="115"/>
      <c r="BA667" s="115"/>
      <c r="BB667" s="115"/>
      <c r="BC667" s="115"/>
      <c r="BD667" s="25"/>
      <c r="BE667" s="15"/>
      <c r="BH667" s="114"/>
    </row>
    <row r="668" spans="6:60" ht="19.5" x14ac:dyDescent="0.4"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20"/>
      <c r="AG668" s="13"/>
      <c r="AL668" s="117"/>
      <c r="AM668" s="123"/>
      <c r="AN668" s="123"/>
      <c r="AO668" s="123"/>
      <c r="AP668" s="115"/>
      <c r="AQ668" s="115"/>
      <c r="AR668" s="115"/>
      <c r="AS668" s="115"/>
      <c r="AT668" s="115"/>
      <c r="AU668" s="115"/>
      <c r="AV668" s="115"/>
      <c r="AW668" s="115"/>
      <c r="AX668" s="115"/>
      <c r="AY668" s="115"/>
      <c r="AZ668" s="115"/>
      <c r="BA668" s="115"/>
      <c r="BB668" s="115"/>
      <c r="BC668" s="115"/>
      <c r="BD668" s="25"/>
      <c r="BE668" s="15"/>
      <c r="BH668" s="114"/>
    </row>
    <row r="669" spans="6:60" ht="19.5" x14ac:dyDescent="0.4"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25"/>
      <c r="AG669" s="15"/>
      <c r="AL669" s="117"/>
      <c r="AM669" s="123"/>
      <c r="AN669" s="123"/>
      <c r="AO669" s="123"/>
      <c r="AP669" s="115"/>
      <c r="AQ669" s="115"/>
      <c r="AR669" s="115"/>
      <c r="AS669" s="115"/>
      <c r="AT669" s="115"/>
      <c r="AU669" s="115"/>
      <c r="AV669" s="115"/>
      <c r="AW669" s="115"/>
      <c r="AX669" s="115"/>
      <c r="AY669" s="115"/>
      <c r="AZ669" s="115"/>
      <c r="BA669" s="115"/>
      <c r="BB669" s="115"/>
      <c r="BC669" s="115"/>
      <c r="BD669" s="25"/>
      <c r="BE669" s="15"/>
      <c r="BH669" s="114"/>
    </row>
    <row r="670" spans="6:60" ht="19.5" x14ac:dyDescent="0.4"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25"/>
      <c r="AG670" s="15"/>
      <c r="AL670" s="117"/>
      <c r="AM670" s="123"/>
      <c r="AN670" s="123"/>
      <c r="AO670" s="123"/>
      <c r="AP670" s="115"/>
      <c r="AQ670" s="115"/>
      <c r="AR670" s="115"/>
      <c r="AS670" s="115"/>
      <c r="AT670" s="115"/>
      <c r="AU670" s="115"/>
      <c r="AV670" s="115"/>
      <c r="AW670" s="115"/>
      <c r="AX670" s="115"/>
      <c r="AY670" s="115"/>
      <c r="AZ670" s="115"/>
      <c r="BA670" s="115"/>
      <c r="BB670" s="115"/>
      <c r="BC670" s="115"/>
      <c r="BD670" s="25"/>
      <c r="BE670" s="15"/>
      <c r="BH670" s="114"/>
    </row>
    <row r="671" spans="6:60" ht="19.5" x14ac:dyDescent="0.4"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25"/>
      <c r="AG671" s="15"/>
      <c r="AL671" s="117"/>
      <c r="AM671" s="123"/>
      <c r="AN671" s="123"/>
      <c r="AO671" s="123"/>
      <c r="AP671" s="115"/>
      <c r="AQ671" s="115"/>
      <c r="AR671" s="115"/>
      <c r="AS671" s="115"/>
      <c r="AT671" s="115"/>
      <c r="AU671" s="115"/>
      <c r="AV671" s="115"/>
      <c r="AW671" s="115"/>
      <c r="AX671" s="115"/>
      <c r="AY671" s="115"/>
      <c r="AZ671" s="115"/>
      <c r="BA671" s="115"/>
      <c r="BB671" s="115"/>
      <c r="BC671" s="115"/>
      <c r="BD671" s="25"/>
      <c r="BE671" s="15"/>
      <c r="BH671" s="114"/>
    </row>
    <row r="672" spans="6:60" ht="19.5" x14ac:dyDescent="0.4">
      <c r="AF672" s="26"/>
      <c r="AG672" s="15"/>
      <c r="AL672" s="117"/>
      <c r="AM672" s="123"/>
      <c r="AN672" s="123"/>
      <c r="AO672" s="123"/>
      <c r="AP672" s="115"/>
      <c r="AQ672" s="115"/>
      <c r="AR672" s="115"/>
      <c r="AS672" s="115"/>
      <c r="AT672" s="115"/>
      <c r="AU672" s="115"/>
      <c r="AV672" s="115"/>
      <c r="AW672" s="115"/>
      <c r="AX672" s="115"/>
      <c r="AY672" s="115"/>
      <c r="AZ672" s="115"/>
      <c r="BA672" s="115"/>
      <c r="BB672" s="115"/>
      <c r="BC672" s="115"/>
      <c r="BD672" s="25">
        <v>45272</v>
      </c>
      <c r="BE672" s="15" t="s">
        <v>162</v>
      </c>
      <c r="BH672" s="114"/>
    </row>
    <row r="673" spans="21:60" ht="19.5" x14ac:dyDescent="0.4">
      <c r="AF673" s="26"/>
      <c r="AG673" s="13"/>
      <c r="AL673" s="117"/>
      <c r="AM673" s="123"/>
      <c r="AN673" s="123"/>
      <c r="AO673" s="123"/>
      <c r="AP673" s="115"/>
      <c r="AQ673" s="115"/>
      <c r="AR673" s="115"/>
      <c r="AS673" s="115"/>
      <c r="AT673" s="115"/>
      <c r="AU673" s="115"/>
      <c r="AV673" s="115"/>
      <c r="AW673" s="115"/>
      <c r="AX673" s="115"/>
      <c r="AY673" s="115"/>
      <c r="AZ673" s="115"/>
      <c r="BA673" s="115"/>
      <c r="BB673" s="115"/>
      <c r="BC673" s="115"/>
      <c r="BD673" s="25"/>
      <c r="BE673" s="15"/>
      <c r="BH673" s="114"/>
    </row>
    <row r="674" spans="21:60" ht="19.5" x14ac:dyDescent="0.4"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26"/>
      <c r="AG674" s="13"/>
      <c r="AL674" s="117"/>
      <c r="AM674" s="123"/>
      <c r="AN674" s="123"/>
      <c r="AO674" s="123"/>
      <c r="AP674" s="115"/>
      <c r="AQ674" s="115"/>
      <c r="AR674" s="115"/>
      <c r="AS674" s="115"/>
      <c r="AT674" s="115"/>
      <c r="AU674" s="115"/>
      <c r="AV674" s="115"/>
      <c r="AW674" s="115"/>
      <c r="AX674" s="115"/>
      <c r="AY674" s="115"/>
      <c r="AZ674" s="115"/>
      <c r="BA674" s="115"/>
      <c r="BB674" s="115"/>
      <c r="BC674" s="115"/>
      <c r="BD674" s="25"/>
      <c r="BE674" s="15"/>
      <c r="BH674" s="114"/>
    </row>
    <row r="675" spans="21:60" ht="19.5" x14ac:dyDescent="0.4">
      <c r="AF675" s="26"/>
      <c r="AG675" s="13"/>
      <c r="AL675" s="117"/>
      <c r="AM675" s="123"/>
      <c r="AN675" s="123"/>
      <c r="AO675" s="123"/>
      <c r="AP675" s="115"/>
      <c r="AQ675" s="115"/>
      <c r="AR675" s="115"/>
      <c r="AS675" s="115"/>
      <c r="AT675" s="115"/>
      <c r="AU675" s="115"/>
      <c r="AV675" s="115"/>
      <c r="AW675" s="115"/>
      <c r="AX675" s="115"/>
      <c r="AY675" s="115"/>
      <c r="AZ675" s="115"/>
      <c r="BA675" s="115"/>
      <c r="BB675" s="115"/>
      <c r="BC675" s="115"/>
      <c r="BD675" s="25">
        <v>45272</v>
      </c>
      <c r="BE675" s="15" t="s">
        <v>162</v>
      </c>
      <c r="BH675" s="114"/>
    </row>
    <row r="676" spans="21:60" ht="19.5" x14ac:dyDescent="0.4">
      <c r="X676" s="115"/>
      <c r="Y676" s="115"/>
      <c r="Z676" s="115"/>
      <c r="AA676" s="115"/>
      <c r="AB676" s="115"/>
      <c r="AC676" s="115"/>
      <c r="AD676" s="115"/>
      <c r="AE676" s="115"/>
      <c r="AF676" s="17"/>
      <c r="AG676" s="13"/>
      <c r="AL676" s="117"/>
      <c r="AM676" s="123"/>
      <c r="AN676" s="123"/>
      <c r="AO676" s="123"/>
      <c r="AP676" s="115"/>
      <c r="AQ676" s="115"/>
      <c r="AR676" s="115"/>
      <c r="AS676" s="115"/>
      <c r="AT676" s="115"/>
      <c r="AU676" s="115"/>
      <c r="AV676" s="115"/>
      <c r="AW676" s="115"/>
      <c r="AX676" s="115"/>
      <c r="AY676" s="115"/>
      <c r="AZ676" s="115"/>
      <c r="BA676" s="115"/>
      <c r="BB676" s="115"/>
      <c r="BC676" s="115"/>
      <c r="BD676" s="25"/>
      <c r="BE676" s="15"/>
      <c r="BH676" s="114"/>
    </row>
    <row r="677" spans="21:60" ht="19.5" x14ac:dyDescent="0.4">
      <c r="AF677" s="26"/>
      <c r="AG677" s="13"/>
      <c r="AL677" s="117"/>
      <c r="AM677" s="123"/>
      <c r="AN677" s="123"/>
      <c r="AO677" s="123"/>
      <c r="AP677" s="115"/>
      <c r="AQ677" s="115"/>
      <c r="AR677" s="115"/>
      <c r="AS677" s="115"/>
      <c r="AT677" s="115"/>
      <c r="AU677" s="115"/>
      <c r="AV677" s="115"/>
      <c r="AW677" s="115"/>
      <c r="AX677" s="115"/>
      <c r="AY677" s="115"/>
      <c r="AZ677" s="115"/>
      <c r="BA677" s="115"/>
      <c r="BB677" s="115"/>
      <c r="BC677" s="115"/>
      <c r="BD677" s="25"/>
      <c r="BE677" s="15"/>
      <c r="BH677" s="114"/>
    </row>
    <row r="678" spans="21:60" ht="19.5" x14ac:dyDescent="0.4"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26"/>
      <c r="AG678" s="13"/>
      <c r="AL678" s="117"/>
      <c r="AM678" s="123"/>
      <c r="AN678" s="123"/>
      <c r="AO678" s="123"/>
      <c r="AP678" s="115"/>
      <c r="AQ678" s="115"/>
      <c r="AR678" s="115"/>
      <c r="AS678" s="115"/>
      <c r="AT678" s="115"/>
      <c r="AU678" s="115"/>
      <c r="AV678" s="115"/>
      <c r="AW678" s="115"/>
      <c r="AX678" s="115"/>
      <c r="AY678" s="115"/>
      <c r="AZ678" s="115"/>
      <c r="BA678" s="115"/>
      <c r="BB678" s="115"/>
      <c r="BC678" s="115"/>
      <c r="BD678" s="25"/>
      <c r="BE678" s="15"/>
      <c r="BH678" s="114"/>
    </row>
    <row r="679" spans="21:60" ht="19.5" x14ac:dyDescent="0.4">
      <c r="AF679" s="26"/>
      <c r="AG679" s="13"/>
      <c r="AL679" s="117"/>
      <c r="AM679" s="123"/>
      <c r="AN679" s="123"/>
      <c r="AO679" s="123"/>
      <c r="AP679" s="115"/>
      <c r="AQ679" s="115"/>
      <c r="AR679" s="115"/>
      <c r="AS679" s="115"/>
      <c r="AT679" s="115"/>
      <c r="AU679" s="115"/>
      <c r="AV679" s="115"/>
      <c r="AW679" s="115"/>
      <c r="AX679" s="115"/>
      <c r="AY679" s="115"/>
      <c r="AZ679" s="115"/>
      <c r="BA679" s="115"/>
      <c r="BB679" s="115"/>
      <c r="BC679" s="115"/>
      <c r="BD679" s="25">
        <v>45272</v>
      </c>
      <c r="BE679" s="15" t="s">
        <v>162</v>
      </c>
      <c r="BH679" s="114"/>
    </row>
    <row r="680" spans="21:60" ht="19.5" x14ac:dyDescent="0.4">
      <c r="AF680" s="26"/>
      <c r="AG680" s="13"/>
      <c r="AL680" s="117"/>
      <c r="AM680" s="123"/>
      <c r="AN680" s="123"/>
      <c r="AO680" s="123"/>
      <c r="AP680" s="115"/>
      <c r="AQ680" s="115"/>
      <c r="AR680" s="115"/>
      <c r="AS680" s="115"/>
      <c r="AT680" s="115"/>
      <c r="AU680" s="115"/>
      <c r="AV680" s="115"/>
      <c r="AW680" s="115"/>
      <c r="AX680" s="115"/>
      <c r="AY680" s="115"/>
      <c r="AZ680" s="115"/>
      <c r="BA680" s="115"/>
      <c r="BB680" s="115"/>
      <c r="BC680" s="115" t="s">
        <v>166</v>
      </c>
      <c r="BD680" s="13">
        <f>SUBTOTAL(3,BD628:BD679)</f>
        <v>13</v>
      </c>
      <c r="BE680" s="15">
        <f>SUBTOTAL(3,BE628:BE679)</f>
        <v>13</v>
      </c>
      <c r="BH680" s="114"/>
    </row>
    <row r="681" spans="21:60" ht="19.5" x14ac:dyDescent="0.4">
      <c r="X681" s="115"/>
      <c r="Y681" s="115"/>
      <c r="Z681" s="115"/>
      <c r="AA681" s="115"/>
      <c r="AB681" s="115"/>
      <c r="AC681" s="115"/>
      <c r="AD681" s="115"/>
      <c r="AE681" s="115"/>
      <c r="AF681" s="17"/>
      <c r="AG681" s="13"/>
      <c r="AL681" s="117"/>
      <c r="AM681" s="123"/>
      <c r="AN681" s="123"/>
      <c r="AO681" s="123"/>
      <c r="AP681" s="115"/>
      <c r="AQ681" s="115"/>
      <c r="AR681" s="115"/>
      <c r="AS681" s="115"/>
      <c r="AT681" s="115"/>
      <c r="AU681" s="115"/>
      <c r="AV681" s="115"/>
      <c r="AW681" s="115"/>
      <c r="AX681" s="115"/>
      <c r="AY681" s="115"/>
      <c r="AZ681" s="115"/>
      <c r="BA681" s="115"/>
      <c r="BB681" s="115"/>
      <c r="BC681" s="115"/>
      <c r="BD681" s="13"/>
      <c r="BE681" s="15"/>
      <c r="BH681" s="114"/>
    </row>
    <row r="682" spans="21:60" ht="19.5" x14ac:dyDescent="0.4">
      <c r="AF682" s="26"/>
      <c r="AG682" s="13"/>
      <c r="AL682" s="117"/>
      <c r="AM682" s="123"/>
      <c r="AN682" s="123"/>
      <c r="AO682" s="123"/>
      <c r="AP682" s="115"/>
      <c r="AQ682" s="115"/>
      <c r="AR682" s="115"/>
      <c r="AS682" s="115"/>
      <c r="AT682" s="115"/>
      <c r="AU682" s="115"/>
      <c r="AV682" s="115"/>
      <c r="AW682" s="115"/>
      <c r="AX682" s="115"/>
      <c r="AY682" s="115"/>
      <c r="AZ682" s="115"/>
      <c r="BA682" s="115"/>
      <c r="BB682" s="115"/>
      <c r="BC682" s="115"/>
      <c r="BD682" s="25">
        <v>45273</v>
      </c>
      <c r="BE682" s="105" t="s">
        <v>164</v>
      </c>
      <c r="BH682" s="114"/>
    </row>
    <row r="683" spans="21:60" ht="19.5" x14ac:dyDescent="0.4">
      <c r="AF683" s="26"/>
      <c r="AG683" s="13"/>
      <c r="AL683" s="117"/>
      <c r="AM683" s="123"/>
      <c r="AN683" s="123"/>
      <c r="AO683" s="123"/>
      <c r="AP683" s="115"/>
      <c r="AQ683" s="115"/>
      <c r="AR683" s="115"/>
      <c r="AS683" s="115"/>
      <c r="AT683" s="115"/>
      <c r="AU683" s="115"/>
      <c r="AV683" s="115"/>
      <c r="AW683" s="115"/>
      <c r="AX683" s="115"/>
      <c r="AY683" s="115"/>
      <c r="AZ683" s="115"/>
      <c r="BA683" s="115"/>
      <c r="BB683" s="115"/>
      <c r="BC683" s="115"/>
      <c r="BD683" s="25">
        <v>45273</v>
      </c>
      <c r="BE683" s="15" t="s">
        <v>164</v>
      </c>
      <c r="BH683" s="114"/>
    </row>
    <row r="684" spans="21:60" ht="19.5" x14ac:dyDescent="0.4"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26"/>
      <c r="AG684" s="13"/>
      <c r="AL684" s="117"/>
      <c r="AM684" s="123"/>
      <c r="AN684" s="123"/>
      <c r="AO684" s="123"/>
      <c r="AP684" s="115"/>
      <c r="AQ684" s="115"/>
      <c r="AR684" s="115"/>
      <c r="AS684" s="115"/>
      <c r="AT684" s="115"/>
      <c r="AU684" s="115"/>
      <c r="AV684" s="115"/>
      <c r="AW684" s="115"/>
      <c r="AX684" s="115"/>
      <c r="AY684" s="115"/>
      <c r="AZ684" s="115"/>
      <c r="BA684" s="115"/>
      <c r="BB684" s="115"/>
      <c r="BC684" s="115"/>
      <c r="BD684" s="25"/>
      <c r="BE684" s="13"/>
      <c r="BH684" s="114"/>
    </row>
    <row r="685" spans="21:60" ht="19.5" x14ac:dyDescent="0.4">
      <c r="AF685" s="26"/>
      <c r="AG685" s="13"/>
      <c r="AL685" s="117"/>
      <c r="AM685" s="123"/>
      <c r="AN685" s="123"/>
      <c r="AO685" s="123"/>
      <c r="AP685" s="115"/>
      <c r="AQ685" s="115"/>
      <c r="AR685" s="115"/>
      <c r="AS685" s="115"/>
      <c r="AT685" s="115"/>
      <c r="AU685" s="115"/>
      <c r="AV685" s="115"/>
      <c r="AW685" s="115"/>
      <c r="AX685" s="115"/>
      <c r="AY685" s="115"/>
      <c r="AZ685" s="115"/>
      <c r="BA685" s="115"/>
      <c r="BB685" s="115"/>
      <c r="BC685" s="115"/>
      <c r="BD685" s="25">
        <v>45273</v>
      </c>
      <c r="BE685" s="13" t="s">
        <v>164</v>
      </c>
      <c r="BH685" s="114"/>
    </row>
    <row r="686" spans="21:60" ht="19.5" x14ac:dyDescent="0.4">
      <c r="AF686" s="26"/>
      <c r="AG686" s="13"/>
      <c r="AL686" s="117"/>
      <c r="AM686" s="123"/>
      <c r="AN686" s="123"/>
      <c r="AO686" s="123"/>
      <c r="AP686" s="115"/>
      <c r="AQ686" s="115"/>
      <c r="AR686" s="115"/>
      <c r="AS686" s="115"/>
      <c r="AT686" s="115"/>
      <c r="AU686" s="115"/>
      <c r="AV686" s="115"/>
      <c r="AW686" s="115"/>
      <c r="AX686" s="115"/>
      <c r="AY686" s="115"/>
      <c r="AZ686" s="115"/>
      <c r="BA686" s="115"/>
      <c r="BB686" s="115"/>
      <c r="BC686" s="115"/>
      <c r="BD686" s="25">
        <v>45273</v>
      </c>
      <c r="BE686" s="15" t="s">
        <v>164</v>
      </c>
      <c r="BH686" s="114"/>
    </row>
    <row r="687" spans="21:60" ht="19.5" x14ac:dyDescent="0.4">
      <c r="AF687" s="26"/>
      <c r="AG687" s="13"/>
      <c r="AL687" s="117"/>
      <c r="AM687" s="123"/>
      <c r="AN687" s="123"/>
      <c r="AO687" s="123"/>
      <c r="AP687" s="115"/>
      <c r="AQ687" s="115"/>
      <c r="AR687" s="115"/>
      <c r="AS687" s="115"/>
      <c r="AT687" s="115"/>
      <c r="AU687" s="115"/>
      <c r="AV687" s="115"/>
      <c r="AW687" s="115"/>
      <c r="AX687" s="115"/>
      <c r="AY687" s="115"/>
      <c r="AZ687" s="115"/>
      <c r="BA687" s="115"/>
      <c r="BB687" s="115"/>
      <c r="BC687" s="115"/>
      <c r="BD687" s="25">
        <v>45273</v>
      </c>
      <c r="BE687" s="15" t="s">
        <v>162</v>
      </c>
      <c r="BH687" s="114"/>
    </row>
    <row r="688" spans="21:60" ht="19.5" x14ac:dyDescent="0.4"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26"/>
      <c r="AG688" s="13"/>
      <c r="AL688" s="117"/>
      <c r="AM688" s="123"/>
      <c r="AN688" s="123"/>
      <c r="AO688" s="123"/>
      <c r="AP688" s="115"/>
      <c r="AQ688" s="115"/>
      <c r="AR688" s="115"/>
      <c r="AS688" s="115"/>
      <c r="AT688" s="115"/>
      <c r="AU688" s="115"/>
      <c r="AV688" s="115"/>
      <c r="AW688" s="115"/>
      <c r="AX688" s="115"/>
      <c r="AY688" s="115"/>
      <c r="AZ688" s="115"/>
      <c r="BA688" s="115"/>
      <c r="BB688" s="115"/>
      <c r="BC688" s="115"/>
      <c r="BD688" s="25"/>
      <c r="BE688" s="15"/>
      <c r="BH688" s="114"/>
    </row>
    <row r="689" spans="21:60" ht="19.5" x14ac:dyDescent="0.4">
      <c r="AF689" s="26"/>
      <c r="AG689" s="13"/>
      <c r="AL689" s="117"/>
      <c r="AM689" s="123"/>
      <c r="AN689" s="123"/>
      <c r="AO689" s="123"/>
      <c r="AP689" s="115"/>
      <c r="AQ689" s="115"/>
      <c r="AR689" s="115"/>
      <c r="AS689" s="115"/>
      <c r="AT689" s="115"/>
      <c r="AU689" s="115"/>
      <c r="AV689" s="115"/>
      <c r="AW689" s="115"/>
      <c r="AX689" s="115"/>
      <c r="AY689" s="115"/>
      <c r="AZ689" s="115"/>
      <c r="BA689" s="115"/>
      <c r="BB689" s="115"/>
      <c r="BC689" s="115"/>
      <c r="BD689" s="25">
        <v>45273</v>
      </c>
      <c r="BE689" s="15" t="s">
        <v>162</v>
      </c>
      <c r="BH689" s="114"/>
    </row>
    <row r="690" spans="21:60" ht="19.5" x14ac:dyDescent="0.4">
      <c r="AF690" s="26"/>
      <c r="AG690" s="13"/>
      <c r="AL690" s="117"/>
      <c r="AM690" s="123"/>
      <c r="AN690" s="123"/>
      <c r="AO690" s="123"/>
      <c r="AP690" s="115"/>
      <c r="AQ690" s="115"/>
      <c r="AR690" s="115"/>
      <c r="AS690" s="115"/>
      <c r="AT690" s="115"/>
      <c r="AU690" s="115"/>
      <c r="AV690" s="115"/>
      <c r="AW690" s="115"/>
      <c r="AX690" s="115"/>
      <c r="AY690" s="115"/>
      <c r="AZ690" s="115"/>
      <c r="BA690" s="115"/>
      <c r="BB690" s="115"/>
      <c r="BC690" s="115"/>
      <c r="BD690" s="25">
        <v>45273</v>
      </c>
      <c r="BE690" s="15" t="s">
        <v>162</v>
      </c>
      <c r="BH690" s="114"/>
    </row>
    <row r="691" spans="21:60" ht="19.5" x14ac:dyDescent="0.4">
      <c r="AF691" s="26"/>
      <c r="AG691" s="13"/>
      <c r="AL691" s="117"/>
      <c r="AM691" s="123"/>
      <c r="AN691" s="123"/>
      <c r="AO691" s="123"/>
      <c r="AP691" s="115"/>
      <c r="AQ691" s="115"/>
      <c r="AR691" s="115"/>
      <c r="AS691" s="115"/>
      <c r="AT691" s="115"/>
      <c r="AU691" s="115"/>
      <c r="AV691" s="115"/>
      <c r="AW691" s="115"/>
      <c r="AX691" s="115"/>
      <c r="AY691" s="115"/>
      <c r="AZ691" s="115"/>
      <c r="BA691" s="115"/>
      <c r="BB691" s="115"/>
      <c r="BC691" s="115"/>
      <c r="BD691" s="25">
        <v>45273</v>
      </c>
      <c r="BE691" s="15" t="s">
        <v>162</v>
      </c>
      <c r="BH691" s="114"/>
    </row>
    <row r="692" spans="21:60" ht="19.5" x14ac:dyDescent="0.4"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26"/>
      <c r="AG692" s="13"/>
      <c r="AL692" s="117"/>
      <c r="AM692" s="123"/>
      <c r="AN692" s="123"/>
      <c r="AO692" s="123"/>
      <c r="AP692" s="115"/>
      <c r="AQ692" s="115"/>
      <c r="AR692" s="115"/>
      <c r="AS692" s="115"/>
      <c r="AT692" s="115"/>
      <c r="AU692" s="115"/>
      <c r="AV692" s="115"/>
      <c r="AW692" s="115"/>
      <c r="AX692" s="115"/>
      <c r="AY692" s="115"/>
      <c r="AZ692" s="115"/>
      <c r="BA692" s="115"/>
      <c r="BB692" s="115"/>
      <c r="BC692" s="115"/>
      <c r="BD692" s="25"/>
      <c r="BE692" s="15"/>
      <c r="BH692" s="114"/>
    </row>
    <row r="693" spans="21:60" ht="19.5" x14ac:dyDescent="0.4">
      <c r="AF693" s="26"/>
      <c r="AG693" s="13"/>
      <c r="AL693" s="117"/>
      <c r="AM693" s="123"/>
      <c r="AN693" s="123"/>
      <c r="AO693" s="123"/>
      <c r="AP693" s="115"/>
      <c r="AQ693" s="115"/>
      <c r="AR693" s="115"/>
      <c r="AS693" s="115"/>
      <c r="AT693" s="115"/>
      <c r="AU693" s="115"/>
      <c r="AV693" s="115"/>
      <c r="AW693" s="115"/>
      <c r="AX693" s="115"/>
      <c r="AY693" s="115"/>
      <c r="AZ693" s="115"/>
      <c r="BA693" s="115"/>
      <c r="BB693" s="115"/>
      <c r="BC693" s="115"/>
      <c r="BD693" s="25">
        <v>45273</v>
      </c>
      <c r="BE693" s="15" t="s">
        <v>162</v>
      </c>
      <c r="BH693" s="114"/>
    </row>
    <row r="694" spans="21:60" ht="19.5" x14ac:dyDescent="0.4">
      <c r="AF694" s="26"/>
      <c r="AG694" s="13"/>
      <c r="AL694" s="117"/>
      <c r="AM694" s="123"/>
      <c r="AN694" s="123"/>
      <c r="AO694" s="123"/>
      <c r="AP694" s="115"/>
      <c r="AQ694" s="115"/>
      <c r="AR694" s="115"/>
      <c r="AS694" s="115"/>
      <c r="AT694" s="115"/>
      <c r="AU694" s="115"/>
      <c r="AV694" s="115"/>
      <c r="AW694" s="115"/>
      <c r="AX694" s="115"/>
      <c r="AY694" s="115"/>
      <c r="AZ694" s="115"/>
      <c r="BA694" s="115"/>
      <c r="BB694" s="115"/>
      <c r="BC694" s="115"/>
      <c r="BD694" s="25">
        <v>45273</v>
      </c>
      <c r="BE694" s="15" t="s">
        <v>162</v>
      </c>
      <c r="BH694" s="114"/>
    </row>
    <row r="695" spans="21:60" ht="19.5" x14ac:dyDescent="0.4">
      <c r="AF695" s="26"/>
      <c r="AG695" s="13"/>
      <c r="AL695" s="117"/>
      <c r="AM695" s="123"/>
      <c r="AN695" s="123"/>
      <c r="AO695" s="123"/>
      <c r="AP695" s="115"/>
      <c r="AQ695" s="115"/>
      <c r="AR695" s="115"/>
      <c r="AS695" s="115"/>
      <c r="AT695" s="124"/>
      <c r="AU695" s="124"/>
      <c r="AV695" s="124"/>
      <c r="AW695" s="124"/>
      <c r="AX695" s="124"/>
      <c r="AY695" s="124"/>
      <c r="AZ695" s="124"/>
      <c r="BA695" s="124"/>
      <c r="BB695" s="124"/>
      <c r="BC695" s="124"/>
      <c r="BD695" s="25">
        <v>45273</v>
      </c>
      <c r="BE695" s="15" t="s">
        <v>162</v>
      </c>
      <c r="BH695" s="114"/>
    </row>
    <row r="696" spans="21:60" ht="19.5" x14ac:dyDescent="0.4">
      <c r="AF696" s="26"/>
      <c r="AG696" s="13"/>
      <c r="AL696" s="117"/>
      <c r="AM696" s="123"/>
      <c r="AN696" s="123"/>
      <c r="AO696" s="123"/>
      <c r="AP696" s="115"/>
      <c r="AQ696" s="115"/>
      <c r="AR696" s="115"/>
      <c r="AS696" s="115"/>
      <c r="AT696" s="124"/>
      <c r="AU696" s="124"/>
      <c r="AV696" s="124"/>
      <c r="AW696" s="124"/>
      <c r="AX696" s="124"/>
      <c r="AY696" s="124"/>
      <c r="AZ696" s="124"/>
      <c r="BA696" s="124"/>
      <c r="BB696" s="124"/>
      <c r="BC696" s="124"/>
      <c r="BD696" s="25">
        <v>45273</v>
      </c>
      <c r="BE696" s="15" t="s">
        <v>162</v>
      </c>
      <c r="BH696" s="114"/>
    </row>
    <row r="697" spans="21:60" ht="19.5" x14ac:dyDescent="0.4">
      <c r="X697" s="115"/>
      <c r="Y697" s="115"/>
      <c r="Z697" s="115"/>
      <c r="AA697" s="115"/>
      <c r="AB697" s="115"/>
      <c r="AC697" s="115"/>
      <c r="AD697" s="115"/>
      <c r="AE697" s="115"/>
      <c r="AF697" s="17"/>
      <c r="AG697" s="13"/>
      <c r="AL697" s="117"/>
      <c r="AM697" s="123"/>
      <c r="AN697" s="123"/>
      <c r="AO697" s="123"/>
      <c r="AP697" s="115"/>
      <c r="AQ697" s="115"/>
      <c r="AR697" s="115"/>
      <c r="AS697" s="115"/>
      <c r="AT697" s="124"/>
      <c r="AU697" s="124"/>
      <c r="AV697" s="124"/>
      <c r="AW697" s="124"/>
      <c r="AX697" s="124"/>
      <c r="AY697" s="124"/>
      <c r="AZ697" s="124"/>
      <c r="BA697" s="124"/>
      <c r="BB697" s="124"/>
      <c r="BC697" s="124"/>
      <c r="BD697" s="25"/>
      <c r="BE697" s="15"/>
      <c r="BH697" s="114"/>
    </row>
    <row r="698" spans="21:60" ht="19.5" x14ac:dyDescent="0.4">
      <c r="AF698" s="26"/>
      <c r="AG698" s="13"/>
      <c r="AL698" s="117"/>
      <c r="AM698" s="123"/>
      <c r="AN698" s="123"/>
      <c r="AO698" s="123"/>
      <c r="AP698" s="115"/>
      <c r="AQ698" s="115"/>
      <c r="AR698" s="115"/>
      <c r="AS698" s="115"/>
      <c r="AT698" s="124"/>
      <c r="AU698" s="124"/>
      <c r="AV698" s="124"/>
      <c r="AW698" s="124"/>
      <c r="AX698" s="124"/>
      <c r="AY698" s="124"/>
      <c r="AZ698" s="124"/>
      <c r="BA698" s="124"/>
      <c r="BB698" s="124"/>
      <c r="BC698" s="124"/>
      <c r="BD698" s="25">
        <v>45273</v>
      </c>
      <c r="BE698" s="15" t="s">
        <v>162</v>
      </c>
      <c r="BH698" s="114"/>
    </row>
    <row r="699" spans="21:60" ht="19.5" x14ac:dyDescent="0.4">
      <c r="X699" s="115"/>
      <c r="Y699" s="115"/>
      <c r="Z699" s="115"/>
      <c r="AA699" s="115"/>
      <c r="AB699" s="115"/>
      <c r="AC699" s="115"/>
      <c r="AD699" s="115"/>
      <c r="AE699" s="115"/>
      <c r="AF699" s="17"/>
      <c r="AG699" s="13"/>
      <c r="AL699" s="117"/>
      <c r="AM699" s="123"/>
      <c r="AN699" s="123"/>
      <c r="AO699" s="123"/>
      <c r="AP699" s="115"/>
      <c r="AQ699" s="115"/>
      <c r="AR699" s="115"/>
      <c r="AS699" s="115"/>
      <c r="AT699" s="124"/>
      <c r="AU699" s="124"/>
      <c r="AV699" s="124"/>
      <c r="AW699" s="124"/>
      <c r="AX699" s="124"/>
      <c r="AY699" s="124"/>
      <c r="AZ699" s="124"/>
      <c r="BA699" s="124"/>
      <c r="BB699" s="124"/>
      <c r="BC699" s="124"/>
      <c r="BD699" s="25"/>
      <c r="BE699" s="15"/>
      <c r="BH699" s="114"/>
    </row>
    <row r="700" spans="21:60" ht="19.5" x14ac:dyDescent="0.4">
      <c r="AF700" s="26"/>
      <c r="AG700" s="13"/>
      <c r="AL700" s="117"/>
      <c r="AM700" s="123"/>
      <c r="AN700" s="123"/>
      <c r="AO700" s="123"/>
      <c r="AP700" s="115"/>
      <c r="AQ700" s="115"/>
      <c r="AR700" s="115"/>
      <c r="AS700" s="115"/>
      <c r="AT700" s="124"/>
      <c r="AU700" s="124"/>
      <c r="AV700" s="124"/>
      <c r="AW700" s="124"/>
      <c r="AX700" s="124"/>
      <c r="AY700" s="124"/>
      <c r="AZ700" s="124"/>
      <c r="BA700" s="124"/>
      <c r="BB700" s="124"/>
      <c r="BC700" s="124"/>
      <c r="BD700" s="25">
        <v>45273</v>
      </c>
      <c r="BE700" s="15" t="s">
        <v>162</v>
      </c>
      <c r="BH700" s="114"/>
    </row>
    <row r="701" spans="21:60" ht="19.5" x14ac:dyDescent="0.4">
      <c r="AF701" s="26"/>
      <c r="AG701" s="13"/>
      <c r="AL701" s="117"/>
      <c r="AM701" s="123"/>
      <c r="AN701" s="123"/>
      <c r="AO701" s="123"/>
      <c r="AP701" s="115"/>
      <c r="AQ701" s="115"/>
      <c r="AR701" s="115"/>
      <c r="AS701" s="115"/>
      <c r="AT701" s="115"/>
      <c r="AU701" s="115"/>
      <c r="AV701" s="115"/>
      <c r="AW701" s="115"/>
      <c r="AX701" s="115"/>
      <c r="AY701" s="115"/>
      <c r="AZ701" s="115"/>
      <c r="BA701" s="115"/>
      <c r="BB701" s="115"/>
      <c r="BC701" s="115"/>
      <c r="BD701" s="25">
        <v>45273</v>
      </c>
      <c r="BE701" s="13" t="s">
        <v>162</v>
      </c>
      <c r="BH701" s="114"/>
    </row>
    <row r="702" spans="21:60" ht="19.5" x14ac:dyDescent="0.4">
      <c r="AF702" s="26"/>
      <c r="AG702" s="13"/>
      <c r="AL702" s="117"/>
      <c r="AM702" s="123"/>
      <c r="AN702" s="123"/>
      <c r="AO702" s="123"/>
      <c r="AP702" s="115"/>
      <c r="AQ702" s="115"/>
      <c r="AR702" s="115"/>
      <c r="AS702" s="115"/>
      <c r="AT702" s="115"/>
      <c r="AU702" s="115"/>
      <c r="AV702" s="115"/>
      <c r="AW702" s="115"/>
      <c r="AX702" s="115"/>
      <c r="AY702" s="115"/>
      <c r="AZ702" s="115"/>
      <c r="BA702" s="115"/>
      <c r="BB702" s="115"/>
      <c r="BC702" s="115"/>
      <c r="BD702" s="25">
        <v>45273</v>
      </c>
      <c r="BE702" s="15" t="s">
        <v>162</v>
      </c>
      <c r="BH702" s="114"/>
    </row>
    <row r="703" spans="21:60" ht="19.5" x14ac:dyDescent="0.4">
      <c r="AF703" s="26"/>
      <c r="AG703" s="13"/>
      <c r="AL703" s="117"/>
      <c r="AM703" s="123"/>
      <c r="AN703" s="123"/>
      <c r="AO703" s="123"/>
      <c r="AP703" s="115"/>
      <c r="AQ703" s="115"/>
      <c r="AR703" s="115"/>
      <c r="AS703" s="115"/>
      <c r="AT703" s="115"/>
      <c r="AU703" s="115"/>
      <c r="AV703" s="115"/>
      <c r="AW703" s="115"/>
      <c r="AX703" s="115"/>
      <c r="AY703" s="115"/>
      <c r="AZ703" s="115"/>
      <c r="BA703" s="115"/>
      <c r="BB703" s="115"/>
      <c r="BC703" s="115"/>
      <c r="BD703" s="25">
        <v>45273</v>
      </c>
      <c r="BE703" s="15" t="s">
        <v>162</v>
      </c>
      <c r="BH703" s="114"/>
    </row>
    <row r="704" spans="21:60" ht="19.5" x14ac:dyDescent="0.4"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26"/>
      <c r="AG704" s="25"/>
      <c r="AL704" s="117"/>
      <c r="AM704" s="123"/>
      <c r="AN704" s="123"/>
      <c r="AO704" s="123"/>
      <c r="AP704" s="115"/>
      <c r="AQ704" s="115"/>
      <c r="AR704" s="115"/>
      <c r="AS704" s="115"/>
      <c r="AT704" s="115"/>
      <c r="AU704" s="115"/>
      <c r="AV704" s="115"/>
      <c r="AW704" s="115"/>
      <c r="AX704" s="115"/>
      <c r="AY704" s="115"/>
      <c r="AZ704" s="115"/>
      <c r="BA704" s="115"/>
      <c r="BB704" s="115"/>
      <c r="BC704" s="115"/>
      <c r="BD704" s="25"/>
      <c r="BE704" s="15"/>
      <c r="BH704" s="114"/>
    </row>
    <row r="705" spans="6:60" ht="19.5" x14ac:dyDescent="0.4">
      <c r="AF705" s="26"/>
      <c r="AG705" s="25"/>
      <c r="AL705" s="117"/>
      <c r="AM705" s="123"/>
      <c r="AN705" s="123"/>
      <c r="AO705" s="123"/>
      <c r="AP705" s="115"/>
      <c r="AQ705" s="115"/>
      <c r="AR705" s="115"/>
      <c r="AS705" s="115"/>
      <c r="AT705" s="115"/>
      <c r="AU705" s="115"/>
      <c r="AV705" s="115"/>
      <c r="AW705" s="115"/>
      <c r="AX705" s="115"/>
      <c r="AY705" s="115"/>
      <c r="AZ705" s="115"/>
      <c r="BA705" s="115"/>
      <c r="BB705" s="115"/>
      <c r="BC705" s="115"/>
      <c r="BD705" s="25">
        <v>45273</v>
      </c>
      <c r="BE705" s="15" t="s">
        <v>162</v>
      </c>
      <c r="BH705" s="114"/>
    </row>
    <row r="706" spans="6:60" ht="19.5" x14ac:dyDescent="0.4">
      <c r="AF706" s="26"/>
      <c r="AG706" s="13"/>
      <c r="AL706" s="117"/>
      <c r="AM706" s="123"/>
      <c r="AN706" s="123"/>
      <c r="AO706" s="123"/>
      <c r="AP706" s="115"/>
      <c r="AQ706" s="115"/>
      <c r="AR706" s="115"/>
      <c r="AS706" s="115"/>
      <c r="AT706" s="115"/>
      <c r="AU706" s="115"/>
      <c r="AV706" s="115"/>
      <c r="AW706" s="115"/>
      <c r="AX706" s="115"/>
      <c r="AY706" s="115"/>
      <c r="AZ706" s="115"/>
      <c r="BA706" s="115"/>
      <c r="BB706" s="115"/>
      <c r="BC706" s="115"/>
      <c r="BD706" s="25">
        <v>45273</v>
      </c>
      <c r="BE706" s="15" t="s">
        <v>162</v>
      </c>
      <c r="BH706" s="114"/>
    </row>
    <row r="707" spans="6:60" ht="19.5" x14ac:dyDescent="0.4"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26"/>
      <c r="AG707" s="13"/>
      <c r="AL707" s="117"/>
      <c r="AM707" s="123"/>
      <c r="AN707" s="123"/>
      <c r="AO707" s="123"/>
      <c r="AP707" s="115"/>
      <c r="AQ707" s="115"/>
      <c r="AR707" s="115"/>
      <c r="AS707" s="115"/>
      <c r="AT707" s="115"/>
      <c r="AU707" s="115"/>
      <c r="AV707" s="115"/>
      <c r="AW707" s="115"/>
      <c r="AX707" s="115"/>
      <c r="AY707" s="115"/>
      <c r="AZ707" s="115"/>
      <c r="BA707" s="115"/>
      <c r="BB707" s="115"/>
      <c r="BC707" s="115"/>
      <c r="BD707" s="25"/>
      <c r="BE707" s="15"/>
      <c r="BH707" s="114"/>
    </row>
    <row r="708" spans="6:60" ht="19.5" x14ac:dyDescent="0.4"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26"/>
      <c r="AG708" s="13"/>
      <c r="AL708" s="117"/>
      <c r="AM708" s="123"/>
      <c r="AN708" s="123"/>
      <c r="AO708" s="123"/>
      <c r="AP708" s="115"/>
      <c r="AQ708" s="115"/>
      <c r="AR708" s="115"/>
      <c r="AS708" s="115"/>
      <c r="AT708" s="115"/>
      <c r="AU708" s="115"/>
      <c r="AV708" s="115"/>
      <c r="AW708" s="115"/>
      <c r="AX708" s="115"/>
      <c r="AY708" s="115"/>
      <c r="AZ708" s="115"/>
      <c r="BA708" s="115"/>
      <c r="BB708" s="115"/>
      <c r="BC708" s="115"/>
      <c r="BD708" s="25"/>
      <c r="BE708" s="15"/>
      <c r="BH708" s="114"/>
    </row>
    <row r="709" spans="6:60" ht="19.5" x14ac:dyDescent="0.4">
      <c r="AF709" s="26"/>
      <c r="AG709" s="13"/>
      <c r="AL709" s="117"/>
      <c r="AM709" s="123"/>
      <c r="AN709" s="123"/>
      <c r="AO709" s="123"/>
      <c r="AP709" s="115"/>
      <c r="AQ709" s="115"/>
      <c r="AR709" s="115"/>
      <c r="AS709" s="115"/>
      <c r="AT709" s="115"/>
      <c r="AU709" s="115"/>
      <c r="AV709" s="115"/>
      <c r="AW709" s="115"/>
      <c r="AX709" s="115"/>
      <c r="AY709" s="115"/>
      <c r="AZ709" s="115"/>
      <c r="BA709" s="115"/>
      <c r="BB709" s="115"/>
      <c r="BC709" s="115"/>
      <c r="BD709" s="25">
        <v>45273</v>
      </c>
      <c r="BE709" s="15" t="s">
        <v>162</v>
      </c>
      <c r="BH709" s="114"/>
    </row>
    <row r="710" spans="6:60" ht="19.5" x14ac:dyDescent="0.4">
      <c r="AF710" s="26"/>
      <c r="AG710" s="13"/>
      <c r="AL710" s="117"/>
      <c r="AM710" s="123"/>
      <c r="AN710" s="123"/>
      <c r="AO710" s="123"/>
      <c r="AP710" s="115"/>
      <c r="AQ710" s="115"/>
      <c r="AR710" s="115"/>
      <c r="AS710" s="115"/>
      <c r="AT710" s="115"/>
      <c r="AU710" s="115"/>
      <c r="AV710" s="115"/>
      <c r="AW710" s="115"/>
      <c r="AX710" s="115"/>
      <c r="AY710" s="115"/>
      <c r="AZ710" s="115"/>
      <c r="BA710" s="115"/>
      <c r="BB710" s="115"/>
      <c r="BC710" s="115"/>
      <c r="BD710" s="25">
        <v>45273</v>
      </c>
      <c r="BE710" s="15" t="s">
        <v>162</v>
      </c>
      <c r="BH710" s="114"/>
    </row>
    <row r="711" spans="6:60" ht="19.5" x14ac:dyDescent="0.4">
      <c r="AF711" s="26"/>
      <c r="AG711" s="13"/>
      <c r="AL711" s="117"/>
      <c r="AM711" s="123"/>
      <c r="AN711" s="123"/>
      <c r="AO711" s="123"/>
      <c r="AP711" s="115"/>
      <c r="AQ711" s="115"/>
      <c r="AR711" s="115"/>
      <c r="AS711" s="115"/>
      <c r="AT711" s="115"/>
      <c r="AU711" s="115"/>
      <c r="AV711" s="115"/>
      <c r="AW711" s="115"/>
      <c r="AX711" s="115"/>
      <c r="AY711" s="115"/>
      <c r="AZ711" s="115"/>
      <c r="BA711" s="115"/>
      <c r="BB711" s="115"/>
      <c r="BC711" s="115"/>
      <c r="BD711" s="25">
        <v>45273</v>
      </c>
      <c r="BE711" s="13" t="s">
        <v>163</v>
      </c>
      <c r="BH711" s="114"/>
    </row>
    <row r="712" spans="6:60" ht="19.5" x14ac:dyDescent="0.4">
      <c r="AF712" s="26"/>
      <c r="AG712" s="13"/>
      <c r="AL712" s="117"/>
      <c r="AM712" s="123"/>
      <c r="AN712" s="123"/>
      <c r="AO712" s="123"/>
      <c r="AP712" s="115"/>
      <c r="AQ712" s="115"/>
      <c r="AR712" s="115"/>
      <c r="AS712" s="115"/>
      <c r="AT712" s="115"/>
      <c r="AU712" s="115"/>
      <c r="AV712" s="115"/>
      <c r="AW712" s="115"/>
      <c r="AX712" s="115"/>
      <c r="AY712" s="115"/>
      <c r="AZ712" s="115"/>
      <c r="BA712" s="115"/>
      <c r="BB712" s="115"/>
      <c r="BC712" s="115"/>
      <c r="BD712" s="25"/>
      <c r="BE712" s="13"/>
      <c r="BH712" s="114"/>
    </row>
    <row r="713" spans="6:60" ht="19.5" x14ac:dyDescent="0.4">
      <c r="AF713" s="26"/>
      <c r="AG713" s="13"/>
      <c r="AL713" s="117"/>
      <c r="AM713" s="123"/>
      <c r="AN713" s="123"/>
      <c r="AO713" s="123"/>
      <c r="AP713" s="115"/>
      <c r="AQ713" s="115"/>
      <c r="AR713" s="115"/>
      <c r="AS713" s="115"/>
      <c r="AT713" s="115"/>
      <c r="AU713" s="115"/>
      <c r="AV713" s="115"/>
      <c r="AW713" s="115"/>
      <c r="AX713" s="115"/>
      <c r="AY713" s="115"/>
      <c r="AZ713" s="115"/>
      <c r="BA713" s="115"/>
      <c r="BB713" s="115"/>
      <c r="BC713" s="115" t="s">
        <v>152</v>
      </c>
      <c r="BD713" s="13">
        <f>SUBTOTAL(3,BD682:BD711)</f>
        <v>22</v>
      </c>
      <c r="BE713" s="13">
        <f>SUBTOTAL(3,BE682:BE711)</f>
        <v>22</v>
      </c>
      <c r="BH713" s="114"/>
    </row>
    <row r="714" spans="6:60" ht="19.5" x14ac:dyDescent="0.4">
      <c r="AF714" s="26"/>
      <c r="AG714" s="13"/>
      <c r="AL714" s="117"/>
      <c r="AM714" s="123"/>
      <c r="AN714" s="123"/>
      <c r="AO714" s="123"/>
      <c r="AP714" s="115"/>
      <c r="AQ714" s="115"/>
      <c r="AR714" s="115"/>
      <c r="AS714" s="115"/>
      <c r="AT714" s="115"/>
      <c r="AU714" s="115"/>
      <c r="AV714" s="115"/>
      <c r="AW714" s="115"/>
      <c r="AX714" s="115"/>
      <c r="AY714" s="115"/>
      <c r="AZ714" s="115"/>
      <c r="BA714" s="115"/>
      <c r="BB714" s="115"/>
      <c r="BC714" s="115"/>
      <c r="BD714" s="25">
        <v>45274</v>
      </c>
      <c r="BE714" s="15" t="s">
        <v>162</v>
      </c>
      <c r="BH714" s="114"/>
    </row>
    <row r="715" spans="6:60" ht="19.5" x14ac:dyDescent="0.4"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26"/>
      <c r="AG715" s="13"/>
      <c r="AL715" s="117"/>
      <c r="AM715" s="123"/>
      <c r="AN715" s="123"/>
      <c r="AO715" s="123"/>
      <c r="AP715" s="115"/>
      <c r="AQ715" s="115"/>
      <c r="AR715" s="115"/>
      <c r="AS715" s="115"/>
      <c r="AT715" s="115"/>
      <c r="AU715" s="115"/>
      <c r="AV715" s="115"/>
      <c r="AW715" s="115"/>
      <c r="AX715" s="115"/>
      <c r="AY715" s="115"/>
      <c r="AZ715" s="115"/>
      <c r="BA715" s="115"/>
      <c r="BB715" s="115"/>
      <c r="BC715" s="115"/>
      <c r="BD715" s="25"/>
      <c r="BE715" s="15"/>
      <c r="BH715" s="114"/>
    </row>
    <row r="716" spans="6:60" ht="19.5" x14ac:dyDescent="0.4"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26"/>
      <c r="AG716" s="13"/>
      <c r="AL716" s="117"/>
      <c r="AM716" s="123"/>
      <c r="AN716" s="123"/>
      <c r="AO716" s="123"/>
      <c r="AP716" s="115"/>
      <c r="AQ716" s="115"/>
      <c r="AR716" s="115"/>
      <c r="AS716" s="115"/>
      <c r="AT716" s="115"/>
      <c r="AU716" s="115"/>
      <c r="AV716" s="115"/>
      <c r="AW716" s="115"/>
      <c r="AX716" s="115"/>
      <c r="AY716" s="115"/>
      <c r="AZ716" s="115"/>
      <c r="BA716" s="115"/>
      <c r="BB716" s="115"/>
      <c r="BC716" s="115"/>
      <c r="BD716" s="25"/>
      <c r="BE716" s="15"/>
      <c r="BH716" s="114"/>
    </row>
    <row r="717" spans="6:60" ht="19.5" x14ac:dyDescent="0.4">
      <c r="AF717" s="26"/>
      <c r="AG717" s="13"/>
      <c r="AL717" s="117"/>
      <c r="AM717" s="123"/>
      <c r="AN717" s="123"/>
      <c r="AO717" s="123"/>
      <c r="AP717" s="115"/>
      <c r="AQ717" s="115"/>
      <c r="AR717" s="115"/>
      <c r="AS717" s="115"/>
      <c r="AT717" s="115"/>
      <c r="AU717" s="115"/>
      <c r="AV717" s="115"/>
      <c r="AW717" s="115"/>
      <c r="AX717" s="115"/>
      <c r="AY717" s="115"/>
      <c r="AZ717" s="115"/>
      <c r="BA717" s="115"/>
      <c r="BB717" s="115"/>
      <c r="BC717" s="115"/>
      <c r="BD717" s="25">
        <v>45274</v>
      </c>
      <c r="BE717" s="15" t="s">
        <v>162</v>
      </c>
      <c r="BH717" s="114"/>
    </row>
    <row r="718" spans="6:60" ht="19.5" x14ac:dyDescent="0.4"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26"/>
      <c r="AG718" s="13"/>
      <c r="AL718" s="117"/>
      <c r="AM718" s="123"/>
      <c r="AN718" s="123"/>
      <c r="AO718" s="123"/>
      <c r="AP718" s="115"/>
      <c r="AQ718" s="115"/>
      <c r="AR718" s="115"/>
      <c r="AS718" s="115"/>
      <c r="AT718" s="115"/>
      <c r="AU718" s="115"/>
      <c r="AV718" s="115"/>
      <c r="AW718" s="115"/>
      <c r="AX718" s="115"/>
      <c r="AY718" s="115"/>
      <c r="AZ718" s="115"/>
      <c r="BA718" s="115"/>
      <c r="BB718" s="115"/>
      <c r="BC718" s="115"/>
      <c r="BD718" s="25"/>
      <c r="BE718" s="15"/>
      <c r="BH718" s="114"/>
    </row>
    <row r="719" spans="6:60" ht="19.5" x14ac:dyDescent="0.4"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26"/>
      <c r="AG719" s="13"/>
      <c r="AL719" s="117"/>
      <c r="AM719" s="123"/>
      <c r="AN719" s="123"/>
      <c r="AO719" s="123"/>
      <c r="AP719" s="115"/>
      <c r="AQ719" s="115"/>
      <c r="AR719" s="115"/>
      <c r="AS719" s="115"/>
      <c r="AT719" s="115"/>
      <c r="AU719" s="115"/>
      <c r="AV719" s="115"/>
      <c r="AW719" s="115"/>
      <c r="AX719" s="115"/>
      <c r="AY719" s="115"/>
      <c r="AZ719" s="115"/>
      <c r="BA719" s="115"/>
      <c r="BB719" s="115"/>
      <c r="BC719" s="115"/>
      <c r="BD719" s="25"/>
      <c r="BE719" s="15"/>
      <c r="BH719" s="114"/>
    </row>
    <row r="720" spans="6:60" ht="19.5" x14ac:dyDescent="0.4"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26"/>
      <c r="AG720" s="13"/>
      <c r="AL720" s="117"/>
      <c r="AM720" s="123"/>
      <c r="AN720" s="123"/>
      <c r="AO720" s="123"/>
      <c r="AP720" s="115"/>
      <c r="AQ720" s="115"/>
      <c r="AR720" s="115"/>
      <c r="AS720" s="115"/>
      <c r="AT720" s="115"/>
      <c r="AU720" s="115"/>
      <c r="AV720" s="115"/>
      <c r="AW720" s="115"/>
      <c r="AX720" s="115"/>
      <c r="AY720" s="115"/>
      <c r="AZ720" s="115"/>
      <c r="BA720" s="115"/>
      <c r="BB720" s="115"/>
      <c r="BC720" s="115"/>
      <c r="BD720" s="25"/>
      <c r="BE720" s="15"/>
      <c r="BH720" s="114"/>
    </row>
    <row r="721" spans="21:60" ht="19.5" x14ac:dyDescent="0.4">
      <c r="AF721" s="26"/>
      <c r="AG721" s="13"/>
      <c r="AL721" s="117"/>
      <c r="AM721" s="123"/>
      <c r="AN721" s="123"/>
      <c r="AO721" s="123"/>
      <c r="AP721" s="115"/>
      <c r="AQ721" s="115"/>
      <c r="AR721" s="115"/>
      <c r="AS721" s="115"/>
      <c r="AT721" s="115"/>
      <c r="AU721" s="115"/>
      <c r="AV721" s="115"/>
      <c r="AW721" s="115"/>
      <c r="AX721" s="115"/>
      <c r="AY721" s="115"/>
      <c r="AZ721" s="115"/>
      <c r="BA721" s="115"/>
      <c r="BB721" s="115"/>
      <c r="BC721" s="115"/>
      <c r="BD721" s="25">
        <v>45274</v>
      </c>
      <c r="BE721" s="15" t="s">
        <v>162</v>
      </c>
      <c r="BH721" s="114"/>
    </row>
    <row r="722" spans="21:60" ht="19.5" x14ac:dyDescent="0.4"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26"/>
      <c r="AG722" s="13"/>
      <c r="AL722" s="117"/>
      <c r="AM722" s="123"/>
      <c r="AN722" s="123"/>
      <c r="AO722" s="123"/>
      <c r="AP722" s="115"/>
      <c r="AQ722" s="115"/>
      <c r="AR722" s="115"/>
      <c r="AS722" s="115"/>
      <c r="AT722" s="115"/>
      <c r="AU722" s="115"/>
      <c r="AV722" s="115"/>
      <c r="AW722" s="115"/>
      <c r="AX722" s="115"/>
      <c r="AY722" s="115"/>
      <c r="AZ722" s="115"/>
      <c r="BA722" s="115"/>
      <c r="BB722" s="115"/>
      <c r="BC722" s="115"/>
      <c r="BD722" s="25"/>
      <c r="BE722" s="15"/>
      <c r="BH722" s="114"/>
    </row>
    <row r="723" spans="21:60" ht="19.5" x14ac:dyDescent="0.4">
      <c r="AF723" s="26"/>
      <c r="AG723" s="13"/>
      <c r="AL723" s="117"/>
      <c r="AM723" s="123"/>
      <c r="AN723" s="123"/>
      <c r="AO723" s="123"/>
      <c r="AP723" s="115"/>
      <c r="AQ723" s="115"/>
      <c r="AR723" s="115"/>
      <c r="AS723" s="115"/>
      <c r="AT723" s="115"/>
      <c r="AU723" s="115"/>
      <c r="AV723" s="115"/>
      <c r="AW723" s="115"/>
      <c r="AX723" s="115"/>
      <c r="AY723" s="115"/>
      <c r="AZ723" s="115"/>
      <c r="BA723" s="115"/>
      <c r="BB723" s="115"/>
      <c r="BC723" s="115"/>
      <c r="BD723" s="25">
        <v>45274</v>
      </c>
      <c r="BE723" s="15" t="s">
        <v>162</v>
      </c>
      <c r="BH723" s="114"/>
    </row>
    <row r="724" spans="21:60" ht="19.5" x14ac:dyDescent="0.4">
      <c r="AF724" s="26"/>
      <c r="AG724" s="13"/>
      <c r="AL724" s="117"/>
      <c r="AM724" s="123"/>
      <c r="AN724" s="123"/>
      <c r="AO724" s="123"/>
      <c r="AP724" s="115"/>
      <c r="AQ724" s="115"/>
      <c r="AR724" s="115"/>
      <c r="AS724" s="115"/>
      <c r="AT724" s="115"/>
      <c r="AU724" s="115"/>
      <c r="AV724" s="115"/>
      <c r="AW724" s="115"/>
      <c r="AX724" s="115"/>
      <c r="AY724" s="115"/>
      <c r="AZ724" s="115"/>
      <c r="BA724" s="115"/>
      <c r="BB724" s="115"/>
      <c r="BC724" s="115"/>
      <c r="BD724" s="25">
        <v>45274</v>
      </c>
      <c r="BE724" s="15" t="s">
        <v>163</v>
      </c>
      <c r="BH724" s="114"/>
    </row>
    <row r="725" spans="21:60" ht="19.5" x14ac:dyDescent="0.4">
      <c r="X725" s="115"/>
      <c r="Y725" s="115"/>
      <c r="Z725" s="115"/>
      <c r="AA725" s="115"/>
      <c r="AB725" s="115"/>
      <c r="AC725" s="115"/>
      <c r="AD725" s="115"/>
      <c r="AE725" s="115"/>
      <c r="AF725" s="17"/>
      <c r="AG725" s="13"/>
      <c r="AL725" s="117"/>
      <c r="AM725" s="123"/>
      <c r="AN725" s="123"/>
      <c r="AO725" s="123"/>
      <c r="AP725" s="115"/>
      <c r="AQ725" s="115"/>
      <c r="AR725" s="115"/>
      <c r="AS725" s="115"/>
      <c r="AT725" s="115"/>
      <c r="AU725" s="115"/>
      <c r="AV725" s="115"/>
      <c r="AW725" s="115"/>
      <c r="AX725" s="115"/>
      <c r="AY725" s="115"/>
      <c r="AZ725" s="115"/>
      <c r="BA725" s="115"/>
      <c r="BB725" s="115"/>
      <c r="BC725" s="115"/>
      <c r="BD725" s="25"/>
      <c r="BE725" s="15"/>
      <c r="BH725" s="114"/>
    </row>
    <row r="726" spans="21:60" ht="19.5" x14ac:dyDescent="0.4"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26"/>
      <c r="AG726" s="13"/>
      <c r="AL726" s="117"/>
      <c r="AM726" s="123"/>
      <c r="AN726" s="123"/>
      <c r="AO726" s="123"/>
      <c r="AP726" s="115"/>
      <c r="AQ726" s="115"/>
      <c r="AR726" s="115"/>
      <c r="AS726" s="115"/>
      <c r="AT726" s="115"/>
      <c r="AU726" s="115"/>
      <c r="AV726" s="115"/>
      <c r="AW726" s="115"/>
      <c r="AX726" s="115"/>
      <c r="AY726" s="115"/>
      <c r="AZ726" s="115"/>
      <c r="BA726" s="115"/>
      <c r="BB726" s="115"/>
      <c r="BC726" s="115"/>
      <c r="BD726" s="25"/>
      <c r="BE726" s="15"/>
      <c r="BH726" s="114"/>
    </row>
    <row r="727" spans="21:60" ht="19.5" x14ac:dyDescent="0.4">
      <c r="AF727" s="26"/>
      <c r="AG727" s="25"/>
      <c r="AL727" s="117"/>
      <c r="AM727" s="123"/>
      <c r="AN727" s="123"/>
      <c r="AO727" s="123"/>
      <c r="AP727" s="115"/>
      <c r="AQ727" s="115"/>
      <c r="AR727" s="115"/>
      <c r="AS727" s="115"/>
      <c r="AT727" s="115"/>
      <c r="AU727" s="115"/>
      <c r="AV727" s="115"/>
      <c r="AW727" s="115"/>
      <c r="AX727" s="115"/>
      <c r="AY727" s="115"/>
      <c r="AZ727" s="115"/>
      <c r="BA727" s="115"/>
      <c r="BB727" s="115"/>
      <c r="BC727" s="115" t="s">
        <v>167</v>
      </c>
      <c r="BD727" s="13">
        <f>SUBTOTAL(3,BD714:BD724)</f>
        <v>5</v>
      </c>
      <c r="BE727" s="15">
        <f>SUBTOTAL(3,BE714:BE724)</f>
        <v>5</v>
      </c>
      <c r="BH727" s="114"/>
    </row>
    <row r="728" spans="21:60" ht="19.5" x14ac:dyDescent="0.4"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26"/>
      <c r="AG728" s="105"/>
      <c r="AL728" s="117"/>
      <c r="AM728" s="123"/>
      <c r="AN728" s="123"/>
      <c r="AO728" s="123"/>
      <c r="AP728" s="115"/>
      <c r="AQ728" s="115"/>
      <c r="AR728" s="115"/>
      <c r="AS728" s="115"/>
      <c r="AT728" s="115"/>
      <c r="AU728" s="115"/>
      <c r="AV728" s="115"/>
      <c r="AW728" s="115"/>
      <c r="AX728" s="115"/>
      <c r="AY728" s="115"/>
      <c r="AZ728" s="115"/>
      <c r="BA728" s="115"/>
      <c r="BB728" s="115"/>
      <c r="BC728" s="115"/>
      <c r="BD728" s="13"/>
      <c r="BE728" s="15"/>
      <c r="BH728" s="114"/>
    </row>
    <row r="729" spans="21:60" ht="19.5" x14ac:dyDescent="0.4">
      <c r="AF729" s="26"/>
      <c r="AG729" s="105"/>
      <c r="AL729" s="117"/>
      <c r="AM729" s="123"/>
      <c r="AN729" s="123"/>
      <c r="AO729" s="123"/>
      <c r="AP729" s="115"/>
      <c r="AQ729" s="115"/>
      <c r="AR729" s="115"/>
      <c r="AS729" s="115"/>
      <c r="AT729" s="115"/>
      <c r="AU729" s="115"/>
      <c r="AV729" s="115"/>
      <c r="AW729" s="115"/>
      <c r="AX729" s="115"/>
      <c r="AY729" s="115"/>
      <c r="AZ729" s="115"/>
      <c r="BA729" s="115"/>
      <c r="BB729" s="115"/>
      <c r="BC729" s="115"/>
      <c r="BD729" s="13"/>
      <c r="BE729" s="15"/>
      <c r="BH729" s="114"/>
    </row>
    <row r="730" spans="21:60" ht="19.5" x14ac:dyDescent="0.4">
      <c r="X730" s="115"/>
      <c r="Y730" s="115"/>
      <c r="Z730" s="115"/>
      <c r="AA730" s="115"/>
      <c r="AB730" s="115"/>
      <c r="AC730" s="115"/>
      <c r="AD730" s="115"/>
      <c r="AE730" s="115"/>
      <c r="AF730" s="17"/>
      <c r="AG730" s="15"/>
      <c r="AL730" s="117"/>
      <c r="AM730" s="123"/>
      <c r="AN730" s="123"/>
      <c r="AO730" s="123"/>
      <c r="AP730" s="115"/>
      <c r="AQ730" s="115"/>
      <c r="AR730" s="115"/>
      <c r="AS730" s="115"/>
      <c r="AT730" s="115"/>
      <c r="AU730" s="115"/>
      <c r="AV730" s="115"/>
      <c r="AW730" s="115"/>
      <c r="AX730" s="115"/>
      <c r="AY730" s="115"/>
      <c r="AZ730" s="115"/>
      <c r="BA730" s="115"/>
      <c r="BB730" s="115"/>
      <c r="BC730" s="115"/>
      <c r="BD730" s="13"/>
      <c r="BE730" s="15"/>
      <c r="BH730" s="114"/>
    </row>
    <row r="731" spans="21:60" ht="19.5" x14ac:dyDescent="0.4"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26"/>
      <c r="AG731" s="15"/>
      <c r="AL731" s="117"/>
      <c r="AM731" s="123"/>
      <c r="AN731" s="123"/>
      <c r="AO731" s="123"/>
      <c r="AP731" s="115"/>
      <c r="AQ731" s="115"/>
      <c r="AR731" s="115"/>
      <c r="AS731" s="115"/>
      <c r="AT731" s="115"/>
      <c r="AU731" s="115"/>
      <c r="AV731" s="115"/>
      <c r="AW731" s="115"/>
      <c r="AX731" s="115"/>
      <c r="AY731" s="115"/>
      <c r="AZ731" s="115"/>
      <c r="BA731" s="115"/>
      <c r="BB731" s="115"/>
      <c r="BC731" s="115"/>
      <c r="BD731" s="13"/>
      <c r="BE731" s="15"/>
      <c r="BH731" s="114"/>
    </row>
    <row r="732" spans="21:60" ht="19.5" x14ac:dyDescent="0.4"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26"/>
      <c r="AG732" s="15"/>
      <c r="AL732" s="117"/>
      <c r="AM732" s="123"/>
      <c r="AN732" s="123"/>
      <c r="AO732" s="123"/>
      <c r="AP732" s="115"/>
      <c r="AQ732" s="115"/>
      <c r="AR732" s="115"/>
      <c r="AS732" s="115"/>
      <c r="AT732" s="115"/>
      <c r="AU732" s="115"/>
      <c r="AV732" s="115"/>
      <c r="AW732" s="115"/>
      <c r="AX732" s="115"/>
      <c r="AY732" s="115"/>
      <c r="AZ732" s="115"/>
      <c r="BA732" s="115"/>
      <c r="BB732" s="115"/>
      <c r="BC732" s="115"/>
      <c r="BD732" s="13"/>
      <c r="BE732" s="15"/>
      <c r="BH732" s="114"/>
    </row>
    <row r="733" spans="21:60" ht="19.5" x14ac:dyDescent="0.4"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26"/>
      <c r="AG733" s="15"/>
      <c r="AL733" s="117"/>
      <c r="AM733" s="123"/>
      <c r="AN733" s="123"/>
      <c r="AO733" s="123"/>
      <c r="AP733" s="115"/>
      <c r="AQ733" s="115"/>
      <c r="AR733" s="115"/>
      <c r="AS733" s="115"/>
      <c r="AT733" s="115"/>
      <c r="AU733" s="115"/>
      <c r="AV733" s="115"/>
      <c r="AW733" s="115"/>
      <c r="AX733" s="115"/>
      <c r="AY733" s="115"/>
      <c r="AZ733" s="115"/>
      <c r="BA733" s="115"/>
      <c r="BB733" s="115"/>
      <c r="BC733" s="115"/>
      <c r="BD733" s="13"/>
      <c r="BE733" s="15"/>
      <c r="BH733" s="114"/>
    </row>
    <row r="734" spans="21:60" ht="19.5" x14ac:dyDescent="0.4"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26"/>
      <c r="AG734" s="15"/>
      <c r="AL734" s="117"/>
      <c r="AM734" s="123"/>
      <c r="AN734" s="123"/>
      <c r="AO734" s="123"/>
      <c r="AP734" s="115"/>
      <c r="AQ734" s="115"/>
      <c r="AR734" s="115"/>
      <c r="AS734" s="115"/>
      <c r="AT734" s="115"/>
      <c r="AU734" s="115"/>
      <c r="AV734" s="115"/>
      <c r="AW734" s="115"/>
      <c r="AX734" s="115"/>
      <c r="AY734" s="115"/>
      <c r="AZ734" s="115"/>
      <c r="BA734" s="115"/>
      <c r="BB734" s="115"/>
      <c r="BC734" s="115"/>
      <c r="BD734" s="13"/>
      <c r="BE734" s="15"/>
      <c r="BH734" s="114"/>
    </row>
    <row r="735" spans="21:60" ht="19.5" x14ac:dyDescent="0.4">
      <c r="AF735" s="26"/>
      <c r="AG735" s="15"/>
      <c r="AL735" s="117"/>
      <c r="AM735" s="123"/>
      <c r="AN735" s="123"/>
      <c r="AO735" s="123"/>
      <c r="AP735" s="115"/>
      <c r="AQ735" s="115"/>
      <c r="AR735" s="115"/>
      <c r="AS735" s="115"/>
      <c r="AT735" s="115"/>
      <c r="AU735" s="115"/>
      <c r="AV735" s="115"/>
      <c r="AW735" s="115"/>
      <c r="AX735" s="115"/>
      <c r="AY735" s="115"/>
      <c r="AZ735" s="115"/>
      <c r="BA735" s="115"/>
      <c r="BB735" s="115"/>
      <c r="BC735" s="115"/>
      <c r="BD735" s="25">
        <v>45275</v>
      </c>
      <c r="BE735" s="15" t="s">
        <v>163</v>
      </c>
      <c r="BH735" s="114"/>
    </row>
    <row r="736" spans="21:60" ht="19.5" x14ac:dyDescent="0.4">
      <c r="AF736" s="26"/>
      <c r="AG736" s="15"/>
      <c r="AL736" s="117"/>
      <c r="AM736" s="123"/>
      <c r="AN736" s="123"/>
      <c r="AO736" s="123"/>
      <c r="AP736" s="115"/>
      <c r="AQ736" s="115"/>
      <c r="AR736" s="115"/>
      <c r="AS736" s="115"/>
      <c r="AT736" s="115"/>
      <c r="AU736" s="115"/>
      <c r="AV736" s="115"/>
      <c r="AW736" s="115"/>
      <c r="AX736" s="115"/>
      <c r="AY736" s="115"/>
      <c r="AZ736" s="115"/>
      <c r="BA736" s="115"/>
      <c r="BB736" s="115"/>
      <c r="BC736" s="115" t="s">
        <v>168</v>
      </c>
      <c r="BD736" s="13">
        <f>SUBTOTAL(3,BD735:BD735)</f>
        <v>1</v>
      </c>
      <c r="BE736" s="15">
        <f>SUBTOTAL(3,BE735:BE735)</f>
        <v>1</v>
      </c>
      <c r="BH736" s="114"/>
    </row>
    <row r="737" spans="6:60" ht="19.5" x14ac:dyDescent="0.4">
      <c r="AF737" s="26"/>
      <c r="AG737" s="15"/>
      <c r="AL737" s="117"/>
      <c r="AM737" s="123"/>
      <c r="AN737" s="123"/>
      <c r="AO737" s="123"/>
      <c r="AP737" s="115"/>
      <c r="AQ737" s="115"/>
      <c r="AR737" s="115"/>
      <c r="AS737" s="115"/>
      <c r="AT737" s="115"/>
      <c r="AU737" s="115"/>
      <c r="AV737" s="115"/>
      <c r="AW737" s="115"/>
      <c r="AX737" s="115"/>
      <c r="AY737" s="115"/>
      <c r="AZ737" s="115"/>
      <c r="BA737" s="115"/>
      <c r="BB737" s="115"/>
      <c r="BC737" s="115"/>
      <c r="BD737" s="25">
        <v>45276</v>
      </c>
      <c r="BE737" s="15" t="s">
        <v>164</v>
      </c>
      <c r="BH737" s="114"/>
    </row>
    <row r="738" spans="6:60" ht="19.5" x14ac:dyDescent="0.4">
      <c r="AF738" s="26"/>
      <c r="AG738" s="15"/>
      <c r="AL738" s="117"/>
      <c r="AM738" s="123"/>
      <c r="AN738" s="123"/>
      <c r="AO738" s="123"/>
      <c r="AP738" s="115"/>
      <c r="AQ738" s="115"/>
      <c r="AR738" s="115"/>
      <c r="AS738" s="115"/>
      <c r="AT738" s="115"/>
      <c r="AU738" s="115"/>
      <c r="AV738" s="115"/>
      <c r="AW738" s="115"/>
      <c r="AX738" s="115"/>
      <c r="AY738" s="115"/>
      <c r="AZ738" s="115"/>
      <c r="BA738" s="115"/>
      <c r="BB738" s="115"/>
      <c r="BC738" s="115"/>
      <c r="BD738" s="25">
        <v>45276</v>
      </c>
      <c r="BE738" s="15" t="s">
        <v>162</v>
      </c>
      <c r="BH738" s="114"/>
    </row>
    <row r="739" spans="6:60" ht="19.5" x14ac:dyDescent="0.4">
      <c r="AF739" s="26"/>
      <c r="AG739" s="15"/>
      <c r="AL739" s="117"/>
      <c r="AM739" s="123"/>
      <c r="AN739" s="123"/>
      <c r="AO739" s="123"/>
      <c r="AP739" s="115"/>
      <c r="AQ739" s="115"/>
      <c r="AR739" s="115"/>
      <c r="AS739" s="115"/>
      <c r="AT739" s="115"/>
      <c r="AU739" s="115"/>
      <c r="AV739" s="115"/>
      <c r="AW739" s="115"/>
      <c r="AX739" s="115"/>
      <c r="AY739" s="115"/>
      <c r="AZ739" s="115"/>
      <c r="BA739" s="115"/>
      <c r="BB739" s="115"/>
      <c r="BC739" s="115"/>
      <c r="BD739" s="25">
        <v>45276</v>
      </c>
      <c r="BE739" s="15" t="s">
        <v>162</v>
      </c>
      <c r="BH739" s="114"/>
    </row>
    <row r="740" spans="6:60" ht="19.5" x14ac:dyDescent="0.4">
      <c r="AF740" s="26"/>
      <c r="AG740" s="15"/>
      <c r="AL740" s="117"/>
      <c r="AM740" s="123"/>
      <c r="AN740" s="123"/>
      <c r="AO740" s="123"/>
      <c r="AP740" s="115"/>
      <c r="AQ740" s="115"/>
      <c r="AR740" s="115"/>
      <c r="AS740" s="115"/>
      <c r="AT740" s="115"/>
      <c r="AU740" s="115"/>
      <c r="AV740" s="115"/>
      <c r="AW740" s="115"/>
      <c r="AX740" s="115"/>
      <c r="AY740" s="115"/>
      <c r="AZ740" s="115"/>
      <c r="BA740" s="115"/>
      <c r="BB740" s="115"/>
      <c r="BC740" s="115"/>
      <c r="BD740" s="25">
        <v>45276</v>
      </c>
      <c r="BE740" s="15" t="s">
        <v>162</v>
      </c>
      <c r="BH740" s="114"/>
    </row>
    <row r="741" spans="6:60" ht="19.5" x14ac:dyDescent="0.4">
      <c r="AF741" s="26"/>
      <c r="AG741" s="15"/>
      <c r="AL741" s="117"/>
      <c r="AM741" s="123"/>
      <c r="AN741" s="123"/>
      <c r="AO741" s="123"/>
      <c r="AP741" s="115"/>
      <c r="AQ741" s="115"/>
      <c r="AR741" s="115"/>
      <c r="AS741" s="115"/>
      <c r="AT741" s="115"/>
      <c r="AU741" s="115"/>
      <c r="AV741" s="115"/>
      <c r="AW741" s="115"/>
      <c r="AX741" s="115"/>
      <c r="AY741" s="115"/>
      <c r="AZ741" s="115"/>
      <c r="BA741" s="115"/>
      <c r="BB741" s="115"/>
      <c r="BC741" s="115"/>
      <c r="BD741" s="25">
        <v>45276</v>
      </c>
      <c r="BE741" s="15" t="s">
        <v>162</v>
      </c>
      <c r="BH741" s="114"/>
    </row>
    <row r="742" spans="6:60" ht="19.5" x14ac:dyDescent="0.4"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26"/>
      <c r="AG742" s="15"/>
      <c r="AL742" s="117"/>
      <c r="AM742" s="123"/>
      <c r="AN742" s="123"/>
      <c r="AO742" s="123"/>
      <c r="AP742" s="115"/>
      <c r="AQ742" s="115"/>
      <c r="AR742" s="115"/>
      <c r="AS742" s="115"/>
      <c r="AT742" s="115"/>
      <c r="AU742" s="115"/>
      <c r="AV742" s="115"/>
      <c r="AW742" s="115"/>
      <c r="AX742" s="115"/>
      <c r="AY742" s="115"/>
      <c r="AZ742" s="115"/>
      <c r="BA742" s="115"/>
      <c r="BB742" s="115"/>
      <c r="BC742" s="115"/>
      <c r="BD742" s="25"/>
      <c r="BE742" s="15"/>
      <c r="BH742" s="114"/>
    </row>
    <row r="743" spans="6:60" ht="19.5" x14ac:dyDescent="0.4">
      <c r="AF743" s="26"/>
      <c r="AG743" s="15"/>
      <c r="AL743" s="117"/>
      <c r="AM743" s="123"/>
      <c r="AN743" s="123"/>
      <c r="AO743" s="123"/>
      <c r="AP743" s="115"/>
      <c r="AQ743" s="115"/>
      <c r="AR743" s="115"/>
      <c r="AS743" s="115"/>
      <c r="AT743" s="115"/>
      <c r="AU743" s="115"/>
      <c r="AV743" s="115"/>
      <c r="AW743" s="115"/>
      <c r="AX743" s="115"/>
      <c r="AY743" s="115"/>
      <c r="AZ743" s="115"/>
      <c r="BA743" s="115"/>
      <c r="BB743" s="115"/>
      <c r="BC743" s="115"/>
      <c r="BD743" s="25">
        <v>45276</v>
      </c>
      <c r="BE743" s="15" t="s">
        <v>162</v>
      </c>
      <c r="BH743" s="114"/>
    </row>
    <row r="744" spans="6:60" ht="19.5" x14ac:dyDescent="0.4">
      <c r="AF744" s="26"/>
      <c r="AG744" s="15"/>
      <c r="AL744" s="117"/>
      <c r="AM744" s="123"/>
      <c r="AN744" s="123"/>
      <c r="AO744" s="123"/>
      <c r="AP744" s="115"/>
      <c r="AQ744" s="115"/>
      <c r="AR744" s="115"/>
      <c r="AS744" s="115"/>
      <c r="AT744" s="115"/>
      <c r="AU744" s="115"/>
      <c r="AV744" s="115"/>
      <c r="AW744" s="115"/>
      <c r="AX744" s="115"/>
      <c r="AY744" s="115"/>
      <c r="AZ744" s="115"/>
      <c r="BA744" s="115"/>
      <c r="BB744" s="115"/>
      <c r="BC744" s="115"/>
      <c r="BD744" s="25">
        <v>45276</v>
      </c>
      <c r="BE744" s="15" t="s">
        <v>162</v>
      </c>
      <c r="BH744" s="114"/>
    </row>
    <row r="745" spans="6:60" ht="19.5" x14ac:dyDescent="0.4">
      <c r="X745" s="115"/>
      <c r="Y745" s="115"/>
      <c r="Z745" s="115"/>
      <c r="AA745" s="115"/>
      <c r="AB745" s="115"/>
      <c r="AC745" s="115"/>
      <c r="AD745" s="115"/>
      <c r="AE745" s="115"/>
      <c r="AF745" s="17"/>
      <c r="AG745" s="15"/>
      <c r="AL745" s="117"/>
      <c r="AM745" s="123"/>
      <c r="AN745" s="123"/>
      <c r="AO745" s="123"/>
      <c r="AP745" s="115"/>
      <c r="AQ745" s="115"/>
      <c r="AR745" s="115"/>
      <c r="AS745" s="115"/>
      <c r="AT745" s="115"/>
      <c r="AU745" s="115"/>
      <c r="AV745" s="115"/>
      <c r="AW745" s="115"/>
      <c r="AX745" s="115"/>
      <c r="AY745" s="115"/>
      <c r="AZ745" s="115"/>
      <c r="BA745" s="115"/>
      <c r="BB745" s="115"/>
      <c r="BC745" s="115"/>
      <c r="BD745" s="25"/>
      <c r="BE745" s="15"/>
      <c r="BH745" s="114"/>
    </row>
    <row r="746" spans="6:60" ht="19.5" x14ac:dyDescent="0.4"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26"/>
      <c r="AG746" s="15"/>
      <c r="AL746" s="117"/>
      <c r="AM746" s="123"/>
      <c r="AN746" s="123"/>
      <c r="AO746" s="123"/>
      <c r="AP746" s="115"/>
      <c r="AQ746" s="115"/>
      <c r="AR746" s="115"/>
      <c r="AS746" s="115"/>
      <c r="AT746" s="115"/>
      <c r="AU746" s="115"/>
      <c r="AV746" s="115"/>
      <c r="AW746" s="115"/>
      <c r="AX746" s="115"/>
      <c r="AY746" s="115"/>
      <c r="AZ746" s="115"/>
      <c r="BA746" s="115"/>
      <c r="BB746" s="115"/>
      <c r="BC746" s="115"/>
      <c r="BD746" s="25"/>
      <c r="BE746" s="15"/>
      <c r="BH746" s="114"/>
    </row>
    <row r="747" spans="6:60" ht="19.5" x14ac:dyDescent="0.4"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26"/>
      <c r="AG747" s="15"/>
      <c r="AL747" s="117"/>
      <c r="AM747" s="123"/>
      <c r="AN747" s="123"/>
      <c r="AO747" s="123"/>
      <c r="AP747" s="115"/>
      <c r="AQ747" s="115"/>
      <c r="AR747" s="115"/>
      <c r="AS747" s="115"/>
      <c r="AT747" s="115"/>
      <c r="AU747" s="115"/>
      <c r="AV747" s="115"/>
      <c r="AW747" s="115"/>
      <c r="AX747" s="115"/>
      <c r="AY747" s="115"/>
      <c r="AZ747" s="115"/>
      <c r="BA747" s="115"/>
      <c r="BB747" s="115"/>
      <c r="BC747" s="115"/>
      <c r="BD747" s="25"/>
      <c r="BE747" s="15"/>
      <c r="BH747" s="114"/>
    </row>
    <row r="748" spans="6:60" ht="19.5" x14ac:dyDescent="0.4"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26"/>
      <c r="AG748" s="15"/>
      <c r="AL748" s="117"/>
      <c r="AM748" s="123"/>
      <c r="AN748" s="123"/>
      <c r="AO748" s="123"/>
      <c r="AP748" s="115"/>
      <c r="AQ748" s="115"/>
      <c r="AR748" s="115"/>
      <c r="AS748" s="115"/>
      <c r="AT748" s="115"/>
      <c r="AU748" s="115"/>
      <c r="AV748" s="115"/>
      <c r="AW748" s="115"/>
      <c r="AX748" s="115"/>
      <c r="AY748" s="115"/>
      <c r="AZ748" s="115"/>
      <c r="BA748" s="115"/>
      <c r="BB748" s="115"/>
      <c r="BC748" s="115"/>
      <c r="BD748" s="25"/>
      <c r="BE748" s="15"/>
      <c r="BH748" s="114"/>
    </row>
    <row r="749" spans="6:60" ht="19.5" x14ac:dyDescent="0.4">
      <c r="AF749" s="26"/>
      <c r="AG749" s="15"/>
      <c r="AK749" s="115"/>
      <c r="AL749" s="117"/>
      <c r="AM749" s="123"/>
      <c r="AN749" s="123"/>
      <c r="AO749" s="123"/>
      <c r="AP749" s="115"/>
      <c r="AQ749" s="115"/>
      <c r="AR749" s="115"/>
      <c r="AS749" s="115"/>
      <c r="AT749" s="115"/>
      <c r="AU749" s="115"/>
      <c r="AV749" s="115"/>
      <c r="AW749" s="115"/>
      <c r="AX749" s="115"/>
      <c r="AY749" s="115"/>
      <c r="AZ749" s="115"/>
      <c r="BA749" s="115"/>
      <c r="BB749" s="115"/>
      <c r="BC749" s="115"/>
      <c r="BD749" s="25">
        <v>45276</v>
      </c>
      <c r="BE749" s="15" t="s">
        <v>162</v>
      </c>
      <c r="BH749" s="114"/>
    </row>
    <row r="750" spans="6:60" ht="19.5" x14ac:dyDescent="0.4">
      <c r="AF750" s="26"/>
      <c r="AG750" s="15"/>
      <c r="AK750" s="115"/>
      <c r="AL750" s="117"/>
      <c r="AM750" s="123"/>
      <c r="AN750" s="123"/>
      <c r="AO750" s="123"/>
      <c r="AP750" s="115"/>
      <c r="AQ750" s="115"/>
      <c r="AR750" s="115"/>
      <c r="AS750" s="115"/>
      <c r="AT750" s="115"/>
      <c r="AU750" s="115"/>
      <c r="AV750" s="115"/>
      <c r="AW750" s="115"/>
      <c r="AX750" s="115"/>
      <c r="AY750" s="115"/>
      <c r="AZ750" s="115"/>
      <c r="BA750" s="115"/>
      <c r="BB750" s="115"/>
      <c r="BC750" s="115"/>
      <c r="BD750" s="25">
        <v>45276</v>
      </c>
      <c r="BE750" s="15" t="s">
        <v>162</v>
      </c>
      <c r="BH750" s="114"/>
    </row>
    <row r="751" spans="6:60" ht="19.5" x14ac:dyDescent="0.4">
      <c r="AF751" s="26"/>
      <c r="AG751" s="15"/>
      <c r="AK751" s="115"/>
      <c r="AL751" s="117"/>
      <c r="AM751" s="123"/>
      <c r="AN751" s="123"/>
      <c r="AO751" s="123"/>
      <c r="AP751" s="115"/>
      <c r="AQ751" s="115"/>
      <c r="AR751" s="115"/>
      <c r="AS751" s="115"/>
      <c r="AT751" s="115"/>
      <c r="AU751" s="115"/>
      <c r="AV751" s="115"/>
      <c r="AW751" s="115"/>
      <c r="AX751" s="115"/>
      <c r="AY751" s="115"/>
      <c r="AZ751" s="115"/>
      <c r="BA751" s="115"/>
      <c r="BB751" s="115"/>
      <c r="BC751" s="115"/>
      <c r="BD751" s="25">
        <v>45276</v>
      </c>
      <c r="BE751" s="15" t="s">
        <v>162</v>
      </c>
      <c r="BH751" s="114"/>
    </row>
    <row r="752" spans="6:60" ht="19.5" x14ac:dyDescent="0.4">
      <c r="X752" s="115"/>
      <c r="Y752" s="115"/>
      <c r="Z752" s="115"/>
      <c r="AA752" s="115"/>
      <c r="AB752" s="115"/>
      <c r="AC752" s="115"/>
      <c r="AD752" s="115"/>
      <c r="AE752" s="115"/>
      <c r="AF752" s="17"/>
      <c r="AG752" s="15"/>
      <c r="AK752" s="115"/>
      <c r="AL752" s="117"/>
      <c r="AM752" s="123"/>
      <c r="AN752" s="123"/>
      <c r="AO752" s="123"/>
      <c r="AP752" s="115"/>
      <c r="AQ752" s="115"/>
      <c r="AR752" s="115"/>
      <c r="AS752" s="115"/>
      <c r="AT752" s="115"/>
      <c r="AU752" s="115"/>
      <c r="AV752" s="115"/>
      <c r="AW752" s="115"/>
      <c r="AX752" s="115"/>
      <c r="AY752" s="115"/>
      <c r="AZ752" s="115"/>
      <c r="BA752" s="115"/>
      <c r="BB752" s="115"/>
      <c r="BC752" s="115"/>
      <c r="BD752" s="25"/>
      <c r="BE752" s="15"/>
      <c r="BH752" s="114"/>
    </row>
    <row r="753" spans="6:60" ht="19.5" x14ac:dyDescent="0.4"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26"/>
      <c r="AG753" s="15"/>
      <c r="AK753" s="115"/>
      <c r="AL753" s="117"/>
      <c r="AM753" s="123"/>
      <c r="AN753" s="123"/>
      <c r="AO753" s="123"/>
      <c r="AP753" s="115"/>
      <c r="AQ753" s="115"/>
      <c r="AR753" s="115"/>
      <c r="AS753" s="115"/>
      <c r="AT753" s="115"/>
      <c r="AU753" s="115"/>
      <c r="AV753" s="115"/>
      <c r="AW753" s="115"/>
      <c r="AX753" s="115"/>
      <c r="AY753" s="115"/>
      <c r="AZ753" s="115"/>
      <c r="BA753" s="115"/>
      <c r="BB753" s="115"/>
      <c r="BC753" s="115"/>
      <c r="BD753" s="25"/>
      <c r="BE753" s="15"/>
      <c r="BH753" s="114"/>
    </row>
    <row r="754" spans="6:60" ht="19.5" x14ac:dyDescent="0.4"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7"/>
      <c r="AG754" s="15"/>
      <c r="AK754" s="115"/>
      <c r="AL754" s="117"/>
      <c r="AM754" s="123"/>
      <c r="AN754" s="123"/>
      <c r="AO754" s="123"/>
      <c r="AP754" s="115"/>
      <c r="AQ754" s="115"/>
      <c r="AR754" s="115"/>
      <c r="AS754" s="115"/>
      <c r="AT754" s="115"/>
      <c r="AU754" s="115"/>
      <c r="AV754" s="115"/>
      <c r="AW754" s="115"/>
      <c r="AX754" s="115"/>
      <c r="AY754" s="115"/>
      <c r="AZ754" s="115"/>
      <c r="BA754" s="115"/>
      <c r="BB754" s="115"/>
      <c r="BC754" s="115"/>
      <c r="BD754" s="25"/>
      <c r="BE754" s="15"/>
      <c r="BH754" s="114"/>
    </row>
    <row r="755" spans="6:60" ht="19.5" x14ac:dyDescent="0.4">
      <c r="AF755" s="26"/>
      <c r="AG755" s="15"/>
      <c r="AK755" s="115"/>
      <c r="AL755" s="117"/>
      <c r="AM755" s="123"/>
      <c r="AN755" s="123"/>
      <c r="AO755" s="123"/>
      <c r="AP755" s="115"/>
      <c r="AQ755" s="115"/>
      <c r="AR755" s="115"/>
      <c r="AS755" s="115"/>
      <c r="AT755" s="115"/>
      <c r="AU755" s="115"/>
      <c r="AV755" s="115"/>
      <c r="AW755" s="115"/>
      <c r="AX755" s="115"/>
      <c r="AY755" s="115"/>
      <c r="AZ755" s="115"/>
      <c r="BA755" s="115"/>
      <c r="BB755" s="115"/>
      <c r="BC755" s="115"/>
      <c r="BD755" s="25"/>
      <c r="BE755" s="15"/>
      <c r="BH755" s="114"/>
    </row>
    <row r="756" spans="6:60" ht="19.5" x14ac:dyDescent="0.4"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26"/>
      <c r="AG756" s="15"/>
      <c r="AK756" s="115"/>
      <c r="AL756" s="117"/>
      <c r="AM756" s="123"/>
      <c r="AN756" s="123"/>
      <c r="AO756" s="123"/>
      <c r="AP756" s="115"/>
      <c r="AQ756" s="115"/>
      <c r="AR756" s="115"/>
      <c r="AS756" s="115"/>
      <c r="AT756" s="115"/>
      <c r="AU756" s="115"/>
      <c r="AV756" s="115"/>
      <c r="AW756" s="115"/>
      <c r="AX756" s="115"/>
      <c r="AY756" s="115"/>
      <c r="AZ756" s="115"/>
      <c r="BA756" s="115"/>
      <c r="BB756" s="115"/>
      <c r="BC756" s="115"/>
      <c r="BD756" s="25"/>
      <c r="BE756" s="15"/>
      <c r="BH756" s="114"/>
    </row>
    <row r="757" spans="6:60" ht="19.5" x14ac:dyDescent="0.4">
      <c r="AF757" s="26"/>
      <c r="AG757" s="15"/>
      <c r="AK757" s="115"/>
      <c r="AL757" s="117"/>
      <c r="AM757" s="123"/>
      <c r="AN757" s="123"/>
      <c r="AO757" s="123"/>
      <c r="AP757" s="115"/>
      <c r="AQ757" s="115"/>
      <c r="AR757" s="115"/>
      <c r="AS757" s="115"/>
      <c r="AT757" s="115"/>
      <c r="AU757" s="115"/>
      <c r="AV757" s="115"/>
      <c r="AW757" s="115"/>
      <c r="AX757" s="115"/>
      <c r="AY757" s="115"/>
      <c r="AZ757" s="115"/>
      <c r="BA757" s="115"/>
      <c r="BB757" s="115"/>
      <c r="BC757" s="115"/>
      <c r="BD757" s="25">
        <v>45276</v>
      </c>
      <c r="BE757" s="15" t="s">
        <v>162</v>
      </c>
      <c r="BH757" s="114"/>
    </row>
    <row r="758" spans="6:60" ht="19.5" x14ac:dyDescent="0.4">
      <c r="X758" s="115"/>
      <c r="Y758" s="115"/>
      <c r="Z758" s="115"/>
      <c r="AA758" s="115"/>
      <c r="AB758" s="115"/>
      <c r="AC758" s="115"/>
      <c r="AD758" s="115"/>
      <c r="AE758" s="115"/>
      <c r="AF758" s="17"/>
      <c r="AG758" s="15"/>
      <c r="AK758" s="115"/>
      <c r="AL758" s="117"/>
      <c r="AM758" s="123"/>
      <c r="AN758" s="123"/>
      <c r="AO758" s="123"/>
      <c r="AP758" s="115"/>
      <c r="AQ758" s="115"/>
      <c r="AR758" s="115"/>
      <c r="AS758" s="115"/>
      <c r="AT758" s="115"/>
      <c r="AU758" s="115"/>
      <c r="AV758" s="115"/>
      <c r="AW758" s="115"/>
      <c r="AX758" s="115"/>
      <c r="AY758" s="115"/>
      <c r="AZ758" s="115"/>
      <c r="BA758" s="115"/>
      <c r="BB758" s="115"/>
      <c r="BC758" s="115"/>
      <c r="BD758" s="25"/>
      <c r="BE758" s="15"/>
      <c r="BH758" s="114"/>
    </row>
    <row r="759" spans="6:60" ht="19.5" x14ac:dyDescent="0.4">
      <c r="AF759" s="26"/>
      <c r="AG759" s="15"/>
      <c r="AK759" s="115"/>
      <c r="AL759" s="117"/>
      <c r="AM759" s="123"/>
      <c r="AN759" s="123"/>
      <c r="AO759" s="123"/>
      <c r="AP759" s="115"/>
      <c r="AQ759" s="115"/>
      <c r="AR759" s="115"/>
      <c r="AS759" s="115"/>
      <c r="AT759" s="115"/>
      <c r="AU759" s="115"/>
      <c r="AV759" s="115"/>
      <c r="AW759" s="115"/>
      <c r="AX759" s="115"/>
      <c r="AY759" s="115"/>
      <c r="AZ759" s="115"/>
      <c r="BA759" s="115"/>
      <c r="BB759" s="115"/>
      <c r="BC759" s="115"/>
      <c r="BD759" s="25">
        <v>45276</v>
      </c>
      <c r="BE759" s="15" t="s">
        <v>162</v>
      </c>
      <c r="BH759" s="114"/>
    </row>
    <row r="760" spans="6:60" ht="19.5" x14ac:dyDescent="0.4">
      <c r="X760" s="115"/>
      <c r="Y760" s="115"/>
      <c r="Z760" s="115"/>
      <c r="AA760" s="115"/>
      <c r="AB760" s="115"/>
      <c r="AC760" s="115"/>
      <c r="AD760" s="115"/>
      <c r="AE760" s="115"/>
      <c r="AF760" s="17"/>
      <c r="AG760" s="15"/>
      <c r="AK760" s="115"/>
      <c r="AL760" s="117"/>
      <c r="AM760" s="123"/>
      <c r="AN760" s="123"/>
      <c r="AO760" s="123"/>
      <c r="AP760" s="115"/>
      <c r="AQ760" s="115"/>
      <c r="AR760" s="115"/>
      <c r="AS760" s="115"/>
      <c r="AT760" s="115"/>
      <c r="AU760" s="115"/>
      <c r="AV760" s="115"/>
      <c r="AW760" s="115"/>
      <c r="AX760" s="115"/>
      <c r="AY760" s="115"/>
      <c r="AZ760" s="115"/>
      <c r="BA760" s="115"/>
      <c r="BB760" s="115"/>
      <c r="BC760" s="115"/>
      <c r="BD760" s="25"/>
      <c r="BE760" s="15"/>
      <c r="BH760" s="114"/>
    </row>
    <row r="761" spans="6:60" ht="19.5" x14ac:dyDescent="0.4"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26"/>
      <c r="AG761" s="15"/>
      <c r="AK761" s="115"/>
      <c r="AL761" s="117"/>
      <c r="AM761" s="123"/>
      <c r="AN761" s="123"/>
      <c r="AO761" s="123"/>
      <c r="AP761" s="115"/>
      <c r="AQ761" s="115"/>
      <c r="AR761" s="115"/>
      <c r="AS761" s="115"/>
      <c r="AT761" s="115"/>
      <c r="AU761" s="115"/>
      <c r="AV761" s="115"/>
      <c r="AW761" s="115"/>
      <c r="AX761" s="115"/>
      <c r="AY761" s="115"/>
      <c r="AZ761" s="115"/>
      <c r="BA761" s="115"/>
      <c r="BB761" s="115"/>
      <c r="BC761" s="115"/>
      <c r="BD761" s="25"/>
      <c r="BE761" s="15"/>
      <c r="BH761" s="114"/>
    </row>
    <row r="762" spans="6:60" ht="19.5" x14ac:dyDescent="0.4"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7"/>
      <c r="AG762" s="15"/>
      <c r="AK762" s="115"/>
      <c r="AL762" s="117"/>
      <c r="AM762" s="123"/>
      <c r="AN762" s="123"/>
      <c r="AO762" s="123"/>
      <c r="AP762" s="115"/>
      <c r="AQ762" s="115"/>
      <c r="AR762" s="115"/>
      <c r="AS762" s="115"/>
      <c r="AT762" s="115"/>
      <c r="AU762" s="115"/>
      <c r="AV762" s="115"/>
      <c r="AW762" s="115"/>
      <c r="AX762" s="115"/>
      <c r="AY762" s="115"/>
      <c r="AZ762" s="115"/>
      <c r="BA762" s="115"/>
      <c r="BB762" s="115"/>
      <c r="BC762" s="115"/>
      <c r="BD762" s="25"/>
      <c r="BE762" s="15"/>
      <c r="BH762" s="114"/>
    </row>
    <row r="763" spans="6:60" ht="19.5" x14ac:dyDescent="0.4">
      <c r="AF763" s="26"/>
      <c r="AG763" s="15"/>
      <c r="AK763" s="115"/>
      <c r="AL763" s="117"/>
      <c r="AM763" s="123"/>
      <c r="AN763" s="123"/>
      <c r="AO763" s="123"/>
      <c r="AP763" s="115"/>
      <c r="AQ763" s="115"/>
      <c r="AR763" s="115"/>
      <c r="AS763" s="115"/>
      <c r="AT763" s="115"/>
      <c r="AU763" s="115"/>
      <c r="AV763" s="115"/>
      <c r="AW763" s="115"/>
      <c r="AX763" s="115"/>
      <c r="AY763" s="115"/>
      <c r="AZ763" s="115"/>
      <c r="BA763" s="115"/>
      <c r="BB763" s="115"/>
      <c r="BC763" s="115"/>
      <c r="BD763" s="25">
        <v>45276</v>
      </c>
      <c r="BE763" s="15" t="s">
        <v>162</v>
      </c>
      <c r="BH763" s="114"/>
    </row>
    <row r="764" spans="6:60" ht="19.5" x14ac:dyDescent="0.4">
      <c r="AF764" s="26"/>
      <c r="AG764" s="15"/>
      <c r="AK764" s="115"/>
      <c r="AL764" s="117"/>
      <c r="AM764" s="123"/>
      <c r="AN764" s="123"/>
      <c r="AO764" s="123"/>
      <c r="AP764" s="115"/>
      <c r="AQ764" s="115"/>
      <c r="AR764" s="115"/>
      <c r="AS764" s="115"/>
      <c r="AT764" s="115"/>
      <c r="AU764" s="115"/>
      <c r="AV764" s="115"/>
      <c r="AW764" s="115"/>
      <c r="AX764" s="115"/>
      <c r="AY764" s="115"/>
      <c r="AZ764" s="115"/>
      <c r="BA764" s="115"/>
      <c r="BB764" s="115"/>
      <c r="BC764" s="115"/>
      <c r="BD764" s="25">
        <v>45276</v>
      </c>
      <c r="BE764" s="15" t="s">
        <v>162</v>
      </c>
      <c r="BH764" s="114"/>
    </row>
    <row r="765" spans="6:60" ht="19.5" x14ac:dyDescent="0.4">
      <c r="AF765" s="26"/>
      <c r="AG765" s="15"/>
      <c r="AK765" s="115"/>
      <c r="AL765" s="117"/>
      <c r="AM765" s="123"/>
      <c r="AN765" s="123"/>
      <c r="AO765" s="123"/>
      <c r="AP765" s="115"/>
      <c r="AQ765" s="115"/>
      <c r="AR765" s="115"/>
      <c r="AS765" s="115"/>
      <c r="AT765" s="115"/>
      <c r="AU765" s="115"/>
      <c r="AV765" s="115"/>
      <c r="AW765" s="115"/>
      <c r="AX765" s="115"/>
      <c r="AY765" s="115"/>
      <c r="AZ765" s="115"/>
      <c r="BA765" s="115"/>
      <c r="BB765" s="115"/>
      <c r="BC765" s="115"/>
      <c r="BD765" s="25">
        <v>45276</v>
      </c>
      <c r="BE765" s="15" t="s">
        <v>162</v>
      </c>
      <c r="BH765" s="114"/>
    </row>
    <row r="766" spans="6:60" ht="19.5" x14ac:dyDescent="0.4">
      <c r="AF766" s="26"/>
      <c r="AG766" s="15"/>
      <c r="AK766" s="115"/>
      <c r="AL766" s="117"/>
      <c r="AM766" s="123"/>
      <c r="AN766" s="123"/>
      <c r="AO766" s="123"/>
      <c r="AP766" s="115"/>
      <c r="AQ766" s="115"/>
      <c r="AR766" s="115"/>
      <c r="AS766" s="115"/>
      <c r="AT766" s="115"/>
      <c r="AU766" s="115"/>
      <c r="AV766" s="115"/>
      <c r="AW766" s="115"/>
      <c r="AX766" s="115"/>
      <c r="AY766" s="115"/>
      <c r="AZ766" s="115"/>
      <c r="BA766" s="115"/>
      <c r="BB766" s="115"/>
      <c r="BC766" s="115"/>
      <c r="BD766" s="25"/>
      <c r="BE766" s="15"/>
      <c r="BH766" s="114"/>
    </row>
    <row r="767" spans="6:60" ht="19.5" x14ac:dyDescent="0.4">
      <c r="X767" s="115"/>
      <c r="Y767" s="115"/>
      <c r="Z767" s="115"/>
      <c r="AA767" s="115"/>
      <c r="AB767" s="115"/>
      <c r="AC767" s="115"/>
      <c r="AD767" s="115"/>
      <c r="AE767" s="115"/>
      <c r="AF767" s="17"/>
      <c r="AG767" s="15"/>
      <c r="AK767" s="115"/>
      <c r="AL767" s="117"/>
      <c r="AM767" s="123"/>
      <c r="AN767" s="123"/>
      <c r="AO767" s="123"/>
      <c r="AP767" s="115"/>
      <c r="AQ767" s="115"/>
      <c r="AR767" s="115"/>
      <c r="AS767" s="115"/>
      <c r="AT767" s="115"/>
      <c r="AU767" s="115"/>
      <c r="AV767" s="115"/>
      <c r="AW767" s="115"/>
      <c r="AX767" s="115"/>
      <c r="AY767" s="115"/>
      <c r="AZ767" s="115"/>
      <c r="BA767" s="115"/>
      <c r="BB767" s="115"/>
      <c r="BC767" s="115"/>
      <c r="BD767" s="25"/>
      <c r="BE767" s="15"/>
      <c r="BH767" s="114"/>
    </row>
    <row r="768" spans="6:60" ht="19.5" x14ac:dyDescent="0.4">
      <c r="AF768" s="26"/>
      <c r="AG768" s="15"/>
      <c r="AK768" s="115"/>
      <c r="AL768" s="117"/>
      <c r="AM768" s="123"/>
      <c r="AN768" s="123"/>
      <c r="AO768" s="123"/>
      <c r="AP768" s="115"/>
      <c r="AQ768" s="115"/>
      <c r="AR768" s="115"/>
      <c r="AS768" s="115"/>
      <c r="AT768" s="115"/>
      <c r="AU768" s="115"/>
      <c r="AV768" s="115"/>
      <c r="AW768" s="115"/>
      <c r="AX768" s="115"/>
      <c r="AY768" s="115"/>
      <c r="AZ768" s="115"/>
      <c r="BA768" s="115"/>
      <c r="BB768" s="115"/>
      <c r="BC768" s="115"/>
      <c r="BD768" s="25">
        <v>45276</v>
      </c>
      <c r="BE768" s="15" t="s">
        <v>162</v>
      </c>
      <c r="BH768" s="114"/>
    </row>
    <row r="769" spans="21:60" ht="19.5" x14ac:dyDescent="0.4">
      <c r="AF769" s="26"/>
      <c r="AG769" s="15"/>
      <c r="AK769" s="115"/>
      <c r="AL769" s="117"/>
      <c r="AM769" s="123"/>
      <c r="AN769" s="123"/>
      <c r="AO769" s="123"/>
      <c r="AP769" s="115"/>
      <c r="AQ769" s="115"/>
      <c r="AR769" s="115"/>
      <c r="AS769" s="115"/>
      <c r="AT769" s="115"/>
      <c r="AU769" s="115"/>
      <c r="AV769" s="115"/>
      <c r="AW769" s="115"/>
      <c r="AX769" s="115"/>
      <c r="AY769" s="115"/>
      <c r="AZ769" s="115"/>
      <c r="BA769" s="115"/>
      <c r="BB769" s="115"/>
      <c r="BC769" s="115"/>
      <c r="BD769" s="25">
        <v>45276</v>
      </c>
      <c r="BE769" s="15" t="s">
        <v>162</v>
      </c>
      <c r="BH769" s="114"/>
    </row>
    <row r="770" spans="21:60" ht="19.5" x14ac:dyDescent="0.4">
      <c r="X770" s="115"/>
      <c r="Y770" s="115"/>
      <c r="Z770" s="115"/>
      <c r="AA770" s="115"/>
      <c r="AB770" s="115"/>
      <c r="AC770" s="115"/>
      <c r="AD770" s="115"/>
      <c r="AE770" s="115"/>
      <c r="AF770" s="17"/>
      <c r="AG770" s="15"/>
      <c r="AK770" s="115"/>
      <c r="AL770" s="117"/>
      <c r="AM770" s="123"/>
      <c r="AN770" s="123"/>
      <c r="AO770" s="123"/>
      <c r="AP770" s="115"/>
      <c r="AQ770" s="115"/>
      <c r="AR770" s="115"/>
      <c r="AS770" s="115"/>
      <c r="AT770" s="115"/>
      <c r="AU770" s="115"/>
      <c r="AV770" s="115"/>
      <c r="AW770" s="115"/>
      <c r="AX770" s="115"/>
      <c r="AY770" s="115"/>
      <c r="AZ770" s="115"/>
      <c r="BA770" s="115"/>
      <c r="BB770" s="115"/>
      <c r="BC770" s="115"/>
      <c r="BD770" s="25"/>
      <c r="BE770" s="15"/>
      <c r="BH770" s="114"/>
    </row>
    <row r="771" spans="21:60" ht="19.5" x14ac:dyDescent="0.4"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26"/>
      <c r="AG771" s="15"/>
      <c r="AK771" s="115"/>
      <c r="AL771" s="117"/>
      <c r="AM771" s="123"/>
      <c r="AN771" s="123"/>
      <c r="AO771" s="123"/>
      <c r="AP771" s="115"/>
      <c r="AQ771" s="115"/>
      <c r="AR771" s="115"/>
      <c r="AS771" s="115"/>
      <c r="AT771" s="115"/>
      <c r="AU771" s="115"/>
      <c r="AV771" s="115"/>
      <c r="AW771" s="115"/>
      <c r="AX771" s="115"/>
      <c r="AY771" s="115"/>
      <c r="AZ771" s="115"/>
      <c r="BA771" s="115"/>
      <c r="BB771" s="115"/>
      <c r="BC771" s="115"/>
      <c r="BD771" s="25"/>
      <c r="BE771" s="15"/>
      <c r="BH771" s="114"/>
    </row>
    <row r="772" spans="21:60" ht="19.5" x14ac:dyDescent="0.4"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7"/>
      <c r="AG772" s="15"/>
      <c r="AK772" s="115"/>
      <c r="AL772" s="117"/>
      <c r="AM772" s="123"/>
      <c r="AN772" s="123"/>
      <c r="AO772" s="123"/>
      <c r="AP772" s="115"/>
      <c r="AQ772" s="115"/>
      <c r="AR772" s="115"/>
      <c r="AS772" s="115"/>
      <c r="AT772" s="115"/>
      <c r="AU772" s="115"/>
      <c r="AV772" s="115"/>
      <c r="AW772" s="115"/>
      <c r="AX772" s="115"/>
      <c r="AY772" s="115"/>
      <c r="AZ772" s="115"/>
      <c r="BA772" s="115"/>
      <c r="BB772" s="115"/>
      <c r="BC772" s="115"/>
      <c r="BD772" s="25"/>
      <c r="BE772" s="15"/>
      <c r="BH772" s="114"/>
    </row>
    <row r="773" spans="21:60" ht="19.5" x14ac:dyDescent="0.4"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26"/>
      <c r="AG773" s="15"/>
      <c r="AK773" s="115"/>
      <c r="AL773" s="117"/>
      <c r="AM773" s="123"/>
      <c r="AN773" s="123"/>
      <c r="AO773" s="123"/>
      <c r="AP773" s="115"/>
      <c r="AQ773" s="115"/>
      <c r="AR773" s="115"/>
      <c r="AS773" s="115"/>
      <c r="AT773" s="115"/>
      <c r="AU773" s="115"/>
      <c r="AV773" s="115"/>
      <c r="AW773" s="115"/>
      <c r="AX773" s="115"/>
      <c r="AY773" s="115"/>
      <c r="AZ773" s="115"/>
      <c r="BA773" s="115"/>
      <c r="BB773" s="115"/>
      <c r="BC773" s="115"/>
      <c r="BD773" s="25"/>
      <c r="BE773" s="15"/>
      <c r="BH773" s="114"/>
    </row>
    <row r="774" spans="21:60" ht="19.5" x14ac:dyDescent="0.4">
      <c r="AF774" s="26"/>
      <c r="AG774" s="15"/>
      <c r="AK774" s="115"/>
      <c r="AL774" s="117"/>
      <c r="AM774" s="123"/>
      <c r="AN774" s="123"/>
      <c r="AO774" s="123"/>
      <c r="AP774" s="115"/>
      <c r="AQ774" s="115"/>
      <c r="AR774" s="115"/>
      <c r="AS774" s="115"/>
      <c r="AT774" s="115"/>
      <c r="AU774" s="115"/>
      <c r="AV774" s="115"/>
      <c r="AW774" s="115"/>
      <c r="AX774" s="115"/>
      <c r="AY774" s="115"/>
      <c r="AZ774" s="115"/>
      <c r="BA774" s="115"/>
      <c r="BB774" s="115"/>
      <c r="BC774" s="115" t="s">
        <v>169</v>
      </c>
      <c r="BD774" s="13">
        <f>SUBTOTAL(3,BD737:BD769)</f>
        <v>17</v>
      </c>
      <c r="BE774" s="15">
        <f>SUBTOTAL(3,BE737:BE769)</f>
        <v>17</v>
      </c>
      <c r="BH774" s="114"/>
    </row>
    <row r="775" spans="21:60" ht="19.5" x14ac:dyDescent="0.4"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26"/>
      <c r="AG775" s="15"/>
      <c r="AK775" s="115"/>
      <c r="AL775" s="117"/>
      <c r="AM775" s="123"/>
      <c r="AN775" s="123"/>
      <c r="AO775" s="123"/>
      <c r="AP775" s="115"/>
      <c r="AQ775" s="115"/>
      <c r="AR775" s="115"/>
      <c r="AS775" s="115"/>
      <c r="AT775" s="115"/>
      <c r="AU775" s="115"/>
      <c r="AV775" s="115"/>
      <c r="AW775" s="115"/>
      <c r="AX775" s="115"/>
      <c r="AY775" s="115"/>
      <c r="AZ775" s="115"/>
      <c r="BA775" s="115"/>
      <c r="BB775" s="115"/>
      <c r="BC775" s="115"/>
      <c r="BD775" s="13"/>
      <c r="BE775" s="15"/>
      <c r="BH775" s="114"/>
    </row>
    <row r="776" spans="21:60" ht="19.5" x14ac:dyDescent="0.4">
      <c r="AF776" s="26"/>
      <c r="AG776" s="15"/>
      <c r="AK776" s="115"/>
      <c r="AL776" s="117"/>
      <c r="AM776" s="123"/>
      <c r="AN776" s="123"/>
      <c r="AO776" s="123"/>
      <c r="AP776" s="115"/>
      <c r="AQ776" s="115"/>
      <c r="AR776" s="115"/>
      <c r="AS776" s="115"/>
      <c r="AT776" s="115"/>
      <c r="AU776" s="115"/>
      <c r="AV776" s="115"/>
      <c r="AW776" s="115"/>
      <c r="AX776" s="115"/>
      <c r="AY776" s="115"/>
      <c r="AZ776" s="115"/>
      <c r="BA776" s="115"/>
      <c r="BB776" s="115"/>
      <c r="BC776" s="115"/>
      <c r="BD776" s="25">
        <v>45277</v>
      </c>
      <c r="BE776" s="15" t="s">
        <v>162</v>
      </c>
      <c r="BH776" s="114"/>
    </row>
    <row r="777" spans="21:60" ht="19.5" x14ac:dyDescent="0.4">
      <c r="X777" s="115"/>
      <c r="Y777" s="115"/>
      <c r="Z777" s="115"/>
      <c r="AA777" s="115"/>
      <c r="AB777" s="115"/>
      <c r="AC777" s="115"/>
      <c r="AD777" s="115"/>
      <c r="AE777" s="115"/>
      <c r="AF777" s="17"/>
      <c r="AG777" s="15"/>
      <c r="AK777" s="115"/>
      <c r="AL777" s="117"/>
      <c r="AM777" s="123"/>
      <c r="AN777" s="123"/>
      <c r="AO777" s="123"/>
      <c r="AP777" s="115"/>
      <c r="AQ777" s="115"/>
      <c r="AR777" s="115"/>
      <c r="AS777" s="115"/>
      <c r="AT777" s="115"/>
      <c r="AU777" s="115"/>
      <c r="AV777" s="115"/>
      <c r="AW777" s="115"/>
      <c r="AX777" s="115"/>
      <c r="AY777" s="115"/>
      <c r="AZ777" s="115"/>
      <c r="BA777" s="115"/>
      <c r="BB777" s="115"/>
      <c r="BC777" s="115"/>
      <c r="BD777" s="25"/>
      <c r="BE777" s="15"/>
      <c r="BH777" s="114"/>
    </row>
    <row r="778" spans="21:60" ht="19.5" x14ac:dyDescent="0.4"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26"/>
      <c r="AG778" s="15"/>
      <c r="AK778" s="115"/>
      <c r="AL778" s="117"/>
      <c r="AM778" s="123"/>
      <c r="AN778" s="123"/>
      <c r="AO778" s="123"/>
      <c r="AP778" s="115"/>
      <c r="AQ778" s="115"/>
      <c r="AR778" s="115"/>
      <c r="AS778" s="115"/>
      <c r="AT778" s="115"/>
      <c r="AU778" s="115"/>
      <c r="AV778" s="115"/>
      <c r="AW778" s="115"/>
      <c r="AX778" s="115"/>
      <c r="AY778" s="115"/>
      <c r="AZ778" s="115"/>
      <c r="BA778" s="115"/>
      <c r="BB778" s="115"/>
      <c r="BC778" s="115"/>
      <c r="BD778" s="25"/>
      <c r="BE778" s="15"/>
      <c r="BH778" s="114"/>
    </row>
    <row r="779" spans="21:60" ht="19.5" x14ac:dyDescent="0.4"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7"/>
      <c r="AG779" s="15"/>
      <c r="AK779" s="115"/>
      <c r="AL779" s="117"/>
      <c r="AM779" s="123"/>
      <c r="AN779" s="123"/>
      <c r="AO779" s="123"/>
      <c r="AP779" s="115"/>
      <c r="AQ779" s="115"/>
      <c r="AR779" s="115"/>
      <c r="AS779" s="115"/>
      <c r="AT779" s="115"/>
      <c r="AU779" s="115"/>
      <c r="AV779" s="115"/>
      <c r="AW779" s="115"/>
      <c r="AX779" s="115"/>
      <c r="AY779" s="115"/>
      <c r="AZ779" s="115"/>
      <c r="BA779" s="115"/>
      <c r="BB779" s="115"/>
      <c r="BC779" s="115"/>
      <c r="BD779" s="25"/>
      <c r="BE779" s="15"/>
      <c r="BH779" s="114"/>
    </row>
    <row r="780" spans="21:60" ht="19.5" x14ac:dyDescent="0.4"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7"/>
      <c r="AG780" s="15"/>
      <c r="AK780" s="115"/>
      <c r="AL780" s="117"/>
      <c r="AM780" s="123"/>
      <c r="AN780" s="123"/>
      <c r="AO780" s="123"/>
      <c r="AP780" s="115"/>
      <c r="AQ780" s="115"/>
      <c r="AR780" s="115"/>
      <c r="AS780" s="115"/>
      <c r="AT780" s="115"/>
      <c r="AU780" s="115"/>
      <c r="AV780" s="115"/>
      <c r="AW780" s="115"/>
      <c r="AX780" s="115"/>
      <c r="AY780" s="115"/>
      <c r="AZ780" s="115"/>
      <c r="BA780" s="115"/>
      <c r="BB780" s="115"/>
      <c r="BC780" s="115"/>
      <c r="BD780" s="25"/>
      <c r="BE780" s="15"/>
      <c r="BH780" s="114"/>
    </row>
    <row r="781" spans="21:60" ht="19.5" x14ac:dyDescent="0.4">
      <c r="AF781" s="26"/>
      <c r="AG781" s="15"/>
      <c r="AK781" s="115"/>
      <c r="AL781" s="117"/>
      <c r="AM781" s="123"/>
      <c r="AN781" s="123"/>
      <c r="AO781" s="123"/>
      <c r="AP781" s="115"/>
      <c r="AQ781" s="115"/>
      <c r="AR781" s="115"/>
      <c r="AS781" s="115"/>
      <c r="AT781" s="115"/>
      <c r="AU781" s="115"/>
      <c r="AV781" s="115"/>
      <c r="AW781" s="115"/>
      <c r="AX781" s="115"/>
      <c r="AY781" s="115"/>
      <c r="AZ781" s="115"/>
      <c r="BA781" s="115"/>
      <c r="BB781" s="115"/>
      <c r="BC781" s="115"/>
      <c r="BD781" s="25">
        <v>45277</v>
      </c>
      <c r="BE781" s="15" t="s">
        <v>162</v>
      </c>
      <c r="BH781" s="114"/>
    </row>
    <row r="782" spans="21:60" ht="19.5" x14ac:dyDescent="0.4"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7"/>
      <c r="AG782" s="15"/>
      <c r="AK782" s="115"/>
      <c r="AL782" s="117"/>
      <c r="AM782" s="123"/>
      <c r="AN782" s="123"/>
      <c r="AO782" s="123"/>
      <c r="AP782" s="115"/>
      <c r="AQ782" s="115"/>
      <c r="AR782" s="115"/>
      <c r="AS782" s="115"/>
      <c r="AT782" s="115"/>
      <c r="AU782" s="115"/>
      <c r="AV782" s="115"/>
      <c r="AW782" s="115"/>
      <c r="AX782" s="115"/>
      <c r="AY782" s="115"/>
      <c r="AZ782" s="115"/>
      <c r="BA782" s="115"/>
      <c r="BB782" s="115"/>
      <c r="BC782" s="115"/>
      <c r="BD782" s="131"/>
      <c r="BE782" s="13"/>
      <c r="BH782" s="114"/>
    </row>
    <row r="783" spans="21:60" ht="19.5" x14ac:dyDescent="0.4">
      <c r="AF783" s="26"/>
      <c r="AG783" s="15"/>
      <c r="AK783" s="115"/>
      <c r="AL783" s="117"/>
      <c r="AM783" s="123"/>
      <c r="AN783" s="123"/>
      <c r="AO783" s="123"/>
      <c r="AP783" s="115"/>
      <c r="AQ783" s="115"/>
      <c r="AR783" s="115"/>
      <c r="AS783" s="115"/>
      <c r="AT783" s="115"/>
      <c r="AU783" s="115"/>
      <c r="AV783" s="115"/>
      <c r="AW783" s="115"/>
      <c r="AX783" s="115"/>
      <c r="AY783" s="115"/>
      <c r="AZ783" s="115"/>
      <c r="BA783" s="115"/>
      <c r="BB783" s="115"/>
      <c r="BC783" s="115"/>
      <c r="BD783" s="26">
        <v>45277</v>
      </c>
      <c r="BE783" s="13" t="s">
        <v>162</v>
      </c>
      <c r="BH783" s="114"/>
    </row>
    <row r="784" spans="21:60" ht="19.5" x14ac:dyDescent="0.4">
      <c r="AF784" s="26"/>
      <c r="AG784" s="15"/>
      <c r="AK784" s="115"/>
      <c r="AL784" s="117"/>
      <c r="AM784" s="123"/>
      <c r="AN784" s="123"/>
      <c r="AO784" s="123"/>
      <c r="AP784" s="115"/>
      <c r="AQ784" s="115"/>
      <c r="AR784" s="115"/>
      <c r="AS784" s="115"/>
      <c r="AT784" s="115"/>
      <c r="AU784" s="115"/>
      <c r="AV784" s="115"/>
      <c r="AW784" s="115"/>
      <c r="AX784" s="115"/>
      <c r="AY784" s="115"/>
      <c r="AZ784" s="115"/>
      <c r="BA784" s="115"/>
      <c r="BB784" s="115"/>
      <c r="BC784" s="115"/>
      <c r="BD784" s="26">
        <v>45277</v>
      </c>
      <c r="BE784" s="15" t="s">
        <v>162</v>
      </c>
      <c r="BH784" s="114"/>
    </row>
    <row r="785" spans="6:60" ht="19.5" x14ac:dyDescent="0.4"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26"/>
      <c r="AG785" s="15"/>
      <c r="AK785" s="115"/>
      <c r="AL785" s="117"/>
      <c r="AM785" s="123"/>
      <c r="AN785" s="123"/>
      <c r="AO785" s="123"/>
      <c r="AP785" s="115"/>
      <c r="AQ785" s="115"/>
      <c r="AR785" s="115"/>
      <c r="AS785" s="115"/>
      <c r="AT785" s="115"/>
      <c r="AU785" s="115"/>
      <c r="AV785" s="115"/>
      <c r="AW785" s="115"/>
      <c r="AX785" s="115"/>
      <c r="AY785" s="115"/>
      <c r="AZ785" s="115"/>
      <c r="BA785" s="115"/>
      <c r="BB785" s="115"/>
      <c r="BC785" s="115"/>
      <c r="BD785" s="26"/>
      <c r="BE785" s="15"/>
      <c r="BH785" s="114"/>
    </row>
    <row r="786" spans="6:60" ht="19.5" x14ac:dyDescent="0.4">
      <c r="AF786" s="26"/>
      <c r="AG786" s="15"/>
      <c r="AK786" s="115"/>
      <c r="AL786" s="117"/>
      <c r="AM786" s="123"/>
      <c r="AN786" s="123"/>
      <c r="AO786" s="123"/>
      <c r="AP786" s="115"/>
      <c r="AQ786" s="115"/>
      <c r="AR786" s="115"/>
      <c r="AS786" s="115"/>
      <c r="AT786" s="115"/>
      <c r="AU786" s="115"/>
      <c r="AV786" s="115"/>
      <c r="AW786" s="115"/>
      <c r="AX786" s="115"/>
      <c r="AY786" s="115"/>
      <c r="AZ786" s="115"/>
      <c r="BA786" s="115"/>
      <c r="BB786" s="115"/>
      <c r="BC786" s="115"/>
      <c r="BD786" s="26">
        <v>45277</v>
      </c>
      <c r="BE786" s="15" t="s">
        <v>162</v>
      </c>
      <c r="BH786" s="114"/>
    </row>
    <row r="787" spans="6:60" ht="19.5" x14ac:dyDescent="0.4">
      <c r="AF787" s="26"/>
      <c r="AG787" s="15"/>
      <c r="AK787" s="115"/>
      <c r="AL787" s="117"/>
      <c r="AM787" s="123"/>
      <c r="AN787" s="123"/>
      <c r="AO787" s="123"/>
      <c r="AP787" s="115"/>
      <c r="AQ787" s="115"/>
      <c r="AR787" s="115"/>
      <c r="AS787" s="115"/>
      <c r="AT787" s="115"/>
      <c r="AU787" s="115"/>
      <c r="AV787" s="115"/>
      <c r="AW787" s="115"/>
      <c r="AX787" s="115"/>
      <c r="AY787" s="115"/>
      <c r="AZ787" s="115"/>
      <c r="BA787" s="115"/>
      <c r="BB787" s="115"/>
      <c r="BC787" s="115" t="s">
        <v>160</v>
      </c>
      <c r="BD787" s="17">
        <f>SUBTOTAL(3,BD776:BD786)</f>
        <v>5</v>
      </c>
      <c r="BE787" s="15">
        <f>SUBTOTAL(3,BE776:BE786)</f>
        <v>5</v>
      </c>
      <c r="BH787" s="114"/>
    </row>
    <row r="788" spans="6:60" ht="19.5" x14ac:dyDescent="0.4"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26"/>
      <c r="AG788" s="15"/>
      <c r="AK788" s="115"/>
      <c r="AL788" s="117"/>
      <c r="AM788" s="123"/>
      <c r="AN788" s="123"/>
      <c r="AO788" s="123"/>
      <c r="AP788" s="115"/>
      <c r="AQ788" s="115"/>
      <c r="AR788" s="115"/>
      <c r="AS788" s="115"/>
      <c r="AT788" s="115"/>
      <c r="AU788" s="115"/>
      <c r="AV788" s="115"/>
      <c r="AW788" s="115"/>
      <c r="AX788" s="115"/>
      <c r="AY788" s="115"/>
      <c r="AZ788" s="115"/>
      <c r="BA788" s="115"/>
      <c r="BB788" s="115"/>
      <c r="BC788" s="115"/>
      <c r="BD788" s="17"/>
      <c r="BE788" s="15"/>
      <c r="BH788" s="114"/>
    </row>
    <row r="789" spans="6:60" ht="19.5" x14ac:dyDescent="0.4"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26"/>
      <c r="AG789" s="15"/>
      <c r="AK789" s="115"/>
      <c r="AL789" s="117"/>
      <c r="AM789" s="123"/>
      <c r="AN789" s="123"/>
      <c r="AO789" s="123"/>
      <c r="AP789" s="115"/>
      <c r="AQ789" s="115"/>
      <c r="AR789" s="115"/>
      <c r="AS789" s="115"/>
      <c r="AT789" s="115"/>
      <c r="AU789" s="115"/>
      <c r="AV789" s="115"/>
      <c r="AW789" s="115"/>
      <c r="AX789" s="115"/>
      <c r="AY789" s="115"/>
      <c r="AZ789" s="115"/>
      <c r="BA789" s="115"/>
      <c r="BB789" s="115"/>
      <c r="BC789" s="115"/>
      <c r="BD789" s="17"/>
      <c r="BE789" s="15"/>
      <c r="BH789" s="114"/>
    </row>
    <row r="790" spans="6:60" ht="19.5" x14ac:dyDescent="0.4">
      <c r="AF790" s="26"/>
      <c r="AG790" s="15"/>
      <c r="AK790" s="115"/>
      <c r="AL790" s="117"/>
      <c r="AM790" s="123"/>
      <c r="AN790" s="123"/>
      <c r="AO790" s="123"/>
      <c r="AP790" s="115"/>
      <c r="AQ790" s="115"/>
      <c r="AR790" s="115"/>
      <c r="AS790" s="115"/>
      <c r="AT790" s="115"/>
      <c r="AU790" s="115"/>
      <c r="AV790" s="115"/>
      <c r="AW790" s="115"/>
      <c r="AX790" s="115"/>
      <c r="AY790" s="115"/>
      <c r="AZ790" s="115"/>
      <c r="BA790" s="115"/>
      <c r="BB790" s="115"/>
      <c r="BC790" s="115"/>
      <c r="BD790" s="26">
        <v>45278</v>
      </c>
      <c r="BE790" s="15" t="s">
        <v>164</v>
      </c>
      <c r="BH790" s="114"/>
    </row>
    <row r="791" spans="6:60" ht="19.5" x14ac:dyDescent="0.4">
      <c r="AF791" s="26"/>
      <c r="AG791" s="15"/>
      <c r="AK791" s="115"/>
      <c r="AL791" s="117"/>
      <c r="AM791" s="123"/>
      <c r="AN791" s="123"/>
      <c r="AO791" s="123"/>
      <c r="AP791" s="115"/>
      <c r="AQ791" s="115"/>
      <c r="AR791" s="115"/>
      <c r="AS791" s="115"/>
      <c r="AT791" s="115"/>
      <c r="AU791" s="115"/>
      <c r="AV791" s="115"/>
      <c r="AW791" s="115"/>
      <c r="AX791" s="115"/>
      <c r="AY791" s="115"/>
      <c r="AZ791" s="115"/>
      <c r="BA791" s="115"/>
      <c r="BB791" s="115"/>
      <c r="BC791" s="115"/>
      <c r="BD791" s="26">
        <v>45278</v>
      </c>
      <c r="BE791" s="15" t="s">
        <v>164</v>
      </c>
      <c r="BH791" s="114"/>
    </row>
    <row r="792" spans="6:60" ht="19.5" x14ac:dyDescent="0.4"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26"/>
      <c r="AG792" s="15"/>
      <c r="AK792" s="115"/>
      <c r="AL792" s="117"/>
      <c r="AM792" s="123"/>
      <c r="AN792" s="123"/>
      <c r="AO792" s="123"/>
      <c r="AP792" s="115"/>
      <c r="AQ792" s="115"/>
      <c r="AR792" s="115"/>
      <c r="AS792" s="115"/>
      <c r="AT792" s="115"/>
      <c r="AU792" s="115"/>
      <c r="AV792" s="115"/>
      <c r="AW792" s="115"/>
      <c r="AX792" s="115"/>
      <c r="AY792" s="115"/>
      <c r="AZ792" s="115"/>
      <c r="BA792" s="115"/>
      <c r="BB792" s="115"/>
      <c r="BC792" s="115"/>
      <c r="BD792" s="26"/>
      <c r="BE792" s="15"/>
      <c r="BH792" s="114"/>
    </row>
    <row r="793" spans="6:60" ht="19.5" x14ac:dyDescent="0.4">
      <c r="AF793" s="26"/>
      <c r="AG793" s="15"/>
      <c r="AK793" s="115"/>
      <c r="AL793" s="117"/>
      <c r="AM793" s="123"/>
      <c r="AN793" s="123"/>
      <c r="AO793" s="123"/>
      <c r="AP793" s="115"/>
      <c r="AQ793" s="115"/>
      <c r="AR793" s="115"/>
      <c r="AS793" s="115"/>
      <c r="AT793" s="115"/>
      <c r="AU793" s="115"/>
      <c r="AV793" s="115"/>
      <c r="AW793" s="115"/>
      <c r="AX793" s="115"/>
      <c r="AY793" s="115"/>
      <c r="AZ793" s="115"/>
      <c r="BA793" s="115"/>
      <c r="BB793" s="115"/>
      <c r="BC793" s="115"/>
      <c r="BD793" s="26">
        <v>45278</v>
      </c>
      <c r="BE793" s="15" t="s">
        <v>162</v>
      </c>
      <c r="BH793" s="114"/>
    </row>
    <row r="794" spans="6:60" ht="19.5" x14ac:dyDescent="0.4"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7"/>
      <c r="AG794" s="15"/>
      <c r="AK794" s="115"/>
      <c r="AL794" s="117"/>
      <c r="AM794" s="123"/>
      <c r="AN794" s="123"/>
      <c r="AO794" s="123"/>
      <c r="AP794" s="115"/>
      <c r="AQ794" s="115"/>
      <c r="AR794" s="115"/>
      <c r="AS794" s="115"/>
      <c r="AT794" s="115"/>
      <c r="AU794" s="115"/>
      <c r="AV794" s="115"/>
      <c r="AW794" s="115"/>
      <c r="AX794" s="115"/>
      <c r="AY794" s="115"/>
      <c r="AZ794" s="115"/>
      <c r="BA794" s="115"/>
      <c r="BB794" s="115"/>
      <c r="BC794" s="115"/>
      <c r="BD794" s="26"/>
      <c r="BE794" s="15"/>
      <c r="BH794" s="114"/>
    </row>
    <row r="795" spans="6:60" ht="19.5" x14ac:dyDescent="0.4"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26"/>
      <c r="AG795" s="15"/>
      <c r="AK795" s="115"/>
      <c r="AL795" s="117"/>
      <c r="AM795" s="123"/>
      <c r="AN795" s="123"/>
      <c r="AO795" s="123"/>
      <c r="AP795" s="115"/>
      <c r="AQ795" s="115"/>
      <c r="AR795" s="115"/>
      <c r="AS795" s="115"/>
      <c r="AT795" s="115"/>
      <c r="AU795" s="115"/>
      <c r="AV795" s="115"/>
      <c r="AW795" s="115"/>
      <c r="AX795" s="115"/>
      <c r="AY795" s="115"/>
      <c r="AZ795" s="115"/>
      <c r="BA795" s="115"/>
      <c r="BB795" s="115"/>
      <c r="BC795" s="115"/>
      <c r="BD795" s="26"/>
      <c r="BE795" s="15"/>
      <c r="BH795" s="114"/>
    </row>
    <row r="796" spans="6:60" ht="19.5" x14ac:dyDescent="0.4"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7"/>
      <c r="AG796" s="15"/>
      <c r="AK796" s="115"/>
      <c r="AL796" s="117"/>
      <c r="AM796" s="123"/>
      <c r="AN796" s="123"/>
      <c r="AO796" s="123"/>
      <c r="AP796" s="115"/>
      <c r="AQ796" s="115"/>
      <c r="AR796" s="115"/>
      <c r="AS796" s="115"/>
      <c r="AT796" s="115"/>
      <c r="AU796" s="115"/>
      <c r="AV796" s="115"/>
      <c r="AW796" s="115"/>
      <c r="AX796" s="115"/>
      <c r="AY796" s="115"/>
      <c r="AZ796" s="115"/>
      <c r="BA796" s="115"/>
      <c r="BB796" s="115"/>
      <c r="BC796" s="115"/>
      <c r="BD796" s="26"/>
      <c r="BE796" s="15"/>
      <c r="BH796" s="114"/>
    </row>
    <row r="797" spans="6:60" ht="19.5" x14ac:dyDescent="0.4">
      <c r="AF797" s="26"/>
      <c r="AG797" s="15"/>
      <c r="AK797" s="115"/>
      <c r="AL797" s="117"/>
      <c r="AM797" s="123"/>
      <c r="AN797" s="123"/>
      <c r="AO797" s="123"/>
      <c r="AP797" s="115"/>
      <c r="AQ797" s="115"/>
      <c r="AR797" s="115"/>
      <c r="AS797" s="115"/>
      <c r="AT797" s="115"/>
      <c r="AU797" s="115"/>
      <c r="AV797" s="115"/>
      <c r="AW797" s="115"/>
      <c r="AX797" s="115"/>
      <c r="AY797" s="115"/>
      <c r="AZ797" s="115"/>
      <c r="BA797" s="115"/>
      <c r="BB797" s="115"/>
      <c r="BC797" s="115"/>
      <c r="BD797" s="26">
        <v>45278</v>
      </c>
      <c r="BE797" s="15" t="s">
        <v>142</v>
      </c>
      <c r="BH797" s="114"/>
    </row>
    <row r="798" spans="6:60" ht="19.5" x14ac:dyDescent="0.4">
      <c r="AF798" s="26"/>
      <c r="AG798" s="15"/>
      <c r="AK798" s="115"/>
      <c r="AL798" s="117"/>
      <c r="AM798" s="123"/>
      <c r="AN798" s="123"/>
      <c r="AO798" s="123"/>
      <c r="AP798" s="115"/>
      <c r="AQ798" s="115"/>
      <c r="AR798" s="115"/>
      <c r="AS798" s="115"/>
      <c r="AT798" s="115"/>
      <c r="AU798" s="115"/>
      <c r="AV798" s="115"/>
      <c r="AW798" s="115"/>
      <c r="AX798" s="115"/>
      <c r="AY798" s="115"/>
      <c r="AZ798" s="115"/>
      <c r="BA798" s="115"/>
      <c r="BB798" s="115"/>
      <c r="BC798" s="115"/>
      <c r="BD798" s="26">
        <v>45278</v>
      </c>
      <c r="BE798" s="15" t="s">
        <v>162</v>
      </c>
      <c r="BH798" s="114"/>
    </row>
    <row r="799" spans="6:60" ht="19.5" x14ac:dyDescent="0.4">
      <c r="AF799" s="26"/>
      <c r="AG799" s="15"/>
      <c r="AK799" s="115"/>
      <c r="AL799" s="117"/>
      <c r="AM799" s="123"/>
      <c r="AN799" s="123"/>
      <c r="AO799" s="123"/>
      <c r="AP799" s="115"/>
      <c r="AQ799" s="115"/>
      <c r="AR799" s="115"/>
      <c r="AS799" s="115"/>
      <c r="AT799" s="115"/>
      <c r="AU799" s="115"/>
      <c r="AV799" s="115"/>
      <c r="AW799" s="115"/>
      <c r="AX799" s="115"/>
      <c r="AY799" s="115"/>
      <c r="AZ799" s="115"/>
      <c r="BA799" s="115"/>
      <c r="BB799" s="115"/>
      <c r="BC799" s="115"/>
      <c r="BD799" s="26">
        <v>45278</v>
      </c>
      <c r="BE799" s="15" t="s">
        <v>162</v>
      </c>
      <c r="BH799" s="114"/>
    </row>
    <row r="800" spans="6:60" ht="19.5" x14ac:dyDescent="0.4"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7"/>
      <c r="AG800" s="15"/>
      <c r="AK800" s="115"/>
      <c r="AL800" s="117"/>
      <c r="AM800" s="123"/>
      <c r="AN800" s="123"/>
      <c r="AO800" s="123"/>
      <c r="AP800" s="115"/>
      <c r="AQ800" s="115"/>
      <c r="AR800" s="115"/>
      <c r="AS800" s="115"/>
      <c r="AT800" s="115"/>
      <c r="AU800" s="115"/>
      <c r="AV800" s="115"/>
      <c r="AW800" s="115"/>
      <c r="AX800" s="115"/>
      <c r="AY800" s="115"/>
      <c r="AZ800" s="115"/>
      <c r="BA800" s="115"/>
      <c r="BB800" s="115"/>
      <c r="BC800" s="115"/>
      <c r="BD800" s="26"/>
      <c r="BE800" s="15"/>
      <c r="BH800" s="114"/>
    </row>
    <row r="801" spans="6:60" ht="19.5" x14ac:dyDescent="0.4"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26"/>
      <c r="AG801" s="15"/>
      <c r="AK801" s="115"/>
      <c r="AL801" s="117"/>
      <c r="AM801" s="123"/>
      <c r="AN801" s="123"/>
      <c r="AO801" s="123"/>
      <c r="AP801" s="115"/>
      <c r="AQ801" s="115"/>
      <c r="AR801" s="115"/>
      <c r="AS801" s="115"/>
      <c r="AT801" s="115"/>
      <c r="AU801" s="115"/>
      <c r="AV801" s="115"/>
      <c r="AW801" s="115"/>
      <c r="AX801" s="115"/>
      <c r="AY801" s="115"/>
      <c r="AZ801" s="115"/>
      <c r="BA801" s="115"/>
      <c r="BB801" s="115"/>
      <c r="BC801" s="115"/>
      <c r="BD801" s="26"/>
      <c r="BE801" s="15"/>
      <c r="BH801" s="114"/>
    </row>
    <row r="802" spans="6:60" ht="19.5" x14ac:dyDescent="0.4"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26"/>
      <c r="AG802" s="15"/>
      <c r="AK802" s="115"/>
      <c r="AL802" s="117"/>
      <c r="AM802" s="123"/>
      <c r="AN802" s="123"/>
      <c r="AO802" s="123"/>
      <c r="AP802" s="115"/>
      <c r="AQ802" s="115"/>
      <c r="AR802" s="115"/>
      <c r="AS802" s="115"/>
      <c r="AT802" s="115"/>
      <c r="AU802" s="115"/>
      <c r="AV802" s="115"/>
      <c r="AW802" s="115"/>
      <c r="AX802" s="115"/>
      <c r="AY802" s="115"/>
      <c r="AZ802" s="115"/>
      <c r="BA802" s="115"/>
      <c r="BB802" s="115"/>
      <c r="BC802" s="115"/>
      <c r="BD802" s="26"/>
      <c r="BE802" s="15"/>
      <c r="BH802" s="114"/>
    </row>
    <row r="803" spans="6:60" ht="19.5" x14ac:dyDescent="0.4"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7"/>
      <c r="AG803" s="15"/>
      <c r="AK803" s="115"/>
      <c r="AL803" s="117"/>
      <c r="AM803" s="123"/>
      <c r="AN803" s="123"/>
      <c r="AO803" s="123"/>
      <c r="AP803" s="115"/>
      <c r="AQ803" s="115"/>
      <c r="AR803" s="115"/>
      <c r="AS803" s="115"/>
      <c r="AT803" s="115"/>
      <c r="AU803" s="115"/>
      <c r="AV803" s="115"/>
      <c r="AW803" s="115"/>
      <c r="AX803" s="115"/>
      <c r="AY803" s="115"/>
      <c r="AZ803" s="115"/>
      <c r="BA803" s="115"/>
      <c r="BB803" s="115"/>
      <c r="BC803" s="115"/>
      <c r="BD803" s="26"/>
      <c r="BE803" s="15"/>
      <c r="BH803" s="114"/>
    </row>
    <row r="804" spans="6:60" ht="19.5" x14ac:dyDescent="0.4"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26"/>
      <c r="AG804" s="15"/>
      <c r="AK804" s="115"/>
      <c r="AL804" s="117"/>
      <c r="AM804" s="123"/>
      <c r="AN804" s="123"/>
      <c r="AO804" s="123"/>
      <c r="AP804" s="115"/>
      <c r="AQ804" s="115"/>
      <c r="AR804" s="115"/>
      <c r="AS804" s="115"/>
      <c r="AT804" s="115"/>
      <c r="AU804" s="115"/>
      <c r="AV804" s="115"/>
      <c r="AW804" s="115"/>
      <c r="AX804" s="115"/>
      <c r="AY804" s="115"/>
      <c r="AZ804" s="115"/>
      <c r="BA804" s="115"/>
      <c r="BB804" s="115"/>
      <c r="BC804" s="115"/>
      <c r="BD804" s="26"/>
      <c r="BE804" s="15"/>
      <c r="BH804" s="114"/>
    </row>
    <row r="805" spans="6:60" ht="19.5" x14ac:dyDescent="0.4">
      <c r="AF805" s="26"/>
      <c r="AG805" s="15"/>
      <c r="AK805" s="115"/>
      <c r="AL805" s="117"/>
      <c r="AM805" s="123"/>
      <c r="AN805" s="123"/>
      <c r="AO805" s="123"/>
      <c r="AP805" s="115"/>
      <c r="AQ805" s="115"/>
      <c r="AR805" s="115"/>
      <c r="AS805" s="115"/>
      <c r="AT805" s="115"/>
      <c r="AU805" s="115"/>
      <c r="AV805" s="115"/>
      <c r="AW805" s="115"/>
      <c r="AX805" s="115"/>
      <c r="AY805" s="115"/>
      <c r="AZ805" s="115"/>
      <c r="BA805" s="115"/>
      <c r="BB805" s="115"/>
      <c r="BC805" s="115"/>
      <c r="BD805" s="26">
        <v>45278</v>
      </c>
      <c r="BE805" s="15" t="s">
        <v>162</v>
      </c>
      <c r="BH805" s="114"/>
    </row>
    <row r="806" spans="6:60" ht="19.5" x14ac:dyDescent="0.4"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26"/>
      <c r="AG806" s="15"/>
      <c r="AK806" s="115"/>
      <c r="AL806" s="117"/>
      <c r="AM806" s="123"/>
      <c r="AN806" s="123"/>
      <c r="AO806" s="123"/>
      <c r="AP806" s="115"/>
      <c r="AQ806" s="115"/>
      <c r="AR806" s="115"/>
      <c r="AS806" s="115"/>
      <c r="AT806" s="115"/>
      <c r="AU806" s="115"/>
      <c r="AV806" s="115"/>
      <c r="AW806" s="115"/>
      <c r="AX806" s="115"/>
      <c r="AY806" s="115"/>
      <c r="AZ806" s="115"/>
      <c r="BA806" s="115"/>
      <c r="BB806" s="115"/>
      <c r="BC806" s="115"/>
      <c r="BD806" s="26"/>
      <c r="BE806" s="15"/>
      <c r="BH806" s="114"/>
    </row>
    <row r="807" spans="6:60" ht="19.5" x14ac:dyDescent="0.4">
      <c r="AF807" s="26"/>
      <c r="AG807" s="15"/>
      <c r="AK807" s="115"/>
      <c r="AL807" s="117"/>
      <c r="AM807" s="123"/>
      <c r="AN807" s="123"/>
      <c r="AO807" s="123"/>
      <c r="AP807" s="115"/>
      <c r="AQ807" s="115"/>
      <c r="AR807" s="115"/>
      <c r="AS807" s="115"/>
      <c r="AT807" s="115"/>
      <c r="AU807" s="115"/>
      <c r="AV807" s="115"/>
      <c r="AW807" s="115"/>
      <c r="AX807" s="115"/>
      <c r="AY807" s="115"/>
      <c r="AZ807" s="115"/>
      <c r="BA807" s="115"/>
      <c r="BB807" s="115"/>
      <c r="BC807" s="115"/>
      <c r="BD807" s="26">
        <v>45278</v>
      </c>
      <c r="BE807" s="15" t="s">
        <v>163</v>
      </c>
      <c r="BH807" s="114"/>
    </row>
    <row r="808" spans="6:60" ht="19.5" x14ac:dyDescent="0.4">
      <c r="AF808" s="26"/>
      <c r="AG808" s="15"/>
      <c r="AK808" s="115"/>
      <c r="AL808" s="117"/>
      <c r="AM808" s="123"/>
      <c r="AN808" s="123"/>
      <c r="AO808" s="123"/>
      <c r="AP808" s="115"/>
      <c r="AQ808" s="115"/>
      <c r="AR808" s="115"/>
      <c r="AS808" s="115"/>
      <c r="AT808" s="115"/>
      <c r="AU808" s="115"/>
      <c r="AV808" s="115"/>
      <c r="AW808" s="115"/>
      <c r="AX808" s="115"/>
      <c r="AY808" s="115"/>
      <c r="AZ808" s="115"/>
      <c r="BA808" s="115"/>
      <c r="BB808" s="115"/>
      <c r="BC808" s="115"/>
      <c r="BD808" s="26">
        <v>45278</v>
      </c>
      <c r="BE808" s="105" t="s">
        <v>163</v>
      </c>
      <c r="BH808" s="114"/>
    </row>
    <row r="809" spans="6:60" ht="19.5" x14ac:dyDescent="0.4">
      <c r="AF809" s="25"/>
      <c r="AG809" s="13"/>
      <c r="AK809" s="115"/>
      <c r="AL809" s="117"/>
      <c r="AM809" s="123"/>
      <c r="AN809" s="123"/>
      <c r="AO809" s="123"/>
      <c r="AP809" s="115"/>
      <c r="AQ809" s="115"/>
      <c r="AR809" s="115"/>
      <c r="AS809" s="115"/>
      <c r="AT809" s="115"/>
      <c r="AU809" s="115"/>
      <c r="AV809" s="115"/>
      <c r="AW809" s="115"/>
      <c r="AX809" s="115"/>
      <c r="AY809" s="115"/>
      <c r="AZ809" s="115"/>
      <c r="BA809" s="115"/>
      <c r="BB809" s="115"/>
      <c r="BC809" s="115"/>
      <c r="BD809" s="26">
        <v>45278</v>
      </c>
      <c r="BE809" s="15" t="s">
        <v>163</v>
      </c>
      <c r="BH809" s="114"/>
    </row>
    <row r="810" spans="6:60" ht="19.5" x14ac:dyDescent="0.4"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25"/>
      <c r="AG810" s="13"/>
      <c r="AK810" s="115"/>
      <c r="AL810" s="117"/>
      <c r="AM810" s="123"/>
      <c r="AN810" s="123"/>
      <c r="AO810" s="123"/>
      <c r="AP810" s="115"/>
      <c r="AQ810" s="115"/>
      <c r="AR810" s="115"/>
      <c r="AS810" s="115"/>
      <c r="AT810" s="115"/>
      <c r="AU810" s="115"/>
      <c r="AV810" s="115"/>
      <c r="AW810" s="115"/>
      <c r="AX810" s="115"/>
      <c r="AY810" s="115"/>
      <c r="AZ810" s="115"/>
      <c r="BA810" s="115"/>
      <c r="BB810" s="115"/>
      <c r="BC810" s="115"/>
      <c r="BD810" s="26"/>
      <c r="BE810" s="15"/>
      <c r="BH810" s="114"/>
    </row>
    <row r="811" spans="6:60" ht="19.5" x14ac:dyDescent="0.4"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25"/>
      <c r="AG811" s="13"/>
      <c r="AK811" s="115"/>
      <c r="AL811" s="117"/>
      <c r="AM811" s="123"/>
      <c r="AN811" s="123"/>
      <c r="AO811" s="123"/>
      <c r="AP811" s="115"/>
      <c r="AQ811" s="115"/>
      <c r="AR811" s="115"/>
      <c r="AS811" s="115"/>
      <c r="AT811" s="115"/>
      <c r="AU811" s="115"/>
      <c r="AV811" s="115"/>
      <c r="AW811" s="115"/>
      <c r="AX811" s="115"/>
      <c r="AY811" s="115"/>
      <c r="AZ811" s="115"/>
      <c r="BA811" s="115"/>
      <c r="BB811" s="115"/>
      <c r="BC811" s="115"/>
      <c r="BD811" s="26"/>
      <c r="BE811" s="15"/>
      <c r="BH811" s="114"/>
    </row>
    <row r="812" spans="6:60" ht="19.5" x14ac:dyDescent="0.4"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25"/>
      <c r="AG812" s="13"/>
      <c r="AK812" s="115"/>
      <c r="AL812" s="117"/>
      <c r="AM812" s="123"/>
      <c r="AN812" s="123"/>
      <c r="AO812" s="123"/>
      <c r="AP812" s="115"/>
      <c r="AQ812" s="115"/>
      <c r="AR812" s="115"/>
      <c r="AS812" s="115"/>
      <c r="AT812" s="115"/>
      <c r="AU812" s="115"/>
      <c r="AV812" s="115"/>
      <c r="AW812" s="115"/>
      <c r="AX812" s="115"/>
      <c r="AY812" s="115"/>
      <c r="AZ812" s="115"/>
      <c r="BA812" s="115"/>
      <c r="BB812" s="115"/>
      <c r="BC812" s="115"/>
      <c r="BD812" s="26"/>
      <c r="BE812" s="15"/>
      <c r="BH812" s="114"/>
    </row>
    <row r="813" spans="6:60" ht="19.5" x14ac:dyDescent="0.4"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25"/>
      <c r="AG813" s="13"/>
      <c r="AK813" s="115"/>
      <c r="AL813" s="117"/>
      <c r="AM813" s="123"/>
      <c r="AN813" s="123"/>
      <c r="AO813" s="123"/>
      <c r="AP813" s="115"/>
      <c r="AQ813" s="115"/>
      <c r="AR813" s="115"/>
      <c r="AS813" s="115"/>
      <c r="AT813" s="115"/>
      <c r="AU813" s="115"/>
      <c r="AV813" s="115"/>
      <c r="AW813" s="115"/>
      <c r="AX813" s="115"/>
      <c r="AY813" s="115"/>
      <c r="AZ813" s="115"/>
      <c r="BA813" s="115"/>
      <c r="BB813" s="115"/>
      <c r="BC813" s="115"/>
      <c r="BD813" s="26"/>
      <c r="BE813" s="15"/>
      <c r="BH813" s="114"/>
    </row>
    <row r="814" spans="6:60" ht="19.5" x14ac:dyDescent="0.4"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25"/>
      <c r="AG814" s="13"/>
      <c r="AK814" s="115"/>
      <c r="AL814" s="117"/>
      <c r="AM814" s="123"/>
      <c r="AN814" s="123"/>
      <c r="AO814" s="123"/>
      <c r="AP814" s="115"/>
      <c r="AQ814" s="115"/>
      <c r="AR814" s="115"/>
      <c r="AS814" s="115"/>
      <c r="AT814" s="115"/>
      <c r="AU814" s="115"/>
      <c r="AV814" s="115"/>
      <c r="AW814" s="115"/>
      <c r="AX814" s="115"/>
      <c r="AY814" s="115"/>
      <c r="AZ814" s="115"/>
      <c r="BA814" s="115"/>
      <c r="BB814" s="115"/>
      <c r="BC814" s="115"/>
      <c r="BD814" s="26"/>
      <c r="BE814" s="15"/>
      <c r="BH814" s="114"/>
    </row>
    <row r="815" spans="6:60" ht="19.5" x14ac:dyDescent="0.4"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25"/>
      <c r="AG815" s="13"/>
      <c r="AK815" s="115"/>
      <c r="AL815" s="117"/>
      <c r="AM815" s="123"/>
      <c r="AN815" s="123"/>
      <c r="AO815" s="123"/>
      <c r="AP815" s="115"/>
      <c r="AQ815" s="115"/>
      <c r="AR815" s="115"/>
      <c r="AS815" s="115"/>
      <c r="AT815" s="115"/>
      <c r="AU815" s="115"/>
      <c r="AV815" s="115"/>
      <c r="AW815" s="115"/>
      <c r="AX815" s="115"/>
      <c r="AY815" s="115"/>
      <c r="AZ815" s="115"/>
      <c r="BA815" s="115"/>
      <c r="BB815" s="115"/>
      <c r="BC815" s="115"/>
      <c r="BD815" s="26"/>
      <c r="BE815" s="15"/>
      <c r="BH815" s="114"/>
    </row>
    <row r="816" spans="6:60" ht="19.5" x14ac:dyDescent="0.4">
      <c r="AF816" s="25"/>
      <c r="AG816" s="13"/>
      <c r="AK816" s="115"/>
      <c r="AL816" s="117"/>
      <c r="AM816" s="123"/>
      <c r="AN816" s="123"/>
      <c r="AO816" s="123"/>
      <c r="AP816" s="115"/>
      <c r="AQ816" s="115"/>
      <c r="AR816" s="115"/>
      <c r="AS816" s="115"/>
      <c r="AT816" s="115"/>
      <c r="AU816" s="115"/>
      <c r="AV816" s="115"/>
      <c r="AW816" s="115"/>
      <c r="AX816" s="115"/>
      <c r="AY816" s="115"/>
      <c r="AZ816" s="115"/>
      <c r="BA816" s="115"/>
      <c r="BB816" s="115"/>
      <c r="BC816" s="115"/>
      <c r="BD816" s="26">
        <v>45278</v>
      </c>
      <c r="BE816" s="15" t="s">
        <v>163</v>
      </c>
      <c r="BH816" s="114"/>
    </row>
    <row r="817" spans="23:60" ht="19.5" x14ac:dyDescent="0.4">
      <c r="AF817" s="25"/>
      <c r="AG817" s="13"/>
      <c r="AK817" s="115"/>
      <c r="AL817" s="117"/>
      <c r="AM817" s="123"/>
      <c r="AN817" s="123"/>
      <c r="AO817" s="123"/>
      <c r="AP817" s="115"/>
      <c r="AQ817" s="115"/>
      <c r="AR817" s="115"/>
      <c r="AS817" s="115"/>
      <c r="AT817" s="115"/>
      <c r="AU817" s="115"/>
      <c r="AV817" s="115"/>
      <c r="AW817" s="115"/>
      <c r="AX817" s="115"/>
      <c r="AY817" s="115"/>
      <c r="AZ817" s="115"/>
      <c r="BA817" s="115"/>
      <c r="BB817" s="115"/>
      <c r="BC817" s="115"/>
      <c r="BD817" s="26"/>
      <c r="BE817" s="15"/>
      <c r="BH817" s="114"/>
    </row>
    <row r="818" spans="23:60" ht="19.5" x14ac:dyDescent="0.4"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3"/>
      <c r="AG818" s="13"/>
      <c r="AK818" s="115"/>
      <c r="AL818" s="117"/>
      <c r="AM818" s="123"/>
      <c r="AN818" s="123"/>
      <c r="AO818" s="123"/>
      <c r="AP818" s="115"/>
      <c r="AQ818" s="115"/>
      <c r="AR818" s="115"/>
      <c r="AS818" s="115"/>
      <c r="AT818" s="115"/>
      <c r="AU818" s="115"/>
      <c r="AV818" s="115"/>
      <c r="AW818" s="115"/>
      <c r="AX818" s="115"/>
      <c r="AY818" s="115"/>
      <c r="AZ818" s="115"/>
      <c r="BA818" s="115"/>
      <c r="BB818" s="115"/>
      <c r="BC818" s="115"/>
      <c r="BD818" s="26"/>
      <c r="BE818" s="15"/>
      <c r="BH818" s="114"/>
    </row>
    <row r="819" spans="23:60" ht="19.5" x14ac:dyDescent="0.4">
      <c r="AF819" s="25"/>
      <c r="AG819" s="13"/>
      <c r="AK819" s="115"/>
      <c r="AL819" s="117"/>
      <c r="AM819" s="123"/>
      <c r="AN819" s="123"/>
      <c r="AO819" s="123"/>
      <c r="AP819" s="115"/>
      <c r="AQ819" s="115"/>
      <c r="AR819" s="115"/>
      <c r="AS819" s="115"/>
      <c r="AT819" s="115"/>
      <c r="AU819" s="115"/>
      <c r="AV819" s="115"/>
      <c r="AW819" s="115"/>
      <c r="AX819" s="115"/>
      <c r="AY819" s="115"/>
      <c r="AZ819" s="115"/>
      <c r="BA819" s="115"/>
      <c r="BB819" s="115"/>
      <c r="BC819" s="115"/>
      <c r="BD819" s="26">
        <v>45278</v>
      </c>
      <c r="BE819" s="15" t="s">
        <v>163</v>
      </c>
      <c r="BH819" s="114"/>
    </row>
    <row r="820" spans="23:60" ht="19.5" x14ac:dyDescent="0.4"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3"/>
      <c r="AG820" s="13"/>
      <c r="AK820" s="115"/>
      <c r="AL820" s="117"/>
      <c r="AM820" s="123"/>
      <c r="AN820" s="123"/>
      <c r="AO820" s="123"/>
      <c r="AP820" s="115"/>
      <c r="AQ820" s="115"/>
      <c r="AR820" s="115"/>
      <c r="AS820" s="115"/>
      <c r="AT820" s="115"/>
      <c r="AU820" s="115"/>
      <c r="AV820" s="115"/>
      <c r="AW820" s="115"/>
      <c r="AX820" s="115"/>
      <c r="AY820" s="115"/>
      <c r="AZ820" s="115"/>
      <c r="BA820" s="115"/>
      <c r="BB820" s="115"/>
      <c r="BC820" s="115"/>
      <c r="BD820" s="26"/>
      <c r="BE820" s="13"/>
      <c r="BH820" s="114"/>
    </row>
    <row r="821" spans="23:60" ht="19.5" x14ac:dyDescent="0.4">
      <c r="AF821" s="25"/>
      <c r="AG821" s="13"/>
      <c r="AK821" s="115"/>
      <c r="AL821" s="117"/>
      <c r="AM821" s="123"/>
      <c r="AN821" s="123"/>
      <c r="AO821" s="123"/>
      <c r="AP821" s="115"/>
      <c r="AQ821" s="115"/>
      <c r="AR821" s="115"/>
      <c r="AS821" s="115"/>
      <c r="AT821" s="115"/>
      <c r="AU821" s="115"/>
      <c r="AV821" s="115"/>
      <c r="AW821" s="115"/>
      <c r="AX821" s="115"/>
      <c r="AY821" s="115"/>
      <c r="AZ821" s="115"/>
      <c r="BA821" s="115"/>
      <c r="BB821" s="115"/>
      <c r="BC821" s="115" t="s">
        <v>153</v>
      </c>
      <c r="BD821" s="17">
        <f>SUBTOTAL(3,BD790:BD819)</f>
        <v>12</v>
      </c>
      <c r="BE821" s="13">
        <f>SUBTOTAL(3,BE790:BE819)</f>
        <v>12</v>
      </c>
      <c r="BH821" s="114"/>
    </row>
    <row r="822" spans="23:60" ht="19.5" x14ac:dyDescent="0.4"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3"/>
      <c r="AG822" s="13"/>
      <c r="AK822" s="115"/>
      <c r="AL822" s="117"/>
      <c r="AM822" s="123"/>
      <c r="AN822" s="123"/>
      <c r="AO822" s="123"/>
      <c r="AP822" s="115"/>
      <c r="AQ822" s="115"/>
      <c r="AR822" s="115"/>
      <c r="AS822" s="115"/>
      <c r="AT822" s="115"/>
      <c r="AU822" s="115"/>
      <c r="AV822" s="115"/>
      <c r="AW822" s="115"/>
      <c r="AX822" s="115"/>
      <c r="AY822" s="115"/>
      <c r="AZ822" s="115"/>
      <c r="BA822" s="115"/>
      <c r="BB822" s="115"/>
      <c r="BC822" s="115"/>
      <c r="BD822" s="17"/>
      <c r="BE822" s="13"/>
      <c r="BH822" s="114"/>
    </row>
    <row r="823" spans="23:60" ht="19.5" x14ac:dyDescent="0.4">
      <c r="AF823" s="25"/>
      <c r="AG823" s="13"/>
      <c r="AK823" s="115"/>
      <c r="AL823" s="117"/>
      <c r="AM823" s="123"/>
      <c r="AN823" s="123"/>
      <c r="AO823" s="123"/>
      <c r="AP823" s="115"/>
      <c r="AQ823" s="115"/>
      <c r="AR823" s="115"/>
      <c r="AS823" s="115"/>
      <c r="AT823" s="115"/>
      <c r="AU823" s="115"/>
      <c r="AV823" s="115"/>
      <c r="AW823" s="115"/>
      <c r="AX823" s="115"/>
      <c r="AY823" s="115"/>
      <c r="AZ823" s="115"/>
      <c r="BA823" s="115"/>
      <c r="BB823" s="115"/>
      <c r="BC823" s="115"/>
      <c r="BD823" s="26">
        <v>45279</v>
      </c>
      <c r="BE823" s="25" t="s">
        <v>162</v>
      </c>
      <c r="BH823" s="114"/>
    </row>
    <row r="824" spans="23:60" ht="19.5" x14ac:dyDescent="0.4">
      <c r="AF824" s="25"/>
      <c r="AG824" s="13"/>
      <c r="AK824" s="115"/>
      <c r="AL824" s="117"/>
      <c r="AM824" s="123"/>
      <c r="AN824" s="123"/>
      <c r="AO824" s="123"/>
      <c r="AP824" s="115"/>
      <c r="AQ824" s="115"/>
      <c r="AR824" s="115"/>
      <c r="AS824" s="115"/>
      <c r="AT824" s="115"/>
      <c r="AU824" s="115"/>
      <c r="AV824" s="115"/>
      <c r="AW824" s="115"/>
      <c r="AX824" s="115"/>
      <c r="AY824" s="115"/>
      <c r="AZ824" s="115"/>
      <c r="BA824" s="115"/>
      <c r="BB824" s="115"/>
      <c r="BC824" s="115"/>
      <c r="BD824" s="26">
        <v>45279</v>
      </c>
      <c r="BE824" s="13" t="s">
        <v>162</v>
      </c>
      <c r="BH824" s="114"/>
    </row>
    <row r="825" spans="23:60" ht="19.5" x14ac:dyDescent="0.4"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20"/>
      <c r="AG825" s="13"/>
      <c r="AK825" s="115"/>
      <c r="AL825" s="117"/>
      <c r="AM825" s="123"/>
      <c r="AN825" s="123"/>
      <c r="AO825" s="123"/>
      <c r="AP825" s="115"/>
      <c r="AQ825" s="115"/>
      <c r="AR825" s="115"/>
      <c r="AS825" s="115"/>
      <c r="AT825" s="115"/>
      <c r="AU825" s="115"/>
      <c r="AV825" s="115"/>
      <c r="AW825" s="115"/>
      <c r="AX825" s="115"/>
      <c r="AY825" s="115"/>
      <c r="AZ825" s="115"/>
      <c r="BA825" s="115"/>
      <c r="BB825" s="115"/>
      <c r="BC825" s="115"/>
      <c r="BD825" s="26"/>
      <c r="BE825" s="13"/>
      <c r="BH825" s="114"/>
    </row>
    <row r="826" spans="23:60" ht="19.5" x14ac:dyDescent="0.4"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20"/>
      <c r="AG826" s="13"/>
      <c r="AK826" s="115"/>
      <c r="AL826" s="117"/>
      <c r="AM826" s="123"/>
      <c r="AN826" s="123"/>
      <c r="AO826" s="123"/>
      <c r="AP826" s="115"/>
      <c r="AQ826" s="115"/>
      <c r="AR826" s="115"/>
      <c r="AS826" s="115"/>
      <c r="AT826" s="115"/>
      <c r="AU826" s="115"/>
      <c r="AV826" s="115"/>
      <c r="AW826" s="115"/>
      <c r="AX826" s="115"/>
      <c r="AY826" s="115"/>
      <c r="AZ826" s="115"/>
      <c r="BA826" s="115"/>
      <c r="BB826" s="115"/>
      <c r="BC826" s="115"/>
      <c r="BD826" s="26"/>
      <c r="BE826" s="13"/>
      <c r="BH826" s="114"/>
    </row>
    <row r="827" spans="23:60" ht="19.5" x14ac:dyDescent="0.4">
      <c r="AF827" s="26"/>
      <c r="AG827" s="13"/>
      <c r="AK827" s="115"/>
      <c r="AL827" s="117"/>
      <c r="AM827" s="123"/>
      <c r="AN827" s="123"/>
      <c r="AO827" s="123"/>
      <c r="AP827" s="115"/>
      <c r="AQ827" s="115"/>
      <c r="AR827" s="115"/>
      <c r="AS827" s="115"/>
      <c r="AT827" s="115"/>
      <c r="AU827" s="115"/>
      <c r="AV827" s="115"/>
      <c r="AW827" s="115"/>
      <c r="AX827" s="115"/>
      <c r="AY827" s="115"/>
      <c r="AZ827" s="115"/>
      <c r="BA827" s="115"/>
      <c r="BB827" s="115"/>
      <c r="BC827" s="115"/>
      <c r="BD827" s="26">
        <v>45279</v>
      </c>
      <c r="BE827" s="13" t="s">
        <v>162</v>
      </c>
      <c r="BH827" s="114"/>
    </row>
    <row r="828" spans="23:60" ht="19.5" x14ac:dyDescent="0.4">
      <c r="AF828" s="26"/>
      <c r="AG828" s="13"/>
      <c r="AK828" s="115"/>
      <c r="AL828" s="117"/>
      <c r="AM828" s="123"/>
      <c r="AN828" s="123"/>
      <c r="AO828" s="123"/>
      <c r="AP828" s="115"/>
      <c r="AQ828" s="115"/>
      <c r="AR828" s="115"/>
      <c r="AS828" s="115"/>
      <c r="AT828" s="115"/>
      <c r="AU828" s="115"/>
      <c r="AV828" s="115"/>
      <c r="AW828" s="115"/>
      <c r="AX828" s="115"/>
      <c r="AY828" s="115"/>
      <c r="AZ828" s="115"/>
      <c r="BA828" s="115"/>
      <c r="BB828" s="115"/>
      <c r="BC828" s="115"/>
      <c r="BD828" s="26">
        <v>45279</v>
      </c>
      <c r="BE828" s="13" t="s">
        <v>162</v>
      </c>
      <c r="BH828" s="114"/>
    </row>
    <row r="829" spans="23:60" ht="19.5" x14ac:dyDescent="0.4">
      <c r="AF829" s="129"/>
      <c r="AG829" s="13"/>
      <c r="AK829" s="115"/>
      <c r="AL829" s="117"/>
      <c r="AM829" s="123"/>
      <c r="AN829" s="123"/>
      <c r="AO829" s="123"/>
      <c r="AP829" s="115"/>
      <c r="AQ829" s="115"/>
      <c r="AR829" s="115"/>
      <c r="AS829" s="115"/>
      <c r="AT829" s="115"/>
      <c r="AU829" s="115"/>
      <c r="AV829" s="115"/>
      <c r="AW829" s="115"/>
      <c r="AX829" s="115"/>
      <c r="AY829" s="115"/>
      <c r="AZ829" s="115"/>
      <c r="BA829" s="115"/>
      <c r="BB829" s="115"/>
      <c r="BC829" s="115"/>
      <c r="BD829" s="26"/>
      <c r="BE829" s="13"/>
      <c r="BH829" s="114"/>
    </row>
    <row r="830" spans="23:60" ht="19.5" x14ac:dyDescent="0.4">
      <c r="AF830" s="26"/>
      <c r="AG830" s="13"/>
      <c r="AK830" s="115"/>
      <c r="AL830" s="117"/>
      <c r="AM830" s="123"/>
      <c r="AN830" s="123"/>
      <c r="AO830" s="123"/>
      <c r="AP830" s="115"/>
      <c r="AQ830" s="115"/>
      <c r="AR830" s="115"/>
      <c r="AS830" s="115"/>
      <c r="AT830" s="115"/>
      <c r="AU830" s="115"/>
      <c r="AV830" s="115"/>
      <c r="AW830" s="115"/>
      <c r="AX830" s="115"/>
      <c r="AY830" s="115"/>
      <c r="AZ830" s="115"/>
      <c r="BA830" s="115"/>
      <c r="BB830" s="115"/>
      <c r="BC830" s="115"/>
      <c r="BD830" s="26">
        <v>45279</v>
      </c>
      <c r="BE830" s="13" t="s">
        <v>162</v>
      </c>
      <c r="BH830" s="114"/>
    </row>
    <row r="831" spans="23:60" ht="19.5" x14ac:dyDescent="0.4">
      <c r="AF831" s="26"/>
      <c r="AG831" s="13"/>
      <c r="AK831" s="115"/>
      <c r="AL831" s="117"/>
      <c r="AM831" s="123"/>
      <c r="AN831" s="123"/>
      <c r="AO831" s="123"/>
      <c r="AP831" s="115"/>
      <c r="AQ831" s="115"/>
      <c r="AR831" s="115"/>
      <c r="AS831" s="115"/>
      <c r="AT831" s="115"/>
      <c r="AU831" s="115"/>
      <c r="AV831" s="115"/>
      <c r="AW831" s="115"/>
      <c r="AX831" s="115"/>
      <c r="AY831" s="115"/>
      <c r="AZ831" s="115"/>
      <c r="BA831" s="115"/>
      <c r="BB831" s="115"/>
      <c r="BC831" s="115"/>
      <c r="BD831" s="26">
        <v>45279</v>
      </c>
      <c r="BE831" s="13" t="s">
        <v>162</v>
      </c>
      <c r="BH831" s="114"/>
    </row>
    <row r="832" spans="23:60" ht="19.5" x14ac:dyDescent="0.4">
      <c r="AF832" s="26"/>
      <c r="AG832" s="13"/>
      <c r="AK832" s="115"/>
      <c r="AL832" s="117"/>
      <c r="AM832" s="123"/>
      <c r="AN832" s="123"/>
      <c r="AO832" s="123"/>
      <c r="AP832" s="115"/>
      <c r="AQ832" s="115"/>
      <c r="AR832" s="115"/>
      <c r="AS832" s="115"/>
      <c r="AT832" s="115"/>
      <c r="AU832" s="115"/>
      <c r="AV832" s="115"/>
      <c r="AW832" s="115"/>
      <c r="AX832" s="115"/>
      <c r="AY832" s="115"/>
      <c r="AZ832" s="115"/>
      <c r="BA832" s="115"/>
      <c r="BB832" s="115"/>
      <c r="BC832" s="115" t="s">
        <v>170</v>
      </c>
      <c r="BD832" s="17">
        <f>SUBTOTAL(3,BD823:BD831)</f>
        <v>6</v>
      </c>
      <c r="BE832" s="13">
        <f>SUBTOTAL(3,BE823:BE831)</f>
        <v>6</v>
      </c>
      <c r="BH832" s="114"/>
    </row>
    <row r="833" spans="32:60" ht="19.5" x14ac:dyDescent="0.4">
      <c r="AF833" s="129"/>
      <c r="AG833" s="13"/>
      <c r="AK833" s="115"/>
      <c r="AL833" s="117"/>
      <c r="AM833" s="123"/>
      <c r="AN833" s="123"/>
      <c r="AO833" s="123"/>
      <c r="AP833" s="115"/>
      <c r="AQ833" s="115"/>
      <c r="AR833" s="115"/>
      <c r="AS833" s="115"/>
      <c r="AT833" s="115"/>
      <c r="AU833" s="115"/>
      <c r="AV833" s="115"/>
      <c r="AW833" s="115"/>
      <c r="AX833" s="115"/>
      <c r="AY833" s="115"/>
      <c r="AZ833" s="115"/>
      <c r="BA833" s="115"/>
      <c r="BB833" s="115"/>
      <c r="BC833" s="115"/>
      <c r="BD833" s="17"/>
      <c r="BE833" s="13"/>
      <c r="BH833" s="114"/>
    </row>
    <row r="834" spans="32:60" ht="19.5" x14ac:dyDescent="0.4">
      <c r="AF834" s="26"/>
      <c r="AG834" s="13"/>
      <c r="AK834" s="115"/>
      <c r="AL834" s="117"/>
      <c r="AM834" s="123"/>
      <c r="AN834" s="123"/>
      <c r="AO834" s="123"/>
      <c r="AP834" s="115"/>
      <c r="AQ834" s="115"/>
      <c r="AR834" s="115"/>
      <c r="AS834" s="115"/>
      <c r="AT834" s="115"/>
      <c r="AU834" s="115"/>
      <c r="AV834" s="115"/>
      <c r="AW834" s="115"/>
      <c r="AX834" s="115"/>
      <c r="AY834" s="115"/>
      <c r="AZ834" s="115"/>
      <c r="BA834" s="115"/>
      <c r="BB834" s="115"/>
      <c r="BC834" s="115"/>
      <c r="BD834" s="26">
        <v>45280</v>
      </c>
      <c r="BE834" s="13" t="s">
        <v>162</v>
      </c>
      <c r="BH834" s="114"/>
    </row>
    <row r="835" spans="32:60" ht="19.5" x14ac:dyDescent="0.4">
      <c r="AF835" s="26"/>
      <c r="AG835" s="13"/>
      <c r="AK835" s="115"/>
      <c r="AL835" s="116"/>
      <c r="AM835" s="123"/>
      <c r="AN835" s="123"/>
      <c r="AO835" s="123"/>
      <c r="AP835" s="115"/>
      <c r="AQ835" s="115"/>
      <c r="AR835" s="115"/>
      <c r="AS835" s="115"/>
      <c r="AT835" s="115"/>
      <c r="AU835" s="115"/>
      <c r="AV835" s="115"/>
      <c r="AW835" s="115"/>
      <c r="AX835" s="115"/>
      <c r="AY835" s="115"/>
      <c r="AZ835" s="115"/>
      <c r="BA835" s="115"/>
      <c r="BB835" s="115"/>
      <c r="BC835" s="115"/>
      <c r="BD835" s="26">
        <v>45280</v>
      </c>
      <c r="BE835" s="13" t="s">
        <v>162</v>
      </c>
      <c r="BH835" s="114"/>
    </row>
    <row r="836" spans="32:60" ht="19.5" x14ac:dyDescent="0.4">
      <c r="AF836" s="26"/>
      <c r="AG836" s="13"/>
      <c r="AK836" s="115"/>
      <c r="AL836" s="116"/>
      <c r="AM836" s="123"/>
      <c r="AN836" s="123"/>
      <c r="AO836" s="123"/>
      <c r="AP836" s="115"/>
      <c r="AQ836" s="115"/>
      <c r="AR836" s="115"/>
      <c r="AS836" s="115"/>
      <c r="AT836" s="115"/>
      <c r="AU836" s="115"/>
      <c r="AV836" s="115"/>
      <c r="AW836" s="115"/>
      <c r="AX836" s="115"/>
      <c r="AY836" s="115"/>
      <c r="AZ836" s="115"/>
      <c r="BA836" s="115"/>
      <c r="BB836" s="115"/>
      <c r="BC836" s="115"/>
      <c r="BD836" s="26">
        <v>45280</v>
      </c>
      <c r="BE836" s="13" t="s">
        <v>162</v>
      </c>
      <c r="BH836" s="114"/>
    </row>
    <row r="837" spans="32:60" ht="19.5" x14ac:dyDescent="0.4">
      <c r="AF837" s="26"/>
      <c r="AG837" s="13"/>
      <c r="AK837" s="115"/>
      <c r="AL837" s="116"/>
      <c r="AM837" s="123"/>
      <c r="AN837" s="123"/>
      <c r="AO837" s="123"/>
      <c r="AP837" s="115"/>
      <c r="AQ837" s="115"/>
      <c r="AR837" s="115"/>
      <c r="AS837" s="115"/>
      <c r="AT837" s="115"/>
      <c r="AU837" s="115"/>
      <c r="AV837" s="115"/>
      <c r="AW837" s="115"/>
      <c r="AX837" s="115"/>
      <c r="AY837" s="115"/>
      <c r="AZ837" s="115"/>
      <c r="BA837" s="115"/>
      <c r="BB837" s="115"/>
      <c r="BC837" s="115"/>
      <c r="BD837" s="26">
        <v>45280</v>
      </c>
      <c r="BE837" s="13" t="s">
        <v>162</v>
      </c>
      <c r="BH837" s="114"/>
    </row>
    <row r="838" spans="32:60" ht="19.5" x14ac:dyDescent="0.4">
      <c r="AF838" s="129"/>
      <c r="AG838" s="13"/>
      <c r="AK838" s="115"/>
      <c r="AL838" s="116"/>
      <c r="AM838" s="123"/>
      <c r="AN838" s="123"/>
      <c r="AO838" s="123"/>
      <c r="AP838" s="115"/>
      <c r="AQ838" s="115"/>
      <c r="AR838" s="115"/>
      <c r="AS838" s="115"/>
      <c r="AT838" s="115"/>
      <c r="AU838" s="115"/>
      <c r="AV838" s="115"/>
      <c r="AW838" s="115"/>
      <c r="AX838" s="115"/>
      <c r="AY838" s="115"/>
      <c r="AZ838" s="115"/>
      <c r="BA838" s="115"/>
      <c r="BB838" s="115"/>
      <c r="BC838" s="115"/>
      <c r="BD838" s="26"/>
      <c r="BE838" s="13"/>
      <c r="BH838" s="114"/>
    </row>
    <row r="839" spans="32:60" ht="19.5" x14ac:dyDescent="0.4">
      <c r="AF839" s="26"/>
      <c r="AG839" s="13"/>
      <c r="AK839" s="115"/>
      <c r="AL839" s="116"/>
      <c r="AM839" s="123"/>
      <c r="AN839" s="123"/>
      <c r="AO839" s="123"/>
      <c r="AP839" s="115"/>
      <c r="AQ839" s="115"/>
      <c r="AR839" s="115"/>
      <c r="AS839" s="115"/>
      <c r="AT839" s="115"/>
      <c r="AU839" s="115"/>
      <c r="AV839" s="115"/>
      <c r="AW839" s="115"/>
      <c r="AX839" s="115"/>
      <c r="AY839" s="115"/>
      <c r="AZ839" s="115"/>
      <c r="BA839" s="115"/>
      <c r="BB839" s="115"/>
      <c r="BC839" s="115"/>
      <c r="BD839" s="26">
        <v>45280</v>
      </c>
      <c r="BE839" s="13" t="s">
        <v>162</v>
      </c>
      <c r="BH839" s="114"/>
    </row>
    <row r="840" spans="32:60" ht="19.5" x14ac:dyDescent="0.4">
      <c r="AF840" s="130"/>
      <c r="AG840" s="119"/>
      <c r="AK840" s="115"/>
      <c r="AL840" s="116"/>
      <c r="AM840" s="123"/>
      <c r="AN840" s="123"/>
      <c r="AO840" s="123"/>
      <c r="AP840" s="115"/>
      <c r="AQ840" s="115"/>
      <c r="AR840" s="115"/>
      <c r="AS840" s="115"/>
      <c r="AT840" s="115"/>
      <c r="AU840" s="115"/>
      <c r="AV840" s="115"/>
      <c r="AW840" s="115"/>
      <c r="AX840" s="115"/>
      <c r="AY840" s="115"/>
      <c r="AZ840" s="115"/>
      <c r="BA840" s="115"/>
      <c r="BB840" s="115"/>
      <c r="BC840" s="115"/>
      <c r="BD840" s="26"/>
      <c r="BE840" s="13"/>
      <c r="BH840" s="114"/>
    </row>
    <row r="841" spans="32:60" ht="19.5" x14ac:dyDescent="0.4">
      <c r="AF841" s="130"/>
      <c r="AG841" s="119"/>
      <c r="AK841" s="115"/>
      <c r="AL841" s="116"/>
      <c r="AM841" s="123"/>
      <c r="AN841" s="123"/>
      <c r="AO841" s="123"/>
      <c r="AP841" s="115"/>
      <c r="AQ841" s="115"/>
      <c r="AR841" s="115"/>
      <c r="AS841" s="115"/>
      <c r="AT841" s="115"/>
      <c r="AU841" s="115"/>
      <c r="AV841" s="115"/>
      <c r="AW841" s="115"/>
      <c r="AX841" s="115"/>
      <c r="AY841" s="115"/>
      <c r="AZ841" s="115"/>
      <c r="BA841" s="115"/>
      <c r="BB841" s="115"/>
      <c r="BC841" s="115"/>
      <c r="BD841" s="26"/>
      <c r="BE841" s="13"/>
      <c r="BH841" s="114"/>
    </row>
    <row r="842" spans="32:60" ht="19.5" x14ac:dyDescent="0.4">
      <c r="AK842" s="115"/>
      <c r="AL842" s="116"/>
      <c r="AM842" s="123"/>
      <c r="AN842" s="123"/>
      <c r="AO842" s="123"/>
      <c r="AP842" s="115"/>
      <c r="AQ842" s="115"/>
      <c r="AR842" s="115"/>
      <c r="AS842" s="115"/>
      <c r="AT842" s="115"/>
      <c r="AU842" s="115"/>
      <c r="AV842" s="115"/>
      <c r="AW842" s="115"/>
      <c r="AX842" s="115"/>
      <c r="AY842" s="115"/>
      <c r="AZ842" s="115"/>
      <c r="BA842" s="115"/>
      <c r="BB842" s="115"/>
      <c r="BC842" s="115"/>
      <c r="BD842" s="26">
        <v>45280</v>
      </c>
      <c r="BE842" s="13" t="s">
        <v>162</v>
      </c>
      <c r="BH842" s="114"/>
    </row>
    <row r="843" spans="32:60" ht="19.5" x14ac:dyDescent="0.4">
      <c r="AK843" s="115"/>
      <c r="AL843" s="116"/>
      <c r="AM843" s="123"/>
      <c r="AN843" s="123"/>
      <c r="AO843" s="123"/>
      <c r="AP843" s="115"/>
      <c r="AQ843" s="115"/>
      <c r="AR843" s="115"/>
      <c r="AS843" s="115"/>
      <c r="AT843" s="115"/>
      <c r="AU843" s="115"/>
      <c r="AV843" s="115"/>
      <c r="AW843" s="115"/>
      <c r="AX843" s="115"/>
      <c r="AY843" s="115"/>
      <c r="AZ843" s="115"/>
      <c r="BA843" s="115"/>
      <c r="BB843" s="115"/>
      <c r="BC843" s="115"/>
      <c r="BD843" s="26">
        <v>45280</v>
      </c>
      <c r="BE843" s="13" t="s">
        <v>162</v>
      </c>
      <c r="BH843" s="114"/>
    </row>
    <row r="844" spans="32:60" ht="19.5" x14ac:dyDescent="0.4">
      <c r="AK844" s="115"/>
      <c r="AL844" s="116"/>
      <c r="AM844" s="123"/>
      <c r="AN844" s="123"/>
      <c r="AO844" s="123"/>
      <c r="AP844" s="115"/>
      <c r="AQ844" s="115"/>
      <c r="AR844" s="115"/>
      <c r="AS844" s="115"/>
      <c r="AT844" s="115"/>
      <c r="AU844" s="115"/>
      <c r="AV844" s="115"/>
      <c r="AW844" s="115"/>
      <c r="AX844" s="115"/>
      <c r="AY844" s="115"/>
      <c r="AZ844" s="115"/>
      <c r="BA844" s="115"/>
      <c r="BB844" s="115"/>
      <c r="BC844" s="115"/>
      <c r="BD844" s="26">
        <v>45280</v>
      </c>
      <c r="BE844" s="13" t="s">
        <v>162</v>
      </c>
      <c r="BH844" s="114"/>
    </row>
    <row r="845" spans="32:60" ht="19.5" x14ac:dyDescent="0.4">
      <c r="AJ845" s="115"/>
      <c r="AK845" s="115"/>
      <c r="AL845" s="116"/>
      <c r="AM845" s="123"/>
      <c r="AN845" s="123"/>
      <c r="AO845" s="123"/>
      <c r="AP845" s="115"/>
      <c r="AQ845" s="115"/>
      <c r="AR845" s="115"/>
      <c r="AS845" s="115"/>
      <c r="AT845" s="115"/>
      <c r="AU845" s="115"/>
      <c r="AV845" s="115"/>
      <c r="AW845" s="115"/>
      <c r="AX845" s="115"/>
      <c r="AY845" s="115"/>
      <c r="AZ845" s="115"/>
      <c r="BA845" s="115"/>
      <c r="BB845" s="115"/>
      <c r="BC845" s="115"/>
      <c r="BD845" s="26">
        <v>45280</v>
      </c>
      <c r="BE845" s="13" t="s">
        <v>162</v>
      </c>
      <c r="BH845" s="114"/>
    </row>
    <row r="846" spans="32:60" ht="19.5" x14ac:dyDescent="0.4">
      <c r="AJ846" s="115"/>
      <c r="AK846" s="115"/>
      <c r="AL846" s="116"/>
      <c r="AM846" s="123"/>
      <c r="AN846" s="123"/>
      <c r="AO846" s="123"/>
      <c r="AP846" s="115"/>
      <c r="AQ846" s="115"/>
      <c r="AR846" s="115"/>
      <c r="AS846" s="115"/>
      <c r="AT846" s="115"/>
      <c r="AU846" s="115"/>
      <c r="AV846" s="115"/>
      <c r="AW846" s="115"/>
      <c r="AX846" s="115"/>
      <c r="AY846" s="115"/>
      <c r="AZ846" s="115"/>
      <c r="BA846" s="115"/>
      <c r="BB846" s="115"/>
      <c r="BC846" s="115"/>
      <c r="BD846" s="26">
        <v>45280</v>
      </c>
      <c r="BE846" s="13" t="s">
        <v>162</v>
      </c>
      <c r="BH846" s="114"/>
    </row>
    <row r="847" spans="32:60" ht="19.5" x14ac:dyDescent="0.4">
      <c r="AH847" s="115"/>
      <c r="AI847" s="115"/>
      <c r="AJ847" s="115"/>
      <c r="AK847" s="115"/>
      <c r="AL847" s="116"/>
      <c r="AM847" s="123"/>
      <c r="AN847" s="123"/>
      <c r="AO847" s="123"/>
      <c r="AP847" s="115"/>
      <c r="AQ847" s="115"/>
      <c r="AR847" s="115"/>
      <c r="AS847" s="115"/>
      <c r="AT847" s="115"/>
      <c r="AU847" s="115"/>
      <c r="AV847" s="115"/>
      <c r="AW847" s="115"/>
      <c r="AX847" s="115"/>
      <c r="AY847" s="115"/>
      <c r="AZ847" s="115"/>
      <c r="BA847" s="115"/>
      <c r="BB847" s="115"/>
      <c r="BC847" s="115"/>
      <c r="BD847" s="26">
        <v>45280</v>
      </c>
      <c r="BE847" s="13" t="s">
        <v>162</v>
      </c>
      <c r="BH847" s="114"/>
    </row>
    <row r="848" spans="32:60" x14ac:dyDescent="0.4">
      <c r="AH848" s="115"/>
      <c r="AI848" s="115"/>
      <c r="AJ848" s="115"/>
      <c r="AK848" s="115"/>
      <c r="AL848" s="115"/>
      <c r="AM848" s="122"/>
      <c r="AN848" s="122"/>
      <c r="AO848" s="122"/>
      <c r="AP848" s="115"/>
      <c r="AQ848" s="115"/>
      <c r="AR848" s="115"/>
      <c r="AS848" s="115"/>
      <c r="AT848" s="115"/>
      <c r="AU848" s="115"/>
      <c r="AV848" s="115"/>
      <c r="AW848" s="115"/>
      <c r="AX848" s="115"/>
      <c r="AY848" s="115"/>
      <c r="AZ848" s="115"/>
      <c r="BA848" s="115"/>
      <c r="BB848" s="115"/>
      <c r="BC848" s="115"/>
      <c r="BD848" s="26">
        <v>45280</v>
      </c>
      <c r="BE848" s="13" t="s">
        <v>162</v>
      </c>
      <c r="BH848" s="114"/>
    </row>
    <row r="849" spans="34:60" x14ac:dyDescent="0.4">
      <c r="AH849" s="115"/>
      <c r="AI849" s="115"/>
      <c r="AJ849" s="115"/>
      <c r="AK849" s="115"/>
      <c r="AL849" s="115"/>
      <c r="AM849" s="122"/>
      <c r="AN849" s="122"/>
      <c r="AO849" s="122"/>
      <c r="AP849" s="115"/>
      <c r="AQ849" s="115"/>
      <c r="AR849" s="115"/>
      <c r="AS849" s="115"/>
      <c r="AT849" s="115"/>
      <c r="AU849" s="115"/>
      <c r="AV849" s="115"/>
      <c r="AW849" s="115"/>
      <c r="AX849" s="115"/>
      <c r="AY849" s="115"/>
      <c r="AZ849" s="115"/>
      <c r="BA849" s="115"/>
      <c r="BB849" s="115"/>
      <c r="BC849" s="115"/>
      <c r="BD849" s="26">
        <v>45280</v>
      </c>
      <c r="BE849" s="13" t="s">
        <v>162</v>
      </c>
      <c r="BH849" s="114"/>
    </row>
    <row r="850" spans="34:60" x14ac:dyDescent="0.4">
      <c r="AH850" s="115"/>
      <c r="AI850" s="115"/>
      <c r="AJ850" s="115"/>
      <c r="AK850" s="115"/>
      <c r="AL850" s="115"/>
      <c r="AM850" s="122"/>
      <c r="AN850" s="122"/>
      <c r="AO850" s="122"/>
      <c r="AP850" s="115"/>
      <c r="AQ850" s="115"/>
      <c r="AR850" s="115"/>
      <c r="AS850" s="115"/>
      <c r="AT850" s="115"/>
      <c r="AU850" s="115"/>
      <c r="AV850" s="115"/>
      <c r="AW850" s="115"/>
      <c r="AX850" s="115"/>
      <c r="AY850" s="115"/>
      <c r="AZ850" s="115"/>
      <c r="BA850" s="115"/>
      <c r="BB850" s="115"/>
      <c r="BC850" s="115" t="s">
        <v>171</v>
      </c>
      <c r="BD850" s="17">
        <f>SUBTOTAL(3,BD834:BD849)</f>
        <v>13</v>
      </c>
      <c r="BE850" s="13">
        <f>SUBTOTAL(3,BE834:BE849)</f>
        <v>13</v>
      </c>
      <c r="BH850" s="114"/>
    </row>
    <row r="851" spans="34:60" x14ac:dyDescent="0.4">
      <c r="AH851" s="115"/>
      <c r="AI851" s="115"/>
      <c r="AJ851" s="115"/>
      <c r="AK851" s="115"/>
      <c r="AL851" s="115"/>
      <c r="AM851" s="122"/>
      <c r="AN851" s="122"/>
      <c r="AO851" s="122"/>
      <c r="AP851" s="115"/>
      <c r="AQ851" s="115"/>
      <c r="AR851" s="115"/>
      <c r="AS851" s="115"/>
      <c r="AT851" s="115"/>
      <c r="AU851" s="115"/>
      <c r="AV851" s="115"/>
      <c r="AW851" s="115"/>
      <c r="AX851" s="115"/>
      <c r="AY851" s="115"/>
      <c r="AZ851" s="115"/>
      <c r="BA851" s="115"/>
      <c r="BB851" s="115"/>
      <c r="BC851" s="115"/>
      <c r="BD851" s="26">
        <v>45283</v>
      </c>
      <c r="BE851" s="13" t="s">
        <v>162</v>
      </c>
      <c r="BH851" s="114"/>
    </row>
    <row r="852" spans="34:60" x14ac:dyDescent="0.4">
      <c r="AH852" s="115"/>
      <c r="AI852" s="115"/>
      <c r="AJ852" s="115"/>
      <c r="AK852" s="115"/>
      <c r="AL852" s="115"/>
      <c r="AM852" s="122"/>
      <c r="AN852" s="122"/>
      <c r="AO852" s="122"/>
      <c r="AP852" s="115"/>
      <c r="AQ852" s="115"/>
      <c r="AR852" s="115"/>
      <c r="AS852" s="115"/>
      <c r="AT852" s="115"/>
      <c r="AU852" s="115"/>
      <c r="AV852" s="115"/>
      <c r="AW852" s="115"/>
      <c r="AX852" s="115"/>
      <c r="AY852" s="115"/>
      <c r="AZ852" s="115"/>
      <c r="BA852" s="115"/>
      <c r="BB852" s="115"/>
      <c r="BC852" s="115"/>
      <c r="BD852" s="26">
        <v>45283</v>
      </c>
      <c r="BE852" s="13" t="s">
        <v>162</v>
      </c>
      <c r="BH852" s="114"/>
    </row>
    <row r="853" spans="34:60" x14ac:dyDescent="0.4">
      <c r="AH853" s="115"/>
      <c r="AI853" s="115"/>
      <c r="AJ853" s="115"/>
      <c r="AK853" s="115"/>
      <c r="AL853" s="115"/>
      <c r="AM853" s="122"/>
      <c r="AN853" s="122"/>
      <c r="AO853" s="122"/>
      <c r="AP853" s="115"/>
      <c r="AQ853" s="115"/>
      <c r="AR853" s="115"/>
      <c r="AS853" s="115"/>
      <c r="AT853" s="115"/>
      <c r="AU853" s="115"/>
      <c r="AV853" s="115"/>
      <c r="AW853" s="115"/>
      <c r="AX853" s="115"/>
      <c r="AY853" s="115"/>
      <c r="AZ853" s="115"/>
      <c r="BA853" s="115"/>
      <c r="BB853" s="115"/>
      <c r="BC853" s="115"/>
      <c r="BD853" s="26">
        <v>45283</v>
      </c>
      <c r="BE853" s="13" t="s">
        <v>162</v>
      </c>
      <c r="BH853" s="114"/>
    </row>
    <row r="854" spans="34:60" x14ac:dyDescent="0.4">
      <c r="AH854" s="115"/>
      <c r="AI854" s="115"/>
      <c r="AJ854" s="115"/>
      <c r="AK854" s="115"/>
      <c r="AL854" s="115"/>
      <c r="AM854" s="122"/>
      <c r="AN854" s="122"/>
      <c r="AO854" s="122"/>
      <c r="AP854" s="115"/>
      <c r="AQ854" s="115"/>
      <c r="AR854" s="115"/>
      <c r="AS854" s="115"/>
      <c r="AT854" s="115"/>
      <c r="AU854" s="115"/>
      <c r="AV854" s="115"/>
      <c r="AW854" s="115"/>
      <c r="AX854" s="115"/>
      <c r="AY854" s="115"/>
      <c r="AZ854" s="115"/>
      <c r="BA854" s="115"/>
      <c r="BB854" s="115"/>
      <c r="BC854" s="115"/>
      <c r="BD854" s="26">
        <v>45283</v>
      </c>
      <c r="BE854" s="13" t="s">
        <v>162</v>
      </c>
      <c r="BH854" s="114"/>
    </row>
    <row r="855" spans="34:60" x14ac:dyDescent="0.4">
      <c r="AH855" s="115"/>
      <c r="AI855" s="115"/>
      <c r="AJ855" s="115"/>
      <c r="AK855" s="115"/>
      <c r="AL855" s="115"/>
      <c r="AM855" s="122"/>
      <c r="AN855" s="122"/>
      <c r="AO855" s="122"/>
      <c r="AP855" s="115"/>
      <c r="AQ855" s="115"/>
      <c r="AR855" s="115"/>
      <c r="AS855" s="115"/>
      <c r="AT855" s="115"/>
      <c r="AU855" s="115"/>
      <c r="AV855" s="115"/>
      <c r="AW855" s="115"/>
      <c r="AX855" s="115"/>
      <c r="AY855" s="115"/>
      <c r="AZ855" s="115"/>
      <c r="BA855" s="115"/>
      <c r="BB855" s="115"/>
      <c r="BC855" s="115"/>
      <c r="BD855" s="26">
        <v>45283</v>
      </c>
      <c r="BE855" s="13" t="s">
        <v>162</v>
      </c>
      <c r="BH855" s="114"/>
    </row>
    <row r="856" spans="34:60" x14ac:dyDescent="0.4">
      <c r="AH856" s="115"/>
      <c r="AI856" s="115"/>
      <c r="AJ856" s="115"/>
      <c r="AK856" s="115"/>
      <c r="AL856" s="115"/>
      <c r="AM856" s="122"/>
      <c r="AN856" s="122"/>
      <c r="AO856" s="122"/>
      <c r="AP856" s="115"/>
      <c r="AQ856" s="115"/>
      <c r="AR856" s="115"/>
      <c r="AS856" s="115"/>
      <c r="AT856" s="115"/>
      <c r="AU856" s="115"/>
      <c r="AV856" s="115"/>
      <c r="AW856" s="115"/>
      <c r="AX856" s="115"/>
      <c r="AY856" s="115"/>
      <c r="AZ856" s="115"/>
      <c r="BA856" s="115"/>
      <c r="BB856" s="115"/>
      <c r="BC856" s="115"/>
      <c r="BD856" s="26">
        <v>45283</v>
      </c>
      <c r="BE856" s="13" t="s">
        <v>162</v>
      </c>
      <c r="BH856" s="114"/>
    </row>
    <row r="857" spans="34:60" x14ac:dyDescent="0.4">
      <c r="AH857" s="115"/>
      <c r="AI857" s="115"/>
      <c r="AJ857" s="115"/>
      <c r="AK857" s="115"/>
      <c r="AL857" s="115"/>
      <c r="AM857" s="122"/>
      <c r="AN857" s="122"/>
      <c r="AO857" s="122"/>
      <c r="AP857" s="115"/>
      <c r="AQ857" s="115"/>
      <c r="AR857" s="115"/>
      <c r="AS857" s="115"/>
      <c r="AT857" s="115"/>
      <c r="AU857" s="115"/>
      <c r="AV857" s="115"/>
      <c r="AW857" s="115"/>
      <c r="AX857" s="115"/>
      <c r="AY857" s="115"/>
      <c r="AZ857" s="115"/>
      <c r="BA857" s="115"/>
      <c r="BB857" s="115"/>
      <c r="BC857" s="115"/>
      <c r="BD857" s="26">
        <v>45283</v>
      </c>
      <c r="BE857" s="13" t="s">
        <v>162</v>
      </c>
      <c r="BH857" s="114"/>
    </row>
    <row r="858" spans="34:60" x14ac:dyDescent="0.4">
      <c r="AH858" s="115"/>
      <c r="AI858" s="115"/>
      <c r="AJ858" s="115"/>
      <c r="AK858" s="115"/>
      <c r="AL858" s="115"/>
      <c r="AM858" s="122"/>
      <c r="AN858" s="122"/>
      <c r="AO858" s="122"/>
      <c r="AP858" s="115"/>
      <c r="AQ858" s="115"/>
      <c r="AR858" s="115"/>
      <c r="AS858" s="115"/>
      <c r="AT858" s="115"/>
      <c r="AU858" s="115"/>
      <c r="AV858" s="115"/>
      <c r="AW858" s="115"/>
      <c r="AX858" s="115"/>
      <c r="AY858" s="115"/>
      <c r="AZ858" s="115"/>
      <c r="BA858" s="115"/>
      <c r="BB858" s="115"/>
      <c r="BC858" s="115"/>
      <c r="BD858" s="26">
        <v>45283</v>
      </c>
      <c r="BE858" s="13" t="s">
        <v>162</v>
      </c>
      <c r="BH858" s="114"/>
    </row>
    <row r="859" spans="34:60" x14ac:dyDescent="0.4">
      <c r="AH859" s="115"/>
      <c r="AI859" s="115"/>
      <c r="AJ859" s="115"/>
      <c r="AK859" s="115"/>
      <c r="AL859" s="115"/>
      <c r="AM859" s="122"/>
      <c r="AN859" s="122"/>
      <c r="AO859" s="122"/>
      <c r="AP859" s="115"/>
      <c r="AQ859" s="115"/>
      <c r="AR859" s="115"/>
      <c r="AS859" s="115"/>
      <c r="AT859" s="115"/>
      <c r="AU859" s="115"/>
      <c r="AV859" s="115"/>
      <c r="AW859" s="115"/>
      <c r="AX859" s="115"/>
      <c r="AY859" s="115"/>
      <c r="AZ859" s="115"/>
      <c r="BA859" s="115"/>
      <c r="BB859" s="115"/>
      <c r="BC859" s="115"/>
      <c r="BD859" s="26">
        <v>45283</v>
      </c>
      <c r="BE859" s="13" t="s">
        <v>162</v>
      </c>
      <c r="BH859" s="114"/>
    </row>
    <row r="860" spans="34:60" x14ac:dyDescent="0.4">
      <c r="AH860" s="115"/>
      <c r="AI860" s="115"/>
      <c r="AJ860" s="115"/>
      <c r="AK860" s="115"/>
      <c r="AL860" s="115"/>
      <c r="AM860" s="122"/>
      <c r="AN860" s="122"/>
      <c r="AO860" s="122"/>
      <c r="AP860" s="115"/>
      <c r="AQ860" s="115"/>
      <c r="AR860" s="115"/>
      <c r="AS860" s="115"/>
      <c r="AT860" s="115"/>
      <c r="AU860" s="115"/>
      <c r="AV860" s="115"/>
      <c r="AW860" s="115"/>
      <c r="AX860" s="115"/>
      <c r="AY860" s="115"/>
      <c r="AZ860" s="115"/>
      <c r="BA860" s="115"/>
      <c r="BB860" s="115"/>
      <c r="BC860" s="115"/>
      <c r="BD860" s="26">
        <v>45283</v>
      </c>
      <c r="BE860" s="13" t="s">
        <v>162</v>
      </c>
      <c r="BH860" s="114"/>
    </row>
    <row r="861" spans="34:60" x14ac:dyDescent="0.4">
      <c r="AH861" s="115"/>
      <c r="AI861" s="115"/>
      <c r="AJ861" s="115"/>
      <c r="AK861" s="115"/>
      <c r="AL861" s="115"/>
      <c r="AM861" s="122"/>
      <c r="AN861" s="122"/>
      <c r="AO861" s="122"/>
      <c r="AP861" s="115"/>
      <c r="AQ861" s="115"/>
      <c r="AR861" s="115"/>
      <c r="AS861" s="115"/>
      <c r="AT861" s="115"/>
      <c r="AU861" s="115"/>
      <c r="AV861" s="115"/>
      <c r="AW861" s="115"/>
      <c r="AX861" s="115"/>
      <c r="AY861" s="115"/>
      <c r="AZ861" s="115"/>
      <c r="BA861" s="115"/>
      <c r="BB861" s="115"/>
      <c r="BC861" s="115"/>
      <c r="BD861" s="26">
        <v>45283</v>
      </c>
      <c r="BE861" s="13" t="s">
        <v>163</v>
      </c>
      <c r="BH861" s="114"/>
    </row>
    <row r="862" spans="34:60" x14ac:dyDescent="0.4">
      <c r="AH862" s="115"/>
      <c r="AI862" s="115"/>
      <c r="AJ862" s="115"/>
      <c r="AK862" s="115"/>
      <c r="AL862" s="115"/>
      <c r="AM862" s="122"/>
      <c r="AN862" s="122"/>
      <c r="AO862" s="122"/>
      <c r="AP862" s="115"/>
      <c r="AQ862" s="115"/>
      <c r="AR862" s="115"/>
      <c r="AS862" s="115"/>
      <c r="AT862" s="115"/>
      <c r="AU862" s="115"/>
      <c r="AV862" s="115"/>
      <c r="AW862" s="115"/>
      <c r="AX862" s="115"/>
      <c r="AY862" s="115"/>
      <c r="AZ862" s="115"/>
      <c r="BA862" s="115"/>
      <c r="BB862" s="115"/>
      <c r="BC862" s="115"/>
      <c r="BD862" s="26">
        <v>45283</v>
      </c>
      <c r="BE862" s="13" t="s">
        <v>163</v>
      </c>
      <c r="BH862" s="114"/>
    </row>
    <row r="863" spans="34:60" x14ac:dyDescent="0.4">
      <c r="AH863" s="115"/>
      <c r="AI863" s="115"/>
      <c r="AJ863" s="115"/>
      <c r="AK863" s="115"/>
      <c r="AL863" s="115"/>
      <c r="AM863" s="122"/>
      <c r="AN863" s="122"/>
      <c r="AO863" s="122"/>
      <c r="AP863" s="115"/>
      <c r="AQ863" s="115"/>
      <c r="AR863" s="115"/>
      <c r="AS863" s="115"/>
      <c r="AT863" s="115"/>
      <c r="AU863" s="115"/>
      <c r="AV863" s="115"/>
      <c r="AW863" s="115"/>
      <c r="AX863" s="115"/>
      <c r="AY863" s="115"/>
      <c r="AZ863" s="115"/>
      <c r="BA863" s="115"/>
      <c r="BB863" s="115"/>
      <c r="BC863" s="115"/>
      <c r="BD863" s="26">
        <v>45283</v>
      </c>
      <c r="BE863" s="13" t="s">
        <v>163</v>
      </c>
      <c r="BH863" s="114"/>
    </row>
    <row r="864" spans="34:60" x14ac:dyDescent="0.4">
      <c r="AH864" s="115"/>
      <c r="AI864" s="115"/>
      <c r="AJ864" s="115"/>
      <c r="AK864" s="115"/>
      <c r="AL864" s="115"/>
      <c r="AM864" s="122"/>
      <c r="AN864" s="122"/>
      <c r="AO864" s="122"/>
      <c r="AP864" s="115"/>
      <c r="AQ864" s="115"/>
      <c r="AR864" s="115"/>
      <c r="AS864" s="115"/>
      <c r="AT864" s="115"/>
      <c r="AU864" s="115"/>
      <c r="AV864" s="115"/>
      <c r="AW864" s="115"/>
      <c r="AX864" s="115"/>
      <c r="AY864" s="115"/>
      <c r="AZ864" s="115"/>
      <c r="BA864" s="115"/>
      <c r="BB864" s="115"/>
      <c r="BC864" s="115" t="s">
        <v>161</v>
      </c>
      <c r="BD864" s="17">
        <f>SUBTOTAL(3,BD851:BD863)</f>
        <v>13</v>
      </c>
      <c r="BE864" s="13">
        <f>SUBTOTAL(3,BE851:BE863)</f>
        <v>13</v>
      </c>
      <c r="BH864" s="114"/>
    </row>
    <row r="865" spans="34:60" x14ac:dyDescent="0.4">
      <c r="AH865" s="115"/>
      <c r="AI865" s="115"/>
      <c r="AJ865" s="115"/>
      <c r="AK865" s="115"/>
      <c r="AL865" s="115"/>
      <c r="AM865" s="122"/>
      <c r="AN865" s="122"/>
      <c r="AO865" s="122"/>
      <c r="AP865" s="115"/>
      <c r="AQ865" s="115"/>
      <c r="AR865" s="115"/>
      <c r="AS865" s="115"/>
      <c r="AT865" s="115"/>
      <c r="AU865" s="115"/>
      <c r="AV865" s="115"/>
      <c r="AW865" s="115"/>
      <c r="AX865" s="115"/>
      <c r="AY865" s="115"/>
      <c r="AZ865" s="115"/>
      <c r="BA865" s="115"/>
      <c r="BB865" s="115"/>
      <c r="BC865" s="115"/>
      <c r="BD865" s="26">
        <v>45285</v>
      </c>
      <c r="BE865" s="13" t="s">
        <v>163</v>
      </c>
      <c r="BH865" s="114"/>
    </row>
    <row r="866" spans="34:60" x14ac:dyDescent="0.4">
      <c r="AH866" s="115"/>
      <c r="AI866" s="115"/>
      <c r="AJ866" s="115"/>
      <c r="AK866" s="115"/>
      <c r="AL866" s="115"/>
      <c r="AM866" s="122"/>
      <c r="AN866" s="122"/>
      <c r="AO866" s="122"/>
      <c r="AP866" s="115"/>
      <c r="AQ866" s="115"/>
      <c r="AR866" s="115"/>
      <c r="AS866" s="115"/>
      <c r="AT866" s="115"/>
      <c r="AU866" s="115"/>
      <c r="AV866" s="115"/>
      <c r="AW866" s="115"/>
      <c r="AX866" s="115"/>
      <c r="AY866" s="115"/>
      <c r="AZ866" s="115"/>
      <c r="BA866" s="115"/>
      <c r="BB866" s="115"/>
      <c r="BC866" s="115" t="s">
        <v>172</v>
      </c>
      <c r="BD866" s="17">
        <f>SUBTOTAL(3,BD865:BD865)</f>
        <v>1</v>
      </c>
      <c r="BE866" s="13">
        <f>SUBTOTAL(3,BE865:BE865)</f>
        <v>1</v>
      </c>
      <c r="BH866" s="114"/>
    </row>
    <row r="867" spans="34:60" x14ac:dyDescent="0.4">
      <c r="AH867" s="115"/>
      <c r="AI867" s="115"/>
      <c r="AJ867" s="115"/>
      <c r="AK867" s="115"/>
      <c r="AL867" s="115"/>
      <c r="AM867" s="122"/>
      <c r="AN867" s="122"/>
      <c r="AO867" s="122"/>
      <c r="AP867" s="115"/>
      <c r="AQ867" s="115"/>
      <c r="AR867" s="115"/>
      <c r="AS867" s="115"/>
      <c r="AT867" s="115"/>
      <c r="AU867" s="115"/>
      <c r="AV867" s="115"/>
      <c r="AW867" s="115"/>
      <c r="AX867" s="115"/>
      <c r="AY867" s="115"/>
      <c r="AZ867" s="115"/>
      <c r="BA867" s="115"/>
      <c r="BB867" s="115"/>
      <c r="BC867" s="115"/>
      <c r="BD867" s="26">
        <v>45299</v>
      </c>
      <c r="BE867" s="13" t="s">
        <v>164</v>
      </c>
      <c r="BH867" s="114"/>
    </row>
    <row r="868" spans="34:60" x14ac:dyDescent="0.4">
      <c r="AH868" s="115"/>
      <c r="AI868" s="115"/>
      <c r="AJ868" s="115"/>
      <c r="AK868" s="115"/>
      <c r="AL868" s="115"/>
      <c r="AM868" s="122"/>
      <c r="AN868" s="122"/>
      <c r="AO868" s="122"/>
      <c r="AP868" s="115"/>
      <c r="AQ868" s="115"/>
      <c r="AR868" s="115"/>
      <c r="AS868" s="115"/>
      <c r="AT868" s="115"/>
      <c r="AU868" s="115"/>
      <c r="AV868" s="115"/>
      <c r="AW868" s="115"/>
      <c r="AX868" s="115"/>
      <c r="AY868" s="115"/>
      <c r="AZ868" s="115"/>
      <c r="BA868" s="115"/>
      <c r="BB868" s="115"/>
      <c r="BC868" s="115"/>
      <c r="BD868" s="26">
        <v>45299</v>
      </c>
      <c r="BE868" s="13" t="s">
        <v>162</v>
      </c>
      <c r="BH868" s="114"/>
    </row>
    <row r="869" spans="34:60" x14ac:dyDescent="0.4">
      <c r="AH869" s="115"/>
      <c r="AI869" s="115"/>
      <c r="AJ869" s="115"/>
      <c r="AK869" s="115"/>
      <c r="AL869" s="115"/>
      <c r="AM869" s="122"/>
      <c r="AN869" s="122"/>
      <c r="AO869" s="122"/>
      <c r="AP869" s="115"/>
      <c r="AQ869" s="115"/>
      <c r="AR869" s="115"/>
      <c r="AS869" s="115"/>
      <c r="AT869" s="115"/>
      <c r="AU869" s="115"/>
      <c r="AV869" s="115"/>
      <c r="AW869" s="115"/>
      <c r="AX869" s="115"/>
      <c r="AY869" s="115"/>
      <c r="AZ869" s="115"/>
      <c r="BA869" s="115"/>
      <c r="BB869" s="115"/>
      <c r="BC869" s="115"/>
      <c r="BD869" s="26">
        <v>45299</v>
      </c>
      <c r="BE869" s="13" t="s">
        <v>162</v>
      </c>
      <c r="BH869" s="114"/>
    </row>
    <row r="870" spans="34:60" x14ac:dyDescent="0.4">
      <c r="AH870" s="115"/>
      <c r="AI870" s="115"/>
      <c r="AJ870" s="115"/>
      <c r="AK870" s="115"/>
      <c r="AL870" s="115"/>
      <c r="AM870" s="122"/>
      <c r="AN870" s="122"/>
      <c r="AO870" s="122"/>
      <c r="AP870" s="115"/>
      <c r="AQ870" s="115"/>
      <c r="AR870" s="115"/>
      <c r="AS870" s="115"/>
      <c r="AT870" s="115"/>
      <c r="AU870" s="115"/>
      <c r="AV870" s="115"/>
      <c r="AW870" s="115"/>
      <c r="AX870" s="115"/>
      <c r="AY870" s="115"/>
      <c r="AZ870" s="115"/>
      <c r="BA870" s="115"/>
      <c r="BB870" s="115"/>
      <c r="BC870" s="115"/>
      <c r="BD870" s="26">
        <v>45299</v>
      </c>
      <c r="BE870" s="15" t="s">
        <v>162</v>
      </c>
      <c r="BH870" s="114"/>
    </row>
    <row r="871" spans="34:60" x14ac:dyDescent="0.4">
      <c r="AH871" s="115"/>
      <c r="AI871" s="115"/>
      <c r="AJ871" s="115"/>
      <c r="AK871" s="115"/>
      <c r="AL871" s="115"/>
      <c r="AM871" s="122"/>
      <c r="AN871" s="122"/>
      <c r="AO871" s="122"/>
      <c r="AP871" s="115"/>
      <c r="AQ871" s="115"/>
      <c r="AR871" s="115"/>
      <c r="AS871" s="115"/>
      <c r="AT871" s="115"/>
      <c r="AU871" s="115"/>
      <c r="AV871" s="115"/>
      <c r="AW871" s="115"/>
      <c r="AX871" s="115"/>
      <c r="AY871" s="115"/>
      <c r="AZ871" s="115"/>
      <c r="BA871" s="115"/>
      <c r="BB871" s="115"/>
      <c r="BC871" s="115" t="s">
        <v>173</v>
      </c>
      <c r="BD871" s="17">
        <f>SUBTOTAL(3,BD867:BD870)</f>
        <v>4</v>
      </c>
      <c r="BE871" s="13">
        <f>SUBTOTAL(3,BE867:BE870)</f>
        <v>4</v>
      </c>
      <c r="BH871" s="114"/>
    </row>
    <row r="872" spans="34:60" x14ac:dyDescent="0.4">
      <c r="AH872" s="115"/>
      <c r="AI872" s="115"/>
      <c r="AJ872" s="115"/>
      <c r="AK872" s="115"/>
      <c r="AL872" s="115"/>
      <c r="AM872" s="122"/>
      <c r="AN872" s="122"/>
      <c r="AO872" s="122"/>
      <c r="AP872" s="115"/>
      <c r="AQ872" s="115"/>
      <c r="AR872" s="115"/>
      <c r="AS872" s="115"/>
      <c r="AT872" s="115"/>
      <c r="AU872" s="115"/>
      <c r="AV872" s="115"/>
      <c r="AW872" s="115"/>
      <c r="AX872" s="115"/>
      <c r="AY872" s="115"/>
      <c r="AZ872" s="115"/>
      <c r="BA872" s="115"/>
      <c r="BB872" s="115"/>
      <c r="BC872" s="115" t="s">
        <v>145</v>
      </c>
      <c r="BD872" s="17">
        <f>SUBTOTAL(3,BD2:BD870)</f>
        <v>136</v>
      </c>
      <c r="BE872" s="13">
        <f>SUBTOTAL(3,BE2:BE870)</f>
        <v>136</v>
      </c>
      <c r="BH872" s="114"/>
    </row>
    <row r="873" spans="34:60" x14ac:dyDescent="0.4">
      <c r="AH873" s="115"/>
      <c r="AI873" s="115"/>
      <c r="AJ873" s="115"/>
      <c r="AK873" s="115"/>
      <c r="AL873" s="115"/>
      <c r="AM873" s="122"/>
      <c r="AN873" s="122"/>
      <c r="AO873" s="122"/>
      <c r="AP873" s="115"/>
      <c r="AQ873" s="115"/>
      <c r="AR873" s="115"/>
      <c r="AS873" s="115"/>
      <c r="AT873" s="115"/>
      <c r="AU873" s="115"/>
      <c r="AV873" s="115"/>
      <c r="AW873" s="115"/>
      <c r="AX873" s="115"/>
      <c r="AY873" s="115"/>
      <c r="AZ873" s="115"/>
      <c r="BA873" s="115" t="s">
        <v>145</v>
      </c>
      <c r="BB873" s="115"/>
      <c r="BC873" s="115"/>
      <c r="BD873" s="26"/>
      <c r="BE873" s="13"/>
      <c r="BH873" s="114"/>
    </row>
    <row r="874" spans="34:60" x14ac:dyDescent="0.4">
      <c r="AH874" s="115"/>
      <c r="AI874" s="115"/>
      <c r="AJ874" s="115"/>
      <c r="AK874" s="115"/>
      <c r="AL874" s="115"/>
      <c r="AM874" s="122"/>
      <c r="AN874" s="122"/>
      <c r="AO874" s="122"/>
      <c r="AP874" s="115"/>
      <c r="AQ874" s="115"/>
      <c r="AR874" s="115"/>
      <c r="AS874" s="115"/>
      <c r="AT874" s="115"/>
      <c r="AU874" s="115"/>
      <c r="AV874" s="115"/>
      <c r="AW874" s="115"/>
      <c r="AX874" s="115"/>
      <c r="AY874" s="115"/>
      <c r="AZ874" s="115"/>
      <c r="BA874" s="115"/>
      <c r="BB874" s="115"/>
      <c r="BC874" s="115"/>
      <c r="BD874" s="17"/>
      <c r="BE874" s="13"/>
      <c r="BH874" s="114"/>
    </row>
    <row r="875" spans="34:60" x14ac:dyDescent="0.4">
      <c r="AH875" s="115"/>
      <c r="AI875" s="115"/>
      <c r="AJ875" s="115"/>
      <c r="AK875" s="115"/>
      <c r="AL875" s="115"/>
      <c r="AM875" s="122"/>
      <c r="AN875" s="122"/>
      <c r="AO875" s="122"/>
      <c r="AP875" s="115"/>
      <c r="AQ875" s="115"/>
      <c r="AR875" s="115"/>
      <c r="AS875" s="115"/>
      <c r="AT875" s="115"/>
      <c r="AU875" s="115"/>
      <c r="AV875" s="115"/>
      <c r="AW875" s="115"/>
      <c r="AX875" s="115"/>
      <c r="AY875" s="115"/>
      <c r="AZ875" s="115"/>
      <c r="BA875" s="115"/>
      <c r="BB875" s="115"/>
      <c r="BC875" s="115"/>
      <c r="BD875" s="26"/>
      <c r="BE875" s="13"/>
      <c r="BH875" s="114"/>
    </row>
    <row r="876" spans="34:60" x14ac:dyDescent="0.4">
      <c r="AH876" s="115"/>
      <c r="AI876" s="115"/>
      <c r="AJ876" s="115"/>
      <c r="AK876" s="115"/>
      <c r="AL876" s="115"/>
      <c r="AM876" s="122"/>
      <c r="AN876" s="122"/>
      <c r="AO876" s="122"/>
      <c r="AP876" s="115"/>
      <c r="AQ876" s="115"/>
      <c r="AR876" s="115"/>
      <c r="AS876" s="115"/>
      <c r="AT876" s="115"/>
      <c r="AU876" s="115"/>
      <c r="AV876" s="115"/>
      <c r="AW876" s="115"/>
      <c r="AX876" s="115"/>
      <c r="AY876" s="115"/>
      <c r="AZ876" s="115"/>
      <c r="BA876" s="115"/>
      <c r="BB876" s="115"/>
      <c r="BC876" s="115"/>
      <c r="BD876" s="17"/>
      <c r="BE876" s="13"/>
      <c r="BH876" s="114"/>
    </row>
    <row r="877" spans="34:60" x14ac:dyDescent="0.4">
      <c r="AH877" s="115"/>
      <c r="AI877" s="115"/>
      <c r="AJ877" s="115"/>
      <c r="AK877" s="115"/>
      <c r="AL877" s="115"/>
      <c r="AM877" s="122"/>
      <c r="AN877" s="122"/>
      <c r="AO877" s="122"/>
      <c r="AP877" s="115"/>
      <c r="AQ877" s="115"/>
      <c r="AR877" s="115"/>
      <c r="AS877" s="115"/>
      <c r="AT877" s="115"/>
      <c r="AU877" s="115"/>
      <c r="AV877" s="115"/>
      <c r="AW877" s="115"/>
      <c r="AX877" s="115"/>
      <c r="AY877" s="115"/>
      <c r="AZ877" s="115"/>
      <c r="BA877" s="115"/>
      <c r="BB877" s="115"/>
      <c r="BC877" s="115"/>
      <c r="BD877" s="26"/>
      <c r="BE877" s="13"/>
      <c r="BH877" s="114"/>
    </row>
    <row r="878" spans="34:60" x14ac:dyDescent="0.4">
      <c r="AH878" s="115"/>
      <c r="AI878" s="115"/>
      <c r="AJ878" s="115"/>
      <c r="AK878" s="115"/>
      <c r="AL878" s="115"/>
      <c r="AM878" s="122"/>
      <c r="AN878" s="122"/>
      <c r="AO878" s="122"/>
      <c r="AP878" s="115"/>
      <c r="AQ878" s="115"/>
      <c r="AR878" s="115"/>
      <c r="AS878" s="115"/>
      <c r="AT878" s="115"/>
      <c r="AU878" s="115"/>
      <c r="AV878" s="115"/>
      <c r="AW878" s="115"/>
      <c r="AX878" s="115"/>
      <c r="AY878" s="115"/>
      <c r="AZ878" s="115"/>
      <c r="BA878" s="115"/>
      <c r="BB878" s="115"/>
      <c r="BC878" s="115"/>
      <c r="BD878" s="26"/>
      <c r="BE878" s="13"/>
      <c r="BH878" s="114"/>
    </row>
    <row r="879" spans="34:60" x14ac:dyDescent="0.4">
      <c r="AH879" s="115"/>
      <c r="AI879" s="115"/>
      <c r="AJ879" s="115"/>
      <c r="AK879" s="115"/>
      <c r="AL879" s="115"/>
      <c r="AM879" s="122"/>
      <c r="AN879" s="122"/>
      <c r="AO879" s="122"/>
      <c r="AP879" s="115"/>
      <c r="AQ879" s="115"/>
      <c r="AR879" s="115"/>
      <c r="AS879" s="115"/>
      <c r="AT879" s="115"/>
      <c r="AU879" s="115"/>
      <c r="AV879" s="115"/>
      <c r="AW879" s="115"/>
      <c r="AX879" s="115"/>
      <c r="AY879" s="115"/>
      <c r="AZ879" s="115"/>
      <c r="BA879" s="115"/>
      <c r="BB879" s="115"/>
      <c r="BC879" s="115"/>
      <c r="BD879" s="26"/>
      <c r="BE879" s="13"/>
      <c r="BH879" s="114"/>
    </row>
    <row r="880" spans="34:60" x14ac:dyDescent="0.4">
      <c r="AH880" s="115"/>
      <c r="AI880" s="115"/>
      <c r="AJ880" s="115"/>
      <c r="AK880" s="115"/>
      <c r="AL880" s="115"/>
      <c r="AM880" s="122"/>
      <c r="AN880" s="122"/>
      <c r="AO880" s="122"/>
      <c r="AP880" s="115"/>
      <c r="AQ880" s="115"/>
      <c r="AR880" s="115"/>
      <c r="AS880" s="115"/>
      <c r="AT880" s="115"/>
      <c r="AU880" s="115"/>
      <c r="AV880" s="115"/>
      <c r="AW880" s="115"/>
      <c r="AX880" s="115"/>
      <c r="AY880" s="115"/>
      <c r="AZ880" s="115"/>
      <c r="BA880" s="115"/>
      <c r="BB880" s="115"/>
      <c r="BC880" s="115"/>
      <c r="BD880" s="17"/>
      <c r="BE880" s="13"/>
      <c r="BH880" s="114"/>
    </row>
    <row r="881" spans="34:60" x14ac:dyDescent="0.4">
      <c r="AH881" s="115"/>
      <c r="AI881" s="115"/>
      <c r="AJ881" s="115"/>
      <c r="AK881" s="115"/>
      <c r="AL881" s="115"/>
      <c r="AM881" s="122"/>
      <c r="AN881" s="122"/>
      <c r="AO881" s="122"/>
      <c r="AP881" s="115"/>
      <c r="AQ881" s="115"/>
      <c r="AR881" s="115"/>
      <c r="AS881" s="115"/>
      <c r="AT881" s="115"/>
      <c r="AU881" s="115"/>
      <c r="AV881" s="115"/>
      <c r="AW881" s="115"/>
      <c r="AX881" s="115"/>
      <c r="AY881" s="115"/>
      <c r="AZ881" s="115"/>
      <c r="BA881" s="115"/>
      <c r="BB881" s="115"/>
      <c r="BC881" s="115"/>
      <c r="BD881" s="26"/>
      <c r="BE881" s="13"/>
      <c r="BH881" s="114"/>
    </row>
    <row r="882" spans="34:60" x14ac:dyDescent="0.4">
      <c r="AH882" s="115"/>
      <c r="AI882" s="115"/>
      <c r="AJ882" s="115"/>
      <c r="AK882" s="115"/>
      <c r="AL882" s="115"/>
      <c r="AM882" s="122"/>
      <c r="AN882" s="122"/>
      <c r="AO882" s="122"/>
      <c r="AP882" s="115"/>
      <c r="AQ882" s="115"/>
      <c r="AR882" s="115"/>
      <c r="AS882" s="115"/>
      <c r="AT882" s="115"/>
      <c r="AU882" s="115"/>
      <c r="AV882" s="115"/>
      <c r="AW882" s="115"/>
      <c r="AX882" s="115"/>
      <c r="AY882" s="115"/>
      <c r="AZ882" s="115"/>
      <c r="BA882" s="115"/>
      <c r="BB882" s="115"/>
      <c r="BC882" s="115"/>
      <c r="BD882" s="17"/>
      <c r="BE882" s="13"/>
      <c r="BH882" s="114"/>
    </row>
    <row r="883" spans="34:60" x14ac:dyDescent="0.4">
      <c r="AH883" s="115"/>
      <c r="AI883" s="115"/>
      <c r="AJ883" s="115"/>
      <c r="AK883" s="115"/>
      <c r="AL883" s="115"/>
      <c r="AM883" s="122"/>
      <c r="AN883" s="122"/>
      <c r="AO883" s="122"/>
      <c r="AP883" s="115"/>
      <c r="AQ883" s="115"/>
      <c r="AR883" s="115"/>
      <c r="AS883" s="115"/>
      <c r="AT883" s="115"/>
      <c r="AU883" s="115"/>
      <c r="AV883" s="115"/>
      <c r="AW883" s="115"/>
      <c r="AX883" s="115"/>
      <c r="AY883" s="115"/>
      <c r="AZ883" s="115"/>
      <c r="BA883" s="115"/>
      <c r="BB883" s="115"/>
      <c r="BC883" s="115"/>
      <c r="BD883" s="26"/>
      <c r="BE883" s="13"/>
      <c r="BH883" s="114"/>
    </row>
    <row r="884" spans="34:60" x14ac:dyDescent="0.4">
      <c r="AH884" s="115"/>
      <c r="AI884" s="115"/>
      <c r="AJ884" s="115"/>
      <c r="AK884" s="115"/>
      <c r="AL884" s="115"/>
      <c r="AM884" s="122"/>
      <c r="AN884" s="122"/>
      <c r="AO884" s="122"/>
      <c r="AP884" s="115"/>
      <c r="AQ884" s="115"/>
      <c r="AR884" s="115"/>
      <c r="AS884" s="115"/>
      <c r="AT884" s="115"/>
      <c r="AU884" s="115"/>
      <c r="AV884" s="115"/>
      <c r="AW884" s="115"/>
      <c r="AX884" s="115"/>
      <c r="AY884" s="115"/>
      <c r="AZ884" s="115"/>
      <c r="BA884" s="115"/>
      <c r="BB884" s="115"/>
      <c r="BC884" s="115"/>
      <c r="BD884" s="17"/>
      <c r="BE884" s="13"/>
      <c r="BH884" s="114"/>
    </row>
    <row r="885" spans="34:60" x14ac:dyDescent="0.4">
      <c r="AH885" s="115"/>
      <c r="AI885" s="115"/>
      <c r="AJ885" s="115"/>
      <c r="AK885" s="115"/>
      <c r="AL885" s="115"/>
      <c r="AM885" s="122"/>
      <c r="AN885" s="122"/>
      <c r="AO885" s="122"/>
      <c r="AP885" s="115"/>
      <c r="AQ885" s="115"/>
      <c r="AR885" s="115"/>
      <c r="AS885" s="115"/>
      <c r="AT885" s="115"/>
      <c r="AU885" s="115"/>
      <c r="AV885" s="115"/>
      <c r="AW885" s="115"/>
      <c r="AX885" s="115"/>
      <c r="AY885" s="115"/>
      <c r="AZ885" s="115"/>
      <c r="BA885" s="115"/>
      <c r="BB885" s="115"/>
      <c r="BC885" s="115"/>
      <c r="BD885" s="17"/>
      <c r="BE885" s="13"/>
      <c r="BH885" s="114"/>
    </row>
    <row r="886" spans="34:60" x14ac:dyDescent="0.4">
      <c r="AH886" s="115"/>
      <c r="AI886" s="115"/>
      <c r="AJ886" s="115"/>
      <c r="AK886" s="115"/>
      <c r="AL886" s="115"/>
      <c r="AM886" s="122"/>
      <c r="AN886" s="122"/>
      <c r="AO886" s="122"/>
      <c r="AP886" s="115"/>
      <c r="AQ886" s="115"/>
      <c r="AR886" s="115"/>
      <c r="AS886" s="115"/>
      <c r="AT886" s="115"/>
      <c r="AU886" s="115"/>
      <c r="AV886" s="115"/>
      <c r="AW886" s="115"/>
      <c r="AX886" s="115"/>
      <c r="AY886" s="115"/>
      <c r="AZ886" s="115"/>
      <c r="BA886" s="115"/>
      <c r="BB886" s="115"/>
      <c r="BC886" s="115"/>
      <c r="BD886" s="17"/>
      <c r="BE886" s="13"/>
      <c r="BH886" s="114"/>
    </row>
    <row r="887" spans="34:60" x14ac:dyDescent="0.4">
      <c r="AH887" s="115"/>
      <c r="AI887" s="115"/>
      <c r="AJ887" s="115"/>
      <c r="AK887" s="115"/>
      <c r="AL887" s="115"/>
      <c r="AM887" s="122"/>
      <c r="AN887" s="122"/>
      <c r="AO887" s="122"/>
      <c r="AP887" s="115"/>
      <c r="AQ887" s="115"/>
      <c r="AR887" s="115"/>
      <c r="AS887" s="115"/>
      <c r="AT887" s="115"/>
      <c r="AU887" s="115"/>
      <c r="AV887" s="115"/>
      <c r="AW887" s="115"/>
      <c r="AX887" s="115"/>
      <c r="AY887" s="115"/>
      <c r="AZ887" s="115"/>
      <c r="BA887" s="115"/>
      <c r="BB887" s="115"/>
      <c r="BC887" s="115"/>
      <c r="BD887" s="26"/>
      <c r="BE887" s="13"/>
      <c r="BH887" s="114"/>
    </row>
    <row r="888" spans="34:60" x14ac:dyDescent="0.4">
      <c r="AH888" s="115"/>
      <c r="AI888" s="115"/>
      <c r="AJ888" s="115"/>
      <c r="AK888" s="115"/>
      <c r="AL888" s="115"/>
      <c r="AM888" s="122"/>
      <c r="AN888" s="122"/>
      <c r="AO888" s="122"/>
      <c r="AP888" s="115"/>
      <c r="AQ888" s="115"/>
      <c r="AR888" s="115"/>
      <c r="AS888" s="115"/>
      <c r="AT888" s="115"/>
      <c r="AU888" s="115"/>
      <c r="AV888" s="115"/>
      <c r="AW888" s="115"/>
      <c r="AX888" s="115"/>
      <c r="AY888" s="115"/>
      <c r="AZ888" s="115"/>
      <c r="BA888" s="115"/>
      <c r="BB888" s="115"/>
      <c r="BC888" s="115"/>
      <c r="BD888" s="17"/>
      <c r="BE888" s="13"/>
      <c r="BH888" s="114"/>
    </row>
    <row r="889" spans="34:60" x14ac:dyDescent="0.4">
      <c r="AH889" s="115"/>
      <c r="AI889" s="115"/>
      <c r="AJ889" s="115"/>
      <c r="AK889" s="115"/>
      <c r="AL889" s="115"/>
      <c r="AM889" s="122"/>
      <c r="AN889" s="122"/>
      <c r="AO889" s="122"/>
      <c r="AP889" s="115"/>
      <c r="AQ889" s="115"/>
      <c r="AR889" s="115"/>
      <c r="AS889" s="115"/>
      <c r="AT889" s="115"/>
      <c r="AU889" s="115"/>
      <c r="AV889" s="115"/>
      <c r="AW889" s="115"/>
      <c r="AX889" s="115"/>
      <c r="AY889" s="115"/>
      <c r="AZ889" s="115"/>
      <c r="BA889" s="115"/>
      <c r="BB889" s="115"/>
      <c r="BC889" s="115"/>
      <c r="BD889" s="26"/>
      <c r="BE889" s="13"/>
      <c r="BH889" s="114"/>
    </row>
    <row r="890" spans="34:60" x14ac:dyDescent="0.4">
      <c r="AH890" s="115"/>
      <c r="AI890" s="115"/>
      <c r="AJ890" s="115"/>
      <c r="AK890" s="115"/>
      <c r="AL890" s="115"/>
      <c r="AM890" s="122"/>
      <c r="AN890" s="122"/>
      <c r="AO890" s="122"/>
      <c r="AP890" s="115"/>
      <c r="AQ890" s="115"/>
      <c r="AR890" s="115"/>
      <c r="AS890" s="115"/>
      <c r="AT890" s="115"/>
      <c r="AU890" s="115"/>
      <c r="AV890" s="115"/>
      <c r="AW890" s="115"/>
      <c r="AX890" s="115"/>
      <c r="AY890" s="115"/>
      <c r="AZ890" s="115"/>
      <c r="BA890" s="115"/>
      <c r="BB890" s="115"/>
      <c r="BC890" s="115"/>
      <c r="BD890" s="17"/>
      <c r="BE890" s="13"/>
      <c r="BH890" s="114"/>
    </row>
    <row r="891" spans="34:60" x14ac:dyDescent="0.4">
      <c r="AH891" s="115"/>
      <c r="AI891" s="115"/>
      <c r="AJ891" s="115"/>
      <c r="AK891" s="115"/>
      <c r="AL891" s="115"/>
      <c r="AM891" s="122"/>
      <c r="AN891" s="122"/>
      <c r="AO891" s="122"/>
      <c r="AP891" s="115"/>
      <c r="AQ891" s="115"/>
      <c r="AR891" s="115"/>
      <c r="AS891" s="115"/>
      <c r="AT891" s="115"/>
      <c r="AU891" s="115"/>
      <c r="AV891" s="115"/>
      <c r="AW891" s="115"/>
      <c r="AX891" s="115"/>
      <c r="AY891" s="115"/>
      <c r="AZ891" s="115"/>
      <c r="BA891" s="115"/>
      <c r="BB891" s="115"/>
      <c r="BC891" s="115"/>
      <c r="BD891" s="26"/>
      <c r="BE891" s="25"/>
      <c r="BH891" s="114"/>
    </row>
    <row r="892" spans="34:60" x14ac:dyDescent="0.4">
      <c r="AH892" s="115"/>
      <c r="AI892" s="115"/>
      <c r="AJ892" s="115"/>
      <c r="AK892" s="115"/>
      <c r="AL892" s="115"/>
      <c r="AM892" s="122"/>
      <c r="AN892" s="122"/>
      <c r="AO892" s="122"/>
      <c r="AP892" s="115"/>
      <c r="AQ892" s="115"/>
      <c r="AR892" s="115"/>
      <c r="AS892" s="115"/>
      <c r="AT892" s="115"/>
      <c r="AU892" s="115"/>
      <c r="AV892" s="115"/>
      <c r="AW892" s="115"/>
      <c r="AX892" s="115"/>
      <c r="AY892" s="115"/>
      <c r="AZ892" s="115"/>
      <c r="BA892" s="115"/>
      <c r="BB892" s="115"/>
      <c r="BC892" s="115"/>
      <c r="BD892" s="17"/>
      <c r="BE892" s="13"/>
      <c r="BH892" s="114"/>
    </row>
    <row r="893" spans="34:60" x14ac:dyDescent="0.4">
      <c r="AH893" s="115"/>
      <c r="AI893" s="115"/>
      <c r="AJ893" s="115"/>
      <c r="AK893" s="115"/>
      <c r="AL893" s="115"/>
      <c r="AM893" s="122"/>
      <c r="AN893" s="122"/>
      <c r="AO893" s="122"/>
      <c r="AP893" s="115"/>
      <c r="AQ893" s="115"/>
      <c r="AR893" s="115"/>
      <c r="AS893" s="115"/>
      <c r="AT893" s="115"/>
      <c r="AU893" s="115"/>
      <c r="AV893" s="115"/>
      <c r="AW893" s="115"/>
      <c r="AX893" s="115"/>
      <c r="AY893" s="115"/>
      <c r="AZ893" s="115"/>
      <c r="BA893" s="115"/>
      <c r="BB893" s="115"/>
      <c r="BC893" s="115"/>
      <c r="BD893" s="17"/>
      <c r="BE893" s="13"/>
      <c r="BH893" s="114"/>
    </row>
    <row r="894" spans="34:60" x14ac:dyDescent="0.4">
      <c r="AH894" s="115"/>
      <c r="AI894" s="115"/>
      <c r="AJ894" s="115"/>
      <c r="AK894" s="115"/>
      <c r="AL894" s="115"/>
      <c r="AM894" s="122"/>
      <c r="AN894" s="122"/>
      <c r="AO894" s="122"/>
      <c r="AP894" s="115"/>
      <c r="AQ894" s="115"/>
      <c r="AR894" s="115"/>
      <c r="AS894" s="115"/>
      <c r="AT894" s="115"/>
      <c r="AU894" s="115"/>
      <c r="AV894" s="115"/>
      <c r="AW894" s="115"/>
      <c r="AX894" s="115"/>
      <c r="AY894" s="115"/>
      <c r="AZ894" s="115"/>
      <c r="BA894" s="115"/>
      <c r="BB894" s="115"/>
      <c r="BC894" s="115"/>
      <c r="BD894" s="26"/>
      <c r="BE894" s="15"/>
      <c r="BH894" s="114"/>
    </row>
    <row r="895" spans="34:60" x14ac:dyDescent="0.4">
      <c r="AH895" s="115"/>
      <c r="AI895" s="115"/>
      <c r="AJ895" s="115"/>
      <c r="AK895" s="115"/>
      <c r="AL895" s="115"/>
      <c r="AM895" s="122"/>
      <c r="AN895" s="122"/>
      <c r="AO895" s="122"/>
      <c r="AP895" s="115"/>
      <c r="AQ895" s="115"/>
      <c r="AR895" s="115"/>
      <c r="AS895" s="115"/>
      <c r="AT895" s="115"/>
      <c r="AU895" s="115"/>
      <c r="AV895" s="115"/>
      <c r="AW895" s="115"/>
      <c r="AX895" s="115"/>
      <c r="AY895" s="115"/>
      <c r="AZ895" s="115"/>
      <c r="BA895" s="115"/>
      <c r="BB895" s="115"/>
      <c r="BC895" s="115"/>
      <c r="BD895" s="26"/>
      <c r="BE895" s="15"/>
      <c r="BH895" s="114"/>
    </row>
    <row r="896" spans="34:60" x14ac:dyDescent="0.4">
      <c r="AH896" s="115"/>
      <c r="AI896" s="115"/>
      <c r="AJ896" s="115"/>
      <c r="AK896" s="115"/>
      <c r="AL896" s="115"/>
      <c r="AM896" s="122"/>
      <c r="AN896" s="122"/>
      <c r="AO896" s="122"/>
      <c r="AP896" s="115"/>
      <c r="AQ896" s="115"/>
      <c r="AR896" s="115"/>
      <c r="AS896" s="115"/>
      <c r="AT896" s="115"/>
      <c r="AU896" s="115"/>
      <c r="AV896" s="115"/>
      <c r="AW896" s="115"/>
      <c r="AX896" s="115"/>
      <c r="AY896" s="115"/>
      <c r="AZ896" s="115"/>
      <c r="BA896" s="115"/>
      <c r="BB896" s="115"/>
      <c r="BC896" s="115"/>
      <c r="BD896" s="26"/>
      <c r="BE896" s="15"/>
      <c r="BH896" s="114"/>
    </row>
    <row r="897" spans="34:60" x14ac:dyDescent="0.4">
      <c r="AH897" s="115"/>
      <c r="AI897" s="115"/>
      <c r="AJ897" s="115"/>
      <c r="AK897" s="115"/>
      <c r="AL897" s="115"/>
      <c r="AM897" s="122"/>
      <c r="AN897" s="122"/>
      <c r="AO897" s="122"/>
      <c r="AP897" s="115"/>
      <c r="AQ897" s="115"/>
      <c r="AR897" s="115"/>
      <c r="AS897" s="115"/>
      <c r="AT897" s="115"/>
      <c r="AU897" s="115"/>
      <c r="AV897" s="115"/>
      <c r="AW897" s="115"/>
      <c r="AX897" s="115"/>
      <c r="AY897" s="115"/>
      <c r="AZ897" s="115"/>
      <c r="BA897" s="115"/>
      <c r="BB897" s="115"/>
      <c r="BC897" s="115"/>
      <c r="BD897" s="26"/>
      <c r="BE897" s="15"/>
      <c r="BH897" s="114"/>
    </row>
    <row r="898" spans="34:60" x14ac:dyDescent="0.4">
      <c r="AH898" s="115"/>
      <c r="AI898" s="115"/>
      <c r="AJ898" s="115"/>
      <c r="AK898" s="115"/>
      <c r="AL898" s="115"/>
      <c r="AM898" s="122"/>
      <c r="AN898" s="122"/>
      <c r="AO898" s="122"/>
      <c r="AP898" s="115"/>
      <c r="AQ898" s="115"/>
      <c r="AR898" s="115"/>
      <c r="AS898" s="115"/>
      <c r="AT898" s="115"/>
      <c r="AU898" s="115"/>
      <c r="AV898" s="115"/>
      <c r="AW898" s="115"/>
      <c r="AX898" s="115"/>
      <c r="AY898" s="115"/>
      <c r="AZ898" s="115"/>
      <c r="BA898" s="115"/>
      <c r="BB898" s="115"/>
      <c r="BC898" s="115"/>
      <c r="BD898" s="26"/>
      <c r="BE898" s="15"/>
      <c r="BH898" s="114"/>
    </row>
    <row r="899" spans="34:60" x14ac:dyDescent="0.4">
      <c r="AH899" s="115"/>
      <c r="AI899" s="115"/>
      <c r="AJ899" s="115"/>
      <c r="AK899" s="115"/>
      <c r="AL899" s="115"/>
      <c r="AM899" s="122"/>
      <c r="AN899" s="122"/>
      <c r="AO899" s="122"/>
      <c r="AP899" s="115"/>
      <c r="AQ899" s="115"/>
      <c r="AR899" s="115"/>
      <c r="AS899" s="115"/>
      <c r="AT899" s="115"/>
      <c r="AU899" s="115"/>
      <c r="AV899" s="115"/>
      <c r="AW899" s="115"/>
      <c r="AX899" s="115"/>
      <c r="AY899" s="115"/>
      <c r="AZ899" s="115"/>
      <c r="BA899" s="115"/>
      <c r="BB899" s="115"/>
      <c r="BC899" s="115"/>
      <c r="BD899" s="26"/>
      <c r="BE899" s="15"/>
      <c r="BH899" s="114"/>
    </row>
    <row r="900" spans="34:60" x14ac:dyDescent="0.4">
      <c r="AH900" s="115"/>
      <c r="AI900" s="115"/>
      <c r="AJ900" s="115"/>
      <c r="AK900" s="115"/>
      <c r="AL900" s="115"/>
      <c r="AM900" s="122"/>
      <c r="AN900" s="122"/>
      <c r="AO900" s="122"/>
      <c r="AP900" s="115"/>
      <c r="AQ900" s="115"/>
      <c r="AR900" s="115"/>
      <c r="AS900" s="115"/>
      <c r="AT900" s="115"/>
      <c r="AU900" s="115"/>
      <c r="AV900" s="115"/>
      <c r="AW900" s="115"/>
      <c r="AX900" s="115"/>
      <c r="AY900" s="115"/>
      <c r="AZ900" s="115"/>
      <c r="BA900" s="115"/>
      <c r="BB900" s="115"/>
      <c r="BC900" s="115"/>
      <c r="BD900" s="26"/>
      <c r="BE900" s="15"/>
      <c r="BH900" s="114"/>
    </row>
    <row r="901" spans="34:60" x14ac:dyDescent="0.4">
      <c r="AH901" s="115"/>
      <c r="AI901" s="115"/>
      <c r="AJ901" s="115"/>
      <c r="AK901" s="115"/>
      <c r="AL901" s="115"/>
      <c r="AM901" s="122"/>
      <c r="AN901" s="122"/>
      <c r="AO901" s="122"/>
      <c r="AP901" s="115"/>
      <c r="AQ901" s="115"/>
      <c r="AR901" s="115"/>
      <c r="AS901" s="115"/>
      <c r="AT901" s="115"/>
      <c r="AU901" s="115"/>
      <c r="AV901" s="115"/>
      <c r="AW901" s="115"/>
      <c r="AX901" s="115"/>
      <c r="AY901" s="115"/>
      <c r="AZ901" s="115"/>
      <c r="BA901" s="115"/>
      <c r="BB901" s="115"/>
      <c r="BC901" s="115"/>
      <c r="BD901" s="26"/>
      <c r="BE901" s="15"/>
      <c r="BH901" s="114"/>
    </row>
    <row r="902" spans="34:60" x14ac:dyDescent="0.4">
      <c r="AH902" s="115"/>
      <c r="AI902" s="115"/>
      <c r="AJ902" s="115"/>
      <c r="AK902" s="115"/>
      <c r="AL902" s="115"/>
      <c r="AM902" s="122"/>
      <c r="AN902" s="122"/>
      <c r="AO902" s="122"/>
      <c r="AP902" s="115"/>
      <c r="AQ902" s="115"/>
      <c r="AR902" s="115"/>
      <c r="AS902" s="115"/>
      <c r="AT902" s="115"/>
      <c r="AU902" s="115"/>
      <c r="AV902" s="115"/>
      <c r="AW902" s="115"/>
      <c r="AX902" s="115"/>
      <c r="AY902" s="115"/>
      <c r="AZ902" s="115"/>
      <c r="BA902" s="115"/>
      <c r="BB902" s="115"/>
      <c r="BC902" s="115"/>
      <c r="BD902" s="17"/>
      <c r="BE902" s="15"/>
      <c r="BH902" s="114"/>
    </row>
    <row r="903" spans="34:60" x14ac:dyDescent="0.4">
      <c r="AH903" s="115"/>
      <c r="AI903" s="115"/>
      <c r="AJ903" s="115"/>
      <c r="AK903" s="115"/>
      <c r="AL903" s="115"/>
      <c r="AM903" s="122"/>
      <c r="AN903" s="122"/>
      <c r="AO903" s="122"/>
      <c r="AP903" s="115"/>
      <c r="AQ903" s="115"/>
      <c r="AR903" s="115"/>
      <c r="AS903" s="115"/>
      <c r="AT903" s="115"/>
      <c r="AU903" s="115"/>
      <c r="AV903" s="115"/>
      <c r="AW903" s="115"/>
      <c r="AX903" s="115"/>
      <c r="AY903" s="115"/>
      <c r="AZ903" s="115"/>
      <c r="BA903" s="115"/>
      <c r="BB903" s="115"/>
      <c r="BC903" s="115"/>
      <c r="BD903" s="26"/>
      <c r="BE903" s="15"/>
      <c r="BH903" s="114"/>
    </row>
    <row r="904" spans="34:60" x14ac:dyDescent="0.4">
      <c r="AH904" s="115"/>
      <c r="AI904" s="115"/>
      <c r="AJ904" s="115"/>
      <c r="AK904" s="115"/>
      <c r="AL904" s="115"/>
      <c r="AM904" s="122"/>
      <c r="AN904" s="122"/>
      <c r="AO904" s="122"/>
      <c r="AP904" s="115"/>
      <c r="AQ904" s="115"/>
      <c r="AR904" s="115"/>
      <c r="AS904" s="115"/>
      <c r="AT904" s="115"/>
      <c r="AU904" s="115"/>
      <c r="AV904" s="115"/>
      <c r="AW904" s="115"/>
      <c r="AX904" s="115"/>
      <c r="AY904" s="115"/>
      <c r="AZ904" s="115"/>
      <c r="BA904" s="115"/>
      <c r="BB904" s="115"/>
      <c r="BC904" s="115"/>
      <c r="BD904" s="26"/>
      <c r="BE904" s="13"/>
      <c r="BH904" s="114"/>
    </row>
    <row r="905" spans="34:60" x14ac:dyDescent="0.4">
      <c r="AH905" s="115"/>
      <c r="AI905" s="115"/>
      <c r="AJ905" s="115"/>
      <c r="AK905" s="115"/>
      <c r="AL905" s="115"/>
      <c r="AM905" s="122"/>
      <c r="AN905" s="122"/>
      <c r="AO905" s="122"/>
      <c r="AP905" s="115"/>
      <c r="AQ905" s="115"/>
      <c r="AR905" s="115"/>
      <c r="AS905" s="115"/>
      <c r="AT905" s="115"/>
      <c r="AU905" s="115"/>
      <c r="AV905" s="115"/>
      <c r="AW905" s="115"/>
      <c r="AX905" s="115"/>
      <c r="AY905" s="115"/>
      <c r="AZ905" s="115"/>
      <c r="BA905" s="115"/>
      <c r="BB905" s="115"/>
      <c r="BC905" s="115"/>
      <c r="BD905" s="26"/>
      <c r="BE905" s="13"/>
      <c r="BH905" s="114"/>
    </row>
    <row r="906" spans="34:60" x14ac:dyDescent="0.4">
      <c r="AH906" s="115"/>
      <c r="AI906" s="115"/>
      <c r="AJ906" s="115"/>
      <c r="AK906" s="115"/>
      <c r="AL906" s="115"/>
      <c r="AM906" s="122"/>
      <c r="AN906" s="122"/>
      <c r="AO906" s="122"/>
      <c r="AP906" s="115"/>
      <c r="AQ906" s="115"/>
      <c r="AR906" s="115"/>
      <c r="AS906" s="115"/>
      <c r="AT906" s="115"/>
      <c r="AU906" s="115"/>
      <c r="AV906" s="115"/>
      <c r="AW906" s="115"/>
      <c r="AX906" s="115"/>
      <c r="AY906" s="115"/>
      <c r="AZ906" s="115"/>
      <c r="BA906" s="115"/>
      <c r="BB906" s="115"/>
      <c r="BC906" s="115"/>
      <c r="BD906" s="26"/>
      <c r="BE906" s="13"/>
      <c r="BH906" s="114"/>
    </row>
    <row r="907" spans="34:60" x14ac:dyDescent="0.4">
      <c r="AH907" s="115"/>
      <c r="AI907" s="115"/>
      <c r="AJ907" s="115"/>
      <c r="AK907" s="115"/>
      <c r="AL907" s="115"/>
      <c r="AM907" s="122"/>
      <c r="AN907" s="122"/>
      <c r="AO907" s="122"/>
      <c r="AP907" s="115"/>
      <c r="AQ907" s="115"/>
      <c r="AR907" s="115"/>
      <c r="AS907" s="115"/>
      <c r="AT907" s="115"/>
      <c r="AU907" s="115"/>
      <c r="AV907" s="115"/>
      <c r="AW907" s="115"/>
      <c r="AX907" s="115"/>
      <c r="AY907" s="115"/>
      <c r="AZ907" s="115"/>
      <c r="BA907" s="115"/>
      <c r="BB907" s="115"/>
      <c r="BC907" s="115"/>
      <c r="BD907" s="26"/>
      <c r="BE907" s="13"/>
      <c r="BH907" s="114"/>
    </row>
    <row r="908" spans="34:60" x14ac:dyDescent="0.4">
      <c r="AH908" s="115"/>
      <c r="AI908" s="115"/>
      <c r="AJ908" s="115"/>
      <c r="AK908" s="115"/>
      <c r="AL908" s="115"/>
      <c r="AM908" s="122"/>
      <c r="AN908" s="122"/>
      <c r="AO908" s="122"/>
      <c r="AP908" s="115"/>
      <c r="AQ908" s="115"/>
      <c r="AR908" s="115"/>
      <c r="AS908" s="115"/>
      <c r="AT908" s="115"/>
      <c r="AU908" s="115"/>
      <c r="AV908" s="115"/>
      <c r="AW908" s="115"/>
      <c r="AX908" s="115"/>
      <c r="AY908" s="115"/>
      <c r="AZ908" s="115"/>
      <c r="BA908" s="115"/>
      <c r="BB908" s="115"/>
      <c r="BC908" s="115"/>
      <c r="BD908" s="26"/>
      <c r="BE908" s="13"/>
      <c r="BH908" s="114"/>
    </row>
    <row r="909" spans="34:60" x14ac:dyDescent="0.4">
      <c r="AH909" s="115"/>
      <c r="AI909" s="115"/>
      <c r="AJ909" s="115"/>
      <c r="AK909" s="115"/>
      <c r="AL909" s="115"/>
      <c r="AM909" s="122"/>
      <c r="AN909" s="122"/>
      <c r="AO909" s="122"/>
      <c r="AP909" s="115"/>
      <c r="AQ909" s="115"/>
      <c r="AR909" s="115"/>
      <c r="AS909" s="115"/>
      <c r="AT909" s="115"/>
      <c r="AU909" s="115"/>
      <c r="AV909" s="115"/>
      <c r="AW909" s="115"/>
      <c r="AX909" s="115"/>
      <c r="AY909" s="115"/>
      <c r="AZ909" s="115"/>
      <c r="BA909" s="115"/>
      <c r="BB909" s="115"/>
      <c r="BC909" s="115"/>
      <c r="BD909" s="26"/>
      <c r="BE909" s="13"/>
      <c r="BH909" s="114"/>
    </row>
    <row r="910" spans="34:60" x14ac:dyDescent="0.4">
      <c r="AH910" s="115"/>
      <c r="AI910" s="115"/>
      <c r="AJ910" s="115"/>
      <c r="AK910" s="115"/>
      <c r="AL910" s="115"/>
      <c r="AM910" s="122"/>
      <c r="AN910" s="122"/>
      <c r="AO910" s="122"/>
      <c r="AP910" s="115"/>
      <c r="AQ910" s="115"/>
      <c r="AR910" s="115"/>
      <c r="AS910" s="115"/>
      <c r="AT910" s="115"/>
      <c r="AU910" s="115"/>
      <c r="AV910" s="115"/>
      <c r="AW910" s="115"/>
      <c r="AX910" s="115"/>
      <c r="AY910" s="115"/>
      <c r="AZ910" s="115"/>
      <c r="BA910" s="115"/>
      <c r="BB910" s="115"/>
      <c r="BC910" s="115"/>
      <c r="BD910" s="26"/>
      <c r="BE910" s="13"/>
      <c r="BH910" s="114"/>
    </row>
    <row r="911" spans="34:60" x14ac:dyDescent="0.4">
      <c r="AH911" s="115"/>
      <c r="AI911" s="115"/>
      <c r="AJ911" s="115"/>
      <c r="AK911" s="115"/>
      <c r="AL911" s="115"/>
      <c r="AM911" s="122"/>
      <c r="AN911" s="122"/>
      <c r="AO911" s="122"/>
      <c r="AP911" s="115"/>
      <c r="AQ911" s="115"/>
      <c r="AR911" s="115"/>
      <c r="AS911" s="115"/>
      <c r="AT911" s="115"/>
      <c r="AU911" s="115"/>
      <c r="AV911" s="115"/>
      <c r="AW911" s="115"/>
      <c r="AX911" s="115"/>
      <c r="AY911" s="115"/>
      <c r="AZ911" s="115"/>
      <c r="BA911" s="115"/>
      <c r="BB911" s="115"/>
      <c r="BC911" s="115"/>
      <c r="BD911" s="26"/>
      <c r="BE911" s="13"/>
      <c r="BH911" s="114"/>
    </row>
    <row r="912" spans="34:60" x14ac:dyDescent="0.4">
      <c r="AH912" s="115"/>
      <c r="AI912" s="115"/>
      <c r="AJ912" s="115"/>
      <c r="AK912" s="115"/>
      <c r="AL912" s="115"/>
      <c r="AM912" s="122"/>
      <c r="AN912" s="122"/>
      <c r="AO912" s="122"/>
      <c r="AP912" s="115"/>
      <c r="AQ912" s="115"/>
      <c r="AR912" s="115"/>
      <c r="AS912" s="115"/>
      <c r="AT912" s="115"/>
      <c r="AU912" s="115"/>
      <c r="AV912" s="115"/>
      <c r="AW912" s="115"/>
      <c r="AX912" s="115"/>
      <c r="AY912" s="115"/>
      <c r="AZ912" s="115"/>
      <c r="BA912" s="115"/>
      <c r="BB912" s="115"/>
      <c r="BC912" s="115"/>
      <c r="BD912" s="26"/>
      <c r="BE912" s="13"/>
      <c r="BH912" s="114"/>
    </row>
    <row r="913" spans="33:60" x14ac:dyDescent="0.4">
      <c r="AH913" s="115"/>
      <c r="AI913" s="115"/>
      <c r="AJ913" s="115"/>
      <c r="AK913" s="115"/>
      <c r="AL913" s="115"/>
      <c r="AM913" s="122"/>
      <c r="AN913" s="122"/>
      <c r="AO913" s="122"/>
      <c r="AP913" s="115"/>
      <c r="AQ913" s="115"/>
      <c r="AR913" s="115"/>
      <c r="AS913" s="115"/>
      <c r="AT913" s="115"/>
      <c r="AU913" s="115"/>
      <c r="AV913" s="115"/>
      <c r="AW913" s="115"/>
      <c r="AX913" s="115"/>
      <c r="AY913" s="115"/>
      <c r="AZ913" s="115"/>
      <c r="BA913" s="115"/>
      <c r="BB913" s="115"/>
      <c r="BC913" s="115"/>
      <c r="BD913" s="26"/>
      <c r="BE913" s="13"/>
      <c r="BH913" s="114"/>
    </row>
    <row r="914" spans="33:60" x14ac:dyDescent="0.4">
      <c r="AH914" s="115"/>
      <c r="AI914" s="115"/>
      <c r="AJ914" s="115"/>
      <c r="AK914" s="115"/>
      <c r="AL914" s="115"/>
      <c r="AM914" s="122"/>
      <c r="AN914" s="122"/>
      <c r="AO914" s="122"/>
      <c r="AP914" s="115"/>
      <c r="AQ914" s="115"/>
      <c r="AR914" s="115"/>
      <c r="AS914" s="115"/>
      <c r="AT914" s="115"/>
      <c r="AU914" s="115"/>
      <c r="AV914" s="115"/>
      <c r="AW914" s="115"/>
      <c r="AX914" s="115"/>
      <c r="AY914" s="115"/>
      <c r="AZ914" s="115"/>
      <c r="BA914" s="115"/>
      <c r="BB914" s="115"/>
      <c r="BC914" s="115"/>
      <c r="BD914" s="26"/>
      <c r="BE914" s="13"/>
      <c r="BH914" s="114"/>
    </row>
    <row r="915" spans="33:60" x14ac:dyDescent="0.4">
      <c r="AH915" s="115"/>
      <c r="AI915" s="115"/>
      <c r="AJ915" s="115"/>
      <c r="AK915" s="115"/>
      <c r="AL915" s="115"/>
      <c r="AM915" s="122"/>
      <c r="AN915" s="122"/>
      <c r="AO915" s="122"/>
      <c r="AP915" s="115"/>
      <c r="AQ915" s="115"/>
      <c r="AR915" s="115"/>
      <c r="AS915" s="115"/>
      <c r="AT915" s="115"/>
      <c r="AU915" s="115"/>
      <c r="AV915" s="115"/>
      <c r="AW915" s="115"/>
      <c r="AX915" s="115"/>
      <c r="AY915" s="115"/>
      <c r="AZ915" s="115"/>
      <c r="BA915" s="115"/>
      <c r="BB915" s="115"/>
      <c r="BC915" s="115"/>
      <c r="BD915" s="17"/>
      <c r="BE915" s="13"/>
      <c r="BH915" s="114"/>
    </row>
    <row r="916" spans="33:60" x14ac:dyDescent="0.4">
      <c r="AH916" s="115"/>
      <c r="AI916" s="115"/>
      <c r="AJ916" s="115"/>
      <c r="AK916" s="115"/>
      <c r="AL916" s="115"/>
      <c r="AM916" s="122"/>
      <c r="AN916" s="122"/>
      <c r="AO916" s="122"/>
      <c r="AP916" s="115"/>
      <c r="AQ916" s="115"/>
      <c r="AR916" s="115"/>
      <c r="AS916" s="115"/>
      <c r="AT916" s="115"/>
      <c r="AU916" s="115"/>
      <c r="AV916" s="115"/>
      <c r="AW916" s="115"/>
      <c r="AX916" s="115"/>
      <c r="AY916" s="115"/>
      <c r="AZ916" s="115"/>
      <c r="BA916" s="115"/>
      <c r="BB916" s="115"/>
      <c r="BC916" s="115"/>
      <c r="BD916" s="26"/>
      <c r="BE916" s="13"/>
      <c r="BH916" s="114"/>
    </row>
    <row r="917" spans="33:60" x14ac:dyDescent="0.4">
      <c r="AH917" s="115"/>
      <c r="AI917" s="115"/>
      <c r="AJ917" s="115"/>
      <c r="AK917" s="115"/>
      <c r="AL917" s="115"/>
      <c r="AM917" s="122"/>
      <c r="AN917" s="122"/>
      <c r="AO917" s="122"/>
      <c r="AP917" s="115"/>
      <c r="AQ917" s="115"/>
      <c r="AR917" s="115"/>
      <c r="AS917" s="115"/>
      <c r="AT917" s="115"/>
      <c r="AU917" s="115"/>
      <c r="AV917" s="115"/>
      <c r="AW917" s="115"/>
      <c r="AX917" s="115"/>
      <c r="AY917" s="115"/>
      <c r="AZ917" s="115"/>
      <c r="BA917" s="115"/>
      <c r="BB917" s="115"/>
      <c r="BC917" s="115"/>
      <c r="BD917" s="26"/>
      <c r="BE917" s="13"/>
      <c r="BH917" s="114"/>
    </row>
    <row r="918" spans="33:60" x14ac:dyDescent="0.4">
      <c r="AH918" s="115"/>
      <c r="AI918" s="115"/>
      <c r="AJ918" s="115"/>
      <c r="AK918" s="115"/>
      <c r="AL918" s="115"/>
      <c r="AM918" s="122"/>
      <c r="AN918" s="122"/>
      <c r="AO918" s="122"/>
      <c r="AP918" s="115"/>
      <c r="AQ918" s="115"/>
      <c r="AR918" s="115"/>
      <c r="AS918" s="115"/>
      <c r="AT918" s="115"/>
      <c r="AU918" s="115"/>
      <c r="AV918" s="115"/>
      <c r="AW918" s="115"/>
      <c r="AX918" s="115"/>
      <c r="AY918" s="115"/>
      <c r="AZ918" s="115"/>
      <c r="BA918" s="115"/>
      <c r="BB918" s="115"/>
      <c r="BC918" s="115"/>
      <c r="BD918" s="26"/>
      <c r="BE918" s="13"/>
      <c r="BH918" s="114"/>
    </row>
    <row r="919" spans="33:60" x14ac:dyDescent="0.4">
      <c r="AH919" s="115"/>
      <c r="AI919" s="115"/>
      <c r="AJ919" s="115"/>
      <c r="AK919" s="115"/>
      <c r="AL919" s="115"/>
      <c r="AM919" s="122"/>
      <c r="AN919" s="122"/>
      <c r="AO919" s="122"/>
      <c r="AP919" s="115"/>
      <c r="AQ919" s="115"/>
      <c r="AR919" s="115"/>
      <c r="AS919" s="115"/>
      <c r="AT919" s="115"/>
      <c r="AU919" s="115"/>
      <c r="AV919" s="115"/>
      <c r="AW919" s="115"/>
      <c r="AX919" s="115"/>
      <c r="AY919" s="115"/>
      <c r="AZ919" s="115"/>
      <c r="BA919" s="115"/>
      <c r="BB919" s="115"/>
      <c r="BC919" s="115"/>
      <c r="BD919" s="17"/>
      <c r="BE919" s="13"/>
      <c r="BH919" s="114"/>
    </row>
    <row r="920" spans="33:60" x14ac:dyDescent="0.4">
      <c r="AH920" s="115"/>
      <c r="AI920" s="115"/>
      <c r="AJ920" s="115"/>
      <c r="AK920" s="115"/>
      <c r="AL920" s="115"/>
      <c r="AM920" s="122"/>
      <c r="AN920" s="122"/>
      <c r="AO920" s="122"/>
      <c r="AP920" s="115"/>
      <c r="AQ920" s="115"/>
      <c r="AR920" s="115"/>
      <c r="AS920" s="115"/>
      <c r="AT920" s="115"/>
      <c r="AU920" s="115"/>
      <c r="AV920" s="115"/>
      <c r="AW920" s="115"/>
      <c r="AX920" s="115"/>
      <c r="AY920" s="115"/>
      <c r="AZ920" s="115"/>
      <c r="BA920" s="115"/>
      <c r="BB920" s="115"/>
      <c r="BC920" s="115"/>
      <c r="BD920" s="26"/>
      <c r="BE920" s="13"/>
      <c r="BH920" s="114"/>
    </row>
    <row r="921" spans="33:60" x14ac:dyDescent="0.4">
      <c r="AH921" s="115"/>
      <c r="AI921" s="115"/>
      <c r="AJ921" s="115"/>
      <c r="AK921" s="115"/>
      <c r="AL921" s="115"/>
      <c r="AM921" s="122"/>
      <c r="AN921" s="122"/>
      <c r="AO921" s="122"/>
      <c r="AP921" s="115"/>
      <c r="AQ921" s="115"/>
      <c r="AR921" s="115"/>
      <c r="AS921" s="115"/>
      <c r="AT921" s="115"/>
      <c r="AU921" s="115"/>
      <c r="AV921" s="115"/>
      <c r="AW921" s="115"/>
      <c r="AX921" s="115"/>
      <c r="AY921" s="115"/>
      <c r="AZ921" s="115"/>
      <c r="BA921" s="115"/>
      <c r="BB921" s="115"/>
      <c r="BC921" s="115"/>
      <c r="BD921" s="17"/>
      <c r="BE921" s="13"/>
      <c r="BH921" s="114"/>
    </row>
    <row r="922" spans="33:60" x14ac:dyDescent="0.4">
      <c r="AH922" s="115"/>
      <c r="AI922" s="115"/>
      <c r="AJ922" s="115"/>
      <c r="AK922" s="115"/>
      <c r="AL922" s="115"/>
      <c r="AM922" s="122"/>
      <c r="AN922" s="122"/>
      <c r="AO922" s="122"/>
      <c r="AP922" s="115"/>
      <c r="AQ922" s="115"/>
      <c r="AR922" s="115"/>
      <c r="AS922" s="115"/>
      <c r="AT922" s="115"/>
      <c r="AU922" s="115"/>
      <c r="AV922" s="115"/>
      <c r="AW922" s="115"/>
      <c r="AX922" s="115"/>
      <c r="AY922" s="115"/>
      <c r="AZ922" s="115"/>
      <c r="BA922" s="115"/>
      <c r="BB922" s="115"/>
      <c r="BC922" s="115"/>
      <c r="BD922" s="26"/>
      <c r="BE922" s="13"/>
      <c r="BH922" s="114"/>
    </row>
    <row r="923" spans="33:60" x14ac:dyDescent="0.4">
      <c r="AH923" s="115"/>
      <c r="AI923" s="115"/>
      <c r="AJ923" s="115"/>
      <c r="AK923" s="115"/>
      <c r="AL923" s="115"/>
      <c r="AM923" s="122"/>
      <c r="AN923" s="122"/>
      <c r="AO923" s="122"/>
      <c r="AP923" s="115"/>
      <c r="AQ923" s="115"/>
      <c r="AR923" s="115"/>
      <c r="AS923" s="115"/>
      <c r="AT923" s="115"/>
      <c r="AU923" s="115"/>
      <c r="AV923" s="115"/>
      <c r="AW923" s="115"/>
      <c r="AX923" s="115"/>
      <c r="AY923" s="115"/>
      <c r="AZ923" s="115"/>
      <c r="BA923" s="115"/>
      <c r="BB923" s="115"/>
      <c r="BC923" s="115"/>
      <c r="BD923" s="26"/>
      <c r="BE923" s="15"/>
      <c r="BH923" s="114"/>
    </row>
    <row r="924" spans="33:60" x14ac:dyDescent="0.4">
      <c r="AH924" s="115"/>
      <c r="AI924" s="115"/>
      <c r="AJ924" s="115"/>
      <c r="AK924" s="115"/>
      <c r="AL924" s="115"/>
      <c r="AM924" s="122"/>
      <c r="AN924" s="122"/>
      <c r="AO924" s="122"/>
      <c r="AP924" s="115"/>
      <c r="AQ924" s="115"/>
      <c r="AR924" s="115"/>
      <c r="AS924" s="115"/>
      <c r="AT924" s="115"/>
      <c r="AU924" s="115"/>
      <c r="AV924" s="115"/>
      <c r="AW924" s="115"/>
      <c r="AX924" s="115"/>
      <c r="AY924" s="115"/>
      <c r="AZ924" s="115"/>
      <c r="BA924" s="115"/>
      <c r="BB924" s="115"/>
      <c r="BC924" s="115"/>
      <c r="BD924" s="17"/>
      <c r="BE924" s="15"/>
      <c r="BH924" s="114"/>
    </row>
    <row r="925" spans="33:60" x14ac:dyDescent="0.4">
      <c r="AH925" s="115"/>
      <c r="AI925" s="115"/>
      <c r="AJ925" s="115"/>
      <c r="AK925" s="115"/>
      <c r="AL925" s="115"/>
      <c r="AM925" s="122"/>
      <c r="AN925" s="122"/>
      <c r="AO925" s="122"/>
      <c r="AP925" s="115"/>
      <c r="AQ925" s="115"/>
      <c r="AR925" s="115"/>
      <c r="AS925" s="115"/>
      <c r="AT925" s="115"/>
      <c r="AU925" s="115"/>
      <c r="AV925" s="115"/>
      <c r="AW925" s="115"/>
      <c r="AX925" s="115"/>
      <c r="AY925" s="115"/>
      <c r="AZ925" s="115"/>
      <c r="BA925" s="115"/>
      <c r="BB925" s="115"/>
      <c r="BC925" s="115"/>
      <c r="BD925" s="17"/>
      <c r="BE925" s="15"/>
      <c r="BH925" s="114"/>
    </row>
    <row r="926" spans="33:60" x14ac:dyDescent="0.4">
      <c r="AG926" s="115"/>
      <c r="AH926" s="115"/>
      <c r="AI926" s="115"/>
      <c r="AJ926" s="115"/>
      <c r="AK926" s="115"/>
      <c r="AL926" s="115"/>
      <c r="AM926" s="122"/>
      <c r="AN926" s="122"/>
      <c r="AO926" s="122"/>
      <c r="AP926" s="115"/>
      <c r="AQ926" s="115"/>
      <c r="AR926" s="115"/>
      <c r="AS926" s="115"/>
      <c r="AT926" s="115"/>
      <c r="AU926" s="115"/>
      <c r="AV926" s="115"/>
      <c r="AW926" s="115"/>
      <c r="AX926" s="115"/>
      <c r="AY926" s="115"/>
      <c r="AZ926" s="115"/>
      <c r="BA926" s="115"/>
      <c r="BB926" s="115"/>
      <c r="BC926" s="115"/>
      <c r="BD926" s="26"/>
      <c r="BE926" s="15"/>
      <c r="BH926" s="114"/>
    </row>
    <row r="927" spans="33:60" x14ac:dyDescent="0.4">
      <c r="AG927" s="115"/>
      <c r="AH927" s="115"/>
      <c r="AI927" s="115"/>
      <c r="AJ927" s="115"/>
      <c r="AK927" s="115"/>
      <c r="AL927" s="115"/>
      <c r="AM927" s="122"/>
      <c r="AN927" s="122"/>
      <c r="AO927" s="122"/>
      <c r="AP927" s="115"/>
      <c r="AQ927" s="115"/>
      <c r="AR927" s="115"/>
      <c r="AS927" s="115"/>
      <c r="AT927" s="115"/>
      <c r="AU927" s="115"/>
      <c r="AV927" s="115"/>
      <c r="AW927" s="115"/>
      <c r="AX927" s="115"/>
      <c r="AY927" s="115"/>
      <c r="AZ927" s="115"/>
      <c r="BA927" s="115"/>
      <c r="BB927" s="115"/>
      <c r="BC927" s="115"/>
      <c r="BD927" s="17"/>
      <c r="BE927" s="15"/>
      <c r="BH927" s="114"/>
    </row>
    <row r="928" spans="33:60" x14ac:dyDescent="0.4">
      <c r="AG928" s="115"/>
      <c r="AH928" s="115"/>
      <c r="AI928" s="115"/>
      <c r="AJ928" s="115"/>
      <c r="AK928" s="115"/>
      <c r="AL928" s="115"/>
      <c r="AM928" s="122"/>
      <c r="AN928" s="122"/>
      <c r="AO928" s="122"/>
      <c r="AP928" s="115"/>
      <c r="AQ928" s="115"/>
      <c r="AR928" s="115"/>
      <c r="AS928" s="115"/>
      <c r="AT928" s="115"/>
      <c r="AU928" s="115"/>
      <c r="AV928" s="115"/>
      <c r="AW928" s="115"/>
      <c r="AX928" s="115"/>
      <c r="AY928" s="115"/>
      <c r="AZ928" s="115"/>
      <c r="BA928" s="115"/>
      <c r="BB928" s="115"/>
      <c r="BC928" s="115"/>
      <c r="BD928" s="26"/>
      <c r="BE928" s="15"/>
      <c r="BH928" s="114"/>
    </row>
    <row r="929" spans="33:60" x14ac:dyDescent="0.4">
      <c r="AG929" s="115"/>
      <c r="AH929" s="115"/>
      <c r="AI929" s="115"/>
      <c r="AJ929" s="115"/>
      <c r="AK929" s="115"/>
      <c r="AL929" s="115"/>
      <c r="AM929" s="122"/>
      <c r="AN929" s="122"/>
      <c r="AO929" s="122"/>
      <c r="AP929" s="115"/>
      <c r="AQ929" s="115"/>
      <c r="AR929" s="115"/>
      <c r="AS929" s="115"/>
      <c r="AT929" s="115"/>
      <c r="AU929" s="115"/>
      <c r="AV929" s="115"/>
      <c r="AW929" s="115"/>
      <c r="AX929" s="115"/>
      <c r="AY929" s="115"/>
      <c r="AZ929" s="115"/>
      <c r="BA929" s="115"/>
      <c r="BB929" s="115"/>
      <c r="BC929" s="115"/>
      <c r="BD929" s="26"/>
      <c r="BE929" s="15"/>
      <c r="BH929" s="114"/>
    </row>
    <row r="930" spans="33:60" x14ac:dyDescent="0.4">
      <c r="AG930" s="115"/>
      <c r="AH930" s="115"/>
      <c r="AI930" s="115"/>
      <c r="AJ930" s="115"/>
      <c r="AK930" s="115"/>
      <c r="AL930" s="115"/>
      <c r="AM930" s="122"/>
      <c r="AN930" s="122"/>
      <c r="AO930" s="122"/>
      <c r="AP930" s="115"/>
      <c r="AQ930" s="115"/>
      <c r="AR930" s="115"/>
      <c r="AS930" s="115"/>
      <c r="AT930" s="115"/>
      <c r="AU930" s="115"/>
      <c r="AV930" s="115"/>
      <c r="AW930" s="115"/>
      <c r="AX930" s="115"/>
      <c r="AY930" s="115"/>
      <c r="AZ930" s="115"/>
      <c r="BA930" s="115"/>
      <c r="BB930" s="115"/>
      <c r="BC930" s="115"/>
      <c r="BD930" s="17"/>
      <c r="BE930" s="15"/>
      <c r="BH930" s="114"/>
    </row>
    <row r="931" spans="33:60" x14ac:dyDescent="0.4">
      <c r="AG931" s="115"/>
      <c r="AH931" s="115"/>
      <c r="AI931" s="115"/>
      <c r="AJ931" s="115"/>
      <c r="AK931" s="115"/>
      <c r="AL931" s="115"/>
      <c r="AM931" s="122"/>
      <c r="AN931" s="122"/>
      <c r="AO931" s="122"/>
      <c r="AP931" s="115"/>
      <c r="AQ931" s="115"/>
      <c r="AR931" s="115"/>
      <c r="AS931" s="115"/>
      <c r="AT931" s="115"/>
      <c r="AU931" s="115"/>
      <c r="AV931" s="115"/>
      <c r="AW931" s="115"/>
      <c r="AX931" s="115"/>
      <c r="AY931" s="115"/>
      <c r="AZ931" s="115"/>
      <c r="BA931" s="115"/>
      <c r="BB931" s="115"/>
      <c r="BC931" s="115"/>
      <c r="BD931" s="26"/>
      <c r="BE931" s="15"/>
      <c r="BH931" s="114"/>
    </row>
    <row r="932" spans="33:60" x14ac:dyDescent="0.4">
      <c r="AG932" s="115"/>
      <c r="AH932" s="115"/>
      <c r="AI932" s="115"/>
      <c r="AJ932" s="115"/>
      <c r="AK932" s="115"/>
      <c r="AL932" s="115"/>
      <c r="AM932" s="122"/>
      <c r="AN932" s="122"/>
      <c r="AO932" s="122"/>
      <c r="AP932" s="115"/>
      <c r="AQ932" s="115"/>
      <c r="AR932" s="115"/>
      <c r="AS932" s="115"/>
      <c r="AT932" s="115"/>
      <c r="AU932" s="115"/>
      <c r="AV932" s="115"/>
      <c r="AW932" s="115"/>
      <c r="AX932" s="115"/>
      <c r="AY932" s="115"/>
      <c r="AZ932" s="115"/>
      <c r="BA932" s="115"/>
      <c r="BB932" s="115"/>
      <c r="BC932" s="115"/>
      <c r="BD932" s="17"/>
      <c r="BE932" s="15"/>
      <c r="BH932" s="114"/>
    </row>
    <row r="933" spans="33:60" x14ac:dyDescent="0.4">
      <c r="AG933" s="115"/>
      <c r="AH933" s="115"/>
      <c r="AI933" s="115"/>
      <c r="AJ933" s="115"/>
      <c r="AK933" s="115"/>
      <c r="AL933" s="115"/>
      <c r="AM933" s="122"/>
      <c r="AN933" s="122"/>
      <c r="AO933" s="122"/>
      <c r="AP933" s="115"/>
      <c r="AQ933" s="115"/>
      <c r="AR933" s="115"/>
      <c r="AS933" s="115"/>
      <c r="AT933" s="115"/>
      <c r="AU933" s="115"/>
      <c r="AV933" s="115"/>
      <c r="AW933" s="115"/>
      <c r="AX933" s="115"/>
      <c r="AY933" s="115"/>
      <c r="AZ933" s="115"/>
      <c r="BA933" s="115"/>
      <c r="BB933" s="115"/>
      <c r="BC933" s="115"/>
      <c r="BD933" s="17"/>
      <c r="BE933" s="15"/>
      <c r="BH933" s="114"/>
    </row>
    <row r="934" spans="33:60" x14ac:dyDescent="0.4">
      <c r="AG934" s="115"/>
      <c r="AH934" s="115"/>
      <c r="AI934" s="115"/>
      <c r="AJ934" s="115"/>
      <c r="AK934" s="115"/>
      <c r="AL934" s="115"/>
      <c r="AM934" s="122"/>
      <c r="AN934" s="122"/>
      <c r="AO934" s="122"/>
      <c r="AP934" s="115"/>
      <c r="AQ934" s="115"/>
      <c r="AR934" s="115"/>
      <c r="AS934" s="115"/>
      <c r="AT934" s="115"/>
      <c r="AU934" s="115"/>
      <c r="AV934" s="115"/>
      <c r="AW934" s="115"/>
      <c r="AX934" s="115"/>
      <c r="AY934" s="115"/>
      <c r="AZ934" s="115"/>
      <c r="BA934" s="115"/>
      <c r="BB934" s="115"/>
      <c r="BC934" s="115"/>
      <c r="BD934" s="26"/>
      <c r="BE934" s="15"/>
      <c r="BH934" s="114"/>
    </row>
    <row r="935" spans="33:60" x14ac:dyDescent="0.4">
      <c r="AG935" s="115"/>
      <c r="AH935" s="115"/>
      <c r="AI935" s="115"/>
      <c r="AJ935" s="115"/>
      <c r="AK935" s="115"/>
      <c r="AL935" s="115"/>
      <c r="AM935" s="122"/>
      <c r="AN935" s="122"/>
      <c r="AO935" s="122"/>
      <c r="AP935" s="115"/>
      <c r="AQ935" s="115"/>
      <c r="AR935" s="115"/>
      <c r="AS935" s="115"/>
      <c r="AT935" s="115"/>
      <c r="AU935" s="115"/>
      <c r="AV935" s="115"/>
      <c r="AW935" s="115"/>
      <c r="AX935" s="115"/>
      <c r="AY935" s="115"/>
      <c r="AZ935" s="115"/>
      <c r="BA935" s="115"/>
      <c r="BB935" s="115"/>
      <c r="BC935" s="115"/>
      <c r="BD935" s="26"/>
      <c r="BE935" s="15"/>
      <c r="BH935" s="114"/>
    </row>
    <row r="936" spans="33:60" x14ac:dyDescent="0.4">
      <c r="AG936" s="115"/>
      <c r="AH936" s="115"/>
      <c r="AI936" s="115"/>
      <c r="AJ936" s="115"/>
      <c r="AK936" s="115"/>
      <c r="AL936" s="115"/>
      <c r="AM936" s="122"/>
      <c r="AN936" s="122"/>
      <c r="AO936" s="122"/>
      <c r="AP936" s="115"/>
      <c r="AQ936" s="115"/>
      <c r="AR936" s="115"/>
      <c r="AS936" s="115"/>
      <c r="AT936" s="115"/>
      <c r="AU936" s="115"/>
      <c r="AV936" s="115"/>
      <c r="AW936" s="115"/>
      <c r="AX936" s="115"/>
      <c r="AY936" s="115"/>
      <c r="AZ936" s="115"/>
      <c r="BA936" s="115"/>
      <c r="BB936" s="115"/>
      <c r="BC936" s="115"/>
      <c r="BD936" s="26"/>
      <c r="BE936" s="15"/>
      <c r="BH936" s="114"/>
    </row>
    <row r="937" spans="33:60" x14ac:dyDescent="0.4">
      <c r="AG937" s="115"/>
      <c r="AH937" s="115"/>
      <c r="AI937" s="115"/>
      <c r="AJ937" s="115"/>
      <c r="AK937" s="115"/>
      <c r="AL937" s="115"/>
      <c r="AM937" s="122"/>
      <c r="AN937" s="122"/>
      <c r="AO937" s="122"/>
      <c r="AP937" s="115"/>
      <c r="AQ937" s="115"/>
      <c r="AR937" s="115"/>
      <c r="AS937" s="115"/>
      <c r="AT937" s="115"/>
      <c r="AU937" s="115"/>
      <c r="AV937" s="115"/>
      <c r="AW937" s="115"/>
      <c r="AX937" s="115"/>
      <c r="AY937" s="115"/>
      <c r="AZ937" s="115"/>
      <c r="BA937" s="115"/>
      <c r="BB937" s="115"/>
      <c r="BC937" s="115"/>
      <c r="BD937" s="26"/>
      <c r="BE937" s="15"/>
      <c r="BH937" s="114"/>
    </row>
    <row r="938" spans="33:60" x14ac:dyDescent="0.4">
      <c r="AG938" s="115"/>
      <c r="AH938" s="115"/>
      <c r="AI938" s="115"/>
      <c r="AJ938" s="115"/>
      <c r="AK938" s="115"/>
      <c r="AL938" s="115"/>
      <c r="AM938" s="122"/>
      <c r="AN938" s="122"/>
      <c r="AO938" s="122"/>
      <c r="AP938" s="115"/>
      <c r="AQ938" s="115"/>
      <c r="AR938" s="115"/>
      <c r="AS938" s="115"/>
      <c r="AT938" s="115"/>
      <c r="AU938" s="115"/>
      <c r="AV938" s="115"/>
      <c r="AW938" s="115"/>
      <c r="AX938" s="115"/>
      <c r="AY938" s="115"/>
      <c r="AZ938" s="115"/>
      <c r="BA938" s="115"/>
      <c r="BB938" s="115"/>
      <c r="BC938" s="115"/>
      <c r="BD938" s="26"/>
      <c r="BE938" s="15"/>
      <c r="BH938" s="114"/>
    </row>
    <row r="939" spans="33:60" x14ac:dyDescent="0.4">
      <c r="AG939" s="115"/>
      <c r="AH939" s="115"/>
      <c r="AI939" s="115"/>
      <c r="AJ939" s="115"/>
      <c r="AK939" s="115"/>
      <c r="AL939" s="115"/>
      <c r="AM939" s="122"/>
      <c r="AN939" s="122"/>
      <c r="AO939" s="122"/>
      <c r="AP939" s="115"/>
      <c r="AQ939" s="115"/>
      <c r="AR939" s="115"/>
      <c r="AS939" s="115"/>
      <c r="AT939" s="115"/>
      <c r="AU939" s="115"/>
      <c r="AV939" s="115"/>
      <c r="AW939" s="115"/>
      <c r="AX939" s="115"/>
      <c r="AY939" s="115"/>
      <c r="AZ939" s="115"/>
      <c r="BA939" s="115"/>
      <c r="BB939" s="115"/>
      <c r="BC939" s="115"/>
      <c r="BD939" s="26"/>
      <c r="BE939" s="15"/>
      <c r="BH939" s="114"/>
    </row>
    <row r="940" spans="33:60" x14ac:dyDescent="0.4">
      <c r="AG940" s="115"/>
      <c r="AH940" s="115"/>
      <c r="AI940" s="115"/>
      <c r="AJ940" s="115"/>
      <c r="AK940" s="115"/>
      <c r="AL940" s="115"/>
      <c r="AM940" s="122"/>
      <c r="AN940" s="122"/>
      <c r="AO940" s="122"/>
      <c r="AP940" s="115"/>
      <c r="AQ940" s="115"/>
      <c r="AR940" s="115"/>
      <c r="AS940" s="115"/>
      <c r="AT940" s="115"/>
      <c r="AU940" s="115"/>
      <c r="AV940" s="115"/>
      <c r="AW940" s="115"/>
      <c r="AX940" s="115"/>
      <c r="AY940" s="115"/>
      <c r="AZ940" s="115"/>
      <c r="BA940" s="115"/>
      <c r="BB940" s="115"/>
      <c r="BC940" s="115"/>
      <c r="BD940" s="26"/>
      <c r="BE940" s="15"/>
      <c r="BH940" s="114"/>
    </row>
    <row r="941" spans="33:60" x14ac:dyDescent="0.4">
      <c r="AG941" s="115"/>
      <c r="AH941" s="115"/>
      <c r="AI941" s="115"/>
      <c r="AJ941" s="115"/>
      <c r="AK941" s="115"/>
      <c r="AL941" s="115"/>
      <c r="AM941" s="122"/>
      <c r="AN941" s="122"/>
      <c r="AO941" s="122"/>
      <c r="AP941" s="115"/>
      <c r="AQ941" s="115"/>
      <c r="AR941" s="115"/>
      <c r="AS941" s="115"/>
      <c r="AT941" s="115"/>
      <c r="AU941" s="115"/>
      <c r="AV941" s="115"/>
      <c r="AW941" s="115"/>
      <c r="AX941" s="115"/>
      <c r="AY941" s="115"/>
      <c r="AZ941" s="115"/>
      <c r="BA941" s="115"/>
      <c r="BB941" s="115"/>
      <c r="BC941" s="115"/>
      <c r="BD941" s="17"/>
      <c r="BE941" s="15"/>
      <c r="BH941" s="114"/>
    </row>
    <row r="942" spans="33:60" x14ac:dyDescent="0.4">
      <c r="AG942" s="115"/>
      <c r="AH942" s="115"/>
      <c r="AI942" s="115"/>
      <c r="AJ942" s="115"/>
      <c r="AK942" s="115"/>
      <c r="AL942" s="115"/>
      <c r="AM942" s="122"/>
      <c r="AN942" s="122"/>
      <c r="AO942" s="122"/>
      <c r="AP942" s="115"/>
      <c r="AQ942" s="115"/>
      <c r="AR942" s="115"/>
      <c r="AS942" s="115"/>
      <c r="AT942" s="115"/>
      <c r="AU942" s="115"/>
      <c r="AV942" s="115"/>
      <c r="AW942" s="115"/>
      <c r="AX942" s="115"/>
      <c r="AY942" s="115"/>
      <c r="AZ942" s="115"/>
      <c r="BA942" s="115"/>
      <c r="BB942" s="115"/>
      <c r="BC942" s="115"/>
      <c r="BD942" s="26"/>
      <c r="BE942" s="15"/>
      <c r="BH942" s="114"/>
    </row>
    <row r="943" spans="33:60" x14ac:dyDescent="0.4">
      <c r="AG943" s="115"/>
      <c r="AH943" s="115"/>
      <c r="AI943" s="115"/>
      <c r="AJ943" s="115"/>
      <c r="AK943" s="115"/>
      <c r="AL943" s="115"/>
      <c r="AM943" s="122"/>
      <c r="AN943" s="122"/>
      <c r="AO943" s="122"/>
      <c r="AP943" s="115"/>
      <c r="AQ943" s="115"/>
      <c r="AR943" s="115"/>
      <c r="AS943" s="115"/>
      <c r="AT943" s="115"/>
      <c r="AU943" s="115"/>
      <c r="AV943" s="115"/>
      <c r="AW943" s="115"/>
      <c r="AX943" s="115"/>
      <c r="AY943" s="115"/>
      <c r="AZ943" s="115"/>
      <c r="BA943" s="115"/>
      <c r="BB943" s="115"/>
      <c r="BC943" s="115"/>
      <c r="BD943" s="26"/>
      <c r="BE943" s="15"/>
      <c r="BH943" s="114"/>
    </row>
    <row r="944" spans="33:60" x14ac:dyDescent="0.4">
      <c r="AG944" s="115"/>
      <c r="AH944" s="115"/>
      <c r="AI944" s="115"/>
      <c r="AJ944" s="115"/>
      <c r="AK944" s="115"/>
      <c r="AL944" s="115"/>
      <c r="AM944" s="122"/>
      <c r="AN944" s="122"/>
      <c r="AO944" s="122"/>
      <c r="AP944" s="115"/>
      <c r="AQ944" s="115"/>
      <c r="AR944" s="115"/>
      <c r="AS944" s="115"/>
      <c r="AT944" s="115"/>
      <c r="AU944" s="115"/>
      <c r="AV944" s="115"/>
      <c r="AW944" s="115"/>
      <c r="AX944" s="115"/>
      <c r="AY944" s="115"/>
      <c r="AZ944" s="115"/>
      <c r="BA944" s="115"/>
      <c r="BB944" s="115"/>
      <c r="BC944" s="115"/>
      <c r="BD944" s="26"/>
      <c r="BE944" s="15"/>
      <c r="BH944" s="114"/>
    </row>
    <row r="945" spans="5:60" x14ac:dyDescent="0.4">
      <c r="AG945" s="115"/>
      <c r="AH945" s="115"/>
      <c r="AI945" s="115"/>
      <c r="AJ945" s="115"/>
      <c r="AK945" s="115"/>
      <c r="AL945" s="115"/>
      <c r="AM945" s="122"/>
      <c r="AN945" s="122"/>
      <c r="AO945" s="122"/>
      <c r="AP945" s="115"/>
      <c r="AQ945" s="115"/>
      <c r="AR945" s="115"/>
      <c r="AS945" s="115"/>
      <c r="AT945" s="115"/>
      <c r="AU945" s="115"/>
      <c r="AV945" s="115"/>
      <c r="AW945" s="115"/>
      <c r="AX945" s="115"/>
      <c r="AY945" s="115"/>
      <c r="AZ945" s="115"/>
      <c r="BA945" s="115"/>
      <c r="BB945" s="115"/>
      <c r="BC945" s="115"/>
      <c r="BD945" s="26"/>
      <c r="BE945" s="13"/>
      <c r="BH945" s="114"/>
    </row>
    <row r="946" spans="5:60" x14ac:dyDescent="0.4">
      <c r="AG946" s="115"/>
      <c r="AH946" s="115"/>
      <c r="AI946" s="115"/>
      <c r="AJ946" s="115"/>
      <c r="AK946" s="115"/>
      <c r="AL946" s="115"/>
      <c r="AM946" s="122"/>
      <c r="AN946" s="122"/>
      <c r="AO946" s="122"/>
      <c r="AP946" s="115"/>
      <c r="AQ946" s="115"/>
      <c r="AR946" s="115"/>
      <c r="AS946" s="115"/>
      <c r="AT946" s="115"/>
      <c r="AU946" s="115"/>
      <c r="AV946" s="115"/>
      <c r="AW946" s="115"/>
      <c r="AX946" s="115"/>
      <c r="AY946" s="115"/>
      <c r="AZ946" s="115"/>
      <c r="BA946" s="115"/>
      <c r="BB946" s="115"/>
      <c r="BC946" s="115"/>
      <c r="BD946" s="17"/>
      <c r="BE946" s="13"/>
      <c r="BH946" s="114"/>
    </row>
    <row r="947" spans="5:60" x14ac:dyDescent="0.4">
      <c r="AG947" s="115"/>
      <c r="AH947" s="115"/>
      <c r="AI947" s="115"/>
      <c r="AJ947" s="115"/>
      <c r="AK947" s="115"/>
      <c r="AL947" s="115"/>
      <c r="AM947" s="122"/>
      <c r="AN947" s="122"/>
      <c r="AO947" s="122"/>
      <c r="AP947" s="115"/>
      <c r="AQ947" s="115"/>
      <c r="AR947" s="115"/>
      <c r="AS947" s="115"/>
      <c r="AT947" s="115"/>
      <c r="AU947" s="115"/>
      <c r="AV947" s="115"/>
      <c r="AW947" s="115"/>
      <c r="AX947" s="115"/>
      <c r="AY947" s="115"/>
      <c r="AZ947" s="115"/>
      <c r="BA947" s="115"/>
      <c r="BB947" s="115"/>
      <c r="BC947" s="115"/>
      <c r="BD947" s="26"/>
      <c r="BE947" s="13"/>
      <c r="BH947" s="114"/>
    </row>
    <row r="948" spans="5:60" x14ac:dyDescent="0.4">
      <c r="AG948" s="115"/>
      <c r="AH948" s="115"/>
      <c r="AI948" s="115"/>
      <c r="AJ948" s="115"/>
      <c r="AK948" s="115"/>
      <c r="AL948" s="115"/>
      <c r="AM948" s="122"/>
      <c r="AN948" s="122"/>
      <c r="AO948" s="122"/>
      <c r="AP948" s="115"/>
      <c r="AQ948" s="115"/>
      <c r="AR948" s="115"/>
      <c r="AS948" s="115"/>
      <c r="AT948" s="115"/>
      <c r="AU948" s="115"/>
      <c r="AV948" s="115"/>
      <c r="AW948" s="115"/>
      <c r="AX948" s="115"/>
      <c r="AY948" s="115"/>
      <c r="AZ948" s="115"/>
      <c r="BA948" s="115"/>
      <c r="BB948" s="115"/>
      <c r="BC948" s="115"/>
      <c r="BD948" s="26"/>
      <c r="BE948" s="13"/>
      <c r="BH948" s="114"/>
    </row>
    <row r="949" spans="5:60" x14ac:dyDescent="0.4">
      <c r="AG949" s="115"/>
      <c r="AH949" s="115"/>
      <c r="AI949" s="115"/>
      <c r="AJ949" s="115"/>
      <c r="AK949" s="115"/>
      <c r="AL949" s="115"/>
      <c r="AM949" s="122"/>
      <c r="AN949" s="122"/>
      <c r="AO949" s="122"/>
      <c r="AP949" s="115"/>
      <c r="AQ949" s="115"/>
      <c r="AR949" s="115"/>
      <c r="AS949" s="115"/>
      <c r="AT949" s="115"/>
      <c r="AU949" s="115"/>
      <c r="AV949" s="115"/>
      <c r="AW949" s="115"/>
      <c r="AX949" s="115"/>
      <c r="AY949" s="115"/>
      <c r="AZ949" s="115"/>
      <c r="BA949" s="115"/>
      <c r="BB949" s="115"/>
      <c r="BC949" s="115"/>
      <c r="BD949" s="26"/>
      <c r="BE949" s="13"/>
      <c r="BH949" s="114"/>
    </row>
    <row r="950" spans="5:60" x14ac:dyDescent="0.4">
      <c r="AG950" s="115"/>
      <c r="AH950" s="115"/>
      <c r="AI950" s="115"/>
      <c r="AJ950" s="115"/>
      <c r="AK950" s="115"/>
      <c r="AL950" s="115"/>
      <c r="AM950" s="122"/>
      <c r="AN950" s="122"/>
      <c r="AO950" s="122"/>
      <c r="AP950" s="115"/>
      <c r="AQ950" s="115"/>
      <c r="AR950" s="115"/>
      <c r="AS950" s="115"/>
      <c r="AT950" s="115"/>
      <c r="AU950" s="115"/>
      <c r="AV950" s="115"/>
      <c r="AW950" s="115"/>
      <c r="AX950" s="115"/>
      <c r="AY950" s="115"/>
      <c r="AZ950" s="115"/>
      <c r="BA950" s="115"/>
      <c r="BB950" s="115"/>
      <c r="BC950" s="115"/>
      <c r="BD950" s="26"/>
      <c r="BE950" s="13"/>
      <c r="BH950" s="114"/>
    </row>
    <row r="951" spans="5:60" x14ac:dyDescent="0.4">
      <c r="AG951" s="115"/>
      <c r="AH951" s="115"/>
      <c r="AI951" s="115"/>
      <c r="AJ951" s="115"/>
      <c r="AK951" s="115"/>
      <c r="AL951" s="115"/>
      <c r="AM951" s="122"/>
      <c r="AN951" s="122"/>
      <c r="AO951" s="122"/>
      <c r="AP951" s="115"/>
      <c r="AQ951" s="115"/>
      <c r="AR951" s="115"/>
      <c r="AS951" s="115"/>
      <c r="AT951" s="115"/>
      <c r="AU951" s="115"/>
      <c r="AV951" s="115"/>
      <c r="AW951" s="115"/>
      <c r="AX951" s="115"/>
      <c r="AY951" s="115"/>
      <c r="AZ951" s="115"/>
      <c r="BA951" s="115"/>
      <c r="BB951" s="115"/>
      <c r="BC951" s="115"/>
      <c r="BD951" s="26"/>
      <c r="BE951" s="13"/>
      <c r="BH951" s="114"/>
    </row>
    <row r="952" spans="5:60" x14ac:dyDescent="0.4">
      <c r="AG952" s="115"/>
      <c r="AH952" s="115"/>
      <c r="AI952" s="115"/>
      <c r="AJ952" s="115"/>
      <c r="AK952" s="115"/>
      <c r="AL952" s="115"/>
      <c r="AM952" s="122"/>
      <c r="AN952" s="122"/>
      <c r="AO952" s="122"/>
      <c r="AP952" s="115"/>
      <c r="AQ952" s="115"/>
      <c r="AR952" s="115"/>
      <c r="AS952" s="115"/>
      <c r="AT952" s="115"/>
      <c r="AU952" s="115"/>
      <c r="AV952" s="115"/>
      <c r="AW952" s="115"/>
      <c r="AX952" s="115"/>
      <c r="AY952" s="115"/>
      <c r="AZ952" s="115"/>
      <c r="BA952" s="115"/>
      <c r="BB952" s="115"/>
      <c r="BC952" s="115"/>
      <c r="BD952" s="26"/>
      <c r="BE952" s="13"/>
      <c r="BH952" s="114"/>
    </row>
    <row r="953" spans="5:60" x14ac:dyDescent="0.4">
      <c r="AG953" s="115"/>
      <c r="AH953" s="115"/>
      <c r="AI953" s="115"/>
      <c r="AJ953" s="115"/>
      <c r="AK953" s="115"/>
      <c r="AL953" s="115"/>
      <c r="AM953" s="122"/>
      <c r="AN953" s="122"/>
      <c r="AO953" s="122"/>
      <c r="AP953" s="115"/>
      <c r="AQ953" s="115"/>
      <c r="AR953" s="115"/>
      <c r="AS953" s="115"/>
      <c r="AT953" s="115"/>
      <c r="AU953" s="115"/>
      <c r="AV953" s="115"/>
      <c r="AW953" s="115"/>
      <c r="AX953" s="115"/>
      <c r="AY953" s="115"/>
      <c r="AZ953" s="115"/>
      <c r="BA953" s="115"/>
      <c r="BB953" s="115"/>
      <c r="BC953" s="115"/>
      <c r="BD953" s="17"/>
      <c r="BE953" s="13"/>
      <c r="BH953" s="114"/>
    </row>
    <row r="954" spans="5:60" x14ac:dyDescent="0.4">
      <c r="AG954" s="115"/>
      <c r="AH954" s="115"/>
      <c r="AI954" s="115"/>
      <c r="AJ954" s="115"/>
      <c r="AK954" s="115"/>
      <c r="AL954" s="115"/>
      <c r="AM954" s="122"/>
      <c r="AN954" s="122"/>
      <c r="AO954" s="122"/>
      <c r="AP954" s="115"/>
      <c r="AQ954" s="115"/>
      <c r="AR954" s="115"/>
      <c r="AS954" s="115"/>
      <c r="AT954" s="115"/>
      <c r="AU954" s="115"/>
      <c r="AV954" s="115"/>
      <c r="AW954" s="115"/>
      <c r="AX954" s="115"/>
      <c r="AY954" s="115"/>
      <c r="AZ954" s="115"/>
      <c r="BA954" s="115"/>
      <c r="BB954" s="115"/>
      <c r="BC954" s="115"/>
      <c r="BD954" s="26"/>
      <c r="BE954" s="13"/>
      <c r="BH954" s="114"/>
    </row>
    <row r="955" spans="5:60" x14ac:dyDescent="0.4">
      <c r="AG955" s="115"/>
      <c r="AH955" s="115"/>
      <c r="AI955" s="115"/>
      <c r="AJ955" s="115"/>
      <c r="AK955" s="115"/>
      <c r="AL955" s="115"/>
      <c r="AM955" s="122"/>
      <c r="AN955" s="122"/>
      <c r="AO955" s="122"/>
      <c r="AP955" s="115"/>
      <c r="AQ955" s="115"/>
      <c r="AR955" s="115"/>
      <c r="AS955" s="115"/>
      <c r="AT955" s="115"/>
      <c r="AU955" s="115"/>
      <c r="AV955" s="115"/>
      <c r="AW955" s="115"/>
      <c r="AX955" s="115"/>
      <c r="AY955" s="115"/>
      <c r="AZ955" s="115"/>
      <c r="BA955" s="115"/>
      <c r="BB955" s="115"/>
      <c r="BC955" s="115"/>
      <c r="BD955" s="26"/>
      <c r="BE955" s="13"/>
      <c r="BH955" s="114"/>
    </row>
    <row r="956" spans="5:60" x14ac:dyDescent="0.4"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  <c r="AK956" s="115"/>
      <c r="AL956" s="115"/>
      <c r="AM956" s="122"/>
      <c r="AN956" s="122"/>
      <c r="AO956" s="122"/>
      <c r="AP956" s="115"/>
      <c r="AQ956" s="115"/>
      <c r="AR956" s="115"/>
      <c r="AS956" s="115"/>
      <c r="AT956" s="115"/>
      <c r="AU956" s="115"/>
      <c r="AV956" s="115"/>
      <c r="AW956" s="115"/>
      <c r="AX956" s="115"/>
      <c r="AY956" s="115"/>
      <c r="AZ956" s="115"/>
      <c r="BA956" s="115"/>
      <c r="BB956" s="115"/>
      <c r="BC956" s="115"/>
      <c r="BD956" s="26"/>
      <c r="BE956" s="13"/>
      <c r="BH956" s="114"/>
    </row>
    <row r="957" spans="5:60" x14ac:dyDescent="0.4"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  <c r="AK957" s="115"/>
      <c r="AL957" s="115"/>
      <c r="AM957" s="122"/>
      <c r="AN957" s="122"/>
      <c r="AO957" s="122"/>
      <c r="AP957" s="115"/>
      <c r="AQ957" s="115"/>
      <c r="AR957" s="115"/>
      <c r="AS957" s="115"/>
      <c r="AT957" s="115"/>
      <c r="AU957" s="115"/>
      <c r="AV957" s="115"/>
      <c r="AW957" s="115"/>
      <c r="AX957" s="115"/>
      <c r="AY957" s="115"/>
      <c r="AZ957" s="115"/>
      <c r="BA957" s="115"/>
      <c r="BB957" s="115"/>
      <c r="BC957" s="115"/>
      <c r="BD957" s="26"/>
      <c r="BE957" s="13"/>
      <c r="BH957" s="114"/>
    </row>
    <row r="958" spans="5:60" x14ac:dyDescent="0.4"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  <c r="AK958" s="115"/>
      <c r="AL958" s="115"/>
      <c r="AM958" s="122"/>
      <c r="AN958" s="122"/>
      <c r="AO958" s="122"/>
      <c r="AP958" s="115"/>
      <c r="AQ958" s="115"/>
      <c r="AR958" s="115"/>
      <c r="AS958" s="115"/>
      <c r="AT958" s="115"/>
      <c r="AU958" s="115"/>
      <c r="AV958" s="115"/>
      <c r="AW958" s="115"/>
      <c r="AX958" s="115"/>
      <c r="AY958" s="115"/>
      <c r="AZ958" s="115"/>
      <c r="BA958" s="115"/>
      <c r="BB958" s="115"/>
      <c r="BC958" s="115"/>
      <c r="BD958" s="26"/>
      <c r="BE958" s="13"/>
      <c r="BH958" s="114"/>
    </row>
    <row r="959" spans="5:60" x14ac:dyDescent="0.4"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  <c r="AK959" s="115"/>
      <c r="AL959" s="115"/>
      <c r="AM959" s="122"/>
      <c r="AN959" s="122"/>
      <c r="AO959" s="122"/>
      <c r="AP959" s="115"/>
      <c r="AQ959" s="115"/>
      <c r="AR959" s="115"/>
      <c r="AS959" s="115"/>
      <c r="AT959" s="115"/>
      <c r="AU959" s="115"/>
      <c r="AV959" s="115"/>
      <c r="AW959" s="115"/>
      <c r="AX959" s="115"/>
      <c r="AY959" s="115"/>
      <c r="AZ959" s="115"/>
      <c r="BA959" s="115"/>
      <c r="BB959" s="115"/>
      <c r="BC959" s="115"/>
      <c r="BD959" s="26"/>
      <c r="BE959" s="13"/>
      <c r="BH959" s="114"/>
    </row>
    <row r="960" spans="5:60" x14ac:dyDescent="0.4"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  <c r="AK960" s="115"/>
      <c r="AL960" s="115"/>
      <c r="AM960" s="122"/>
      <c r="AN960" s="122"/>
      <c r="AO960" s="122"/>
      <c r="AP960" s="115"/>
      <c r="AQ960" s="115"/>
      <c r="AR960" s="115"/>
      <c r="AS960" s="115"/>
      <c r="AT960" s="115"/>
      <c r="AU960" s="115"/>
      <c r="AV960" s="115"/>
      <c r="AW960" s="115"/>
      <c r="AX960" s="115"/>
      <c r="AY960" s="115"/>
      <c r="AZ960" s="115"/>
      <c r="BA960" s="115"/>
      <c r="BB960" s="115"/>
      <c r="BC960" s="115"/>
      <c r="BD960" s="26"/>
      <c r="BE960" s="13"/>
      <c r="BH960" s="114"/>
    </row>
    <row r="961" spans="4:60" x14ac:dyDescent="0.4"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  <c r="AK961" s="115"/>
      <c r="AL961" s="115"/>
      <c r="AM961" s="122"/>
      <c r="AN961" s="122"/>
      <c r="AO961" s="122"/>
      <c r="AP961" s="115"/>
      <c r="AQ961" s="115"/>
      <c r="AR961" s="115"/>
      <c r="AS961" s="115"/>
      <c r="AT961" s="115"/>
      <c r="AU961" s="115"/>
      <c r="AV961" s="115"/>
      <c r="AW961" s="115"/>
      <c r="AX961" s="115"/>
      <c r="AY961" s="115"/>
      <c r="AZ961" s="115"/>
      <c r="BA961" s="115"/>
      <c r="BB961" s="115"/>
      <c r="BC961" s="115"/>
      <c r="BD961" s="26"/>
      <c r="BE961" s="13"/>
      <c r="BH961" s="114"/>
    </row>
    <row r="962" spans="4:60" x14ac:dyDescent="0.4"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  <c r="AK962" s="115"/>
      <c r="AL962" s="115"/>
      <c r="AM962" s="122"/>
      <c r="AN962" s="122"/>
      <c r="AO962" s="122"/>
      <c r="AP962" s="115"/>
      <c r="AQ962" s="115"/>
      <c r="AR962" s="115"/>
      <c r="AS962" s="115"/>
      <c r="AT962" s="115"/>
      <c r="AU962" s="115"/>
      <c r="AV962" s="115"/>
      <c r="AW962" s="115"/>
      <c r="AX962" s="115"/>
      <c r="AY962" s="115"/>
      <c r="AZ962" s="115"/>
      <c r="BA962" s="115"/>
      <c r="BB962" s="115"/>
      <c r="BC962" s="115"/>
      <c r="BD962" s="26"/>
      <c r="BE962" s="13"/>
      <c r="BH962" s="114"/>
    </row>
    <row r="963" spans="4:60" x14ac:dyDescent="0.4"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  <c r="AK963" s="115"/>
      <c r="AL963" s="115"/>
      <c r="AM963" s="122"/>
      <c r="AN963" s="122"/>
      <c r="AO963" s="122"/>
      <c r="AP963" s="115"/>
      <c r="AQ963" s="115"/>
      <c r="AR963" s="115"/>
      <c r="AS963" s="115"/>
      <c r="AT963" s="115"/>
      <c r="AU963" s="115"/>
      <c r="AV963" s="115"/>
      <c r="AW963" s="115"/>
      <c r="AX963" s="115"/>
      <c r="AY963" s="115"/>
      <c r="AZ963" s="115"/>
      <c r="BA963" s="115"/>
      <c r="BB963" s="115"/>
      <c r="BC963" s="115"/>
      <c r="BD963" s="26"/>
      <c r="BE963" s="13"/>
      <c r="BH963" s="114"/>
    </row>
    <row r="964" spans="4:60" x14ac:dyDescent="0.4"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  <c r="AK964" s="115"/>
      <c r="AL964" s="115"/>
      <c r="AM964" s="122"/>
      <c r="AN964" s="122"/>
      <c r="AO964" s="122"/>
      <c r="AP964" s="115"/>
      <c r="AQ964" s="115"/>
      <c r="AR964" s="115"/>
      <c r="AS964" s="115"/>
      <c r="AT964" s="115"/>
      <c r="AU964" s="115"/>
      <c r="AV964" s="115"/>
      <c r="AW964" s="115"/>
      <c r="AX964" s="115"/>
      <c r="AY964" s="115"/>
      <c r="AZ964" s="115"/>
      <c r="BA964" s="115"/>
      <c r="BB964" s="115"/>
      <c r="BC964" s="115"/>
      <c r="BD964" s="26"/>
      <c r="BE964" s="13"/>
      <c r="BH964" s="114"/>
    </row>
    <row r="965" spans="4:60" x14ac:dyDescent="0.4"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  <c r="AK965" s="115"/>
      <c r="AL965" s="115"/>
      <c r="AM965" s="122"/>
      <c r="AN965" s="122"/>
      <c r="AO965" s="122"/>
      <c r="AP965" s="115"/>
      <c r="AQ965" s="115"/>
      <c r="AR965" s="115"/>
      <c r="AS965" s="115"/>
      <c r="AT965" s="115"/>
      <c r="AU965" s="115"/>
      <c r="AV965" s="115"/>
      <c r="AW965" s="115"/>
      <c r="AX965" s="115"/>
      <c r="AY965" s="115"/>
      <c r="AZ965" s="115"/>
      <c r="BA965" s="115"/>
      <c r="BB965" s="115"/>
      <c r="BC965" s="115"/>
      <c r="BD965" s="26"/>
      <c r="BE965" s="13"/>
      <c r="BH965" s="114"/>
    </row>
    <row r="966" spans="4:60" x14ac:dyDescent="0.4"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  <c r="AK966" s="115"/>
      <c r="AL966" s="115"/>
      <c r="AM966" s="122"/>
      <c r="AN966" s="122"/>
      <c r="AO966" s="122"/>
      <c r="AP966" s="115"/>
      <c r="AQ966" s="115"/>
      <c r="AR966" s="115"/>
      <c r="AS966" s="115"/>
      <c r="AT966" s="115"/>
      <c r="AU966" s="115"/>
      <c r="AV966" s="115"/>
      <c r="AW966" s="115"/>
      <c r="AX966" s="115"/>
      <c r="AY966" s="115"/>
      <c r="AZ966" s="115"/>
      <c r="BA966" s="115"/>
      <c r="BB966" s="115"/>
      <c r="BC966" s="115"/>
      <c r="BD966" s="26"/>
      <c r="BE966" s="13"/>
      <c r="BH966" s="114"/>
    </row>
    <row r="967" spans="4:60" x14ac:dyDescent="0.4"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  <c r="AK967" s="115"/>
      <c r="AL967" s="115"/>
      <c r="AM967" s="122"/>
      <c r="AN967" s="122"/>
      <c r="AO967" s="122"/>
      <c r="AP967" s="115"/>
      <c r="AQ967" s="115"/>
      <c r="AR967" s="115"/>
      <c r="AS967" s="115"/>
      <c r="AT967" s="115"/>
      <c r="AU967" s="115"/>
      <c r="AV967" s="115"/>
      <c r="AW967" s="115"/>
      <c r="AX967" s="115"/>
      <c r="AY967" s="115"/>
      <c r="AZ967" s="115"/>
      <c r="BA967" s="115"/>
      <c r="BB967" s="115"/>
      <c r="BC967" s="115"/>
      <c r="BD967" s="26"/>
      <c r="BE967" s="13"/>
      <c r="BH967" s="114"/>
    </row>
    <row r="968" spans="4:60" x14ac:dyDescent="0.4"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  <c r="AK968" s="115"/>
      <c r="AL968" s="115"/>
      <c r="AM968" s="122"/>
      <c r="AN968" s="122"/>
      <c r="AO968" s="122"/>
      <c r="AP968" s="115"/>
      <c r="AQ968" s="115"/>
      <c r="AR968" s="115"/>
      <c r="AS968" s="115"/>
      <c r="AT968" s="115"/>
      <c r="AU968" s="115"/>
      <c r="AV968" s="115"/>
      <c r="AW968" s="115"/>
      <c r="AX968" s="115"/>
      <c r="AY968" s="115"/>
      <c r="AZ968" s="115"/>
      <c r="BA968" s="115"/>
      <c r="BB968" s="115"/>
      <c r="BC968" s="115"/>
      <c r="BD968" s="26"/>
      <c r="BE968" s="13"/>
      <c r="BH968" s="114"/>
    </row>
    <row r="969" spans="4:60" x14ac:dyDescent="0.4"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  <c r="AK969" s="115"/>
      <c r="AL969" s="115"/>
      <c r="AM969" s="122"/>
      <c r="AN969" s="122"/>
      <c r="AO969" s="122"/>
      <c r="AP969" s="115"/>
      <c r="AQ969" s="115"/>
      <c r="AR969" s="115"/>
      <c r="AS969" s="115"/>
      <c r="AT969" s="115"/>
      <c r="AU969" s="115"/>
      <c r="AV969" s="115"/>
      <c r="AW969" s="115"/>
      <c r="AX969" s="115"/>
      <c r="AY969" s="115"/>
      <c r="AZ969" s="115"/>
      <c r="BA969" s="115"/>
      <c r="BB969" s="115"/>
      <c r="BC969" s="115"/>
      <c r="BD969" s="26"/>
      <c r="BE969" s="13"/>
      <c r="BH969" s="114"/>
    </row>
    <row r="970" spans="4:60" x14ac:dyDescent="0.4"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  <c r="AK970" s="115"/>
      <c r="AL970" s="115"/>
      <c r="AM970" s="122"/>
      <c r="AN970" s="122"/>
      <c r="AO970" s="122"/>
      <c r="AP970" s="115"/>
      <c r="AQ970" s="115"/>
      <c r="AR970" s="115"/>
      <c r="AS970" s="115"/>
      <c r="AT970" s="115"/>
      <c r="AU970" s="115"/>
      <c r="AV970" s="115"/>
      <c r="AW970" s="115"/>
      <c r="AX970" s="115"/>
      <c r="AY970" s="115"/>
      <c r="AZ970" s="115"/>
      <c r="BA970" s="115"/>
      <c r="BB970" s="115"/>
      <c r="BC970" s="115"/>
      <c r="BD970" s="26"/>
      <c r="BE970" s="13"/>
      <c r="BH970" s="114"/>
    </row>
    <row r="971" spans="4:60" x14ac:dyDescent="0.4"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  <c r="AK971" s="115"/>
      <c r="AL971" s="115"/>
      <c r="AM971" s="122"/>
      <c r="AN971" s="122"/>
      <c r="AO971" s="122"/>
      <c r="AP971" s="115"/>
      <c r="AQ971" s="115"/>
      <c r="AR971" s="115"/>
      <c r="AS971" s="115"/>
      <c r="AT971" s="115"/>
      <c r="AU971" s="115"/>
      <c r="AV971" s="115"/>
      <c r="AW971" s="115"/>
      <c r="AX971" s="115"/>
      <c r="AY971" s="115"/>
      <c r="AZ971" s="115"/>
      <c r="BA971" s="115"/>
      <c r="BB971" s="115"/>
      <c r="BC971" s="115"/>
      <c r="BD971" s="26"/>
      <c r="BE971" s="13"/>
      <c r="BH971" s="114"/>
    </row>
    <row r="972" spans="4:60" x14ac:dyDescent="0.4"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  <c r="AK972" s="115"/>
      <c r="AL972" s="115"/>
      <c r="AM972" s="122"/>
      <c r="AN972" s="122"/>
      <c r="AO972" s="122"/>
      <c r="AP972" s="115"/>
      <c r="AQ972" s="115"/>
      <c r="AR972" s="115"/>
      <c r="AS972" s="115"/>
      <c r="AT972" s="115"/>
      <c r="AU972" s="115"/>
      <c r="AV972" s="115"/>
      <c r="AW972" s="115"/>
      <c r="AX972" s="115"/>
      <c r="AY972" s="115"/>
      <c r="AZ972" s="115"/>
      <c r="BA972" s="115"/>
      <c r="BB972" s="115"/>
      <c r="BC972" s="115"/>
      <c r="BD972" s="17"/>
      <c r="BE972" s="13"/>
      <c r="BH972" s="114"/>
    </row>
    <row r="973" spans="4:60" x14ac:dyDescent="0.4"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  <c r="AK973" s="115"/>
      <c r="AL973" s="115"/>
      <c r="AM973" s="122"/>
      <c r="AN973" s="122"/>
      <c r="AO973" s="122"/>
      <c r="AP973" s="115"/>
      <c r="AQ973" s="115"/>
      <c r="AR973" s="115"/>
      <c r="AS973" s="115"/>
      <c r="AT973" s="115"/>
      <c r="AU973" s="115"/>
      <c r="AV973" s="115"/>
      <c r="AW973" s="115"/>
      <c r="AX973" s="115"/>
      <c r="AY973" s="115"/>
      <c r="AZ973" s="115"/>
      <c r="BA973" s="115"/>
      <c r="BB973" s="115"/>
      <c r="BC973" s="115"/>
      <c r="BD973" s="26"/>
      <c r="BE973" s="13"/>
      <c r="BH973" s="114"/>
    </row>
    <row r="974" spans="4:60" x14ac:dyDescent="0.4"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  <c r="AK974" s="115"/>
      <c r="AL974" s="115"/>
      <c r="AM974" s="122"/>
      <c r="AN974" s="122"/>
      <c r="AO974" s="122"/>
      <c r="AP974" s="115"/>
      <c r="AQ974" s="115"/>
      <c r="AR974" s="115"/>
      <c r="AS974" s="115"/>
      <c r="AT974" s="115"/>
      <c r="AU974" s="115"/>
      <c r="AV974" s="115"/>
      <c r="AW974" s="115"/>
      <c r="AX974" s="115"/>
      <c r="AY974" s="115"/>
      <c r="AZ974" s="115"/>
      <c r="BA974" s="115"/>
      <c r="BB974" s="115"/>
      <c r="BC974" s="115"/>
      <c r="BD974" s="26"/>
      <c r="BE974" s="13"/>
      <c r="BH974" s="114"/>
    </row>
    <row r="975" spans="4:60" x14ac:dyDescent="0.4"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  <c r="AK975" s="115"/>
      <c r="AL975" s="115"/>
      <c r="AM975" s="122"/>
      <c r="AN975" s="122"/>
      <c r="AO975" s="122"/>
      <c r="AP975" s="115"/>
      <c r="AQ975" s="115"/>
      <c r="AR975" s="115"/>
      <c r="AS975" s="115"/>
      <c r="AT975" s="115"/>
      <c r="AU975" s="115"/>
      <c r="AV975" s="115"/>
      <c r="AW975" s="115"/>
      <c r="AX975" s="115"/>
      <c r="AY975" s="115"/>
      <c r="AZ975" s="115"/>
      <c r="BA975" s="115"/>
      <c r="BB975" s="115"/>
      <c r="BC975" s="115"/>
      <c r="BD975" s="26"/>
      <c r="BE975" s="13"/>
      <c r="BH975" s="114"/>
    </row>
    <row r="976" spans="4:60" x14ac:dyDescent="0.4"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  <c r="AK976" s="115"/>
      <c r="AL976" s="115"/>
      <c r="AM976" s="122"/>
      <c r="AN976" s="122"/>
      <c r="AO976" s="122"/>
      <c r="AP976" s="115"/>
      <c r="AQ976" s="115"/>
      <c r="AR976" s="115"/>
      <c r="AS976" s="115"/>
      <c r="AT976" s="115"/>
      <c r="AU976" s="115"/>
      <c r="AV976" s="115"/>
      <c r="AW976" s="115"/>
      <c r="AX976" s="115"/>
      <c r="AY976" s="115"/>
      <c r="AZ976" s="115"/>
      <c r="BA976" s="115"/>
      <c r="BB976" s="115"/>
      <c r="BC976" s="115"/>
      <c r="BD976" s="26"/>
      <c r="BE976" s="15"/>
      <c r="BH976" s="114"/>
    </row>
    <row r="977" spans="3:60" x14ac:dyDescent="0.4"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  <c r="AK977" s="115"/>
      <c r="AL977" s="115"/>
      <c r="AM977" s="122"/>
      <c r="AN977" s="122"/>
      <c r="AO977" s="122"/>
      <c r="AP977" s="115"/>
      <c r="AQ977" s="115"/>
      <c r="AR977" s="115"/>
      <c r="AS977" s="115"/>
      <c r="AT977" s="115"/>
      <c r="AU977" s="115"/>
      <c r="AV977" s="115"/>
      <c r="AW977" s="115"/>
      <c r="AX977" s="115"/>
      <c r="AY977" s="115"/>
      <c r="AZ977" s="115"/>
      <c r="BA977" s="115"/>
      <c r="BB977" s="115"/>
      <c r="BC977" s="115"/>
      <c r="BD977" s="26"/>
      <c r="BE977" s="15"/>
      <c r="BH977" s="114"/>
    </row>
    <row r="978" spans="3:60" x14ac:dyDescent="0.4"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  <c r="AK978" s="115"/>
      <c r="AL978" s="115"/>
      <c r="AM978" s="122"/>
      <c r="AN978" s="122"/>
      <c r="AO978" s="122"/>
      <c r="AP978" s="115"/>
      <c r="AQ978" s="115"/>
      <c r="AR978" s="115"/>
      <c r="AS978" s="115"/>
      <c r="AT978" s="115"/>
      <c r="AU978" s="115"/>
      <c r="AV978" s="115"/>
      <c r="AW978" s="115"/>
      <c r="AX978" s="115"/>
      <c r="AY978" s="115"/>
      <c r="AZ978" s="115"/>
      <c r="BA978" s="115"/>
      <c r="BB978" s="115"/>
      <c r="BC978" s="115"/>
      <c r="BD978" s="26"/>
      <c r="BE978" s="15"/>
      <c r="BH978" s="114"/>
    </row>
    <row r="979" spans="3:60" x14ac:dyDescent="0.4"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  <c r="AK979" s="115"/>
      <c r="AL979" s="115"/>
      <c r="AM979" s="122"/>
      <c r="AN979" s="122"/>
      <c r="AO979" s="122"/>
      <c r="AP979" s="115"/>
      <c r="AQ979" s="115"/>
      <c r="AR979" s="115"/>
      <c r="AS979" s="115"/>
      <c r="AT979" s="115"/>
      <c r="AU979" s="115"/>
      <c r="AV979" s="115"/>
      <c r="AW979" s="115"/>
      <c r="AX979" s="115"/>
      <c r="AY979" s="115"/>
      <c r="AZ979" s="115"/>
      <c r="BA979" s="115"/>
      <c r="BB979" s="115"/>
      <c r="BC979" s="115"/>
      <c r="BD979" s="26"/>
      <c r="BE979" s="13"/>
      <c r="BH979" s="114"/>
    </row>
    <row r="980" spans="3:60" x14ac:dyDescent="0.4"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  <c r="AK980" s="115"/>
      <c r="AL980" s="115"/>
      <c r="AM980" s="122"/>
      <c r="AN980" s="122"/>
      <c r="AO980" s="122"/>
      <c r="AP980" s="115"/>
      <c r="AQ980" s="115"/>
      <c r="AR980" s="115"/>
      <c r="AS980" s="115"/>
      <c r="AT980" s="115"/>
      <c r="AU980" s="115"/>
      <c r="AV980" s="115"/>
      <c r="AW980" s="115"/>
      <c r="AX980" s="115"/>
      <c r="AY980" s="115"/>
      <c r="AZ980" s="115"/>
      <c r="BA980" s="115"/>
      <c r="BB980" s="115"/>
      <c r="BC980" s="115"/>
      <c r="BD980" s="26"/>
      <c r="BE980" s="13"/>
      <c r="BH980" s="114"/>
    </row>
    <row r="981" spans="3:60" x14ac:dyDescent="0.4"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  <c r="AK981" s="115"/>
      <c r="AL981" s="115"/>
      <c r="AM981" s="122"/>
      <c r="AN981" s="122"/>
      <c r="AO981" s="122"/>
      <c r="AP981" s="115"/>
      <c r="AQ981" s="115"/>
      <c r="AR981" s="115"/>
      <c r="AS981" s="115"/>
      <c r="AT981" s="115"/>
      <c r="AU981" s="115"/>
      <c r="AV981" s="115"/>
      <c r="AW981" s="115"/>
      <c r="AX981" s="115"/>
      <c r="AY981" s="115"/>
      <c r="AZ981" s="115"/>
      <c r="BA981" s="115"/>
      <c r="BB981" s="115"/>
      <c r="BC981" s="115"/>
      <c r="BD981" s="26"/>
      <c r="BE981" s="13"/>
      <c r="BH981" s="114"/>
    </row>
    <row r="982" spans="3:60" x14ac:dyDescent="0.4"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  <c r="AK982" s="115"/>
      <c r="AL982" s="115"/>
      <c r="AM982" s="122"/>
      <c r="AN982" s="122"/>
      <c r="AO982" s="122"/>
      <c r="AP982" s="115"/>
      <c r="AQ982" s="115"/>
      <c r="AR982" s="115"/>
      <c r="AS982" s="115"/>
      <c r="AT982" s="115"/>
      <c r="AU982" s="115"/>
      <c r="AV982" s="115"/>
      <c r="AW982" s="115"/>
      <c r="AX982" s="115"/>
      <c r="AY982" s="115"/>
      <c r="AZ982" s="115"/>
      <c r="BA982" s="115"/>
      <c r="BB982" s="115"/>
      <c r="BC982" s="115"/>
      <c r="BD982" s="17"/>
      <c r="BE982" s="13"/>
      <c r="BH982" s="114"/>
    </row>
    <row r="983" spans="3:60" x14ac:dyDescent="0.4"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  <c r="AK983" s="115"/>
      <c r="AL983" s="115"/>
      <c r="AM983" s="122"/>
      <c r="AN983" s="122"/>
      <c r="AO983" s="122"/>
      <c r="AP983" s="115"/>
      <c r="AQ983" s="115"/>
      <c r="AR983" s="115"/>
      <c r="AS983" s="115"/>
      <c r="AT983" s="115"/>
      <c r="AU983" s="115"/>
      <c r="AV983" s="115"/>
      <c r="AW983" s="115"/>
      <c r="AX983" s="115"/>
      <c r="AY983" s="115"/>
      <c r="AZ983" s="115"/>
      <c r="BA983" s="115"/>
      <c r="BB983" s="115"/>
      <c r="BC983" s="115"/>
      <c r="BD983" s="26"/>
      <c r="BE983" s="13"/>
      <c r="BH983" s="114"/>
    </row>
    <row r="984" spans="3:60" x14ac:dyDescent="0.4"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  <c r="AK984" s="115"/>
      <c r="AL984" s="115"/>
      <c r="AM984" s="122"/>
      <c r="AN984" s="122"/>
      <c r="AO984" s="122"/>
      <c r="AP984" s="115"/>
      <c r="AQ984" s="115"/>
      <c r="AR984" s="115"/>
      <c r="AS984" s="115"/>
      <c r="AT984" s="115"/>
      <c r="AU984" s="115"/>
      <c r="AV984" s="115"/>
      <c r="AW984" s="115"/>
      <c r="AX984" s="115"/>
      <c r="AY984" s="115"/>
      <c r="AZ984" s="115"/>
      <c r="BA984" s="115"/>
      <c r="BB984" s="115"/>
      <c r="BC984" s="115"/>
      <c r="BD984" s="26"/>
      <c r="BE984" s="25"/>
      <c r="BH984" s="114"/>
    </row>
    <row r="985" spans="3:60" x14ac:dyDescent="0.4"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  <c r="AK985" s="115"/>
      <c r="AL985" s="115"/>
      <c r="AM985" s="122"/>
      <c r="AN985" s="122"/>
      <c r="AO985" s="122"/>
      <c r="AP985" s="115"/>
      <c r="AQ985" s="115"/>
      <c r="AR985" s="115"/>
      <c r="AS985" s="115"/>
      <c r="AT985" s="115"/>
      <c r="AU985" s="115"/>
      <c r="AV985" s="115"/>
      <c r="AW985" s="115"/>
      <c r="AX985" s="115"/>
      <c r="AY985" s="115"/>
      <c r="AZ985" s="115"/>
      <c r="BA985" s="115"/>
      <c r="BB985" s="115"/>
      <c r="BC985" s="115"/>
      <c r="BD985" s="26"/>
      <c r="BE985" s="13"/>
      <c r="BH985" s="114"/>
    </row>
    <row r="986" spans="3:60" x14ac:dyDescent="0.4"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  <c r="AK986" s="115"/>
      <c r="AL986" s="115"/>
      <c r="AM986" s="122"/>
      <c r="AN986" s="122"/>
      <c r="AO986" s="122"/>
      <c r="AP986" s="115"/>
      <c r="AQ986" s="115"/>
      <c r="AR986" s="115"/>
      <c r="AS986" s="115"/>
      <c r="AT986" s="115"/>
      <c r="AU986" s="115"/>
      <c r="AV986" s="115"/>
      <c r="AW986" s="115"/>
      <c r="AX986" s="115"/>
      <c r="AY986" s="115"/>
      <c r="AZ986" s="115"/>
      <c r="BA986" s="115"/>
      <c r="BB986" s="115"/>
      <c r="BC986" s="115"/>
      <c r="BD986" s="26"/>
      <c r="BE986" s="13"/>
      <c r="BH986" s="114"/>
    </row>
    <row r="987" spans="3:60" x14ac:dyDescent="0.4"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  <c r="AK987" s="115"/>
      <c r="AL987" s="115"/>
      <c r="AM987" s="122"/>
      <c r="AN987" s="122"/>
      <c r="AO987" s="122"/>
      <c r="AP987" s="115"/>
      <c r="AQ987" s="115"/>
      <c r="AR987" s="115"/>
      <c r="AS987" s="115"/>
      <c r="AT987" s="115"/>
      <c r="AU987" s="115"/>
      <c r="AV987" s="115"/>
      <c r="AW987" s="115"/>
      <c r="AX987" s="115"/>
      <c r="AY987" s="115"/>
      <c r="AZ987" s="115"/>
      <c r="BA987" s="115"/>
      <c r="BB987" s="115"/>
      <c r="BC987" s="115"/>
      <c r="BD987" s="26"/>
      <c r="BE987" s="13"/>
      <c r="BH987" s="114"/>
    </row>
    <row r="988" spans="3:60" x14ac:dyDescent="0.4"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  <c r="AK988" s="115"/>
      <c r="AL988" s="115"/>
      <c r="AM988" s="122"/>
      <c r="AN988" s="122"/>
      <c r="AO988" s="122"/>
      <c r="AP988" s="115"/>
      <c r="AQ988" s="115"/>
      <c r="AR988" s="115"/>
      <c r="AS988" s="115"/>
      <c r="AT988" s="115"/>
      <c r="AU988" s="115"/>
      <c r="AV988" s="115"/>
      <c r="AW988" s="115"/>
      <c r="AX988" s="115"/>
      <c r="AY988" s="115"/>
      <c r="AZ988" s="115"/>
      <c r="BA988" s="115"/>
      <c r="BB988" s="115"/>
      <c r="BC988" s="115"/>
      <c r="BD988" s="26"/>
      <c r="BE988" s="13"/>
      <c r="BH988" s="114"/>
    </row>
    <row r="989" spans="3:60" x14ac:dyDescent="0.4"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  <c r="AK989" s="115"/>
      <c r="AL989" s="115"/>
      <c r="AM989" s="122"/>
      <c r="AN989" s="122"/>
      <c r="AO989" s="122"/>
      <c r="AP989" s="115"/>
      <c r="AQ989" s="115"/>
      <c r="AR989" s="115"/>
      <c r="AS989" s="115"/>
      <c r="BD989" s="26"/>
      <c r="BE989" s="13"/>
      <c r="BH989" s="114"/>
    </row>
    <row r="990" spans="3:60" x14ac:dyDescent="0.4"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  <c r="AK990" s="115"/>
      <c r="AL990" s="115"/>
      <c r="AM990" s="122"/>
      <c r="AN990" s="122"/>
      <c r="AO990" s="122"/>
      <c r="AP990" s="115"/>
      <c r="AQ990" s="115"/>
      <c r="AR990" s="115"/>
      <c r="AS990" s="115"/>
      <c r="AT990" s="115"/>
      <c r="AU990" s="115"/>
      <c r="AV990" s="115"/>
      <c r="AW990" s="115"/>
      <c r="AX990" s="115"/>
      <c r="AY990" s="115"/>
      <c r="AZ990" s="115"/>
      <c r="BA990" s="115"/>
      <c r="BB990" s="115"/>
      <c r="BC990" s="115"/>
      <c r="BD990" s="26"/>
      <c r="BE990" s="13"/>
      <c r="BH990" s="114"/>
    </row>
    <row r="991" spans="3:60" x14ac:dyDescent="0.4"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  <c r="AK991" s="115"/>
      <c r="AL991" s="115"/>
      <c r="AM991" s="122"/>
      <c r="AN991" s="122"/>
      <c r="AO991" s="122"/>
      <c r="AP991" s="115"/>
      <c r="AQ991" s="115"/>
      <c r="AR991" s="115"/>
      <c r="AS991" s="115"/>
      <c r="AT991" s="115"/>
      <c r="AU991" s="115"/>
      <c r="AV991" s="115"/>
      <c r="AW991" s="115"/>
      <c r="AX991" s="115"/>
      <c r="AY991" s="115"/>
      <c r="AZ991" s="115"/>
      <c r="BA991" s="115"/>
      <c r="BB991" s="115"/>
      <c r="BC991" s="115"/>
      <c r="BD991" s="17"/>
      <c r="BE991" s="13"/>
      <c r="BH991" s="114"/>
    </row>
    <row r="992" spans="3:60" x14ac:dyDescent="0.4"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  <c r="AK992" s="115"/>
      <c r="AL992" s="115"/>
      <c r="AM992" s="122"/>
      <c r="AN992" s="122"/>
      <c r="AO992" s="122"/>
      <c r="AP992" s="115"/>
      <c r="AQ992" s="115"/>
      <c r="AR992" s="115"/>
      <c r="AS992" s="115"/>
      <c r="AT992" s="115"/>
      <c r="AU992" s="115"/>
      <c r="AV992" s="115"/>
      <c r="AW992" s="115"/>
      <c r="AX992" s="115"/>
      <c r="AY992" s="115"/>
      <c r="AZ992" s="115"/>
      <c r="BA992" s="115"/>
      <c r="BB992" s="115"/>
      <c r="BC992" s="115"/>
      <c r="BD992" s="26"/>
      <c r="BE992" s="13"/>
      <c r="BH992" s="114"/>
    </row>
    <row r="993" spans="1:60" x14ac:dyDescent="0.4"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  <c r="AK993" s="115"/>
      <c r="AL993" s="115"/>
      <c r="AM993" s="122"/>
      <c r="AN993" s="122"/>
      <c r="AO993" s="122"/>
      <c r="AP993" s="115"/>
      <c r="AQ993" s="115"/>
      <c r="AR993" s="115"/>
      <c r="AS993" s="115"/>
      <c r="AT993" s="115"/>
      <c r="AU993" s="115"/>
      <c r="AV993" s="115"/>
      <c r="AW993" s="115"/>
      <c r="AX993" s="115"/>
      <c r="AY993" s="115"/>
      <c r="AZ993" s="115"/>
      <c r="BA993" s="115"/>
      <c r="BB993" s="115"/>
      <c r="BC993" s="115"/>
      <c r="BD993" s="26"/>
      <c r="BE993" s="15"/>
      <c r="BH993" s="114"/>
    </row>
    <row r="994" spans="1:60" x14ac:dyDescent="0.4"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  <c r="AK994" s="115"/>
      <c r="AL994" s="115"/>
      <c r="AM994" s="122"/>
      <c r="AN994" s="122"/>
      <c r="AO994" s="122"/>
      <c r="AP994" s="115"/>
      <c r="AQ994" s="115"/>
      <c r="AR994" s="115"/>
      <c r="AS994" s="115"/>
      <c r="AT994" s="115"/>
      <c r="AU994" s="115"/>
      <c r="AV994" s="115"/>
      <c r="AW994" s="115"/>
      <c r="AX994" s="115"/>
      <c r="AY994" s="115"/>
      <c r="AZ994" s="115"/>
      <c r="BA994" s="115"/>
      <c r="BB994" s="115"/>
      <c r="BC994" s="115"/>
      <c r="BD994" s="17"/>
      <c r="BE994" s="15"/>
      <c r="BH994" s="114"/>
    </row>
    <row r="995" spans="1:60" x14ac:dyDescent="0.4"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  <c r="AK995" s="115"/>
      <c r="AL995" s="115"/>
      <c r="AM995" s="122"/>
      <c r="AN995" s="122"/>
      <c r="AO995" s="122"/>
      <c r="AP995" s="115"/>
      <c r="AQ995" s="115"/>
      <c r="AR995" s="115"/>
      <c r="AS995" s="115"/>
      <c r="AT995" s="115"/>
      <c r="AU995" s="115"/>
      <c r="AV995" s="115"/>
      <c r="AW995" s="115"/>
      <c r="AX995" s="115"/>
      <c r="AY995" s="115"/>
      <c r="AZ995" s="115"/>
      <c r="BA995" s="115"/>
      <c r="BB995" s="115"/>
      <c r="BC995" s="115"/>
      <c r="BD995" s="26"/>
      <c r="BE995" s="15"/>
      <c r="BH995" s="114"/>
    </row>
    <row r="996" spans="1:60" x14ac:dyDescent="0.4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  <c r="AK996" s="115"/>
      <c r="AL996" s="115"/>
      <c r="AM996" s="122"/>
      <c r="AN996" s="122"/>
      <c r="AO996" s="122"/>
      <c r="AP996" s="115"/>
      <c r="AQ996" s="115"/>
      <c r="AR996" s="115"/>
      <c r="AS996" s="115"/>
      <c r="AT996" s="115"/>
      <c r="AU996" s="115"/>
      <c r="AV996" s="115"/>
      <c r="AW996" s="115"/>
      <c r="AX996" s="115"/>
      <c r="AY996" s="115"/>
      <c r="AZ996" s="115"/>
      <c r="BA996" s="115"/>
      <c r="BB996" s="115"/>
      <c r="BC996" s="115"/>
      <c r="BD996" s="26"/>
      <c r="BE996" s="15"/>
      <c r="BH996" s="114"/>
    </row>
    <row r="997" spans="1:60" x14ac:dyDescent="0.4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  <c r="AK997" s="115"/>
      <c r="AL997" s="115"/>
      <c r="AM997" s="122"/>
      <c r="AN997" s="122"/>
      <c r="AO997" s="122"/>
      <c r="AP997" s="115"/>
      <c r="AQ997" s="115"/>
      <c r="AR997" s="115"/>
      <c r="AS997" s="115"/>
      <c r="AT997" s="115"/>
      <c r="AU997" s="115"/>
      <c r="AV997" s="115"/>
      <c r="AW997" s="115"/>
      <c r="AX997" s="115"/>
      <c r="AY997" s="115"/>
      <c r="AZ997" s="115"/>
      <c r="BA997" s="115"/>
      <c r="BB997" s="115"/>
      <c r="BC997" s="115"/>
      <c r="BD997" s="17"/>
      <c r="BE997" s="13"/>
      <c r="BH997" s="114"/>
    </row>
    <row r="998" spans="1:60" x14ac:dyDescent="0.4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  <c r="AK998" s="115"/>
      <c r="AL998" s="115"/>
      <c r="AM998" s="122"/>
      <c r="AN998" s="122"/>
      <c r="AO998" s="122"/>
      <c r="AP998" s="115"/>
      <c r="AQ998" s="115"/>
      <c r="AR998" s="115"/>
      <c r="AS998" s="115"/>
      <c r="AT998" s="115"/>
      <c r="AU998" s="115"/>
      <c r="AV998" s="115"/>
      <c r="AW998" s="115"/>
      <c r="AX998" s="115"/>
      <c r="AY998" s="115"/>
      <c r="AZ998" s="115"/>
      <c r="BA998" s="115"/>
      <c r="BB998" s="115"/>
      <c r="BC998" s="115"/>
      <c r="BD998" s="17"/>
      <c r="BE998" s="13"/>
      <c r="BH998" s="114"/>
    </row>
    <row r="999" spans="1:60" x14ac:dyDescent="0.4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  <c r="AK999" s="115"/>
      <c r="AL999" s="115"/>
      <c r="AM999" s="122"/>
      <c r="AN999" s="122"/>
      <c r="AO999" s="122"/>
      <c r="AP999" s="115"/>
      <c r="AQ999" s="115"/>
      <c r="AR999" s="115"/>
      <c r="AS999" s="115"/>
      <c r="AT999" s="115"/>
      <c r="AU999" s="115"/>
      <c r="AV999" s="115"/>
      <c r="AW999" s="115"/>
      <c r="AX999" s="115"/>
      <c r="AY999" s="115"/>
      <c r="AZ999" s="115"/>
      <c r="BA999" s="115"/>
      <c r="BB999" s="115"/>
      <c r="BC999" s="115"/>
      <c r="BD999" s="26"/>
      <c r="BE999" s="13"/>
      <c r="BH999" s="114"/>
    </row>
    <row r="1000" spans="1:60" x14ac:dyDescent="0.4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  <c r="AK1000" s="115"/>
      <c r="AL1000" s="115"/>
      <c r="AM1000" s="122"/>
      <c r="AN1000" s="122"/>
      <c r="AO1000" s="122"/>
      <c r="AP1000" s="115"/>
      <c r="AQ1000" s="115"/>
      <c r="AR1000" s="115"/>
      <c r="AS1000" s="115"/>
      <c r="AT1000" s="115"/>
      <c r="AU1000" s="115"/>
      <c r="AV1000" s="115"/>
      <c r="AW1000" s="115"/>
      <c r="AX1000" s="115"/>
      <c r="AY1000" s="115"/>
      <c r="AZ1000" s="115"/>
      <c r="BA1000" s="115"/>
      <c r="BB1000" s="115"/>
      <c r="BC1000" s="115"/>
      <c r="BD1000" s="26"/>
      <c r="BE1000" s="13"/>
      <c r="BH1000" s="114"/>
    </row>
    <row r="1001" spans="1:60" x14ac:dyDescent="0.4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  <c r="AK1001" s="115"/>
      <c r="AL1001" s="115"/>
      <c r="AM1001" s="122"/>
      <c r="AN1001" s="122"/>
      <c r="AO1001" s="122"/>
      <c r="AP1001" s="115"/>
      <c r="AQ1001" s="115"/>
      <c r="AR1001" s="115"/>
      <c r="AS1001" s="115"/>
      <c r="AT1001" s="115"/>
      <c r="AU1001" s="115"/>
      <c r="AV1001" s="115"/>
      <c r="AW1001" s="115"/>
      <c r="AX1001" s="115"/>
      <c r="AY1001" s="115"/>
      <c r="AZ1001" s="115"/>
      <c r="BA1001" s="115"/>
      <c r="BB1001" s="115"/>
      <c r="BC1001" s="115"/>
      <c r="BD1001" s="17"/>
      <c r="BE1001" s="13"/>
      <c r="BH1001" s="114"/>
    </row>
    <row r="1002" spans="1:60" x14ac:dyDescent="0.4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  <c r="AK1002" s="115"/>
      <c r="AL1002" s="115"/>
      <c r="AM1002" s="122"/>
      <c r="AN1002" s="122"/>
      <c r="AO1002" s="122"/>
      <c r="AP1002" s="115"/>
      <c r="AQ1002" s="115"/>
      <c r="AR1002" s="115"/>
      <c r="AS1002" s="115"/>
      <c r="AT1002" s="115"/>
      <c r="AU1002" s="115"/>
      <c r="AV1002" s="115"/>
      <c r="AW1002" s="115"/>
      <c r="AX1002" s="115"/>
      <c r="AY1002" s="115"/>
      <c r="AZ1002" s="115"/>
      <c r="BA1002" s="115"/>
      <c r="BB1002" s="115"/>
      <c r="BC1002" s="115"/>
      <c r="BD1002" s="26"/>
      <c r="BE1002" s="15"/>
      <c r="BH1002" s="114"/>
    </row>
    <row r="1003" spans="1:60" x14ac:dyDescent="0.4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  <c r="AK1003" s="115"/>
      <c r="AL1003" s="115"/>
      <c r="AM1003" s="122"/>
      <c r="AN1003" s="122"/>
      <c r="AO1003" s="122"/>
      <c r="AP1003" s="115"/>
      <c r="AQ1003" s="115"/>
      <c r="AR1003" s="115"/>
      <c r="AS1003" s="115"/>
      <c r="AT1003" s="115"/>
      <c r="AU1003" s="115"/>
      <c r="AV1003" s="115"/>
      <c r="AW1003" s="115"/>
      <c r="AX1003" s="115"/>
      <c r="AY1003" s="115"/>
      <c r="AZ1003" s="115"/>
      <c r="BA1003" s="115"/>
      <c r="BB1003" s="115"/>
      <c r="BC1003" s="115"/>
      <c r="BD1003" s="26"/>
      <c r="BE1003" s="15"/>
      <c r="BH1003" s="114"/>
    </row>
    <row r="1004" spans="1:60" x14ac:dyDescent="0.4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  <c r="AK1004" s="115"/>
      <c r="AL1004" s="115"/>
      <c r="AM1004" s="122"/>
      <c r="AN1004" s="122"/>
      <c r="AO1004" s="122"/>
      <c r="AP1004" s="115"/>
      <c r="AQ1004" s="115"/>
      <c r="AR1004" s="115"/>
      <c r="AS1004" s="115"/>
      <c r="AT1004" s="115"/>
      <c r="AU1004" s="115"/>
      <c r="AV1004" s="115"/>
      <c r="AW1004" s="115"/>
      <c r="AX1004" s="115"/>
      <c r="AY1004" s="115"/>
      <c r="AZ1004" s="115"/>
      <c r="BA1004" s="115"/>
      <c r="BB1004" s="115"/>
      <c r="BC1004" s="115"/>
      <c r="BD1004" s="26"/>
      <c r="BE1004" s="15"/>
      <c r="BH1004" s="114"/>
    </row>
    <row r="1005" spans="1:60" x14ac:dyDescent="0.4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  <c r="AK1005" s="115"/>
      <c r="AL1005" s="115"/>
      <c r="AM1005" s="122"/>
      <c r="AN1005" s="122"/>
      <c r="AO1005" s="122"/>
      <c r="AP1005" s="115"/>
      <c r="AQ1005" s="115"/>
      <c r="AR1005" s="115"/>
      <c r="AS1005" s="115"/>
      <c r="AT1005" s="115"/>
      <c r="AU1005" s="115"/>
      <c r="AV1005" s="115"/>
      <c r="AW1005" s="115"/>
      <c r="AX1005" s="115"/>
      <c r="AY1005" s="115"/>
      <c r="AZ1005" s="115"/>
      <c r="BA1005" s="115"/>
      <c r="BB1005" s="115"/>
      <c r="BC1005" s="115"/>
      <c r="BD1005" s="26"/>
      <c r="BE1005" s="13"/>
      <c r="BH1005" s="114"/>
    </row>
    <row r="1006" spans="1:60" x14ac:dyDescent="0.4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  <c r="AK1006" s="115"/>
      <c r="AL1006" s="115"/>
      <c r="AM1006" s="122"/>
      <c r="AN1006" s="122"/>
      <c r="AO1006" s="122"/>
      <c r="AP1006" s="115"/>
      <c r="AQ1006" s="115"/>
      <c r="AR1006" s="115"/>
      <c r="AS1006" s="115"/>
      <c r="AT1006" s="115"/>
      <c r="AU1006" s="115"/>
      <c r="AV1006" s="115"/>
      <c r="AW1006" s="115"/>
      <c r="AX1006" s="115"/>
      <c r="AY1006" s="115"/>
      <c r="AZ1006" s="115"/>
      <c r="BA1006" s="115"/>
      <c r="BB1006" s="115"/>
      <c r="BC1006" s="115"/>
      <c r="BD1006" s="26"/>
      <c r="BE1006" s="25"/>
      <c r="BH1006" s="114"/>
    </row>
    <row r="1007" spans="1:60" x14ac:dyDescent="0.4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  <c r="AK1007" s="115"/>
      <c r="AL1007" s="115"/>
      <c r="AM1007" s="122"/>
      <c r="AN1007" s="122"/>
      <c r="AO1007" s="122"/>
      <c r="AP1007" s="115"/>
      <c r="AQ1007" s="115"/>
      <c r="AR1007" s="115"/>
      <c r="AS1007" s="115"/>
      <c r="AT1007" s="115"/>
      <c r="AU1007" s="115"/>
      <c r="AV1007" s="115"/>
      <c r="AW1007" s="115"/>
      <c r="AX1007" s="115"/>
      <c r="AY1007" s="115"/>
      <c r="AZ1007" s="115"/>
      <c r="BA1007" s="115"/>
      <c r="BB1007" s="115"/>
      <c r="BC1007" s="115"/>
      <c r="BD1007" s="26"/>
      <c r="BE1007" s="13"/>
      <c r="BH1007" s="114"/>
    </row>
    <row r="1008" spans="1:60" x14ac:dyDescent="0.4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  <c r="AK1008" s="115"/>
      <c r="AL1008" s="115"/>
      <c r="AM1008" s="122"/>
      <c r="AN1008" s="122"/>
      <c r="AO1008" s="122"/>
      <c r="AP1008" s="115"/>
      <c r="AQ1008" s="115"/>
      <c r="AR1008" s="115"/>
      <c r="AS1008" s="115"/>
      <c r="AT1008" s="115"/>
      <c r="AU1008" s="115"/>
      <c r="AV1008" s="115"/>
      <c r="AW1008" s="115"/>
      <c r="AX1008" s="115"/>
      <c r="AY1008" s="115"/>
      <c r="AZ1008" s="115"/>
      <c r="BA1008" s="115"/>
      <c r="BB1008" s="115"/>
      <c r="BC1008" s="115"/>
      <c r="BD1008" s="26"/>
      <c r="BE1008" s="13"/>
      <c r="BH1008" s="114"/>
    </row>
    <row r="1009" spans="1:60" x14ac:dyDescent="0.4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  <c r="AK1009" s="115"/>
      <c r="AL1009" s="115"/>
      <c r="AM1009" s="122"/>
      <c r="AN1009" s="122"/>
      <c r="AO1009" s="122"/>
      <c r="AP1009" s="115"/>
      <c r="AQ1009" s="115"/>
      <c r="AR1009" s="115"/>
      <c r="AS1009" s="115"/>
      <c r="AT1009" s="115"/>
      <c r="AU1009" s="115"/>
      <c r="AV1009" s="115"/>
      <c r="AW1009" s="115"/>
      <c r="AX1009" s="115"/>
      <c r="AY1009" s="115"/>
      <c r="AZ1009" s="115"/>
      <c r="BA1009" s="115"/>
      <c r="BB1009" s="115"/>
      <c r="BC1009" s="115"/>
      <c r="BD1009" s="26"/>
      <c r="BE1009" s="13"/>
      <c r="BH1009" s="114"/>
    </row>
    <row r="1010" spans="1:60" x14ac:dyDescent="0.4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  <c r="AK1010" s="115"/>
      <c r="AL1010" s="115"/>
      <c r="AM1010" s="122"/>
      <c r="AN1010" s="122"/>
      <c r="AO1010" s="122"/>
      <c r="AP1010" s="115"/>
      <c r="AQ1010" s="115"/>
      <c r="AR1010" s="115"/>
      <c r="AS1010" s="115"/>
      <c r="AT1010" s="115"/>
      <c r="AU1010" s="115"/>
      <c r="AV1010" s="115"/>
      <c r="AW1010" s="115"/>
      <c r="AX1010" s="115"/>
      <c r="AY1010" s="115"/>
      <c r="AZ1010" s="115"/>
      <c r="BA1010" s="115"/>
      <c r="BB1010" s="115"/>
      <c r="BC1010" s="115"/>
      <c r="BD1010" s="26"/>
      <c r="BE1010" s="13"/>
      <c r="BH1010" s="114"/>
    </row>
    <row r="1011" spans="1:60" x14ac:dyDescent="0.4">
      <c r="A1011" s="115"/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  <c r="AK1011" s="115"/>
      <c r="AL1011" s="115"/>
      <c r="AM1011" s="122"/>
      <c r="AN1011" s="122"/>
      <c r="AO1011" s="122"/>
      <c r="AP1011" s="115"/>
      <c r="AQ1011" s="115"/>
      <c r="AR1011" s="115"/>
      <c r="AS1011" s="115"/>
      <c r="AT1011" s="115"/>
      <c r="AU1011" s="115"/>
      <c r="AV1011" s="115"/>
      <c r="AW1011" s="115"/>
      <c r="AX1011" s="115"/>
      <c r="AY1011" s="115"/>
      <c r="AZ1011" s="115"/>
      <c r="BA1011" s="115"/>
      <c r="BB1011" s="115"/>
      <c r="BC1011" s="115"/>
      <c r="BD1011" s="26"/>
      <c r="BE1011" s="13"/>
      <c r="BH1011" s="114"/>
    </row>
    <row r="1012" spans="1:60" x14ac:dyDescent="0.4">
      <c r="A1012" s="115"/>
      <c r="B1012" s="115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15"/>
      <c r="AK1012" s="115"/>
      <c r="AL1012" s="115"/>
      <c r="AM1012" s="122"/>
      <c r="AN1012" s="122"/>
      <c r="AO1012" s="122"/>
      <c r="AP1012" s="115"/>
      <c r="AQ1012" s="115"/>
      <c r="AR1012" s="115"/>
      <c r="AS1012" s="115"/>
      <c r="AT1012" s="115"/>
      <c r="AU1012" s="115"/>
      <c r="AV1012" s="115"/>
      <c r="AW1012" s="115"/>
      <c r="AX1012" s="115"/>
      <c r="AY1012" s="115"/>
      <c r="AZ1012" s="115"/>
      <c r="BA1012" s="115"/>
      <c r="BB1012" s="115"/>
      <c r="BC1012" s="115"/>
      <c r="BD1012" s="26"/>
      <c r="BE1012" s="13"/>
      <c r="BH1012" s="114"/>
    </row>
    <row r="1013" spans="1:60" x14ac:dyDescent="0.4">
      <c r="A1013" s="115"/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  <c r="AK1013" s="115"/>
      <c r="AL1013" s="115"/>
      <c r="AM1013" s="122"/>
      <c r="AN1013" s="122"/>
      <c r="AO1013" s="122"/>
      <c r="AP1013" s="115"/>
      <c r="AQ1013" s="115"/>
      <c r="AR1013" s="115"/>
      <c r="AS1013" s="115"/>
      <c r="AT1013" s="115"/>
      <c r="AU1013" s="115"/>
      <c r="AV1013" s="115"/>
      <c r="AW1013" s="115"/>
      <c r="AX1013" s="115"/>
      <c r="AY1013" s="115"/>
      <c r="AZ1013" s="115"/>
      <c r="BA1013" s="115"/>
      <c r="BB1013" s="115"/>
      <c r="BC1013" s="115"/>
      <c r="BD1013" s="26"/>
      <c r="BE1013" s="13"/>
      <c r="BH1013" s="114"/>
    </row>
    <row r="1014" spans="1:60" x14ac:dyDescent="0.4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  <c r="AK1014" s="115"/>
      <c r="AL1014" s="115"/>
      <c r="AM1014" s="122"/>
      <c r="AN1014" s="122"/>
      <c r="AO1014" s="122"/>
      <c r="AP1014" s="115"/>
      <c r="AQ1014" s="115"/>
      <c r="AR1014" s="115"/>
      <c r="AS1014" s="115"/>
      <c r="AT1014" s="115"/>
      <c r="AU1014" s="115"/>
      <c r="AV1014" s="115"/>
      <c r="AW1014" s="115"/>
      <c r="AX1014" s="115"/>
      <c r="AY1014" s="115"/>
      <c r="AZ1014" s="115"/>
      <c r="BA1014" s="115"/>
      <c r="BB1014" s="115"/>
      <c r="BC1014" s="115"/>
      <c r="BD1014" s="26"/>
      <c r="BE1014" s="13"/>
      <c r="BH1014" s="114"/>
    </row>
    <row r="1015" spans="1:60" x14ac:dyDescent="0.4">
      <c r="A1015" s="115"/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  <c r="AK1015" s="115"/>
      <c r="AL1015" s="115"/>
      <c r="AM1015" s="122"/>
      <c r="AN1015" s="122"/>
      <c r="AO1015" s="122"/>
      <c r="AP1015" s="115"/>
      <c r="AQ1015" s="115"/>
      <c r="AR1015" s="115"/>
      <c r="AS1015" s="115"/>
      <c r="AT1015" s="115"/>
      <c r="AU1015" s="115"/>
      <c r="AV1015" s="115"/>
      <c r="AW1015" s="115"/>
      <c r="AX1015" s="115"/>
      <c r="AY1015" s="115"/>
      <c r="AZ1015" s="115"/>
      <c r="BA1015" s="115"/>
      <c r="BB1015" s="115"/>
      <c r="BC1015" s="115"/>
      <c r="BD1015" s="26"/>
      <c r="BE1015" s="13"/>
      <c r="BH1015" s="114"/>
    </row>
    <row r="1016" spans="1:60" x14ac:dyDescent="0.4">
      <c r="A1016" s="115"/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  <c r="AK1016" s="115"/>
      <c r="AL1016" s="115"/>
      <c r="AM1016" s="122"/>
      <c r="AN1016" s="122"/>
      <c r="AO1016" s="122"/>
      <c r="AP1016" s="115"/>
      <c r="AQ1016" s="115"/>
      <c r="AR1016" s="115"/>
      <c r="AS1016" s="115"/>
      <c r="AT1016" s="115"/>
      <c r="AU1016" s="115"/>
      <c r="AV1016" s="115"/>
      <c r="AW1016" s="115"/>
      <c r="AX1016" s="115"/>
      <c r="AY1016" s="115"/>
      <c r="AZ1016" s="115"/>
      <c r="BA1016" s="115"/>
      <c r="BB1016" s="115"/>
      <c r="BC1016" s="115"/>
      <c r="BD1016" s="26"/>
      <c r="BE1016" s="13"/>
      <c r="BH1016" s="114"/>
    </row>
    <row r="1017" spans="1:60" x14ac:dyDescent="0.4">
      <c r="A1017" s="115"/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  <c r="AK1017" s="115"/>
      <c r="AL1017" s="115"/>
      <c r="AM1017" s="122"/>
      <c r="AN1017" s="122"/>
      <c r="AO1017" s="122"/>
      <c r="AP1017" s="115"/>
      <c r="AQ1017" s="115"/>
      <c r="AR1017" s="115"/>
      <c r="AS1017" s="115"/>
      <c r="AT1017" s="115"/>
      <c r="AU1017" s="115"/>
      <c r="AV1017" s="115"/>
      <c r="AW1017" s="115"/>
      <c r="AX1017" s="115"/>
      <c r="AY1017" s="115"/>
      <c r="AZ1017" s="115"/>
      <c r="BA1017" s="115"/>
      <c r="BB1017" s="115"/>
      <c r="BC1017" s="115"/>
      <c r="BD1017" s="26"/>
      <c r="BE1017" s="15"/>
      <c r="BH1017" s="114"/>
    </row>
    <row r="1018" spans="1:60" x14ac:dyDescent="0.4">
      <c r="A1018" s="115"/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  <c r="AI1018" s="115"/>
      <c r="AJ1018" s="115"/>
      <c r="AK1018" s="115"/>
      <c r="AL1018" s="115"/>
      <c r="AM1018" s="122"/>
      <c r="AN1018" s="122"/>
      <c r="AO1018" s="122"/>
      <c r="AP1018" s="115"/>
      <c r="AQ1018" s="115"/>
      <c r="AR1018" s="115"/>
      <c r="AS1018" s="115"/>
      <c r="AT1018" s="115"/>
      <c r="AU1018" s="115"/>
      <c r="AV1018" s="115"/>
      <c r="AW1018" s="115"/>
      <c r="AX1018" s="115"/>
      <c r="AY1018" s="115"/>
      <c r="AZ1018" s="115"/>
      <c r="BA1018" s="115"/>
      <c r="BB1018" s="115"/>
      <c r="BC1018" s="115"/>
      <c r="BD1018" s="26"/>
      <c r="BE1018" s="15"/>
      <c r="BH1018" s="114"/>
    </row>
    <row r="1019" spans="1:60" x14ac:dyDescent="0.4">
      <c r="A1019" s="115"/>
      <c r="B1019" s="115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15"/>
      <c r="AI1019" s="115"/>
      <c r="AJ1019" s="115"/>
      <c r="AK1019" s="115"/>
      <c r="AL1019" s="115"/>
      <c r="AM1019" s="122"/>
      <c r="AN1019" s="122"/>
      <c r="AO1019" s="122"/>
      <c r="AP1019" s="115"/>
      <c r="AQ1019" s="115"/>
      <c r="AR1019" s="115"/>
      <c r="AS1019" s="115"/>
      <c r="AT1019" s="115"/>
      <c r="AU1019" s="115"/>
      <c r="AV1019" s="115"/>
      <c r="AW1019" s="115"/>
      <c r="AX1019" s="115"/>
      <c r="AY1019" s="115"/>
      <c r="AZ1019" s="115"/>
      <c r="BA1019" s="115"/>
      <c r="BB1019" s="115"/>
      <c r="BC1019" s="115"/>
      <c r="BD1019" s="26"/>
      <c r="BE1019" s="15"/>
      <c r="BH1019" s="114"/>
    </row>
    <row r="1020" spans="1:60" x14ac:dyDescent="0.4">
      <c r="A1020" s="115"/>
      <c r="B1020" s="115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15"/>
      <c r="AK1020" s="115"/>
      <c r="AL1020" s="115"/>
      <c r="AM1020" s="122"/>
      <c r="AN1020" s="122"/>
      <c r="AO1020" s="122"/>
      <c r="AP1020" s="115"/>
      <c r="AQ1020" s="115"/>
      <c r="AR1020" s="115"/>
      <c r="AS1020" s="115"/>
      <c r="AT1020" s="115"/>
      <c r="AU1020" s="115"/>
      <c r="AV1020" s="115"/>
      <c r="AW1020" s="115"/>
      <c r="AX1020" s="115"/>
      <c r="AY1020" s="115"/>
      <c r="AZ1020" s="115"/>
      <c r="BA1020" s="115"/>
      <c r="BB1020" s="115"/>
      <c r="BC1020" s="115"/>
      <c r="BD1020" s="26"/>
      <c r="BE1020" s="15"/>
      <c r="BH1020" s="114"/>
    </row>
    <row r="1021" spans="1:60" x14ac:dyDescent="0.4">
      <c r="A1021" s="115"/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15"/>
      <c r="AE1021" s="115"/>
      <c r="AF1021" s="115"/>
      <c r="AG1021" s="115"/>
      <c r="AH1021" s="115"/>
      <c r="AI1021" s="115"/>
      <c r="AJ1021" s="115"/>
      <c r="AK1021" s="115"/>
      <c r="AL1021" s="115"/>
      <c r="AM1021" s="122"/>
      <c r="AN1021" s="122"/>
      <c r="AO1021" s="122"/>
      <c r="AP1021" s="115"/>
      <c r="AQ1021" s="115"/>
      <c r="AR1021" s="115"/>
      <c r="AS1021" s="115"/>
      <c r="AT1021" s="115"/>
      <c r="AU1021" s="115"/>
      <c r="AV1021" s="115"/>
      <c r="AW1021" s="115"/>
      <c r="AX1021" s="115"/>
      <c r="AY1021" s="115"/>
      <c r="AZ1021" s="115"/>
      <c r="BA1021" s="115"/>
      <c r="BB1021" s="115"/>
      <c r="BC1021" s="115"/>
      <c r="BD1021" s="26"/>
      <c r="BE1021" s="13"/>
      <c r="BH1021" s="114"/>
    </row>
    <row r="1022" spans="1:60" x14ac:dyDescent="0.4">
      <c r="A1022" s="115"/>
      <c r="B1022" s="115"/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115"/>
      <c r="AE1022" s="115"/>
      <c r="AF1022" s="115"/>
      <c r="AG1022" s="115"/>
      <c r="AH1022" s="115"/>
      <c r="AI1022" s="115"/>
      <c r="AJ1022" s="115"/>
      <c r="AK1022" s="115"/>
      <c r="AL1022" s="115"/>
      <c r="AM1022" s="122"/>
      <c r="AN1022" s="122"/>
      <c r="AO1022" s="122"/>
      <c r="AP1022" s="115"/>
      <c r="AQ1022" s="115"/>
      <c r="AR1022" s="115"/>
      <c r="AS1022" s="115"/>
      <c r="AT1022" s="115"/>
      <c r="AU1022" s="115"/>
      <c r="AV1022" s="115"/>
      <c r="AW1022" s="115"/>
      <c r="AX1022" s="115"/>
      <c r="AY1022" s="115"/>
      <c r="AZ1022" s="115"/>
      <c r="BA1022" s="115"/>
      <c r="BB1022" s="115"/>
      <c r="BC1022" s="115"/>
      <c r="BD1022" s="26"/>
      <c r="BE1022" s="15"/>
      <c r="BH1022" s="114"/>
    </row>
    <row r="1023" spans="1:60" x14ac:dyDescent="0.4">
      <c r="A1023" s="115"/>
      <c r="B1023" s="115"/>
      <c r="C1023" s="115"/>
      <c r="D1023" s="115"/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15"/>
      <c r="AJ1023" s="115"/>
      <c r="AK1023" s="115"/>
      <c r="AL1023" s="115"/>
      <c r="AM1023" s="122"/>
      <c r="AN1023" s="122"/>
      <c r="AO1023" s="122"/>
      <c r="AP1023" s="115"/>
      <c r="AQ1023" s="115"/>
      <c r="AR1023" s="115"/>
      <c r="AS1023" s="115"/>
      <c r="AT1023" s="115"/>
      <c r="AU1023" s="115"/>
      <c r="AV1023" s="115"/>
      <c r="AW1023" s="115"/>
      <c r="AX1023" s="115"/>
      <c r="AY1023" s="115"/>
      <c r="AZ1023" s="115"/>
      <c r="BA1023" s="115"/>
      <c r="BB1023" s="115"/>
      <c r="BC1023" s="115"/>
      <c r="BD1023" s="26"/>
      <c r="BE1023" s="15"/>
      <c r="BH1023" s="114"/>
    </row>
    <row r="1024" spans="1:60" x14ac:dyDescent="0.4">
      <c r="A1024" s="115"/>
      <c r="B1024" s="115"/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15"/>
      <c r="AJ1024" s="115"/>
      <c r="AK1024" s="115"/>
      <c r="AL1024" s="115"/>
      <c r="AM1024" s="122"/>
      <c r="AN1024" s="122"/>
      <c r="AO1024" s="122"/>
      <c r="AP1024" s="115"/>
      <c r="AQ1024" s="115"/>
      <c r="AR1024" s="115"/>
      <c r="AS1024" s="115"/>
      <c r="AT1024" s="115"/>
      <c r="AU1024" s="115"/>
      <c r="AV1024" s="115"/>
      <c r="AW1024" s="115"/>
      <c r="AX1024" s="115"/>
      <c r="AY1024" s="115"/>
      <c r="AZ1024" s="115"/>
      <c r="BA1024" s="115"/>
      <c r="BB1024" s="115"/>
      <c r="BC1024" s="115"/>
      <c r="BD1024" s="26"/>
      <c r="BE1024" s="15"/>
      <c r="BH1024" s="114"/>
    </row>
    <row r="1025" spans="1:60" x14ac:dyDescent="0.4">
      <c r="A1025" s="115"/>
      <c r="B1025" s="115"/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115"/>
      <c r="AE1025" s="115"/>
      <c r="AF1025" s="115"/>
      <c r="AG1025" s="115"/>
      <c r="AH1025" s="115"/>
      <c r="AI1025" s="115"/>
      <c r="AJ1025" s="115"/>
      <c r="AK1025" s="115"/>
      <c r="AL1025" s="115"/>
      <c r="AM1025" s="122"/>
      <c r="AN1025" s="122"/>
      <c r="AO1025" s="122"/>
      <c r="AP1025" s="115"/>
      <c r="AQ1025" s="115"/>
      <c r="AR1025" s="115"/>
      <c r="AS1025" s="115"/>
      <c r="AT1025" s="115"/>
      <c r="AU1025" s="115"/>
      <c r="AV1025" s="115"/>
      <c r="AW1025" s="115"/>
      <c r="AX1025" s="115"/>
      <c r="AY1025" s="115"/>
      <c r="AZ1025" s="115"/>
      <c r="BA1025" s="115"/>
      <c r="BB1025" s="115"/>
      <c r="BC1025" s="115"/>
      <c r="BD1025" s="26"/>
      <c r="BE1025" s="15"/>
      <c r="BH1025" s="114"/>
    </row>
    <row r="1026" spans="1:60" x14ac:dyDescent="0.4">
      <c r="A1026" s="115"/>
      <c r="B1026" s="115"/>
      <c r="C1026" s="115"/>
      <c r="D1026" s="115"/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15"/>
      <c r="AJ1026" s="115"/>
      <c r="AK1026" s="115"/>
      <c r="AL1026" s="115"/>
      <c r="AM1026" s="122"/>
      <c r="AN1026" s="122"/>
      <c r="AO1026" s="122"/>
      <c r="AP1026" s="115"/>
      <c r="AQ1026" s="115"/>
      <c r="AR1026" s="115"/>
      <c r="AS1026" s="115"/>
      <c r="AT1026" s="115"/>
      <c r="AU1026" s="115"/>
      <c r="AV1026" s="115"/>
      <c r="AW1026" s="115"/>
      <c r="AX1026" s="115"/>
      <c r="AY1026" s="115"/>
      <c r="AZ1026" s="115"/>
      <c r="BA1026" s="115"/>
      <c r="BB1026" s="115"/>
      <c r="BC1026" s="115"/>
      <c r="BD1026" s="26"/>
      <c r="BE1026" s="15"/>
      <c r="BH1026" s="114"/>
    </row>
    <row r="1027" spans="1:60" x14ac:dyDescent="0.4">
      <c r="A1027" s="115"/>
      <c r="B1027" s="115"/>
      <c r="C1027" s="115"/>
      <c r="D1027" s="115"/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15"/>
      <c r="AD1027" s="115"/>
      <c r="AE1027" s="115"/>
      <c r="AF1027" s="115"/>
      <c r="AG1027" s="115"/>
      <c r="AH1027" s="115"/>
      <c r="AI1027" s="115"/>
      <c r="AJ1027" s="115"/>
      <c r="AK1027" s="115"/>
      <c r="AL1027" s="115"/>
      <c r="AM1027" s="122"/>
      <c r="AN1027" s="122"/>
      <c r="AO1027" s="122"/>
      <c r="AP1027" s="115"/>
      <c r="AQ1027" s="115"/>
      <c r="AR1027" s="115"/>
      <c r="AS1027" s="115"/>
      <c r="AT1027" s="115"/>
      <c r="AU1027" s="115"/>
      <c r="AV1027" s="115"/>
      <c r="AW1027" s="115"/>
      <c r="AX1027" s="115"/>
      <c r="AY1027" s="115"/>
      <c r="AZ1027" s="115"/>
      <c r="BA1027" s="115"/>
      <c r="BB1027" s="115"/>
      <c r="BC1027" s="115"/>
      <c r="BD1027" s="26"/>
      <c r="BE1027" s="105"/>
      <c r="BH1027" s="114"/>
    </row>
    <row r="1028" spans="1:60" x14ac:dyDescent="0.4">
      <c r="A1028" s="115"/>
      <c r="B1028" s="115"/>
      <c r="C1028" s="115"/>
      <c r="D1028" s="115"/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115"/>
      <c r="AE1028" s="115"/>
      <c r="AF1028" s="115"/>
      <c r="AG1028" s="115"/>
      <c r="AH1028" s="115"/>
      <c r="AI1028" s="115"/>
      <c r="AJ1028" s="115"/>
      <c r="AK1028" s="115"/>
      <c r="AL1028" s="115"/>
      <c r="AM1028" s="122"/>
      <c r="AN1028" s="122"/>
      <c r="AO1028" s="122"/>
      <c r="AP1028" s="115"/>
      <c r="AQ1028" s="115"/>
      <c r="AR1028" s="115"/>
      <c r="AS1028" s="115"/>
      <c r="AT1028" s="115"/>
      <c r="AU1028" s="115"/>
      <c r="AV1028" s="115"/>
      <c r="AW1028" s="115"/>
      <c r="AX1028" s="115"/>
      <c r="AY1028" s="115"/>
      <c r="AZ1028" s="115"/>
      <c r="BA1028" s="115"/>
      <c r="BB1028" s="115"/>
      <c r="BC1028" s="115"/>
      <c r="BD1028" s="17"/>
      <c r="BE1028" s="15"/>
      <c r="BH1028" s="114"/>
    </row>
    <row r="1029" spans="1:60" x14ac:dyDescent="0.4">
      <c r="A1029" s="115"/>
      <c r="B1029" s="115"/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15"/>
      <c r="AK1029" s="115"/>
      <c r="AL1029" s="115"/>
      <c r="AM1029" s="122"/>
      <c r="AN1029" s="122"/>
      <c r="AO1029" s="122"/>
      <c r="AP1029" s="115"/>
      <c r="AQ1029" s="115"/>
      <c r="AR1029" s="115"/>
      <c r="AS1029" s="115"/>
      <c r="AT1029" s="115"/>
      <c r="AU1029" s="115"/>
      <c r="AV1029" s="115"/>
      <c r="AW1029" s="115"/>
      <c r="AX1029" s="115"/>
      <c r="AY1029" s="115"/>
      <c r="AZ1029" s="115"/>
      <c r="BA1029" s="115"/>
      <c r="BB1029" s="115"/>
      <c r="BC1029" s="115"/>
      <c r="BD1029" s="26"/>
      <c r="BE1029" s="15"/>
      <c r="BH1029" s="114"/>
    </row>
    <row r="1030" spans="1:60" x14ac:dyDescent="0.4">
      <c r="A1030" s="115"/>
      <c r="B1030" s="115"/>
      <c r="C1030" s="115"/>
      <c r="D1030" s="115"/>
      <c r="E1030" s="115"/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  <c r="AA1030" s="115"/>
      <c r="AB1030" s="115"/>
      <c r="AC1030" s="115"/>
      <c r="AD1030" s="115"/>
      <c r="AE1030" s="115"/>
      <c r="AF1030" s="115"/>
      <c r="AG1030" s="115"/>
      <c r="AH1030" s="115"/>
      <c r="AI1030" s="115"/>
      <c r="AJ1030" s="115"/>
      <c r="AK1030" s="115"/>
      <c r="AL1030" s="115"/>
      <c r="AM1030" s="122"/>
      <c r="AN1030" s="122"/>
      <c r="AO1030" s="122"/>
      <c r="AP1030" s="115"/>
      <c r="AQ1030" s="115"/>
      <c r="AR1030" s="115"/>
      <c r="AS1030" s="115"/>
      <c r="AT1030" s="115"/>
      <c r="AU1030" s="115"/>
      <c r="AV1030" s="115"/>
      <c r="AW1030" s="115"/>
      <c r="AX1030" s="115"/>
      <c r="AY1030" s="115"/>
      <c r="AZ1030" s="115"/>
      <c r="BA1030" s="115"/>
      <c r="BB1030" s="115"/>
      <c r="BC1030" s="115"/>
      <c r="BD1030" s="26"/>
      <c r="BE1030" s="15"/>
      <c r="BH1030" s="114"/>
    </row>
    <row r="1031" spans="1:60" x14ac:dyDescent="0.4">
      <c r="A1031" s="115"/>
      <c r="B1031" s="115"/>
      <c r="C1031" s="115"/>
      <c r="D1031" s="115"/>
      <c r="E1031" s="115"/>
      <c r="F1031" s="115"/>
      <c r="G1031" s="115"/>
      <c r="H1031" s="115"/>
      <c r="I1031" s="115"/>
      <c r="J1031" s="115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  <c r="AA1031" s="115"/>
      <c r="AB1031" s="115"/>
      <c r="AC1031" s="115"/>
      <c r="AD1031" s="115"/>
      <c r="AE1031" s="115"/>
      <c r="AF1031" s="115"/>
      <c r="AG1031" s="115"/>
      <c r="AH1031" s="115"/>
      <c r="AI1031" s="115"/>
      <c r="AJ1031" s="115"/>
      <c r="AK1031" s="115"/>
      <c r="AL1031" s="115"/>
      <c r="AM1031" s="122"/>
      <c r="AN1031" s="122"/>
      <c r="AO1031" s="122"/>
      <c r="AP1031" s="115"/>
      <c r="AQ1031" s="115"/>
      <c r="AR1031" s="115"/>
      <c r="AS1031" s="115"/>
      <c r="AT1031" s="115"/>
      <c r="AU1031" s="115"/>
      <c r="AV1031" s="115"/>
      <c r="AW1031" s="115"/>
      <c r="AX1031" s="115"/>
      <c r="AY1031" s="115"/>
      <c r="AZ1031" s="115"/>
      <c r="BA1031" s="115"/>
      <c r="BB1031" s="115"/>
      <c r="BC1031" s="115"/>
      <c r="BD1031" s="26"/>
      <c r="BE1031" s="105"/>
      <c r="BH1031" s="114"/>
    </row>
    <row r="1032" spans="1:60" x14ac:dyDescent="0.4">
      <c r="BD1032" s="26"/>
      <c r="BE1032" s="15"/>
      <c r="BH1032" s="114"/>
    </row>
    <row r="1033" spans="1:60" x14ac:dyDescent="0.4">
      <c r="AN1033" s="122"/>
      <c r="AO1033" s="122"/>
      <c r="AP1033" s="115"/>
      <c r="AQ1033" s="115"/>
      <c r="AR1033" s="115"/>
      <c r="AS1033" s="115"/>
      <c r="AT1033" s="115"/>
      <c r="AU1033" s="115"/>
      <c r="AV1033" s="115"/>
      <c r="AW1033" s="115"/>
      <c r="AX1033" s="115"/>
      <c r="AY1033" s="115"/>
      <c r="AZ1033" s="115"/>
      <c r="BA1033" s="115"/>
      <c r="BB1033" s="115"/>
      <c r="BC1033" s="115"/>
      <c r="BD1033" s="26"/>
      <c r="BE1033" s="15"/>
      <c r="BH1033" s="114"/>
    </row>
    <row r="1034" spans="1:60" x14ac:dyDescent="0.4">
      <c r="AJ1034" s="115"/>
      <c r="AK1034" s="115"/>
      <c r="AL1034" s="115"/>
      <c r="AM1034" s="122"/>
      <c r="AN1034" s="122"/>
      <c r="AO1034" s="122"/>
      <c r="AP1034" s="115"/>
      <c r="AQ1034" s="115"/>
      <c r="AR1034" s="115"/>
      <c r="AS1034" s="115"/>
      <c r="AT1034" s="115"/>
      <c r="AU1034" s="115"/>
      <c r="AV1034" s="115"/>
      <c r="AW1034" s="115"/>
      <c r="AX1034" s="115"/>
      <c r="AY1034" s="115"/>
      <c r="AZ1034" s="115"/>
      <c r="BA1034" s="115"/>
      <c r="BB1034" s="115"/>
      <c r="BC1034" s="115"/>
      <c r="BD1034" s="26"/>
      <c r="BE1034" s="15"/>
      <c r="BH1034" s="114"/>
    </row>
    <row r="1035" spans="1:60" x14ac:dyDescent="0.4">
      <c r="B1035" s="115"/>
      <c r="C1035" s="115"/>
      <c r="D1035" s="115"/>
      <c r="E1035" s="115"/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15"/>
      <c r="AB1035" s="115"/>
      <c r="AC1035" s="115"/>
      <c r="AD1035" s="115"/>
      <c r="AE1035" s="115"/>
      <c r="AF1035" s="115"/>
      <c r="AG1035" s="115"/>
      <c r="AH1035" s="115"/>
      <c r="AI1035" s="115"/>
      <c r="AJ1035" s="115"/>
      <c r="AK1035" s="115"/>
      <c r="AL1035" s="115"/>
      <c r="AM1035" s="122"/>
      <c r="AN1035" s="122"/>
      <c r="AO1035" s="122"/>
      <c r="AP1035" s="115"/>
      <c r="AQ1035" s="115"/>
      <c r="AR1035" s="115"/>
      <c r="AS1035" s="115"/>
      <c r="AT1035" s="115"/>
      <c r="AU1035" s="115"/>
      <c r="AV1035" s="115"/>
      <c r="AW1035" s="115"/>
      <c r="AX1035" s="115"/>
      <c r="AY1035" s="115"/>
      <c r="AZ1035" s="115"/>
      <c r="BA1035" s="115"/>
      <c r="BB1035" s="115"/>
      <c r="BC1035" s="115"/>
      <c r="BD1035" s="26"/>
      <c r="BE1035" s="15"/>
      <c r="BH1035" s="114"/>
    </row>
    <row r="1036" spans="1:60" x14ac:dyDescent="0.4">
      <c r="B1036" s="115"/>
      <c r="C1036" s="115"/>
      <c r="D1036" s="115"/>
      <c r="E1036" s="115"/>
      <c r="F1036" s="115"/>
      <c r="G1036" s="115"/>
      <c r="H1036" s="115"/>
      <c r="I1036" s="115"/>
      <c r="J1036" s="115"/>
      <c r="K1036" s="11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  <c r="AA1036" s="115"/>
      <c r="AB1036" s="115"/>
      <c r="AC1036" s="115"/>
      <c r="AD1036" s="115"/>
      <c r="AE1036" s="115"/>
      <c r="AF1036" s="115"/>
      <c r="AG1036" s="115"/>
      <c r="AH1036" s="115"/>
      <c r="AI1036" s="115"/>
      <c r="AJ1036" s="115"/>
      <c r="AK1036" s="115"/>
      <c r="AL1036" s="115"/>
      <c r="AM1036" s="122"/>
      <c r="AN1036" s="122"/>
      <c r="AO1036" s="122"/>
      <c r="AP1036" s="115"/>
      <c r="AQ1036" s="115"/>
      <c r="AR1036" s="115"/>
      <c r="AS1036" s="115"/>
      <c r="AT1036" s="115"/>
      <c r="AU1036" s="115"/>
      <c r="AV1036" s="115"/>
      <c r="AW1036" s="115"/>
      <c r="AX1036" s="115"/>
      <c r="AY1036" s="115"/>
      <c r="AZ1036" s="115"/>
      <c r="BA1036" s="115"/>
      <c r="BB1036" s="115"/>
      <c r="BC1036" s="115"/>
      <c r="BD1036" s="17"/>
      <c r="BE1036" s="15"/>
      <c r="BH1036" s="114"/>
    </row>
    <row r="1037" spans="1:60" x14ac:dyDescent="0.4">
      <c r="B1037" s="115"/>
      <c r="C1037" s="115"/>
      <c r="D1037" s="115"/>
      <c r="E1037" s="115"/>
      <c r="F1037" s="115"/>
      <c r="G1037" s="115"/>
      <c r="H1037" s="115"/>
      <c r="I1037" s="115"/>
      <c r="J1037" s="115"/>
      <c r="K1037" s="11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  <c r="AA1037" s="115"/>
      <c r="AB1037" s="115"/>
      <c r="AC1037" s="115"/>
      <c r="AD1037" s="115"/>
      <c r="AE1037" s="115"/>
      <c r="AF1037" s="115"/>
      <c r="AG1037" s="115"/>
      <c r="AH1037" s="115"/>
      <c r="AI1037" s="115"/>
      <c r="AJ1037" s="115"/>
      <c r="AK1037" s="115"/>
      <c r="AL1037" s="115"/>
      <c r="AM1037" s="122"/>
      <c r="AN1037" s="122"/>
      <c r="AO1037" s="122"/>
      <c r="AP1037" s="115"/>
      <c r="AQ1037" s="115"/>
      <c r="AR1037" s="115"/>
      <c r="AS1037" s="115"/>
      <c r="AT1037" s="115"/>
      <c r="AU1037" s="115"/>
      <c r="AV1037" s="115"/>
      <c r="AW1037" s="115"/>
      <c r="AX1037" s="115"/>
      <c r="AY1037" s="115"/>
      <c r="AZ1037" s="115"/>
      <c r="BA1037" s="115"/>
      <c r="BB1037" s="115"/>
      <c r="BC1037" s="115"/>
      <c r="BD1037" s="26"/>
      <c r="BE1037" s="15"/>
      <c r="BH1037" s="114"/>
    </row>
    <row r="1038" spans="1:60" x14ac:dyDescent="0.4">
      <c r="B1038" s="115"/>
      <c r="C1038" s="115"/>
      <c r="D1038" s="115"/>
      <c r="E1038" s="115"/>
      <c r="F1038" s="115"/>
      <c r="G1038" s="115"/>
      <c r="H1038" s="115"/>
      <c r="I1038" s="115"/>
      <c r="J1038" s="115"/>
      <c r="K1038" s="11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15"/>
      <c r="Z1038" s="115"/>
      <c r="AA1038" s="115"/>
      <c r="AB1038" s="115"/>
      <c r="AC1038" s="115"/>
      <c r="AD1038" s="115"/>
      <c r="AE1038" s="115"/>
      <c r="AF1038" s="115"/>
      <c r="AG1038" s="115"/>
      <c r="AH1038" s="115"/>
      <c r="AI1038" s="115"/>
      <c r="AJ1038" s="115"/>
      <c r="AK1038" s="115"/>
      <c r="AL1038" s="115"/>
      <c r="AM1038" s="122"/>
      <c r="AN1038" s="122"/>
      <c r="AO1038" s="122"/>
      <c r="AP1038" s="115"/>
      <c r="AQ1038" s="115"/>
      <c r="AR1038" s="115"/>
      <c r="AS1038" s="115"/>
      <c r="AT1038" s="115"/>
      <c r="AU1038" s="115"/>
      <c r="AV1038" s="115"/>
      <c r="AW1038" s="115"/>
      <c r="AX1038" s="115"/>
      <c r="AY1038" s="115"/>
      <c r="AZ1038" s="115"/>
      <c r="BA1038" s="115"/>
      <c r="BB1038" s="115"/>
      <c r="BC1038" s="115"/>
      <c r="BD1038" s="26"/>
      <c r="BE1038" s="15"/>
      <c r="BH1038" s="114"/>
    </row>
    <row r="1039" spans="1:60" x14ac:dyDescent="0.4">
      <c r="B1039" s="115"/>
      <c r="C1039" s="115"/>
      <c r="D1039" s="115"/>
      <c r="E1039" s="115"/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  <c r="AB1039" s="115"/>
      <c r="AC1039" s="115"/>
      <c r="AD1039" s="115"/>
      <c r="AE1039" s="115"/>
      <c r="AF1039" s="115"/>
      <c r="AG1039" s="115"/>
      <c r="AH1039" s="115"/>
      <c r="AI1039" s="115"/>
      <c r="AJ1039" s="115"/>
      <c r="AK1039" s="115"/>
      <c r="AL1039" s="115"/>
      <c r="AM1039" s="122"/>
      <c r="AN1039" s="122"/>
      <c r="AO1039" s="122"/>
      <c r="AP1039" s="115"/>
      <c r="AQ1039" s="115"/>
      <c r="AR1039" s="115"/>
      <c r="AS1039" s="115"/>
      <c r="AT1039" s="115"/>
      <c r="AU1039" s="115"/>
      <c r="AV1039" s="115"/>
      <c r="AW1039" s="115"/>
      <c r="AX1039" s="115"/>
      <c r="AY1039" s="115"/>
      <c r="AZ1039" s="115"/>
      <c r="BA1039" s="115"/>
      <c r="BB1039" s="115"/>
      <c r="BC1039" s="115"/>
      <c r="BD1039" s="26"/>
      <c r="BE1039" s="15"/>
      <c r="BH1039" s="114"/>
    </row>
    <row r="1040" spans="1:60" x14ac:dyDescent="0.4">
      <c r="B1040" s="115"/>
      <c r="C1040" s="115"/>
      <c r="D1040" s="115"/>
      <c r="E1040" s="115"/>
      <c r="F1040" s="115"/>
      <c r="G1040" s="115"/>
      <c r="H1040" s="115"/>
      <c r="I1040" s="115"/>
      <c r="J1040" s="115"/>
      <c r="K1040" s="11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  <c r="AA1040" s="115"/>
      <c r="AB1040" s="115"/>
      <c r="AC1040" s="115"/>
      <c r="AD1040" s="115"/>
      <c r="AE1040" s="115"/>
      <c r="AF1040" s="115"/>
      <c r="AG1040" s="115"/>
      <c r="AH1040" s="115"/>
      <c r="AI1040" s="115"/>
      <c r="AJ1040" s="115"/>
      <c r="AK1040" s="115"/>
      <c r="AL1040" s="115"/>
      <c r="AM1040" s="122"/>
      <c r="AN1040" s="122"/>
      <c r="AO1040" s="122"/>
      <c r="AP1040" s="115"/>
      <c r="AQ1040" s="115"/>
      <c r="AR1040" s="115"/>
      <c r="AS1040" s="115"/>
      <c r="AT1040" s="115"/>
      <c r="AU1040" s="115"/>
      <c r="AV1040" s="115"/>
      <c r="AW1040" s="115"/>
      <c r="AX1040" s="115"/>
      <c r="AY1040" s="115"/>
      <c r="AZ1040" s="115"/>
      <c r="BA1040" s="115"/>
      <c r="BB1040" s="115"/>
      <c r="BC1040" s="115"/>
      <c r="BD1040" s="26"/>
      <c r="BE1040" s="15"/>
      <c r="BH1040" s="114"/>
    </row>
    <row r="1041" spans="2:60" x14ac:dyDescent="0.4">
      <c r="B1041" s="115"/>
      <c r="C1041" s="115"/>
      <c r="D1041" s="115"/>
      <c r="E1041" s="115"/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  <c r="AA1041" s="115"/>
      <c r="AB1041" s="115"/>
      <c r="AC1041" s="115"/>
      <c r="AD1041" s="115"/>
      <c r="AE1041" s="115"/>
      <c r="AF1041" s="115"/>
      <c r="AG1041" s="115"/>
      <c r="AH1041" s="115"/>
      <c r="AI1041" s="115"/>
      <c r="AJ1041" s="115"/>
      <c r="AK1041" s="115"/>
      <c r="AL1041" s="115"/>
      <c r="AM1041" s="122"/>
      <c r="AN1041" s="122"/>
      <c r="AO1041" s="122"/>
      <c r="AP1041" s="115"/>
      <c r="AQ1041" s="115"/>
      <c r="AR1041" s="115"/>
      <c r="AS1041" s="115"/>
      <c r="AT1041" s="115"/>
      <c r="AU1041" s="115"/>
      <c r="AV1041" s="115"/>
      <c r="AW1041" s="115"/>
      <c r="AX1041" s="115"/>
      <c r="AY1041" s="115"/>
      <c r="AZ1041" s="115"/>
      <c r="BA1041" s="115"/>
      <c r="BB1041" s="115"/>
      <c r="BC1041" s="115"/>
      <c r="BD1041" s="26"/>
      <c r="BE1041" s="15"/>
      <c r="BH1041" s="114"/>
    </row>
    <row r="1042" spans="2:60" x14ac:dyDescent="0.4">
      <c r="B1042" s="115"/>
      <c r="C1042" s="115"/>
      <c r="D1042" s="115"/>
      <c r="E1042" s="115"/>
      <c r="F1042" s="115"/>
      <c r="G1042" s="115"/>
      <c r="H1042" s="115"/>
      <c r="I1042" s="115"/>
      <c r="J1042" s="115"/>
      <c r="K1042" s="115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15"/>
      <c r="AA1042" s="115"/>
      <c r="AB1042" s="115"/>
      <c r="AC1042" s="115"/>
      <c r="AD1042" s="115"/>
      <c r="AE1042" s="115"/>
      <c r="AF1042" s="115"/>
      <c r="AG1042" s="115"/>
      <c r="AH1042" s="115"/>
      <c r="AI1042" s="115"/>
      <c r="AJ1042" s="115"/>
      <c r="AK1042" s="115"/>
      <c r="AL1042" s="115"/>
      <c r="AM1042" s="122"/>
      <c r="AN1042" s="122"/>
      <c r="AO1042" s="122"/>
      <c r="AP1042" s="115"/>
      <c r="AQ1042" s="115"/>
      <c r="AR1042" s="115"/>
      <c r="AS1042" s="115"/>
      <c r="AT1042" s="115"/>
      <c r="AU1042" s="115"/>
      <c r="AV1042" s="115"/>
      <c r="AW1042" s="115"/>
      <c r="AX1042" s="115"/>
      <c r="AY1042" s="115"/>
      <c r="AZ1042" s="115"/>
      <c r="BA1042" s="115"/>
      <c r="BB1042" s="115"/>
      <c r="BC1042" s="115"/>
      <c r="BD1042" s="26"/>
      <c r="BE1042" s="15"/>
      <c r="BH1042" s="114"/>
    </row>
    <row r="1043" spans="2:60" x14ac:dyDescent="0.4">
      <c r="B1043" s="115"/>
      <c r="C1043" s="115"/>
      <c r="D1043" s="115"/>
      <c r="E1043" s="115"/>
      <c r="F1043" s="115"/>
      <c r="G1043" s="115"/>
      <c r="H1043" s="115"/>
      <c r="I1043" s="115"/>
      <c r="J1043" s="115"/>
      <c r="K1043" s="115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15"/>
      <c r="AA1043" s="115"/>
      <c r="AB1043" s="115"/>
      <c r="AC1043" s="115"/>
      <c r="AD1043" s="115"/>
      <c r="AE1043" s="115"/>
      <c r="AF1043" s="115"/>
      <c r="AG1043" s="115"/>
      <c r="AH1043" s="115"/>
      <c r="AI1043" s="115"/>
      <c r="AJ1043" s="115"/>
      <c r="AK1043" s="115"/>
      <c r="AL1043" s="115"/>
      <c r="AM1043" s="122"/>
      <c r="AN1043" s="122"/>
      <c r="AO1043" s="122"/>
      <c r="AP1043" s="115"/>
      <c r="AQ1043" s="115"/>
      <c r="AR1043" s="115"/>
      <c r="AS1043" s="115"/>
      <c r="AT1043" s="115"/>
      <c r="AU1043" s="115"/>
      <c r="AV1043" s="115"/>
      <c r="AW1043" s="115"/>
      <c r="AX1043" s="115"/>
      <c r="AY1043" s="115"/>
      <c r="AZ1043" s="115"/>
      <c r="BA1043" s="115"/>
      <c r="BB1043" s="115"/>
      <c r="BC1043" s="115"/>
      <c r="BD1043" s="26"/>
      <c r="BE1043" s="15"/>
      <c r="BH1043" s="114"/>
    </row>
    <row r="1044" spans="2:60" x14ac:dyDescent="0.4">
      <c r="B1044" s="115"/>
      <c r="C1044" s="115"/>
      <c r="D1044" s="115"/>
      <c r="E1044" s="115"/>
      <c r="F1044" s="115"/>
      <c r="G1044" s="115"/>
      <c r="H1044" s="115"/>
      <c r="I1044" s="115"/>
      <c r="J1044" s="115"/>
      <c r="K1044" s="115"/>
      <c r="L1044" s="115"/>
      <c r="M1044" s="115"/>
      <c r="N1044" s="115"/>
      <c r="O1044" s="115"/>
      <c r="P1044" s="115"/>
      <c r="Q1044" s="115"/>
      <c r="R1044" s="115"/>
      <c r="S1044" s="115"/>
      <c r="T1044" s="115"/>
      <c r="U1044" s="115"/>
      <c r="V1044" s="115"/>
      <c r="W1044" s="115"/>
      <c r="X1044" s="115"/>
      <c r="Y1044" s="115"/>
      <c r="Z1044" s="115"/>
      <c r="AA1044" s="115"/>
      <c r="AB1044" s="115"/>
      <c r="AC1044" s="115"/>
      <c r="AD1044" s="115"/>
      <c r="AE1044" s="115"/>
      <c r="AF1044" s="115"/>
      <c r="AG1044" s="115"/>
      <c r="AH1044" s="115"/>
      <c r="AI1044" s="115"/>
      <c r="AJ1044" s="115"/>
      <c r="AK1044" s="115"/>
      <c r="AL1044" s="115"/>
      <c r="AM1044" s="122"/>
      <c r="AN1044" s="122"/>
      <c r="AO1044" s="122"/>
      <c r="AP1044" s="115"/>
      <c r="AQ1044" s="115"/>
      <c r="AR1044" s="115"/>
      <c r="AS1044" s="115"/>
      <c r="AT1044" s="115"/>
      <c r="AU1044" s="115"/>
      <c r="AV1044" s="115"/>
      <c r="AW1044" s="115"/>
      <c r="AX1044" s="115"/>
      <c r="AY1044" s="115"/>
      <c r="AZ1044" s="115"/>
      <c r="BA1044" s="115"/>
      <c r="BB1044" s="115"/>
      <c r="BC1044" s="115"/>
      <c r="BD1044" s="17"/>
      <c r="BE1044" s="15"/>
      <c r="BH1044" s="114"/>
    </row>
    <row r="1045" spans="2:60" x14ac:dyDescent="0.4">
      <c r="B1045" s="115"/>
      <c r="C1045" s="115"/>
      <c r="D1045" s="115"/>
      <c r="E1045" s="115"/>
      <c r="F1045" s="115"/>
      <c r="G1045" s="115"/>
      <c r="H1045" s="115"/>
      <c r="I1045" s="115"/>
      <c r="J1045" s="115"/>
      <c r="K1045" s="115"/>
      <c r="L1045" s="115"/>
      <c r="M1045" s="115"/>
      <c r="N1045" s="115"/>
      <c r="O1045" s="115"/>
      <c r="P1045" s="115"/>
      <c r="Q1045" s="115"/>
      <c r="R1045" s="115"/>
      <c r="S1045" s="115"/>
      <c r="T1045" s="115"/>
      <c r="U1045" s="115"/>
      <c r="V1045" s="115"/>
      <c r="W1045" s="115"/>
      <c r="X1045" s="115"/>
      <c r="Y1045" s="115"/>
      <c r="Z1045" s="115"/>
      <c r="AA1045" s="115"/>
      <c r="AB1045" s="115"/>
      <c r="AC1045" s="115"/>
      <c r="AD1045" s="115"/>
      <c r="AE1045" s="115"/>
      <c r="AF1045" s="115"/>
      <c r="AG1045" s="115"/>
      <c r="AH1045" s="115"/>
      <c r="AI1045" s="115"/>
      <c r="AJ1045" s="115"/>
      <c r="AK1045" s="115"/>
      <c r="AL1045" s="115"/>
      <c r="AM1045" s="122"/>
      <c r="AN1045" s="122"/>
      <c r="AO1045" s="122"/>
      <c r="AP1045" s="115"/>
      <c r="AQ1045" s="115"/>
      <c r="AR1045" s="115"/>
      <c r="AS1045" s="115"/>
      <c r="AT1045" s="115"/>
      <c r="AU1045" s="115"/>
      <c r="AV1045" s="115"/>
      <c r="AW1045" s="115"/>
      <c r="AX1045" s="115"/>
      <c r="AY1045" s="115"/>
      <c r="AZ1045" s="115"/>
      <c r="BA1045" s="115"/>
      <c r="BB1045" s="115"/>
      <c r="BC1045" s="115"/>
      <c r="BD1045" s="26"/>
      <c r="BE1045" s="15"/>
      <c r="BH1045" s="114"/>
    </row>
    <row r="1046" spans="2:60" x14ac:dyDescent="0.4">
      <c r="B1046" s="115"/>
      <c r="C1046" s="115"/>
      <c r="D1046" s="115"/>
      <c r="E1046" s="115"/>
      <c r="F1046" s="115"/>
      <c r="G1046" s="115"/>
      <c r="H1046" s="115"/>
      <c r="I1046" s="115"/>
      <c r="J1046" s="115"/>
      <c r="K1046" s="115"/>
      <c r="L1046" s="115"/>
      <c r="M1046" s="115"/>
      <c r="N1046" s="115"/>
      <c r="O1046" s="115"/>
      <c r="P1046" s="115"/>
      <c r="Q1046" s="115"/>
      <c r="R1046" s="115"/>
      <c r="S1046" s="115"/>
      <c r="T1046" s="115"/>
      <c r="U1046" s="115"/>
      <c r="V1046" s="115"/>
      <c r="W1046" s="115"/>
      <c r="X1046" s="115"/>
      <c r="Y1046" s="115"/>
      <c r="Z1046" s="115"/>
      <c r="AA1046" s="115"/>
      <c r="AB1046" s="115"/>
      <c r="AC1046" s="115"/>
      <c r="AD1046" s="115"/>
      <c r="AE1046" s="115"/>
      <c r="AF1046" s="115"/>
      <c r="AG1046" s="115"/>
      <c r="AH1046" s="115"/>
      <c r="AI1046" s="115"/>
      <c r="AJ1046" s="115"/>
      <c r="AK1046" s="115"/>
      <c r="AL1046" s="115"/>
      <c r="AM1046" s="122"/>
      <c r="AN1046" s="122"/>
      <c r="AO1046" s="122"/>
      <c r="AP1046" s="115"/>
      <c r="AQ1046" s="115"/>
      <c r="AR1046" s="115"/>
      <c r="AS1046" s="115"/>
      <c r="AT1046" s="115"/>
      <c r="AU1046" s="115"/>
      <c r="AV1046" s="115"/>
      <c r="AW1046" s="115"/>
      <c r="AX1046" s="115"/>
      <c r="AY1046" s="115"/>
      <c r="AZ1046" s="115"/>
      <c r="BA1046" s="115"/>
      <c r="BB1046" s="115"/>
      <c r="BC1046" s="115"/>
      <c r="BD1046" s="26"/>
      <c r="BE1046" s="15"/>
      <c r="BH1046" s="114"/>
    </row>
    <row r="1047" spans="2:60" x14ac:dyDescent="0.4">
      <c r="B1047" s="115"/>
      <c r="C1047" s="115"/>
      <c r="D1047" s="115"/>
      <c r="E1047" s="115"/>
      <c r="F1047" s="115"/>
      <c r="G1047" s="115"/>
      <c r="H1047" s="115"/>
      <c r="I1047" s="115"/>
      <c r="J1047" s="115"/>
      <c r="K1047" s="11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15"/>
      <c r="X1047" s="115"/>
      <c r="Y1047" s="115"/>
      <c r="Z1047" s="115"/>
      <c r="AA1047" s="115"/>
      <c r="AB1047" s="115"/>
      <c r="AC1047" s="115"/>
      <c r="AD1047" s="115"/>
      <c r="AE1047" s="115"/>
      <c r="AF1047" s="115"/>
      <c r="AG1047" s="115"/>
      <c r="AH1047" s="115"/>
      <c r="AI1047" s="115"/>
      <c r="AJ1047" s="115"/>
      <c r="AK1047" s="115"/>
      <c r="AL1047" s="115"/>
      <c r="AM1047" s="122"/>
      <c r="AN1047" s="122"/>
      <c r="AO1047" s="122"/>
      <c r="AP1047" s="115"/>
      <c r="AQ1047" s="115"/>
      <c r="AR1047" s="115"/>
      <c r="AS1047" s="115"/>
      <c r="AT1047" s="115"/>
      <c r="AU1047" s="115"/>
      <c r="AV1047" s="115"/>
      <c r="AW1047" s="115"/>
      <c r="AX1047" s="115"/>
      <c r="AY1047" s="115"/>
      <c r="AZ1047" s="115"/>
      <c r="BA1047" s="115"/>
      <c r="BB1047" s="115"/>
      <c r="BC1047" s="115"/>
      <c r="BD1047" s="26"/>
      <c r="BE1047" s="15"/>
      <c r="BH1047" s="114"/>
    </row>
    <row r="1048" spans="2:60" x14ac:dyDescent="0.4">
      <c r="B1048" s="115"/>
      <c r="C1048" s="115"/>
      <c r="D1048" s="115"/>
      <c r="E1048" s="115"/>
      <c r="F1048" s="115"/>
      <c r="G1048" s="115"/>
      <c r="H1048" s="115"/>
      <c r="I1048" s="115"/>
      <c r="J1048" s="115"/>
      <c r="K1048" s="115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15"/>
      <c r="Z1048" s="115"/>
      <c r="AA1048" s="115"/>
      <c r="AB1048" s="115"/>
      <c r="AC1048" s="115"/>
      <c r="AD1048" s="115"/>
      <c r="AE1048" s="115"/>
      <c r="AF1048" s="115"/>
      <c r="AG1048" s="115"/>
      <c r="AH1048" s="115"/>
      <c r="AI1048" s="115"/>
      <c r="AJ1048" s="115"/>
      <c r="AK1048" s="115"/>
      <c r="AL1048" s="115"/>
      <c r="AM1048" s="122"/>
      <c r="AN1048" s="122"/>
      <c r="AO1048" s="122"/>
      <c r="AP1048" s="115"/>
      <c r="AQ1048" s="115"/>
      <c r="AR1048" s="115"/>
      <c r="AS1048" s="115"/>
      <c r="AT1048" s="115"/>
      <c r="AU1048" s="115"/>
      <c r="AV1048" s="115"/>
      <c r="AW1048" s="115"/>
      <c r="AX1048" s="115"/>
      <c r="AY1048" s="115"/>
      <c r="AZ1048" s="115"/>
      <c r="BA1048" s="115"/>
      <c r="BB1048" s="115"/>
      <c r="BC1048" s="115"/>
      <c r="BD1048" s="26"/>
      <c r="BE1048" s="15"/>
      <c r="BH1048" s="114"/>
    </row>
    <row r="1049" spans="2:60" x14ac:dyDescent="0.4">
      <c r="B1049" s="115"/>
      <c r="C1049" s="115"/>
      <c r="D1049" s="115"/>
      <c r="E1049" s="115"/>
      <c r="F1049" s="115"/>
      <c r="G1049" s="115"/>
      <c r="H1049" s="115"/>
      <c r="I1049" s="115"/>
      <c r="J1049" s="115"/>
      <c r="K1049" s="115"/>
      <c r="L1049" s="115"/>
      <c r="M1049" s="115"/>
      <c r="N1049" s="115"/>
      <c r="O1049" s="115"/>
      <c r="P1049" s="115"/>
      <c r="Q1049" s="115"/>
      <c r="R1049" s="115"/>
      <c r="S1049" s="115"/>
      <c r="T1049" s="115"/>
      <c r="U1049" s="115"/>
      <c r="V1049" s="115"/>
      <c r="W1049" s="115"/>
      <c r="X1049" s="115"/>
      <c r="Y1049" s="115"/>
      <c r="Z1049" s="115"/>
      <c r="AA1049" s="115"/>
      <c r="AB1049" s="115"/>
      <c r="AC1049" s="115"/>
      <c r="AD1049" s="115"/>
      <c r="AE1049" s="115"/>
      <c r="AF1049" s="115"/>
      <c r="AG1049" s="115"/>
      <c r="AH1049" s="115"/>
      <c r="AI1049" s="115"/>
      <c r="AJ1049" s="115"/>
      <c r="AK1049" s="115"/>
      <c r="AL1049" s="115"/>
      <c r="AM1049" s="122"/>
      <c r="AN1049" s="122"/>
      <c r="AO1049" s="122"/>
      <c r="AP1049" s="115"/>
      <c r="AQ1049" s="115"/>
      <c r="AR1049" s="115"/>
      <c r="AS1049" s="115"/>
      <c r="AT1049" s="115"/>
      <c r="AU1049" s="115"/>
      <c r="AV1049" s="115"/>
      <c r="AW1049" s="115"/>
      <c r="AX1049" s="115"/>
      <c r="AY1049" s="115"/>
      <c r="AZ1049" s="115"/>
      <c r="BA1049" s="115"/>
      <c r="BB1049" s="115"/>
      <c r="BC1049" s="115"/>
      <c r="BD1049" s="26"/>
      <c r="BE1049" s="15"/>
      <c r="BH1049" s="114"/>
    </row>
    <row r="1050" spans="2:60" x14ac:dyDescent="0.4">
      <c r="B1050" s="115"/>
      <c r="C1050" s="115"/>
      <c r="D1050" s="115"/>
      <c r="E1050" s="115"/>
      <c r="F1050" s="115"/>
      <c r="G1050" s="115"/>
      <c r="H1050" s="115"/>
      <c r="I1050" s="115"/>
      <c r="J1050" s="115"/>
      <c r="K1050" s="115"/>
      <c r="L1050" s="115"/>
      <c r="M1050" s="115"/>
      <c r="N1050" s="115"/>
      <c r="O1050" s="115"/>
      <c r="P1050" s="115"/>
      <c r="Q1050" s="115"/>
      <c r="R1050" s="115"/>
      <c r="S1050" s="115"/>
      <c r="T1050" s="115"/>
      <c r="U1050" s="115"/>
      <c r="V1050" s="115"/>
      <c r="W1050" s="115"/>
      <c r="X1050" s="115"/>
      <c r="Y1050" s="115"/>
      <c r="Z1050" s="115"/>
      <c r="AA1050" s="115"/>
      <c r="AB1050" s="115"/>
      <c r="AC1050" s="115"/>
      <c r="AD1050" s="115"/>
      <c r="AE1050" s="115"/>
      <c r="AF1050" s="115"/>
      <c r="AG1050" s="115"/>
      <c r="AH1050" s="115"/>
      <c r="AI1050" s="115"/>
      <c r="AJ1050" s="115"/>
      <c r="AK1050" s="115"/>
      <c r="AL1050" s="115"/>
      <c r="AM1050" s="122"/>
      <c r="AN1050" s="122"/>
      <c r="AO1050" s="122"/>
      <c r="AP1050" s="115"/>
      <c r="AQ1050" s="115"/>
      <c r="AR1050" s="115"/>
      <c r="AS1050" s="115"/>
      <c r="AT1050" s="115"/>
      <c r="AU1050" s="115"/>
      <c r="AV1050" s="115"/>
      <c r="AW1050" s="115"/>
      <c r="AX1050" s="115"/>
      <c r="AY1050" s="115"/>
      <c r="AZ1050" s="115"/>
      <c r="BA1050" s="115"/>
      <c r="BB1050" s="115"/>
      <c r="BC1050" s="115"/>
      <c r="BD1050" s="26"/>
      <c r="BE1050" s="15"/>
      <c r="BH1050" s="114"/>
    </row>
    <row r="1051" spans="2:60" x14ac:dyDescent="0.4">
      <c r="B1051" s="115"/>
      <c r="C1051" s="115"/>
      <c r="D1051" s="115"/>
      <c r="E1051" s="115"/>
      <c r="F1051" s="115"/>
      <c r="G1051" s="115"/>
      <c r="H1051" s="115"/>
      <c r="I1051" s="115"/>
      <c r="J1051" s="115"/>
      <c r="K1051" s="115"/>
      <c r="L1051" s="115"/>
      <c r="M1051" s="115"/>
      <c r="N1051" s="115"/>
      <c r="O1051" s="115"/>
      <c r="P1051" s="115"/>
      <c r="Q1051" s="115"/>
      <c r="R1051" s="115"/>
      <c r="S1051" s="115"/>
      <c r="T1051" s="115"/>
      <c r="U1051" s="115"/>
      <c r="V1051" s="115"/>
      <c r="W1051" s="115"/>
      <c r="X1051" s="115"/>
      <c r="Y1051" s="115"/>
      <c r="Z1051" s="115"/>
      <c r="AA1051" s="115"/>
      <c r="AB1051" s="115"/>
      <c r="AC1051" s="115"/>
      <c r="AD1051" s="115"/>
      <c r="AE1051" s="115"/>
      <c r="AF1051" s="115"/>
      <c r="AG1051" s="115"/>
      <c r="AH1051" s="115"/>
      <c r="AI1051" s="115"/>
      <c r="AJ1051" s="115"/>
      <c r="AK1051" s="115"/>
      <c r="AL1051" s="115"/>
      <c r="AM1051" s="122"/>
      <c r="AN1051" s="122"/>
      <c r="AO1051" s="122"/>
      <c r="AP1051" s="115"/>
      <c r="AQ1051" s="115"/>
      <c r="AR1051" s="115"/>
      <c r="AS1051" s="115"/>
      <c r="AT1051" s="115"/>
      <c r="AU1051" s="115"/>
      <c r="AV1051" s="115"/>
      <c r="AW1051" s="115"/>
      <c r="AX1051" s="115"/>
      <c r="AY1051" s="115"/>
      <c r="AZ1051" s="115"/>
      <c r="BA1051" s="115"/>
      <c r="BB1051" s="115"/>
      <c r="BC1051" s="115"/>
      <c r="BD1051" s="26"/>
      <c r="BE1051" s="15"/>
      <c r="BH1051" s="114"/>
    </row>
    <row r="1052" spans="2:60" x14ac:dyDescent="0.4">
      <c r="B1052" s="115"/>
      <c r="C1052" s="115"/>
      <c r="D1052" s="115"/>
      <c r="E1052" s="115"/>
      <c r="F1052" s="115"/>
      <c r="G1052" s="115"/>
      <c r="H1052" s="115"/>
      <c r="I1052" s="115"/>
      <c r="J1052" s="115"/>
      <c r="K1052" s="115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15"/>
      <c r="V1052" s="115"/>
      <c r="W1052" s="115"/>
      <c r="X1052" s="115"/>
      <c r="Y1052" s="115"/>
      <c r="Z1052" s="115"/>
      <c r="AA1052" s="115"/>
      <c r="AB1052" s="115"/>
      <c r="AC1052" s="115"/>
      <c r="AD1052" s="115"/>
      <c r="AE1052" s="115"/>
      <c r="AF1052" s="115"/>
      <c r="AG1052" s="115"/>
      <c r="AH1052" s="115"/>
      <c r="AI1052" s="115"/>
      <c r="AJ1052" s="115"/>
      <c r="AK1052" s="115"/>
      <c r="AL1052" s="115"/>
      <c r="AM1052" s="122"/>
      <c r="AN1052" s="122"/>
      <c r="AO1052" s="122"/>
      <c r="AP1052" s="115"/>
      <c r="AQ1052" s="115"/>
      <c r="AR1052" s="115"/>
      <c r="AS1052" s="115"/>
      <c r="AT1052" s="115"/>
      <c r="AU1052" s="115"/>
      <c r="AV1052" s="115"/>
      <c r="AW1052" s="115"/>
      <c r="AX1052" s="115"/>
      <c r="AY1052" s="115"/>
      <c r="AZ1052" s="115"/>
      <c r="BA1052" s="115"/>
      <c r="BB1052" s="115"/>
      <c r="BC1052" s="115"/>
      <c r="BD1052" s="17"/>
      <c r="BE1052" s="15"/>
      <c r="BH1052" s="114"/>
    </row>
    <row r="1053" spans="2:60" x14ac:dyDescent="0.4">
      <c r="B1053" s="115"/>
      <c r="C1053" s="115"/>
      <c r="D1053" s="115"/>
      <c r="E1053" s="115"/>
      <c r="F1053" s="115"/>
      <c r="G1053" s="115"/>
      <c r="H1053" s="115"/>
      <c r="I1053" s="115"/>
      <c r="J1053" s="115"/>
      <c r="K1053" s="115"/>
      <c r="L1053" s="115"/>
      <c r="M1053" s="115"/>
      <c r="N1053" s="115"/>
      <c r="O1053" s="115"/>
      <c r="P1053" s="115"/>
      <c r="Q1053" s="115"/>
      <c r="R1053" s="115"/>
      <c r="S1053" s="115"/>
      <c r="T1053" s="115"/>
      <c r="U1053" s="115"/>
      <c r="V1053" s="115"/>
      <c r="W1053" s="115"/>
      <c r="X1053" s="115"/>
      <c r="Y1053" s="115"/>
      <c r="Z1053" s="115"/>
      <c r="AA1053" s="115"/>
      <c r="AB1053" s="115"/>
      <c r="AC1053" s="115"/>
      <c r="AD1053" s="115"/>
      <c r="AE1053" s="115"/>
      <c r="AF1053" s="115"/>
      <c r="AG1053" s="115"/>
      <c r="AH1053" s="115"/>
      <c r="AI1053" s="115"/>
      <c r="AJ1053" s="115"/>
      <c r="AK1053" s="115"/>
      <c r="AL1053" s="115"/>
      <c r="AM1053" s="122"/>
      <c r="AN1053" s="122"/>
      <c r="AO1053" s="122"/>
      <c r="AP1053" s="115"/>
      <c r="AQ1053" s="115"/>
      <c r="AR1053" s="115"/>
      <c r="AS1053" s="115"/>
      <c r="AT1053" s="115"/>
      <c r="AU1053" s="115"/>
      <c r="AV1053" s="115"/>
      <c r="AW1053" s="115"/>
      <c r="AX1053" s="115"/>
      <c r="AY1053" s="115"/>
      <c r="AZ1053" s="115"/>
      <c r="BA1053" s="115"/>
      <c r="BB1053" s="115"/>
      <c r="BC1053" s="115"/>
      <c r="BD1053" s="26"/>
      <c r="BE1053" s="15"/>
      <c r="BH1053" s="114"/>
    </row>
    <row r="1054" spans="2:60" x14ac:dyDescent="0.4">
      <c r="B1054" s="115"/>
      <c r="C1054" s="115"/>
      <c r="D1054" s="115"/>
      <c r="E1054" s="115"/>
      <c r="F1054" s="115"/>
      <c r="G1054" s="115"/>
      <c r="H1054" s="115"/>
      <c r="I1054" s="115"/>
      <c r="J1054" s="115"/>
      <c r="K1054" s="115"/>
      <c r="L1054" s="115"/>
      <c r="M1054" s="115"/>
      <c r="N1054" s="115"/>
      <c r="O1054" s="115"/>
      <c r="P1054" s="115"/>
      <c r="Q1054" s="115"/>
      <c r="R1054" s="115"/>
      <c r="S1054" s="115"/>
      <c r="T1054" s="115"/>
      <c r="U1054" s="115"/>
      <c r="V1054" s="115"/>
      <c r="W1054" s="115"/>
      <c r="X1054" s="115"/>
      <c r="Y1054" s="115"/>
      <c r="Z1054" s="115"/>
      <c r="AA1054" s="115"/>
      <c r="AB1054" s="115"/>
      <c r="AC1054" s="115"/>
      <c r="AD1054" s="115"/>
      <c r="AE1054" s="115"/>
      <c r="AF1054" s="115"/>
      <c r="AG1054" s="115"/>
      <c r="AH1054" s="115"/>
      <c r="AI1054" s="115"/>
      <c r="AJ1054" s="115"/>
      <c r="AK1054" s="115"/>
      <c r="AL1054" s="115"/>
      <c r="AM1054" s="122"/>
      <c r="AN1054" s="122"/>
      <c r="AO1054" s="122"/>
      <c r="AP1054" s="115"/>
      <c r="AQ1054" s="115"/>
      <c r="AR1054" s="115"/>
      <c r="AS1054" s="115"/>
      <c r="AT1054" s="115"/>
      <c r="AU1054" s="115"/>
      <c r="AV1054" s="115"/>
      <c r="AW1054" s="115"/>
      <c r="AX1054" s="115"/>
      <c r="AY1054" s="115"/>
      <c r="AZ1054" s="115"/>
      <c r="BA1054" s="115"/>
      <c r="BB1054" s="115"/>
      <c r="BC1054" s="115"/>
      <c r="BD1054" s="26"/>
      <c r="BE1054" s="15"/>
      <c r="BH1054" s="114"/>
    </row>
    <row r="1055" spans="2:60" x14ac:dyDescent="0.4">
      <c r="B1055" s="115"/>
      <c r="C1055" s="115"/>
      <c r="D1055" s="115"/>
      <c r="E1055" s="115"/>
      <c r="F1055" s="115"/>
      <c r="G1055" s="115"/>
      <c r="H1055" s="115"/>
      <c r="I1055" s="115"/>
      <c r="J1055" s="115"/>
      <c r="K1055" s="115"/>
      <c r="L1055" s="115"/>
      <c r="M1055" s="115"/>
      <c r="N1055" s="115"/>
      <c r="O1055" s="115"/>
      <c r="P1055" s="115"/>
      <c r="Q1055" s="115"/>
      <c r="R1055" s="115"/>
      <c r="S1055" s="115"/>
      <c r="T1055" s="115"/>
      <c r="U1055" s="115"/>
      <c r="V1055" s="115"/>
      <c r="W1055" s="115"/>
      <c r="X1055" s="115"/>
      <c r="Y1055" s="115"/>
      <c r="Z1055" s="115"/>
      <c r="AA1055" s="115"/>
      <c r="AB1055" s="115"/>
      <c r="AC1055" s="115"/>
      <c r="AD1055" s="115"/>
      <c r="AE1055" s="115"/>
      <c r="AF1055" s="115"/>
      <c r="AG1055" s="115"/>
      <c r="AH1055" s="115"/>
      <c r="AI1055" s="115"/>
      <c r="AJ1055" s="115"/>
      <c r="AK1055" s="115"/>
      <c r="AL1055" s="115"/>
      <c r="AM1055" s="122"/>
      <c r="AN1055" s="122"/>
      <c r="AO1055" s="122"/>
      <c r="AP1055" s="115"/>
      <c r="AQ1055" s="115"/>
      <c r="AR1055" s="115"/>
      <c r="AS1055" s="115"/>
      <c r="AT1055" s="115"/>
      <c r="AU1055" s="115"/>
      <c r="AV1055" s="115"/>
      <c r="AW1055" s="115"/>
      <c r="AX1055" s="115"/>
      <c r="AY1055" s="115"/>
      <c r="AZ1055" s="115"/>
      <c r="BA1055" s="115"/>
      <c r="BB1055" s="115"/>
      <c r="BC1055" s="115"/>
      <c r="BD1055" s="26"/>
      <c r="BE1055" s="15"/>
      <c r="BH1055" s="114"/>
    </row>
    <row r="1056" spans="2:60" x14ac:dyDescent="0.4">
      <c r="B1056" s="115"/>
      <c r="C1056" s="115"/>
      <c r="D1056" s="115"/>
      <c r="E1056" s="115"/>
      <c r="F1056" s="115"/>
      <c r="G1056" s="115"/>
      <c r="H1056" s="115"/>
      <c r="I1056" s="115"/>
      <c r="J1056" s="115"/>
      <c r="K1056" s="115"/>
      <c r="L1056" s="115"/>
      <c r="M1056" s="115"/>
      <c r="N1056" s="115"/>
      <c r="O1056" s="115"/>
      <c r="P1056" s="115"/>
      <c r="Q1056" s="115"/>
      <c r="R1056" s="115"/>
      <c r="S1056" s="115"/>
      <c r="T1056" s="115"/>
      <c r="U1056" s="115"/>
      <c r="V1056" s="115"/>
      <c r="W1056" s="115"/>
      <c r="X1056" s="115"/>
      <c r="Y1056" s="115"/>
      <c r="Z1056" s="115"/>
      <c r="AA1056" s="115"/>
      <c r="AB1056" s="115"/>
      <c r="AC1056" s="115"/>
      <c r="AD1056" s="115"/>
      <c r="AE1056" s="115"/>
      <c r="AF1056" s="115"/>
      <c r="AG1056" s="115"/>
      <c r="AH1056" s="115"/>
      <c r="AI1056" s="115"/>
      <c r="AJ1056" s="115"/>
      <c r="AK1056" s="115"/>
      <c r="AL1056" s="115"/>
      <c r="AM1056" s="122"/>
      <c r="AN1056" s="122"/>
      <c r="AO1056" s="122"/>
      <c r="AP1056" s="115"/>
      <c r="AQ1056" s="115"/>
      <c r="AR1056" s="115"/>
      <c r="AS1056" s="115"/>
      <c r="AT1056" s="115"/>
      <c r="AU1056" s="115"/>
      <c r="AV1056" s="115"/>
      <c r="AW1056" s="115"/>
      <c r="AX1056" s="115"/>
      <c r="AY1056" s="115"/>
      <c r="AZ1056" s="115"/>
      <c r="BA1056" s="115"/>
      <c r="BB1056" s="115"/>
      <c r="BC1056" s="115"/>
      <c r="BD1056" s="26"/>
      <c r="BE1056" s="15"/>
      <c r="BH1056" s="114"/>
    </row>
    <row r="1057" spans="1:60" x14ac:dyDescent="0.4">
      <c r="B1057" s="115"/>
      <c r="C1057" s="115"/>
      <c r="D1057" s="115"/>
      <c r="E1057" s="115"/>
      <c r="F1057" s="115"/>
      <c r="G1057" s="115"/>
      <c r="H1057" s="115"/>
      <c r="I1057" s="115"/>
      <c r="J1057" s="115"/>
      <c r="K1057" s="115"/>
      <c r="L1057" s="115"/>
      <c r="M1057" s="115"/>
      <c r="N1057" s="115"/>
      <c r="O1057" s="115"/>
      <c r="P1057" s="115"/>
      <c r="Q1057" s="115"/>
      <c r="R1057" s="115"/>
      <c r="S1057" s="115"/>
      <c r="T1057" s="115"/>
      <c r="U1057" s="115"/>
      <c r="V1057" s="115"/>
      <c r="W1057" s="115"/>
      <c r="X1057" s="115"/>
      <c r="Y1057" s="115"/>
      <c r="Z1057" s="115"/>
      <c r="AA1057" s="115"/>
      <c r="AB1057" s="115"/>
      <c r="AC1057" s="115"/>
      <c r="AD1057" s="115"/>
      <c r="AE1057" s="115"/>
      <c r="AF1057" s="115"/>
      <c r="AG1057" s="115"/>
      <c r="AH1057" s="115"/>
      <c r="AI1057" s="115"/>
      <c r="AJ1057" s="115"/>
      <c r="AK1057" s="115"/>
      <c r="AL1057" s="115"/>
      <c r="AM1057" s="122"/>
      <c r="AN1057" s="122"/>
      <c r="AO1057" s="122"/>
      <c r="AP1057" s="115"/>
      <c r="AQ1057" s="115"/>
      <c r="AR1057" s="115"/>
      <c r="AS1057" s="115"/>
      <c r="AT1057" s="115"/>
      <c r="AU1057" s="115"/>
      <c r="AV1057" s="115"/>
      <c r="AW1057" s="115"/>
      <c r="AX1057" s="115"/>
      <c r="AY1057" s="115"/>
      <c r="AZ1057" s="115"/>
      <c r="BA1057" s="115"/>
      <c r="BB1057" s="115"/>
      <c r="BC1057" s="115"/>
      <c r="BD1057" s="26"/>
      <c r="BE1057" s="15"/>
      <c r="BH1057" s="114"/>
    </row>
    <row r="1058" spans="1:60" x14ac:dyDescent="0.4">
      <c r="B1058" s="115"/>
      <c r="C1058" s="115"/>
      <c r="D1058" s="115"/>
      <c r="E1058" s="115"/>
      <c r="F1058" s="115"/>
      <c r="G1058" s="115"/>
      <c r="H1058" s="115"/>
      <c r="I1058" s="115"/>
      <c r="J1058" s="115"/>
      <c r="K1058" s="115"/>
      <c r="L1058" s="115"/>
      <c r="M1058" s="115"/>
      <c r="N1058" s="115"/>
      <c r="O1058" s="115"/>
      <c r="P1058" s="115"/>
      <c r="Q1058" s="115"/>
      <c r="R1058" s="115"/>
      <c r="S1058" s="115"/>
      <c r="T1058" s="115"/>
      <c r="U1058" s="115"/>
      <c r="V1058" s="115"/>
      <c r="W1058" s="115"/>
      <c r="X1058" s="115"/>
      <c r="Y1058" s="115"/>
      <c r="Z1058" s="115"/>
      <c r="AA1058" s="115"/>
      <c r="AB1058" s="115"/>
      <c r="AC1058" s="115"/>
      <c r="AD1058" s="115"/>
      <c r="AE1058" s="115"/>
      <c r="AF1058" s="115"/>
      <c r="AG1058" s="115"/>
      <c r="AH1058" s="115"/>
      <c r="AI1058" s="115"/>
      <c r="AJ1058" s="115"/>
      <c r="AK1058" s="115"/>
      <c r="AL1058" s="115"/>
      <c r="AM1058" s="122"/>
      <c r="AN1058" s="122"/>
      <c r="AO1058" s="122"/>
      <c r="AP1058" s="115"/>
      <c r="AQ1058" s="115"/>
      <c r="AR1058" s="115"/>
      <c r="AS1058" s="115"/>
      <c r="AT1058" s="115"/>
      <c r="AU1058" s="115"/>
      <c r="AV1058" s="115"/>
      <c r="AW1058" s="115"/>
      <c r="AX1058" s="115"/>
      <c r="AY1058" s="115"/>
      <c r="AZ1058" s="115"/>
      <c r="BA1058" s="115"/>
      <c r="BB1058" s="115"/>
      <c r="BC1058" s="115"/>
      <c r="BD1058" s="26"/>
      <c r="BE1058" s="15"/>
      <c r="BH1058" s="114"/>
    </row>
    <row r="1059" spans="1:60" x14ac:dyDescent="0.4">
      <c r="B1059" s="115"/>
      <c r="C1059" s="115"/>
      <c r="D1059" s="115"/>
      <c r="E1059" s="115"/>
      <c r="F1059" s="115"/>
      <c r="G1059" s="115"/>
      <c r="H1059" s="115"/>
      <c r="I1059" s="115"/>
      <c r="J1059" s="115"/>
      <c r="K1059" s="115"/>
      <c r="L1059" s="115"/>
      <c r="M1059" s="115"/>
      <c r="N1059" s="115"/>
      <c r="O1059" s="115"/>
      <c r="P1059" s="115"/>
      <c r="Q1059" s="115"/>
      <c r="R1059" s="115"/>
      <c r="S1059" s="115"/>
      <c r="T1059" s="115"/>
      <c r="U1059" s="115"/>
      <c r="V1059" s="115"/>
      <c r="W1059" s="115"/>
      <c r="X1059" s="115"/>
      <c r="Y1059" s="115"/>
      <c r="Z1059" s="115"/>
      <c r="AA1059" s="115"/>
      <c r="AB1059" s="115"/>
      <c r="AC1059" s="115"/>
      <c r="AD1059" s="115"/>
      <c r="AE1059" s="115"/>
      <c r="AF1059" s="115"/>
      <c r="AG1059" s="115"/>
      <c r="AH1059" s="115"/>
      <c r="AI1059" s="115"/>
      <c r="AJ1059" s="115"/>
      <c r="AK1059" s="115"/>
      <c r="AL1059" s="115"/>
      <c r="AM1059" s="122"/>
      <c r="AN1059" s="122"/>
      <c r="AO1059" s="122"/>
      <c r="AP1059" s="115"/>
      <c r="AQ1059" s="115"/>
      <c r="AR1059" s="115"/>
      <c r="AS1059" s="115"/>
      <c r="AT1059" s="115"/>
      <c r="AU1059" s="115"/>
      <c r="AV1059" s="115"/>
      <c r="AW1059" s="115"/>
      <c r="AX1059" s="115"/>
      <c r="AY1059" s="115"/>
      <c r="AZ1059" s="115"/>
      <c r="BA1059" s="115"/>
      <c r="BB1059" s="115"/>
      <c r="BC1059" s="115"/>
      <c r="BD1059" s="26"/>
      <c r="BE1059" s="15"/>
      <c r="BH1059" s="114"/>
    </row>
    <row r="1060" spans="1:60" x14ac:dyDescent="0.4">
      <c r="B1060" s="115"/>
      <c r="C1060" s="115"/>
      <c r="D1060" s="115"/>
      <c r="E1060" s="115"/>
      <c r="F1060" s="115"/>
      <c r="G1060" s="115"/>
      <c r="H1060" s="115"/>
      <c r="I1060" s="115"/>
      <c r="J1060" s="115"/>
      <c r="K1060" s="115"/>
      <c r="L1060" s="115"/>
      <c r="M1060" s="115"/>
      <c r="N1060" s="115"/>
      <c r="O1060" s="115"/>
      <c r="P1060" s="115"/>
      <c r="Q1060" s="115"/>
      <c r="R1060" s="115"/>
      <c r="S1060" s="115"/>
      <c r="T1060" s="115"/>
      <c r="U1060" s="115"/>
      <c r="V1060" s="115"/>
      <c r="W1060" s="115"/>
      <c r="X1060" s="115"/>
      <c r="Y1060" s="115"/>
      <c r="Z1060" s="115"/>
      <c r="AA1060" s="115"/>
      <c r="AB1060" s="115"/>
      <c r="AC1060" s="115"/>
      <c r="AD1060" s="115"/>
      <c r="AE1060" s="115"/>
      <c r="AF1060" s="115"/>
      <c r="AG1060" s="115"/>
      <c r="AH1060" s="115"/>
      <c r="AI1060" s="115"/>
      <c r="AJ1060" s="115"/>
      <c r="AK1060" s="115"/>
      <c r="AL1060" s="115"/>
      <c r="AM1060" s="122"/>
      <c r="AN1060" s="122"/>
      <c r="AO1060" s="122"/>
      <c r="AP1060" s="115"/>
      <c r="AQ1060" s="115"/>
      <c r="AR1060" s="115"/>
      <c r="AS1060" s="115"/>
      <c r="AT1060" s="115"/>
      <c r="AU1060" s="115"/>
      <c r="AV1060" s="115"/>
      <c r="AW1060" s="115"/>
      <c r="AX1060" s="115"/>
      <c r="AY1060" s="115"/>
      <c r="AZ1060" s="115"/>
      <c r="BA1060" s="115"/>
      <c r="BB1060" s="115"/>
      <c r="BC1060" s="115"/>
      <c r="BD1060" s="26"/>
      <c r="BE1060" s="15"/>
      <c r="BH1060" s="114"/>
    </row>
    <row r="1061" spans="1:60" x14ac:dyDescent="0.4">
      <c r="B1061" s="115"/>
      <c r="C1061" s="115"/>
      <c r="D1061" s="115"/>
      <c r="E1061" s="115"/>
      <c r="F1061" s="115"/>
      <c r="G1061" s="115"/>
      <c r="H1061" s="115"/>
      <c r="I1061" s="115"/>
      <c r="J1061" s="115"/>
      <c r="K1061" s="115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15"/>
      <c r="V1061" s="115"/>
      <c r="W1061" s="115"/>
      <c r="X1061" s="115"/>
      <c r="Y1061" s="115"/>
      <c r="Z1061" s="115"/>
      <c r="AA1061" s="115"/>
      <c r="AB1061" s="115"/>
      <c r="AC1061" s="115"/>
      <c r="AD1061" s="115"/>
      <c r="AE1061" s="115"/>
      <c r="AF1061" s="115"/>
      <c r="AG1061" s="115"/>
      <c r="AH1061" s="115"/>
      <c r="AI1061" s="115"/>
      <c r="AJ1061" s="115"/>
      <c r="AK1061" s="115"/>
      <c r="AL1061" s="115"/>
      <c r="AM1061" s="122"/>
      <c r="AN1061" s="122"/>
      <c r="AO1061" s="122"/>
      <c r="AP1061" s="115"/>
      <c r="AQ1061" s="115"/>
      <c r="AR1061" s="115"/>
      <c r="AS1061" s="115"/>
      <c r="AT1061" s="115"/>
      <c r="AU1061" s="115"/>
      <c r="AV1061" s="115"/>
      <c r="AW1061" s="115"/>
      <c r="AX1061" s="115"/>
      <c r="AY1061" s="115"/>
      <c r="AZ1061" s="115"/>
      <c r="BA1061" s="115"/>
      <c r="BB1061" s="115"/>
      <c r="BC1061" s="115"/>
      <c r="BD1061" s="17"/>
      <c r="BE1061" s="15"/>
      <c r="BH1061" s="114"/>
    </row>
    <row r="1062" spans="1:60" x14ac:dyDescent="0.4">
      <c r="B1062" s="115"/>
      <c r="C1062" s="115"/>
      <c r="D1062" s="115"/>
      <c r="E1062" s="115"/>
      <c r="F1062" s="115"/>
      <c r="G1062" s="115"/>
      <c r="H1062" s="115"/>
      <c r="I1062" s="115"/>
      <c r="J1062" s="115"/>
      <c r="K1062" s="115"/>
      <c r="L1062" s="115"/>
      <c r="M1062" s="115"/>
      <c r="N1062" s="115"/>
      <c r="O1062" s="115"/>
      <c r="P1062" s="115"/>
      <c r="Q1062" s="115"/>
      <c r="R1062" s="115"/>
      <c r="S1062" s="115"/>
      <c r="T1062" s="115"/>
      <c r="U1062" s="115"/>
      <c r="V1062" s="115"/>
      <c r="W1062" s="115"/>
      <c r="X1062" s="115"/>
      <c r="Y1062" s="115"/>
      <c r="Z1062" s="115"/>
      <c r="AA1062" s="115"/>
      <c r="AB1062" s="115"/>
      <c r="AC1062" s="115"/>
      <c r="AD1062" s="115"/>
      <c r="AE1062" s="115"/>
      <c r="AF1062" s="115"/>
      <c r="AG1062" s="115"/>
      <c r="AH1062" s="115"/>
      <c r="AI1062" s="115"/>
      <c r="AJ1062" s="115"/>
      <c r="AK1062" s="115"/>
      <c r="AL1062" s="115"/>
      <c r="AM1062" s="122"/>
      <c r="AN1062" s="122"/>
      <c r="AO1062" s="122"/>
      <c r="AP1062" s="115"/>
      <c r="AQ1062" s="115"/>
      <c r="AR1062" s="115"/>
      <c r="AS1062" s="115"/>
      <c r="AT1062" s="115"/>
      <c r="AU1062" s="115"/>
      <c r="AV1062" s="115"/>
      <c r="AW1062" s="115"/>
      <c r="AX1062" s="115"/>
      <c r="AY1062" s="115"/>
      <c r="AZ1062" s="115"/>
      <c r="BA1062" s="115"/>
      <c r="BB1062" s="115"/>
      <c r="BC1062" s="115"/>
      <c r="BD1062" s="26"/>
      <c r="BE1062" s="15"/>
      <c r="BH1062" s="114"/>
    </row>
    <row r="1063" spans="1:60" x14ac:dyDescent="0.4">
      <c r="B1063" s="115"/>
      <c r="C1063" s="115"/>
      <c r="D1063" s="115"/>
      <c r="E1063" s="115"/>
      <c r="F1063" s="115"/>
      <c r="G1063" s="115"/>
      <c r="H1063" s="115"/>
      <c r="I1063" s="115"/>
      <c r="J1063" s="115"/>
      <c r="K1063" s="115"/>
      <c r="L1063" s="115"/>
      <c r="M1063" s="115"/>
      <c r="N1063" s="115"/>
      <c r="O1063" s="115"/>
      <c r="P1063" s="115"/>
      <c r="Q1063" s="115"/>
      <c r="R1063" s="115"/>
      <c r="S1063" s="115"/>
      <c r="T1063" s="115"/>
      <c r="U1063" s="115"/>
      <c r="V1063" s="115"/>
      <c r="W1063" s="115"/>
      <c r="X1063" s="115"/>
      <c r="Y1063" s="115"/>
      <c r="Z1063" s="115"/>
      <c r="AA1063" s="115"/>
      <c r="AB1063" s="115"/>
      <c r="AC1063" s="115"/>
      <c r="AD1063" s="115"/>
      <c r="AE1063" s="115"/>
      <c r="AF1063" s="115"/>
      <c r="AG1063" s="115"/>
      <c r="AH1063" s="115"/>
      <c r="AI1063" s="115"/>
      <c r="AJ1063" s="115"/>
      <c r="AK1063" s="115"/>
      <c r="AL1063" s="115"/>
      <c r="AM1063" s="122"/>
      <c r="AN1063" s="122"/>
      <c r="AO1063" s="122"/>
      <c r="AP1063" s="115"/>
      <c r="AQ1063" s="115"/>
      <c r="AR1063" s="115"/>
      <c r="AS1063" s="115"/>
      <c r="AT1063" s="115"/>
      <c r="AU1063" s="115"/>
      <c r="AV1063" s="115"/>
      <c r="AW1063" s="115"/>
      <c r="AX1063" s="115"/>
      <c r="AY1063" s="115"/>
      <c r="AZ1063" s="115"/>
      <c r="BA1063" s="115"/>
      <c r="BB1063" s="115"/>
      <c r="BC1063" s="115"/>
      <c r="BD1063" s="17"/>
      <c r="BE1063" s="15"/>
      <c r="BH1063" s="114"/>
    </row>
    <row r="1064" spans="1:60" x14ac:dyDescent="0.4">
      <c r="B1064" s="115"/>
      <c r="C1064" s="115"/>
      <c r="D1064" s="115"/>
      <c r="E1064" s="115"/>
      <c r="F1064" s="115"/>
      <c r="G1064" s="115"/>
      <c r="H1064" s="115"/>
      <c r="I1064" s="115"/>
      <c r="J1064" s="115"/>
      <c r="K1064" s="115"/>
      <c r="L1064" s="115"/>
      <c r="M1064" s="115"/>
      <c r="N1064" s="115"/>
      <c r="O1064" s="115"/>
      <c r="P1064" s="115"/>
      <c r="Q1064" s="115"/>
      <c r="R1064" s="115"/>
      <c r="S1064" s="115"/>
      <c r="T1064" s="115"/>
      <c r="U1064" s="115"/>
      <c r="V1064" s="115"/>
      <c r="W1064" s="115"/>
      <c r="X1064" s="115"/>
      <c r="Y1064" s="115"/>
      <c r="Z1064" s="115"/>
      <c r="AA1064" s="115"/>
      <c r="AB1064" s="115"/>
      <c r="AC1064" s="115"/>
      <c r="AD1064" s="115"/>
      <c r="AE1064" s="115"/>
      <c r="AF1064" s="115"/>
      <c r="AG1064" s="115"/>
      <c r="AH1064" s="115"/>
      <c r="AI1064" s="115"/>
      <c r="AJ1064" s="115"/>
      <c r="AK1064" s="115"/>
      <c r="AL1064" s="115"/>
      <c r="AM1064" s="122"/>
      <c r="AN1064" s="122"/>
      <c r="AO1064" s="122"/>
      <c r="AP1064" s="115"/>
      <c r="AQ1064" s="115"/>
      <c r="AR1064" s="115"/>
      <c r="AS1064" s="115"/>
      <c r="AT1064" s="115"/>
      <c r="AU1064" s="115"/>
      <c r="AV1064" s="115"/>
      <c r="AW1064" s="115"/>
      <c r="AX1064" s="115"/>
      <c r="AY1064" s="115"/>
      <c r="AZ1064" s="115"/>
      <c r="BA1064" s="115"/>
      <c r="BB1064" s="115"/>
      <c r="BC1064" s="115"/>
      <c r="BD1064" s="26"/>
      <c r="BE1064" s="15"/>
      <c r="BH1064" s="114"/>
    </row>
    <row r="1065" spans="1:60" x14ac:dyDescent="0.4">
      <c r="B1065" s="115"/>
      <c r="C1065" s="115"/>
      <c r="D1065" s="115"/>
      <c r="E1065" s="115"/>
      <c r="F1065" s="115"/>
      <c r="G1065" s="115"/>
      <c r="H1065" s="115"/>
      <c r="I1065" s="115"/>
      <c r="J1065" s="115"/>
      <c r="K1065" s="115"/>
      <c r="L1065" s="115"/>
      <c r="M1065" s="115"/>
      <c r="N1065" s="115"/>
      <c r="O1065" s="115"/>
      <c r="P1065" s="115"/>
      <c r="Q1065" s="115"/>
      <c r="R1065" s="115"/>
      <c r="S1065" s="115"/>
      <c r="T1065" s="115"/>
      <c r="U1065" s="115"/>
      <c r="V1065" s="115"/>
      <c r="W1065" s="115"/>
      <c r="X1065" s="115"/>
      <c r="Y1065" s="115"/>
      <c r="Z1065" s="115"/>
      <c r="AA1065" s="115"/>
      <c r="AB1065" s="115"/>
      <c r="AC1065" s="115"/>
      <c r="AD1065" s="115"/>
      <c r="AE1065" s="115"/>
      <c r="AF1065" s="115"/>
      <c r="AG1065" s="115"/>
      <c r="AH1065" s="115"/>
      <c r="AI1065" s="115"/>
      <c r="AJ1065" s="115"/>
      <c r="AK1065" s="115"/>
      <c r="AL1065" s="115"/>
      <c r="AM1065" s="122"/>
      <c r="AN1065" s="122"/>
      <c r="AO1065" s="122"/>
      <c r="AP1065" s="115"/>
      <c r="AQ1065" s="115"/>
      <c r="AR1065" s="115"/>
      <c r="AS1065" s="115"/>
      <c r="AT1065" s="115"/>
      <c r="AU1065" s="115"/>
      <c r="AV1065" s="115"/>
      <c r="AW1065" s="115"/>
      <c r="AX1065" s="115"/>
      <c r="AY1065" s="115"/>
      <c r="AZ1065" s="115"/>
      <c r="BA1065" s="115"/>
      <c r="BB1065" s="115"/>
      <c r="BC1065" s="115"/>
      <c r="BD1065" s="17"/>
      <c r="BE1065" s="15"/>
      <c r="BH1065" s="114"/>
    </row>
    <row r="1066" spans="1:60" x14ac:dyDescent="0.4">
      <c r="B1066" s="115"/>
      <c r="C1066" s="115"/>
      <c r="D1066" s="115"/>
      <c r="E1066" s="115"/>
      <c r="F1066" s="115"/>
      <c r="G1066" s="115"/>
      <c r="H1066" s="115"/>
      <c r="I1066" s="115"/>
      <c r="J1066" s="115"/>
      <c r="K1066" s="115"/>
      <c r="L1066" s="115"/>
      <c r="M1066" s="115"/>
      <c r="N1066" s="115"/>
      <c r="O1066" s="115"/>
      <c r="P1066" s="115"/>
      <c r="Q1066" s="115"/>
      <c r="R1066" s="115"/>
      <c r="S1066" s="115"/>
      <c r="T1066" s="115"/>
      <c r="U1066" s="115"/>
      <c r="V1066" s="115"/>
      <c r="W1066" s="115"/>
      <c r="X1066" s="115"/>
      <c r="Y1066" s="115"/>
      <c r="Z1066" s="115"/>
      <c r="AA1066" s="115"/>
      <c r="AB1066" s="115"/>
      <c r="AC1066" s="115"/>
      <c r="AD1066" s="115"/>
      <c r="AE1066" s="115"/>
      <c r="AF1066" s="115"/>
      <c r="AG1066" s="115"/>
      <c r="AH1066" s="115"/>
      <c r="AI1066" s="115"/>
      <c r="AJ1066" s="115"/>
      <c r="AK1066" s="115"/>
      <c r="AL1066" s="115"/>
      <c r="AM1066" s="122"/>
      <c r="AN1066" s="122"/>
      <c r="AO1066" s="122"/>
      <c r="AP1066" s="115"/>
      <c r="AQ1066" s="115"/>
      <c r="AR1066" s="115"/>
      <c r="AS1066" s="115"/>
      <c r="AT1066" s="115"/>
      <c r="AU1066" s="115"/>
      <c r="AV1066" s="115"/>
      <c r="AW1066" s="115"/>
      <c r="AX1066" s="115"/>
      <c r="AY1066" s="115"/>
      <c r="AZ1066" s="115"/>
      <c r="BA1066" s="115"/>
      <c r="BB1066" s="115"/>
      <c r="BC1066" s="115"/>
      <c r="BD1066" s="26"/>
      <c r="BE1066" s="15"/>
      <c r="BH1066" s="114"/>
    </row>
    <row r="1067" spans="1:60" x14ac:dyDescent="0.4">
      <c r="B1067" s="115"/>
      <c r="C1067" s="115"/>
      <c r="D1067" s="115"/>
      <c r="E1067" s="115"/>
      <c r="F1067" s="115"/>
      <c r="G1067" s="115"/>
      <c r="H1067" s="115"/>
      <c r="I1067" s="115"/>
      <c r="J1067" s="115"/>
      <c r="K1067" s="115"/>
      <c r="L1067" s="115"/>
      <c r="M1067" s="115"/>
      <c r="N1067" s="115"/>
      <c r="O1067" s="115"/>
      <c r="P1067" s="115"/>
      <c r="Q1067" s="115"/>
      <c r="R1067" s="115"/>
      <c r="S1067" s="115"/>
      <c r="T1067" s="115"/>
      <c r="U1067" s="115"/>
      <c r="V1067" s="115"/>
      <c r="W1067" s="115"/>
      <c r="X1067" s="115"/>
      <c r="Y1067" s="115"/>
      <c r="Z1067" s="115"/>
      <c r="AA1067" s="115"/>
      <c r="AB1067" s="115"/>
      <c r="AC1067" s="115"/>
      <c r="AD1067" s="115"/>
      <c r="AE1067" s="115"/>
      <c r="AF1067" s="115"/>
      <c r="AG1067" s="115"/>
      <c r="AH1067" s="115"/>
      <c r="AI1067" s="115"/>
      <c r="AJ1067" s="115"/>
      <c r="AK1067" s="115"/>
      <c r="AL1067" s="115"/>
      <c r="AM1067" s="122"/>
      <c r="AN1067" s="122"/>
      <c r="AO1067" s="122"/>
      <c r="AP1067" s="115"/>
      <c r="AQ1067" s="115"/>
      <c r="AR1067" s="115"/>
      <c r="AS1067" s="115"/>
      <c r="AT1067" s="115"/>
      <c r="AU1067" s="115"/>
      <c r="AV1067" s="115"/>
      <c r="AW1067" s="115"/>
      <c r="AX1067" s="115"/>
      <c r="AY1067" s="115"/>
      <c r="AZ1067" s="115"/>
      <c r="BA1067" s="115"/>
      <c r="BB1067" s="115"/>
      <c r="BC1067" s="115"/>
      <c r="BD1067" s="26"/>
      <c r="BE1067" s="15"/>
      <c r="BH1067" s="114"/>
    </row>
    <row r="1068" spans="1:60" x14ac:dyDescent="0.4">
      <c r="B1068" s="115"/>
      <c r="C1068" s="115"/>
      <c r="D1068" s="115"/>
      <c r="E1068" s="115"/>
      <c r="F1068" s="115"/>
      <c r="G1068" s="115"/>
      <c r="H1068" s="115"/>
      <c r="I1068" s="115"/>
      <c r="J1068" s="115"/>
      <c r="K1068" s="115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  <c r="W1068" s="115"/>
      <c r="X1068" s="115"/>
      <c r="Y1068" s="115"/>
      <c r="Z1068" s="115"/>
      <c r="AA1068" s="115"/>
      <c r="AB1068" s="115"/>
      <c r="AC1068" s="115"/>
      <c r="AD1068" s="115"/>
      <c r="AE1068" s="115"/>
      <c r="AF1068" s="115"/>
      <c r="AG1068" s="115"/>
      <c r="AH1068" s="115"/>
      <c r="AI1068" s="115"/>
      <c r="AJ1068" s="115"/>
      <c r="AK1068" s="115"/>
      <c r="AL1068" s="115"/>
      <c r="AM1068" s="122"/>
      <c r="AN1068" s="122"/>
      <c r="AO1068" s="122"/>
      <c r="AP1068" s="115"/>
      <c r="AQ1068" s="115"/>
      <c r="AR1068" s="115"/>
      <c r="AS1068" s="115"/>
      <c r="AT1068" s="115"/>
      <c r="AU1068" s="115"/>
      <c r="AV1068" s="115"/>
      <c r="AW1068" s="115"/>
      <c r="AX1068" s="115"/>
      <c r="AY1068" s="115"/>
      <c r="AZ1068" s="115"/>
      <c r="BA1068" s="115"/>
      <c r="BB1068" s="115"/>
      <c r="BC1068" s="115"/>
      <c r="BD1068" s="17"/>
      <c r="BE1068" s="15"/>
      <c r="BH1068" s="114"/>
    </row>
    <row r="1069" spans="1:60" x14ac:dyDescent="0.4">
      <c r="B1069" s="115"/>
      <c r="C1069" s="115"/>
      <c r="D1069" s="115"/>
      <c r="E1069" s="115"/>
      <c r="F1069" s="115"/>
      <c r="G1069" s="115"/>
      <c r="H1069" s="115"/>
      <c r="I1069" s="115"/>
      <c r="J1069" s="115"/>
      <c r="K1069" s="115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15"/>
      <c r="X1069" s="115"/>
      <c r="Y1069" s="115"/>
      <c r="Z1069" s="115"/>
      <c r="AA1069" s="115"/>
      <c r="AB1069" s="115"/>
      <c r="AC1069" s="115"/>
      <c r="AD1069" s="115"/>
      <c r="AE1069" s="115"/>
      <c r="AF1069" s="115"/>
      <c r="AG1069" s="115"/>
      <c r="AH1069" s="115"/>
      <c r="AI1069" s="115"/>
      <c r="AJ1069" s="115"/>
      <c r="AK1069" s="115"/>
      <c r="AL1069" s="115"/>
      <c r="AM1069" s="122"/>
      <c r="AN1069" s="122"/>
      <c r="AO1069" s="122"/>
      <c r="AP1069" s="115"/>
      <c r="AQ1069" s="115"/>
      <c r="AR1069" s="115"/>
      <c r="AS1069" s="115"/>
      <c r="AT1069" s="115"/>
      <c r="AU1069" s="115"/>
      <c r="AV1069" s="115"/>
      <c r="AW1069" s="115"/>
      <c r="AX1069" s="115"/>
      <c r="AY1069" s="115"/>
      <c r="AZ1069" s="115"/>
      <c r="BA1069" s="115"/>
      <c r="BB1069" s="115"/>
      <c r="BC1069" s="115"/>
      <c r="BD1069" s="26"/>
      <c r="BE1069" s="15"/>
      <c r="BH1069" s="114"/>
    </row>
    <row r="1070" spans="1:60" x14ac:dyDescent="0.4">
      <c r="B1070" s="115"/>
      <c r="C1070" s="115"/>
      <c r="D1070" s="115"/>
      <c r="E1070" s="115"/>
      <c r="F1070" s="115"/>
      <c r="G1070" s="115"/>
      <c r="H1070" s="115"/>
      <c r="I1070" s="115"/>
      <c r="J1070" s="115"/>
      <c r="K1070" s="115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15"/>
      <c r="Z1070" s="115"/>
      <c r="AA1070" s="115"/>
      <c r="AB1070" s="115"/>
      <c r="AC1070" s="115"/>
      <c r="AD1070" s="115"/>
      <c r="AE1070" s="115"/>
      <c r="AF1070" s="115"/>
      <c r="AG1070" s="115"/>
      <c r="AH1070" s="115"/>
      <c r="AI1070" s="115"/>
      <c r="AJ1070" s="115"/>
      <c r="AK1070" s="115"/>
      <c r="AL1070" s="115"/>
      <c r="AM1070" s="122"/>
      <c r="AN1070" s="122"/>
      <c r="AO1070" s="122"/>
      <c r="AP1070" s="115"/>
      <c r="AQ1070" s="115"/>
      <c r="AR1070" s="115"/>
      <c r="AS1070" s="115"/>
      <c r="AT1070" s="115"/>
      <c r="AU1070" s="115"/>
      <c r="AV1070" s="115"/>
      <c r="AW1070" s="115"/>
      <c r="AX1070" s="115"/>
      <c r="AY1070" s="115"/>
      <c r="AZ1070" s="115"/>
      <c r="BA1070" s="115"/>
      <c r="BB1070" s="115"/>
      <c r="BC1070" s="115"/>
      <c r="BD1070" s="26"/>
      <c r="BE1070" s="15"/>
      <c r="BH1070" s="114"/>
    </row>
    <row r="1071" spans="1:60" x14ac:dyDescent="0.4">
      <c r="A1071" s="115"/>
      <c r="B1071" s="115"/>
      <c r="C1071" s="115"/>
      <c r="D1071" s="115"/>
      <c r="E1071" s="115"/>
      <c r="F1071" s="115"/>
      <c r="G1071" s="115"/>
      <c r="H1071" s="115"/>
      <c r="I1071" s="115"/>
      <c r="J1071" s="115"/>
      <c r="K1071" s="115"/>
      <c r="L1071" s="115"/>
      <c r="M1071" s="115"/>
      <c r="N1071" s="115"/>
      <c r="O1071" s="115"/>
      <c r="P1071" s="115"/>
      <c r="Q1071" s="115"/>
      <c r="R1071" s="115"/>
      <c r="S1071" s="115"/>
      <c r="T1071" s="115"/>
      <c r="U1071" s="115"/>
      <c r="V1071" s="115"/>
      <c r="W1071" s="115"/>
      <c r="X1071" s="115"/>
      <c r="Y1071" s="115"/>
      <c r="Z1071" s="115"/>
      <c r="AA1071" s="115"/>
      <c r="AB1071" s="115"/>
      <c r="AC1071" s="115"/>
      <c r="AD1071" s="115"/>
      <c r="AE1071" s="115"/>
      <c r="AF1071" s="115"/>
      <c r="AG1071" s="115"/>
      <c r="AH1071" s="115"/>
      <c r="AI1071" s="115"/>
      <c r="AJ1071" s="115"/>
      <c r="AK1071" s="115"/>
      <c r="AL1071" s="115"/>
      <c r="AM1071" s="122"/>
      <c r="AN1071" s="122"/>
      <c r="AO1071" s="122"/>
      <c r="AP1071" s="115"/>
      <c r="AQ1071" s="115"/>
      <c r="AR1071" s="115"/>
      <c r="AS1071" s="115"/>
      <c r="AT1071" s="115"/>
      <c r="AU1071" s="115"/>
      <c r="AV1071" s="115"/>
      <c r="AW1071" s="115"/>
      <c r="AX1071" s="115"/>
      <c r="AY1071" s="115"/>
      <c r="AZ1071" s="115"/>
      <c r="BA1071" s="115"/>
      <c r="BB1071" s="115"/>
      <c r="BC1071" s="115"/>
      <c r="BD1071" s="26"/>
      <c r="BE1071" s="105"/>
      <c r="BH1071" s="114"/>
    </row>
    <row r="1072" spans="1:60" x14ac:dyDescent="0.4">
      <c r="A1072" s="115"/>
      <c r="B1072" s="115"/>
      <c r="C1072" s="115"/>
      <c r="D1072" s="115"/>
      <c r="E1072" s="115"/>
      <c r="F1072" s="115"/>
      <c r="G1072" s="115"/>
      <c r="H1072" s="115"/>
      <c r="I1072" s="115"/>
      <c r="J1072" s="115"/>
      <c r="K1072" s="115"/>
      <c r="L1072" s="115"/>
      <c r="M1072" s="115"/>
      <c r="N1072" s="115"/>
      <c r="O1072" s="115"/>
      <c r="P1072" s="115"/>
      <c r="Q1072" s="115"/>
      <c r="R1072" s="115"/>
      <c r="S1072" s="115"/>
      <c r="T1072" s="115"/>
      <c r="U1072" s="115"/>
      <c r="V1072" s="115"/>
      <c r="W1072" s="115"/>
      <c r="X1072" s="115"/>
      <c r="Y1072" s="115"/>
      <c r="Z1072" s="115"/>
      <c r="AA1072" s="115"/>
      <c r="AB1072" s="115"/>
      <c r="AC1072" s="115"/>
      <c r="AD1072" s="115"/>
      <c r="AE1072" s="115"/>
      <c r="AF1072" s="115"/>
      <c r="AG1072" s="115"/>
      <c r="AH1072" s="115"/>
      <c r="AI1072" s="115"/>
      <c r="AJ1072" s="115"/>
      <c r="AK1072" s="115"/>
      <c r="AL1072" s="115"/>
      <c r="AM1072" s="122"/>
      <c r="AN1072" s="122"/>
      <c r="AO1072" s="122"/>
      <c r="AP1072" s="115"/>
      <c r="AQ1072" s="115"/>
      <c r="AR1072" s="115"/>
      <c r="AS1072" s="115"/>
      <c r="AT1072" s="115"/>
      <c r="AU1072" s="115"/>
      <c r="AV1072" s="115"/>
      <c r="AW1072" s="115"/>
      <c r="AX1072" s="115"/>
      <c r="AY1072" s="115"/>
      <c r="AZ1072" s="115"/>
      <c r="BA1072" s="115"/>
      <c r="BB1072" s="115"/>
      <c r="BC1072" s="115"/>
      <c r="BD1072" s="17"/>
      <c r="BE1072" s="15"/>
      <c r="BH1072" s="114"/>
    </row>
    <row r="1073" spans="1:60" x14ac:dyDescent="0.4">
      <c r="A1073" s="115"/>
      <c r="B1073" s="115"/>
      <c r="C1073" s="115"/>
      <c r="D1073" s="115"/>
      <c r="E1073" s="115"/>
      <c r="F1073" s="115"/>
      <c r="G1073" s="115"/>
      <c r="H1073" s="115"/>
      <c r="I1073" s="115"/>
      <c r="J1073" s="115"/>
      <c r="K1073" s="115"/>
      <c r="L1073" s="115"/>
      <c r="M1073" s="115"/>
      <c r="N1073" s="115"/>
      <c r="O1073" s="115"/>
      <c r="P1073" s="115"/>
      <c r="Q1073" s="115"/>
      <c r="R1073" s="115"/>
      <c r="S1073" s="115"/>
      <c r="T1073" s="115"/>
      <c r="U1073" s="115"/>
      <c r="V1073" s="115"/>
      <c r="W1073" s="115"/>
      <c r="X1073" s="115"/>
      <c r="Y1073" s="115"/>
      <c r="Z1073" s="115"/>
      <c r="AA1073" s="115"/>
      <c r="AB1073" s="115"/>
      <c r="AC1073" s="115"/>
      <c r="AD1073" s="115"/>
      <c r="AE1073" s="115"/>
      <c r="AF1073" s="115"/>
      <c r="AG1073" s="115"/>
      <c r="AH1073" s="115"/>
      <c r="AI1073" s="115"/>
      <c r="AJ1073" s="115"/>
      <c r="AK1073" s="115"/>
      <c r="AL1073" s="115"/>
      <c r="AM1073" s="122"/>
      <c r="AN1073" s="122"/>
      <c r="AO1073" s="122"/>
      <c r="AP1073" s="115"/>
      <c r="AQ1073" s="115"/>
      <c r="AR1073" s="115"/>
      <c r="AS1073" s="115"/>
      <c r="AT1073" s="115"/>
      <c r="AU1073" s="115"/>
      <c r="AV1073" s="115"/>
      <c r="AW1073" s="115"/>
      <c r="AX1073" s="115"/>
      <c r="AY1073" s="115"/>
      <c r="AZ1073" s="115"/>
      <c r="BA1073" s="115"/>
      <c r="BB1073" s="115"/>
      <c r="BC1073" s="115"/>
      <c r="BD1073" s="17"/>
      <c r="BE1073" s="15"/>
      <c r="BH1073" s="114"/>
    </row>
    <row r="1074" spans="1:60" x14ac:dyDescent="0.4">
      <c r="A1074" s="115"/>
      <c r="B1074" s="115"/>
      <c r="C1074" s="115"/>
      <c r="D1074" s="115"/>
      <c r="E1074" s="115"/>
      <c r="F1074" s="115"/>
      <c r="G1074" s="115"/>
      <c r="H1074" s="115"/>
      <c r="I1074" s="115"/>
      <c r="J1074" s="115"/>
      <c r="K1074" s="115"/>
      <c r="L1074" s="115"/>
      <c r="M1074" s="115"/>
      <c r="N1074" s="115"/>
      <c r="O1074" s="115"/>
      <c r="P1074" s="115"/>
      <c r="Q1074" s="115"/>
      <c r="R1074" s="115"/>
      <c r="S1074" s="115"/>
      <c r="T1074" s="115"/>
      <c r="U1074" s="115"/>
      <c r="V1074" s="115"/>
      <c r="W1074" s="115"/>
      <c r="X1074" s="115"/>
      <c r="Y1074" s="115"/>
      <c r="Z1074" s="115"/>
      <c r="AA1074" s="115"/>
      <c r="AB1074" s="115"/>
      <c r="AC1074" s="115"/>
      <c r="AD1074" s="115"/>
      <c r="AE1074" s="115"/>
      <c r="AF1074" s="115"/>
      <c r="AG1074" s="115"/>
      <c r="AH1074" s="115"/>
      <c r="AI1074" s="115"/>
      <c r="AJ1074" s="115"/>
      <c r="AK1074" s="115"/>
      <c r="AL1074" s="115"/>
      <c r="AM1074" s="122"/>
      <c r="AN1074" s="122"/>
      <c r="AO1074" s="122"/>
      <c r="AP1074" s="115"/>
      <c r="AQ1074" s="115"/>
      <c r="AR1074" s="115"/>
      <c r="AS1074" s="115"/>
      <c r="AT1074" s="115"/>
      <c r="AU1074" s="115"/>
      <c r="AV1074" s="115"/>
      <c r="AW1074" s="115"/>
      <c r="AX1074" s="115"/>
      <c r="AY1074" s="115"/>
      <c r="AZ1074" s="115"/>
      <c r="BA1074" s="115"/>
      <c r="BB1074" s="115"/>
      <c r="BC1074" s="115"/>
      <c r="BD1074" s="26"/>
      <c r="BE1074" s="15"/>
      <c r="BH1074" s="114"/>
    </row>
    <row r="1075" spans="1:60" x14ac:dyDescent="0.4">
      <c r="A1075" s="115"/>
      <c r="B1075" s="115"/>
      <c r="C1075" s="115"/>
      <c r="D1075" s="115"/>
      <c r="E1075" s="115"/>
      <c r="F1075" s="115"/>
      <c r="G1075" s="115"/>
      <c r="H1075" s="115"/>
      <c r="I1075" s="115"/>
      <c r="J1075" s="115"/>
      <c r="K1075" s="115"/>
      <c r="L1075" s="115"/>
      <c r="M1075" s="115"/>
      <c r="N1075" s="115"/>
      <c r="O1075" s="115"/>
      <c r="P1075" s="115"/>
      <c r="Q1075" s="115"/>
      <c r="R1075" s="115"/>
      <c r="S1075" s="115"/>
      <c r="T1075" s="115"/>
      <c r="U1075" s="115"/>
      <c r="V1075" s="115"/>
      <c r="W1075" s="115"/>
      <c r="X1075" s="115"/>
      <c r="Y1075" s="115"/>
      <c r="Z1075" s="115"/>
      <c r="AA1075" s="115"/>
      <c r="AB1075" s="115"/>
      <c r="AC1075" s="115"/>
      <c r="AD1075" s="115"/>
      <c r="AE1075" s="115"/>
      <c r="AF1075" s="115"/>
      <c r="AG1075" s="115"/>
      <c r="AH1075" s="115"/>
      <c r="AI1075" s="115"/>
      <c r="AJ1075" s="115"/>
      <c r="AK1075" s="115"/>
      <c r="AL1075" s="115"/>
      <c r="AM1075" s="122"/>
      <c r="AN1075" s="122"/>
      <c r="AO1075" s="122"/>
      <c r="AP1075" s="115"/>
      <c r="AQ1075" s="115"/>
      <c r="AR1075" s="115"/>
      <c r="AS1075" s="115"/>
      <c r="AT1075" s="115"/>
      <c r="AU1075" s="115"/>
      <c r="AV1075" s="115"/>
      <c r="AW1075" s="115"/>
      <c r="AX1075" s="115"/>
      <c r="AY1075" s="115"/>
      <c r="AZ1075" s="115"/>
      <c r="BA1075" s="115"/>
      <c r="BB1075" s="115"/>
      <c r="BC1075" s="115"/>
      <c r="BD1075" s="26"/>
      <c r="BE1075" s="15"/>
      <c r="BH1075" s="114"/>
    </row>
    <row r="1076" spans="1:60" x14ac:dyDescent="0.4">
      <c r="A1076" s="115"/>
      <c r="B1076" s="115"/>
      <c r="C1076" s="115"/>
      <c r="D1076" s="115"/>
      <c r="E1076" s="115"/>
      <c r="F1076" s="115"/>
      <c r="G1076" s="115"/>
      <c r="H1076" s="115"/>
      <c r="I1076" s="115"/>
      <c r="J1076" s="115"/>
      <c r="K1076" s="115"/>
      <c r="L1076" s="115"/>
      <c r="M1076" s="115"/>
      <c r="N1076" s="115"/>
      <c r="O1076" s="115"/>
      <c r="P1076" s="115"/>
      <c r="Q1076" s="115"/>
      <c r="R1076" s="115"/>
      <c r="S1076" s="115"/>
      <c r="T1076" s="115"/>
      <c r="U1076" s="115"/>
      <c r="V1076" s="115"/>
      <c r="W1076" s="115"/>
      <c r="X1076" s="115"/>
      <c r="Y1076" s="115"/>
      <c r="Z1076" s="115"/>
      <c r="AA1076" s="115"/>
      <c r="AB1076" s="115"/>
      <c r="AC1076" s="115"/>
      <c r="AD1076" s="115"/>
      <c r="AE1076" s="115"/>
      <c r="AF1076" s="115"/>
      <c r="AG1076" s="115"/>
      <c r="AH1076" s="115"/>
      <c r="AI1076" s="115"/>
      <c r="AJ1076" s="115"/>
      <c r="AK1076" s="115"/>
      <c r="AL1076" s="115"/>
      <c r="AM1076" s="122"/>
      <c r="AN1076" s="122"/>
      <c r="AO1076" s="122"/>
      <c r="AP1076" s="115"/>
      <c r="AQ1076" s="115"/>
      <c r="AR1076" s="115"/>
      <c r="AS1076" s="115"/>
      <c r="AT1076" s="115"/>
      <c r="AU1076" s="115"/>
      <c r="AV1076" s="115"/>
      <c r="AW1076" s="115"/>
      <c r="AX1076" s="115"/>
      <c r="AY1076" s="115"/>
      <c r="AZ1076" s="115"/>
      <c r="BA1076" s="115"/>
      <c r="BB1076" s="115"/>
      <c r="BC1076" s="115"/>
      <c r="BD1076" s="26"/>
      <c r="BE1076" s="15"/>
      <c r="BH1076" s="114"/>
    </row>
    <row r="1077" spans="1:60" x14ac:dyDescent="0.4">
      <c r="A1077" s="115"/>
      <c r="B1077" s="115"/>
      <c r="C1077" s="115"/>
      <c r="D1077" s="115"/>
      <c r="E1077" s="115"/>
      <c r="F1077" s="115"/>
      <c r="G1077" s="115"/>
      <c r="H1077" s="115"/>
      <c r="I1077" s="115"/>
      <c r="J1077" s="115"/>
      <c r="K1077" s="115"/>
      <c r="L1077" s="115"/>
      <c r="M1077" s="115"/>
      <c r="N1077" s="115"/>
      <c r="O1077" s="115"/>
      <c r="P1077" s="115"/>
      <c r="Q1077" s="115"/>
      <c r="R1077" s="115"/>
      <c r="S1077" s="115"/>
      <c r="T1077" s="115"/>
      <c r="U1077" s="115"/>
      <c r="V1077" s="115"/>
      <c r="W1077" s="115"/>
      <c r="X1077" s="115"/>
      <c r="Y1077" s="115"/>
      <c r="Z1077" s="115"/>
      <c r="AA1077" s="115"/>
      <c r="AB1077" s="115"/>
      <c r="AC1077" s="115"/>
      <c r="AD1077" s="115"/>
      <c r="AE1077" s="115"/>
      <c r="AF1077" s="115"/>
      <c r="AG1077" s="115"/>
      <c r="AH1077" s="115"/>
      <c r="AI1077" s="115"/>
      <c r="AJ1077" s="115"/>
      <c r="AK1077" s="115"/>
      <c r="AL1077" s="115"/>
      <c r="AM1077" s="122"/>
      <c r="AN1077" s="122"/>
      <c r="AO1077" s="122"/>
      <c r="AP1077" s="115"/>
      <c r="AQ1077" s="115"/>
      <c r="AR1077" s="115"/>
      <c r="AS1077" s="115"/>
      <c r="AT1077" s="115"/>
      <c r="AU1077" s="115"/>
      <c r="AV1077" s="115"/>
      <c r="AW1077" s="115"/>
      <c r="AX1077" s="115"/>
      <c r="AY1077" s="115"/>
      <c r="AZ1077" s="115"/>
      <c r="BA1077" s="115"/>
      <c r="BB1077" s="115"/>
      <c r="BC1077" s="115"/>
      <c r="BD1077" s="26"/>
      <c r="BE1077" s="15"/>
      <c r="BH1077" s="114"/>
    </row>
    <row r="1078" spans="1:60" x14ac:dyDescent="0.4">
      <c r="A1078" s="115"/>
      <c r="B1078" s="115"/>
      <c r="C1078" s="115"/>
      <c r="D1078" s="115"/>
      <c r="E1078" s="115"/>
      <c r="F1078" s="115"/>
      <c r="G1078" s="115"/>
      <c r="H1078" s="115"/>
      <c r="I1078" s="115"/>
      <c r="J1078" s="115"/>
      <c r="K1078" s="115"/>
      <c r="L1078" s="115"/>
      <c r="M1078" s="115"/>
      <c r="N1078" s="115"/>
      <c r="O1078" s="115"/>
      <c r="P1078" s="115"/>
      <c r="Q1078" s="115"/>
      <c r="R1078" s="115"/>
      <c r="S1078" s="115"/>
      <c r="T1078" s="115"/>
      <c r="U1078" s="115"/>
      <c r="V1078" s="115"/>
      <c r="W1078" s="115"/>
      <c r="X1078" s="115"/>
      <c r="Y1078" s="115"/>
      <c r="Z1078" s="115"/>
      <c r="AA1078" s="115"/>
      <c r="AB1078" s="115"/>
      <c r="AC1078" s="115"/>
      <c r="AD1078" s="115"/>
      <c r="AE1078" s="115"/>
      <c r="AF1078" s="115"/>
      <c r="AG1078" s="115"/>
      <c r="AH1078" s="115"/>
      <c r="AI1078" s="115"/>
      <c r="AJ1078" s="115"/>
      <c r="AK1078" s="115"/>
      <c r="AL1078" s="115"/>
      <c r="AM1078" s="122"/>
      <c r="AN1078" s="122"/>
      <c r="AO1078" s="122"/>
      <c r="AP1078" s="115"/>
      <c r="AQ1078" s="115"/>
      <c r="AR1078" s="115"/>
      <c r="AS1078" s="115"/>
      <c r="AT1078" s="115"/>
      <c r="AU1078" s="115"/>
      <c r="AV1078" s="115"/>
      <c r="AW1078" s="115"/>
      <c r="AX1078" s="115"/>
      <c r="AY1078" s="115"/>
      <c r="AZ1078" s="115"/>
      <c r="BA1078" s="115"/>
      <c r="BB1078" s="115"/>
      <c r="BC1078" s="115"/>
      <c r="BD1078" s="26"/>
      <c r="BE1078" s="15"/>
      <c r="BH1078" s="114"/>
    </row>
    <row r="1079" spans="1:60" x14ac:dyDescent="0.4">
      <c r="A1079" s="115"/>
      <c r="B1079" s="115"/>
      <c r="C1079" s="115"/>
      <c r="D1079" s="115"/>
      <c r="E1079" s="115"/>
      <c r="F1079" s="115"/>
      <c r="G1079" s="115"/>
      <c r="H1079" s="115"/>
      <c r="I1079" s="115"/>
      <c r="J1079" s="115"/>
      <c r="K1079" s="115"/>
      <c r="L1079" s="115"/>
      <c r="M1079" s="115"/>
      <c r="N1079" s="115"/>
      <c r="O1079" s="115"/>
      <c r="P1079" s="115"/>
      <c r="Q1079" s="115"/>
      <c r="R1079" s="115"/>
      <c r="S1079" s="115"/>
      <c r="T1079" s="115"/>
      <c r="U1079" s="115"/>
      <c r="V1079" s="115"/>
      <c r="W1079" s="115"/>
      <c r="X1079" s="115"/>
      <c r="Y1079" s="115"/>
      <c r="Z1079" s="115"/>
      <c r="AA1079" s="115"/>
      <c r="AB1079" s="115"/>
      <c r="AC1079" s="115"/>
      <c r="AD1079" s="115"/>
      <c r="AE1079" s="115"/>
      <c r="AF1079" s="115"/>
      <c r="AG1079" s="115"/>
      <c r="AH1079" s="115"/>
      <c r="AI1079" s="115"/>
      <c r="AJ1079" s="115"/>
      <c r="AK1079" s="115"/>
      <c r="AL1079" s="115"/>
      <c r="AM1079" s="122"/>
      <c r="AN1079" s="122"/>
      <c r="AO1079" s="122"/>
      <c r="AP1079" s="115"/>
      <c r="AQ1079" s="115"/>
      <c r="AR1079" s="115"/>
      <c r="AS1079" s="115"/>
      <c r="AT1079" s="115"/>
      <c r="AU1079" s="115"/>
      <c r="AV1079" s="115"/>
      <c r="AW1079" s="115"/>
      <c r="AX1079" s="115"/>
      <c r="AY1079" s="115"/>
      <c r="AZ1079" s="115"/>
      <c r="BA1079" s="115"/>
      <c r="BB1079" s="115"/>
      <c r="BC1079" s="115"/>
      <c r="BD1079" s="26"/>
      <c r="BE1079" s="15"/>
      <c r="BH1079" s="114"/>
    </row>
    <row r="1080" spans="1:60" x14ac:dyDescent="0.4">
      <c r="A1080" s="115"/>
      <c r="B1080" s="115"/>
      <c r="C1080" s="115"/>
      <c r="D1080" s="115"/>
      <c r="E1080" s="115"/>
      <c r="F1080" s="115"/>
      <c r="G1080" s="115"/>
      <c r="H1080" s="115"/>
      <c r="I1080" s="115"/>
      <c r="J1080" s="115"/>
      <c r="K1080" s="115"/>
      <c r="L1080" s="115"/>
      <c r="M1080" s="115"/>
      <c r="N1080" s="115"/>
      <c r="O1080" s="115"/>
      <c r="P1080" s="115"/>
      <c r="Q1080" s="115"/>
      <c r="R1080" s="115"/>
      <c r="S1080" s="115"/>
      <c r="T1080" s="115"/>
      <c r="U1080" s="115"/>
      <c r="V1080" s="115"/>
      <c r="W1080" s="115"/>
      <c r="X1080" s="115"/>
      <c r="Y1080" s="115"/>
      <c r="Z1080" s="115"/>
      <c r="AA1080" s="115"/>
      <c r="AB1080" s="115"/>
      <c r="AC1080" s="115"/>
      <c r="AD1080" s="115"/>
      <c r="AE1080" s="115"/>
      <c r="AF1080" s="115"/>
      <c r="AG1080" s="115"/>
      <c r="AH1080" s="115"/>
      <c r="AI1080" s="115"/>
      <c r="AJ1080" s="115"/>
      <c r="AK1080" s="115"/>
      <c r="AL1080" s="115"/>
      <c r="AM1080" s="122"/>
      <c r="AN1080" s="122"/>
      <c r="AO1080" s="122"/>
      <c r="AP1080" s="115"/>
      <c r="AQ1080" s="115"/>
      <c r="AR1080" s="115"/>
      <c r="AS1080" s="115"/>
      <c r="AT1080" s="115"/>
      <c r="AU1080" s="115"/>
      <c r="AV1080" s="115"/>
      <c r="AW1080" s="115"/>
      <c r="AX1080" s="115"/>
      <c r="AY1080" s="115"/>
      <c r="AZ1080" s="115"/>
      <c r="BA1080" s="115"/>
      <c r="BB1080" s="115"/>
      <c r="BC1080" s="115"/>
      <c r="BD1080" s="26"/>
      <c r="BE1080" s="15"/>
      <c r="BH1080" s="114"/>
    </row>
    <row r="1081" spans="1:60" x14ac:dyDescent="0.4">
      <c r="A1081" s="115"/>
      <c r="B1081" s="115"/>
      <c r="C1081" s="115"/>
      <c r="D1081" s="115"/>
      <c r="E1081" s="115"/>
      <c r="F1081" s="115"/>
      <c r="G1081" s="115"/>
      <c r="H1081" s="115"/>
      <c r="I1081" s="115"/>
      <c r="J1081" s="115"/>
      <c r="K1081" s="115"/>
      <c r="L1081" s="115"/>
      <c r="M1081" s="115"/>
      <c r="N1081" s="115"/>
      <c r="O1081" s="115"/>
      <c r="P1081" s="115"/>
      <c r="Q1081" s="115"/>
      <c r="R1081" s="115"/>
      <c r="S1081" s="115"/>
      <c r="T1081" s="115"/>
      <c r="U1081" s="115"/>
      <c r="V1081" s="115"/>
      <c r="W1081" s="115"/>
      <c r="X1081" s="115"/>
      <c r="Y1081" s="115"/>
      <c r="Z1081" s="115"/>
      <c r="AA1081" s="115"/>
      <c r="AB1081" s="115"/>
      <c r="AC1081" s="115"/>
      <c r="AD1081" s="115"/>
      <c r="AE1081" s="115"/>
      <c r="AF1081" s="115"/>
      <c r="AG1081" s="115"/>
      <c r="AH1081" s="115"/>
      <c r="AI1081" s="115"/>
      <c r="AJ1081" s="115"/>
      <c r="AK1081" s="115"/>
      <c r="AL1081" s="115"/>
      <c r="AM1081" s="122"/>
      <c r="AN1081" s="122"/>
      <c r="AO1081" s="122"/>
      <c r="AP1081" s="115"/>
      <c r="AQ1081" s="115"/>
      <c r="AR1081" s="115"/>
      <c r="AS1081" s="115"/>
      <c r="AT1081" s="115"/>
      <c r="AU1081" s="115"/>
      <c r="AV1081" s="115"/>
      <c r="AW1081" s="115"/>
      <c r="AX1081" s="115"/>
      <c r="AY1081" s="115"/>
      <c r="AZ1081" s="115"/>
      <c r="BA1081" s="115"/>
      <c r="BB1081" s="115"/>
      <c r="BC1081" s="115"/>
      <c r="BD1081" s="26"/>
      <c r="BE1081" s="15"/>
      <c r="BH1081" s="114"/>
    </row>
    <row r="1082" spans="1:60" x14ac:dyDescent="0.4">
      <c r="A1082" s="115"/>
      <c r="B1082" s="115"/>
      <c r="C1082" s="115"/>
      <c r="D1082" s="115"/>
      <c r="E1082" s="115"/>
      <c r="F1082" s="115"/>
      <c r="G1082" s="115"/>
      <c r="H1082" s="115"/>
      <c r="I1082" s="115"/>
      <c r="J1082" s="115"/>
      <c r="K1082" s="115"/>
      <c r="L1082" s="115"/>
      <c r="M1082" s="115"/>
      <c r="N1082" s="115"/>
      <c r="O1082" s="115"/>
      <c r="P1082" s="115"/>
      <c r="Q1082" s="115"/>
      <c r="R1082" s="115"/>
      <c r="S1082" s="115"/>
      <c r="T1082" s="115"/>
      <c r="U1082" s="115"/>
      <c r="V1082" s="115"/>
      <c r="W1082" s="115"/>
      <c r="X1082" s="115"/>
      <c r="Y1082" s="115"/>
      <c r="Z1082" s="115"/>
      <c r="AA1082" s="115"/>
      <c r="AB1082" s="115"/>
      <c r="AC1082" s="115"/>
      <c r="AD1082" s="115"/>
      <c r="AE1082" s="115"/>
      <c r="AF1082" s="115"/>
      <c r="AG1082" s="115"/>
      <c r="AH1082" s="115"/>
      <c r="AI1082" s="115"/>
      <c r="AJ1082" s="115"/>
      <c r="AK1082" s="115"/>
      <c r="AL1082" s="115"/>
      <c r="AM1082" s="122"/>
      <c r="AN1082" s="122"/>
      <c r="AO1082" s="122"/>
      <c r="AP1082" s="115"/>
      <c r="AQ1082" s="115"/>
      <c r="AR1082" s="115"/>
      <c r="AS1082" s="115"/>
      <c r="AT1082" s="115"/>
      <c r="AU1082" s="115"/>
      <c r="AV1082" s="115"/>
      <c r="AW1082" s="115"/>
      <c r="AX1082" s="115"/>
      <c r="AY1082" s="115"/>
      <c r="AZ1082" s="115"/>
      <c r="BA1082" s="115"/>
      <c r="BB1082" s="115"/>
      <c r="BC1082" s="115"/>
      <c r="BD1082" s="26"/>
      <c r="BE1082" s="105"/>
      <c r="BH1082" s="114"/>
    </row>
    <row r="1083" spans="1:60" x14ac:dyDescent="0.4">
      <c r="A1083" s="115"/>
      <c r="B1083" s="115"/>
      <c r="C1083" s="115"/>
      <c r="D1083" s="115"/>
      <c r="E1083" s="115"/>
      <c r="F1083" s="115"/>
      <c r="G1083" s="115"/>
      <c r="H1083" s="115"/>
      <c r="I1083" s="115"/>
      <c r="J1083" s="115"/>
      <c r="K1083" s="115"/>
      <c r="L1083" s="115"/>
      <c r="M1083" s="115"/>
      <c r="N1083" s="115"/>
      <c r="O1083" s="115"/>
      <c r="P1083" s="115"/>
      <c r="Q1083" s="115"/>
      <c r="R1083" s="115"/>
      <c r="S1083" s="115"/>
      <c r="T1083" s="115"/>
      <c r="U1083" s="115"/>
      <c r="V1083" s="115"/>
      <c r="W1083" s="115"/>
      <c r="X1083" s="115"/>
      <c r="Y1083" s="115"/>
      <c r="Z1083" s="115"/>
      <c r="AA1083" s="115"/>
      <c r="AB1083" s="115"/>
      <c r="AC1083" s="115"/>
      <c r="AD1083" s="115"/>
      <c r="AE1083" s="115"/>
      <c r="AF1083" s="115"/>
      <c r="AG1083" s="115"/>
      <c r="AH1083" s="115"/>
      <c r="AI1083" s="115"/>
      <c r="AJ1083" s="115"/>
      <c r="AK1083" s="115"/>
      <c r="AL1083" s="115"/>
      <c r="AM1083" s="122"/>
      <c r="AN1083" s="122"/>
      <c r="AO1083" s="122"/>
      <c r="AP1083" s="115"/>
      <c r="AQ1083" s="115"/>
      <c r="AR1083" s="115"/>
      <c r="AS1083" s="115"/>
      <c r="AT1083" s="115"/>
      <c r="AU1083" s="115"/>
      <c r="AV1083" s="115"/>
      <c r="AW1083" s="115"/>
      <c r="AX1083" s="115"/>
      <c r="AY1083" s="115"/>
      <c r="AZ1083" s="115"/>
      <c r="BA1083" s="115"/>
      <c r="BB1083" s="115"/>
      <c r="BC1083" s="115"/>
      <c r="BD1083" s="26"/>
      <c r="BE1083" s="15"/>
      <c r="BH1083" s="114"/>
    </row>
    <row r="1084" spans="1:60" x14ac:dyDescent="0.4">
      <c r="A1084" s="115"/>
      <c r="B1084" s="115"/>
      <c r="C1084" s="115"/>
      <c r="D1084" s="115"/>
      <c r="E1084" s="115"/>
      <c r="F1084" s="115"/>
      <c r="G1084" s="115"/>
      <c r="H1084" s="115"/>
      <c r="I1084" s="115"/>
      <c r="J1084" s="115"/>
      <c r="K1084" s="115"/>
      <c r="L1084" s="115"/>
      <c r="M1084" s="115"/>
      <c r="N1084" s="115"/>
      <c r="O1084" s="115"/>
      <c r="P1084" s="115"/>
      <c r="Q1084" s="115"/>
      <c r="R1084" s="115"/>
      <c r="S1084" s="115"/>
      <c r="T1084" s="115"/>
      <c r="U1084" s="115"/>
      <c r="V1084" s="115"/>
      <c r="W1084" s="115"/>
      <c r="X1084" s="115"/>
      <c r="Y1084" s="115"/>
      <c r="Z1084" s="115"/>
      <c r="AA1084" s="115"/>
      <c r="AB1084" s="115"/>
      <c r="AC1084" s="115"/>
      <c r="AD1084" s="115"/>
      <c r="AE1084" s="115"/>
      <c r="AF1084" s="115"/>
      <c r="AG1084" s="115"/>
      <c r="AH1084" s="115"/>
      <c r="AI1084" s="115"/>
      <c r="AJ1084" s="115"/>
      <c r="AK1084" s="115"/>
      <c r="AL1084" s="115"/>
      <c r="AM1084" s="122"/>
      <c r="AN1084" s="122"/>
      <c r="AO1084" s="122"/>
      <c r="AP1084" s="115"/>
      <c r="AQ1084" s="115"/>
      <c r="AR1084" s="115"/>
      <c r="AS1084" s="115"/>
      <c r="AT1084" s="115"/>
      <c r="AU1084" s="115"/>
      <c r="AV1084" s="115"/>
      <c r="AW1084" s="115"/>
      <c r="AX1084" s="115"/>
      <c r="AY1084" s="115"/>
      <c r="AZ1084" s="115"/>
      <c r="BA1084" s="115"/>
      <c r="BB1084" s="115"/>
      <c r="BC1084" s="115"/>
      <c r="BD1084" s="26"/>
      <c r="BE1084" s="15"/>
      <c r="BH1084" s="114"/>
    </row>
    <row r="1085" spans="1:60" x14ac:dyDescent="0.4">
      <c r="A1085" s="115"/>
      <c r="B1085" s="115"/>
      <c r="C1085" s="115"/>
      <c r="D1085" s="115"/>
      <c r="E1085" s="115"/>
      <c r="F1085" s="115"/>
      <c r="G1085" s="115"/>
      <c r="H1085" s="115"/>
      <c r="I1085" s="115"/>
      <c r="J1085" s="115"/>
      <c r="K1085" s="115"/>
      <c r="L1085" s="115"/>
      <c r="M1085" s="115"/>
      <c r="N1085" s="115"/>
      <c r="O1085" s="115"/>
      <c r="P1085" s="115"/>
      <c r="Q1085" s="115"/>
      <c r="R1085" s="115"/>
      <c r="S1085" s="115"/>
      <c r="T1085" s="115"/>
      <c r="U1085" s="115"/>
      <c r="V1085" s="115"/>
      <c r="W1085" s="115"/>
      <c r="X1085" s="115"/>
      <c r="Y1085" s="115"/>
      <c r="Z1085" s="115"/>
      <c r="AA1085" s="115"/>
      <c r="AB1085" s="115"/>
      <c r="AC1085" s="115"/>
      <c r="AD1085" s="115"/>
      <c r="AE1085" s="115"/>
      <c r="AF1085" s="115"/>
      <c r="AG1085" s="115"/>
      <c r="AH1085" s="115"/>
      <c r="AI1085" s="115"/>
      <c r="AJ1085" s="115"/>
      <c r="AK1085" s="115"/>
      <c r="AL1085" s="115"/>
      <c r="AM1085" s="122"/>
      <c r="AN1085" s="122"/>
      <c r="AO1085" s="122"/>
      <c r="AP1085" s="115"/>
      <c r="AQ1085" s="115"/>
      <c r="AR1085" s="115"/>
      <c r="AS1085" s="115"/>
      <c r="AT1085" s="115"/>
      <c r="AU1085" s="115"/>
      <c r="AV1085" s="115"/>
      <c r="AW1085" s="115"/>
      <c r="AX1085" s="115"/>
      <c r="AY1085" s="115"/>
      <c r="AZ1085" s="115"/>
      <c r="BA1085" s="115"/>
      <c r="BB1085" s="115"/>
      <c r="BC1085" s="115"/>
      <c r="BD1085" s="26"/>
      <c r="BE1085" s="13"/>
      <c r="BH1085" s="114"/>
    </row>
    <row r="1086" spans="1:60" x14ac:dyDescent="0.4">
      <c r="A1086" s="115"/>
      <c r="B1086" s="115"/>
      <c r="C1086" s="115"/>
      <c r="D1086" s="115"/>
      <c r="E1086" s="115"/>
      <c r="F1086" s="115"/>
      <c r="G1086" s="115"/>
      <c r="H1086" s="115"/>
      <c r="I1086" s="115"/>
      <c r="J1086" s="115"/>
      <c r="K1086" s="115"/>
      <c r="L1086" s="115"/>
      <c r="M1086" s="115"/>
      <c r="N1086" s="115"/>
      <c r="O1086" s="115"/>
      <c r="P1086" s="115"/>
      <c r="Q1086" s="115"/>
      <c r="R1086" s="115"/>
      <c r="S1086" s="115"/>
      <c r="T1086" s="115"/>
      <c r="U1086" s="115"/>
      <c r="V1086" s="115"/>
      <c r="W1086" s="115"/>
      <c r="X1086" s="115"/>
      <c r="Y1086" s="115"/>
      <c r="Z1086" s="115"/>
      <c r="AA1086" s="115"/>
      <c r="AB1086" s="115"/>
      <c r="AC1086" s="115"/>
      <c r="AD1086" s="115"/>
      <c r="AE1086" s="115"/>
      <c r="AF1086" s="115"/>
      <c r="AG1086" s="115"/>
      <c r="AH1086" s="115"/>
      <c r="AI1086" s="115"/>
      <c r="AJ1086" s="115"/>
      <c r="AK1086" s="115"/>
      <c r="AL1086" s="115"/>
      <c r="AM1086" s="122"/>
      <c r="AN1086" s="122"/>
      <c r="AO1086" s="122"/>
      <c r="AP1086" s="115"/>
      <c r="AQ1086" s="115"/>
      <c r="AR1086" s="115"/>
      <c r="AS1086" s="115"/>
      <c r="AT1086" s="115"/>
      <c r="AU1086" s="115"/>
      <c r="AV1086" s="115"/>
      <c r="AW1086" s="115"/>
      <c r="AX1086" s="115"/>
      <c r="AY1086" s="115"/>
      <c r="AZ1086" s="115"/>
      <c r="BA1086" s="115"/>
      <c r="BB1086" s="115"/>
      <c r="BC1086" s="115"/>
      <c r="BD1086" s="17"/>
      <c r="BE1086" s="13"/>
      <c r="BH1086" s="114"/>
    </row>
    <row r="1087" spans="1:60" x14ac:dyDescent="0.4">
      <c r="A1087" s="115"/>
      <c r="B1087" s="115"/>
      <c r="C1087" s="115"/>
      <c r="D1087" s="115"/>
      <c r="E1087" s="115"/>
      <c r="F1087" s="115"/>
      <c r="G1087" s="115"/>
      <c r="H1087" s="115"/>
      <c r="I1087" s="115"/>
      <c r="J1087" s="115"/>
      <c r="K1087" s="115"/>
      <c r="L1087" s="115"/>
      <c r="M1087" s="115"/>
      <c r="N1087" s="115"/>
      <c r="O1087" s="115"/>
      <c r="P1087" s="115"/>
      <c r="Q1087" s="115"/>
      <c r="R1087" s="115"/>
      <c r="S1087" s="115"/>
      <c r="T1087" s="115"/>
      <c r="U1087" s="115"/>
      <c r="V1087" s="115"/>
      <c r="W1087" s="115"/>
      <c r="X1087" s="115"/>
      <c r="Y1087" s="115"/>
      <c r="Z1087" s="115"/>
      <c r="AA1087" s="115"/>
      <c r="AB1087" s="115"/>
      <c r="AC1087" s="115"/>
      <c r="AD1087" s="115"/>
      <c r="AE1087" s="115"/>
      <c r="AF1087" s="115"/>
      <c r="AG1087" s="115"/>
      <c r="AH1087" s="115"/>
      <c r="AI1087" s="115"/>
      <c r="AJ1087" s="115"/>
      <c r="AK1087" s="115"/>
      <c r="AL1087" s="115"/>
      <c r="AM1087" s="122"/>
      <c r="AN1087" s="122"/>
      <c r="AO1087" s="122"/>
      <c r="AP1087" s="115"/>
      <c r="AQ1087" s="115"/>
      <c r="AR1087" s="115"/>
      <c r="AS1087" s="115"/>
      <c r="AT1087" s="115"/>
      <c r="AU1087" s="115"/>
      <c r="AV1087" s="115"/>
      <c r="AW1087" s="115"/>
      <c r="AX1087" s="115"/>
      <c r="AY1087" s="115"/>
      <c r="AZ1087" s="115"/>
      <c r="BA1087" s="115"/>
      <c r="BB1087" s="115"/>
      <c r="BC1087" s="115"/>
      <c r="BD1087" s="26"/>
      <c r="BE1087" s="13"/>
      <c r="BH1087" s="114"/>
    </row>
    <row r="1088" spans="1:60" x14ac:dyDescent="0.4">
      <c r="A1088" s="115"/>
      <c r="B1088" s="115"/>
      <c r="C1088" s="115"/>
      <c r="D1088" s="115"/>
      <c r="E1088" s="115"/>
      <c r="F1088" s="115"/>
      <c r="G1088" s="115"/>
      <c r="H1088" s="115"/>
      <c r="I1088" s="115"/>
      <c r="J1088" s="115"/>
      <c r="K1088" s="115"/>
      <c r="L1088" s="115"/>
      <c r="M1088" s="115"/>
      <c r="N1088" s="115"/>
      <c r="O1088" s="115"/>
      <c r="P1088" s="115"/>
      <c r="Q1088" s="115"/>
      <c r="R1088" s="115"/>
      <c r="S1088" s="115"/>
      <c r="T1088" s="115"/>
      <c r="U1088" s="115"/>
      <c r="V1088" s="115"/>
      <c r="W1088" s="115"/>
      <c r="X1088" s="115"/>
      <c r="Y1088" s="115"/>
      <c r="Z1088" s="115"/>
      <c r="AA1088" s="115"/>
      <c r="AB1088" s="115"/>
      <c r="AC1088" s="115"/>
      <c r="AD1088" s="115"/>
      <c r="AE1088" s="115"/>
      <c r="AF1088" s="115"/>
      <c r="AG1088" s="115"/>
      <c r="AH1088" s="115"/>
      <c r="AI1088" s="115"/>
      <c r="AJ1088" s="115"/>
      <c r="AK1088" s="115"/>
      <c r="AL1088" s="115"/>
      <c r="AM1088" s="122"/>
      <c r="AN1088" s="122"/>
      <c r="AO1088" s="122"/>
      <c r="AP1088" s="115"/>
      <c r="AQ1088" s="115"/>
      <c r="AR1088" s="115"/>
      <c r="AS1088" s="115"/>
      <c r="AT1088" s="115"/>
      <c r="AU1088" s="115"/>
      <c r="AV1088" s="115"/>
      <c r="AW1088" s="115"/>
      <c r="AX1088" s="115"/>
      <c r="AY1088" s="115"/>
      <c r="AZ1088" s="115"/>
      <c r="BA1088" s="115"/>
      <c r="BB1088" s="115"/>
      <c r="BC1088" s="115"/>
      <c r="BD1088" s="26"/>
      <c r="BE1088" s="13"/>
      <c r="BH1088" s="114"/>
    </row>
    <row r="1089" spans="1:60" x14ac:dyDescent="0.4">
      <c r="A1089" s="115"/>
      <c r="B1089" s="115"/>
      <c r="C1089" s="115"/>
      <c r="D1089" s="115"/>
      <c r="E1089" s="115"/>
      <c r="F1089" s="115"/>
      <c r="G1089" s="115"/>
      <c r="H1089" s="115"/>
      <c r="I1089" s="115"/>
      <c r="J1089" s="115"/>
      <c r="K1089" s="115"/>
      <c r="L1089" s="115"/>
      <c r="M1089" s="115"/>
      <c r="N1089" s="115"/>
      <c r="O1089" s="115"/>
      <c r="P1089" s="115"/>
      <c r="Q1089" s="115"/>
      <c r="R1089" s="115"/>
      <c r="S1089" s="115"/>
      <c r="T1089" s="115"/>
      <c r="U1089" s="115"/>
      <c r="V1089" s="115"/>
      <c r="W1089" s="115"/>
      <c r="X1089" s="115"/>
      <c r="Y1089" s="115"/>
      <c r="Z1089" s="115"/>
      <c r="AA1089" s="115"/>
      <c r="AB1089" s="115"/>
      <c r="AC1089" s="115"/>
      <c r="AD1089" s="115"/>
      <c r="AE1089" s="115"/>
      <c r="AF1089" s="115"/>
      <c r="AG1089" s="115"/>
      <c r="AH1089" s="115"/>
      <c r="AI1089" s="115"/>
      <c r="AJ1089" s="115"/>
      <c r="AK1089" s="115"/>
      <c r="AL1089" s="115"/>
      <c r="AM1089" s="122"/>
      <c r="AN1089" s="122"/>
      <c r="AO1089" s="122"/>
      <c r="AP1089" s="115"/>
      <c r="AQ1089" s="115"/>
      <c r="AR1089" s="115"/>
      <c r="AS1089" s="115"/>
      <c r="AT1089" s="115"/>
      <c r="AU1089" s="115"/>
      <c r="AV1089" s="115"/>
      <c r="AW1089" s="115"/>
      <c r="AX1089" s="115"/>
      <c r="AY1089" s="115"/>
      <c r="AZ1089" s="115"/>
      <c r="BA1089" s="115"/>
      <c r="BB1089" s="115"/>
      <c r="BC1089" s="115"/>
      <c r="BD1089" s="26"/>
      <c r="BE1089" s="13"/>
      <c r="BH1089" s="114"/>
    </row>
    <row r="1090" spans="1:60" x14ac:dyDescent="0.4">
      <c r="A1090" s="115"/>
      <c r="B1090" s="115"/>
      <c r="C1090" s="115"/>
      <c r="D1090" s="115"/>
      <c r="E1090" s="115"/>
      <c r="F1090" s="115"/>
      <c r="G1090" s="115"/>
      <c r="H1090" s="115"/>
      <c r="I1090" s="115"/>
      <c r="J1090" s="115"/>
      <c r="K1090" s="115"/>
      <c r="L1090" s="115"/>
      <c r="M1090" s="115"/>
      <c r="N1090" s="115"/>
      <c r="O1090" s="115"/>
      <c r="P1090" s="115"/>
      <c r="Q1090" s="115"/>
      <c r="R1090" s="115"/>
      <c r="S1090" s="115"/>
      <c r="T1090" s="115"/>
      <c r="U1090" s="115"/>
      <c r="V1090" s="115"/>
      <c r="W1090" s="115"/>
      <c r="X1090" s="115"/>
      <c r="Y1090" s="115"/>
      <c r="Z1090" s="115"/>
      <c r="AA1090" s="115"/>
      <c r="AB1090" s="115"/>
      <c r="AC1090" s="115"/>
      <c r="AD1090" s="115"/>
      <c r="AE1090" s="115"/>
      <c r="AF1090" s="115"/>
      <c r="AG1090" s="115"/>
      <c r="AH1090" s="115"/>
      <c r="AI1090" s="115"/>
      <c r="AJ1090" s="115"/>
      <c r="AK1090" s="115"/>
      <c r="AL1090" s="115"/>
      <c r="AM1090" s="122"/>
      <c r="AN1090" s="122"/>
      <c r="AO1090" s="122"/>
      <c r="AP1090" s="115"/>
      <c r="AQ1090" s="115"/>
      <c r="AR1090" s="115"/>
      <c r="AS1090" s="115"/>
      <c r="AT1090" s="115"/>
      <c r="AU1090" s="115"/>
      <c r="AV1090" s="115"/>
      <c r="AW1090" s="115"/>
      <c r="AX1090" s="115"/>
      <c r="AY1090" s="115"/>
      <c r="AZ1090" s="115"/>
      <c r="BA1090" s="115"/>
      <c r="BB1090" s="115"/>
      <c r="BC1090" s="115"/>
      <c r="BD1090" s="26"/>
      <c r="BE1090" s="13"/>
      <c r="BH1090" s="114"/>
    </row>
    <row r="1091" spans="1:60" x14ac:dyDescent="0.4">
      <c r="A1091" s="115"/>
      <c r="B1091" s="115"/>
      <c r="C1091" s="115"/>
      <c r="D1091" s="115"/>
      <c r="E1091" s="115"/>
      <c r="F1091" s="115"/>
      <c r="G1091" s="115"/>
      <c r="H1091" s="115"/>
      <c r="I1091" s="115"/>
      <c r="J1091" s="115"/>
      <c r="K1091" s="115"/>
      <c r="L1091" s="115"/>
      <c r="M1091" s="115"/>
      <c r="N1091" s="115"/>
      <c r="O1091" s="115"/>
      <c r="P1091" s="115"/>
      <c r="Q1091" s="115"/>
      <c r="R1091" s="115"/>
      <c r="S1091" s="115"/>
      <c r="T1091" s="115"/>
      <c r="U1091" s="115"/>
      <c r="V1091" s="115"/>
      <c r="W1091" s="115"/>
      <c r="X1091" s="115"/>
      <c r="Y1091" s="115"/>
      <c r="Z1091" s="115"/>
      <c r="AA1091" s="115"/>
      <c r="AB1091" s="115"/>
      <c r="AC1091" s="115"/>
      <c r="AD1091" s="115"/>
      <c r="AE1091" s="115"/>
      <c r="AF1091" s="115"/>
      <c r="AG1091" s="115"/>
      <c r="AH1091" s="115"/>
      <c r="AI1091" s="115"/>
      <c r="AJ1091" s="115"/>
      <c r="AK1091" s="115"/>
      <c r="AL1091" s="115"/>
      <c r="AM1091" s="122"/>
      <c r="AN1091" s="122"/>
      <c r="AO1091" s="122"/>
      <c r="AP1091" s="115"/>
      <c r="AQ1091" s="115"/>
      <c r="AR1091" s="115"/>
      <c r="AS1091" s="115"/>
      <c r="AT1091" s="115"/>
      <c r="AU1091" s="115"/>
      <c r="AV1091" s="115"/>
      <c r="AW1091" s="115"/>
      <c r="AX1091" s="115"/>
      <c r="AY1091" s="115"/>
      <c r="AZ1091" s="115"/>
      <c r="BA1091" s="115"/>
      <c r="BB1091" s="115"/>
      <c r="BC1091" s="115"/>
      <c r="BD1091" s="26"/>
      <c r="BE1091" s="13"/>
      <c r="BH1091" s="114"/>
    </row>
    <row r="1092" spans="1:60" x14ac:dyDescent="0.4">
      <c r="A1092" s="115"/>
      <c r="B1092" s="115"/>
      <c r="C1092" s="115"/>
      <c r="D1092" s="115"/>
      <c r="E1092" s="115"/>
      <c r="F1092" s="115"/>
      <c r="G1092" s="115"/>
      <c r="H1092" s="115"/>
      <c r="I1092" s="115"/>
      <c r="J1092" s="115"/>
      <c r="K1092" s="115"/>
      <c r="L1092" s="115"/>
      <c r="M1092" s="115"/>
      <c r="N1092" s="115"/>
      <c r="O1092" s="115"/>
      <c r="P1092" s="115"/>
      <c r="Q1092" s="115"/>
      <c r="R1092" s="115"/>
      <c r="S1092" s="115"/>
      <c r="T1092" s="115"/>
      <c r="U1092" s="115"/>
      <c r="V1092" s="115"/>
      <c r="W1092" s="115"/>
      <c r="X1092" s="115"/>
      <c r="Y1092" s="115"/>
      <c r="Z1092" s="115"/>
      <c r="AA1092" s="115"/>
      <c r="AB1092" s="115"/>
      <c r="AC1092" s="115"/>
      <c r="AD1092" s="115"/>
      <c r="AE1092" s="115"/>
      <c r="AF1092" s="115"/>
      <c r="AG1092" s="115"/>
      <c r="AH1092" s="115"/>
      <c r="AI1092" s="115"/>
      <c r="AJ1092" s="115"/>
      <c r="AK1092" s="115"/>
      <c r="AL1092" s="115"/>
      <c r="AM1092" s="122"/>
      <c r="AN1092" s="122"/>
      <c r="AO1092" s="122"/>
      <c r="AP1092" s="115"/>
      <c r="AQ1092" s="115"/>
      <c r="AR1092" s="115"/>
      <c r="AS1092" s="115"/>
      <c r="AT1092" s="115"/>
      <c r="AU1092" s="115"/>
      <c r="AV1092" s="115"/>
      <c r="AW1092" s="115"/>
      <c r="AX1092" s="115"/>
      <c r="AY1092" s="115"/>
      <c r="AZ1092" s="115"/>
      <c r="BA1092" s="115"/>
      <c r="BB1092" s="115"/>
      <c r="BC1092" s="115"/>
      <c r="BD1092" s="26"/>
      <c r="BE1092" s="13"/>
      <c r="BH1092" s="114"/>
    </row>
    <row r="1093" spans="1:60" x14ac:dyDescent="0.4">
      <c r="A1093" s="115"/>
      <c r="B1093" s="115"/>
      <c r="C1093" s="115"/>
      <c r="D1093" s="115"/>
      <c r="E1093" s="115"/>
      <c r="F1093" s="115"/>
      <c r="G1093" s="115"/>
      <c r="H1093" s="115"/>
      <c r="I1093" s="115"/>
      <c r="J1093" s="115"/>
      <c r="K1093" s="115"/>
      <c r="L1093" s="115"/>
      <c r="M1093" s="115"/>
      <c r="N1093" s="115"/>
      <c r="O1093" s="115"/>
      <c r="P1093" s="115"/>
      <c r="Q1093" s="115"/>
      <c r="R1093" s="115"/>
      <c r="S1093" s="115"/>
      <c r="T1093" s="115"/>
      <c r="U1093" s="115"/>
      <c r="V1093" s="115"/>
      <c r="W1093" s="115"/>
      <c r="X1093" s="115"/>
      <c r="Y1093" s="115"/>
      <c r="Z1093" s="115"/>
      <c r="AA1093" s="115"/>
      <c r="AB1093" s="115"/>
      <c r="AC1093" s="115"/>
      <c r="AD1093" s="115"/>
      <c r="AE1093" s="115"/>
      <c r="AF1093" s="115"/>
      <c r="AG1093" s="115"/>
      <c r="AH1093" s="115"/>
      <c r="AI1093" s="115"/>
      <c r="AJ1093" s="115"/>
      <c r="AK1093" s="115"/>
      <c r="AL1093" s="115"/>
      <c r="AM1093" s="122"/>
      <c r="AN1093" s="122"/>
      <c r="AO1093" s="122"/>
      <c r="AP1093" s="115"/>
      <c r="AQ1093" s="115"/>
      <c r="AR1093" s="115"/>
      <c r="AS1093" s="115"/>
      <c r="AT1093" s="115"/>
      <c r="AU1093" s="115"/>
      <c r="AV1093" s="115"/>
      <c r="AW1093" s="115"/>
      <c r="AX1093" s="115"/>
      <c r="AY1093" s="115"/>
      <c r="AZ1093" s="115"/>
      <c r="BA1093" s="115"/>
      <c r="BB1093" s="115"/>
      <c r="BC1093" s="115"/>
      <c r="BD1093" s="17"/>
      <c r="BE1093" s="13"/>
      <c r="BH1093" s="114"/>
    </row>
    <row r="1094" spans="1:60" x14ac:dyDescent="0.4">
      <c r="A1094" s="115"/>
      <c r="B1094" s="115"/>
      <c r="C1094" s="115"/>
      <c r="D1094" s="115"/>
      <c r="E1094" s="115"/>
      <c r="F1094" s="115"/>
      <c r="G1094" s="115"/>
      <c r="H1094" s="115"/>
      <c r="I1094" s="115"/>
      <c r="J1094" s="115"/>
      <c r="K1094" s="115"/>
      <c r="L1094" s="115"/>
      <c r="M1094" s="115"/>
      <c r="N1094" s="115"/>
      <c r="O1094" s="115"/>
      <c r="P1094" s="115"/>
      <c r="Q1094" s="115"/>
      <c r="R1094" s="115"/>
      <c r="S1094" s="115"/>
      <c r="T1094" s="115"/>
      <c r="U1094" s="115"/>
      <c r="V1094" s="115"/>
      <c r="W1094" s="115"/>
      <c r="X1094" s="115"/>
      <c r="Y1094" s="115"/>
      <c r="Z1094" s="115"/>
      <c r="AA1094" s="115"/>
      <c r="AB1094" s="115"/>
      <c r="AC1094" s="115"/>
      <c r="AD1094" s="115"/>
      <c r="AE1094" s="115"/>
      <c r="AF1094" s="115"/>
      <c r="AG1094" s="115"/>
      <c r="AH1094" s="115"/>
      <c r="AI1094" s="115"/>
      <c r="AJ1094" s="115"/>
      <c r="AK1094" s="115"/>
      <c r="AL1094" s="115"/>
      <c r="AM1094" s="122"/>
      <c r="AN1094" s="122"/>
      <c r="AO1094" s="122"/>
      <c r="AP1094" s="115"/>
      <c r="AQ1094" s="115"/>
      <c r="AR1094" s="115"/>
      <c r="AS1094" s="115"/>
      <c r="AT1094" s="115"/>
      <c r="AU1094" s="115"/>
      <c r="AV1094" s="115"/>
      <c r="AW1094" s="115"/>
      <c r="AX1094" s="115"/>
      <c r="AY1094" s="115"/>
      <c r="AZ1094" s="115"/>
      <c r="BA1094" s="115"/>
      <c r="BB1094" s="115"/>
      <c r="BC1094" s="115"/>
      <c r="BD1094" s="26"/>
      <c r="BE1094" s="13"/>
      <c r="BH1094" s="114"/>
    </row>
    <row r="1095" spans="1:60" x14ac:dyDescent="0.4">
      <c r="A1095" s="115"/>
      <c r="B1095" s="115"/>
      <c r="C1095" s="115"/>
      <c r="D1095" s="115"/>
      <c r="E1095" s="115"/>
      <c r="F1095" s="115"/>
      <c r="G1095" s="115"/>
      <c r="H1095" s="115"/>
      <c r="I1095" s="115"/>
      <c r="J1095" s="115"/>
      <c r="K1095" s="115"/>
      <c r="L1095" s="115"/>
      <c r="M1095" s="115"/>
      <c r="N1095" s="115"/>
      <c r="O1095" s="115"/>
      <c r="P1095" s="115"/>
      <c r="Q1095" s="115"/>
      <c r="R1095" s="115"/>
      <c r="S1095" s="115"/>
      <c r="T1095" s="115"/>
      <c r="U1095" s="115"/>
      <c r="V1095" s="115"/>
      <c r="W1095" s="115"/>
      <c r="X1095" s="115"/>
      <c r="Y1095" s="115"/>
      <c r="Z1095" s="115"/>
      <c r="AA1095" s="115"/>
      <c r="AB1095" s="115"/>
      <c r="AC1095" s="115"/>
      <c r="AD1095" s="115"/>
      <c r="AE1095" s="115"/>
      <c r="AF1095" s="115"/>
      <c r="AG1095" s="115"/>
      <c r="AH1095" s="115"/>
      <c r="AI1095" s="115"/>
      <c r="AJ1095" s="115"/>
      <c r="AK1095" s="115"/>
      <c r="AL1095" s="115"/>
      <c r="AM1095" s="122"/>
      <c r="AN1095" s="122"/>
      <c r="AO1095" s="122"/>
      <c r="AP1095" s="115"/>
      <c r="AQ1095" s="115"/>
      <c r="AR1095" s="115"/>
      <c r="AS1095" s="115"/>
      <c r="AT1095" s="115"/>
      <c r="AU1095" s="115"/>
      <c r="AV1095" s="115"/>
      <c r="AW1095" s="115"/>
      <c r="AX1095" s="115"/>
      <c r="AY1095" s="115"/>
      <c r="AZ1095" s="115"/>
      <c r="BA1095" s="115"/>
      <c r="BB1095" s="115"/>
      <c r="BC1095" s="115"/>
      <c r="BD1095" s="26"/>
      <c r="BE1095" s="13"/>
      <c r="BH1095" s="114"/>
    </row>
    <row r="1096" spans="1:60" x14ac:dyDescent="0.4">
      <c r="A1096" s="115"/>
      <c r="B1096" s="115"/>
      <c r="C1096" s="115"/>
      <c r="D1096" s="115"/>
      <c r="E1096" s="115"/>
      <c r="F1096" s="115"/>
      <c r="G1096" s="115"/>
      <c r="H1096" s="115"/>
      <c r="I1096" s="115"/>
      <c r="J1096" s="115"/>
      <c r="K1096" s="115"/>
      <c r="L1096" s="115"/>
      <c r="M1096" s="115"/>
      <c r="N1096" s="115"/>
      <c r="O1096" s="115"/>
      <c r="P1096" s="115"/>
      <c r="Q1096" s="115"/>
      <c r="R1096" s="115"/>
      <c r="S1096" s="115"/>
      <c r="T1096" s="115"/>
      <c r="U1096" s="115"/>
      <c r="V1096" s="115"/>
      <c r="W1096" s="115"/>
      <c r="X1096" s="115"/>
      <c r="Y1096" s="115"/>
      <c r="Z1096" s="115"/>
      <c r="AA1096" s="115"/>
      <c r="AB1096" s="115"/>
      <c r="AC1096" s="115"/>
      <c r="AD1096" s="115"/>
      <c r="AE1096" s="115"/>
      <c r="AF1096" s="115"/>
      <c r="AG1096" s="115"/>
      <c r="AH1096" s="115"/>
      <c r="AI1096" s="115"/>
      <c r="AJ1096" s="115"/>
      <c r="AK1096" s="115"/>
      <c r="AL1096" s="115"/>
      <c r="AM1096" s="122"/>
      <c r="AN1096" s="122"/>
      <c r="AO1096" s="122"/>
      <c r="AP1096" s="115"/>
      <c r="AQ1096" s="115"/>
      <c r="AR1096" s="115"/>
      <c r="AS1096" s="115"/>
      <c r="AT1096" s="115"/>
      <c r="AU1096" s="115"/>
      <c r="AV1096" s="115"/>
      <c r="AW1096" s="115"/>
      <c r="AX1096" s="115"/>
      <c r="AY1096" s="115"/>
      <c r="AZ1096" s="115"/>
      <c r="BA1096" s="115"/>
      <c r="BB1096" s="115"/>
      <c r="BC1096" s="115"/>
      <c r="BD1096" s="26"/>
      <c r="BE1096" s="13"/>
      <c r="BH1096" s="114"/>
    </row>
    <row r="1097" spans="1:60" x14ac:dyDescent="0.4">
      <c r="A1097" s="115"/>
      <c r="B1097" s="115"/>
      <c r="C1097" s="115"/>
      <c r="D1097" s="115"/>
      <c r="E1097" s="115"/>
      <c r="F1097" s="115"/>
      <c r="G1097" s="115"/>
      <c r="H1097" s="115"/>
      <c r="I1097" s="115"/>
      <c r="J1097" s="115"/>
      <c r="K1097" s="115"/>
      <c r="L1097" s="115"/>
      <c r="M1097" s="115"/>
      <c r="N1097" s="115"/>
      <c r="O1097" s="115"/>
      <c r="P1097" s="115"/>
      <c r="Q1097" s="115"/>
      <c r="R1097" s="115"/>
      <c r="S1097" s="115"/>
      <c r="T1097" s="115"/>
      <c r="U1097" s="115"/>
      <c r="V1097" s="115"/>
      <c r="W1097" s="115"/>
      <c r="X1097" s="115"/>
      <c r="Y1097" s="115"/>
      <c r="Z1097" s="115"/>
      <c r="AA1097" s="115"/>
      <c r="AB1097" s="115"/>
      <c r="AC1097" s="115"/>
      <c r="AD1097" s="115"/>
      <c r="AE1097" s="115"/>
      <c r="AF1097" s="115"/>
      <c r="AG1097" s="115"/>
      <c r="AH1097" s="115"/>
      <c r="AI1097" s="115"/>
      <c r="AJ1097" s="115"/>
      <c r="AK1097" s="115"/>
      <c r="AL1097" s="115"/>
      <c r="AM1097" s="122"/>
      <c r="AN1097" s="122"/>
      <c r="AO1097" s="122"/>
      <c r="AP1097" s="115"/>
      <c r="AQ1097" s="115"/>
      <c r="AR1097" s="115"/>
      <c r="AS1097" s="115"/>
      <c r="AT1097" s="115"/>
      <c r="AU1097" s="115"/>
      <c r="AV1097" s="115"/>
      <c r="AW1097" s="115"/>
      <c r="AX1097" s="115"/>
      <c r="AY1097" s="115"/>
      <c r="AZ1097" s="115"/>
      <c r="BA1097" s="115"/>
      <c r="BB1097" s="115"/>
      <c r="BC1097" s="115"/>
      <c r="BD1097" s="26"/>
      <c r="BE1097" s="13"/>
      <c r="BH1097" s="114"/>
    </row>
    <row r="1098" spans="1:60" x14ac:dyDescent="0.4">
      <c r="A1098" s="115"/>
      <c r="B1098" s="115"/>
      <c r="C1098" s="115"/>
      <c r="D1098" s="115"/>
      <c r="E1098" s="115"/>
      <c r="F1098" s="115"/>
      <c r="G1098" s="115"/>
      <c r="H1098" s="115"/>
      <c r="I1098" s="115"/>
      <c r="J1098" s="115"/>
      <c r="K1098" s="115"/>
      <c r="L1098" s="115"/>
      <c r="M1098" s="115"/>
      <c r="N1098" s="115"/>
      <c r="O1098" s="115"/>
      <c r="P1098" s="115"/>
      <c r="Q1098" s="115"/>
      <c r="R1098" s="115"/>
      <c r="S1098" s="115"/>
      <c r="T1098" s="115"/>
      <c r="U1098" s="115"/>
      <c r="V1098" s="115"/>
      <c r="W1098" s="115"/>
      <c r="X1098" s="115"/>
      <c r="Y1098" s="115"/>
      <c r="Z1098" s="115"/>
      <c r="AA1098" s="115"/>
      <c r="AB1098" s="115"/>
      <c r="AC1098" s="115"/>
      <c r="AD1098" s="115"/>
      <c r="AE1098" s="115"/>
      <c r="AF1098" s="115"/>
      <c r="AG1098" s="115"/>
      <c r="AH1098" s="115"/>
      <c r="AI1098" s="115"/>
      <c r="AJ1098" s="115"/>
      <c r="AK1098" s="115"/>
      <c r="AL1098" s="115"/>
      <c r="AM1098" s="122"/>
      <c r="AN1098" s="122"/>
      <c r="AO1098" s="122"/>
      <c r="AP1098" s="115"/>
      <c r="AQ1098" s="115"/>
      <c r="AR1098" s="115"/>
      <c r="AS1098" s="115"/>
      <c r="AT1098" s="115"/>
      <c r="AU1098" s="115"/>
      <c r="AV1098" s="115"/>
      <c r="AW1098" s="115"/>
      <c r="AX1098" s="115"/>
      <c r="AY1098" s="115"/>
      <c r="AZ1098" s="115"/>
      <c r="BA1098" s="115"/>
      <c r="BB1098" s="115"/>
      <c r="BC1098" s="115"/>
      <c r="BD1098" s="26"/>
      <c r="BE1098" s="25"/>
      <c r="BH1098" s="114"/>
    </row>
    <row r="1099" spans="1:60" x14ac:dyDescent="0.4">
      <c r="A1099" s="115"/>
      <c r="B1099" s="115"/>
      <c r="C1099" s="115"/>
      <c r="D1099" s="115"/>
      <c r="E1099" s="115"/>
      <c r="F1099" s="115"/>
      <c r="G1099" s="115"/>
      <c r="H1099" s="115"/>
      <c r="I1099" s="115"/>
      <c r="J1099" s="115"/>
      <c r="K1099" s="115"/>
      <c r="L1099" s="115"/>
      <c r="M1099" s="115"/>
      <c r="N1099" s="115"/>
      <c r="O1099" s="115"/>
      <c r="P1099" s="115"/>
      <c r="Q1099" s="115"/>
      <c r="R1099" s="115"/>
      <c r="S1099" s="115"/>
      <c r="T1099" s="115"/>
      <c r="U1099" s="115"/>
      <c r="V1099" s="115"/>
      <c r="W1099" s="115"/>
      <c r="X1099" s="115"/>
      <c r="Y1099" s="115"/>
      <c r="Z1099" s="115"/>
      <c r="AA1099" s="115"/>
      <c r="AB1099" s="115"/>
      <c r="AC1099" s="115"/>
      <c r="AD1099" s="115"/>
      <c r="AE1099" s="115"/>
      <c r="AF1099" s="115"/>
      <c r="AG1099" s="115"/>
      <c r="AH1099" s="115"/>
      <c r="AI1099" s="115"/>
      <c r="AJ1099" s="115"/>
      <c r="AK1099" s="115"/>
      <c r="AL1099" s="115"/>
      <c r="AM1099" s="122"/>
      <c r="AN1099" s="122"/>
      <c r="AO1099" s="122"/>
      <c r="AP1099" s="115"/>
      <c r="AQ1099" s="115"/>
      <c r="AR1099" s="115"/>
      <c r="AS1099" s="115"/>
      <c r="AT1099" s="115"/>
      <c r="AU1099" s="115"/>
      <c r="AV1099" s="115"/>
      <c r="AW1099" s="115"/>
      <c r="AX1099" s="115"/>
      <c r="AY1099" s="115"/>
      <c r="AZ1099" s="115"/>
      <c r="BA1099" s="115"/>
      <c r="BB1099" s="115"/>
      <c r="BC1099" s="115"/>
      <c r="BD1099" s="17"/>
      <c r="BE1099" s="13"/>
      <c r="BH1099" s="114"/>
    </row>
    <row r="1100" spans="1:60" x14ac:dyDescent="0.4">
      <c r="A1100" s="115"/>
      <c r="B1100" s="115"/>
      <c r="C1100" s="115"/>
      <c r="D1100" s="115"/>
      <c r="E1100" s="115"/>
      <c r="F1100" s="115"/>
      <c r="G1100" s="115"/>
      <c r="H1100" s="115"/>
      <c r="I1100" s="115"/>
      <c r="J1100" s="115"/>
      <c r="K1100" s="115"/>
      <c r="L1100" s="115"/>
      <c r="M1100" s="115"/>
      <c r="N1100" s="115"/>
      <c r="O1100" s="115"/>
      <c r="P1100" s="115"/>
      <c r="Q1100" s="115"/>
      <c r="R1100" s="115"/>
      <c r="S1100" s="115"/>
      <c r="T1100" s="115"/>
      <c r="U1100" s="115"/>
      <c r="V1100" s="115"/>
      <c r="W1100" s="115"/>
      <c r="X1100" s="115"/>
      <c r="Y1100" s="115"/>
      <c r="Z1100" s="115"/>
      <c r="AA1100" s="115"/>
      <c r="AB1100" s="115"/>
      <c r="AC1100" s="115"/>
      <c r="AD1100" s="115"/>
      <c r="AE1100" s="115"/>
      <c r="AF1100" s="115"/>
      <c r="AG1100" s="115"/>
      <c r="AH1100" s="115"/>
      <c r="AI1100" s="115"/>
      <c r="AJ1100" s="115"/>
      <c r="AK1100" s="115"/>
      <c r="AL1100" s="115"/>
      <c r="AM1100" s="122"/>
      <c r="AN1100" s="122"/>
      <c r="AO1100" s="122"/>
      <c r="AP1100" s="115"/>
      <c r="AQ1100" s="115"/>
      <c r="AR1100" s="115"/>
      <c r="AS1100" s="115"/>
      <c r="AT1100" s="115"/>
      <c r="AU1100" s="115"/>
      <c r="AV1100" s="115"/>
      <c r="AW1100" s="115"/>
      <c r="AX1100" s="115"/>
      <c r="AY1100" s="115"/>
      <c r="AZ1100" s="115"/>
      <c r="BA1100" s="115"/>
      <c r="BB1100" s="115"/>
      <c r="BC1100" s="115"/>
      <c r="BD1100" s="26"/>
      <c r="BE1100" s="15"/>
      <c r="BH1100" s="114"/>
    </row>
    <row r="1101" spans="1:60" x14ac:dyDescent="0.4">
      <c r="A1101" s="115"/>
      <c r="B1101" s="115"/>
      <c r="C1101" s="115"/>
      <c r="D1101" s="115"/>
      <c r="E1101" s="115"/>
      <c r="F1101" s="115"/>
      <c r="G1101" s="115"/>
      <c r="H1101" s="115"/>
      <c r="I1101" s="115"/>
      <c r="J1101" s="115"/>
      <c r="K1101" s="115"/>
      <c r="L1101" s="115"/>
      <c r="M1101" s="115"/>
      <c r="N1101" s="115"/>
      <c r="O1101" s="115"/>
      <c r="P1101" s="115"/>
      <c r="Q1101" s="115"/>
      <c r="R1101" s="115"/>
      <c r="S1101" s="115"/>
      <c r="T1101" s="115"/>
      <c r="U1101" s="115"/>
      <c r="V1101" s="115"/>
      <c r="W1101" s="115"/>
      <c r="X1101" s="115"/>
      <c r="Y1101" s="115"/>
      <c r="Z1101" s="115"/>
      <c r="AA1101" s="115"/>
      <c r="AB1101" s="115"/>
      <c r="AC1101" s="115"/>
      <c r="AD1101" s="115"/>
      <c r="AE1101" s="115"/>
      <c r="AF1101" s="115"/>
      <c r="AG1101" s="115"/>
      <c r="AH1101" s="115"/>
      <c r="AI1101" s="115"/>
      <c r="AJ1101" s="115"/>
      <c r="AK1101" s="115"/>
      <c r="AL1101" s="115"/>
      <c r="AM1101" s="122"/>
      <c r="AN1101" s="122"/>
      <c r="AO1101" s="122"/>
      <c r="AP1101" s="115"/>
      <c r="AQ1101" s="115"/>
      <c r="AR1101" s="115"/>
      <c r="AS1101" s="115"/>
      <c r="AT1101" s="115"/>
      <c r="AU1101" s="115"/>
      <c r="AV1101" s="115"/>
      <c r="AW1101" s="115"/>
      <c r="AX1101" s="115"/>
      <c r="AY1101" s="115"/>
      <c r="AZ1101" s="115"/>
      <c r="BA1101" s="115"/>
      <c r="BB1101" s="115"/>
      <c r="BC1101" s="115"/>
      <c r="BD1101" s="26"/>
      <c r="BE1101" s="15"/>
      <c r="BH1101" s="114"/>
    </row>
    <row r="1102" spans="1:60" x14ac:dyDescent="0.4">
      <c r="A1102" s="115"/>
      <c r="B1102" s="115"/>
      <c r="C1102" s="115"/>
      <c r="D1102" s="115"/>
      <c r="E1102" s="115"/>
      <c r="F1102" s="115"/>
      <c r="G1102" s="115"/>
      <c r="H1102" s="115"/>
      <c r="I1102" s="115"/>
      <c r="J1102" s="115"/>
      <c r="K1102" s="115"/>
      <c r="L1102" s="115"/>
      <c r="M1102" s="115"/>
      <c r="N1102" s="115"/>
      <c r="O1102" s="115"/>
      <c r="P1102" s="115"/>
      <c r="Q1102" s="115"/>
      <c r="R1102" s="115"/>
      <c r="S1102" s="115"/>
      <c r="T1102" s="115"/>
      <c r="U1102" s="115"/>
      <c r="V1102" s="115"/>
      <c r="W1102" s="115"/>
      <c r="X1102" s="115"/>
      <c r="Y1102" s="115"/>
      <c r="Z1102" s="115"/>
      <c r="AA1102" s="115"/>
      <c r="AB1102" s="115"/>
      <c r="AC1102" s="115"/>
      <c r="AD1102" s="115"/>
      <c r="AE1102" s="115"/>
      <c r="AF1102" s="115"/>
      <c r="AG1102" s="115"/>
      <c r="AH1102" s="115"/>
      <c r="AI1102" s="115"/>
      <c r="AJ1102" s="115"/>
      <c r="AK1102" s="115"/>
      <c r="AL1102" s="115"/>
      <c r="AM1102" s="122"/>
      <c r="AN1102" s="122"/>
      <c r="AO1102" s="122"/>
      <c r="AP1102" s="115"/>
      <c r="AQ1102" s="115"/>
      <c r="AR1102" s="115"/>
      <c r="AS1102" s="115"/>
      <c r="AT1102" s="115"/>
      <c r="AU1102" s="115"/>
      <c r="AV1102" s="115"/>
      <c r="AW1102" s="115"/>
      <c r="AX1102" s="115"/>
      <c r="AY1102" s="115"/>
      <c r="AZ1102" s="115"/>
      <c r="BA1102" s="115"/>
      <c r="BB1102" s="115"/>
      <c r="BC1102" s="115"/>
      <c r="BD1102" s="17"/>
      <c r="BE1102" s="15"/>
      <c r="BH1102" s="114"/>
    </row>
    <row r="1103" spans="1:60" x14ac:dyDescent="0.4">
      <c r="A1103" s="115"/>
      <c r="B1103" s="115"/>
      <c r="C1103" s="115"/>
      <c r="D1103" s="115"/>
      <c r="E1103" s="115"/>
      <c r="F1103" s="115"/>
      <c r="G1103" s="115"/>
      <c r="H1103" s="115"/>
      <c r="I1103" s="115"/>
      <c r="J1103" s="115"/>
      <c r="K1103" s="115"/>
      <c r="L1103" s="115"/>
      <c r="M1103" s="115"/>
      <c r="N1103" s="115"/>
      <c r="O1103" s="115"/>
      <c r="P1103" s="115"/>
      <c r="Q1103" s="115"/>
      <c r="R1103" s="115"/>
      <c r="S1103" s="115"/>
      <c r="T1103" s="115"/>
      <c r="U1103" s="115"/>
      <c r="V1103" s="115"/>
      <c r="W1103" s="115"/>
      <c r="X1103" s="115"/>
      <c r="Y1103" s="115"/>
      <c r="Z1103" s="115"/>
      <c r="AA1103" s="115"/>
      <c r="AB1103" s="115"/>
      <c r="AC1103" s="115"/>
      <c r="AD1103" s="115"/>
      <c r="AE1103" s="115"/>
      <c r="AF1103" s="115"/>
      <c r="AG1103" s="115"/>
      <c r="AH1103" s="115"/>
      <c r="AI1103" s="115"/>
      <c r="AJ1103" s="115"/>
      <c r="AK1103" s="115"/>
      <c r="AL1103" s="115"/>
      <c r="AM1103" s="122"/>
      <c r="AN1103" s="122"/>
      <c r="AO1103" s="122"/>
      <c r="AP1103" s="115"/>
      <c r="AQ1103" s="115"/>
      <c r="AR1103" s="115"/>
      <c r="AS1103" s="115"/>
      <c r="AT1103" s="115"/>
      <c r="AU1103" s="115"/>
      <c r="AV1103" s="115"/>
      <c r="AW1103" s="115"/>
      <c r="AX1103" s="115"/>
      <c r="AY1103" s="115"/>
      <c r="AZ1103" s="115"/>
      <c r="BA1103" s="115"/>
      <c r="BB1103" s="115"/>
      <c r="BC1103" s="115"/>
      <c r="BD1103" s="26"/>
      <c r="BE1103" s="15"/>
      <c r="BH1103" s="114"/>
    </row>
    <row r="1104" spans="1:60" x14ac:dyDescent="0.4">
      <c r="A1104" s="115"/>
      <c r="B1104" s="115"/>
      <c r="C1104" s="115"/>
      <c r="D1104" s="115"/>
      <c r="E1104" s="115"/>
      <c r="F1104" s="115"/>
      <c r="G1104" s="115"/>
      <c r="H1104" s="115"/>
      <c r="I1104" s="115"/>
      <c r="J1104" s="115"/>
      <c r="K1104" s="115"/>
      <c r="L1104" s="115"/>
      <c r="M1104" s="115"/>
      <c r="N1104" s="115"/>
      <c r="O1104" s="115"/>
      <c r="P1104" s="115"/>
      <c r="Q1104" s="115"/>
      <c r="R1104" s="115"/>
      <c r="S1104" s="115"/>
      <c r="T1104" s="115"/>
      <c r="U1104" s="115"/>
      <c r="V1104" s="115"/>
      <c r="W1104" s="115"/>
      <c r="X1104" s="115"/>
      <c r="Y1104" s="115"/>
      <c r="Z1104" s="115"/>
      <c r="AA1104" s="115"/>
      <c r="AB1104" s="115"/>
      <c r="AC1104" s="115"/>
      <c r="AD1104" s="115"/>
      <c r="AE1104" s="115"/>
      <c r="AF1104" s="115"/>
      <c r="AG1104" s="115"/>
      <c r="AH1104" s="115"/>
      <c r="AI1104" s="115"/>
      <c r="AJ1104" s="115"/>
      <c r="AK1104" s="115"/>
      <c r="AL1104" s="115"/>
      <c r="AM1104" s="122"/>
      <c r="AN1104" s="122"/>
      <c r="AO1104" s="122"/>
      <c r="AP1104" s="115"/>
      <c r="AQ1104" s="115"/>
      <c r="AR1104" s="115"/>
      <c r="AS1104" s="115"/>
      <c r="AT1104" s="115"/>
      <c r="AU1104" s="115"/>
      <c r="AV1104" s="115"/>
      <c r="AW1104" s="115"/>
      <c r="AX1104" s="115"/>
      <c r="AY1104" s="115"/>
      <c r="AZ1104" s="115"/>
      <c r="BA1104" s="115"/>
      <c r="BB1104" s="115"/>
      <c r="BC1104" s="115"/>
      <c r="BD1104" s="26"/>
      <c r="BE1104" s="15"/>
      <c r="BH1104" s="114"/>
    </row>
    <row r="1105" spans="1:60" x14ac:dyDescent="0.4">
      <c r="A1105" s="115"/>
      <c r="B1105" s="115"/>
      <c r="C1105" s="115"/>
      <c r="D1105" s="115"/>
      <c r="E1105" s="115"/>
      <c r="F1105" s="115"/>
      <c r="G1105" s="115"/>
      <c r="H1105" s="115"/>
      <c r="I1105" s="115"/>
      <c r="J1105" s="115"/>
      <c r="K1105" s="115"/>
      <c r="L1105" s="115"/>
      <c r="M1105" s="115"/>
      <c r="N1105" s="115"/>
      <c r="O1105" s="115"/>
      <c r="P1105" s="115"/>
      <c r="Q1105" s="115"/>
      <c r="R1105" s="115"/>
      <c r="S1105" s="115"/>
      <c r="T1105" s="115"/>
      <c r="U1105" s="115"/>
      <c r="V1105" s="115"/>
      <c r="W1105" s="115"/>
      <c r="X1105" s="115"/>
      <c r="Y1105" s="115"/>
      <c r="Z1105" s="115"/>
      <c r="AA1105" s="115"/>
      <c r="AB1105" s="115"/>
      <c r="AC1105" s="115"/>
      <c r="AD1105" s="115"/>
      <c r="AE1105" s="115"/>
      <c r="AF1105" s="115"/>
      <c r="AG1105" s="115"/>
      <c r="AH1105" s="115"/>
      <c r="AI1105" s="115"/>
      <c r="AJ1105" s="115"/>
      <c r="AK1105" s="115"/>
      <c r="AL1105" s="115"/>
      <c r="AM1105" s="122"/>
      <c r="AN1105" s="122"/>
      <c r="AO1105" s="122"/>
      <c r="AP1105" s="115"/>
      <c r="AQ1105" s="115"/>
      <c r="AR1105" s="115"/>
      <c r="AS1105" s="115"/>
      <c r="AT1105" s="115"/>
      <c r="AU1105" s="115"/>
      <c r="AV1105" s="115"/>
      <c r="AW1105" s="115"/>
      <c r="AX1105" s="115"/>
      <c r="AY1105" s="115"/>
      <c r="AZ1105" s="115"/>
      <c r="BA1105" s="115"/>
      <c r="BB1105" s="115"/>
      <c r="BC1105" s="115"/>
      <c r="BD1105" s="26"/>
      <c r="BE1105" s="13"/>
      <c r="BH1105" s="114"/>
    </row>
    <row r="1106" spans="1:60" x14ac:dyDescent="0.4">
      <c r="A1106" s="115"/>
      <c r="B1106" s="115"/>
      <c r="C1106" s="115"/>
      <c r="D1106" s="115"/>
      <c r="E1106" s="115"/>
      <c r="F1106" s="115"/>
      <c r="G1106" s="115"/>
      <c r="H1106" s="115"/>
      <c r="I1106" s="115"/>
      <c r="J1106" s="115"/>
      <c r="K1106" s="115"/>
      <c r="L1106" s="115"/>
      <c r="M1106" s="115"/>
      <c r="N1106" s="115"/>
      <c r="O1106" s="115"/>
      <c r="P1106" s="115"/>
      <c r="Q1106" s="115"/>
      <c r="R1106" s="115"/>
      <c r="S1106" s="115"/>
      <c r="T1106" s="115"/>
      <c r="U1106" s="115"/>
      <c r="V1106" s="115"/>
      <c r="W1106" s="115"/>
      <c r="X1106" s="115"/>
      <c r="Y1106" s="115"/>
      <c r="Z1106" s="115"/>
      <c r="AA1106" s="115"/>
      <c r="AB1106" s="115"/>
      <c r="AC1106" s="115"/>
      <c r="AD1106" s="115"/>
      <c r="AE1106" s="115"/>
      <c r="AF1106" s="115"/>
      <c r="AG1106" s="115"/>
      <c r="AH1106" s="115"/>
      <c r="AI1106" s="115"/>
      <c r="AJ1106" s="115"/>
      <c r="AK1106" s="115"/>
      <c r="AL1106" s="115"/>
      <c r="AM1106" s="122"/>
      <c r="AN1106" s="122"/>
      <c r="AO1106" s="122"/>
      <c r="AP1106" s="115"/>
      <c r="AQ1106" s="115"/>
      <c r="AR1106" s="115"/>
      <c r="AS1106" s="115"/>
      <c r="AT1106" s="115"/>
      <c r="AU1106" s="115"/>
      <c r="AV1106" s="115"/>
      <c r="AW1106" s="115"/>
      <c r="AX1106" s="115"/>
      <c r="AY1106" s="115"/>
      <c r="AZ1106" s="115"/>
      <c r="BA1106" s="115"/>
      <c r="BB1106" s="115"/>
      <c r="BC1106" s="115"/>
      <c r="BD1106" s="26"/>
      <c r="BE1106" s="13"/>
      <c r="BH1106" s="114"/>
    </row>
    <row r="1107" spans="1:60" x14ac:dyDescent="0.4">
      <c r="A1107" s="115"/>
      <c r="B1107" s="115"/>
      <c r="C1107" s="115"/>
      <c r="D1107" s="115"/>
      <c r="E1107" s="115"/>
      <c r="F1107" s="115"/>
      <c r="G1107" s="115"/>
      <c r="H1107" s="115"/>
      <c r="I1107" s="115"/>
      <c r="J1107" s="115"/>
      <c r="K1107" s="115"/>
      <c r="L1107" s="115"/>
      <c r="M1107" s="115"/>
      <c r="N1107" s="115"/>
      <c r="O1107" s="115"/>
      <c r="P1107" s="115"/>
      <c r="Q1107" s="115"/>
      <c r="R1107" s="115"/>
      <c r="S1107" s="115"/>
      <c r="T1107" s="115"/>
      <c r="U1107" s="115"/>
      <c r="V1107" s="115"/>
      <c r="W1107" s="115"/>
      <c r="X1107" s="115"/>
      <c r="Y1107" s="115"/>
      <c r="Z1107" s="115"/>
      <c r="AA1107" s="115"/>
      <c r="AB1107" s="115"/>
      <c r="AC1107" s="115"/>
      <c r="AD1107" s="115"/>
      <c r="AE1107" s="115"/>
      <c r="AF1107" s="115"/>
      <c r="AG1107" s="115"/>
      <c r="AH1107" s="115"/>
      <c r="AI1107" s="115"/>
      <c r="AJ1107" s="115"/>
      <c r="AK1107" s="115"/>
      <c r="AL1107" s="115"/>
      <c r="AM1107" s="122"/>
      <c r="AN1107" s="122"/>
      <c r="AO1107" s="122"/>
      <c r="AP1107" s="115"/>
      <c r="AQ1107" s="115"/>
      <c r="AR1107" s="115"/>
      <c r="AS1107" s="115"/>
      <c r="AT1107" s="115"/>
      <c r="AU1107" s="115"/>
      <c r="AV1107" s="115"/>
      <c r="AW1107" s="115"/>
      <c r="AX1107" s="115"/>
      <c r="AY1107" s="115"/>
      <c r="AZ1107" s="115"/>
      <c r="BA1107" s="115"/>
      <c r="BB1107" s="115"/>
      <c r="BC1107" s="115"/>
      <c r="BD1107" s="26"/>
      <c r="BE1107" s="13"/>
      <c r="BH1107" s="114"/>
    </row>
    <row r="1108" spans="1:60" x14ac:dyDescent="0.4">
      <c r="A1108" s="115"/>
      <c r="B1108" s="115"/>
      <c r="C1108" s="115"/>
      <c r="D1108" s="115"/>
      <c r="E1108" s="115"/>
      <c r="F1108" s="115"/>
      <c r="G1108" s="115"/>
      <c r="H1108" s="115"/>
      <c r="I1108" s="115"/>
      <c r="J1108" s="115"/>
      <c r="K1108" s="115"/>
      <c r="L1108" s="115"/>
      <c r="M1108" s="115"/>
      <c r="N1108" s="115"/>
      <c r="O1108" s="115"/>
      <c r="P1108" s="115"/>
      <c r="Q1108" s="115"/>
      <c r="R1108" s="115"/>
      <c r="S1108" s="115"/>
      <c r="T1108" s="115"/>
      <c r="U1108" s="115"/>
      <c r="V1108" s="115"/>
      <c r="W1108" s="115"/>
      <c r="X1108" s="115"/>
      <c r="Y1108" s="115"/>
      <c r="Z1108" s="115"/>
      <c r="AA1108" s="115"/>
      <c r="AB1108" s="115"/>
      <c r="AC1108" s="115"/>
      <c r="AD1108" s="115"/>
      <c r="AE1108" s="115"/>
      <c r="AF1108" s="115"/>
      <c r="AG1108" s="115"/>
      <c r="AH1108" s="115"/>
      <c r="AI1108" s="115"/>
      <c r="AJ1108" s="115"/>
      <c r="AK1108" s="115"/>
      <c r="AL1108" s="115"/>
      <c r="AM1108" s="122"/>
      <c r="AN1108" s="122"/>
      <c r="AO1108" s="122"/>
      <c r="AP1108" s="115"/>
      <c r="AQ1108" s="115"/>
      <c r="AR1108" s="115"/>
      <c r="AS1108" s="115"/>
      <c r="AT1108" s="115"/>
      <c r="AU1108" s="115"/>
      <c r="AV1108" s="115"/>
      <c r="AW1108" s="115"/>
      <c r="AX1108" s="115"/>
      <c r="AY1108" s="115"/>
      <c r="AZ1108" s="115"/>
      <c r="BA1108" s="115"/>
      <c r="BB1108" s="115"/>
      <c r="BC1108" s="115"/>
      <c r="BD1108" s="26"/>
      <c r="BE1108" s="13"/>
      <c r="BH1108" s="114"/>
    </row>
    <row r="1109" spans="1:60" x14ac:dyDescent="0.4">
      <c r="A1109" s="115"/>
      <c r="B1109" s="115"/>
      <c r="C1109" s="115"/>
      <c r="D1109" s="115"/>
      <c r="E1109" s="115"/>
      <c r="F1109" s="115"/>
      <c r="G1109" s="115"/>
      <c r="H1109" s="115"/>
      <c r="I1109" s="115"/>
      <c r="J1109" s="115"/>
      <c r="K1109" s="115"/>
      <c r="L1109" s="115"/>
      <c r="M1109" s="115"/>
      <c r="N1109" s="115"/>
      <c r="O1109" s="115"/>
      <c r="P1109" s="115"/>
      <c r="Q1109" s="115"/>
      <c r="R1109" s="115"/>
      <c r="S1109" s="115"/>
      <c r="T1109" s="115"/>
      <c r="U1109" s="115"/>
      <c r="V1109" s="115"/>
      <c r="W1109" s="115"/>
      <c r="X1109" s="115"/>
      <c r="Y1109" s="115"/>
      <c r="Z1109" s="115"/>
      <c r="AA1109" s="115"/>
      <c r="AB1109" s="115"/>
      <c r="AC1109" s="115"/>
      <c r="AD1109" s="115"/>
      <c r="AE1109" s="115"/>
      <c r="AF1109" s="115"/>
      <c r="AG1109" s="115"/>
      <c r="AH1109" s="115"/>
      <c r="AI1109" s="115"/>
      <c r="AJ1109" s="115"/>
      <c r="AK1109" s="115"/>
      <c r="AL1109" s="115"/>
      <c r="AM1109" s="122"/>
      <c r="AN1109" s="122"/>
      <c r="AO1109" s="122"/>
      <c r="AP1109" s="115"/>
      <c r="AQ1109" s="115"/>
      <c r="AR1109" s="115"/>
      <c r="AS1109" s="115"/>
      <c r="AT1109" s="115"/>
      <c r="AU1109" s="115"/>
      <c r="AV1109" s="115"/>
      <c r="AW1109" s="115"/>
      <c r="AX1109" s="115"/>
      <c r="AY1109" s="115"/>
      <c r="AZ1109" s="115"/>
      <c r="BA1109" s="115"/>
      <c r="BB1109" s="115"/>
      <c r="BC1109" s="115"/>
      <c r="BD1109" s="26"/>
      <c r="BE1109" s="13"/>
      <c r="BH1109" s="114"/>
    </row>
    <row r="1110" spans="1:60" x14ac:dyDescent="0.4">
      <c r="A1110" s="115"/>
      <c r="B1110" s="115"/>
      <c r="C1110" s="115"/>
      <c r="D1110" s="115"/>
      <c r="E1110" s="115"/>
      <c r="F1110" s="115"/>
      <c r="G1110" s="115"/>
      <c r="H1110" s="115"/>
      <c r="I1110" s="115"/>
      <c r="J1110" s="115"/>
      <c r="K1110" s="115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  <c r="AA1110" s="115"/>
      <c r="AB1110" s="115"/>
      <c r="AC1110" s="115"/>
      <c r="AD1110" s="115"/>
      <c r="AE1110" s="115"/>
      <c r="AF1110" s="115"/>
      <c r="AG1110" s="115"/>
      <c r="AH1110" s="115"/>
      <c r="AI1110" s="115"/>
      <c r="AJ1110" s="115"/>
      <c r="AK1110" s="115"/>
      <c r="AL1110" s="115"/>
      <c r="AM1110" s="122"/>
      <c r="AN1110" s="122"/>
      <c r="AO1110" s="122"/>
      <c r="AP1110" s="115"/>
      <c r="AQ1110" s="115"/>
      <c r="AR1110" s="115"/>
      <c r="AS1110" s="115"/>
      <c r="AT1110" s="115"/>
      <c r="AU1110" s="115"/>
      <c r="AV1110" s="115"/>
      <c r="AW1110" s="115"/>
      <c r="AX1110" s="115"/>
      <c r="AY1110" s="115"/>
      <c r="AZ1110" s="115"/>
      <c r="BA1110" s="115"/>
      <c r="BB1110" s="115"/>
      <c r="BC1110" s="115"/>
      <c r="BD1110" s="26"/>
      <c r="BE1110" s="13"/>
      <c r="BH1110" s="114"/>
    </row>
    <row r="1111" spans="1:60" x14ac:dyDescent="0.4">
      <c r="A1111" s="115"/>
      <c r="B1111" s="115"/>
      <c r="C1111" s="115"/>
      <c r="D1111" s="115"/>
      <c r="E1111" s="115"/>
      <c r="F1111" s="115"/>
      <c r="G1111" s="115"/>
      <c r="H1111" s="115"/>
      <c r="I1111" s="115"/>
      <c r="J1111" s="115"/>
      <c r="K1111" s="115"/>
      <c r="L1111" s="115"/>
      <c r="M1111" s="115"/>
      <c r="N1111" s="115"/>
      <c r="O1111" s="115"/>
      <c r="P1111" s="115"/>
      <c r="Q1111" s="115"/>
      <c r="R1111" s="115"/>
      <c r="S1111" s="115"/>
      <c r="T1111" s="115"/>
      <c r="U1111" s="115"/>
      <c r="V1111" s="115"/>
      <c r="W1111" s="115"/>
      <c r="X1111" s="115"/>
      <c r="Y1111" s="115"/>
      <c r="Z1111" s="115"/>
      <c r="AA1111" s="115"/>
      <c r="AB1111" s="115"/>
      <c r="AC1111" s="115"/>
      <c r="AD1111" s="115"/>
      <c r="AE1111" s="115"/>
      <c r="AF1111" s="115"/>
      <c r="AG1111" s="115"/>
      <c r="AH1111" s="115"/>
      <c r="AI1111" s="115"/>
      <c r="AJ1111" s="115"/>
      <c r="AK1111" s="115"/>
      <c r="AL1111" s="115"/>
      <c r="AM1111" s="122"/>
      <c r="AN1111" s="122"/>
      <c r="AO1111" s="122"/>
      <c r="AP1111" s="115"/>
      <c r="AQ1111" s="115"/>
      <c r="AR1111" s="115"/>
      <c r="AS1111" s="115"/>
      <c r="AT1111" s="115"/>
      <c r="AU1111" s="115"/>
      <c r="AV1111" s="115"/>
      <c r="AW1111" s="115"/>
      <c r="AX1111" s="115"/>
      <c r="AY1111" s="115"/>
      <c r="AZ1111" s="115"/>
      <c r="BA1111" s="115"/>
      <c r="BB1111" s="115"/>
      <c r="BC1111" s="115"/>
      <c r="BD1111" s="26"/>
      <c r="BE1111" s="13"/>
      <c r="BH1111" s="114"/>
    </row>
    <row r="1112" spans="1:60" x14ac:dyDescent="0.4">
      <c r="A1112" s="115"/>
      <c r="B1112" s="115"/>
      <c r="C1112" s="115"/>
      <c r="D1112" s="115"/>
      <c r="E1112" s="115"/>
      <c r="F1112" s="115"/>
      <c r="G1112" s="115"/>
      <c r="H1112" s="115"/>
      <c r="I1112" s="115"/>
      <c r="J1112" s="115"/>
      <c r="K1112" s="115"/>
      <c r="L1112" s="115"/>
      <c r="M1112" s="115"/>
      <c r="N1112" s="115"/>
      <c r="O1112" s="115"/>
      <c r="P1112" s="115"/>
      <c r="Q1112" s="115"/>
      <c r="R1112" s="115"/>
      <c r="S1112" s="115"/>
      <c r="T1112" s="115"/>
      <c r="U1112" s="115"/>
      <c r="V1112" s="115"/>
      <c r="W1112" s="115"/>
      <c r="X1112" s="115"/>
      <c r="Y1112" s="115"/>
      <c r="Z1112" s="115"/>
      <c r="AA1112" s="115"/>
      <c r="AB1112" s="115"/>
      <c r="AC1112" s="115"/>
      <c r="AD1112" s="115"/>
      <c r="AE1112" s="115"/>
      <c r="AF1112" s="115"/>
      <c r="AG1112" s="115"/>
      <c r="AH1112" s="115"/>
      <c r="AI1112" s="115"/>
      <c r="AJ1112" s="115"/>
      <c r="AK1112" s="115"/>
      <c r="AL1112" s="115"/>
      <c r="AM1112" s="122"/>
      <c r="AN1112" s="122"/>
      <c r="AO1112" s="122"/>
      <c r="AP1112" s="115"/>
      <c r="AQ1112" s="115"/>
      <c r="AR1112" s="115"/>
      <c r="AS1112" s="115"/>
      <c r="AT1112" s="115"/>
      <c r="AU1112" s="115"/>
      <c r="AV1112" s="115"/>
      <c r="AW1112" s="115"/>
      <c r="AX1112" s="115"/>
      <c r="AY1112" s="115"/>
      <c r="AZ1112" s="115"/>
      <c r="BA1112" s="115"/>
      <c r="BB1112" s="115"/>
      <c r="BC1112" s="115"/>
      <c r="BD1112" s="26"/>
      <c r="BE1112" s="13"/>
      <c r="BH1112" s="114"/>
    </row>
    <row r="1113" spans="1:60" x14ac:dyDescent="0.4">
      <c r="A1113" s="115"/>
      <c r="B1113" s="115"/>
      <c r="C1113" s="115"/>
      <c r="D1113" s="115"/>
      <c r="E1113" s="115"/>
      <c r="F1113" s="115"/>
      <c r="G1113" s="115"/>
      <c r="H1113" s="115"/>
      <c r="I1113" s="115"/>
      <c r="J1113" s="115"/>
      <c r="K1113" s="115"/>
      <c r="L1113" s="115"/>
      <c r="M1113" s="115"/>
      <c r="N1113" s="115"/>
      <c r="O1113" s="115"/>
      <c r="P1113" s="115"/>
      <c r="Q1113" s="115"/>
      <c r="R1113" s="115"/>
      <c r="S1113" s="115"/>
      <c r="T1113" s="115"/>
      <c r="U1113" s="115"/>
      <c r="V1113" s="115"/>
      <c r="W1113" s="115"/>
      <c r="X1113" s="115"/>
      <c r="Y1113" s="115"/>
      <c r="Z1113" s="115"/>
      <c r="AA1113" s="115"/>
      <c r="AB1113" s="115"/>
      <c r="AC1113" s="115"/>
      <c r="AD1113" s="115"/>
      <c r="AE1113" s="115"/>
      <c r="AF1113" s="115"/>
      <c r="AG1113" s="115"/>
      <c r="AH1113" s="115"/>
      <c r="AI1113" s="115"/>
      <c r="AJ1113" s="115"/>
      <c r="AK1113" s="115"/>
      <c r="AL1113" s="115"/>
      <c r="AM1113" s="122"/>
      <c r="AN1113" s="122"/>
      <c r="AO1113" s="122"/>
      <c r="AP1113" s="115"/>
      <c r="AQ1113" s="115"/>
      <c r="AR1113" s="115"/>
      <c r="AS1113" s="115"/>
      <c r="AT1113" s="115"/>
      <c r="AU1113" s="115"/>
      <c r="AV1113" s="115"/>
      <c r="AW1113" s="115"/>
      <c r="AX1113" s="115"/>
      <c r="AY1113" s="115"/>
      <c r="AZ1113" s="115"/>
      <c r="BA1113" s="115"/>
      <c r="BB1113" s="115"/>
      <c r="BC1113" s="115"/>
      <c r="BD1113" s="17"/>
      <c r="BE1113" s="13"/>
      <c r="BH1113" s="114"/>
    </row>
    <row r="1114" spans="1:60" x14ac:dyDescent="0.4">
      <c r="A1114" s="115"/>
      <c r="B1114" s="115"/>
      <c r="C1114" s="115"/>
      <c r="D1114" s="115"/>
      <c r="E1114" s="115"/>
      <c r="F1114" s="115"/>
      <c r="G1114" s="115"/>
      <c r="H1114" s="115"/>
      <c r="I1114" s="115"/>
      <c r="J1114" s="115"/>
      <c r="K1114" s="115"/>
      <c r="L1114" s="115"/>
      <c r="M1114" s="115"/>
      <c r="N1114" s="115"/>
      <c r="O1114" s="115"/>
      <c r="P1114" s="115"/>
      <c r="Q1114" s="115"/>
      <c r="R1114" s="115"/>
      <c r="S1114" s="115"/>
      <c r="T1114" s="115"/>
      <c r="U1114" s="115"/>
      <c r="V1114" s="115"/>
      <c r="W1114" s="115"/>
      <c r="X1114" s="115"/>
      <c r="Y1114" s="115"/>
      <c r="Z1114" s="115"/>
      <c r="AA1114" s="115"/>
      <c r="AB1114" s="115"/>
      <c r="AC1114" s="115"/>
      <c r="AD1114" s="115"/>
      <c r="AE1114" s="115"/>
      <c r="AF1114" s="115"/>
      <c r="AG1114" s="115"/>
      <c r="AH1114" s="115"/>
      <c r="AI1114" s="115"/>
      <c r="AJ1114" s="115"/>
      <c r="AK1114" s="115"/>
      <c r="AL1114" s="115"/>
      <c r="AM1114" s="122"/>
      <c r="AN1114" s="122"/>
      <c r="AO1114" s="122"/>
      <c r="AP1114" s="115"/>
      <c r="AQ1114" s="115"/>
      <c r="AR1114" s="115"/>
      <c r="AS1114" s="115"/>
      <c r="AT1114" s="115"/>
      <c r="AU1114" s="115"/>
      <c r="AV1114" s="115"/>
      <c r="AW1114" s="115"/>
      <c r="AX1114" s="115"/>
      <c r="AY1114" s="115"/>
      <c r="AZ1114" s="115"/>
      <c r="BA1114" s="115"/>
      <c r="BB1114" s="115"/>
      <c r="BC1114" s="115"/>
      <c r="BD1114" s="26"/>
      <c r="BE1114" s="13"/>
      <c r="BH1114" s="114"/>
    </row>
    <row r="1115" spans="1:60" x14ac:dyDescent="0.4">
      <c r="A1115" s="115"/>
      <c r="B1115" s="115"/>
      <c r="C1115" s="115"/>
      <c r="D1115" s="115"/>
      <c r="E1115" s="115"/>
      <c r="F1115" s="115"/>
      <c r="G1115" s="115"/>
      <c r="H1115" s="115"/>
      <c r="I1115" s="115"/>
      <c r="J1115" s="115"/>
      <c r="K1115" s="115"/>
      <c r="L1115" s="115"/>
      <c r="M1115" s="115"/>
      <c r="N1115" s="115"/>
      <c r="O1115" s="115"/>
      <c r="P1115" s="115"/>
      <c r="Q1115" s="115"/>
      <c r="R1115" s="115"/>
      <c r="S1115" s="115"/>
      <c r="T1115" s="115"/>
      <c r="U1115" s="115"/>
      <c r="V1115" s="115"/>
      <c r="W1115" s="115"/>
      <c r="X1115" s="115"/>
      <c r="Y1115" s="115"/>
      <c r="Z1115" s="115"/>
      <c r="AA1115" s="115"/>
      <c r="AB1115" s="115"/>
      <c r="AC1115" s="115"/>
      <c r="AD1115" s="115"/>
      <c r="AE1115" s="115"/>
      <c r="AF1115" s="115"/>
      <c r="AG1115" s="115"/>
      <c r="AH1115" s="115"/>
      <c r="AI1115" s="115"/>
      <c r="AJ1115" s="115"/>
      <c r="AK1115" s="115"/>
      <c r="AL1115" s="115"/>
      <c r="AM1115" s="122"/>
      <c r="AN1115" s="122"/>
      <c r="AO1115" s="122"/>
      <c r="AP1115" s="115"/>
      <c r="AQ1115" s="115"/>
      <c r="AR1115" s="115"/>
      <c r="AS1115" s="115"/>
      <c r="AT1115" s="115"/>
      <c r="AU1115" s="115"/>
      <c r="AV1115" s="115"/>
      <c r="AW1115" s="115"/>
      <c r="AX1115" s="115"/>
      <c r="AY1115" s="115"/>
      <c r="AZ1115" s="115"/>
      <c r="BA1115" s="115"/>
      <c r="BB1115" s="115"/>
      <c r="BC1115" s="115"/>
      <c r="BD1115" s="17"/>
      <c r="BE1115" s="13"/>
      <c r="BH1115" s="114"/>
    </row>
    <row r="1116" spans="1:60" x14ac:dyDescent="0.4">
      <c r="A1116" s="115"/>
      <c r="B1116" s="115"/>
      <c r="C1116" s="115"/>
      <c r="D1116" s="115"/>
      <c r="E1116" s="115"/>
      <c r="F1116" s="115"/>
      <c r="G1116" s="115"/>
      <c r="H1116" s="115"/>
      <c r="I1116" s="115"/>
      <c r="J1116" s="115"/>
      <c r="K1116" s="115"/>
      <c r="L1116" s="115"/>
      <c r="M1116" s="115"/>
      <c r="N1116" s="115"/>
      <c r="O1116" s="115"/>
      <c r="P1116" s="115"/>
      <c r="Q1116" s="115"/>
      <c r="R1116" s="115"/>
      <c r="S1116" s="115"/>
      <c r="T1116" s="115"/>
      <c r="U1116" s="115"/>
      <c r="V1116" s="115"/>
      <c r="W1116" s="115"/>
      <c r="X1116" s="115"/>
      <c r="Y1116" s="115"/>
      <c r="Z1116" s="115"/>
      <c r="AA1116" s="115"/>
      <c r="AB1116" s="115"/>
      <c r="AC1116" s="115"/>
      <c r="AD1116" s="115"/>
      <c r="AE1116" s="115"/>
      <c r="AF1116" s="115"/>
      <c r="AG1116" s="115"/>
      <c r="AH1116" s="115"/>
      <c r="AI1116" s="115"/>
      <c r="AJ1116" s="115"/>
      <c r="AK1116" s="115"/>
      <c r="AL1116" s="115"/>
      <c r="AM1116" s="122"/>
      <c r="AN1116" s="122"/>
      <c r="AO1116" s="122"/>
      <c r="AP1116" s="115"/>
      <c r="AQ1116" s="115"/>
      <c r="AR1116" s="115"/>
      <c r="AS1116" s="115"/>
      <c r="AT1116" s="115"/>
      <c r="AU1116" s="115"/>
      <c r="AV1116" s="115"/>
      <c r="AW1116" s="115"/>
      <c r="AX1116" s="115"/>
      <c r="AY1116" s="115"/>
      <c r="AZ1116" s="115"/>
      <c r="BA1116" s="115"/>
      <c r="BB1116" s="115"/>
      <c r="BC1116" s="115"/>
      <c r="BD1116" s="26"/>
      <c r="BE1116" s="13"/>
      <c r="BH1116" s="114"/>
    </row>
    <row r="1117" spans="1:60" x14ac:dyDescent="0.4">
      <c r="A1117" s="115"/>
      <c r="B1117" s="115"/>
      <c r="C1117" s="115"/>
      <c r="D1117" s="115"/>
      <c r="E1117" s="115"/>
      <c r="F1117" s="115"/>
      <c r="G1117" s="115"/>
      <c r="H1117" s="115"/>
      <c r="I1117" s="115"/>
      <c r="J1117" s="115"/>
      <c r="K1117" s="115"/>
      <c r="L1117" s="115"/>
      <c r="M1117" s="115"/>
      <c r="N1117" s="115"/>
      <c r="O1117" s="115"/>
      <c r="P1117" s="115"/>
      <c r="Q1117" s="115"/>
      <c r="R1117" s="115"/>
      <c r="S1117" s="115"/>
      <c r="T1117" s="115"/>
      <c r="U1117" s="115"/>
      <c r="V1117" s="115"/>
      <c r="W1117" s="115"/>
      <c r="X1117" s="115"/>
      <c r="Y1117" s="115"/>
      <c r="Z1117" s="115"/>
      <c r="AA1117" s="115"/>
      <c r="AB1117" s="115"/>
      <c r="AC1117" s="115"/>
      <c r="AD1117" s="115"/>
      <c r="AE1117" s="115"/>
      <c r="AF1117" s="115"/>
      <c r="AG1117" s="115"/>
      <c r="AH1117" s="115"/>
      <c r="AI1117" s="115"/>
      <c r="AJ1117" s="115"/>
      <c r="AK1117" s="115"/>
      <c r="AL1117" s="115"/>
      <c r="AM1117" s="122"/>
      <c r="AN1117" s="122"/>
      <c r="AO1117" s="122"/>
      <c r="AP1117" s="115"/>
      <c r="AQ1117" s="115"/>
      <c r="AR1117" s="115"/>
      <c r="AS1117" s="115"/>
      <c r="AT1117" s="115"/>
      <c r="AU1117" s="115"/>
      <c r="AV1117" s="115"/>
      <c r="AW1117" s="115"/>
      <c r="AX1117" s="115"/>
      <c r="AY1117" s="115"/>
      <c r="AZ1117" s="115"/>
      <c r="BA1117" s="115"/>
      <c r="BB1117" s="115"/>
      <c r="BC1117" s="115"/>
      <c r="BD1117" s="26"/>
      <c r="BE1117" s="13"/>
      <c r="BH1117" s="114"/>
    </row>
    <row r="1118" spans="1:60" x14ac:dyDescent="0.4">
      <c r="A1118" s="115"/>
      <c r="B1118" s="115"/>
      <c r="C1118" s="115"/>
      <c r="D1118" s="115"/>
      <c r="E1118" s="115"/>
      <c r="F1118" s="115"/>
      <c r="G1118" s="115"/>
      <c r="H1118" s="115"/>
      <c r="I1118" s="115"/>
      <c r="J1118" s="115"/>
      <c r="K1118" s="115"/>
      <c r="L1118" s="115"/>
      <c r="M1118" s="115"/>
      <c r="N1118" s="115"/>
      <c r="O1118" s="115"/>
      <c r="P1118" s="115"/>
      <c r="Q1118" s="115"/>
      <c r="R1118" s="115"/>
      <c r="S1118" s="115"/>
      <c r="T1118" s="115"/>
      <c r="U1118" s="115"/>
      <c r="V1118" s="115"/>
      <c r="W1118" s="115"/>
      <c r="X1118" s="115"/>
      <c r="Y1118" s="115"/>
      <c r="Z1118" s="115"/>
      <c r="AA1118" s="115"/>
      <c r="AB1118" s="115"/>
      <c r="AC1118" s="115"/>
      <c r="AD1118" s="115"/>
      <c r="AE1118" s="115"/>
      <c r="AF1118" s="115"/>
      <c r="AG1118" s="115"/>
      <c r="AH1118" s="115"/>
      <c r="AI1118" s="115"/>
      <c r="AJ1118" s="115"/>
      <c r="AK1118" s="115"/>
      <c r="AL1118" s="115"/>
      <c r="AM1118" s="122"/>
      <c r="AN1118" s="122"/>
      <c r="AO1118" s="122"/>
      <c r="AP1118" s="115"/>
      <c r="AQ1118" s="115"/>
      <c r="AR1118" s="115"/>
      <c r="AS1118" s="115"/>
      <c r="AT1118" s="115"/>
      <c r="AU1118" s="115"/>
      <c r="AV1118" s="115"/>
      <c r="AW1118" s="115"/>
      <c r="AX1118" s="115"/>
      <c r="AY1118" s="115"/>
      <c r="AZ1118" s="115"/>
      <c r="BA1118" s="115"/>
      <c r="BB1118" s="115"/>
      <c r="BC1118" s="115"/>
      <c r="BD1118" s="26"/>
      <c r="BE1118" s="13"/>
      <c r="BH1118" s="114"/>
    </row>
    <row r="1119" spans="1:60" x14ac:dyDescent="0.4">
      <c r="A1119" s="115"/>
      <c r="B1119" s="115"/>
      <c r="C1119" s="115"/>
      <c r="D1119" s="115"/>
      <c r="E1119" s="115"/>
      <c r="F1119" s="115"/>
      <c r="G1119" s="115"/>
      <c r="H1119" s="115"/>
      <c r="I1119" s="115"/>
      <c r="J1119" s="115"/>
      <c r="K1119" s="115"/>
      <c r="L1119" s="115"/>
      <c r="M1119" s="115"/>
      <c r="N1119" s="115"/>
      <c r="O1119" s="115"/>
      <c r="P1119" s="115"/>
      <c r="Q1119" s="115"/>
      <c r="R1119" s="115"/>
      <c r="S1119" s="115"/>
      <c r="T1119" s="115"/>
      <c r="U1119" s="115"/>
      <c r="V1119" s="115"/>
      <c r="W1119" s="115"/>
      <c r="X1119" s="115"/>
      <c r="Y1119" s="115"/>
      <c r="Z1119" s="115"/>
      <c r="AA1119" s="115"/>
      <c r="AB1119" s="115"/>
      <c r="AC1119" s="115"/>
      <c r="AD1119" s="115"/>
      <c r="AE1119" s="115"/>
      <c r="AF1119" s="115"/>
      <c r="AG1119" s="115"/>
      <c r="AH1119" s="115"/>
      <c r="AI1119" s="115"/>
      <c r="AJ1119" s="115"/>
      <c r="AK1119" s="115"/>
      <c r="AL1119" s="115"/>
      <c r="AM1119" s="122"/>
      <c r="AN1119" s="122"/>
      <c r="AO1119" s="122"/>
      <c r="AP1119" s="115"/>
      <c r="AQ1119" s="115"/>
      <c r="AR1119" s="115"/>
      <c r="AS1119" s="115"/>
      <c r="AT1119" s="115"/>
      <c r="AU1119" s="115"/>
      <c r="AV1119" s="115"/>
      <c r="AW1119" s="115"/>
      <c r="AX1119" s="115"/>
      <c r="AY1119" s="115"/>
      <c r="AZ1119" s="115"/>
      <c r="BA1119" s="115"/>
      <c r="BB1119" s="115"/>
      <c r="BC1119" s="115"/>
      <c r="BD1119" s="26"/>
      <c r="BE1119" s="15"/>
      <c r="BH1119" s="114"/>
    </row>
    <row r="1120" spans="1:60" x14ac:dyDescent="0.4">
      <c r="A1120" s="115"/>
      <c r="B1120" s="115"/>
      <c r="C1120" s="115"/>
      <c r="D1120" s="115"/>
      <c r="E1120" s="115"/>
      <c r="F1120" s="115"/>
      <c r="G1120" s="115"/>
      <c r="H1120" s="115"/>
      <c r="I1120" s="115"/>
      <c r="J1120" s="115"/>
      <c r="K1120" s="115"/>
      <c r="L1120" s="115"/>
      <c r="M1120" s="115"/>
      <c r="N1120" s="115"/>
      <c r="O1120" s="115"/>
      <c r="P1120" s="115"/>
      <c r="Q1120" s="115"/>
      <c r="R1120" s="115"/>
      <c r="S1120" s="115"/>
      <c r="T1120" s="115"/>
      <c r="U1120" s="115"/>
      <c r="V1120" s="115"/>
      <c r="W1120" s="115"/>
      <c r="X1120" s="115"/>
      <c r="Y1120" s="115"/>
      <c r="Z1120" s="115"/>
      <c r="AA1120" s="115"/>
      <c r="AB1120" s="115"/>
      <c r="AC1120" s="115"/>
      <c r="AD1120" s="115"/>
      <c r="AE1120" s="115"/>
      <c r="AF1120" s="115"/>
      <c r="AG1120" s="115"/>
      <c r="AH1120" s="115"/>
      <c r="AI1120" s="115"/>
      <c r="AJ1120" s="115"/>
      <c r="AK1120" s="115"/>
      <c r="AL1120" s="115"/>
      <c r="AM1120" s="122"/>
      <c r="AN1120" s="122"/>
      <c r="AO1120" s="122"/>
      <c r="AP1120" s="115"/>
      <c r="AQ1120" s="115"/>
      <c r="AR1120" s="115"/>
      <c r="AS1120" s="115"/>
      <c r="AT1120" s="115"/>
      <c r="AU1120" s="115"/>
      <c r="AV1120" s="115"/>
      <c r="AW1120" s="115"/>
      <c r="AX1120" s="115"/>
      <c r="AY1120" s="115"/>
      <c r="AZ1120" s="115"/>
      <c r="BA1120" s="115"/>
      <c r="BB1120" s="115"/>
      <c r="BC1120" s="115"/>
      <c r="BD1120" s="26"/>
      <c r="BE1120" s="15"/>
      <c r="BH1120" s="114"/>
    </row>
    <row r="1121" spans="1:61" x14ac:dyDescent="0.4">
      <c r="A1121" s="115"/>
      <c r="B1121" s="115"/>
      <c r="C1121" s="115"/>
      <c r="D1121" s="115"/>
      <c r="E1121" s="115"/>
      <c r="F1121" s="115"/>
      <c r="G1121" s="115"/>
      <c r="H1121" s="115"/>
      <c r="I1121" s="115"/>
      <c r="J1121" s="115"/>
      <c r="K1121" s="115"/>
      <c r="L1121" s="115"/>
      <c r="M1121" s="115"/>
      <c r="N1121" s="115"/>
      <c r="O1121" s="115"/>
      <c r="P1121" s="115"/>
      <c r="Q1121" s="115"/>
      <c r="R1121" s="115"/>
      <c r="S1121" s="115"/>
      <c r="T1121" s="115"/>
      <c r="U1121" s="115"/>
      <c r="V1121" s="115"/>
      <c r="W1121" s="115"/>
      <c r="X1121" s="115"/>
      <c r="Y1121" s="115"/>
      <c r="Z1121" s="115"/>
      <c r="AA1121" s="115"/>
      <c r="AB1121" s="115"/>
      <c r="AC1121" s="115"/>
      <c r="AD1121" s="115"/>
      <c r="AE1121" s="115"/>
      <c r="AF1121" s="115"/>
      <c r="AG1121" s="115"/>
      <c r="AH1121" s="115"/>
      <c r="AI1121" s="115"/>
      <c r="AJ1121" s="115"/>
      <c r="AK1121" s="115"/>
      <c r="AL1121" s="115"/>
      <c r="AM1121" s="122"/>
      <c r="AN1121" s="122"/>
      <c r="AO1121" s="122"/>
      <c r="AP1121" s="115"/>
      <c r="AQ1121" s="115"/>
      <c r="AR1121" s="115"/>
      <c r="AS1121" s="115"/>
      <c r="AT1121" s="115"/>
      <c r="AU1121" s="115"/>
      <c r="AV1121" s="115"/>
      <c r="AW1121" s="115"/>
      <c r="AX1121" s="115"/>
      <c r="AY1121" s="115"/>
      <c r="AZ1121" s="115"/>
      <c r="BA1121" s="115"/>
      <c r="BB1121" s="115"/>
      <c r="BC1121" s="115"/>
      <c r="BD1121" s="26"/>
      <c r="BE1121" s="15"/>
      <c r="BH1121" s="114"/>
    </row>
    <row r="1122" spans="1:61" x14ac:dyDescent="0.4">
      <c r="A1122" s="115"/>
      <c r="B1122" s="115"/>
      <c r="C1122" s="115"/>
      <c r="D1122" s="115"/>
      <c r="E1122" s="115"/>
      <c r="F1122" s="115"/>
      <c r="G1122" s="115"/>
      <c r="H1122" s="115"/>
      <c r="I1122" s="115"/>
      <c r="J1122" s="115"/>
      <c r="K1122" s="115"/>
      <c r="L1122" s="115"/>
      <c r="M1122" s="115"/>
      <c r="N1122" s="115"/>
      <c r="O1122" s="115"/>
      <c r="P1122" s="115"/>
      <c r="Q1122" s="115"/>
      <c r="R1122" s="115"/>
      <c r="S1122" s="115"/>
      <c r="T1122" s="115"/>
      <c r="U1122" s="115"/>
      <c r="V1122" s="115"/>
      <c r="W1122" s="115"/>
      <c r="X1122" s="115"/>
      <c r="Y1122" s="115"/>
      <c r="Z1122" s="115"/>
      <c r="AA1122" s="115"/>
      <c r="AB1122" s="115"/>
      <c r="AC1122" s="115"/>
      <c r="AD1122" s="115"/>
      <c r="AE1122" s="115"/>
      <c r="AF1122" s="115"/>
      <c r="AG1122" s="115"/>
      <c r="AH1122" s="115"/>
      <c r="AI1122" s="115"/>
      <c r="AJ1122" s="115"/>
      <c r="AK1122" s="115"/>
      <c r="AL1122" s="115"/>
      <c r="AM1122" s="122"/>
      <c r="AN1122" s="122"/>
      <c r="AO1122" s="122"/>
      <c r="AP1122" s="115"/>
      <c r="AQ1122" s="115"/>
      <c r="AR1122" s="115"/>
      <c r="AS1122" s="115"/>
      <c r="AT1122" s="115"/>
      <c r="AU1122" s="115"/>
      <c r="AV1122" s="115"/>
      <c r="AW1122" s="115"/>
      <c r="AX1122" s="115"/>
      <c r="AY1122" s="115"/>
      <c r="AZ1122" s="115"/>
      <c r="BA1122" s="115"/>
      <c r="BB1122" s="115"/>
      <c r="BC1122" s="115"/>
      <c r="BD1122" s="26"/>
      <c r="BE1122" s="13"/>
      <c r="BH1122" s="114"/>
    </row>
    <row r="1123" spans="1:61" x14ac:dyDescent="0.4">
      <c r="A1123" s="115"/>
      <c r="B1123" s="115"/>
      <c r="C1123" s="115"/>
      <c r="D1123" s="115"/>
      <c r="E1123" s="115"/>
      <c r="F1123" s="115"/>
      <c r="G1123" s="115"/>
      <c r="H1123" s="115"/>
      <c r="I1123" s="115"/>
      <c r="J1123" s="115"/>
      <c r="K1123" s="115"/>
      <c r="L1123" s="115"/>
      <c r="M1123" s="115"/>
      <c r="N1123" s="115"/>
      <c r="O1123" s="115"/>
      <c r="P1123" s="115"/>
      <c r="Q1123" s="115"/>
      <c r="R1123" s="115"/>
      <c r="S1123" s="115"/>
      <c r="T1123" s="115"/>
      <c r="U1123" s="115"/>
      <c r="V1123" s="115"/>
      <c r="W1123" s="115"/>
      <c r="X1123" s="115"/>
      <c r="Y1123" s="115"/>
      <c r="Z1123" s="115"/>
      <c r="AA1123" s="115"/>
      <c r="AB1123" s="115"/>
      <c r="AC1123" s="115"/>
      <c r="AD1123" s="115"/>
      <c r="AE1123" s="115"/>
      <c r="AF1123" s="115"/>
      <c r="AG1123" s="115"/>
      <c r="AH1123" s="115"/>
      <c r="AI1123" s="115"/>
      <c r="AJ1123" s="115"/>
      <c r="AK1123" s="115"/>
      <c r="AL1123" s="115"/>
      <c r="AM1123" s="122"/>
      <c r="AN1123" s="122"/>
      <c r="AO1123" s="122"/>
      <c r="AP1123" s="115"/>
      <c r="AQ1123" s="115"/>
      <c r="AR1123" s="115"/>
      <c r="AS1123" s="115"/>
      <c r="AT1123" s="115"/>
      <c r="AU1123" s="115"/>
      <c r="AV1123" s="115"/>
      <c r="AW1123" s="115"/>
      <c r="AX1123" s="115"/>
      <c r="AY1123" s="115"/>
      <c r="AZ1123" s="115"/>
      <c r="BA1123" s="115"/>
      <c r="BB1123" s="115"/>
      <c r="BC1123" s="115"/>
      <c r="BD1123" s="26"/>
      <c r="BE1123" s="15"/>
      <c r="BH1123" s="114"/>
    </row>
    <row r="1124" spans="1:61" x14ac:dyDescent="0.4">
      <c r="A1124" s="115"/>
      <c r="B1124" s="115"/>
      <c r="C1124" s="115"/>
      <c r="D1124" s="115"/>
      <c r="E1124" s="115"/>
      <c r="F1124" s="115"/>
      <c r="G1124" s="115"/>
      <c r="H1124" s="115"/>
      <c r="I1124" s="115"/>
      <c r="J1124" s="115"/>
      <c r="K1124" s="115"/>
      <c r="L1124" s="115"/>
      <c r="M1124" s="115"/>
      <c r="N1124" s="115"/>
      <c r="O1124" s="115"/>
      <c r="P1124" s="115"/>
      <c r="Q1124" s="115"/>
      <c r="R1124" s="115"/>
      <c r="S1124" s="115"/>
      <c r="T1124" s="115"/>
      <c r="U1124" s="115"/>
      <c r="V1124" s="115"/>
      <c r="W1124" s="115"/>
      <c r="X1124" s="115"/>
      <c r="Y1124" s="115"/>
      <c r="Z1124" s="115"/>
      <c r="AA1124" s="115"/>
      <c r="AB1124" s="115"/>
      <c r="AC1124" s="115"/>
      <c r="AD1124" s="115"/>
      <c r="AE1124" s="115"/>
      <c r="AF1124" s="115"/>
      <c r="AG1124" s="115"/>
      <c r="AH1124" s="115"/>
      <c r="AI1124" s="115"/>
      <c r="AJ1124" s="115"/>
      <c r="AK1124" s="115"/>
      <c r="AL1124" s="115"/>
      <c r="AM1124" s="122"/>
      <c r="AN1124" s="122"/>
      <c r="AO1124" s="122"/>
      <c r="AP1124" s="115"/>
      <c r="AQ1124" s="115"/>
      <c r="AR1124" s="115"/>
      <c r="AS1124" s="115"/>
      <c r="AT1124" s="115"/>
      <c r="AU1124" s="115"/>
      <c r="AV1124" s="115"/>
      <c r="AW1124" s="115"/>
      <c r="AX1124" s="115"/>
      <c r="AY1124" s="115"/>
      <c r="AZ1124" s="115"/>
      <c r="BA1124" s="115"/>
      <c r="BB1124" s="115"/>
      <c r="BC1124" s="115"/>
      <c r="BD1124" s="26"/>
      <c r="BE1124" s="15"/>
      <c r="BH1124" s="114"/>
      <c r="BI1124" s="120"/>
    </row>
    <row r="1125" spans="1:61" x14ac:dyDescent="0.4">
      <c r="A1125" s="115"/>
      <c r="B1125" s="115"/>
      <c r="C1125" s="115"/>
      <c r="D1125" s="115"/>
      <c r="E1125" s="115"/>
      <c r="F1125" s="115"/>
      <c r="G1125" s="115"/>
      <c r="H1125" s="115"/>
      <c r="I1125" s="115"/>
      <c r="J1125" s="115"/>
      <c r="K1125" s="115"/>
      <c r="L1125" s="115"/>
      <c r="M1125" s="115"/>
      <c r="N1125" s="115"/>
      <c r="O1125" s="115"/>
      <c r="P1125" s="115"/>
      <c r="Q1125" s="115"/>
      <c r="R1125" s="115"/>
      <c r="S1125" s="115"/>
      <c r="T1125" s="115"/>
      <c r="U1125" s="115"/>
      <c r="V1125" s="115"/>
      <c r="W1125" s="115"/>
      <c r="X1125" s="115"/>
      <c r="Y1125" s="115"/>
      <c r="Z1125" s="115"/>
      <c r="AA1125" s="115"/>
      <c r="AB1125" s="115"/>
      <c r="AC1125" s="115"/>
      <c r="AD1125" s="115"/>
      <c r="AE1125" s="115"/>
      <c r="AF1125" s="115"/>
      <c r="AG1125" s="115"/>
      <c r="AH1125" s="115"/>
      <c r="AI1125" s="115"/>
      <c r="AJ1125" s="115"/>
      <c r="AK1125" s="115"/>
      <c r="AL1125" s="115"/>
      <c r="AM1125" s="122"/>
      <c r="AN1125" s="122"/>
      <c r="AO1125" s="122"/>
      <c r="AP1125" s="115"/>
      <c r="AQ1125" s="115"/>
      <c r="AR1125" s="115"/>
      <c r="AS1125" s="115"/>
      <c r="AT1125" s="115"/>
      <c r="AU1125" s="115"/>
      <c r="AV1125" s="115"/>
      <c r="AW1125" s="115"/>
      <c r="AX1125" s="115"/>
      <c r="AY1125" s="115"/>
      <c r="AZ1125" s="115"/>
      <c r="BA1125" s="115"/>
      <c r="BB1125" s="115"/>
      <c r="BC1125" s="115"/>
      <c r="BD1125" s="26"/>
      <c r="BE1125" s="15"/>
      <c r="BH1125" s="114"/>
      <c r="BI1125" s="120"/>
    </row>
    <row r="1126" spans="1:61" x14ac:dyDescent="0.4">
      <c r="A1126" s="115"/>
      <c r="B1126" s="115"/>
      <c r="C1126" s="115"/>
      <c r="D1126" s="115"/>
      <c r="E1126" s="115"/>
      <c r="F1126" s="115"/>
      <c r="G1126" s="115"/>
      <c r="H1126" s="115"/>
      <c r="I1126" s="115"/>
      <c r="J1126" s="115"/>
      <c r="K1126" s="115"/>
      <c r="L1126" s="115"/>
      <c r="M1126" s="115"/>
      <c r="N1126" s="115"/>
      <c r="O1126" s="115"/>
      <c r="P1126" s="115"/>
      <c r="Q1126" s="115"/>
      <c r="R1126" s="115"/>
      <c r="S1126" s="115"/>
      <c r="T1126" s="115"/>
      <c r="U1126" s="115"/>
      <c r="V1126" s="115"/>
      <c r="W1126" s="115"/>
      <c r="X1126" s="115"/>
      <c r="Y1126" s="115"/>
      <c r="Z1126" s="115"/>
      <c r="AA1126" s="115"/>
      <c r="AB1126" s="115"/>
      <c r="AC1126" s="115"/>
      <c r="AD1126" s="115"/>
      <c r="AE1126" s="115"/>
      <c r="AF1126" s="115"/>
      <c r="AG1126" s="115"/>
      <c r="AH1126" s="115"/>
      <c r="AI1126" s="115"/>
      <c r="AJ1126" s="115"/>
      <c r="AK1126" s="115"/>
      <c r="AL1126" s="115"/>
      <c r="AM1126" s="122"/>
      <c r="AN1126" s="122"/>
      <c r="AO1126" s="122"/>
      <c r="AP1126" s="115"/>
      <c r="AQ1126" s="115"/>
      <c r="AR1126" s="115"/>
      <c r="AS1126" s="115"/>
      <c r="AT1126" s="115"/>
      <c r="AU1126" s="115"/>
      <c r="AV1126" s="115"/>
      <c r="AW1126" s="115"/>
      <c r="AX1126" s="115"/>
      <c r="AY1126" s="115"/>
      <c r="AZ1126" s="115"/>
      <c r="BA1126" s="115"/>
      <c r="BB1126" s="115"/>
      <c r="BC1126" s="115"/>
      <c r="BD1126" s="26"/>
      <c r="BE1126" s="15"/>
      <c r="BH1126" s="114"/>
      <c r="BI1126" s="120"/>
    </row>
    <row r="1127" spans="1:61" x14ac:dyDescent="0.4">
      <c r="A1127" s="115"/>
      <c r="B1127" s="115"/>
      <c r="C1127" s="115"/>
      <c r="D1127" s="115"/>
      <c r="E1127" s="115"/>
      <c r="F1127" s="115"/>
      <c r="G1127" s="115"/>
      <c r="H1127" s="115"/>
      <c r="I1127" s="115"/>
      <c r="J1127" s="115"/>
      <c r="K1127" s="115"/>
      <c r="L1127" s="115"/>
      <c r="M1127" s="115"/>
      <c r="N1127" s="115"/>
      <c r="O1127" s="115"/>
      <c r="P1127" s="115"/>
      <c r="Q1127" s="115"/>
      <c r="R1127" s="115"/>
      <c r="S1127" s="115"/>
      <c r="T1127" s="115"/>
      <c r="U1127" s="115"/>
      <c r="V1127" s="115"/>
      <c r="W1127" s="115"/>
      <c r="X1127" s="115"/>
      <c r="Y1127" s="115"/>
      <c r="Z1127" s="115"/>
      <c r="AA1127" s="115"/>
      <c r="AB1127" s="115"/>
      <c r="AC1127" s="115"/>
      <c r="AD1127" s="115"/>
      <c r="AE1127" s="115"/>
      <c r="AF1127" s="115"/>
      <c r="AG1127" s="115"/>
      <c r="AH1127" s="115"/>
      <c r="AI1127" s="115"/>
      <c r="AJ1127" s="115"/>
      <c r="AK1127" s="115"/>
      <c r="AL1127" s="115"/>
      <c r="AM1127" s="122"/>
      <c r="AN1127" s="122"/>
      <c r="AO1127" s="122"/>
      <c r="AP1127" s="115"/>
      <c r="AQ1127" s="115"/>
      <c r="AR1127" s="115"/>
      <c r="AS1127" s="115"/>
      <c r="AT1127" s="115"/>
      <c r="AU1127" s="115"/>
      <c r="AV1127" s="115"/>
      <c r="AW1127" s="115"/>
      <c r="AX1127" s="115"/>
      <c r="AY1127" s="115"/>
      <c r="AZ1127" s="115"/>
      <c r="BA1127" s="115"/>
      <c r="BB1127" s="115"/>
      <c r="BC1127" s="115"/>
      <c r="BD1127" s="26"/>
      <c r="BE1127" s="15"/>
      <c r="BH1127" s="114"/>
      <c r="BI1127" s="120"/>
    </row>
    <row r="1128" spans="1:61" x14ac:dyDescent="0.4">
      <c r="A1128" s="115"/>
      <c r="B1128" s="115"/>
      <c r="C1128" s="115"/>
      <c r="D1128" s="115"/>
      <c r="E1128" s="115"/>
      <c r="F1128" s="115"/>
      <c r="G1128" s="115"/>
      <c r="H1128" s="115"/>
      <c r="I1128" s="115"/>
      <c r="J1128" s="115"/>
      <c r="K1128" s="115"/>
      <c r="L1128" s="115"/>
      <c r="M1128" s="115"/>
      <c r="N1128" s="115"/>
      <c r="O1128" s="115"/>
      <c r="P1128" s="115"/>
      <c r="Q1128" s="115"/>
      <c r="R1128" s="115"/>
      <c r="S1128" s="115"/>
      <c r="T1128" s="115"/>
      <c r="U1128" s="115"/>
      <c r="V1128" s="115"/>
      <c r="W1128" s="115"/>
      <c r="X1128" s="115"/>
      <c r="Y1128" s="115"/>
      <c r="Z1128" s="115"/>
      <c r="AA1128" s="115"/>
      <c r="AB1128" s="115"/>
      <c r="AC1128" s="115"/>
      <c r="AD1128" s="115"/>
      <c r="AE1128" s="115"/>
      <c r="AF1128" s="115"/>
      <c r="AG1128" s="115"/>
      <c r="AH1128" s="115"/>
      <c r="AI1128" s="115"/>
      <c r="AJ1128" s="115"/>
      <c r="AK1128" s="115"/>
      <c r="AL1128" s="115"/>
      <c r="AM1128" s="122"/>
      <c r="AN1128" s="122"/>
      <c r="AO1128" s="122"/>
      <c r="AP1128" s="115"/>
      <c r="AQ1128" s="115"/>
      <c r="AR1128" s="115"/>
      <c r="AS1128" s="115"/>
      <c r="AT1128" s="115"/>
      <c r="AU1128" s="115"/>
      <c r="AV1128" s="115"/>
      <c r="AW1128" s="115"/>
      <c r="AX1128" s="115"/>
      <c r="AY1128" s="115"/>
      <c r="AZ1128" s="115"/>
      <c r="BA1128" s="115"/>
      <c r="BB1128" s="115"/>
      <c r="BC1128" s="115"/>
      <c r="BD1128" s="26"/>
      <c r="BE1128" s="15"/>
      <c r="BH1128" s="114"/>
      <c r="BI1128" s="120"/>
    </row>
    <row r="1129" spans="1:61" x14ac:dyDescent="0.4">
      <c r="A1129" s="115"/>
      <c r="B1129" s="115"/>
      <c r="C1129" s="115"/>
      <c r="D1129" s="115"/>
      <c r="E1129" s="115"/>
      <c r="F1129" s="115"/>
      <c r="G1129" s="115"/>
      <c r="H1129" s="115"/>
      <c r="I1129" s="115"/>
      <c r="J1129" s="115"/>
      <c r="K1129" s="115"/>
      <c r="L1129" s="115"/>
      <c r="M1129" s="115"/>
      <c r="N1129" s="115"/>
      <c r="O1129" s="115"/>
      <c r="P1129" s="115"/>
      <c r="Q1129" s="115"/>
      <c r="R1129" s="115"/>
      <c r="S1129" s="115"/>
      <c r="T1129" s="115"/>
      <c r="U1129" s="115"/>
      <c r="V1129" s="115"/>
      <c r="W1129" s="115"/>
      <c r="X1129" s="115"/>
      <c r="Y1129" s="115"/>
      <c r="Z1129" s="115"/>
      <c r="AA1129" s="115"/>
      <c r="AB1129" s="115"/>
      <c r="AC1129" s="115"/>
      <c r="AD1129" s="115"/>
      <c r="AE1129" s="115"/>
      <c r="AF1129" s="115"/>
      <c r="AG1129" s="115"/>
      <c r="AH1129" s="115"/>
      <c r="AI1129" s="115"/>
      <c r="AJ1129" s="115"/>
      <c r="AK1129" s="115"/>
      <c r="AL1129" s="115"/>
      <c r="AM1129" s="122"/>
      <c r="AN1129" s="122"/>
      <c r="AO1129" s="122"/>
      <c r="AP1129" s="115"/>
      <c r="AQ1129" s="115"/>
      <c r="AR1129" s="115"/>
      <c r="AS1129" s="115"/>
      <c r="AT1129" s="115"/>
      <c r="AU1129" s="115"/>
      <c r="AV1129" s="115"/>
      <c r="AW1129" s="115"/>
      <c r="AX1129" s="115"/>
      <c r="AY1129" s="115"/>
      <c r="AZ1129" s="115"/>
      <c r="BA1129" s="115"/>
      <c r="BB1129" s="115"/>
      <c r="BC1129" s="115"/>
      <c r="BD1129" s="26"/>
      <c r="BE1129" s="15"/>
      <c r="BH1129" s="114"/>
      <c r="BI1129" s="120"/>
    </row>
    <row r="1130" spans="1:61" x14ac:dyDescent="0.4">
      <c r="A1130" s="115"/>
      <c r="B1130" s="115"/>
      <c r="C1130" s="115"/>
      <c r="D1130" s="115"/>
      <c r="E1130" s="115"/>
      <c r="F1130" s="115"/>
      <c r="G1130" s="115"/>
      <c r="H1130" s="115"/>
      <c r="I1130" s="115"/>
      <c r="J1130" s="115"/>
      <c r="K1130" s="115"/>
      <c r="L1130" s="115"/>
      <c r="M1130" s="115"/>
      <c r="N1130" s="115"/>
      <c r="O1130" s="115"/>
      <c r="P1130" s="115"/>
      <c r="Q1130" s="115"/>
      <c r="R1130" s="115"/>
      <c r="S1130" s="115"/>
      <c r="T1130" s="115"/>
      <c r="U1130" s="115"/>
      <c r="V1130" s="115"/>
      <c r="W1130" s="115"/>
      <c r="X1130" s="115"/>
      <c r="Y1130" s="115"/>
      <c r="Z1130" s="115"/>
      <c r="AA1130" s="115"/>
      <c r="AB1130" s="115"/>
      <c r="AC1130" s="115"/>
      <c r="AD1130" s="115"/>
      <c r="AE1130" s="115"/>
      <c r="AF1130" s="115"/>
      <c r="AG1130" s="115"/>
      <c r="AH1130" s="115"/>
      <c r="AI1130" s="115"/>
      <c r="AJ1130" s="115"/>
      <c r="AK1130" s="115"/>
      <c r="AL1130" s="115"/>
      <c r="AM1130" s="122"/>
      <c r="AN1130" s="122"/>
      <c r="AO1130" s="122"/>
      <c r="AP1130" s="115"/>
      <c r="AQ1130" s="115"/>
      <c r="AR1130" s="115"/>
      <c r="AS1130" s="115"/>
      <c r="AT1130" s="115"/>
      <c r="AU1130" s="115"/>
      <c r="AV1130" s="115"/>
      <c r="AW1130" s="115"/>
      <c r="AX1130" s="115"/>
      <c r="AY1130" s="115"/>
      <c r="AZ1130" s="115"/>
      <c r="BA1130" s="115"/>
      <c r="BB1130" s="115"/>
      <c r="BC1130" s="115"/>
      <c r="BD1130" s="26"/>
      <c r="BE1130" s="15"/>
      <c r="BH1130" s="114"/>
      <c r="BI1130" s="120"/>
    </row>
    <row r="1131" spans="1:61" x14ac:dyDescent="0.4">
      <c r="A1131" s="115"/>
      <c r="B1131" s="115"/>
      <c r="C1131" s="115"/>
      <c r="D1131" s="115"/>
      <c r="E1131" s="115"/>
      <c r="F1131" s="115"/>
      <c r="G1131" s="115"/>
      <c r="H1131" s="115"/>
      <c r="I1131" s="115"/>
      <c r="J1131" s="115"/>
      <c r="K1131" s="115"/>
      <c r="L1131" s="115"/>
      <c r="M1131" s="115"/>
      <c r="N1131" s="115"/>
      <c r="O1131" s="115"/>
      <c r="P1131" s="115"/>
      <c r="Q1131" s="115"/>
      <c r="R1131" s="115"/>
      <c r="S1131" s="115"/>
      <c r="T1131" s="115"/>
      <c r="U1131" s="115"/>
      <c r="V1131" s="115"/>
      <c r="W1131" s="115"/>
      <c r="X1131" s="115"/>
      <c r="Y1131" s="115"/>
      <c r="Z1131" s="115"/>
      <c r="AA1131" s="115"/>
      <c r="AB1131" s="115"/>
      <c r="AC1131" s="115"/>
      <c r="AD1131" s="115"/>
      <c r="AE1131" s="115"/>
      <c r="AF1131" s="115"/>
      <c r="AG1131" s="115"/>
      <c r="AH1131" s="115"/>
      <c r="AI1131" s="115"/>
      <c r="AJ1131" s="115"/>
      <c r="AK1131" s="115"/>
      <c r="AL1131" s="115"/>
      <c r="AM1131" s="122"/>
      <c r="AN1131" s="122"/>
      <c r="AO1131" s="122"/>
      <c r="AP1131" s="115"/>
      <c r="AQ1131" s="115"/>
      <c r="AR1131" s="115"/>
      <c r="AS1131" s="115"/>
      <c r="AT1131" s="115"/>
      <c r="AU1131" s="115"/>
      <c r="AV1131" s="115"/>
      <c r="AW1131" s="115"/>
      <c r="AX1131" s="115"/>
      <c r="AY1131" s="115"/>
      <c r="AZ1131" s="115"/>
      <c r="BA1131" s="115"/>
      <c r="BB1131" s="115"/>
      <c r="BC1131" s="115"/>
      <c r="BD1131" s="17"/>
      <c r="BE1131" s="15"/>
      <c r="BH1131" s="114"/>
      <c r="BI1131" s="120"/>
    </row>
    <row r="1132" spans="1:61" x14ac:dyDescent="0.4">
      <c r="A1132" s="115"/>
      <c r="B1132" s="115"/>
      <c r="C1132" s="115"/>
      <c r="D1132" s="115"/>
      <c r="E1132" s="115"/>
      <c r="F1132" s="115"/>
      <c r="G1132" s="115"/>
      <c r="H1132" s="115"/>
      <c r="I1132" s="115"/>
      <c r="J1132" s="115"/>
      <c r="K1132" s="115"/>
      <c r="L1132" s="115"/>
      <c r="M1132" s="115"/>
      <c r="N1132" s="115"/>
      <c r="O1132" s="115"/>
      <c r="P1132" s="115"/>
      <c r="Q1132" s="115"/>
      <c r="R1132" s="115"/>
      <c r="S1132" s="115"/>
      <c r="T1132" s="115"/>
      <c r="U1132" s="115"/>
      <c r="V1132" s="115"/>
      <c r="W1132" s="115"/>
      <c r="X1132" s="115"/>
      <c r="Y1132" s="115"/>
      <c r="Z1132" s="115"/>
      <c r="AA1132" s="115"/>
      <c r="AB1132" s="115"/>
      <c r="AC1132" s="115"/>
      <c r="AD1132" s="115"/>
      <c r="AE1132" s="115"/>
      <c r="AF1132" s="115"/>
      <c r="AG1132" s="115"/>
      <c r="AH1132" s="115"/>
      <c r="AI1132" s="115"/>
      <c r="AJ1132" s="115"/>
      <c r="AK1132" s="115"/>
      <c r="AL1132" s="115"/>
      <c r="AM1132" s="122"/>
      <c r="AN1132" s="122"/>
      <c r="AO1132" s="122"/>
      <c r="AP1132" s="115"/>
      <c r="AQ1132" s="115"/>
      <c r="AR1132" s="115"/>
      <c r="AS1132" s="115"/>
      <c r="AT1132" s="115"/>
      <c r="AU1132" s="115"/>
      <c r="AV1132" s="115"/>
      <c r="AW1132" s="115"/>
      <c r="AX1132" s="115"/>
      <c r="AY1132" s="115"/>
      <c r="AZ1132" s="115"/>
      <c r="BA1132" s="115"/>
      <c r="BB1132" s="115"/>
      <c r="BC1132" s="115"/>
      <c r="BD1132" s="26"/>
      <c r="BE1132" s="15"/>
      <c r="BH1132" s="114"/>
      <c r="BI1132" s="120"/>
    </row>
    <row r="1133" spans="1:61" x14ac:dyDescent="0.4">
      <c r="A1133" s="115"/>
      <c r="B1133" s="115"/>
      <c r="C1133" s="115"/>
      <c r="D1133" s="115"/>
      <c r="E1133" s="115"/>
      <c r="F1133" s="115"/>
      <c r="G1133" s="115"/>
      <c r="H1133" s="115"/>
      <c r="I1133" s="115"/>
      <c r="J1133" s="115"/>
      <c r="K1133" s="115"/>
      <c r="L1133" s="115"/>
      <c r="M1133" s="115"/>
      <c r="N1133" s="115"/>
      <c r="O1133" s="115"/>
      <c r="P1133" s="115"/>
      <c r="Q1133" s="115"/>
      <c r="R1133" s="115"/>
      <c r="S1133" s="115"/>
      <c r="T1133" s="115"/>
      <c r="U1133" s="115"/>
      <c r="V1133" s="115"/>
      <c r="W1133" s="115"/>
      <c r="X1133" s="115"/>
      <c r="Y1133" s="115"/>
      <c r="Z1133" s="115"/>
      <c r="AA1133" s="115"/>
      <c r="AB1133" s="115"/>
      <c r="AC1133" s="115"/>
      <c r="AD1133" s="115"/>
      <c r="AE1133" s="115"/>
      <c r="AF1133" s="115"/>
      <c r="AG1133" s="115"/>
      <c r="AH1133" s="115"/>
      <c r="AI1133" s="115"/>
      <c r="AJ1133" s="115"/>
      <c r="AK1133" s="115"/>
      <c r="AL1133" s="115"/>
      <c r="AM1133" s="122"/>
      <c r="AN1133" s="122"/>
      <c r="AO1133" s="122"/>
      <c r="AP1133" s="115"/>
      <c r="AQ1133" s="115"/>
      <c r="AR1133" s="115"/>
      <c r="AS1133" s="115"/>
      <c r="AT1133" s="115"/>
      <c r="AU1133" s="115"/>
      <c r="AV1133" s="115"/>
      <c r="AW1133" s="115"/>
      <c r="AX1133" s="115"/>
      <c r="AY1133" s="115"/>
      <c r="AZ1133" s="115"/>
      <c r="BA1133" s="115"/>
      <c r="BB1133" s="115"/>
      <c r="BC1133" s="115"/>
      <c r="BD1133" s="26"/>
      <c r="BE1133" s="15"/>
      <c r="BH1133" s="114"/>
    </row>
    <row r="1134" spans="1:61" x14ac:dyDescent="0.4">
      <c r="BD1134" s="26"/>
      <c r="BE1134" s="15"/>
      <c r="BH1134" s="114"/>
    </row>
    <row r="1135" spans="1:61" x14ac:dyDescent="0.4">
      <c r="AQ1135" s="115"/>
      <c r="AR1135" s="115"/>
      <c r="AS1135" s="115"/>
      <c r="AT1135" s="115"/>
      <c r="AU1135" s="115"/>
      <c r="AV1135" s="115"/>
      <c r="AW1135" s="115"/>
      <c r="AX1135" s="115"/>
      <c r="AY1135" s="115"/>
      <c r="AZ1135" s="115"/>
      <c r="BA1135" s="115"/>
      <c r="BB1135" s="115"/>
      <c r="BC1135" s="115"/>
      <c r="BD1135" s="17"/>
      <c r="BE1135" s="15"/>
      <c r="BH1135" s="114"/>
    </row>
    <row r="1136" spans="1:61" x14ac:dyDescent="0.4">
      <c r="AQ1136" s="115"/>
      <c r="AR1136" s="115"/>
      <c r="AS1136" s="115"/>
      <c r="AT1136" s="115"/>
      <c r="AU1136" s="115"/>
      <c r="AV1136" s="115"/>
      <c r="AW1136" s="115"/>
      <c r="AX1136" s="115"/>
      <c r="AY1136" s="115"/>
      <c r="AZ1136" s="115"/>
      <c r="BA1136" s="115"/>
      <c r="BB1136" s="115"/>
      <c r="BC1136" s="115"/>
      <c r="BD1136" s="17"/>
      <c r="BE1136" s="15"/>
      <c r="BH1136" s="114"/>
    </row>
    <row r="1137" spans="4:64" x14ac:dyDescent="0.4">
      <c r="AO1137" s="122"/>
      <c r="AP1137" s="115"/>
      <c r="AQ1137" s="115"/>
      <c r="AR1137" s="115"/>
      <c r="AS1137" s="115"/>
      <c r="AT1137" s="115"/>
      <c r="AU1137" s="115"/>
      <c r="AV1137" s="115"/>
      <c r="AW1137" s="115"/>
      <c r="AX1137" s="115"/>
      <c r="AY1137" s="115"/>
      <c r="AZ1137" s="115"/>
      <c r="BA1137" s="115"/>
      <c r="BB1137" s="115"/>
      <c r="BC1137" s="115"/>
      <c r="BD1137" s="17"/>
      <c r="BE1137" s="15"/>
      <c r="BH1137" s="114"/>
    </row>
    <row r="1138" spans="4:64" x14ac:dyDescent="0.4">
      <c r="AJ1138" s="115"/>
      <c r="AK1138" s="115"/>
      <c r="AL1138" s="115"/>
      <c r="AM1138" s="122"/>
      <c r="AN1138" s="122"/>
      <c r="AO1138" s="122"/>
      <c r="AP1138" s="115"/>
      <c r="AQ1138" s="115"/>
      <c r="AR1138" s="115"/>
      <c r="AS1138" s="115"/>
      <c r="AT1138" s="115"/>
      <c r="AU1138" s="115"/>
      <c r="AV1138" s="115"/>
      <c r="AW1138" s="115"/>
      <c r="AX1138" s="115"/>
      <c r="AY1138" s="115"/>
      <c r="AZ1138" s="115"/>
      <c r="BA1138" s="115"/>
      <c r="BB1138" s="115"/>
      <c r="BC1138" s="115"/>
      <c r="BD1138" s="26"/>
      <c r="BE1138" s="15"/>
      <c r="BH1138" s="114"/>
    </row>
    <row r="1139" spans="4:64" x14ac:dyDescent="0.4">
      <c r="AJ1139" s="115"/>
      <c r="AK1139" s="115"/>
      <c r="AL1139" s="115"/>
      <c r="AM1139" s="122"/>
      <c r="AN1139" s="122"/>
      <c r="AO1139" s="122"/>
      <c r="AP1139" s="115"/>
      <c r="AQ1139" s="115"/>
      <c r="AR1139" s="115"/>
      <c r="AS1139" s="115"/>
      <c r="AT1139" s="115"/>
      <c r="AU1139" s="115"/>
      <c r="AV1139" s="115"/>
      <c r="AW1139" s="115"/>
      <c r="AX1139" s="115"/>
      <c r="AY1139" s="115"/>
      <c r="AZ1139" s="115"/>
      <c r="BA1139" s="115"/>
      <c r="BB1139" s="115"/>
      <c r="BC1139" s="115"/>
      <c r="BD1139" s="17"/>
      <c r="BE1139" s="15"/>
      <c r="BH1139" s="114"/>
    </row>
    <row r="1140" spans="4:64" x14ac:dyDescent="0.4">
      <c r="AI1140" s="115"/>
      <c r="AJ1140" s="115"/>
      <c r="AK1140" s="115"/>
      <c r="AL1140" s="115"/>
      <c r="AM1140" s="122"/>
      <c r="AN1140" s="122"/>
      <c r="AO1140" s="122"/>
      <c r="AP1140" s="115"/>
      <c r="AQ1140" s="115"/>
      <c r="AR1140" s="115"/>
      <c r="AS1140" s="115"/>
      <c r="AT1140" s="115"/>
      <c r="AU1140" s="115"/>
      <c r="AV1140" s="115"/>
      <c r="AW1140" s="115"/>
      <c r="AX1140" s="115"/>
      <c r="AY1140" s="115"/>
      <c r="AZ1140" s="115"/>
      <c r="BA1140" s="115"/>
      <c r="BB1140" s="115"/>
      <c r="BC1140" s="115"/>
      <c r="BD1140" s="26"/>
      <c r="BE1140" s="15"/>
      <c r="BH1140" s="114"/>
    </row>
    <row r="1141" spans="4:64" x14ac:dyDescent="0.4">
      <c r="AI1141" s="115"/>
      <c r="AJ1141" s="115"/>
      <c r="AK1141" s="115"/>
      <c r="AL1141" s="115"/>
      <c r="AM1141" s="122"/>
      <c r="AN1141" s="122"/>
      <c r="AO1141" s="122"/>
      <c r="AP1141" s="115"/>
      <c r="AQ1141" s="115"/>
      <c r="AR1141" s="115"/>
      <c r="AS1141" s="115"/>
      <c r="AT1141" s="115"/>
      <c r="AU1141" s="115"/>
      <c r="AV1141" s="115"/>
      <c r="AW1141" s="115"/>
      <c r="AX1141" s="115"/>
      <c r="AY1141" s="115"/>
      <c r="AZ1141" s="115"/>
      <c r="BA1141" s="115"/>
      <c r="BB1141" s="115"/>
      <c r="BC1141" s="115"/>
      <c r="BD1141" s="17"/>
      <c r="BE1141" s="15"/>
      <c r="BH1141" s="114"/>
    </row>
    <row r="1142" spans="4:64" x14ac:dyDescent="0.4">
      <c r="AI1142" s="115"/>
      <c r="AJ1142" s="115"/>
      <c r="AK1142" s="115"/>
      <c r="AL1142" s="115"/>
      <c r="AM1142" s="122"/>
      <c r="AN1142" s="122"/>
      <c r="AO1142" s="122"/>
      <c r="AP1142" s="115"/>
      <c r="AQ1142" s="115"/>
      <c r="AR1142" s="115"/>
      <c r="AS1142" s="115"/>
      <c r="AT1142" s="115"/>
      <c r="AU1142" s="115"/>
      <c r="AV1142" s="115"/>
      <c r="AW1142" s="115"/>
      <c r="AX1142" s="115"/>
      <c r="AY1142" s="115"/>
      <c r="AZ1142" s="115"/>
      <c r="BA1142" s="115"/>
      <c r="BB1142" s="115"/>
      <c r="BC1142" s="115"/>
      <c r="BD1142" s="17"/>
      <c r="BE1142" s="15"/>
      <c r="BH1142" s="114"/>
    </row>
    <row r="1143" spans="4:64" x14ac:dyDescent="0.4">
      <c r="AI1143" s="115"/>
      <c r="AJ1143" s="115"/>
      <c r="AK1143" s="115"/>
      <c r="AL1143" s="115"/>
      <c r="AM1143" s="122"/>
      <c r="AN1143" s="122"/>
      <c r="AO1143" s="122"/>
      <c r="AP1143" s="115"/>
      <c r="AQ1143" s="115"/>
      <c r="AR1143" s="115"/>
      <c r="AS1143" s="115"/>
      <c r="AT1143" s="115"/>
      <c r="AU1143" s="115"/>
      <c r="AV1143" s="115"/>
      <c r="AW1143" s="115"/>
      <c r="AX1143" s="115"/>
      <c r="AY1143" s="115"/>
      <c r="AZ1143" s="115"/>
      <c r="BA1143" s="115"/>
      <c r="BB1143" s="115"/>
      <c r="BC1143" s="115"/>
      <c r="BD1143" s="17"/>
      <c r="BE1143" s="15"/>
      <c r="BH1143" s="114"/>
    </row>
    <row r="1144" spans="4:64" x14ac:dyDescent="0.4">
      <c r="AI1144" s="115"/>
      <c r="AJ1144" s="115"/>
      <c r="AK1144" s="115"/>
      <c r="AL1144" s="115"/>
      <c r="AM1144" s="122"/>
      <c r="AN1144" s="122"/>
      <c r="AO1144" s="122"/>
      <c r="AP1144" s="115"/>
      <c r="AQ1144" s="115"/>
      <c r="AR1144" s="115"/>
      <c r="AS1144" s="115"/>
      <c r="AT1144" s="115"/>
      <c r="AU1144" s="115"/>
      <c r="AV1144" s="115"/>
      <c r="AW1144" s="115"/>
      <c r="AX1144" s="115"/>
      <c r="AY1144" s="115"/>
      <c r="AZ1144" s="115"/>
      <c r="BA1144" s="115"/>
      <c r="BB1144" s="115"/>
      <c r="BC1144" s="115"/>
      <c r="BD1144" s="26"/>
      <c r="BE1144" s="15"/>
      <c r="BH1144" s="114"/>
    </row>
    <row r="1145" spans="4:64" x14ac:dyDescent="0.4">
      <c r="AI1145" s="115"/>
      <c r="AJ1145" s="115"/>
      <c r="AK1145" s="115"/>
      <c r="AL1145" s="115"/>
      <c r="AM1145" s="122"/>
      <c r="AN1145" s="122"/>
      <c r="AO1145" s="122"/>
      <c r="AP1145" s="115"/>
      <c r="AQ1145" s="115"/>
      <c r="AR1145" s="115"/>
      <c r="AS1145" s="115"/>
      <c r="AT1145" s="115"/>
      <c r="AU1145" s="115"/>
      <c r="AV1145" s="115"/>
      <c r="AW1145" s="115"/>
      <c r="AX1145" s="115"/>
      <c r="AY1145" s="115"/>
      <c r="AZ1145" s="115"/>
      <c r="BA1145" s="115"/>
      <c r="BB1145" s="115"/>
      <c r="BC1145" s="115"/>
      <c r="BD1145" s="17"/>
      <c r="BE1145" s="15"/>
      <c r="BH1145" s="114"/>
    </row>
    <row r="1146" spans="4:64" ht="19.5" x14ac:dyDescent="0.4">
      <c r="BD1146" s="26"/>
      <c r="BE1146" s="15"/>
      <c r="BI1146" s="116"/>
      <c r="BJ1146" s="116"/>
      <c r="BK1146" s="116"/>
      <c r="BL1146" s="116"/>
    </row>
    <row r="1147" spans="4:64" ht="19.5" x14ac:dyDescent="0.4">
      <c r="AN1147" s="122"/>
      <c r="AO1147" s="122"/>
      <c r="AP1147" s="115"/>
      <c r="AQ1147" s="115"/>
      <c r="AR1147" s="115"/>
      <c r="AS1147" s="115"/>
      <c r="AT1147" s="115"/>
      <c r="AU1147" s="115"/>
      <c r="AV1147" s="115"/>
      <c r="AW1147" s="115"/>
      <c r="AX1147" s="115"/>
      <c r="AY1147" s="115"/>
      <c r="AZ1147" s="115"/>
      <c r="BA1147" s="115"/>
      <c r="BB1147" s="115"/>
      <c r="BC1147" s="115"/>
      <c r="BD1147" s="17"/>
      <c r="BE1147" s="15"/>
      <c r="BI1147" s="117"/>
      <c r="BJ1147" s="116"/>
      <c r="BK1147" s="116"/>
      <c r="BL1147" s="116"/>
    </row>
    <row r="1148" spans="4:64" ht="19.5" x14ac:dyDescent="0.4">
      <c r="AF1148" s="115"/>
      <c r="AG1148" s="115"/>
      <c r="AH1148" s="115"/>
      <c r="AI1148" s="115"/>
      <c r="AJ1148" s="115"/>
      <c r="AK1148" s="115"/>
      <c r="AL1148" s="115"/>
      <c r="AM1148" s="122"/>
      <c r="AN1148" s="122"/>
      <c r="AO1148" s="122"/>
      <c r="AP1148" s="115"/>
      <c r="AQ1148" s="115"/>
      <c r="AR1148" s="115"/>
      <c r="AS1148" s="115"/>
      <c r="AT1148" s="115"/>
      <c r="AU1148" s="115"/>
      <c r="AV1148" s="115"/>
      <c r="AW1148" s="115"/>
      <c r="AX1148" s="115"/>
      <c r="AY1148" s="115"/>
      <c r="AZ1148" s="115"/>
      <c r="BA1148" s="115"/>
      <c r="BB1148" s="115"/>
      <c r="BC1148" s="115"/>
      <c r="BD1148" s="26"/>
      <c r="BE1148" s="15"/>
      <c r="BI1148" s="117"/>
      <c r="BJ1148" s="116"/>
      <c r="BK1148" s="116"/>
      <c r="BL1148" s="116"/>
    </row>
    <row r="1149" spans="4:64" ht="19.5" x14ac:dyDescent="0.4">
      <c r="D1149" s="115"/>
      <c r="E1149" s="115"/>
      <c r="F1149" s="115"/>
      <c r="G1149" s="115"/>
      <c r="H1149" s="115"/>
      <c r="I1149" s="115"/>
      <c r="J1149" s="115"/>
      <c r="K1149" s="115"/>
      <c r="L1149" s="115"/>
      <c r="M1149" s="115"/>
      <c r="N1149" s="115"/>
      <c r="O1149" s="115"/>
      <c r="P1149" s="115"/>
      <c r="Q1149" s="115"/>
      <c r="R1149" s="115"/>
      <c r="S1149" s="115"/>
      <c r="T1149" s="115"/>
      <c r="U1149" s="115"/>
      <c r="V1149" s="115"/>
      <c r="W1149" s="115"/>
      <c r="X1149" s="115"/>
      <c r="Y1149" s="115"/>
      <c r="Z1149" s="115"/>
      <c r="AA1149" s="115"/>
      <c r="AB1149" s="115"/>
      <c r="AC1149" s="115"/>
      <c r="AD1149" s="115"/>
      <c r="AE1149" s="115"/>
      <c r="AF1149" s="115"/>
      <c r="AG1149" s="115"/>
      <c r="AH1149" s="115"/>
      <c r="AI1149" s="115"/>
      <c r="AJ1149" s="115"/>
      <c r="AK1149" s="115"/>
      <c r="AL1149" s="115"/>
      <c r="AM1149" s="122"/>
      <c r="AN1149" s="122"/>
      <c r="AO1149" s="122"/>
      <c r="AP1149" s="115"/>
      <c r="AQ1149" s="115"/>
      <c r="AR1149" s="115"/>
      <c r="AS1149" s="115"/>
      <c r="AT1149" s="115"/>
      <c r="AU1149" s="115"/>
      <c r="AV1149" s="115"/>
      <c r="AW1149" s="115"/>
      <c r="AX1149" s="115"/>
      <c r="AY1149" s="115"/>
      <c r="AZ1149" s="115"/>
      <c r="BA1149" s="115"/>
      <c r="BB1149" s="115"/>
      <c r="BC1149" s="115"/>
      <c r="BD1149" s="26"/>
      <c r="BE1149" s="13"/>
      <c r="BI1149" s="117"/>
      <c r="BJ1149" s="116"/>
      <c r="BK1149" s="116"/>
      <c r="BL1149" s="116"/>
    </row>
    <row r="1150" spans="4:64" ht="19.5" x14ac:dyDescent="0.4">
      <c r="D1150" s="115"/>
      <c r="E1150" s="115"/>
      <c r="F1150" s="115"/>
      <c r="G1150" s="115"/>
      <c r="H1150" s="115"/>
      <c r="I1150" s="115"/>
      <c r="J1150" s="115"/>
      <c r="K1150" s="115"/>
      <c r="L1150" s="115"/>
      <c r="M1150" s="115"/>
      <c r="N1150" s="115"/>
      <c r="O1150" s="115"/>
      <c r="P1150" s="115"/>
      <c r="Q1150" s="115"/>
      <c r="R1150" s="115"/>
      <c r="S1150" s="115"/>
      <c r="T1150" s="115"/>
      <c r="U1150" s="115"/>
      <c r="V1150" s="115"/>
      <c r="W1150" s="115"/>
      <c r="X1150" s="115"/>
      <c r="Y1150" s="115"/>
      <c r="Z1150" s="115"/>
      <c r="AA1150" s="115"/>
      <c r="AB1150" s="115"/>
      <c r="AC1150" s="115"/>
      <c r="AD1150" s="115"/>
      <c r="AE1150" s="115"/>
      <c r="AF1150" s="115"/>
      <c r="AG1150" s="115"/>
      <c r="AH1150" s="115"/>
      <c r="AI1150" s="115"/>
      <c r="AJ1150" s="115"/>
      <c r="AK1150" s="115"/>
      <c r="AL1150" s="115"/>
      <c r="AM1150" s="122"/>
      <c r="AN1150" s="122"/>
      <c r="AO1150" s="122"/>
      <c r="AP1150" s="115"/>
      <c r="AQ1150" s="115"/>
      <c r="AR1150" s="115"/>
      <c r="AS1150" s="115"/>
      <c r="AT1150" s="115"/>
      <c r="AU1150" s="115"/>
      <c r="AV1150" s="115"/>
      <c r="AW1150" s="115"/>
      <c r="AX1150" s="115"/>
      <c r="AY1150" s="115"/>
      <c r="AZ1150" s="115"/>
      <c r="BA1150" s="115"/>
      <c r="BB1150" s="115"/>
      <c r="BC1150" s="115"/>
      <c r="BD1150" s="26"/>
      <c r="BE1150" s="15"/>
      <c r="BI1150" s="117"/>
      <c r="BJ1150" s="116"/>
      <c r="BK1150" s="116"/>
      <c r="BL1150" s="116"/>
    </row>
    <row r="1151" spans="4:64" ht="19.5" x14ac:dyDescent="0.4">
      <c r="D1151" s="115"/>
      <c r="E1151" s="115"/>
      <c r="F1151" s="115"/>
      <c r="G1151" s="115"/>
      <c r="H1151" s="115"/>
      <c r="I1151" s="115"/>
      <c r="J1151" s="115"/>
      <c r="K1151" s="115"/>
      <c r="L1151" s="115"/>
      <c r="M1151" s="115"/>
      <c r="N1151" s="115"/>
      <c r="O1151" s="115"/>
      <c r="P1151" s="115"/>
      <c r="Q1151" s="115"/>
      <c r="R1151" s="115"/>
      <c r="S1151" s="115"/>
      <c r="T1151" s="115"/>
      <c r="U1151" s="115"/>
      <c r="V1151" s="115"/>
      <c r="W1151" s="115"/>
      <c r="X1151" s="115"/>
      <c r="Y1151" s="115"/>
      <c r="Z1151" s="115"/>
      <c r="AA1151" s="115"/>
      <c r="AB1151" s="115"/>
      <c r="AC1151" s="115"/>
      <c r="AD1151" s="115"/>
      <c r="AE1151" s="115"/>
      <c r="AF1151" s="115"/>
      <c r="AG1151" s="115"/>
      <c r="AH1151" s="115"/>
      <c r="AI1151" s="115"/>
      <c r="AJ1151" s="115"/>
      <c r="AK1151" s="115"/>
      <c r="AL1151" s="115"/>
      <c r="AM1151" s="122"/>
      <c r="AN1151" s="122"/>
      <c r="AO1151" s="122"/>
      <c r="AP1151" s="115"/>
      <c r="AQ1151" s="115"/>
      <c r="AR1151" s="115"/>
      <c r="AS1151" s="115"/>
      <c r="AT1151" s="115"/>
      <c r="AU1151" s="115"/>
      <c r="AV1151" s="115"/>
      <c r="AW1151" s="115"/>
      <c r="AX1151" s="115"/>
      <c r="AY1151" s="115"/>
      <c r="AZ1151" s="115"/>
      <c r="BA1151" s="115"/>
      <c r="BB1151" s="115"/>
      <c r="BC1151" s="115"/>
      <c r="BD1151" s="17"/>
      <c r="BE1151" s="15"/>
      <c r="BI1151" s="117"/>
      <c r="BJ1151" s="116"/>
      <c r="BK1151" s="116"/>
      <c r="BL1151" s="116"/>
    </row>
    <row r="1152" spans="4:64" ht="19.5" x14ac:dyDescent="0.4">
      <c r="D1152" s="115"/>
      <c r="E1152" s="115"/>
      <c r="F1152" s="115"/>
      <c r="G1152" s="115"/>
      <c r="H1152" s="115"/>
      <c r="I1152" s="115"/>
      <c r="J1152" s="115"/>
      <c r="K1152" s="115"/>
      <c r="L1152" s="115"/>
      <c r="M1152" s="115"/>
      <c r="N1152" s="115"/>
      <c r="O1152" s="115"/>
      <c r="P1152" s="115"/>
      <c r="Q1152" s="115"/>
      <c r="R1152" s="115"/>
      <c r="S1152" s="115"/>
      <c r="T1152" s="115"/>
      <c r="U1152" s="115"/>
      <c r="V1152" s="115"/>
      <c r="W1152" s="115"/>
      <c r="X1152" s="115"/>
      <c r="Y1152" s="115"/>
      <c r="Z1152" s="115"/>
      <c r="AA1152" s="115"/>
      <c r="AB1152" s="115"/>
      <c r="AC1152" s="115"/>
      <c r="AD1152" s="115"/>
      <c r="AE1152" s="115"/>
      <c r="AF1152" s="115"/>
      <c r="AG1152" s="115"/>
      <c r="AH1152" s="115"/>
      <c r="AI1152" s="115"/>
      <c r="AJ1152" s="115"/>
      <c r="AK1152" s="115"/>
      <c r="AL1152" s="115"/>
      <c r="AM1152" s="122"/>
      <c r="AN1152" s="122"/>
      <c r="AO1152" s="122"/>
      <c r="AP1152" s="115"/>
      <c r="AQ1152" s="115"/>
      <c r="AR1152" s="115"/>
      <c r="AS1152" s="115"/>
      <c r="AT1152" s="115"/>
      <c r="AU1152" s="115"/>
      <c r="AV1152" s="115"/>
      <c r="AW1152" s="115"/>
      <c r="AX1152" s="115"/>
      <c r="AY1152" s="115"/>
      <c r="AZ1152" s="115"/>
      <c r="BA1152" s="115"/>
      <c r="BB1152" s="115"/>
      <c r="BC1152" s="115"/>
      <c r="BD1152" s="26"/>
      <c r="BE1152" s="15"/>
      <c r="BI1152" s="117"/>
      <c r="BJ1152" s="116"/>
      <c r="BK1152" s="116"/>
      <c r="BL1152" s="116"/>
    </row>
    <row r="1153" spans="1:64" ht="19.5" x14ac:dyDescent="0.4">
      <c r="D1153" s="115"/>
      <c r="E1153" s="115"/>
      <c r="F1153" s="115"/>
      <c r="G1153" s="115"/>
      <c r="H1153" s="115"/>
      <c r="I1153" s="115"/>
      <c r="J1153" s="115"/>
      <c r="K1153" s="115"/>
      <c r="L1153" s="115"/>
      <c r="M1153" s="115"/>
      <c r="N1153" s="115"/>
      <c r="O1153" s="115"/>
      <c r="P1153" s="115"/>
      <c r="Q1153" s="115"/>
      <c r="R1153" s="115"/>
      <c r="S1153" s="115"/>
      <c r="T1153" s="115"/>
      <c r="U1153" s="115"/>
      <c r="V1153" s="115"/>
      <c r="W1153" s="115"/>
      <c r="X1153" s="115"/>
      <c r="Y1153" s="115"/>
      <c r="Z1153" s="115"/>
      <c r="AA1153" s="115"/>
      <c r="AB1153" s="115"/>
      <c r="AC1153" s="115"/>
      <c r="AD1153" s="115"/>
      <c r="AE1153" s="115"/>
      <c r="AF1153" s="115"/>
      <c r="AG1153" s="115"/>
      <c r="AH1153" s="115"/>
      <c r="AI1153" s="115"/>
      <c r="AJ1153" s="115"/>
      <c r="AK1153" s="115"/>
      <c r="AL1153" s="115"/>
      <c r="AM1153" s="122"/>
      <c r="AN1153" s="122"/>
      <c r="AO1153" s="122"/>
      <c r="AP1153" s="115"/>
      <c r="AQ1153" s="115"/>
      <c r="AR1153" s="115"/>
      <c r="AS1153" s="115"/>
      <c r="AT1153" s="115"/>
      <c r="AU1153" s="115"/>
      <c r="AV1153" s="115"/>
      <c r="AW1153" s="115"/>
      <c r="AX1153" s="115"/>
      <c r="AY1153" s="115"/>
      <c r="AZ1153" s="115"/>
      <c r="BA1153" s="115"/>
      <c r="BB1153" s="115"/>
      <c r="BC1153" s="115"/>
      <c r="BD1153" s="26"/>
      <c r="BE1153" s="15"/>
      <c r="BI1153" s="117"/>
      <c r="BJ1153" s="116"/>
      <c r="BK1153" s="116"/>
      <c r="BL1153" s="116"/>
    </row>
    <row r="1154" spans="1:64" ht="19.5" x14ac:dyDescent="0.4">
      <c r="D1154" s="115"/>
      <c r="E1154" s="115"/>
      <c r="F1154" s="115"/>
      <c r="G1154" s="115"/>
      <c r="H1154" s="115"/>
      <c r="I1154" s="115"/>
      <c r="J1154" s="115"/>
      <c r="K1154" s="115"/>
      <c r="L1154" s="115"/>
      <c r="M1154" s="115"/>
      <c r="N1154" s="115"/>
      <c r="O1154" s="115"/>
      <c r="P1154" s="115"/>
      <c r="Q1154" s="115"/>
      <c r="R1154" s="115"/>
      <c r="S1154" s="115"/>
      <c r="T1154" s="115"/>
      <c r="U1154" s="115"/>
      <c r="V1154" s="115"/>
      <c r="W1154" s="115"/>
      <c r="X1154" s="115"/>
      <c r="Y1154" s="115"/>
      <c r="Z1154" s="115"/>
      <c r="AA1154" s="115"/>
      <c r="AB1154" s="115"/>
      <c r="AC1154" s="115"/>
      <c r="AD1154" s="115"/>
      <c r="AE1154" s="115"/>
      <c r="AF1154" s="115"/>
      <c r="AG1154" s="115"/>
      <c r="AH1154" s="115"/>
      <c r="AI1154" s="115"/>
      <c r="AJ1154" s="115"/>
      <c r="AK1154" s="115"/>
      <c r="AL1154" s="115"/>
      <c r="AM1154" s="122"/>
      <c r="AN1154" s="122"/>
      <c r="AO1154" s="122"/>
      <c r="AP1154" s="115"/>
      <c r="AQ1154" s="115"/>
      <c r="AR1154" s="115"/>
      <c r="AS1154" s="115"/>
      <c r="AT1154" s="115"/>
      <c r="AU1154" s="115"/>
      <c r="AV1154" s="115"/>
      <c r="AW1154" s="115"/>
      <c r="AX1154" s="115"/>
      <c r="AY1154" s="115"/>
      <c r="AZ1154" s="115"/>
      <c r="BA1154" s="115"/>
      <c r="BB1154" s="115"/>
      <c r="BC1154" s="115"/>
      <c r="BD1154" s="17"/>
      <c r="BE1154" s="15"/>
      <c r="BI1154" s="117"/>
      <c r="BJ1154" s="116"/>
      <c r="BK1154" s="116"/>
      <c r="BL1154" s="116"/>
    </row>
    <row r="1155" spans="1:64" ht="19.5" x14ac:dyDescent="0.4">
      <c r="D1155" s="115"/>
      <c r="E1155" s="115"/>
      <c r="F1155" s="115"/>
      <c r="G1155" s="115"/>
      <c r="H1155" s="115"/>
      <c r="I1155" s="115"/>
      <c r="J1155" s="115"/>
      <c r="K1155" s="115"/>
      <c r="L1155" s="115"/>
      <c r="M1155" s="115"/>
      <c r="N1155" s="115"/>
      <c r="O1155" s="115"/>
      <c r="P1155" s="115"/>
      <c r="Q1155" s="115"/>
      <c r="R1155" s="115"/>
      <c r="S1155" s="115"/>
      <c r="T1155" s="115"/>
      <c r="U1155" s="115"/>
      <c r="V1155" s="115"/>
      <c r="W1155" s="115"/>
      <c r="X1155" s="115"/>
      <c r="Y1155" s="115"/>
      <c r="Z1155" s="115"/>
      <c r="AA1155" s="115"/>
      <c r="AB1155" s="115"/>
      <c r="AC1155" s="115"/>
      <c r="AD1155" s="115"/>
      <c r="AE1155" s="115"/>
      <c r="AF1155" s="115"/>
      <c r="AG1155" s="115"/>
      <c r="AH1155" s="115"/>
      <c r="AI1155" s="115"/>
      <c r="AJ1155" s="115"/>
      <c r="AK1155" s="115"/>
      <c r="AL1155" s="115"/>
      <c r="AM1155" s="122"/>
      <c r="AN1155" s="122"/>
      <c r="AO1155" s="122"/>
      <c r="AP1155" s="115"/>
      <c r="AQ1155" s="115"/>
      <c r="AR1155" s="115"/>
      <c r="AS1155" s="115"/>
      <c r="AT1155" s="115"/>
      <c r="AU1155" s="115"/>
      <c r="AV1155" s="115"/>
      <c r="AW1155" s="115"/>
      <c r="AX1155" s="115"/>
      <c r="AY1155" s="115"/>
      <c r="AZ1155" s="115"/>
      <c r="BA1155" s="115"/>
      <c r="BB1155" s="115"/>
      <c r="BC1155" s="115"/>
      <c r="BD1155" s="26"/>
      <c r="BE1155" s="15"/>
      <c r="BI1155" s="117"/>
      <c r="BJ1155" s="116"/>
      <c r="BK1155" s="116"/>
      <c r="BL1155" s="116"/>
    </row>
    <row r="1156" spans="1:64" ht="19.5" x14ac:dyDescent="0.4">
      <c r="BD1156" s="26"/>
      <c r="BE1156" s="15"/>
      <c r="BI1156" s="117"/>
      <c r="BJ1156" s="116"/>
      <c r="BK1156" s="116"/>
      <c r="BL1156" s="116"/>
    </row>
    <row r="1157" spans="1:64" ht="19.5" x14ac:dyDescent="0.4">
      <c r="AN1157" s="122"/>
      <c r="AO1157" s="122"/>
      <c r="AP1157" s="115"/>
      <c r="AQ1157" s="115"/>
      <c r="AR1157" s="115"/>
      <c r="AS1157" s="115"/>
      <c r="AT1157" s="115"/>
      <c r="AU1157" s="115"/>
      <c r="AV1157" s="115"/>
      <c r="AW1157" s="115"/>
      <c r="AX1157" s="115"/>
      <c r="AY1157" s="115"/>
      <c r="AZ1157" s="115"/>
      <c r="BA1157" s="115"/>
      <c r="BB1157" s="115"/>
      <c r="BC1157" s="115"/>
      <c r="BD1157" s="17"/>
      <c r="BE1157" s="15"/>
      <c r="BI1157" s="117"/>
      <c r="BJ1157" s="116"/>
      <c r="BK1157" s="116"/>
      <c r="BL1157" s="116"/>
    </row>
    <row r="1158" spans="1:64" ht="19.5" x14ac:dyDescent="0.4">
      <c r="AK1158" s="115"/>
      <c r="AL1158" s="115"/>
      <c r="AM1158" s="122"/>
      <c r="AN1158" s="122"/>
      <c r="AO1158" s="122"/>
      <c r="AP1158" s="115"/>
      <c r="AQ1158" s="115"/>
      <c r="AR1158" s="115"/>
      <c r="AS1158" s="115"/>
      <c r="AT1158" s="115"/>
      <c r="AU1158" s="115"/>
      <c r="AV1158" s="115"/>
      <c r="AW1158" s="115"/>
      <c r="AX1158" s="115"/>
      <c r="AY1158" s="115"/>
      <c r="AZ1158" s="115"/>
      <c r="BA1158" s="115"/>
      <c r="BB1158" s="115"/>
      <c r="BC1158" s="115"/>
      <c r="BD1158" s="26"/>
      <c r="BE1158" s="15"/>
      <c r="BI1158" s="117"/>
      <c r="BJ1158" s="116"/>
      <c r="BK1158" s="116"/>
      <c r="BL1158" s="116"/>
    </row>
    <row r="1159" spans="1:64" ht="19.5" x14ac:dyDescent="0.4">
      <c r="AK1159" s="115"/>
      <c r="AL1159" s="115"/>
      <c r="AM1159" s="122"/>
      <c r="AN1159" s="122"/>
      <c r="AO1159" s="122"/>
      <c r="AP1159" s="115"/>
      <c r="AQ1159" s="115"/>
      <c r="AR1159" s="115"/>
      <c r="AS1159" s="115"/>
      <c r="AT1159" s="115"/>
      <c r="AU1159" s="115"/>
      <c r="AV1159" s="115"/>
      <c r="AW1159" s="115"/>
      <c r="AX1159" s="115"/>
      <c r="AY1159" s="115"/>
      <c r="AZ1159" s="115"/>
      <c r="BA1159" s="115"/>
      <c r="BB1159" s="115"/>
      <c r="BC1159" s="115"/>
      <c r="BD1159" s="17"/>
      <c r="BE1159" s="15"/>
      <c r="BI1159" s="117"/>
      <c r="BJ1159" s="116"/>
      <c r="BK1159" s="116"/>
      <c r="BL1159" s="116"/>
    </row>
    <row r="1160" spans="1:64" ht="19.5" x14ac:dyDescent="0.4">
      <c r="AJ1160" s="115"/>
      <c r="AK1160" s="115"/>
      <c r="AL1160" s="115"/>
      <c r="AM1160" s="122"/>
      <c r="AN1160" s="122"/>
      <c r="AO1160" s="122"/>
      <c r="AP1160" s="115"/>
      <c r="AQ1160" s="115"/>
      <c r="AR1160" s="115"/>
      <c r="AS1160" s="115"/>
      <c r="AT1160" s="115"/>
      <c r="AU1160" s="115"/>
      <c r="AV1160" s="115"/>
      <c r="AW1160" s="115"/>
      <c r="AX1160" s="115"/>
      <c r="AY1160" s="115"/>
      <c r="AZ1160" s="115"/>
      <c r="BA1160" s="115"/>
      <c r="BB1160" s="115"/>
      <c r="BC1160" s="115"/>
      <c r="BD1160" s="26"/>
      <c r="BE1160" s="15"/>
      <c r="BI1160" s="117"/>
      <c r="BJ1160" s="116"/>
      <c r="BK1160" s="116"/>
      <c r="BL1160" s="116"/>
    </row>
    <row r="1161" spans="1:64" ht="19.5" x14ac:dyDescent="0.4">
      <c r="A1161" s="115"/>
      <c r="B1161" s="115"/>
      <c r="C1161" s="115"/>
      <c r="D1161" s="115"/>
      <c r="E1161" s="115"/>
      <c r="F1161" s="115"/>
      <c r="G1161" s="115"/>
      <c r="H1161" s="115"/>
      <c r="I1161" s="115"/>
      <c r="J1161" s="115"/>
      <c r="K1161" s="115"/>
      <c r="L1161" s="115"/>
      <c r="M1161" s="115"/>
      <c r="N1161" s="115"/>
      <c r="O1161" s="115"/>
      <c r="P1161" s="115"/>
      <c r="Q1161" s="115"/>
      <c r="R1161" s="115"/>
      <c r="S1161" s="115"/>
      <c r="T1161" s="115"/>
      <c r="U1161" s="115"/>
      <c r="V1161" s="115"/>
      <c r="W1161" s="115"/>
      <c r="X1161" s="115"/>
      <c r="Y1161" s="115"/>
      <c r="Z1161" s="115"/>
      <c r="AA1161" s="115"/>
      <c r="AB1161" s="115"/>
      <c r="AC1161" s="115"/>
      <c r="AD1161" s="115"/>
      <c r="AE1161" s="115"/>
      <c r="AF1161" s="115"/>
      <c r="AG1161" s="115"/>
      <c r="AH1161" s="115"/>
      <c r="AI1161" s="115"/>
      <c r="AJ1161" s="115"/>
      <c r="AK1161" s="115"/>
      <c r="AL1161" s="115"/>
      <c r="AM1161" s="122"/>
      <c r="AN1161" s="122"/>
      <c r="AO1161" s="122"/>
      <c r="AP1161" s="115"/>
      <c r="AQ1161" s="115"/>
      <c r="AR1161" s="115"/>
      <c r="AS1161" s="115"/>
      <c r="AT1161" s="115"/>
      <c r="AU1161" s="115"/>
      <c r="AV1161" s="115"/>
      <c r="AW1161" s="115"/>
      <c r="AX1161" s="115"/>
      <c r="AY1161" s="115"/>
      <c r="AZ1161" s="115"/>
      <c r="BA1161" s="115"/>
      <c r="BB1161" s="115"/>
      <c r="BC1161" s="115"/>
      <c r="BD1161" s="26"/>
      <c r="BE1161" s="15"/>
      <c r="BI1161" s="117"/>
      <c r="BJ1161" s="116"/>
      <c r="BK1161" s="116"/>
      <c r="BL1161" s="116"/>
    </row>
    <row r="1162" spans="1:64" ht="19.5" x14ac:dyDescent="0.4">
      <c r="A1162" s="115"/>
      <c r="B1162" s="115"/>
      <c r="C1162" s="115"/>
      <c r="D1162" s="115"/>
      <c r="E1162" s="115"/>
      <c r="F1162" s="115"/>
      <c r="G1162" s="115"/>
      <c r="H1162" s="115"/>
      <c r="I1162" s="115"/>
      <c r="J1162" s="115"/>
      <c r="K1162" s="115"/>
      <c r="L1162" s="115"/>
      <c r="M1162" s="115"/>
      <c r="N1162" s="115"/>
      <c r="O1162" s="115"/>
      <c r="P1162" s="115"/>
      <c r="Q1162" s="115"/>
      <c r="R1162" s="115"/>
      <c r="S1162" s="115"/>
      <c r="T1162" s="115"/>
      <c r="U1162" s="115"/>
      <c r="V1162" s="115"/>
      <c r="W1162" s="115"/>
      <c r="X1162" s="115"/>
      <c r="Y1162" s="115"/>
      <c r="Z1162" s="115"/>
      <c r="AA1162" s="115"/>
      <c r="AB1162" s="115"/>
      <c r="AC1162" s="115"/>
      <c r="AD1162" s="115"/>
      <c r="AE1162" s="115"/>
      <c r="AF1162" s="115"/>
      <c r="AG1162" s="115"/>
      <c r="AH1162" s="115"/>
      <c r="AI1162" s="115"/>
      <c r="AJ1162" s="115"/>
      <c r="AK1162" s="115"/>
      <c r="AL1162" s="115"/>
      <c r="AM1162" s="122"/>
      <c r="AN1162" s="122"/>
      <c r="AO1162" s="122"/>
      <c r="AP1162" s="115"/>
      <c r="AQ1162" s="115"/>
      <c r="AR1162" s="115"/>
      <c r="AS1162" s="115"/>
      <c r="AT1162" s="115"/>
      <c r="AU1162" s="115"/>
      <c r="AV1162" s="115"/>
      <c r="AW1162" s="115"/>
      <c r="AX1162" s="115"/>
      <c r="AY1162" s="115"/>
      <c r="AZ1162" s="115"/>
      <c r="BA1162" s="115"/>
      <c r="BB1162" s="115"/>
      <c r="BC1162" s="115"/>
      <c r="BD1162" s="26"/>
      <c r="BE1162" s="15"/>
      <c r="BI1162" s="117"/>
      <c r="BJ1162" s="116"/>
      <c r="BK1162" s="116"/>
      <c r="BL1162" s="116"/>
    </row>
    <row r="1163" spans="1:64" ht="19.5" x14ac:dyDescent="0.4">
      <c r="A1163" s="115"/>
      <c r="B1163" s="115"/>
      <c r="C1163" s="115"/>
      <c r="D1163" s="115"/>
      <c r="E1163" s="115"/>
      <c r="F1163" s="115"/>
      <c r="G1163" s="115"/>
      <c r="H1163" s="115"/>
      <c r="I1163" s="115"/>
      <c r="J1163" s="115"/>
      <c r="K1163" s="115"/>
      <c r="L1163" s="115"/>
      <c r="M1163" s="115"/>
      <c r="N1163" s="115"/>
      <c r="O1163" s="115"/>
      <c r="P1163" s="115"/>
      <c r="Q1163" s="115"/>
      <c r="R1163" s="115"/>
      <c r="S1163" s="115"/>
      <c r="T1163" s="115"/>
      <c r="U1163" s="115"/>
      <c r="V1163" s="115"/>
      <c r="W1163" s="115"/>
      <c r="X1163" s="115"/>
      <c r="Y1163" s="115"/>
      <c r="Z1163" s="115"/>
      <c r="AA1163" s="115"/>
      <c r="AB1163" s="115"/>
      <c r="AC1163" s="115"/>
      <c r="AD1163" s="115"/>
      <c r="AE1163" s="115"/>
      <c r="AF1163" s="115"/>
      <c r="AG1163" s="115"/>
      <c r="AH1163" s="115"/>
      <c r="AI1163" s="115"/>
      <c r="AJ1163" s="115"/>
      <c r="AK1163" s="115"/>
      <c r="AL1163" s="115"/>
      <c r="AM1163" s="122"/>
      <c r="AN1163" s="122"/>
      <c r="AO1163" s="122"/>
      <c r="AP1163" s="115"/>
      <c r="AQ1163" s="115"/>
      <c r="AR1163" s="115"/>
      <c r="AS1163" s="115"/>
      <c r="AT1163" s="115"/>
      <c r="AU1163" s="115"/>
      <c r="AV1163" s="115"/>
      <c r="AW1163" s="115"/>
      <c r="AX1163" s="115"/>
      <c r="AY1163" s="115"/>
      <c r="AZ1163" s="115"/>
      <c r="BA1163" s="115"/>
      <c r="BB1163" s="115"/>
      <c r="BC1163" s="115"/>
      <c r="BD1163" s="26"/>
      <c r="BE1163" s="15"/>
      <c r="BI1163" s="117"/>
      <c r="BJ1163" s="116"/>
      <c r="BK1163" s="116"/>
      <c r="BL1163" s="116"/>
    </row>
    <row r="1164" spans="1:64" ht="19.5" x14ac:dyDescent="0.4">
      <c r="A1164" s="115"/>
      <c r="B1164" s="115"/>
      <c r="C1164" s="115"/>
      <c r="D1164" s="115"/>
      <c r="E1164" s="115"/>
      <c r="F1164" s="115"/>
      <c r="G1164" s="115"/>
      <c r="H1164" s="115"/>
      <c r="I1164" s="115"/>
      <c r="J1164" s="115"/>
      <c r="K1164" s="115"/>
      <c r="L1164" s="115"/>
      <c r="M1164" s="115"/>
      <c r="N1164" s="115"/>
      <c r="O1164" s="115"/>
      <c r="P1164" s="115"/>
      <c r="Q1164" s="115"/>
      <c r="R1164" s="115"/>
      <c r="S1164" s="115"/>
      <c r="T1164" s="115"/>
      <c r="U1164" s="115"/>
      <c r="V1164" s="115"/>
      <c r="W1164" s="115"/>
      <c r="X1164" s="115"/>
      <c r="Y1164" s="115"/>
      <c r="Z1164" s="115"/>
      <c r="AA1164" s="115"/>
      <c r="AB1164" s="115"/>
      <c r="AC1164" s="115"/>
      <c r="AD1164" s="115"/>
      <c r="AE1164" s="115"/>
      <c r="AF1164" s="115"/>
      <c r="AG1164" s="115"/>
      <c r="AH1164" s="115"/>
      <c r="AI1164" s="115"/>
      <c r="AJ1164" s="115"/>
      <c r="AK1164" s="115"/>
      <c r="AL1164" s="115"/>
      <c r="AM1164" s="122"/>
      <c r="AN1164" s="122"/>
      <c r="AO1164" s="122"/>
      <c r="AP1164" s="115"/>
      <c r="AQ1164" s="115"/>
      <c r="AR1164" s="115"/>
      <c r="AS1164" s="115"/>
      <c r="AT1164" s="115"/>
      <c r="AU1164" s="115"/>
      <c r="AV1164" s="115"/>
      <c r="AW1164" s="115"/>
      <c r="AX1164" s="115"/>
      <c r="AY1164" s="115"/>
      <c r="AZ1164" s="115"/>
      <c r="BA1164" s="115"/>
      <c r="BB1164" s="115"/>
      <c r="BC1164" s="115"/>
      <c r="BD1164" s="26"/>
      <c r="BE1164" s="105"/>
      <c r="BI1164" s="117"/>
      <c r="BJ1164" s="116"/>
      <c r="BK1164" s="116"/>
      <c r="BL1164" s="116"/>
    </row>
    <row r="1165" spans="1:64" ht="19.5" x14ac:dyDescent="0.4">
      <c r="A1165" s="115"/>
      <c r="B1165" s="115"/>
      <c r="C1165" s="115"/>
      <c r="D1165" s="115"/>
      <c r="E1165" s="115"/>
      <c r="F1165" s="115"/>
      <c r="G1165" s="115"/>
      <c r="H1165" s="115"/>
      <c r="I1165" s="115"/>
      <c r="J1165" s="115"/>
      <c r="K1165" s="115"/>
      <c r="L1165" s="115"/>
      <c r="M1165" s="115"/>
      <c r="N1165" s="115"/>
      <c r="O1165" s="115"/>
      <c r="P1165" s="115"/>
      <c r="Q1165" s="115"/>
      <c r="R1165" s="115"/>
      <c r="S1165" s="115"/>
      <c r="T1165" s="115"/>
      <c r="U1165" s="115"/>
      <c r="V1165" s="115"/>
      <c r="W1165" s="115"/>
      <c r="X1165" s="115"/>
      <c r="Y1165" s="115"/>
      <c r="Z1165" s="115"/>
      <c r="AA1165" s="115"/>
      <c r="AB1165" s="115"/>
      <c r="AC1165" s="115"/>
      <c r="AD1165" s="115"/>
      <c r="AE1165" s="115"/>
      <c r="AF1165" s="115"/>
      <c r="AG1165" s="115"/>
      <c r="AH1165" s="115"/>
      <c r="AI1165" s="115"/>
      <c r="AJ1165" s="115"/>
      <c r="AK1165" s="115"/>
      <c r="AL1165" s="115"/>
      <c r="AM1165" s="122"/>
      <c r="AN1165" s="122"/>
      <c r="AO1165" s="122"/>
      <c r="AP1165" s="115"/>
      <c r="AQ1165" s="115"/>
      <c r="AR1165" s="115"/>
      <c r="AS1165" s="115"/>
      <c r="AT1165" s="115"/>
      <c r="AU1165" s="115"/>
      <c r="AV1165" s="115"/>
      <c r="AW1165" s="115"/>
      <c r="AX1165" s="115"/>
      <c r="AY1165" s="115"/>
      <c r="AZ1165" s="115"/>
      <c r="BA1165" s="115"/>
      <c r="BB1165" s="115"/>
      <c r="BC1165" s="115"/>
      <c r="BD1165" s="26"/>
      <c r="BE1165" s="105"/>
      <c r="BI1165" s="117"/>
      <c r="BJ1165" s="116"/>
      <c r="BK1165" s="116"/>
      <c r="BL1165" s="116"/>
    </row>
    <row r="1166" spans="1:64" ht="19.5" x14ac:dyDescent="0.4">
      <c r="BD1166" s="26"/>
      <c r="BE1166" s="13"/>
      <c r="BI1166" s="117"/>
      <c r="BJ1166" s="116"/>
      <c r="BK1166" s="116"/>
      <c r="BL1166" s="116"/>
    </row>
    <row r="1167" spans="1:64" ht="19.5" x14ac:dyDescent="0.4">
      <c r="AK1167" s="115"/>
      <c r="AL1167" s="115"/>
      <c r="AM1167" s="122"/>
      <c r="AN1167" s="122"/>
      <c r="AO1167" s="122"/>
      <c r="AP1167" s="115"/>
      <c r="AQ1167" s="115"/>
      <c r="AR1167" s="115"/>
      <c r="AS1167" s="115"/>
      <c r="AT1167" s="115"/>
      <c r="AU1167" s="115"/>
      <c r="AV1167" s="115"/>
      <c r="AW1167" s="115"/>
      <c r="AX1167" s="115"/>
      <c r="AY1167" s="115"/>
      <c r="AZ1167" s="115"/>
      <c r="BA1167" s="115"/>
      <c r="BB1167" s="115"/>
      <c r="BC1167" s="115"/>
      <c r="BD1167" s="26"/>
      <c r="BE1167" s="13"/>
      <c r="BI1167" s="117"/>
      <c r="BJ1167" s="116"/>
      <c r="BK1167" s="116"/>
      <c r="BL1167" s="116"/>
    </row>
    <row r="1168" spans="1:64" ht="19.5" x14ac:dyDescent="0.4">
      <c r="AF1168" s="115"/>
      <c r="AG1168" s="115"/>
      <c r="AH1168" s="115"/>
      <c r="AI1168" s="115"/>
      <c r="AJ1168" s="115"/>
      <c r="AK1168" s="115"/>
      <c r="AL1168" s="115"/>
      <c r="AM1168" s="122"/>
      <c r="AN1168" s="122"/>
      <c r="AO1168" s="122"/>
      <c r="AP1168" s="115"/>
      <c r="AQ1168" s="115"/>
      <c r="AR1168" s="115"/>
      <c r="AS1168" s="115"/>
      <c r="AT1168" s="115"/>
      <c r="AU1168" s="115"/>
      <c r="AV1168" s="115"/>
      <c r="AW1168" s="115"/>
      <c r="AX1168" s="115"/>
      <c r="AY1168" s="115"/>
      <c r="AZ1168" s="115"/>
      <c r="BA1168" s="115"/>
      <c r="BB1168" s="115"/>
      <c r="BC1168" s="115"/>
      <c r="BD1168" s="26"/>
      <c r="BE1168" s="13"/>
      <c r="BI1168" s="117"/>
      <c r="BJ1168" s="116"/>
      <c r="BK1168" s="116"/>
      <c r="BL1168" s="116"/>
    </row>
    <row r="1169" spans="3:64" ht="19.5" x14ac:dyDescent="0.4">
      <c r="BD1169" s="26"/>
      <c r="BE1169" s="13"/>
      <c r="BI1169" s="117"/>
      <c r="BJ1169" s="116"/>
      <c r="BK1169" s="116"/>
      <c r="BL1169" s="116"/>
    </row>
    <row r="1170" spans="3:64" ht="19.5" x14ac:dyDescent="0.4">
      <c r="E1170" s="115"/>
      <c r="F1170" s="115"/>
      <c r="G1170" s="115"/>
      <c r="H1170" s="115"/>
      <c r="I1170" s="115"/>
      <c r="J1170" s="115"/>
      <c r="K1170" s="115"/>
      <c r="L1170" s="115"/>
      <c r="M1170" s="115"/>
      <c r="N1170" s="115"/>
      <c r="O1170" s="115"/>
      <c r="P1170" s="115"/>
      <c r="Q1170" s="115"/>
      <c r="R1170" s="115"/>
      <c r="S1170" s="115"/>
      <c r="T1170" s="115"/>
      <c r="U1170" s="115"/>
      <c r="V1170" s="115"/>
      <c r="W1170" s="115"/>
      <c r="X1170" s="115"/>
      <c r="Y1170" s="115"/>
      <c r="Z1170" s="115"/>
      <c r="AA1170" s="115"/>
      <c r="AB1170" s="115"/>
      <c r="AC1170" s="115"/>
      <c r="AD1170" s="115"/>
      <c r="AE1170" s="115"/>
      <c r="AF1170" s="115"/>
      <c r="AG1170" s="115"/>
      <c r="AH1170" s="115"/>
      <c r="AI1170" s="115"/>
      <c r="AJ1170" s="115"/>
      <c r="AK1170" s="115"/>
      <c r="AL1170" s="115"/>
      <c r="AM1170" s="122"/>
      <c r="AN1170" s="122"/>
      <c r="AO1170" s="122"/>
      <c r="AP1170" s="115"/>
      <c r="AQ1170" s="115"/>
      <c r="AR1170" s="115"/>
      <c r="AS1170" s="115"/>
      <c r="AT1170" s="115"/>
      <c r="AU1170" s="115"/>
      <c r="AV1170" s="115"/>
      <c r="AW1170" s="115"/>
      <c r="AX1170" s="115"/>
      <c r="AY1170" s="115"/>
      <c r="AZ1170" s="115"/>
      <c r="BA1170" s="115"/>
      <c r="BB1170" s="115"/>
      <c r="BC1170" s="115"/>
      <c r="BD1170" s="26"/>
      <c r="BE1170" s="13"/>
      <c r="BI1170" s="117"/>
      <c r="BJ1170" s="116"/>
      <c r="BK1170" s="116"/>
      <c r="BL1170" s="116"/>
    </row>
    <row r="1171" spans="3:64" ht="19.5" x14ac:dyDescent="0.4">
      <c r="E1171" s="115"/>
      <c r="F1171" s="115"/>
      <c r="G1171" s="115"/>
      <c r="H1171" s="115"/>
      <c r="I1171" s="115"/>
      <c r="J1171" s="115"/>
      <c r="K1171" s="115"/>
      <c r="L1171" s="115"/>
      <c r="M1171" s="115"/>
      <c r="N1171" s="115"/>
      <c r="O1171" s="115"/>
      <c r="P1171" s="115"/>
      <c r="Q1171" s="115"/>
      <c r="R1171" s="115"/>
      <c r="S1171" s="115"/>
      <c r="T1171" s="115"/>
      <c r="U1171" s="115"/>
      <c r="V1171" s="115"/>
      <c r="W1171" s="115"/>
      <c r="X1171" s="115"/>
      <c r="Y1171" s="115"/>
      <c r="Z1171" s="115"/>
      <c r="AA1171" s="115"/>
      <c r="AB1171" s="115"/>
      <c r="AC1171" s="115"/>
      <c r="AD1171" s="115"/>
      <c r="AE1171" s="115"/>
      <c r="AF1171" s="115"/>
      <c r="AG1171" s="115"/>
      <c r="AH1171" s="115"/>
      <c r="AI1171" s="115"/>
      <c r="AJ1171" s="115"/>
      <c r="AK1171" s="115"/>
      <c r="AL1171" s="115"/>
      <c r="AM1171" s="122"/>
      <c r="AN1171" s="122"/>
      <c r="AO1171" s="122"/>
      <c r="AP1171" s="115"/>
      <c r="AQ1171" s="115"/>
      <c r="AR1171" s="115"/>
      <c r="AS1171" s="115"/>
      <c r="AT1171" s="115"/>
      <c r="AU1171" s="115"/>
      <c r="AV1171" s="115"/>
      <c r="AW1171" s="115"/>
      <c r="AX1171" s="115"/>
      <c r="AY1171" s="115"/>
      <c r="AZ1171" s="115"/>
      <c r="BA1171" s="115"/>
      <c r="BB1171" s="115"/>
      <c r="BC1171" s="115"/>
      <c r="BD1171" s="26"/>
      <c r="BE1171" s="13"/>
      <c r="BI1171" s="117"/>
      <c r="BJ1171" s="116"/>
      <c r="BK1171" s="116"/>
      <c r="BL1171" s="116"/>
    </row>
    <row r="1172" spans="3:64" ht="19.5" x14ac:dyDescent="0.4">
      <c r="C1172" s="115"/>
      <c r="D1172" s="115"/>
      <c r="E1172" s="115"/>
      <c r="F1172" s="115"/>
      <c r="G1172" s="115"/>
      <c r="H1172" s="115"/>
      <c r="I1172" s="115"/>
      <c r="J1172" s="115"/>
      <c r="K1172" s="115"/>
      <c r="L1172" s="115"/>
      <c r="M1172" s="115"/>
      <c r="N1172" s="115"/>
      <c r="O1172" s="115"/>
      <c r="P1172" s="115"/>
      <c r="Q1172" s="115"/>
      <c r="R1172" s="115"/>
      <c r="S1172" s="115"/>
      <c r="T1172" s="115"/>
      <c r="U1172" s="115"/>
      <c r="V1172" s="115"/>
      <c r="W1172" s="115"/>
      <c r="X1172" s="115"/>
      <c r="Y1172" s="115"/>
      <c r="Z1172" s="115"/>
      <c r="AA1172" s="115"/>
      <c r="AB1172" s="115"/>
      <c r="AC1172" s="115"/>
      <c r="AD1172" s="115"/>
      <c r="AE1172" s="115"/>
      <c r="AF1172" s="115"/>
      <c r="AG1172" s="115"/>
      <c r="AH1172" s="115"/>
      <c r="AI1172" s="115"/>
      <c r="AJ1172" s="115"/>
      <c r="AK1172" s="115"/>
      <c r="AL1172" s="115"/>
      <c r="AM1172" s="122"/>
      <c r="AN1172" s="122"/>
      <c r="AO1172" s="122"/>
      <c r="AP1172" s="115"/>
      <c r="AQ1172" s="115"/>
      <c r="AR1172" s="115"/>
      <c r="AS1172" s="115"/>
      <c r="AT1172" s="115"/>
      <c r="AU1172" s="115"/>
      <c r="AV1172" s="115"/>
      <c r="AW1172" s="115"/>
      <c r="AX1172" s="115"/>
      <c r="AY1172" s="115"/>
      <c r="AZ1172" s="115"/>
      <c r="BA1172" s="115"/>
      <c r="BB1172" s="115"/>
      <c r="BC1172" s="115"/>
      <c r="BD1172" s="26"/>
      <c r="BE1172" s="13"/>
      <c r="BI1172" s="117"/>
      <c r="BJ1172" s="116"/>
      <c r="BK1172" s="116"/>
      <c r="BL1172" s="116"/>
    </row>
    <row r="1173" spans="3:64" ht="19.5" x14ac:dyDescent="0.4">
      <c r="C1173" s="115"/>
      <c r="D1173" s="115"/>
      <c r="E1173" s="115"/>
      <c r="F1173" s="115"/>
      <c r="G1173" s="115"/>
      <c r="H1173" s="115"/>
      <c r="I1173" s="115"/>
      <c r="J1173" s="115"/>
      <c r="K1173" s="115"/>
      <c r="L1173" s="115"/>
      <c r="M1173" s="115"/>
      <c r="N1173" s="115"/>
      <c r="O1173" s="115"/>
      <c r="P1173" s="115"/>
      <c r="Q1173" s="115"/>
      <c r="R1173" s="115"/>
      <c r="S1173" s="115"/>
      <c r="T1173" s="115"/>
      <c r="U1173" s="115"/>
      <c r="V1173" s="115"/>
      <c r="W1173" s="115"/>
      <c r="X1173" s="115"/>
      <c r="Y1173" s="115"/>
      <c r="Z1173" s="115"/>
      <c r="AA1173" s="115"/>
      <c r="AB1173" s="115"/>
      <c r="AC1173" s="115"/>
      <c r="AD1173" s="115"/>
      <c r="AE1173" s="115"/>
      <c r="AF1173" s="115"/>
      <c r="AG1173" s="115"/>
      <c r="AH1173" s="115"/>
      <c r="AI1173" s="115"/>
      <c r="AJ1173" s="115"/>
      <c r="AK1173" s="115"/>
      <c r="AL1173" s="115"/>
      <c r="AM1173" s="122"/>
      <c r="AN1173" s="122"/>
      <c r="AO1173" s="122"/>
      <c r="AP1173" s="115"/>
      <c r="AQ1173" s="115"/>
      <c r="AR1173" s="115"/>
      <c r="AS1173" s="115"/>
      <c r="AT1173" s="115"/>
      <c r="AU1173" s="115"/>
      <c r="AV1173" s="115"/>
      <c r="AW1173" s="115"/>
      <c r="AX1173" s="115"/>
      <c r="AY1173" s="115"/>
      <c r="AZ1173" s="115"/>
      <c r="BA1173" s="115"/>
      <c r="BB1173" s="115"/>
      <c r="BC1173" s="115"/>
      <c r="BD1173" s="26"/>
      <c r="BE1173" s="13"/>
      <c r="BI1173" s="117"/>
      <c r="BJ1173" s="116"/>
      <c r="BK1173" s="116"/>
      <c r="BL1173" s="116"/>
    </row>
    <row r="1174" spans="3:64" ht="19.5" x14ac:dyDescent="0.4">
      <c r="C1174" s="115"/>
      <c r="D1174" s="115"/>
      <c r="E1174" s="115"/>
      <c r="F1174" s="115"/>
      <c r="G1174" s="115"/>
      <c r="H1174" s="115"/>
      <c r="I1174" s="115"/>
      <c r="J1174" s="115"/>
      <c r="K1174" s="115"/>
      <c r="L1174" s="115"/>
      <c r="M1174" s="115"/>
      <c r="N1174" s="115"/>
      <c r="O1174" s="115"/>
      <c r="P1174" s="115"/>
      <c r="Q1174" s="115"/>
      <c r="R1174" s="115"/>
      <c r="S1174" s="115"/>
      <c r="T1174" s="115"/>
      <c r="U1174" s="115"/>
      <c r="V1174" s="115"/>
      <c r="W1174" s="115"/>
      <c r="X1174" s="115"/>
      <c r="Y1174" s="115"/>
      <c r="Z1174" s="115"/>
      <c r="AA1174" s="115"/>
      <c r="AB1174" s="115"/>
      <c r="AC1174" s="115"/>
      <c r="AD1174" s="115"/>
      <c r="AE1174" s="115"/>
      <c r="AF1174" s="115"/>
      <c r="AG1174" s="115"/>
      <c r="AH1174" s="115"/>
      <c r="AI1174" s="115"/>
      <c r="AJ1174" s="115"/>
      <c r="AK1174" s="115"/>
      <c r="AL1174" s="115"/>
      <c r="AM1174" s="122"/>
      <c r="AN1174" s="122"/>
      <c r="AO1174" s="122"/>
      <c r="AP1174" s="115"/>
      <c r="AQ1174" s="115"/>
      <c r="AR1174" s="115"/>
      <c r="AS1174" s="115"/>
      <c r="AT1174" s="115"/>
      <c r="AU1174" s="115"/>
      <c r="AV1174" s="115"/>
      <c r="AW1174" s="115"/>
      <c r="AX1174" s="115"/>
      <c r="AY1174" s="115"/>
      <c r="AZ1174" s="115"/>
      <c r="BA1174" s="115"/>
      <c r="BB1174" s="115"/>
      <c r="BC1174" s="115"/>
      <c r="BD1174" s="26"/>
      <c r="BE1174" s="13"/>
      <c r="BI1174" s="117"/>
      <c r="BJ1174" s="116"/>
      <c r="BK1174" s="116"/>
      <c r="BL1174" s="116"/>
    </row>
    <row r="1175" spans="3:64" ht="19.5" x14ac:dyDescent="0.4">
      <c r="C1175" s="115"/>
      <c r="D1175" s="115"/>
      <c r="E1175" s="115"/>
      <c r="F1175" s="115"/>
      <c r="G1175" s="115"/>
      <c r="H1175" s="115"/>
      <c r="I1175" s="115"/>
      <c r="J1175" s="115"/>
      <c r="K1175" s="115"/>
      <c r="L1175" s="115"/>
      <c r="M1175" s="115"/>
      <c r="N1175" s="115"/>
      <c r="O1175" s="115"/>
      <c r="P1175" s="115"/>
      <c r="Q1175" s="115"/>
      <c r="R1175" s="115"/>
      <c r="S1175" s="115"/>
      <c r="T1175" s="115"/>
      <c r="U1175" s="115"/>
      <c r="V1175" s="115"/>
      <c r="W1175" s="115"/>
      <c r="X1175" s="115"/>
      <c r="Y1175" s="115"/>
      <c r="Z1175" s="115"/>
      <c r="AA1175" s="115"/>
      <c r="AB1175" s="115"/>
      <c r="AC1175" s="115"/>
      <c r="AD1175" s="115"/>
      <c r="AE1175" s="115"/>
      <c r="AF1175" s="115"/>
      <c r="AG1175" s="115"/>
      <c r="AH1175" s="115"/>
      <c r="AI1175" s="115"/>
      <c r="AJ1175" s="115"/>
      <c r="AK1175" s="115"/>
      <c r="AL1175" s="115"/>
      <c r="AM1175" s="122"/>
      <c r="AN1175" s="122"/>
      <c r="AO1175" s="122"/>
      <c r="AP1175" s="115"/>
      <c r="AQ1175" s="115"/>
      <c r="AR1175" s="115"/>
      <c r="AS1175" s="115"/>
      <c r="AT1175" s="115"/>
      <c r="AU1175" s="115"/>
      <c r="AV1175" s="115"/>
      <c r="AW1175" s="115"/>
      <c r="AX1175" s="115"/>
      <c r="AY1175" s="115"/>
      <c r="AZ1175" s="115"/>
      <c r="BA1175" s="115"/>
      <c r="BB1175" s="115"/>
      <c r="BC1175" s="115"/>
      <c r="BD1175" s="26"/>
      <c r="BE1175" s="13"/>
      <c r="BI1175" s="117"/>
      <c r="BJ1175" s="116"/>
      <c r="BK1175" s="116"/>
      <c r="BL1175" s="116"/>
    </row>
    <row r="1176" spans="3:64" ht="19.5" x14ac:dyDescent="0.4">
      <c r="C1176" s="115"/>
      <c r="D1176" s="115"/>
      <c r="E1176" s="115"/>
      <c r="F1176" s="115"/>
      <c r="G1176" s="115"/>
      <c r="H1176" s="115"/>
      <c r="I1176" s="115"/>
      <c r="J1176" s="115"/>
      <c r="K1176" s="115"/>
      <c r="L1176" s="115"/>
      <c r="M1176" s="115"/>
      <c r="N1176" s="115"/>
      <c r="O1176" s="115"/>
      <c r="P1176" s="115"/>
      <c r="Q1176" s="115"/>
      <c r="R1176" s="115"/>
      <c r="S1176" s="115"/>
      <c r="T1176" s="115"/>
      <c r="U1176" s="115"/>
      <c r="V1176" s="115"/>
      <c r="W1176" s="115"/>
      <c r="X1176" s="115"/>
      <c r="Y1176" s="115"/>
      <c r="Z1176" s="115"/>
      <c r="AA1176" s="115"/>
      <c r="AB1176" s="115"/>
      <c r="AC1176" s="115"/>
      <c r="AD1176" s="115"/>
      <c r="AE1176" s="115"/>
      <c r="AF1176" s="115"/>
      <c r="AG1176" s="115"/>
      <c r="AH1176" s="115"/>
      <c r="AI1176" s="115"/>
      <c r="AJ1176" s="115"/>
      <c r="AK1176" s="115"/>
      <c r="AL1176" s="115"/>
      <c r="AM1176" s="122"/>
      <c r="AN1176" s="122"/>
      <c r="AO1176" s="122"/>
      <c r="AP1176" s="115"/>
      <c r="AQ1176" s="115"/>
      <c r="AR1176" s="115"/>
      <c r="AS1176" s="115"/>
      <c r="AT1176" s="115"/>
      <c r="AU1176" s="115"/>
      <c r="AV1176" s="115"/>
      <c r="AW1176" s="115"/>
      <c r="AX1176" s="115"/>
      <c r="AY1176" s="115"/>
      <c r="AZ1176" s="115"/>
      <c r="BA1176" s="115"/>
      <c r="BB1176" s="115"/>
      <c r="BC1176" s="115"/>
      <c r="BD1176" s="26"/>
      <c r="BE1176" s="13"/>
      <c r="BI1176" s="117"/>
      <c r="BJ1176" s="116"/>
      <c r="BK1176" s="116"/>
      <c r="BL1176" s="116"/>
    </row>
    <row r="1177" spans="3:64" ht="19.5" x14ac:dyDescent="0.4">
      <c r="C1177" s="115"/>
      <c r="D1177" s="115"/>
      <c r="E1177" s="115"/>
      <c r="F1177" s="115"/>
      <c r="G1177" s="115"/>
      <c r="H1177" s="115"/>
      <c r="I1177" s="115"/>
      <c r="J1177" s="115"/>
      <c r="K1177" s="115"/>
      <c r="L1177" s="115"/>
      <c r="M1177" s="115"/>
      <c r="N1177" s="115"/>
      <c r="O1177" s="115"/>
      <c r="P1177" s="115"/>
      <c r="Q1177" s="115"/>
      <c r="R1177" s="115"/>
      <c r="S1177" s="115"/>
      <c r="T1177" s="115"/>
      <c r="U1177" s="115"/>
      <c r="V1177" s="115"/>
      <c r="W1177" s="115"/>
      <c r="X1177" s="115"/>
      <c r="Y1177" s="115"/>
      <c r="Z1177" s="115"/>
      <c r="AA1177" s="115"/>
      <c r="AB1177" s="115"/>
      <c r="AC1177" s="115"/>
      <c r="AD1177" s="115"/>
      <c r="AE1177" s="115"/>
      <c r="AF1177" s="115"/>
      <c r="AG1177" s="115"/>
      <c r="AH1177" s="115"/>
      <c r="AI1177" s="115"/>
      <c r="AJ1177" s="115"/>
      <c r="AK1177" s="115"/>
      <c r="AL1177" s="115"/>
      <c r="AM1177" s="122"/>
      <c r="AN1177" s="122"/>
      <c r="AO1177" s="122"/>
      <c r="AP1177" s="115"/>
      <c r="AQ1177" s="115"/>
      <c r="AR1177" s="115"/>
      <c r="AS1177" s="115"/>
      <c r="AT1177" s="115"/>
      <c r="AU1177" s="115"/>
      <c r="AV1177" s="115"/>
      <c r="AW1177" s="115"/>
      <c r="AX1177" s="115"/>
      <c r="AY1177" s="115"/>
      <c r="AZ1177" s="115"/>
      <c r="BA1177" s="115"/>
      <c r="BB1177" s="115"/>
      <c r="BC1177" s="115"/>
      <c r="BD1177" s="26"/>
      <c r="BE1177" s="13"/>
      <c r="BI1177" s="117"/>
      <c r="BJ1177" s="116"/>
      <c r="BK1177" s="116"/>
      <c r="BL1177" s="116"/>
    </row>
    <row r="1178" spans="3:64" ht="19.5" x14ac:dyDescent="0.4">
      <c r="BD1178" s="26"/>
      <c r="BE1178" s="15"/>
      <c r="BI1178" s="117"/>
      <c r="BJ1178" s="116"/>
      <c r="BK1178" s="116"/>
      <c r="BL1178" s="116"/>
    </row>
    <row r="1179" spans="3:64" ht="19.5" x14ac:dyDescent="0.4">
      <c r="D1179" s="115"/>
      <c r="E1179" s="115"/>
      <c r="F1179" s="115"/>
      <c r="G1179" s="115"/>
      <c r="H1179" s="115"/>
      <c r="I1179" s="115"/>
      <c r="J1179" s="115"/>
      <c r="K1179" s="115"/>
      <c r="L1179" s="115"/>
      <c r="M1179" s="115"/>
      <c r="N1179" s="115"/>
      <c r="O1179" s="115"/>
      <c r="P1179" s="115"/>
      <c r="Q1179" s="115"/>
      <c r="R1179" s="115"/>
      <c r="S1179" s="115"/>
      <c r="T1179" s="115"/>
      <c r="U1179" s="115"/>
      <c r="V1179" s="115"/>
      <c r="W1179" s="115"/>
      <c r="X1179" s="115"/>
      <c r="Y1179" s="115"/>
      <c r="Z1179" s="115"/>
      <c r="AA1179" s="115"/>
      <c r="AB1179" s="115"/>
      <c r="AC1179" s="115"/>
      <c r="AD1179" s="115"/>
      <c r="AE1179" s="115"/>
      <c r="AF1179" s="115"/>
      <c r="AG1179" s="115"/>
      <c r="AH1179" s="115"/>
      <c r="AI1179" s="115"/>
      <c r="AJ1179" s="115"/>
      <c r="AK1179" s="115"/>
      <c r="AL1179" s="115"/>
      <c r="AM1179" s="122"/>
      <c r="AN1179" s="122"/>
      <c r="AO1179" s="122"/>
      <c r="AP1179" s="115"/>
      <c r="AQ1179" s="115"/>
      <c r="AR1179" s="115"/>
      <c r="AS1179" s="115"/>
      <c r="AT1179" s="115"/>
      <c r="AU1179" s="115"/>
      <c r="AV1179" s="115"/>
      <c r="AW1179" s="115"/>
      <c r="AX1179" s="115"/>
      <c r="AY1179" s="115"/>
      <c r="AZ1179" s="115"/>
      <c r="BA1179" s="115"/>
      <c r="BB1179" s="115"/>
      <c r="BC1179" s="115"/>
      <c r="BD1179" s="26"/>
      <c r="BE1179" s="15"/>
      <c r="BI1179" s="117"/>
      <c r="BJ1179" s="116"/>
      <c r="BK1179" s="116"/>
      <c r="BL1179" s="116"/>
    </row>
    <row r="1180" spans="3:64" ht="19.5" x14ac:dyDescent="0.4">
      <c r="D1180" s="115"/>
      <c r="E1180" s="115"/>
      <c r="F1180" s="115"/>
      <c r="G1180" s="115"/>
      <c r="H1180" s="115"/>
      <c r="I1180" s="115"/>
      <c r="J1180" s="115"/>
      <c r="K1180" s="115"/>
      <c r="L1180" s="115"/>
      <c r="M1180" s="115"/>
      <c r="N1180" s="115"/>
      <c r="O1180" s="115"/>
      <c r="P1180" s="115"/>
      <c r="Q1180" s="115"/>
      <c r="R1180" s="115"/>
      <c r="S1180" s="115"/>
      <c r="T1180" s="115"/>
      <c r="U1180" s="115"/>
      <c r="V1180" s="115"/>
      <c r="W1180" s="115"/>
      <c r="X1180" s="115"/>
      <c r="Y1180" s="115"/>
      <c r="Z1180" s="115"/>
      <c r="AA1180" s="115"/>
      <c r="AB1180" s="115"/>
      <c r="AC1180" s="115"/>
      <c r="AD1180" s="115"/>
      <c r="AE1180" s="115"/>
      <c r="AF1180" s="115"/>
      <c r="AG1180" s="115"/>
      <c r="AH1180" s="115"/>
      <c r="AI1180" s="115"/>
      <c r="AJ1180" s="115"/>
      <c r="AK1180" s="115"/>
      <c r="AL1180" s="115"/>
      <c r="AM1180" s="122"/>
      <c r="AN1180" s="122"/>
      <c r="AO1180" s="122"/>
      <c r="AP1180" s="115"/>
      <c r="AQ1180" s="115"/>
      <c r="AR1180" s="115"/>
      <c r="AS1180" s="115"/>
      <c r="AT1180" s="115"/>
      <c r="AU1180" s="115"/>
      <c r="AV1180" s="115"/>
      <c r="AW1180" s="115"/>
      <c r="AX1180" s="115"/>
      <c r="AY1180" s="115"/>
      <c r="AZ1180" s="115"/>
      <c r="BA1180" s="115"/>
      <c r="BB1180" s="115"/>
      <c r="BC1180" s="115"/>
      <c r="BD1180" s="17"/>
      <c r="BE1180" s="15"/>
      <c r="BI1180" s="117"/>
      <c r="BJ1180" s="116"/>
      <c r="BK1180" s="116"/>
      <c r="BL1180" s="116"/>
    </row>
    <row r="1181" spans="3:64" ht="19.5" x14ac:dyDescent="0.4">
      <c r="BD1181" s="26"/>
      <c r="BE1181" s="15"/>
      <c r="BI1181" s="117"/>
      <c r="BJ1181" s="116"/>
      <c r="BK1181" s="116"/>
      <c r="BL1181" s="116"/>
    </row>
    <row r="1182" spans="3:64" ht="19.5" x14ac:dyDescent="0.4">
      <c r="BD1182" s="26"/>
      <c r="BE1182" s="13"/>
      <c r="BI1182" s="117"/>
      <c r="BJ1182" s="116"/>
      <c r="BK1182" s="116"/>
      <c r="BL1182" s="116"/>
    </row>
    <row r="1183" spans="3:64" ht="19.5" x14ac:dyDescent="0.4">
      <c r="AJ1183" s="115"/>
      <c r="AK1183" s="115"/>
      <c r="AL1183" s="115"/>
      <c r="AM1183" s="122"/>
      <c r="AN1183" s="122"/>
      <c r="AO1183" s="122"/>
      <c r="AP1183" s="115"/>
      <c r="AQ1183" s="115"/>
      <c r="AR1183" s="115"/>
      <c r="AS1183" s="115"/>
      <c r="AT1183" s="115"/>
      <c r="AU1183" s="115"/>
      <c r="AV1183" s="115"/>
      <c r="AW1183" s="115"/>
      <c r="AX1183" s="115"/>
      <c r="AY1183" s="115"/>
      <c r="AZ1183" s="115"/>
      <c r="BA1183" s="115"/>
      <c r="BB1183" s="115"/>
      <c r="BC1183" s="115"/>
      <c r="BD1183" s="26"/>
      <c r="BE1183" s="13"/>
      <c r="BI1183" s="117"/>
      <c r="BJ1183" s="116"/>
      <c r="BK1183" s="116"/>
      <c r="BL1183" s="116"/>
    </row>
    <row r="1184" spans="3:64" ht="19.5" x14ac:dyDescent="0.4">
      <c r="D1184" s="115"/>
      <c r="E1184" s="115"/>
      <c r="F1184" s="115"/>
      <c r="G1184" s="115"/>
      <c r="H1184" s="115"/>
      <c r="I1184" s="115"/>
      <c r="J1184" s="115"/>
      <c r="K1184" s="115"/>
      <c r="L1184" s="115"/>
      <c r="M1184" s="115"/>
      <c r="N1184" s="115"/>
      <c r="O1184" s="115"/>
      <c r="P1184" s="115"/>
      <c r="Q1184" s="115"/>
      <c r="R1184" s="115"/>
      <c r="S1184" s="115"/>
      <c r="T1184" s="115"/>
      <c r="U1184" s="115"/>
      <c r="V1184" s="115"/>
      <c r="W1184" s="115"/>
      <c r="X1184" s="115"/>
      <c r="Y1184" s="115"/>
      <c r="Z1184" s="115"/>
      <c r="AA1184" s="115"/>
      <c r="AB1184" s="115"/>
      <c r="AC1184" s="115"/>
      <c r="AD1184" s="115"/>
      <c r="AE1184" s="115"/>
      <c r="AF1184" s="115"/>
      <c r="AG1184" s="115"/>
      <c r="AH1184" s="115"/>
      <c r="AI1184" s="115"/>
      <c r="AJ1184" s="115"/>
      <c r="AK1184" s="115"/>
      <c r="AL1184" s="115"/>
      <c r="AM1184" s="122"/>
      <c r="AN1184" s="122"/>
      <c r="AO1184" s="122"/>
      <c r="AP1184" s="115"/>
      <c r="AQ1184" s="115"/>
      <c r="AR1184" s="115"/>
      <c r="AS1184" s="115"/>
      <c r="AT1184" s="115"/>
      <c r="AU1184" s="115"/>
      <c r="AV1184" s="115"/>
      <c r="AW1184" s="115"/>
      <c r="AX1184" s="115"/>
      <c r="AY1184" s="115"/>
      <c r="AZ1184" s="115"/>
      <c r="BA1184" s="115"/>
      <c r="BB1184" s="115"/>
      <c r="BC1184" s="115"/>
      <c r="BD1184" s="26"/>
      <c r="BE1184" s="13"/>
      <c r="BI1184" s="117"/>
      <c r="BJ1184" s="116"/>
      <c r="BK1184" s="116"/>
      <c r="BL1184" s="116"/>
    </row>
    <row r="1185" spans="1:64" ht="19.5" x14ac:dyDescent="0.4">
      <c r="D1185" s="115"/>
      <c r="E1185" s="115"/>
      <c r="F1185" s="115"/>
      <c r="G1185" s="115"/>
      <c r="H1185" s="115"/>
      <c r="I1185" s="115"/>
      <c r="J1185" s="115"/>
      <c r="K1185" s="115"/>
      <c r="L1185" s="115"/>
      <c r="M1185" s="115"/>
      <c r="N1185" s="115"/>
      <c r="O1185" s="115"/>
      <c r="P1185" s="115"/>
      <c r="Q1185" s="115"/>
      <c r="R1185" s="115"/>
      <c r="S1185" s="115"/>
      <c r="T1185" s="115"/>
      <c r="U1185" s="115"/>
      <c r="V1185" s="115"/>
      <c r="W1185" s="115"/>
      <c r="X1185" s="115"/>
      <c r="Y1185" s="115"/>
      <c r="Z1185" s="115"/>
      <c r="AA1185" s="115"/>
      <c r="AB1185" s="115"/>
      <c r="AC1185" s="115"/>
      <c r="AD1185" s="115"/>
      <c r="AE1185" s="115"/>
      <c r="AF1185" s="115"/>
      <c r="AG1185" s="115"/>
      <c r="AH1185" s="115"/>
      <c r="AI1185" s="115"/>
      <c r="AJ1185" s="115"/>
      <c r="AK1185" s="115"/>
      <c r="AL1185" s="115"/>
      <c r="AM1185" s="122"/>
      <c r="AN1185" s="122"/>
      <c r="AO1185" s="122"/>
      <c r="AP1185" s="115"/>
      <c r="AQ1185" s="115"/>
      <c r="AR1185" s="115"/>
      <c r="AS1185" s="115"/>
      <c r="AT1185" s="115"/>
      <c r="AU1185" s="115"/>
      <c r="AV1185" s="115"/>
      <c r="AW1185" s="115"/>
      <c r="AX1185" s="115"/>
      <c r="AY1185" s="115"/>
      <c r="AZ1185" s="115"/>
      <c r="BA1185" s="115"/>
      <c r="BB1185" s="115"/>
      <c r="BC1185" s="115"/>
      <c r="BD1185" s="17"/>
      <c r="BE1185" s="13"/>
      <c r="BI1185" s="117"/>
      <c r="BJ1185" s="116"/>
      <c r="BK1185" s="116"/>
      <c r="BL1185" s="116"/>
    </row>
    <row r="1186" spans="1:64" ht="19.5" x14ac:dyDescent="0.4">
      <c r="D1186" s="115"/>
      <c r="E1186" s="115"/>
      <c r="F1186" s="115"/>
      <c r="G1186" s="115"/>
      <c r="H1186" s="115"/>
      <c r="I1186" s="115"/>
      <c r="J1186" s="115"/>
      <c r="K1186" s="115"/>
      <c r="L1186" s="115"/>
      <c r="M1186" s="115"/>
      <c r="N1186" s="115"/>
      <c r="O1186" s="115"/>
      <c r="P1186" s="115"/>
      <c r="Q1186" s="115"/>
      <c r="R1186" s="115"/>
      <c r="S1186" s="115"/>
      <c r="T1186" s="115"/>
      <c r="U1186" s="115"/>
      <c r="V1186" s="115"/>
      <c r="W1186" s="115"/>
      <c r="X1186" s="115"/>
      <c r="Y1186" s="115"/>
      <c r="Z1186" s="115"/>
      <c r="AA1186" s="115"/>
      <c r="AB1186" s="115"/>
      <c r="AC1186" s="115"/>
      <c r="AD1186" s="115"/>
      <c r="AE1186" s="115"/>
      <c r="AF1186" s="115"/>
      <c r="AG1186" s="115"/>
      <c r="AH1186" s="115"/>
      <c r="AI1186" s="115"/>
      <c r="AJ1186" s="115"/>
      <c r="AK1186" s="115"/>
      <c r="AL1186" s="115"/>
      <c r="AM1186" s="122"/>
      <c r="AN1186" s="122"/>
      <c r="AO1186" s="122"/>
      <c r="AP1186" s="115"/>
      <c r="AQ1186" s="115"/>
      <c r="AR1186" s="115"/>
      <c r="AS1186" s="115"/>
      <c r="AT1186" s="115"/>
      <c r="AU1186" s="115"/>
      <c r="AV1186" s="115"/>
      <c r="AW1186" s="115"/>
      <c r="AX1186" s="115"/>
      <c r="AY1186" s="115"/>
      <c r="AZ1186" s="115"/>
      <c r="BA1186" s="115"/>
      <c r="BB1186" s="115"/>
      <c r="BC1186" s="115"/>
      <c r="BD1186" s="26"/>
      <c r="BE1186" s="25"/>
      <c r="BI1186" s="117"/>
      <c r="BJ1186" s="116"/>
      <c r="BK1186" s="116"/>
      <c r="BL1186" s="116"/>
    </row>
    <row r="1187" spans="1:64" ht="19.5" x14ac:dyDescent="0.4">
      <c r="D1187" s="115"/>
      <c r="E1187" s="115"/>
      <c r="F1187" s="115"/>
      <c r="G1187" s="115"/>
      <c r="H1187" s="115"/>
      <c r="I1187" s="115"/>
      <c r="J1187" s="115"/>
      <c r="K1187" s="115"/>
      <c r="L1187" s="115"/>
      <c r="M1187" s="115"/>
      <c r="N1187" s="115"/>
      <c r="O1187" s="115"/>
      <c r="P1187" s="115"/>
      <c r="Q1187" s="115"/>
      <c r="R1187" s="115"/>
      <c r="S1187" s="115"/>
      <c r="T1187" s="115"/>
      <c r="U1187" s="115"/>
      <c r="V1187" s="115"/>
      <c r="W1187" s="115"/>
      <c r="X1187" s="115"/>
      <c r="Y1187" s="115"/>
      <c r="Z1187" s="115"/>
      <c r="AA1187" s="115"/>
      <c r="AB1187" s="115"/>
      <c r="AC1187" s="115"/>
      <c r="AD1187" s="115"/>
      <c r="AE1187" s="115"/>
      <c r="AF1187" s="115"/>
      <c r="AG1187" s="115"/>
      <c r="AH1187" s="115"/>
      <c r="AI1187" s="115"/>
      <c r="AJ1187" s="115"/>
      <c r="AK1187" s="115"/>
      <c r="AL1187" s="115"/>
      <c r="AM1187" s="122"/>
      <c r="AN1187" s="122"/>
      <c r="AO1187" s="122"/>
      <c r="AP1187" s="115"/>
      <c r="AQ1187" s="115"/>
      <c r="AR1187" s="115"/>
      <c r="AS1187" s="115"/>
      <c r="AT1187" s="115"/>
      <c r="AU1187" s="115"/>
      <c r="AV1187" s="115"/>
      <c r="AW1187" s="115"/>
      <c r="AX1187" s="115"/>
      <c r="AY1187" s="115"/>
      <c r="AZ1187" s="115"/>
      <c r="BA1187" s="115"/>
      <c r="BB1187" s="115"/>
      <c r="BC1187" s="115"/>
      <c r="BD1187" s="17"/>
      <c r="BE1187" s="13"/>
      <c r="BI1187" s="117"/>
      <c r="BJ1187" s="116"/>
      <c r="BK1187" s="116"/>
      <c r="BL1187" s="116"/>
    </row>
    <row r="1188" spans="1:64" ht="19.5" x14ac:dyDescent="0.4">
      <c r="D1188" s="115"/>
      <c r="E1188" s="115"/>
      <c r="F1188" s="115"/>
      <c r="G1188" s="115"/>
      <c r="H1188" s="115"/>
      <c r="I1188" s="115"/>
      <c r="J1188" s="115"/>
      <c r="K1188" s="115"/>
      <c r="L1188" s="115"/>
      <c r="M1188" s="115"/>
      <c r="N1188" s="115"/>
      <c r="O1188" s="115"/>
      <c r="P1188" s="115"/>
      <c r="Q1188" s="115"/>
      <c r="R1188" s="115"/>
      <c r="S1188" s="115"/>
      <c r="T1188" s="115"/>
      <c r="U1188" s="115"/>
      <c r="V1188" s="115"/>
      <c r="W1188" s="115"/>
      <c r="X1188" s="115"/>
      <c r="Y1188" s="115"/>
      <c r="Z1188" s="115"/>
      <c r="AA1188" s="115"/>
      <c r="AB1188" s="115"/>
      <c r="AC1188" s="115"/>
      <c r="AD1188" s="115"/>
      <c r="AE1188" s="115"/>
      <c r="AF1188" s="115"/>
      <c r="AG1188" s="115"/>
      <c r="AH1188" s="115"/>
      <c r="AI1188" s="115"/>
      <c r="AJ1188" s="115"/>
      <c r="AK1188" s="115"/>
      <c r="AL1188" s="115"/>
      <c r="AM1188" s="122"/>
      <c r="AN1188" s="122"/>
      <c r="AO1188" s="122"/>
      <c r="AP1188" s="115"/>
      <c r="AQ1188" s="115"/>
      <c r="AR1188" s="115"/>
      <c r="AS1188" s="115"/>
      <c r="AT1188" s="115"/>
      <c r="AU1188" s="115"/>
      <c r="AV1188" s="115"/>
      <c r="AW1188" s="115"/>
      <c r="AX1188" s="115"/>
      <c r="AY1188" s="115"/>
      <c r="AZ1188" s="115"/>
      <c r="BA1188" s="115"/>
      <c r="BB1188" s="115"/>
      <c r="BC1188" s="115"/>
      <c r="BD1188" s="26"/>
      <c r="BE1188" s="13"/>
      <c r="BI1188" s="117"/>
      <c r="BJ1188" s="116"/>
      <c r="BK1188" s="116"/>
      <c r="BL1188" s="116"/>
    </row>
    <row r="1189" spans="1:64" ht="19.5" x14ac:dyDescent="0.4">
      <c r="A1189" s="115"/>
      <c r="B1189" s="115"/>
      <c r="C1189" s="115"/>
      <c r="D1189" s="115"/>
      <c r="E1189" s="115"/>
      <c r="F1189" s="115"/>
      <c r="G1189" s="115"/>
      <c r="H1189" s="115"/>
      <c r="I1189" s="115"/>
      <c r="J1189" s="115"/>
      <c r="K1189" s="115"/>
      <c r="L1189" s="115"/>
      <c r="M1189" s="115"/>
      <c r="N1189" s="115"/>
      <c r="O1189" s="115"/>
      <c r="P1189" s="115"/>
      <c r="Q1189" s="115"/>
      <c r="R1189" s="115"/>
      <c r="S1189" s="115"/>
      <c r="T1189" s="115"/>
      <c r="U1189" s="115"/>
      <c r="V1189" s="115"/>
      <c r="W1189" s="115"/>
      <c r="X1189" s="115"/>
      <c r="Y1189" s="115"/>
      <c r="Z1189" s="115"/>
      <c r="AA1189" s="115"/>
      <c r="AB1189" s="115"/>
      <c r="AC1189" s="115"/>
      <c r="AD1189" s="115"/>
      <c r="AE1189" s="115"/>
      <c r="AF1189" s="115"/>
      <c r="AG1189" s="115"/>
      <c r="AH1189" s="115"/>
      <c r="AI1189" s="115"/>
      <c r="AJ1189" s="115"/>
      <c r="AK1189" s="115"/>
      <c r="AL1189" s="115"/>
      <c r="AM1189" s="122"/>
      <c r="AN1189" s="122"/>
      <c r="AO1189" s="122"/>
      <c r="AP1189" s="115"/>
      <c r="AQ1189" s="115"/>
      <c r="AR1189" s="115"/>
      <c r="AS1189" s="115"/>
      <c r="AT1189" s="115"/>
      <c r="AU1189" s="115"/>
      <c r="AV1189" s="115"/>
      <c r="AW1189" s="115"/>
      <c r="AX1189" s="115"/>
      <c r="AY1189" s="115"/>
      <c r="AZ1189" s="115"/>
      <c r="BA1189" s="115"/>
      <c r="BB1189" s="115"/>
      <c r="BC1189" s="115"/>
      <c r="BD1189" s="26"/>
      <c r="BE1189" s="13"/>
      <c r="BI1189" s="117"/>
      <c r="BJ1189" s="116"/>
      <c r="BK1189" s="116"/>
      <c r="BL1189" s="116"/>
    </row>
    <row r="1190" spans="1:64" ht="19.5" x14ac:dyDescent="0.4">
      <c r="A1190" s="115"/>
      <c r="B1190" s="115"/>
      <c r="C1190" s="115"/>
      <c r="D1190" s="115"/>
      <c r="E1190" s="115"/>
      <c r="F1190" s="115"/>
      <c r="G1190" s="115"/>
      <c r="H1190" s="115"/>
      <c r="I1190" s="115"/>
      <c r="J1190" s="115"/>
      <c r="K1190" s="115"/>
      <c r="L1190" s="115"/>
      <c r="M1190" s="115"/>
      <c r="N1190" s="115"/>
      <c r="O1190" s="115"/>
      <c r="P1190" s="115"/>
      <c r="Q1190" s="115"/>
      <c r="R1190" s="115"/>
      <c r="S1190" s="115"/>
      <c r="T1190" s="115"/>
      <c r="U1190" s="115"/>
      <c r="V1190" s="115"/>
      <c r="W1190" s="115"/>
      <c r="X1190" s="115"/>
      <c r="Y1190" s="115"/>
      <c r="Z1190" s="115"/>
      <c r="AA1190" s="115"/>
      <c r="AB1190" s="115"/>
      <c r="AC1190" s="115"/>
      <c r="AD1190" s="115"/>
      <c r="AE1190" s="115"/>
      <c r="AF1190" s="115"/>
      <c r="AG1190" s="115"/>
      <c r="AH1190" s="115"/>
      <c r="AI1190" s="115"/>
      <c r="AJ1190" s="115"/>
      <c r="AK1190" s="115"/>
      <c r="AL1190" s="115"/>
      <c r="AM1190" s="122"/>
      <c r="AN1190" s="122"/>
      <c r="AO1190" s="122"/>
      <c r="AP1190" s="115"/>
      <c r="AQ1190" s="115"/>
      <c r="AR1190" s="115"/>
      <c r="AS1190" s="115"/>
      <c r="AT1190" s="115"/>
      <c r="AU1190" s="115"/>
      <c r="AV1190" s="115"/>
      <c r="AW1190" s="115"/>
      <c r="AX1190" s="115"/>
      <c r="AY1190" s="115"/>
      <c r="AZ1190" s="115"/>
      <c r="BA1190" s="115"/>
      <c r="BB1190" s="115"/>
      <c r="BC1190" s="115"/>
      <c r="BD1190" s="26"/>
      <c r="BE1190" s="13"/>
      <c r="BI1190" s="117"/>
      <c r="BJ1190" s="116"/>
      <c r="BK1190" s="116"/>
      <c r="BL1190" s="116"/>
    </row>
    <row r="1191" spans="1:64" ht="19.5" x14ac:dyDescent="0.4">
      <c r="A1191" s="115"/>
      <c r="B1191" s="115"/>
      <c r="C1191" s="115"/>
      <c r="D1191" s="115"/>
      <c r="E1191" s="115"/>
      <c r="F1191" s="115"/>
      <c r="G1191" s="115"/>
      <c r="H1191" s="115"/>
      <c r="I1191" s="115"/>
      <c r="J1191" s="115"/>
      <c r="K1191" s="115"/>
      <c r="L1191" s="115"/>
      <c r="M1191" s="115"/>
      <c r="N1191" s="115"/>
      <c r="O1191" s="115"/>
      <c r="P1191" s="115"/>
      <c r="Q1191" s="115"/>
      <c r="R1191" s="115"/>
      <c r="S1191" s="115"/>
      <c r="T1191" s="115"/>
      <c r="U1191" s="115"/>
      <c r="V1191" s="115"/>
      <c r="W1191" s="115"/>
      <c r="X1191" s="115"/>
      <c r="Y1191" s="115"/>
      <c r="Z1191" s="115"/>
      <c r="AA1191" s="115"/>
      <c r="AB1191" s="115"/>
      <c r="AC1191" s="115"/>
      <c r="AD1191" s="115"/>
      <c r="AE1191" s="115"/>
      <c r="AF1191" s="115"/>
      <c r="AG1191" s="115"/>
      <c r="AH1191" s="115"/>
      <c r="AI1191" s="115"/>
      <c r="AJ1191" s="115"/>
      <c r="AK1191" s="115"/>
      <c r="AL1191" s="115"/>
      <c r="AM1191" s="122"/>
      <c r="AN1191" s="122"/>
      <c r="AO1191" s="122"/>
      <c r="AP1191" s="115"/>
      <c r="AQ1191" s="115"/>
      <c r="AR1191" s="115"/>
      <c r="AS1191" s="115"/>
      <c r="AT1191" s="115"/>
      <c r="AU1191" s="115"/>
      <c r="AV1191" s="115"/>
      <c r="AW1191" s="115"/>
      <c r="AX1191" s="115"/>
      <c r="AY1191" s="115"/>
      <c r="AZ1191" s="115"/>
      <c r="BA1191" s="115"/>
      <c r="BB1191" s="115"/>
      <c r="BC1191" s="115"/>
      <c r="BD1191" s="26"/>
      <c r="BE1191" s="13"/>
      <c r="BI1191" s="117"/>
      <c r="BJ1191" s="116"/>
      <c r="BK1191" s="116"/>
      <c r="BL1191" s="116"/>
    </row>
    <row r="1192" spans="1:64" ht="19.5" x14ac:dyDescent="0.4">
      <c r="A1192" s="115"/>
      <c r="B1192" s="115"/>
      <c r="C1192" s="115"/>
      <c r="D1192" s="115"/>
      <c r="E1192" s="115"/>
      <c r="F1192" s="115"/>
      <c r="G1192" s="115"/>
      <c r="H1192" s="115"/>
      <c r="I1192" s="115"/>
      <c r="J1192" s="115"/>
      <c r="K1192" s="115"/>
      <c r="L1192" s="115"/>
      <c r="M1192" s="115"/>
      <c r="N1192" s="115"/>
      <c r="O1192" s="115"/>
      <c r="P1192" s="115"/>
      <c r="Q1192" s="115"/>
      <c r="R1192" s="115"/>
      <c r="S1192" s="115"/>
      <c r="T1192" s="115"/>
      <c r="U1192" s="115"/>
      <c r="V1192" s="115"/>
      <c r="W1192" s="115"/>
      <c r="X1192" s="115"/>
      <c r="Y1192" s="115"/>
      <c r="Z1192" s="115"/>
      <c r="AA1192" s="115"/>
      <c r="AB1192" s="115"/>
      <c r="AC1192" s="115"/>
      <c r="AD1192" s="115"/>
      <c r="AE1192" s="115"/>
      <c r="AF1192" s="115"/>
      <c r="AG1192" s="115"/>
      <c r="AH1192" s="115"/>
      <c r="AI1192" s="115"/>
      <c r="AJ1192" s="115"/>
      <c r="AK1192" s="115"/>
      <c r="AL1192" s="115"/>
      <c r="AM1192" s="122"/>
      <c r="AN1192" s="122"/>
      <c r="AO1192" s="122"/>
      <c r="AP1192" s="115"/>
      <c r="AQ1192" s="115"/>
      <c r="AR1192" s="115"/>
      <c r="AS1192" s="115"/>
      <c r="AT1192" s="115"/>
      <c r="AU1192" s="115"/>
      <c r="AV1192" s="115"/>
      <c r="AW1192" s="115"/>
      <c r="AX1192" s="115"/>
      <c r="AY1192" s="115"/>
      <c r="AZ1192" s="115"/>
      <c r="BA1192" s="115"/>
      <c r="BB1192" s="115"/>
      <c r="BC1192" s="115"/>
      <c r="BD1192" s="26"/>
      <c r="BE1192" s="13"/>
      <c r="BI1192" s="117"/>
      <c r="BJ1192" s="116"/>
      <c r="BK1192" s="116"/>
      <c r="BL1192" s="116"/>
    </row>
    <row r="1193" spans="1:64" ht="19.5" x14ac:dyDescent="0.4">
      <c r="A1193" s="115"/>
      <c r="B1193" s="115"/>
      <c r="C1193" s="115"/>
      <c r="D1193" s="115"/>
      <c r="E1193" s="115"/>
      <c r="F1193" s="115"/>
      <c r="G1193" s="115"/>
      <c r="H1193" s="115"/>
      <c r="I1193" s="115"/>
      <c r="J1193" s="115"/>
      <c r="K1193" s="115"/>
      <c r="L1193" s="115"/>
      <c r="M1193" s="115"/>
      <c r="N1193" s="115"/>
      <c r="O1193" s="115"/>
      <c r="P1193" s="115"/>
      <c r="Q1193" s="115"/>
      <c r="R1193" s="115"/>
      <c r="S1193" s="115"/>
      <c r="T1193" s="115"/>
      <c r="U1193" s="115"/>
      <c r="V1193" s="115"/>
      <c r="W1193" s="115"/>
      <c r="X1193" s="115"/>
      <c r="Y1193" s="115"/>
      <c r="Z1193" s="115"/>
      <c r="AA1193" s="115"/>
      <c r="AB1193" s="115"/>
      <c r="AC1193" s="115"/>
      <c r="AD1193" s="115"/>
      <c r="AE1193" s="115"/>
      <c r="AF1193" s="115"/>
      <c r="AG1193" s="115"/>
      <c r="AH1193" s="115"/>
      <c r="AI1193" s="115"/>
      <c r="AJ1193" s="115"/>
      <c r="AK1193" s="115"/>
      <c r="AL1193" s="115"/>
      <c r="AM1193" s="122"/>
      <c r="AN1193" s="122"/>
      <c r="AO1193" s="122"/>
      <c r="AP1193" s="115"/>
      <c r="AQ1193" s="115"/>
      <c r="AR1193" s="115"/>
      <c r="AS1193" s="115"/>
      <c r="AT1193" s="115"/>
      <c r="AU1193" s="115"/>
      <c r="AV1193" s="115"/>
      <c r="AW1193" s="115"/>
      <c r="AX1193" s="115"/>
      <c r="AY1193" s="115"/>
      <c r="AZ1193" s="115"/>
      <c r="BA1193" s="115"/>
      <c r="BB1193" s="115"/>
      <c r="BC1193" s="115"/>
      <c r="BD1193" s="26"/>
      <c r="BE1193" s="13"/>
      <c r="BI1193" s="117"/>
      <c r="BJ1193" s="116"/>
      <c r="BK1193" s="116"/>
      <c r="BL1193" s="116"/>
    </row>
    <row r="1194" spans="1:64" ht="19.5" x14ac:dyDescent="0.4">
      <c r="A1194" s="115"/>
      <c r="B1194" s="115"/>
      <c r="C1194" s="115"/>
      <c r="D1194" s="115"/>
      <c r="E1194" s="115"/>
      <c r="F1194" s="115"/>
      <c r="G1194" s="115"/>
      <c r="H1194" s="115"/>
      <c r="I1194" s="115"/>
      <c r="J1194" s="115"/>
      <c r="K1194" s="115"/>
      <c r="L1194" s="115"/>
      <c r="M1194" s="115"/>
      <c r="N1194" s="115"/>
      <c r="O1194" s="115"/>
      <c r="P1194" s="115"/>
      <c r="Q1194" s="115"/>
      <c r="R1194" s="115"/>
      <c r="S1194" s="115"/>
      <c r="T1194" s="115"/>
      <c r="U1194" s="115"/>
      <c r="V1194" s="115"/>
      <c r="W1194" s="115"/>
      <c r="X1194" s="115"/>
      <c r="Y1194" s="115"/>
      <c r="Z1194" s="115"/>
      <c r="AA1194" s="115"/>
      <c r="AB1194" s="115"/>
      <c r="AC1194" s="115"/>
      <c r="AD1194" s="115"/>
      <c r="AE1194" s="115"/>
      <c r="AF1194" s="115"/>
      <c r="AG1194" s="115"/>
      <c r="AH1194" s="115"/>
      <c r="AI1194" s="115"/>
      <c r="AJ1194" s="115"/>
      <c r="AK1194" s="115"/>
      <c r="AL1194" s="115"/>
      <c r="AM1194" s="122"/>
      <c r="AN1194" s="122"/>
      <c r="AO1194" s="122"/>
      <c r="AP1194" s="115"/>
      <c r="AQ1194" s="115"/>
      <c r="AR1194" s="115"/>
      <c r="AS1194" s="115"/>
      <c r="AT1194" s="115"/>
      <c r="AU1194" s="115"/>
      <c r="AV1194" s="115"/>
      <c r="AW1194" s="115"/>
      <c r="AX1194" s="115"/>
      <c r="AY1194" s="115"/>
      <c r="AZ1194" s="115"/>
      <c r="BA1194" s="115"/>
      <c r="BB1194" s="115"/>
      <c r="BC1194" s="115"/>
      <c r="BD1194" s="26"/>
      <c r="BE1194" s="13"/>
      <c r="BI1194" s="117"/>
      <c r="BJ1194" s="116"/>
      <c r="BK1194" s="116"/>
      <c r="BL1194" s="116"/>
    </row>
    <row r="1195" spans="1:64" ht="19.5" x14ac:dyDescent="0.4">
      <c r="A1195" s="115"/>
      <c r="B1195" s="115"/>
      <c r="C1195" s="115"/>
      <c r="D1195" s="115"/>
      <c r="E1195" s="115"/>
      <c r="F1195" s="115"/>
      <c r="G1195" s="115"/>
      <c r="H1195" s="115"/>
      <c r="I1195" s="115"/>
      <c r="J1195" s="115"/>
      <c r="K1195" s="115"/>
      <c r="L1195" s="115"/>
      <c r="M1195" s="115"/>
      <c r="N1195" s="115"/>
      <c r="O1195" s="115"/>
      <c r="P1195" s="115"/>
      <c r="Q1195" s="115"/>
      <c r="R1195" s="115"/>
      <c r="S1195" s="115"/>
      <c r="T1195" s="115"/>
      <c r="U1195" s="115"/>
      <c r="V1195" s="115"/>
      <c r="W1195" s="115"/>
      <c r="X1195" s="115"/>
      <c r="Y1195" s="115"/>
      <c r="Z1195" s="115"/>
      <c r="AA1195" s="115"/>
      <c r="AB1195" s="115"/>
      <c r="AC1195" s="115"/>
      <c r="AD1195" s="115"/>
      <c r="AE1195" s="115"/>
      <c r="AF1195" s="115"/>
      <c r="AG1195" s="115"/>
      <c r="AH1195" s="115"/>
      <c r="AI1195" s="115"/>
      <c r="AJ1195" s="115"/>
      <c r="AK1195" s="115"/>
      <c r="AL1195" s="115"/>
      <c r="AM1195" s="122"/>
      <c r="AN1195" s="122"/>
      <c r="AO1195" s="122"/>
      <c r="AP1195" s="115"/>
      <c r="AQ1195" s="115"/>
      <c r="AR1195" s="115"/>
      <c r="AS1195" s="115"/>
      <c r="AT1195" s="115"/>
      <c r="AU1195" s="115"/>
      <c r="AV1195" s="115"/>
      <c r="AW1195" s="115"/>
      <c r="AX1195" s="115"/>
      <c r="AY1195" s="115"/>
      <c r="AZ1195" s="115"/>
      <c r="BA1195" s="115"/>
      <c r="BB1195" s="115"/>
      <c r="BC1195" s="115"/>
      <c r="BD1195" s="26"/>
      <c r="BE1195" s="13"/>
      <c r="BI1195" s="117"/>
      <c r="BJ1195" s="116"/>
      <c r="BK1195" s="116"/>
      <c r="BL1195" s="116"/>
    </row>
    <row r="1196" spans="1:64" ht="19.5" x14ac:dyDescent="0.4">
      <c r="A1196" s="115"/>
      <c r="B1196" s="115"/>
      <c r="C1196" s="115"/>
      <c r="D1196" s="115"/>
      <c r="E1196" s="115"/>
      <c r="F1196" s="115"/>
      <c r="G1196" s="115"/>
      <c r="H1196" s="115"/>
      <c r="I1196" s="115"/>
      <c r="J1196" s="115"/>
      <c r="K1196" s="115"/>
      <c r="L1196" s="115"/>
      <c r="M1196" s="115"/>
      <c r="N1196" s="115"/>
      <c r="O1196" s="115"/>
      <c r="P1196" s="115"/>
      <c r="Q1196" s="115"/>
      <c r="R1196" s="115"/>
      <c r="S1196" s="115"/>
      <c r="T1196" s="115"/>
      <c r="U1196" s="115"/>
      <c r="V1196" s="115"/>
      <c r="W1196" s="115"/>
      <c r="X1196" s="115"/>
      <c r="Y1196" s="115"/>
      <c r="Z1196" s="115"/>
      <c r="AA1196" s="115"/>
      <c r="AB1196" s="115"/>
      <c r="AC1196" s="115"/>
      <c r="AD1196" s="115"/>
      <c r="AE1196" s="115"/>
      <c r="AF1196" s="115"/>
      <c r="AG1196" s="115"/>
      <c r="AH1196" s="115"/>
      <c r="AI1196" s="115"/>
      <c r="AJ1196" s="115"/>
      <c r="AK1196" s="115"/>
      <c r="AL1196" s="115"/>
      <c r="AM1196" s="122"/>
      <c r="AN1196" s="122"/>
      <c r="AO1196" s="122"/>
      <c r="AP1196" s="115"/>
      <c r="AQ1196" s="115"/>
      <c r="AR1196" s="115"/>
      <c r="AS1196" s="115"/>
      <c r="AT1196" s="115"/>
      <c r="AU1196" s="115"/>
      <c r="AV1196" s="115"/>
      <c r="AW1196" s="115"/>
      <c r="AX1196" s="115"/>
      <c r="AY1196" s="115"/>
      <c r="AZ1196" s="115"/>
      <c r="BA1196" s="115"/>
      <c r="BB1196" s="115"/>
      <c r="BC1196" s="115"/>
      <c r="BD1196" s="26"/>
      <c r="BE1196" s="15"/>
      <c r="BI1196" s="117"/>
      <c r="BJ1196" s="116"/>
      <c r="BK1196" s="116"/>
      <c r="BL1196" s="116"/>
    </row>
    <row r="1197" spans="1:64" ht="19.5" x14ac:dyDescent="0.4">
      <c r="A1197" s="115"/>
      <c r="B1197" s="115"/>
      <c r="C1197" s="115"/>
      <c r="D1197" s="115"/>
      <c r="E1197" s="115"/>
      <c r="F1197" s="115"/>
      <c r="G1197" s="115"/>
      <c r="H1197" s="115"/>
      <c r="I1197" s="115"/>
      <c r="J1197" s="115"/>
      <c r="K1197" s="115"/>
      <c r="L1197" s="115"/>
      <c r="M1197" s="115"/>
      <c r="N1197" s="115"/>
      <c r="O1197" s="115"/>
      <c r="P1197" s="115"/>
      <c r="Q1197" s="115"/>
      <c r="R1197" s="115"/>
      <c r="S1197" s="115"/>
      <c r="T1197" s="115"/>
      <c r="U1197" s="115"/>
      <c r="V1197" s="115"/>
      <c r="W1197" s="115"/>
      <c r="X1197" s="115"/>
      <c r="Y1197" s="115"/>
      <c r="Z1197" s="115"/>
      <c r="AA1197" s="115"/>
      <c r="AB1197" s="115"/>
      <c r="AC1197" s="115"/>
      <c r="AD1197" s="115"/>
      <c r="AE1197" s="115"/>
      <c r="AF1197" s="115"/>
      <c r="AG1197" s="115"/>
      <c r="AH1197" s="115"/>
      <c r="AI1197" s="115"/>
      <c r="AJ1197" s="115"/>
      <c r="AK1197" s="115"/>
      <c r="AL1197" s="115"/>
      <c r="AM1197" s="122"/>
      <c r="AN1197" s="122"/>
      <c r="AO1197" s="122"/>
      <c r="AP1197" s="115"/>
      <c r="AQ1197" s="115"/>
      <c r="AR1197" s="115"/>
      <c r="AS1197" s="115"/>
      <c r="AT1197" s="115"/>
      <c r="AU1197" s="115"/>
      <c r="AV1197" s="115"/>
      <c r="AW1197" s="115"/>
      <c r="AX1197" s="115"/>
      <c r="AY1197" s="115"/>
      <c r="AZ1197" s="115"/>
      <c r="BA1197" s="115"/>
      <c r="BB1197" s="115"/>
      <c r="BC1197" s="115"/>
      <c r="BD1197" s="26"/>
      <c r="BE1197" s="15"/>
      <c r="BI1197" s="117"/>
      <c r="BJ1197" s="116"/>
      <c r="BK1197" s="116"/>
      <c r="BL1197" s="116"/>
    </row>
    <row r="1198" spans="1:64" ht="19.5" x14ac:dyDescent="0.4">
      <c r="A1198" s="115"/>
      <c r="B1198" s="115"/>
      <c r="C1198" s="115"/>
      <c r="D1198" s="115"/>
      <c r="E1198" s="115"/>
      <c r="F1198" s="115"/>
      <c r="G1198" s="115"/>
      <c r="H1198" s="115"/>
      <c r="I1198" s="115"/>
      <c r="J1198" s="115"/>
      <c r="K1198" s="115"/>
      <c r="L1198" s="115"/>
      <c r="M1198" s="115"/>
      <c r="N1198" s="115"/>
      <c r="O1198" s="115"/>
      <c r="P1198" s="115"/>
      <c r="Q1198" s="115"/>
      <c r="R1198" s="115"/>
      <c r="S1198" s="115"/>
      <c r="T1198" s="115"/>
      <c r="U1198" s="115"/>
      <c r="V1198" s="115"/>
      <c r="W1198" s="115"/>
      <c r="X1198" s="115"/>
      <c r="Y1198" s="115"/>
      <c r="Z1198" s="115"/>
      <c r="AA1198" s="115"/>
      <c r="AB1198" s="115"/>
      <c r="AC1198" s="115"/>
      <c r="AD1198" s="115"/>
      <c r="AE1198" s="115"/>
      <c r="AF1198" s="115"/>
      <c r="AG1198" s="115"/>
      <c r="AH1198" s="115"/>
      <c r="AI1198" s="115"/>
      <c r="AJ1198" s="115"/>
      <c r="AK1198" s="115"/>
      <c r="AL1198" s="115"/>
      <c r="AM1198" s="122"/>
      <c r="AN1198" s="122"/>
      <c r="AO1198" s="122"/>
      <c r="AP1198" s="115"/>
      <c r="AQ1198" s="115"/>
      <c r="AR1198" s="115"/>
      <c r="AS1198" s="115"/>
      <c r="AT1198" s="115"/>
      <c r="AU1198" s="115"/>
      <c r="AV1198" s="115"/>
      <c r="AW1198" s="115"/>
      <c r="AX1198" s="115"/>
      <c r="AY1198" s="115"/>
      <c r="AZ1198" s="115"/>
      <c r="BA1198" s="115"/>
      <c r="BB1198" s="115"/>
      <c r="BC1198" s="115"/>
      <c r="BD1198" s="26"/>
      <c r="BE1198" s="15"/>
      <c r="BI1198" s="117"/>
      <c r="BJ1198" s="116"/>
      <c r="BK1198" s="116"/>
      <c r="BL1198" s="116"/>
    </row>
    <row r="1199" spans="1:64" ht="19.5" x14ac:dyDescent="0.4">
      <c r="A1199" s="115"/>
      <c r="B1199" s="115"/>
      <c r="C1199" s="115"/>
      <c r="D1199" s="115"/>
      <c r="E1199" s="115"/>
      <c r="F1199" s="115"/>
      <c r="G1199" s="115"/>
      <c r="H1199" s="115"/>
      <c r="I1199" s="115"/>
      <c r="J1199" s="115"/>
      <c r="K1199" s="115"/>
      <c r="L1199" s="115"/>
      <c r="M1199" s="115"/>
      <c r="N1199" s="115"/>
      <c r="O1199" s="115"/>
      <c r="P1199" s="115"/>
      <c r="Q1199" s="115"/>
      <c r="R1199" s="115"/>
      <c r="S1199" s="115"/>
      <c r="T1199" s="115"/>
      <c r="U1199" s="115"/>
      <c r="V1199" s="115"/>
      <c r="W1199" s="115"/>
      <c r="X1199" s="115"/>
      <c r="Y1199" s="115"/>
      <c r="Z1199" s="115"/>
      <c r="AA1199" s="115"/>
      <c r="AB1199" s="115"/>
      <c r="AC1199" s="115"/>
      <c r="AD1199" s="115"/>
      <c r="AE1199" s="115"/>
      <c r="AF1199" s="115"/>
      <c r="AG1199" s="115"/>
      <c r="AH1199" s="115"/>
      <c r="AI1199" s="115"/>
      <c r="AJ1199" s="115"/>
      <c r="AK1199" s="115"/>
      <c r="AL1199" s="115"/>
      <c r="AM1199" s="122"/>
      <c r="AN1199" s="122"/>
      <c r="AO1199" s="122"/>
      <c r="AP1199" s="115"/>
      <c r="AQ1199" s="115"/>
      <c r="AR1199" s="115"/>
      <c r="AS1199" s="115"/>
      <c r="AT1199" s="115"/>
      <c r="AU1199" s="115"/>
      <c r="AV1199" s="115"/>
      <c r="AW1199" s="115"/>
      <c r="AX1199" s="115"/>
      <c r="AY1199" s="115"/>
      <c r="AZ1199" s="115"/>
      <c r="BA1199" s="115"/>
      <c r="BB1199" s="115"/>
      <c r="BC1199" s="115"/>
      <c r="BD1199" s="26"/>
      <c r="BE1199" s="15"/>
      <c r="BI1199" s="117"/>
      <c r="BJ1199" s="116"/>
      <c r="BK1199" s="116"/>
      <c r="BL1199" s="116"/>
    </row>
    <row r="1200" spans="1:64" ht="19.5" x14ac:dyDescent="0.4">
      <c r="A1200" s="115"/>
      <c r="B1200" s="115"/>
      <c r="C1200" s="115"/>
      <c r="D1200" s="115"/>
      <c r="E1200" s="115"/>
      <c r="F1200" s="115"/>
      <c r="G1200" s="115"/>
      <c r="H1200" s="115"/>
      <c r="I1200" s="115"/>
      <c r="J1200" s="115"/>
      <c r="K1200" s="115"/>
      <c r="L1200" s="115"/>
      <c r="M1200" s="115"/>
      <c r="N1200" s="115"/>
      <c r="O1200" s="115"/>
      <c r="P1200" s="115"/>
      <c r="Q1200" s="115"/>
      <c r="R1200" s="115"/>
      <c r="S1200" s="115"/>
      <c r="T1200" s="115"/>
      <c r="U1200" s="115"/>
      <c r="V1200" s="115"/>
      <c r="W1200" s="115"/>
      <c r="X1200" s="115"/>
      <c r="Y1200" s="115"/>
      <c r="Z1200" s="115"/>
      <c r="AA1200" s="115"/>
      <c r="AB1200" s="115"/>
      <c r="AC1200" s="115"/>
      <c r="AD1200" s="115"/>
      <c r="AE1200" s="115"/>
      <c r="AF1200" s="115"/>
      <c r="AG1200" s="115"/>
      <c r="AH1200" s="115"/>
      <c r="AI1200" s="115"/>
      <c r="AJ1200" s="115"/>
      <c r="AK1200" s="115"/>
      <c r="AL1200" s="115"/>
      <c r="AM1200" s="122"/>
      <c r="AN1200" s="122"/>
      <c r="AO1200" s="122"/>
      <c r="AP1200" s="115"/>
      <c r="AQ1200" s="115"/>
      <c r="AR1200" s="115"/>
      <c r="AS1200" s="115"/>
      <c r="AT1200" s="115"/>
      <c r="AU1200" s="115"/>
      <c r="AV1200" s="115"/>
      <c r="AW1200" s="115"/>
      <c r="AX1200" s="115"/>
      <c r="AY1200" s="115"/>
      <c r="AZ1200" s="115"/>
      <c r="BA1200" s="115"/>
      <c r="BB1200" s="115"/>
      <c r="BC1200" s="115"/>
      <c r="BD1200" s="26"/>
      <c r="BE1200" s="25"/>
      <c r="BI1200" s="117"/>
      <c r="BJ1200" s="116"/>
      <c r="BK1200" s="116"/>
      <c r="BL1200" s="116"/>
    </row>
    <row r="1201" spans="1:64" ht="19.5" x14ac:dyDescent="0.4">
      <c r="BD1201" s="26"/>
      <c r="BE1201" s="15"/>
      <c r="BI1201" s="117"/>
      <c r="BJ1201" s="116"/>
      <c r="BK1201" s="116"/>
      <c r="BL1201" s="116"/>
    </row>
    <row r="1202" spans="1:64" ht="19.5" x14ac:dyDescent="0.4">
      <c r="AL1202" s="115"/>
      <c r="AM1202" s="122"/>
      <c r="AN1202" s="122"/>
      <c r="AO1202" s="122"/>
      <c r="AP1202" s="115"/>
      <c r="AQ1202" s="115"/>
      <c r="AR1202" s="115"/>
      <c r="AS1202" s="115"/>
      <c r="AT1202" s="115"/>
      <c r="AU1202" s="115"/>
      <c r="AV1202" s="115"/>
      <c r="AW1202" s="115"/>
      <c r="AX1202" s="115"/>
      <c r="AY1202" s="115"/>
      <c r="AZ1202" s="115"/>
      <c r="BA1202" s="115"/>
      <c r="BB1202" s="115"/>
      <c r="BC1202" s="115"/>
      <c r="BD1202" s="26"/>
      <c r="BE1202" s="15"/>
      <c r="BI1202" s="117"/>
      <c r="BJ1202" s="116"/>
      <c r="BK1202" s="116"/>
      <c r="BL1202" s="116"/>
    </row>
    <row r="1203" spans="1:64" ht="19.5" x14ac:dyDescent="0.4">
      <c r="AJ1203" s="115"/>
      <c r="AK1203" s="115"/>
      <c r="AL1203" s="115"/>
      <c r="AM1203" s="122"/>
      <c r="AN1203" s="122"/>
      <c r="AO1203" s="122"/>
      <c r="AP1203" s="115"/>
      <c r="AQ1203" s="115"/>
      <c r="AR1203" s="115"/>
      <c r="AS1203" s="115"/>
      <c r="AT1203" s="115"/>
      <c r="AU1203" s="115"/>
      <c r="AV1203" s="115"/>
      <c r="AW1203" s="115"/>
      <c r="AX1203" s="115"/>
      <c r="AY1203" s="115"/>
      <c r="AZ1203" s="115"/>
      <c r="BA1203" s="115"/>
      <c r="BB1203" s="115"/>
      <c r="BC1203" s="115"/>
      <c r="BD1203" s="26"/>
      <c r="BE1203" s="15"/>
      <c r="BI1203" s="117"/>
      <c r="BJ1203" s="116"/>
      <c r="BK1203" s="116"/>
      <c r="BL1203" s="116"/>
    </row>
    <row r="1204" spans="1:64" ht="19.5" x14ac:dyDescent="0.4">
      <c r="AJ1204" s="115"/>
      <c r="AK1204" s="115"/>
      <c r="AL1204" s="115"/>
      <c r="AM1204" s="122"/>
      <c r="AN1204" s="122"/>
      <c r="AO1204" s="122"/>
      <c r="AP1204" s="115"/>
      <c r="AQ1204" s="115"/>
      <c r="AR1204" s="115"/>
      <c r="AS1204" s="115"/>
      <c r="AT1204" s="115"/>
      <c r="AU1204" s="115"/>
      <c r="AV1204" s="115"/>
      <c r="AW1204" s="115"/>
      <c r="AX1204" s="115"/>
      <c r="AY1204" s="115"/>
      <c r="AZ1204" s="115"/>
      <c r="BA1204" s="115"/>
      <c r="BB1204" s="115"/>
      <c r="BC1204" s="115"/>
      <c r="BD1204" s="17"/>
      <c r="BE1204" s="15"/>
      <c r="BI1204" s="117"/>
      <c r="BJ1204" s="116"/>
      <c r="BK1204" s="116"/>
      <c r="BL1204" s="116"/>
    </row>
    <row r="1205" spans="1:64" ht="19.5" x14ac:dyDescent="0.4">
      <c r="AG1205" s="115"/>
      <c r="AH1205" s="115"/>
      <c r="AI1205" s="115"/>
      <c r="AJ1205" s="115"/>
      <c r="AK1205" s="115"/>
      <c r="AL1205" s="115"/>
      <c r="AM1205" s="122"/>
      <c r="AN1205" s="122"/>
      <c r="AO1205" s="122"/>
      <c r="AP1205" s="115"/>
      <c r="AQ1205" s="115"/>
      <c r="AR1205" s="115"/>
      <c r="AS1205" s="115"/>
      <c r="AT1205" s="115"/>
      <c r="AU1205" s="115"/>
      <c r="AV1205" s="115"/>
      <c r="AW1205" s="115"/>
      <c r="AX1205" s="115"/>
      <c r="AY1205" s="115"/>
      <c r="AZ1205" s="115"/>
      <c r="BA1205" s="115"/>
      <c r="BB1205" s="115"/>
      <c r="BC1205" s="115"/>
      <c r="BD1205" s="26"/>
      <c r="BE1205" s="15"/>
      <c r="BI1205" s="117"/>
      <c r="BJ1205" s="116"/>
      <c r="BK1205" s="116"/>
      <c r="BL1205" s="116"/>
    </row>
    <row r="1206" spans="1:64" ht="19.5" x14ac:dyDescent="0.4">
      <c r="AG1206" s="115"/>
      <c r="AH1206" s="115"/>
      <c r="AI1206" s="115"/>
      <c r="AJ1206" s="115"/>
      <c r="AK1206" s="115"/>
      <c r="AL1206" s="115"/>
      <c r="AM1206" s="122"/>
      <c r="AN1206" s="122"/>
      <c r="AO1206" s="122"/>
      <c r="AP1206" s="115"/>
      <c r="AQ1206" s="115"/>
      <c r="AR1206" s="115"/>
      <c r="AS1206" s="115"/>
      <c r="AT1206" s="115"/>
      <c r="AU1206" s="115"/>
      <c r="AV1206" s="115"/>
      <c r="AW1206" s="115"/>
      <c r="AX1206" s="115"/>
      <c r="AY1206" s="115"/>
      <c r="AZ1206" s="115"/>
      <c r="BA1206" s="115"/>
      <c r="BB1206" s="115"/>
      <c r="BC1206" s="115"/>
      <c r="BD1206" s="17"/>
      <c r="BE1206" s="15"/>
      <c r="BI1206" s="117"/>
      <c r="BJ1206" s="116"/>
      <c r="BK1206" s="116"/>
      <c r="BL1206" s="116"/>
    </row>
    <row r="1207" spans="1:64" ht="19.5" x14ac:dyDescent="0.4">
      <c r="AG1207" s="115"/>
      <c r="AH1207" s="115"/>
      <c r="AI1207" s="115"/>
      <c r="AJ1207" s="115"/>
      <c r="AK1207" s="115"/>
      <c r="AL1207" s="115"/>
      <c r="AM1207" s="122"/>
      <c r="AN1207" s="122"/>
      <c r="AO1207" s="122"/>
      <c r="AP1207" s="115"/>
      <c r="AQ1207" s="115"/>
      <c r="AR1207" s="115"/>
      <c r="AS1207" s="115"/>
      <c r="AT1207" s="115"/>
      <c r="AU1207" s="115"/>
      <c r="AV1207" s="115"/>
      <c r="AW1207" s="115"/>
      <c r="AX1207" s="115"/>
      <c r="AY1207" s="115"/>
      <c r="AZ1207" s="115"/>
      <c r="BA1207" s="115"/>
      <c r="BB1207" s="115"/>
      <c r="BC1207" s="115"/>
      <c r="BD1207" s="26"/>
      <c r="BE1207" s="15"/>
      <c r="BI1207" s="117"/>
      <c r="BJ1207" s="116"/>
      <c r="BK1207" s="116"/>
      <c r="BL1207" s="116"/>
    </row>
    <row r="1208" spans="1:64" ht="19.5" x14ac:dyDescent="0.4">
      <c r="AG1208" s="115"/>
      <c r="AH1208" s="115"/>
      <c r="AI1208" s="115"/>
      <c r="AJ1208" s="115"/>
      <c r="AK1208" s="115"/>
      <c r="AL1208" s="115"/>
      <c r="AM1208" s="122"/>
      <c r="AN1208" s="122"/>
      <c r="AO1208" s="122"/>
      <c r="AP1208" s="115"/>
      <c r="AQ1208" s="115"/>
      <c r="AR1208" s="115"/>
      <c r="AS1208" s="115"/>
      <c r="AT1208" s="115"/>
      <c r="AU1208" s="115"/>
      <c r="AV1208" s="115"/>
      <c r="AW1208" s="115"/>
      <c r="AX1208" s="115"/>
      <c r="AY1208" s="115"/>
      <c r="AZ1208" s="115"/>
      <c r="BA1208" s="115"/>
      <c r="BB1208" s="115"/>
      <c r="BC1208" s="115"/>
      <c r="BD1208" s="17"/>
      <c r="BE1208" s="13"/>
      <c r="BI1208" s="117"/>
      <c r="BJ1208" s="116"/>
      <c r="BK1208" s="116"/>
      <c r="BL1208" s="116"/>
    </row>
    <row r="1209" spans="1:64" ht="19.5" x14ac:dyDescent="0.4">
      <c r="AG1209" s="115"/>
      <c r="AH1209" s="115"/>
      <c r="AI1209" s="115"/>
      <c r="AJ1209" s="115"/>
      <c r="AK1209" s="115"/>
      <c r="AL1209" s="115"/>
      <c r="AM1209" s="122"/>
      <c r="AN1209" s="122"/>
      <c r="AO1209" s="122"/>
      <c r="AP1209" s="115"/>
      <c r="AQ1209" s="115"/>
      <c r="AR1209" s="115"/>
      <c r="AS1209" s="115"/>
      <c r="AT1209" s="115"/>
      <c r="AU1209" s="115"/>
      <c r="AV1209" s="115"/>
      <c r="AW1209" s="115"/>
      <c r="AX1209" s="115"/>
      <c r="AY1209" s="115"/>
      <c r="AZ1209" s="115"/>
      <c r="BA1209" s="115"/>
      <c r="BB1209" s="115"/>
      <c r="BC1209" s="115"/>
      <c r="BD1209" s="17"/>
      <c r="BE1209" s="13"/>
      <c r="BI1209" s="117"/>
      <c r="BJ1209" s="116"/>
      <c r="BK1209" s="116"/>
      <c r="BL1209" s="116"/>
    </row>
    <row r="1210" spans="1:64" ht="19.5" x14ac:dyDescent="0.4">
      <c r="BD1210" s="26"/>
      <c r="BE1210" s="13"/>
      <c r="BI1210" s="117"/>
      <c r="BJ1210" s="116"/>
      <c r="BK1210" s="116"/>
      <c r="BL1210" s="116"/>
    </row>
    <row r="1211" spans="1:64" ht="19.5" x14ac:dyDescent="0.4">
      <c r="AL1211" s="115"/>
      <c r="AM1211" s="122"/>
      <c r="AN1211" s="122"/>
      <c r="AO1211" s="122"/>
      <c r="AP1211" s="115"/>
      <c r="AQ1211" s="115"/>
      <c r="AR1211" s="115"/>
      <c r="AS1211" s="115"/>
      <c r="AT1211" s="115"/>
      <c r="AU1211" s="115"/>
      <c r="AV1211" s="115"/>
      <c r="AW1211" s="115"/>
      <c r="AX1211" s="115"/>
      <c r="AY1211" s="115"/>
      <c r="AZ1211" s="115"/>
      <c r="BA1211" s="115"/>
      <c r="BB1211" s="115"/>
      <c r="BC1211" s="115"/>
      <c r="BD1211" s="17"/>
      <c r="BE1211" s="13"/>
      <c r="BI1211" s="117"/>
      <c r="BJ1211" s="116"/>
      <c r="BK1211" s="116"/>
      <c r="BL1211" s="116"/>
    </row>
    <row r="1212" spans="1:64" ht="19.5" x14ac:dyDescent="0.4">
      <c r="A1212" s="115"/>
      <c r="B1212" s="115"/>
      <c r="C1212" s="115"/>
      <c r="D1212" s="115"/>
      <c r="E1212" s="115"/>
      <c r="F1212" s="115"/>
      <c r="G1212" s="115"/>
      <c r="H1212" s="115"/>
      <c r="I1212" s="115"/>
      <c r="J1212" s="115"/>
      <c r="K1212" s="115"/>
      <c r="L1212" s="115"/>
      <c r="M1212" s="115"/>
      <c r="N1212" s="115"/>
      <c r="O1212" s="115"/>
      <c r="P1212" s="115"/>
      <c r="Q1212" s="115"/>
      <c r="R1212" s="115"/>
      <c r="S1212" s="115"/>
      <c r="T1212" s="115"/>
      <c r="U1212" s="115"/>
      <c r="V1212" s="115"/>
      <c r="W1212" s="115"/>
      <c r="X1212" s="115"/>
      <c r="Y1212" s="115"/>
      <c r="Z1212" s="115"/>
      <c r="AA1212" s="115"/>
      <c r="AB1212" s="115"/>
      <c r="AC1212" s="115"/>
      <c r="AD1212" s="115"/>
      <c r="AE1212" s="115"/>
      <c r="AF1212" s="115"/>
      <c r="AG1212" s="115"/>
      <c r="AH1212" s="115"/>
      <c r="AI1212" s="115"/>
      <c r="AJ1212" s="115"/>
      <c r="AK1212" s="115"/>
      <c r="AL1212" s="115"/>
      <c r="AM1212" s="122"/>
      <c r="AN1212" s="122"/>
      <c r="AO1212" s="122"/>
      <c r="AP1212" s="115"/>
      <c r="AQ1212" s="115"/>
      <c r="AR1212" s="115"/>
      <c r="AS1212" s="115"/>
      <c r="AT1212" s="115"/>
      <c r="AU1212" s="115"/>
      <c r="AV1212" s="115"/>
      <c r="AW1212" s="115"/>
      <c r="AX1212" s="115"/>
      <c r="AY1212" s="115"/>
      <c r="AZ1212" s="115"/>
      <c r="BA1212" s="115"/>
      <c r="BB1212" s="115"/>
      <c r="BC1212" s="115"/>
      <c r="BD1212" s="26"/>
      <c r="BE1212" s="13"/>
      <c r="BI1212" s="117"/>
      <c r="BJ1212" s="116"/>
      <c r="BK1212" s="116"/>
      <c r="BL1212" s="116"/>
    </row>
    <row r="1213" spans="1:64" ht="19.5" x14ac:dyDescent="0.4">
      <c r="A1213" s="115"/>
      <c r="B1213" s="115"/>
      <c r="C1213" s="115"/>
      <c r="D1213" s="115"/>
      <c r="E1213" s="115"/>
      <c r="F1213" s="115"/>
      <c r="G1213" s="115"/>
      <c r="H1213" s="115"/>
      <c r="I1213" s="115"/>
      <c r="J1213" s="115"/>
      <c r="K1213" s="115"/>
      <c r="L1213" s="115"/>
      <c r="M1213" s="115"/>
      <c r="N1213" s="115"/>
      <c r="O1213" s="115"/>
      <c r="P1213" s="115"/>
      <c r="Q1213" s="115"/>
      <c r="R1213" s="115"/>
      <c r="S1213" s="115"/>
      <c r="T1213" s="115"/>
      <c r="U1213" s="115"/>
      <c r="V1213" s="115"/>
      <c r="W1213" s="115"/>
      <c r="X1213" s="115"/>
      <c r="Y1213" s="115"/>
      <c r="Z1213" s="115"/>
      <c r="AA1213" s="115"/>
      <c r="AB1213" s="115"/>
      <c r="AC1213" s="115"/>
      <c r="AD1213" s="115"/>
      <c r="AE1213" s="115"/>
      <c r="AF1213" s="115"/>
      <c r="AG1213" s="115"/>
      <c r="AH1213" s="115"/>
      <c r="AI1213" s="115"/>
      <c r="AJ1213" s="115"/>
      <c r="AK1213" s="115"/>
      <c r="AL1213" s="115"/>
      <c r="AM1213" s="122"/>
      <c r="AN1213" s="122"/>
      <c r="AO1213" s="122"/>
      <c r="AP1213" s="115"/>
      <c r="AQ1213" s="115"/>
      <c r="AR1213" s="115"/>
      <c r="AS1213" s="115"/>
      <c r="AT1213" s="115"/>
      <c r="AU1213" s="115"/>
      <c r="AV1213" s="115"/>
      <c r="AW1213" s="115"/>
      <c r="AX1213" s="115"/>
      <c r="AY1213" s="115"/>
      <c r="AZ1213" s="115"/>
      <c r="BA1213" s="115"/>
      <c r="BB1213" s="115"/>
      <c r="BC1213" s="115"/>
      <c r="BD1213" s="26"/>
      <c r="BE1213" s="13"/>
      <c r="BI1213" s="117"/>
      <c r="BJ1213" s="116"/>
      <c r="BK1213" s="116"/>
      <c r="BL1213" s="116"/>
    </row>
    <row r="1214" spans="1:64" ht="19.5" x14ac:dyDescent="0.4">
      <c r="A1214" s="115"/>
      <c r="B1214" s="115"/>
      <c r="C1214" s="115"/>
      <c r="D1214" s="115"/>
      <c r="E1214" s="115"/>
      <c r="F1214" s="115"/>
      <c r="G1214" s="115"/>
      <c r="H1214" s="115"/>
      <c r="I1214" s="115"/>
      <c r="J1214" s="115"/>
      <c r="K1214" s="115"/>
      <c r="L1214" s="115"/>
      <c r="M1214" s="115"/>
      <c r="N1214" s="115"/>
      <c r="O1214" s="115"/>
      <c r="P1214" s="115"/>
      <c r="Q1214" s="115"/>
      <c r="R1214" s="115"/>
      <c r="S1214" s="115"/>
      <c r="T1214" s="115"/>
      <c r="U1214" s="115"/>
      <c r="V1214" s="115"/>
      <c r="W1214" s="115"/>
      <c r="X1214" s="115"/>
      <c r="Y1214" s="115"/>
      <c r="Z1214" s="115"/>
      <c r="AA1214" s="115"/>
      <c r="AB1214" s="115"/>
      <c r="AC1214" s="115"/>
      <c r="AD1214" s="115"/>
      <c r="AE1214" s="115"/>
      <c r="AF1214" s="115"/>
      <c r="AG1214" s="115"/>
      <c r="AH1214" s="115"/>
      <c r="AI1214" s="115"/>
      <c r="AJ1214" s="115"/>
      <c r="AK1214" s="115"/>
      <c r="AL1214" s="115"/>
      <c r="AM1214" s="122"/>
      <c r="AN1214" s="122"/>
      <c r="AO1214" s="122"/>
      <c r="AP1214" s="115"/>
      <c r="AQ1214" s="115"/>
      <c r="AR1214" s="115"/>
      <c r="AS1214" s="115"/>
      <c r="AT1214" s="115"/>
      <c r="AU1214" s="115"/>
      <c r="AV1214" s="115"/>
      <c r="AW1214" s="115"/>
      <c r="AX1214" s="115"/>
      <c r="AY1214" s="115"/>
      <c r="AZ1214" s="115"/>
      <c r="BA1214" s="115"/>
      <c r="BB1214" s="115"/>
      <c r="BC1214" s="115"/>
      <c r="BD1214" s="26"/>
      <c r="BE1214" s="13"/>
      <c r="BI1214" s="117"/>
      <c r="BJ1214" s="116"/>
      <c r="BK1214" s="116"/>
      <c r="BL1214" s="116"/>
    </row>
    <row r="1215" spans="1:64" ht="19.5" x14ac:dyDescent="0.4">
      <c r="A1215" s="115"/>
      <c r="B1215" s="115"/>
      <c r="C1215" s="115"/>
      <c r="D1215" s="115"/>
      <c r="E1215" s="115"/>
      <c r="F1215" s="115"/>
      <c r="G1215" s="115"/>
      <c r="H1215" s="115"/>
      <c r="I1215" s="115"/>
      <c r="J1215" s="115"/>
      <c r="K1215" s="115"/>
      <c r="L1215" s="115"/>
      <c r="M1215" s="115"/>
      <c r="N1215" s="115"/>
      <c r="O1215" s="115"/>
      <c r="P1215" s="115"/>
      <c r="Q1215" s="115"/>
      <c r="R1215" s="115"/>
      <c r="S1215" s="115"/>
      <c r="T1215" s="115"/>
      <c r="U1215" s="115"/>
      <c r="V1215" s="115"/>
      <c r="W1215" s="115"/>
      <c r="X1215" s="115"/>
      <c r="Y1215" s="115"/>
      <c r="Z1215" s="115"/>
      <c r="AA1215" s="115"/>
      <c r="AB1215" s="115"/>
      <c r="AC1215" s="115"/>
      <c r="AD1215" s="115"/>
      <c r="AE1215" s="115"/>
      <c r="AF1215" s="115"/>
      <c r="AG1215" s="115"/>
      <c r="AH1215" s="115"/>
      <c r="AI1215" s="115"/>
      <c r="AJ1215" s="115"/>
      <c r="AK1215" s="115"/>
      <c r="AL1215" s="115"/>
      <c r="AM1215" s="122"/>
      <c r="AN1215" s="122"/>
      <c r="AO1215" s="122"/>
      <c r="AP1215" s="115"/>
      <c r="AQ1215" s="115"/>
      <c r="AR1215" s="115"/>
      <c r="AS1215" s="115"/>
      <c r="AT1215" s="115"/>
      <c r="AU1215" s="115"/>
      <c r="AV1215" s="115"/>
      <c r="AW1215" s="115"/>
      <c r="AX1215" s="115"/>
      <c r="AY1215" s="115"/>
      <c r="AZ1215" s="115"/>
      <c r="BA1215" s="115"/>
      <c r="BB1215" s="115"/>
      <c r="BC1215" s="115"/>
      <c r="BD1215" s="26"/>
      <c r="BE1215" s="13"/>
      <c r="BI1215" s="117"/>
      <c r="BJ1215" s="116"/>
      <c r="BK1215" s="116"/>
      <c r="BL1215" s="116"/>
    </row>
    <row r="1216" spans="1:64" ht="19.5" x14ac:dyDescent="0.4">
      <c r="A1216" s="115"/>
      <c r="B1216" s="115"/>
      <c r="C1216" s="115"/>
      <c r="D1216" s="115"/>
      <c r="E1216" s="115"/>
      <c r="F1216" s="115"/>
      <c r="G1216" s="115"/>
      <c r="H1216" s="115"/>
      <c r="I1216" s="115"/>
      <c r="J1216" s="115"/>
      <c r="K1216" s="115"/>
      <c r="L1216" s="115"/>
      <c r="M1216" s="115"/>
      <c r="N1216" s="115"/>
      <c r="O1216" s="115"/>
      <c r="P1216" s="115"/>
      <c r="Q1216" s="115"/>
      <c r="R1216" s="115"/>
      <c r="S1216" s="115"/>
      <c r="T1216" s="115"/>
      <c r="U1216" s="115"/>
      <c r="V1216" s="115"/>
      <c r="W1216" s="115"/>
      <c r="X1216" s="115"/>
      <c r="Y1216" s="115"/>
      <c r="Z1216" s="115"/>
      <c r="AA1216" s="115"/>
      <c r="AB1216" s="115"/>
      <c r="AC1216" s="115"/>
      <c r="AD1216" s="115"/>
      <c r="AE1216" s="115"/>
      <c r="AF1216" s="115"/>
      <c r="AG1216" s="115"/>
      <c r="AH1216" s="115"/>
      <c r="AI1216" s="115"/>
      <c r="AJ1216" s="115"/>
      <c r="AK1216" s="115"/>
      <c r="AL1216" s="115"/>
      <c r="AM1216" s="122"/>
      <c r="AN1216" s="122"/>
      <c r="AO1216" s="122"/>
      <c r="AP1216" s="115"/>
      <c r="AQ1216" s="115"/>
      <c r="AR1216" s="115"/>
      <c r="AS1216" s="115"/>
      <c r="AT1216" s="115"/>
      <c r="AU1216" s="115"/>
      <c r="AV1216" s="115"/>
      <c r="AW1216" s="115"/>
      <c r="AX1216" s="115"/>
      <c r="AY1216" s="115"/>
      <c r="AZ1216" s="115"/>
      <c r="BA1216" s="115"/>
      <c r="BB1216" s="115"/>
      <c r="BC1216" s="115"/>
      <c r="BD1216" s="17"/>
      <c r="BE1216" s="13"/>
      <c r="BI1216" s="117"/>
      <c r="BJ1216" s="116"/>
      <c r="BK1216" s="116"/>
      <c r="BL1216" s="116"/>
    </row>
    <row r="1217" spans="1:64" ht="19.5" x14ac:dyDescent="0.4">
      <c r="A1217" s="115"/>
      <c r="B1217" s="115"/>
      <c r="C1217" s="115"/>
      <c r="D1217" s="115"/>
      <c r="E1217" s="115"/>
      <c r="F1217" s="115"/>
      <c r="G1217" s="115"/>
      <c r="H1217" s="115"/>
      <c r="I1217" s="115"/>
      <c r="J1217" s="115"/>
      <c r="K1217" s="115"/>
      <c r="L1217" s="115"/>
      <c r="M1217" s="115"/>
      <c r="N1217" s="115"/>
      <c r="O1217" s="115"/>
      <c r="P1217" s="115"/>
      <c r="Q1217" s="115"/>
      <c r="R1217" s="115"/>
      <c r="S1217" s="115"/>
      <c r="T1217" s="115"/>
      <c r="U1217" s="115"/>
      <c r="V1217" s="115"/>
      <c r="W1217" s="115"/>
      <c r="X1217" s="115"/>
      <c r="Y1217" s="115"/>
      <c r="Z1217" s="115"/>
      <c r="AA1217" s="115"/>
      <c r="AB1217" s="115"/>
      <c r="AC1217" s="115"/>
      <c r="AD1217" s="115"/>
      <c r="AE1217" s="115"/>
      <c r="AF1217" s="115"/>
      <c r="AG1217" s="115"/>
      <c r="AH1217" s="115"/>
      <c r="AI1217" s="115"/>
      <c r="AJ1217" s="115"/>
      <c r="AK1217" s="115"/>
      <c r="AL1217" s="115"/>
      <c r="AM1217" s="122"/>
      <c r="AN1217" s="122"/>
      <c r="AO1217" s="122"/>
      <c r="AP1217" s="115"/>
      <c r="AQ1217" s="115"/>
      <c r="AR1217" s="115"/>
      <c r="AS1217" s="115"/>
      <c r="AT1217" s="115"/>
      <c r="AU1217" s="115"/>
      <c r="AV1217" s="115"/>
      <c r="AW1217" s="115"/>
      <c r="AX1217" s="115"/>
      <c r="AY1217" s="115"/>
      <c r="AZ1217" s="115"/>
      <c r="BA1217" s="115"/>
      <c r="BB1217" s="115"/>
      <c r="BC1217" s="115"/>
      <c r="BD1217" s="26"/>
      <c r="BE1217" s="13"/>
      <c r="BI1217" s="117"/>
      <c r="BJ1217" s="116"/>
      <c r="BK1217" s="116"/>
      <c r="BL1217" s="116"/>
    </row>
    <row r="1218" spans="1:64" ht="19.5" x14ac:dyDescent="0.4">
      <c r="A1218" s="115"/>
      <c r="B1218" s="115"/>
      <c r="C1218" s="115"/>
      <c r="D1218" s="115"/>
      <c r="E1218" s="115"/>
      <c r="F1218" s="115"/>
      <c r="G1218" s="115"/>
      <c r="H1218" s="115"/>
      <c r="I1218" s="115"/>
      <c r="J1218" s="115"/>
      <c r="K1218" s="115"/>
      <c r="L1218" s="115"/>
      <c r="M1218" s="115"/>
      <c r="N1218" s="115"/>
      <c r="O1218" s="115"/>
      <c r="P1218" s="115"/>
      <c r="Q1218" s="115"/>
      <c r="R1218" s="115"/>
      <c r="S1218" s="115"/>
      <c r="T1218" s="115"/>
      <c r="U1218" s="115"/>
      <c r="V1218" s="115"/>
      <c r="W1218" s="115"/>
      <c r="X1218" s="115"/>
      <c r="Y1218" s="115"/>
      <c r="Z1218" s="115"/>
      <c r="AA1218" s="115"/>
      <c r="AB1218" s="115"/>
      <c r="AC1218" s="115"/>
      <c r="AD1218" s="115"/>
      <c r="AE1218" s="115"/>
      <c r="AF1218" s="115"/>
      <c r="AG1218" s="115"/>
      <c r="AH1218" s="115"/>
      <c r="AI1218" s="115"/>
      <c r="AJ1218" s="115"/>
      <c r="AK1218" s="115"/>
      <c r="AL1218" s="115"/>
      <c r="AM1218" s="122"/>
      <c r="AN1218" s="122"/>
      <c r="AO1218" s="122"/>
      <c r="AP1218" s="115"/>
      <c r="AQ1218" s="115"/>
      <c r="AR1218" s="115"/>
      <c r="AS1218" s="115"/>
      <c r="AT1218" s="115"/>
      <c r="AU1218" s="115"/>
      <c r="AV1218" s="115"/>
      <c r="AW1218" s="115"/>
      <c r="AX1218" s="115"/>
      <c r="AY1218" s="115"/>
      <c r="AZ1218" s="115"/>
      <c r="BA1218" s="115"/>
      <c r="BB1218" s="115"/>
      <c r="BC1218" s="115"/>
      <c r="BD1218" s="26"/>
      <c r="BE1218" s="15"/>
      <c r="BI1218" s="117"/>
      <c r="BJ1218" s="116"/>
      <c r="BK1218" s="116"/>
      <c r="BL1218" s="116"/>
    </row>
    <row r="1219" spans="1:64" ht="19.5" x14ac:dyDescent="0.4">
      <c r="BD1219" s="26"/>
      <c r="BE1219" s="15"/>
      <c r="BI1219" s="117"/>
      <c r="BJ1219" s="116"/>
      <c r="BK1219" s="116"/>
      <c r="BL1219" s="116"/>
    </row>
    <row r="1220" spans="1:64" ht="19.5" x14ac:dyDescent="0.4">
      <c r="AK1220" s="115"/>
      <c r="AL1220" s="115"/>
      <c r="AM1220" s="122"/>
      <c r="AN1220" s="122"/>
      <c r="AO1220" s="122"/>
      <c r="AP1220" s="115"/>
      <c r="AQ1220" s="115"/>
      <c r="AR1220" s="115"/>
      <c r="AS1220" s="115"/>
      <c r="AT1220" s="115"/>
      <c r="AU1220" s="115"/>
      <c r="AV1220" s="115"/>
      <c r="AW1220" s="115"/>
      <c r="AX1220" s="115"/>
      <c r="AY1220" s="115"/>
      <c r="AZ1220" s="115"/>
      <c r="BA1220" s="115"/>
      <c r="BB1220" s="115"/>
      <c r="BC1220" s="115"/>
      <c r="BD1220" s="26"/>
      <c r="BE1220" s="13"/>
      <c r="BI1220" s="117"/>
      <c r="BJ1220" s="116"/>
      <c r="BK1220" s="116"/>
      <c r="BL1220" s="116"/>
    </row>
    <row r="1221" spans="1:64" ht="19.5" x14ac:dyDescent="0.4">
      <c r="AI1221" s="115"/>
      <c r="AJ1221" s="115"/>
      <c r="AK1221" s="115"/>
      <c r="AL1221" s="115"/>
      <c r="AM1221" s="122"/>
      <c r="AN1221" s="122"/>
      <c r="AO1221" s="122"/>
      <c r="AP1221" s="115"/>
      <c r="AQ1221" s="115"/>
      <c r="AR1221" s="115"/>
      <c r="AS1221" s="115"/>
      <c r="AT1221" s="115"/>
      <c r="AU1221" s="115"/>
      <c r="AV1221" s="115"/>
      <c r="AW1221" s="115"/>
      <c r="AX1221" s="115"/>
      <c r="AY1221" s="115"/>
      <c r="AZ1221" s="115"/>
      <c r="BA1221" s="115"/>
      <c r="BB1221" s="115"/>
      <c r="BC1221" s="115"/>
      <c r="BD1221" s="26"/>
      <c r="BE1221" s="15"/>
      <c r="BI1221" s="117"/>
      <c r="BJ1221" s="116"/>
      <c r="BK1221" s="116"/>
      <c r="BL1221" s="116"/>
    </row>
    <row r="1222" spans="1:64" ht="19.5" x14ac:dyDescent="0.4">
      <c r="AI1222" s="115"/>
      <c r="AJ1222" s="115"/>
      <c r="AK1222" s="115"/>
      <c r="AL1222" s="115"/>
      <c r="AM1222" s="122"/>
      <c r="AN1222" s="122"/>
      <c r="AO1222" s="122"/>
      <c r="AP1222" s="115"/>
      <c r="AQ1222" s="115"/>
      <c r="AR1222" s="115"/>
      <c r="AS1222" s="115"/>
      <c r="AT1222" s="115"/>
      <c r="AU1222" s="115"/>
      <c r="AV1222" s="115"/>
      <c r="AW1222" s="115"/>
      <c r="AX1222" s="115"/>
      <c r="AY1222" s="115"/>
      <c r="AZ1222" s="115"/>
      <c r="BA1222" s="115"/>
      <c r="BB1222" s="115"/>
      <c r="BC1222" s="115"/>
      <c r="BD1222" s="26"/>
      <c r="BE1222" s="15"/>
      <c r="BI1222" s="117"/>
      <c r="BJ1222" s="116"/>
      <c r="BK1222" s="116"/>
      <c r="BL1222" s="116"/>
    </row>
    <row r="1223" spans="1:64" ht="19.5" x14ac:dyDescent="0.4">
      <c r="AI1223" s="115"/>
      <c r="AJ1223" s="115"/>
      <c r="AK1223" s="115"/>
      <c r="AL1223" s="115"/>
      <c r="AM1223" s="122"/>
      <c r="AN1223" s="122"/>
      <c r="AO1223" s="122"/>
      <c r="AP1223" s="115"/>
      <c r="AQ1223" s="115"/>
      <c r="AR1223" s="115"/>
      <c r="AS1223" s="115"/>
      <c r="AT1223" s="115"/>
      <c r="AU1223" s="115"/>
      <c r="AV1223" s="115"/>
      <c r="AW1223" s="115"/>
      <c r="AX1223" s="115"/>
      <c r="AY1223" s="115"/>
      <c r="AZ1223" s="115"/>
      <c r="BA1223" s="115"/>
      <c r="BB1223" s="115"/>
      <c r="BC1223" s="115"/>
      <c r="BD1223" s="17"/>
      <c r="BE1223" s="15"/>
      <c r="BI1223" s="117"/>
      <c r="BJ1223" s="116"/>
      <c r="BK1223" s="116"/>
      <c r="BL1223" s="116"/>
    </row>
    <row r="1224" spans="1:64" ht="19.5" x14ac:dyDescent="0.4">
      <c r="AH1224" s="115"/>
      <c r="AI1224" s="115"/>
      <c r="AJ1224" s="115"/>
      <c r="AK1224" s="115"/>
      <c r="AL1224" s="115"/>
      <c r="AM1224" s="122"/>
      <c r="AN1224" s="122"/>
      <c r="AO1224" s="122"/>
      <c r="AP1224" s="115"/>
      <c r="AQ1224" s="115"/>
      <c r="AR1224" s="115"/>
      <c r="AS1224" s="115"/>
      <c r="AT1224" s="115"/>
      <c r="AU1224" s="115"/>
      <c r="AV1224" s="115"/>
      <c r="AW1224" s="115"/>
      <c r="AX1224" s="115"/>
      <c r="AY1224" s="115"/>
      <c r="AZ1224" s="115"/>
      <c r="BA1224" s="115"/>
      <c r="BB1224" s="115"/>
      <c r="BC1224" s="115"/>
      <c r="BD1224" s="26"/>
      <c r="BE1224" s="15"/>
      <c r="BI1224" s="117"/>
      <c r="BJ1224" s="116"/>
      <c r="BK1224" s="116"/>
      <c r="BL1224" s="116"/>
    </row>
    <row r="1225" spans="1:64" ht="19.5" x14ac:dyDescent="0.4">
      <c r="AH1225" s="115"/>
      <c r="AI1225" s="115"/>
      <c r="AJ1225" s="115"/>
      <c r="AK1225" s="115"/>
      <c r="AL1225" s="115"/>
      <c r="AM1225" s="122"/>
      <c r="AN1225" s="122"/>
      <c r="AO1225" s="122"/>
      <c r="AP1225" s="115"/>
      <c r="AQ1225" s="115"/>
      <c r="AR1225" s="115"/>
      <c r="AS1225" s="115"/>
      <c r="AT1225" s="115"/>
      <c r="AU1225" s="115"/>
      <c r="AV1225" s="115"/>
      <c r="AW1225" s="115"/>
      <c r="AX1225" s="115"/>
      <c r="AY1225" s="115"/>
      <c r="AZ1225" s="115"/>
      <c r="BA1225" s="115"/>
      <c r="BB1225" s="115"/>
      <c r="BC1225" s="115"/>
      <c r="BD1225" s="26"/>
      <c r="BE1225" s="15"/>
      <c r="BI1225" s="117"/>
      <c r="BJ1225" s="116"/>
      <c r="BK1225" s="116"/>
      <c r="BL1225" s="116"/>
    </row>
    <row r="1226" spans="1:64" ht="19.5" x14ac:dyDescent="0.4">
      <c r="AH1226" s="115"/>
      <c r="AI1226" s="115"/>
      <c r="AJ1226" s="115"/>
      <c r="AK1226" s="115"/>
      <c r="AL1226" s="115"/>
      <c r="AM1226" s="122"/>
      <c r="AN1226" s="122"/>
      <c r="AO1226" s="122"/>
      <c r="AP1226" s="115"/>
      <c r="AQ1226" s="115"/>
      <c r="AR1226" s="115"/>
      <c r="AS1226" s="115"/>
      <c r="AT1226" s="115"/>
      <c r="AU1226" s="115"/>
      <c r="AV1226" s="115"/>
      <c r="AW1226" s="115"/>
      <c r="AX1226" s="115"/>
      <c r="AY1226" s="115"/>
      <c r="AZ1226" s="115"/>
      <c r="BA1226" s="115"/>
      <c r="BB1226" s="115"/>
      <c r="BC1226" s="115"/>
      <c r="BD1226" s="26"/>
      <c r="BE1226" s="105"/>
      <c r="BI1226" s="117"/>
      <c r="BJ1226" s="116"/>
      <c r="BK1226" s="116"/>
      <c r="BL1226" s="116"/>
    </row>
    <row r="1227" spans="1:64" ht="19.5" x14ac:dyDescent="0.4">
      <c r="AH1227" s="115"/>
      <c r="AI1227" s="115"/>
      <c r="AJ1227" s="115"/>
      <c r="AK1227" s="115"/>
      <c r="AL1227" s="115"/>
      <c r="AM1227" s="122"/>
      <c r="AN1227" s="122"/>
      <c r="AO1227" s="122"/>
      <c r="AP1227" s="115"/>
      <c r="AQ1227" s="115"/>
      <c r="AR1227" s="115"/>
      <c r="AS1227" s="115"/>
      <c r="AT1227" s="115"/>
      <c r="AU1227" s="115"/>
      <c r="AV1227" s="115"/>
      <c r="AW1227" s="115"/>
      <c r="AX1227" s="115"/>
      <c r="AY1227" s="115"/>
      <c r="AZ1227" s="115"/>
      <c r="BA1227" s="115"/>
      <c r="BB1227" s="115"/>
      <c r="BC1227" s="115"/>
      <c r="BD1227" s="17"/>
      <c r="BE1227" s="15"/>
      <c r="BI1227" s="117"/>
      <c r="BJ1227" s="116"/>
      <c r="BK1227" s="116"/>
      <c r="BL1227" s="116"/>
    </row>
    <row r="1228" spans="1:64" ht="19.5" x14ac:dyDescent="0.4">
      <c r="AH1228" s="115"/>
      <c r="AI1228" s="115"/>
      <c r="AJ1228" s="115"/>
      <c r="AK1228" s="115"/>
      <c r="AL1228" s="115"/>
      <c r="AM1228" s="122"/>
      <c r="AN1228" s="122"/>
      <c r="AO1228" s="122"/>
      <c r="AP1228" s="115"/>
      <c r="AQ1228" s="115"/>
      <c r="AR1228" s="115"/>
      <c r="AS1228" s="115"/>
      <c r="AT1228" s="115"/>
      <c r="AU1228" s="115"/>
      <c r="AV1228" s="115"/>
      <c r="AW1228" s="115"/>
      <c r="AX1228" s="115"/>
      <c r="AY1228" s="115"/>
      <c r="AZ1228" s="115"/>
      <c r="BA1228" s="115"/>
      <c r="BB1228" s="115"/>
      <c r="BC1228" s="115"/>
      <c r="BD1228" s="26"/>
      <c r="BE1228" s="15"/>
      <c r="BI1228" s="117"/>
      <c r="BJ1228" s="116"/>
      <c r="BK1228" s="116"/>
      <c r="BL1228" s="116"/>
    </row>
    <row r="1229" spans="1:64" ht="19.5" x14ac:dyDescent="0.4">
      <c r="AH1229" s="115"/>
      <c r="AI1229" s="115"/>
      <c r="AJ1229" s="115"/>
      <c r="AK1229" s="115"/>
      <c r="AL1229" s="115"/>
      <c r="AM1229" s="122"/>
      <c r="AN1229" s="122"/>
      <c r="AO1229" s="122"/>
      <c r="AP1229" s="115"/>
      <c r="AQ1229" s="115"/>
      <c r="AR1229" s="115"/>
      <c r="AS1229" s="115"/>
      <c r="AT1229" s="115"/>
      <c r="AU1229" s="115"/>
      <c r="AV1229" s="115"/>
      <c r="AW1229" s="115"/>
      <c r="AX1229" s="115"/>
      <c r="AY1229" s="115"/>
      <c r="AZ1229" s="115"/>
      <c r="BA1229" s="115"/>
      <c r="BB1229" s="115"/>
      <c r="BC1229" s="115"/>
      <c r="BD1229" s="17"/>
      <c r="BE1229" s="15"/>
      <c r="BI1229" s="117"/>
      <c r="BJ1229" s="116"/>
      <c r="BK1229" s="116"/>
      <c r="BL1229" s="116"/>
    </row>
    <row r="1230" spans="1:64" ht="19.5" x14ac:dyDescent="0.4">
      <c r="E1230" s="115"/>
      <c r="F1230" s="115"/>
      <c r="G1230" s="115"/>
      <c r="H1230" s="115"/>
      <c r="I1230" s="115"/>
      <c r="J1230" s="115"/>
      <c r="K1230" s="115"/>
      <c r="L1230" s="115"/>
      <c r="M1230" s="115"/>
      <c r="N1230" s="115"/>
      <c r="O1230" s="115"/>
      <c r="P1230" s="115"/>
      <c r="Q1230" s="115"/>
      <c r="R1230" s="115"/>
      <c r="S1230" s="115"/>
      <c r="T1230" s="115"/>
      <c r="U1230" s="115"/>
      <c r="V1230" s="115"/>
      <c r="W1230" s="115"/>
      <c r="X1230" s="115"/>
      <c r="Y1230" s="115"/>
      <c r="Z1230" s="115"/>
      <c r="AA1230" s="115"/>
      <c r="AB1230" s="115"/>
      <c r="AC1230" s="115"/>
      <c r="AD1230" s="115"/>
      <c r="AE1230" s="115"/>
      <c r="AF1230" s="115"/>
      <c r="AG1230" s="115"/>
      <c r="AH1230" s="115"/>
      <c r="AI1230" s="115"/>
      <c r="AJ1230" s="115"/>
      <c r="AK1230" s="115"/>
      <c r="AL1230" s="115"/>
      <c r="AM1230" s="122"/>
      <c r="AN1230" s="122"/>
      <c r="AO1230" s="122"/>
      <c r="AP1230" s="115"/>
      <c r="AQ1230" s="115"/>
      <c r="AR1230" s="115"/>
      <c r="AS1230" s="115"/>
      <c r="AT1230" s="115"/>
      <c r="AU1230" s="115"/>
      <c r="AV1230" s="115"/>
      <c r="AW1230" s="115"/>
      <c r="AX1230" s="115"/>
      <c r="AY1230" s="115"/>
      <c r="AZ1230" s="115"/>
      <c r="BA1230" s="115"/>
      <c r="BB1230" s="115"/>
      <c r="BC1230" s="115"/>
      <c r="BD1230" s="26"/>
      <c r="BE1230" s="15"/>
      <c r="BI1230" s="117"/>
      <c r="BJ1230" s="116"/>
      <c r="BK1230" s="116"/>
      <c r="BL1230" s="116"/>
    </row>
    <row r="1231" spans="1:64" ht="19.5" x14ac:dyDescent="0.4">
      <c r="E1231" s="115"/>
      <c r="F1231" s="115"/>
      <c r="G1231" s="115"/>
      <c r="H1231" s="115"/>
      <c r="I1231" s="115"/>
      <c r="J1231" s="115"/>
      <c r="K1231" s="115"/>
      <c r="L1231" s="115"/>
      <c r="M1231" s="115"/>
      <c r="N1231" s="115"/>
      <c r="O1231" s="115"/>
      <c r="P1231" s="115"/>
      <c r="Q1231" s="115"/>
      <c r="R1231" s="115"/>
      <c r="S1231" s="115"/>
      <c r="T1231" s="115"/>
      <c r="U1231" s="115"/>
      <c r="V1231" s="115"/>
      <c r="W1231" s="115"/>
      <c r="X1231" s="115"/>
      <c r="Y1231" s="115"/>
      <c r="Z1231" s="115"/>
      <c r="AA1231" s="115"/>
      <c r="AB1231" s="115"/>
      <c r="AC1231" s="115"/>
      <c r="AD1231" s="115"/>
      <c r="AE1231" s="115"/>
      <c r="AF1231" s="115"/>
      <c r="AG1231" s="115"/>
      <c r="AH1231" s="115"/>
      <c r="AI1231" s="115"/>
      <c r="AJ1231" s="115"/>
      <c r="AK1231" s="115"/>
      <c r="AL1231" s="115"/>
      <c r="AM1231" s="122"/>
      <c r="AN1231" s="122"/>
      <c r="AO1231" s="122"/>
      <c r="AP1231" s="115"/>
      <c r="AQ1231" s="115"/>
      <c r="AR1231" s="115"/>
      <c r="AS1231" s="115"/>
      <c r="AT1231" s="115"/>
      <c r="AU1231" s="115"/>
      <c r="AV1231" s="115"/>
      <c r="AW1231" s="115"/>
      <c r="AX1231" s="115"/>
      <c r="AY1231" s="115"/>
      <c r="AZ1231" s="115"/>
      <c r="BA1231" s="115"/>
      <c r="BB1231" s="115"/>
      <c r="BC1231" s="115"/>
      <c r="BD1231" s="17"/>
      <c r="BE1231" s="15"/>
      <c r="BI1231" s="117"/>
      <c r="BJ1231" s="116"/>
      <c r="BK1231" s="116"/>
      <c r="BL1231" s="116"/>
    </row>
    <row r="1232" spans="1:64" ht="19.5" x14ac:dyDescent="0.4">
      <c r="E1232" s="115"/>
      <c r="F1232" s="115"/>
      <c r="G1232" s="115"/>
      <c r="H1232" s="115"/>
      <c r="I1232" s="115"/>
      <c r="J1232" s="115"/>
      <c r="K1232" s="115"/>
      <c r="L1232" s="115"/>
      <c r="M1232" s="115"/>
      <c r="N1232" s="115"/>
      <c r="O1232" s="115"/>
      <c r="P1232" s="115"/>
      <c r="Q1232" s="115"/>
      <c r="R1232" s="115"/>
      <c r="S1232" s="115"/>
      <c r="T1232" s="115"/>
      <c r="U1232" s="115"/>
      <c r="V1232" s="115"/>
      <c r="W1232" s="115"/>
      <c r="X1232" s="115"/>
      <c r="Y1232" s="115"/>
      <c r="Z1232" s="115"/>
      <c r="AA1232" s="115"/>
      <c r="AB1232" s="115"/>
      <c r="AC1232" s="115"/>
      <c r="AD1232" s="115"/>
      <c r="AE1232" s="115"/>
      <c r="AF1232" s="115"/>
      <c r="AG1232" s="115"/>
      <c r="AH1232" s="115"/>
      <c r="AI1232" s="115"/>
      <c r="AJ1232" s="115"/>
      <c r="AK1232" s="115"/>
      <c r="AL1232" s="115"/>
      <c r="AM1232" s="122"/>
      <c r="AN1232" s="122"/>
      <c r="AO1232" s="122"/>
      <c r="AP1232" s="115"/>
      <c r="AQ1232" s="115"/>
      <c r="AR1232" s="115"/>
      <c r="AS1232" s="115"/>
      <c r="AT1232" s="115"/>
      <c r="AU1232" s="115"/>
      <c r="AV1232" s="115"/>
      <c r="AW1232" s="115"/>
      <c r="AX1232" s="115"/>
      <c r="AY1232" s="115"/>
      <c r="AZ1232" s="115"/>
      <c r="BA1232" s="115"/>
      <c r="BB1232" s="115"/>
      <c r="BC1232" s="115"/>
      <c r="BD1232" s="26"/>
      <c r="BE1232" s="15"/>
      <c r="BI1232" s="117"/>
      <c r="BJ1232" s="116"/>
      <c r="BK1232" s="116"/>
      <c r="BL1232" s="116"/>
    </row>
    <row r="1233" spans="1:64" ht="19.5" x14ac:dyDescent="0.4">
      <c r="E1233" s="115"/>
      <c r="F1233" s="115"/>
      <c r="G1233" s="115"/>
      <c r="H1233" s="115"/>
      <c r="I1233" s="115"/>
      <c r="J1233" s="115"/>
      <c r="K1233" s="115"/>
      <c r="L1233" s="115"/>
      <c r="M1233" s="115"/>
      <c r="N1233" s="115"/>
      <c r="O1233" s="115"/>
      <c r="P1233" s="115"/>
      <c r="Q1233" s="115"/>
      <c r="R1233" s="115"/>
      <c r="S1233" s="115"/>
      <c r="T1233" s="115"/>
      <c r="U1233" s="115"/>
      <c r="V1233" s="115"/>
      <c r="W1233" s="115"/>
      <c r="X1233" s="115"/>
      <c r="Y1233" s="115"/>
      <c r="Z1233" s="115"/>
      <c r="AA1233" s="115"/>
      <c r="AB1233" s="115"/>
      <c r="AC1233" s="115"/>
      <c r="AD1233" s="115"/>
      <c r="AE1233" s="115"/>
      <c r="AF1233" s="115"/>
      <c r="AG1233" s="115"/>
      <c r="AH1233" s="115"/>
      <c r="AI1233" s="115"/>
      <c r="AJ1233" s="115"/>
      <c r="AK1233" s="115"/>
      <c r="AL1233" s="115"/>
      <c r="AM1233" s="122"/>
      <c r="AN1233" s="122"/>
      <c r="AO1233" s="122"/>
      <c r="AP1233" s="115"/>
      <c r="AQ1233" s="115"/>
      <c r="AR1233" s="115"/>
      <c r="AS1233" s="115"/>
      <c r="AT1233" s="115"/>
      <c r="AU1233" s="115"/>
      <c r="AV1233" s="115"/>
      <c r="AW1233" s="115"/>
      <c r="AX1233" s="115"/>
      <c r="AY1233" s="115"/>
      <c r="AZ1233" s="115"/>
      <c r="BA1233" s="115"/>
      <c r="BB1233" s="115"/>
      <c r="BC1233" s="115"/>
      <c r="BD1233" s="17"/>
      <c r="BE1233" s="15"/>
      <c r="BI1233" s="117"/>
      <c r="BJ1233" s="116"/>
      <c r="BK1233" s="116"/>
      <c r="BL1233" s="116"/>
    </row>
    <row r="1234" spans="1:64" ht="19.5" x14ac:dyDescent="0.4">
      <c r="A1234" s="115"/>
      <c r="B1234" s="115"/>
      <c r="C1234" s="115"/>
      <c r="D1234" s="115"/>
      <c r="E1234" s="115"/>
      <c r="F1234" s="115"/>
      <c r="G1234" s="115"/>
      <c r="H1234" s="115"/>
      <c r="I1234" s="115"/>
      <c r="J1234" s="115"/>
      <c r="K1234" s="115"/>
      <c r="L1234" s="115"/>
      <c r="M1234" s="115"/>
      <c r="N1234" s="115"/>
      <c r="O1234" s="115"/>
      <c r="P1234" s="115"/>
      <c r="Q1234" s="115"/>
      <c r="R1234" s="115"/>
      <c r="S1234" s="115"/>
      <c r="T1234" s="115"/>
      <c r="U1234" s="115"/>
      <c r="V1234" s="115"/>
      <c r="W1234" s="115"/>
      <c r="X1234" s="115"/>
      <c r="Y1234" s="115"/>
      <c r="Z1234" s="115"/>
      <c r="AA1234" s="115"/>
      <c r="AB1234" s="115"/>
      <c r="AC1234" s="115"/>
      <c r="AD1234" s="115"/>
      <c r="AE1234" s="115"/>
      <c r="AF1234" s="115"/>
      <c r="AG1234" s="115"/>
      <c r="AH1234" s="115"/>
      <c r="AI1234" s="115"/>
      <c r="AJ1234" s="115"/>
      <c r="AK1234" s="115"/>
      <c r="AL1234" s="115"/>
      <c r="AM1234" s="122"/>
      <c r="AN1234" s="122"/>
      <c r="AO1234" s="122"/>
      <c r="AP1234" s="115"/>
      <c r="AQ1234" s="115"/>
      <c r="AR1234" s="115"/>
      <c r="AS1234" s="115"/>
      <c r="AT1234" s="115"/>
      <c r="AU1234" s="115"/>
      <c r="AV1234" s="115"/>
      <c r="AW1234" s="115"/>
      <c r="AX1234" s="115"/>
      <c r="AY1234" s="115"/>
      <c r="AZ1234" s="115"/>
      <c r="BA1234" s="115"/>
      <c r="BB1234" s="115"/>
      <c r="BC1234" s="115"/>
      <c r="BD1234" s="26"/>
      <c r="BE1234" s="15"/>
      <c r="BI1234" s="117"/>
      <c r="BJ1234" s="116"/>
      <c r="BK1234" s="116"/>
      <c r="BL1234" s="116"/>
    </row>
    <row r="1235" spans="1:64" ht="19.5" x14ac:dyDescent="0.4">
      <c r="A1235" s="115"/>
      <c r="B1235" s="115"/>
      <c r="C1235" s="115"/>
      <c r="D1235" s="115"/>
      <c r="E1235" s="115"/>
      <c r="F1235" s="115"/>
      <c r="G1235" s="115"/>
      <c r="H1235" s="115"/>
      <c r="I1235" s="115"/>
      <c r="J1235" s="115"/>
      <c r="K1235" s="115"/>
      <c r="L1235" s="115"/>
      <c r="M1235" s="115"/>
      <c r="N1235" s="115"/>
      <c r="O1235" s="115"/>
      <c r="P1235" s="115"/>
      <c r="Q1235" s="115"/>
      <c r="R1235" s="115"/>
      <c r="S1235" s="115"/>
      <c r="T1235" s="115"/>
      <c r="U1235" s="115"/>
      <c r="V1235" s="115"/>
      <c r="W1235" s="115"/>
      <c r="X1235" s="115"/>
      <c r="Y1235" s="115"/>
      <c r="Z1235" s="115"/>
      <c r="AA1235" s="115"/>
      <c r="AB1235" s="115"/>
      <c r="AC1235" s="115"/>
      <c r="AD1235" s="115"/>
      <c r="AE1235" s="115"/>
      <c r="AF1235" s="115"/>
      <c r="AG1235" s="115"/>
      <c r="AH1235" s="115"/>
      <c r="AI1235" s="115"/>
      <c r="AJ1235" s="115"/>
      <c r="AK1235" s="115"/>
      <c r="AL1235" s="115"/>
      <c r="AM1235" s="122"/>
      <c r="AN1235" s="122"/>
      <c r="AO1235" s="122"/>
      <c r="AP1235" s="115"/>
      <c r="AQ1235" s="115"/>
      <c r="AR1235" s="115"/>
      <c r="AS1235" s="115"/>
      <c r="AT1235" s="115"/>
      <c r="AU1235" s="115"/>
      <c r="AV1235" s="115"/>
      <c r="AW1235" s="115"/>
      <c r="AX1235" s="115"/>
      <c r="AY1235" s="115"/>
      <c r="AZ1235" s="115"/>
      <c r="BA1235" s="115"/>
      <c r="BB1235" s="115"/>
      <c r="BC1235" s="115"/>
      <c r="BD1235" s="26"/>
      <c r="BE1235" s="15"/>
      <c r="BI1235" s="117"/>
      <c r="BJ1235" s="116"/>
      <c r="BK1235" s="116"/>
      <c r="BL1235" s="116"/>
    </row>
    <row r="1236" spans="1:64" ht="19.5" x14ac:dyDescent="0.4">
      <c r="A1236" s="115"/>
      <c r="B1236" s="115"/>
      <c r="C1236" s="115"/>
      <c r="D1236" s="115"/>
      <c r="E1236" s="115"/>
      <c r="F1236" s="115"/>
      <c r="G1236" s="115"/>
      <c r="H1236" s="115"/>
      <c r="I1236" s="115"/>
      <c r="J1236" s="115"/>
      <c r="K1236" s="115"/>
      <c r="L1236" s="115"/>
      <c r="M1236" s="115"/>
      <c r="N1236" s="115"/>
      <c r="O1236" s="115"/>
      <c r="P1236" s="115"/>
      <c r="Q1236" s="115"/>
      <c r="R1236" s="115"/>
      <c r="S1236" s="115"/>
      <c r="T1236" s="115"/>
      <c r="U1236" s="115"/>
      <c r="V1236" s="115"/>
      <c r="W1236" s="115"/>
      <c r="X1236" s="115"/>
      <c r="Y1236" s="115"/>
      <c r="Z1236" s="115"/>
      <c r="AA1236" s="115"/>
      <c r="AB1236" s="115"/>
      <c r="AC1236" s="115"/>
      <c r="AD1236" s="115"/>
      <c r="AE1236" s="115"/>
      <c r="AF1236" s="115"/>
      <c r="AG1236" s="115"/>
      <c r="AH1236" s="115"/>
      <c r="AI1236" s="115"/>
      <c r="AJ1236" s="115"/>
      <c r="AK1236" s="115"/>
      <c r="AL1236" s="115"/>
      <c r="AM1236" s="122"/>
      <c r="AN1236" s="122"/>
      <c r="AO1236" s="122"/>
      <c r="AP1236" s="115"/>
      <c r="AQ1236" s="115"/>
      <c r="AR1236" s="115"/>
      <c r="AS1236" s="115"/>
      <c r="AT1236" s="115"/>
      <c r="AU1236" s="115"/>
      <c r="AV1236" s="115"/>
      <c r="AW1236" s="115"/>
      <c r="AX1236" s="115"/>
      <c r="AY1236" s="115"/>
      <c r="AZ1236" s="115"/>
      <c r="BA1236" s="115"/>
      <c r="BB1236" s="115"/>
      <c r="BC1236" s="115"/>
      <c r="BD1236" s="26"/>
      <c r="BE1236" s="15"/>
      <c r="BI1236" s="117"/>
      <c r="BJ1236" s="116"/>
      <c r="BK1236" s="116"/>
      <c r="BL1236" s="116"/>
    </row>
    <row r="1237" spans="1:64" ht="19.5" x14ac:dyDescent="0.4">
      <c r="A1237" s="115"/>
      <c r="B1237" s="115"/>
      <c r="C1237" s="115"/>
      <c r="D1237" s="115"/>
      <c r="E1237" s="115"/>
      <c r="F1237" s="115"/>
      <c r="G1237" s="115"/>
      <c r="H1237" s="115"/>
      <c r="I1237" s="115"/>
      <c r="J1237" s="115"/>
      <c r="K1237" s="115"/>
      <c r="L1237" s="115"/>
      <c r="M1237" s="115"/>
      <c r="N1237" s="115"/>
      <c r="O1237" s="115"/>
      <c r="P1237" s="115"/>
      <c r="Q1237" s="115"/>
      <c r="R1237" s="115"/>
      <c r="S1237" s="115"/>
      <c r="T1237" s="115"/>
      <c r="U1237" s="115"/>
      <c r="V1237" s="115"/>
      <c r="W1237" s="115"/>
      <c r="X1237" s="115"/>
      <c r="Y1237" s="115"/>
      <c r="Z1237" s="115"/>
      <c r="AA1237" s="115"/>
      <c r="AB1237" s="115"/>
      <c r="AC1237" s="115"/>
      <c r="AD1237" s="115"/>
      <c r="AE1237" s="115"/>
      <c r="AF1237" s="115"/>
      <c r="AG1237" s="115"/>
      <c r="AH1237" s="115"/>
      <c r="AI1237" s="115"/>
      <c r="AJ1237" s="115"/>
      <c r="AK1237" s="115"/>
      <c r="AL1237" s="115"/>
      <c r="AM1237" s="122"/>
      <c r="AN1237" s="122"/>
      <c r="AO1237" s="122"/>
      <c r="AP1237" s="115"/>
      <c r="AQ1237" s="115"/>
      <c r="AR1237" s="115"/>
      <c r="AS1237" s="115"/>
      <c r="AT1237" s="115"/>
      <c r="AU1237" s="115"/>
      <c r="AV1237" s="115"/>
      <c r="AW1237" s="115"/>
      <c r="AX1237" s="115"/>
      <c r="AY1237" s="115"/>
      <c r="AZ1237" s="115"/>
      <c r="BA1237" s="115"/>
      <c r="BB1237" s="115"/>
      <c r="BC1237" s="115"/>
      <c r="BD1237" s="26"/>
      <c r="BE1237" s="15"/>
      <c r="BI1237" s="117"/>
      <c r="BJ1237" s="116"/>
      <c r="BK1237" s="116"/>
      <c r="BL1237" s="116"/>
    </row>
    <row r="1238" spans="1:64" ht="19.5" x14ac:dyDescent="0.4">
      <c r="A1238" s="115"/>
      <c r="B1238" s="115"/>
      <c r="C1238" s="115"/>
      <c r="D1238" s="115"/>
      <c r="E1238" s="115"/>
      <c r="F1238" s="115"/>
      <c r="G1238" s="115"/>
      <c r="H1238" s="115"/>
      <c r="I1238" s="115"/>
      <c r="J1238" s="115"/>
      <c r="K1238" s="115"/>
      <c r="L1238" s="115"/>
      <c r="M1238" s="115"/>
      <c r="N1238" s="115"/>
      <c r="O1238" s="115"/>
      <c r="P1238" s="115"/>
      <c r="Q1238" s="115"/>
      <c r="R1238" s="115"/>
      <c r="S1238" s="115"/>
      <c r="T1238" s="115"/>
      <c r="U1238" s="115"/>
      <c r="V1238" s="115"/>
      <c r="W1238" s="115"/>
      <c r="X1238" s="115"/>
      <c r="Y1238" s="115"/>
      <c r="Z1238" s="115"/>
      <c r="AA1238" s="115"/>
      <c r="AB1238" s="115"/>
      <c r="AC1238" s="115"/>
      <c r="AD1238" s="115"/>
      <c r="AE1238" s="115"/>
      <c r="AF1238" s="115"/>
      <c r="AG1238" s="115"/>
      <c r="AH1238" s="115"/>
      <c r="AI1238" s="115"/>
      <c r="AJ1238" s="115"/>
      <c r="AK1238" s="115"/>
      <c r="AL1238" s="115"/>
      <c r="AM1238" s="122"/>
      <c r="AN1238" s="122"/>
      <c r="AO1238" s="122"/>
      <c r="AP1238" s="115"/>
      <c r="AQ1238" s="115"/>
      <c r="AR1238" s="115"/>
      <c r="AS1238" s="115"/>
      <c r="AT1238" s="115"/>
      <c r="AU1238" s="115"/>
      <c r="AV1238" s="115"/>
      <c r="AW1238" s="115"/>
      <c r="AX1238" s="115"/>
      <c r="AY1238" s="115"/>
      <c r="AZ1238" s="115"/>
      <c r="BA1238" s="115"/>
      <c r="BB1238" s="115"/>
      <c r="BC1238" s="115"/>
      <c r="BD1238" s="26"/>
      <c r="BE1238" s="15"/>
      <c r="BI1238" s="117"/>
      <c r="BJ1238" s="116"/>
      <c r="BK1238" s="116"/>
      <c r="BL1238" s="116"/>
    </row>
    <row r="1239" spans="1:64" ht="19.5" x14ac:dyDescent="0.4">
      <c r="A1239" s="115"/>
      <c r="B1239" s="115"/>
      <c r="C1239" s="115"/>
      <c r="D1239" s="115"/>
      <c r="E1239" s="115"/>
      <c r="F1239" s="115"/>
      <c r="G1239" s="115"/>
      <c r="H1239" s="115"/>
      <c r="I1239" s="115"/>
      <c r="J1239" s="115"/>
      <c r="K1239" s="115"/>
      <c r="L1239" s="115"/>
      <c r="M1239" s="115"/>
      <c r="N1239" s="115"/>
      <c r="O1239" s="115"/>
      <c r="P1239" s="115"/>
      <c r="Q1239" s="115"/>
      <c r="R1239" s="115"/>
      <c r="S1239" s="115"/>
      <c r="T1239" s="115"/>
      <c r="U1239" s="115"/>
      <c r="V1239" s="115"/>
      <c r="W1239" s="115"/>
      <c r="X1239" s="115"/>
      <c r="Y1239" s="115"/>
      <c r="Z1239" s="115"/>
      <c r="AA1239" s="115"/>
      <c r="AB1239" s="115"/>
      <c r="AC1239" s="115"/>
      <c r="AD1239" s="115"/>
      <c r="AE1239" s="115"/>
      <c r="AF1239" s="115"/>
      <c r="AG1239" s="115"/>
      <c r="AH1239" s="115"/>
      <c r="AI1239" s="115"/>
      <c r="AJ1239" s="115"/>
      <c r="AK1239" s="115"/>
      <c r="AL1239" s="115"/>
      <c r="AM1239" s="122"/>
      <c r="AN1239" s="122"/>
      <c r="AO1239" s="122"/>
      <c r="AP1239" s="115"/>
      <c r="AQ1239" s="115"/>
      <c r="AR1239" s="115"/>
      <c r="AS1239" s="115"/>
      <c r="AT1239" s="115"/>
      <c r="AU1239" s="115"/>
      <c r="AV1239" s="115"/>
      <c r="AW1239" s="115"/>
      <c r="AX1239" s="115"/>
      <c r="AY1239" s="115"/>
      <c r="AZ1239" s="115"/>
      <c r="BA1239" s="115"/>
      <c r="BB1239" s="115"/>
      <c r="BC1239" s="115"/>
      <c r="BD1239" s="26"/>
      <c r="BE1239" s="15"/>
      <c r="BI1239" s="117"/>
      <c r="BJ1239" s="116"/>
      <c r="BK1239" s="116"/>
      <c r="BL1239" s="116"/>
    </row>
    <row r="1240" spans="1:64" ht="19.5" x14ac:dyDescent="0.4">
      <c r="A1240" s="115"/>
      <c r="B1240" s="115"/>
      <c r="C1240" s="115"/>
      <c r="D1240" s="115"/>
      <c r="E1240" s="115"/>
      <c r="F1240" s="115"/>
      <c r="G1240" s="115"/>
      <c r="H1240" s="115"/>
      <c r="I1240" s="115"/>
      <c r="J1240" s="115"/>
      <c r="K1240" s="115"/>
      <c r="L1240" s="115"/>
      <c r="M1240" s="115"/>
      <c r="N1240" s="115"/>
      <c r="O1240" s="115"/>
      <c r="P1240" s="115"/>
      <c r="Q1240" s="115"/>
      <c r="R1240" s="115"/>
      <c r="S1240" s="115"/>
      <c r="T1240" s="115"/>
      <c r="U1240" s="115"/>
      <c r="V1240" s="115"/>
      <c r="W1240" s="115"/>
      <c r="X1240" s="115"/>
      <c r="Y1240" s="115"/>
      <c r="Z1240" s="115"/>
      <c r="AA1240" s="115"/>
      <c r="AB1240" s="115"/>
      <c r="AC1240" s="115"/>
      <c r="AD1240" s="115"/>
      <c r="AE1240" s="115"/>
      <c r="AF1240" s="115"/>
      <c r="AG1240" s="115"/>
      <c r="AH1240" s="115"/>
      <c r="AI1240" s="115"/>
      <c r="AJ1240" s="115"/>
      <c r="AK1240" s="115"/>
      <c r="AL1240" s="115"/>
      <c r="AM1240" s="122"/>
      <c r="AN1240" s="122"/>
      <c r="AO1240" s="122"/>
      <c r="AP1240" s="115"/>
      <c r="AQ1240" s="115"/>
      <c r="AR1240" s="115"/>
      <c r="AS1240" s="115"/>
      <c r="AT1240" s="115"/>
      <c r="AU1240" s="115"/>
      <c r="AV1240" s="115"/>
      <c r="AW1240" s="115"/>
      <c r="AX1240" s="115"/>
      <c r="AY1240" s="115"/>
      <c r="AZ1240" s="115"/>
      <c r="BA1240" s="115"/>
      <c r="BB1240" s="115"/>
      <c r="BC1240" s="115"/>
      <c r="BD1240" s="17"/>
      <c r="BE1240" s="15"/>
      <c r="BI1240" s="117"/>
      <c r="BJ1240" s="116"/>
      <c r="BK1240" s="116"/>
      <c r="BL1240" s="116"/>
    </row>
    <row r="1241" spans="1:64" ht="19.5" x14ac:dyDescent="0.4">
      <c r="A1241" s="115"/>
      <c r="B1241" s="115"/>
      <c r="C1241" s="115"/>
      <c r="D1241" s="115"/>
      <c r="E1241" s="115"/>
      <c r="F1241" s="115"/>
      <c r="G1241" s="115"/>
      <c r="H1241" s="115"/>
      <c r="I1241" s="115"/>
      <c r="J1241" s="115"/>
      <c r="K1241" s="115"/>
      <c r="L1241" s="115"/>
      <c r="M1241" s="115"/>
      <c r="N1241" s="115"/>
      <c r="O1241" s="115"/>
      <c r="P1241" s="115"/>
      <c r="Q1241" s="115"/>
      <c r="R1241" s="115"/>
      <c r="S1241" s="115"/>
      <c r="T1241" s="115"/>
      <c r="U1241" s="115"/>
      <c r="V1241" s="115"/>
      <c r="W1241" s="115"/>
      <c r="X1241" s="115"/>
      <c r="Y1241" s="115"/>
      <c r="Z1241" s="115"/>
      <c r="AA1241" s="115"/>
      <c r="AB1241" s="115"/>
      <c r="AC1241" s="115"/>
      <c r="AD1241" s="115"/>
      <c r="AE1241" s="115"/>
      <c r="AF1241" s="115"/>
      <c r="AG1241" s="115"/>
      <c r="AH1241" s="115"/>
      <c r="AI1241" s="115"/>
      <c r="AJ1241" s="115"/>
      <c r="AK1241" s="115"/>
      <c r="AL1241" s="115"/>
      <c r="AM1241" s="122"/>
      <c r="AN1241" s="122"/>
      <c r="AO1241" s="122"/>
      <c r="AP1241" s="115"/>
      <c r="AQ1241" s="115"/>
      <c r="AR1241" s="115"/>
      <c r="AS1241" s="115"/>
      <c r="AT1241" s="115"/>
      <c r="AU1241" s="115"/>
      <c r="AV1241" s="115"/>
      <c r="AW1241" s="115"/>
      <c r="AX1241" s="115"/>
      <c r="AY1241" s="115"/>
      <c r="AZ1241" s="115"/>
      <c r="BA1241" s="115"/>
      <c r="BB1241" s="115"/>
      <c r="BC1241" s="115"/>
      <c r="BD1241" s="26"/>
      <c r="BE1241" s="15"/>
      <c r="BI1241" s="117"/>
      <c r="BJ1241" s="116"/>
      <c r="BK1241" s="116"/>
      <c r="BL1241" s="116"/>
    </row>
    <row r="1242" spans="1:64" ht="19.5" x14ac:dyDescent="0.4">
      <c r="A1242" s="115"/>
      <c r="B1242" s="115"/>
      <c r="C1242" s="115"/>
      <c r="D1242" s="115"/>
      <c r="E1242" s="115"/>
      <c r="F1242" s="115"/>
      <c r="G1242" s="115"/>
      <c r="H1242" s="115"/>
      <c r="I1242" s="115"/>
      <c r="J1242" s="115"/>
      <c r="K1242" s="115"/>
      <c r="L1242" s="115"/>
      <c r="M1242" s="115"/>
      <c r="N1242" s="115"/>
      <c r="O1242" s="115"/>
      <c r="P1242" s="115"/>
      <c r="Q1242" s="115"/>
      <c r="R1242" s="115"/>
      <c r="S1242" s="115"/>
      <c r="T1242" s="115"/>
      <c r="U1242" s="115"/>
      <c r="V1242" s="115"/>
      <c r="W1242" s="115"/>
      <c r="X1242" s="115"/>
      <c r="Y1242" s="115"/>
      <c r="Z1242" s="115"/>
      <c r="AA1242" s="115"/>
      <c r="AB1242" s="115"/>
      <c r="AC1242" s="115"/>
      <c r="AD1242" s="115"/>
      <c r="AE1242" s="115"/>
      <c r="AF1242" s="115"/>
      <c r="AG1242" s="115"/>
      <c r="AH1242" s="115"/>
      <c r="AI1242" s="115"/>
      <c r="AJ1242" s="115"/>
      <c r="AK1242" s="115"/>
      <c r="AL1242" s="115"/>
      <c r="AM1242" s="122"/>
      <c r="AN1242" s="122"/>
      <c r="AO1242" s="122"/>
      <c r="AP1242" s="115"/>
      <c r="AQ1242" s="115"/>
      <c r="AR1242" s="115"/>
      <c r="AS1242" s="115"/>
      <c r="AT1242" s="115"/>
      <c r="AU1242" s="115"/>
      <c r="AV1242" s="115"/>
      <c r="AW1242" s="115"/>
      <c r="AX1242" s="115"/>
      <c r="AY1242" s="115"/>
      <c r="AZ1242" s="115"/>
      <c r="BA1242" s="115"/>
      <c r="BB1242" s="115"/>
      <c r="BC1242" s="115"/>
      <c r="BD1242" s="17"/>
      <c r="BE1242" s="15"/>
      <c r="BI1242" s="117"/>
      <c r="BJ1242" s="116"/>
      <c r="BK1242" s="116"/>
      <c r="BL1242" s="116"/>
    </row>
    <row r="1243" spans="1:64" ht="19.5" x14ac:dyDescent="0.4">
      <c r="A1243" s="115"/>
      <c r="B1243" s="115"/>
      <c r="C1243" s="115"/>
      <c r="D1243" s="115"/>
      <c r="E1243" s="115"/>
      <c r="F1243" s="115"/>
      <c r="G1243" s="115"/>
      <c r="H1243" s="115"/>
      <c r="I1243" s="115"/>
      <c r="J1243" s="115"/>
      <c r="K1243" s="115"/>
      <c r="L1243" s="115"/>
      <c r="M1243" s="115"/>
      <c r="N1243" s="115"/>
      <c r="O1243" s="115"/>
      <c r="P1243" s="115"/>
      <c r="Q1243" s="115"/>
      <c r="R1243" s="115"/>
      <c r="S1243" s="115"/>
      <c r="T1243" s="115"/>
      <c r="U1243" s="115"/>
      <c r="V1243" s="115"/>
      <c r="W1243" s="115"/>
      <c r="X1243" s="115"/>
      <c r="Y1243" s="115"/>
      <c r="Z1243" s="115"/>
      <c r="AA1243" s="115"/>
      <c r="AB1243" s="115"/>
      <c r="AC1243" s="115"/>
      <c r="AD1243" s="115"/>
      <c r="AE1243" s="115"/>
      <c r="AF1243" s="115"/>
      <c r="AG1243" s="115"/>
      <c r="AH1243" s="115"/>
      <c r="AI1243" s="115"/>
      <c r="AJ1243" s="115"/>
      <c r="AK1243" s="115"/>
      <c r="AL1243" s="115"/>
      <c r="AM1243" s="122"/>
      <c r="AN1243" s="122"/>
      <c r="AO1243" s="122"/>
      <c r="AP1243" s="115"/>
      <c r="AQ1243" s="115"/>
      <c r="AR1243" s="115"/>
      <c r="AS1243" s="115"/>
      <c r="AT1243" s="115"/>
      <c r="AU1243" s="115"/>
      <c r="AV1243" s="115"/>
      <c r="AW1243" s="115"/>
      <c r="AX1243" s="115"/>
      <c r="AY1243" s="115"/>
      <c r="AZ1243" s="115"/>
      <c r="BA1243" s="115"/>
      <c r="BB1243" s="115"/>
      <c r="BC1243" s="115"/>
      <c r="BD1243" s="26"/>
      <c r="BE1243" s="15"/>
      <c r="BI1243" s="117"/>
      <c r="BJ1243" s="116"/>
      <c r="BK1243" s="116"/>
      <c r="BL1243" s="116"/>
    </row>
    <row r="1244" spans="1:64" ht="19.5" x14ac:dyDescent="0.4">
      <c r="A1244" s="115"/>
      <c r="B1244" s="115"/>
      <c r="C1244" s="115"/>
      <c r="D1244" s="115"/>
      <c r="E1244" s="115"/>
      <c r="F1244" s="115"/>
      <c r="G1244" s="115"/>
      <c r="H1244" s="115"/>
      <c r="I1244" s="115"/>
      <c r="J1244" s="115"/>
      <c r="K1244" s="115"/>
      <c r="L1244" s="115"/>
      <c r="M1244" s="115"/>
      <c r="N1244" s="115"/>
      <c r="O1244" s="115"/>
      <c r="P1244" s="115"/>
      <c r="Q1244" s="115"/>
      <c r="R1244" s="115"/>
      <c r="S1244" s="115"/>
      <c r="T1244" s="115"/>
      <c r="U1244" s="115"/>
      <c r="V1244" s="115"/>
      <c r="W1244" s="115"/>
      <c r="X1244" s="115"/>
      <c r="Y1244" s="115"/>
      <c r="Z1244" s="115"/>
      <c r="AA1244" s="115"/>
      <c r="AB1244" s="115"/>
      <c r="AC1244" s="115"/>
      <c r="AD1244" s="115"/>
      <c r="AE1244" s="115"/>
      <c r="AF1244" s="115"/>
      <c r="AG1244" s="115"/>
      <c r="AH1244" s="115"/>
      <c r="AI1244" s="115"/>
      <c r="AJ1244" s="115"/>
      <c r="AK1244" s="115"/>
      <c r="AL1244" s="115"/>
      <c r="AM1244" s="122"/>
      <c r="AN1244" s="122"/>
      <c r="AO1244" s="122"/>
      <c r="AP1244" s="115"/>
      <c r="AQ1244" s="115"/>
      <c r="AR1244" s="115"/>
      <c r="AS1244" s="115"/>
      <c r="AT1244" s="115"/>
      <c r="AU1244" s="115"/>
      <c r="AV1244" s="115"/>
      <c r="AW1244" s="115"/>
      <c r="AX1244" s="115"/>
      <c r="AY1244" s="115"/>
      <c r="AZ1244" s="115"/>
      <c r="BA1244" s="115"/>
      <c r="BB1244" s="115"/>
      <c r="BC1244" s="115"/>
      <c r="BD1244" s="20"/>
      <c r="BE1244" s="15"/>
      <c r="BI1244" s="117"/>
      <c r="BJ1244" s="116"/>
      <c r="BK1244" s="116"/>
      <c r="BL1244" s="116"/>
    </row>
    <row r="1245" spans="1:64" ht="19.5" x14ac:dyDescent="0.4">
      <c r="A1245" s="115"/>
      <c r="B1245" s="115"/>
      <c r="C1245" s="115"/>
      <c r="D1245" s="115"/>
      <c r="E1245" s="115"/>
      <c r="F1245" s="115"/>
      <c r="G1245" s="115"/>
      <c r="H1245" s="115"/>
      <c r="I1245" s="115"/>
      <c r="J1245" s="115"/>
      <c r="K1245" s="115"/>
      <c r="L1245" s="115"/>
      <c r="M1245" s="115"/>
      <c r="N1245" s="115"/>
      <c r="O1245" s="115"/>
      <c r="P1245" s="115"/>
      <c r="Q1245" s="115"/>
      <c r="R1245" s="115"/>
      <c r="S1245" s="115"/>
      <c r="T1245" s="115"/>
      <c r="U1245" s="115"/>
      <c r="V1245" s="115"/>
      <c r="W1245" s="115"/>
      <c r="X1245" s="115"/>
      <c r="Y1245" s="115"/>
      <c r="Z1245" s="115"/>
      <c r="AA1245" s="115"/>
      <c r="AB1245" s="115"/>
      <c r="AC1245" s="115"/>
      <c r="AD1245" s="115"/>
      <c r="AE1245" s="115"/>
      <c r="AF1245" s="115"/>
      <c r="AG1245" s="115"/>
      <c r="AH1245" s="115"/>
      <c r="AI1245" s="115"/>
      <c r="AJ1245" s="115"/>
      <c r="AK1245" s="115"/>
      <c r="AL1245" s="115"/>
      <c r="AM1245" s="122"/>
      <c r="AN1245" s="122"/>
      <c r="AO1245" s="122"/>
      <c r="AP1245" s="115"/>
      <c r="AQ1245" s="115"/>
      <c r="AR1245" s="115"/>
      <c r="AS1245" s="115"/>
      <c r="AT1245" s="115"/>
      <c r="AU1245" s="115"/>
      <c r="AV1245" s="115"/>
      <c r="AW1245" s="115"/>
      <c r="AX1245" s="115"/>
      <c r="AY1245" s="115"/>
      <c r="AZ1245" s="115"/>
      <c r="BA1245" s="115"/>
      <c r="BB1245" s="115"/>
      <c r="BC1245" s="115"/>
      <c r="BD1245" s="20"/>
      <c r="BE1245" s="15"/>
      <c r="BI1245" s="117"/>
      <c r="BJ1245" s="116"/>
      <c r="BK1245" s="116"/>
      <c r="BL1245" s="116"/>
    </row>
    <row r="1246" spans="1:64" ht="19.5" x14ac:dyDescent="0.4">
      <c r="A1246" s="115"/>
      <c r="B1246" s="115"/>
      <c r="C1246" s="115"/>
      <c r="D1246" s="115"/>
      <c r="E1246" s="115"/>
      <c r="F1246" s="115"/>
      <c r="G1246" s="115"/>
      <c r="H1246" s="115"/>
      <c r="I1246" s="115"/>
      <c r="J1246" s="115"/>
      <c r="K1246" s="115"/>
      <c r="L1246" s="115"/>
      <c r="M1246" s="115"/>
      <c r="N1246" s="115"/>
      <c r="O1246" s="115"/>
      <c r="P1246" s="115"/>
      <c r="Q1246" s="115"/>
      <c r="R1246" s="115"/>
      <c r="S1246" s="115"/>
      <c r="T1246" s="115"/>
      <c r="U1246" s="115"/>
      <c r="V1246" s="115"/>
      <c r="W1246" s="115"/>
      <c r="X1246" s="115"/>
      <c r="Y1246" s="115"/>
      <c r="Z1246" s="115"/>
      <c r="AA1246" s="115"/>
      <c r="AB1246" s="115"/>
      <c r="AC1246" s="115"/>
      <c r="AD1246" s="115"/>
      <c r="AE1246" s="115"/>
      <c r="AF1246" s="115"/>
      <c r="AG1246" s="115"/>
      <c r="AH1246" s="115"/>
      <c r="AI1246" s="115"/>
      <c r="AJ1246" s="115"/>
      <c r="AK1246" s="115"/>
      <c r="AL1246" s="115"/>
      <c r="AM1246" s="122"/>
      <c r="AN1246" s="122"/>
      <c r="AO1246" s="122"/>
      <c r="AP1246" s="115"/>
      <c r="AQ1246" s="115"/>
      <c r="AR1246" s="115"/>
      <c r="AS1246" s="115"/>
      <c r="AT1246" s="115"/>
      <c r="AU1246" s="115"/>
      <c r="AV1246" s="115"/>
      <c r="AW1246" s="115"/>
      <c r="AX1246" s="115"/>
      <c r="AY1246" s="115"/>
      <c r="AZ1246" s="115"/>
      <c r="BA1246" s="115"/>
      <c r="BB1246" s="115"/>
      <c r="BC1246" s="115"/>
      <c r="BD1246" s="20"/>
      <c r="BE1246" s="15"/>
      <c r="BI1246" s="117"/>
      <c r="BJ1246" s="116"/>
      <c r="BK1246" s="116"/>
      <c r="BL1246" s="116"/>
    </row>
    <row r="1247" spans="1:64" ht="19.5" x14ac:dyDescent="0.4">
      <c r="A1247" s="115"/>
      <c r="B1247" s="115"/>
      <c r="C1247" s="115"/>
      <c r="D1247" s="115"/>
      <c r="E1247" s="115"/>
      <c r="F1247" s="115"/>
      <c r="G1247" s="115"/>
      <c r="H1247" s="115"/>
      <c r="I1247" s="115"/>
      <c r="J1247" s="115"/>
      <c r="K1247" s="115"/>
      <c r="L1247" s="115"/>
      <c r="M1247" s="115"/>
      <c r="N1247" s="115"/>
      <c r="O1247" s="115"/>
      <c r="P1247" s="115"/>
      <c r="Q1247" s="115"/>
      <c r="R1247" s="115"/>
      <c r="S1247" s="115"/>
      <c r="T1247" s="115"/>
      <c r="U1247" s="115"/>
      <c r="V1247" s="115"/>
      <c r="W1247" s="115"/>
      <c r="X1247" s="115"/>
      <c r="Y1247" s="115"/>
      <c r="Z1247" s="115"/>
      <c r="AA1247" s="115"/>
      <c r="AB1247" s="115"/>
      <c r="AC1247" s="115"/>
      <c r="AD1247" s="115"/>
      <c r="AE1247" s="115"/>
      <c r="AF1247" s="115"/>
      <c r="AG1247" s="115"/>
      <c r="AH1247" s="115"/>
      <c r="AI1247" s="115"/>
      <c r="AJ1247" s="115"/>
      <c r="AK1247" s="115"/>
      <c r="AL1247" s="115"/>
      <c r="AM1247" s="122"/>
      <c r="AN1247" s="122"/>
      <c r="AO1247" s="122"/>
      <c r="AP1247" s="115"/>
      <c r="AQ1247" s="115"/>
      <c r="AR1247" s="115"/>
      <c r="AS1247" s="115"/>
      <c r="AT1247" s="115"/>
      <c r="AU1247" s="115"/>
      <c r="AV1247" s="115"/>
      <c r="AW1247" s="115"/>
      <c r="AX1247" s="115"/>
      <c r="AY1247" s="115"/>
      <c r="AZ1247" s="115"/>
      <c r="BA1247" s="115"/>
      <c r="BB1247" s="115"/>
      <c r="BC1247" s="115"/>
      <c r="BD1247" s="20"/>
      <c r="BE1247" s="15"/>
      <c r="BI1247" s="117"/>
      <c r="BJ1247" s="116"/>
      <c r="BK1247" s="116"/>
      <c r="BL1247" s="116"/>
    </row>
    <row r="1248" spans="1:64" ht="19.5" x14ac:dyDescent="0.4">
      <c r="A1248" s="115"/>
      <c r="B1248" s="115"/>
      <c r="C1248" s="115"/>
      <c r="D1248" s="115"/>
      <c r="E1248" s="115"/>
      <c r="F1248" s="115"/>
      <c r="G1248" s="115"/>
      <c r="H1248" s="115"/>
      <c r="I1248" s="115"/>
      <c r="J1248" s="115"/>
      <c r="K1248" s="115"/>
      <c r="L1248" s="115"/>
      <c r="M1248" s="115"/>
      <c r="N1248" s="115"/>
      <c r="O1248" s="115"/>
      <c r="P1248" s="115"/>
      <c r="Q1248" s="115"/>
      <c r="R1248" s="115"/>
      <c r="S1248" s="115"/>
      <c r="T1248" s="115"/>
      <c r="U1248" s="115"/>
      <c r="V1248" s="115"/>
      <c r="W1248" s="115"/>
      <c r="X1248" s="115"/>
      <c r="Y1248" s="115"/>
      <c r="Z1248" s="115"/>
      <c r="AA1248" s="115"/>
      <c r="AB1248" s="115"/>
      <c r="AC1248" s="115"/>
      <c r="AD1248" s="115"/>
      <c r="AE1248" s="115"/>
      <c r="AF1248" s="115"/>
      <c r="AG1248" s="115"/>
      <c r="AH1248" s="115"/>
      <c r="AI1248" s="115"/>
      <c r="AJ1248" s="115"/>
      <c r="AK1248" s="115"/>
      <c r="AL1248" s="115"/>
      <c r="AM1248" s="122"/>
      <c r="AN1248" s="122"/>
      <c r="AO1248" s="122"/>
      <c r="AP1248" s="115"/>
      <c r="AQ1248" s="115"/>
      <c r="AR1248" s="115"/>
      <c r="AS1248" s="115"/>
      <c r="AT1248" s="115"/>
      <c r="AU1248" s="115"/>
      <c r="AV1248" s="115"/>
      <c r="AW1248" s="115"/>
      <c r="AX1248" s="115"/>
      <c r="AY1248" s="115"/>
      <c r="AZ1248" s="115"/>
      <c r="BA1248" s="115"/>
      <c r="BB1248" s="115"/>
      <c r="BC1248" s="115"/>
      <c r="BD1248" s="25"/>
      <c r="BE1248" s="15"/>
      <c r="BI1248" s="117"/>
      <c r="BJ1248" s="116"/>
      <c r="BK1248" s="116"/>
      <c r="BL1248" s="116"/>
    </row>
    <row r="1249" spans="1:64" ht="19.5" x14ac:dyDescent="0.4">
      <c r="A1249" s="115"/>
      <c r="B1249" s="115"/>
      <c r="C1249" s="115"/>
      <c r="D1249" s="115"/>
      <c r="E1249" s="115"/>
      <c r="F1249" s="115"/>
      <c r="G1249" s="115"/>
      <c r="H1249" s="115"/>
      <c r="I1249" s="115"/>
      <c r="J1249" s="115"/>
      <c r="K1249" s="115"/>
      <c r="L1249" s="115"/>
      <c r="M1249" s="115"/>
      <c r="N1249" s="115"/>
      <c r="O1249" s="115"/>
      <c r="P1249" s="115"/>
      <c r="Q1249" s="115"/>
      <c r="R1249" s="115"/>
      <c r="S1249" s="115"/>
      <c r="T1249" s="115"/>
      <c r="U1249" s="115"/>
      <c r="V1249" s="115"/>
      <c r="W1249" s="115"/>
      <c r="X1249" s="115"/>
      <c r="Y1249" s="115"/>
      <c r="Z1249" s="115"/>
      <c r="AA1249" s="115"/>
      <c r="AB1249" s="115"/>
      <c r="AC1249" s="115"/>
      <c r="AD1249" s="115"/>
      <c r="AE1249" s="115"/>
      <c r="AF1249" s="115"/>
      <c r="AG1249" s="115"/>
      <c r="AH1249" s="115"/>
      <c r="AI1249" s="115"/>
      <c r="AJ1249" s="115"/>
      <c r="AK1249" s="115"/>
      <c r="AL1249" s="115"/>
      <c r="AM1249" s="122"/>
      <c r="AN1249" s="122"/>
      <c r="AO1249" s="122"/>
      <c r="AP1249" s="115"/>
      <c r="AQ1249" s="115"/>
      <c r="AR1249" s="115"/>
      <c r="AS1249" s="115"/>
      <c r="AT1249" s="115"/>
      <c r="AU1249" s="115"/>
      <c r="AV1249" s="115"/>
      <c r="AW1249" s="115"/>
      <c r="AX1249" s="115"/>
      <c r="AY1249" s="115"/>
      <c r="AZ1249" s="115"/>
      <c r="BA1249" s="115"/>
      <c r="BB1249" s="115"/>
      <c r="BC1249" s="115"/>
      <c r="BD1249" s="13"/>
      <c r="BE1249" s="15"/>
      <c r="BI1249" s="117"/>
      <c r="BJ1249" s="116"/>
      <c r="BK1249" s="116"/>
      <c r="BL1249" s="116"/>
    </row>
    <row r="1250" spans="1:64" ht="19.5" x14ac:dyDescent="0.4">
      <c r="BD1250" s="25"/>
      <c r="BE1250" s="15"/>
      <c r="BI1250" s="117"/>
      <c r="BJ1250" s="116"/>
      <c r="BK1250" s="116"/>
      <c r="BL1250" s="116"/>
    </row>
    <row r="1251" spans="1:64" ht="19.5" x14ac:dyDescent="0.4">
      <c r="AJ1251" s="115"/>
      <c r="AK1251" s="115"/>
      <c r="AL1251" s="115"/>
      <c r="AM1251" s="122"/>
      <c r="AN1251" s="122"/>
      <c r="AO1251" s="122"/>
      <c r="AP1251" s="115"/>
      <c r="AQ1251" s="115"/>
      <c r="AR1251" s="115"/>
      <c r="AS1251" s="115"/>
      <c r="AT1251" s="115"/>
      <c r="AU1251" s="115"/>
      <c r="AV1251" s="115"/>
      <c r="AW1251" s="115"/>
      <c r="AX1251" s="115"/>
      <c r="AY1251" s="115"/>
      <c r="AZ1251" s="115"/>
      <c r="BA1251" s="115"/>
      <c r="BB1251" s="115"/>
      <c r="BC1251" s="115"/>
      <c r="BD1251" s="13"/>
      <c r="BE1251" s="15"/>
      <c r="BI1251" s="117"/>
      <c r="BJ1251" s="116"/>
      <c r="BK1251" s="116"/>
      <c r="BL1251" s="116"/>
    </row>
    <row r="1252" spans="1:64" ht="19.5" x14ac:dyDescent="0.4">
      <c r="D1252" s="115"/>
      <c r="E1252" s="115"/>
      <c r="F1252" s="115"/>
      <c r="G1252" s="115"/>
      <c r="H1252" s="115"/>
      <c r="I1252" s="115"/>
      <c r="J1252" s="115"/>
      <c r="K1252" s="115"/>
      <c r="L1252" s="115"/>
      <c r="M1252" s="115"/>
      <c r="N1252" s="115"/>
      <c r="O1252" s="115"/>
      <c r="P1252" s="115"/>
      <c r="Q1252" s="115"/>
      <c r="R1252" s="115"/>
      <c r="S1252" s="115"/>
      <c r="T1252" s="115"/>
      <c r="U1252" s="115"/>
      <c r="V1252" s="115"/>
      <c r="W1252" s="115"/>
      <c r="X1252" s="115"/>
      <c r="Y1252" s="115"/>
      <c r="Z1252" s="115"/>
      <c r="AA1252" s="115"/>
      <c r="AB1252" s="115"/>
      <c r="AC1252" s="115"/>
      <c r="AD1252" s="115"/>
      <c r="AE1252" s="115"/>
      <c r="AF1252" s="115"/>
      <c r="AG1252" s="115"/>
      <c r="AH1252" s="115"/>
      <c r="AI1252" s="115"/>
      <c r="AJ1252" s="115"/>
      <c r="AK1252" s="115"/>
      <c r="AL1252" s="115"/>
      <c r="AM1252" s="122"/>
      <c r="AN1252" s="122"/>
      <c r="AO1252" s="122"/>
      <c r="AP1252" s="115"/>
      <c r="AQ1252" s="115"/>
      <c r="AR1252" s="115"/>
      <c r="AS1252" s="115"/>
      <c r="AT1252" s="115"/>
      <c r="AU1252" s="115"/>
      <c r="AV1252" s="115"/>
      <c r="AW1252" s="115"/>
      <c r="AX1252" s="115"/>
      <c r="AY1252" s="115"/>
      <c r="AZ1252" s="115"/>
      <c r="BA1252" s="115"/>
      <c r="BB1252" s="115"/>
      <c r="BC1252" s="115"/>
      <c r="BD1252" s="25"/>
      <c r="BE1252" s="15"/>
      <c r="BI1252" s="117"/>
      <c r="BJ1252" s="116"/>
      <c r="BK1252" s="116"/>
      <c r="BL1252" s="116"/>
    </row>
    <row r="1253" spans="1:64" ht="19.5" x14ac:dyDescent="0.4">
      <c r="A1253" s="115"/>
      <c r="B1253" s="115"/>
      <c r="C1253" s="115"/>
      <c r="D1253" s="115"/>
      <c r="E1253" s="115"/>
      <c r="F1253" s="115"/>
      <c r="G1253" s="115"/>
      <c r="H1253" s="115"/>
      <c r="I1253" s="115"/>
      <c r="J1253" s="115"/>
      <c r="K1253" s="115"/>
      <c r="L1253" s="115"/>
      <c r="M1253" s="115"/>
      <c r="N1253" s="115"/>
      <c r="O1253" s="115"/>
      <c r="P1253" s="115"/>
      <c r="Q1253" s="115"/>
      <c r="R1253" s="115"/>
      <c r="S1253" s="115"/>
      <c r="T1253" s="115"/>
      <c r="U1253" s="115"/>
      <c r="V1253" s="115"/>
      <c r="W1253" s="115"/>
      <c r="X1253" s="115"/>
      <c r="Y1253" s="115"/>
      <c r="Z1253" s="115"/>
      <c r="AA1253" s="115"/>
      <c r="AB1253" s="115"/>
      <c r="AC1253" s="115"/>
      <c r="AD1253" s="115"/>
      <c r="AE1253" s="115"/>
      <c r="AF1253" s="115"/>
      <c r="AG1253" s="115"/>
      <c r="AH1253" s="115"/>
      <c r="AI1253" s="115"/>
      <c r="AJ1253" s="115"/>
      <c r="AK1253" s="115"/>
      <c r="AL1253" s="115"/>
      <c r="AM1253" s="122"/>
      <c r="AN1253" s="122"/>
      <c r="AO1253" s="122"/>
      <c r="AP1253" s="115"/>
      <c r="AQ1253" s="115"/>
      <c r="AR1253" s="115"/>
      <c r="AS1253" s="115"/>
      <c r="AT1253" s="115"/>
      <c r="AU1253" s="115"/>
      <c r="AV1253" s="115"/>
      <c r="AW1253" s="115"/>
      <c r="AX1253" s="115"/>
      <c r="AY1253" s="115"/>
      <c r="AZ1253" s="115"/>
      <c r="BA1253" s="115"/>
      <c r="BB1253" s="115"/>
      <c r="BC1253" s="115"/>
      <c r="BD1253" s="25"/>
      <c r="BE1253" s="15"/>
      <c r="BI1253" s="117"/>
      <c r="BJ1253" s="116"/>
      <c r="BK1253" s="116"/>
      <c r="BL1253" s="116"/>
    </row>
    <row r="1254" spans="1:64" ht="19.5" x14ac:dyDescent="0.4">
      <c r="A1254" s="115"/>
      <c r="B1254" s="115"/>
      <c r="C1254" s="115"/>
      <c r="D1254" s="115"/>
      <c r="E1254" s="115"/>
      <c r="F1254" s="115"/>
      <c r="G1254" s="115"/>
      <c r="H1254" s="115"/>
      <c r="I1254" s="115"/>
      <c r="J1254" s="115"/>
      <c r="K1254" s="115"/>
      <c r="L1254" s="115"/>
      <c r="M1254" s="115"/>
      <c r="N1254" s="115"/>
      <c r="O1254" s="115"/>
      <c r="P1254" s="115"/>
      <c r="Q1254" s="115"/>
      <c r="R1254" s="115"/>
      <c r="S1254" s="115"/>
      <c r="T1254" s="115"/>
      <c r="U1254" s="115"/>
      <c r="V1254" s="115"/>
      <c r="W1254" s="115"/>
      <c r="X1254" s="115"/>
      <c r="Y1254" s="115"/>
      <c r="Z1254" s="115"/>
      <c r="AA1254" s="115"/>
      <c r="AB1254" s="115"/>
      <c r="AC1254" s="115"/>
      <c r="AD1254" s="115"/>
      <c r="AE1254" s="115"/>
      <c r="AF1254" s="115"/>
      <c r="AG1254" s="115"/>
      <c r="AH1254" s="115"/>
      <c r="AI1254" s="115"/>
      <c r="AJ1254" s="115"/>
      <c r="AK1254" s="115"/>
      <c r="AL1254" s="115"/>
      <c r="AM1254" s="122"/>
      <c r="AN1254" s="122"/>
      <c r="AO1254" s="122"/>
      <c r="AP1254" s="115"/>
      <c r="AQ1254" s="115"/>
      <c r="AR1254" s="115"/>
      <c r="AS1254" s="115"/>
      <c r="AT1254" s="115"/>
      <c r="AU1254" s="115"/>
      <c r="AV1254" s="115"/>
      <c r="AW1254" s="115"/>
      <c r="AX1254" s="115"/>
      <c r="AY1254" s="115"/>
      <c r="AZ1254" s="115"/>
      <c r="BA1254" s="115"/>
      <c r="BB1254" s="115"/>
      <c r="BC1254" s="115"/>
      <c r="BD1254" s="13"/>
      <c r="BE1254" s="15"/>
      <c r="BI1254" s="117"/>
      <c r="BJ1254" s="116"/>
      <c r="BK1254" s="116"/>
      <c r="BL1254" s="116"/>
    </row>
    <row r="1255" spans="1:64" ht="19.5" x14ac:dyDescent="0.4">
      <c r="A1255" s="115"/>
      <c r="B1255" s="115"/>
      <c r="C1255" s="115"/>
      <c r="D1255" s="115"/>
      <c r="E1255" s="115"/>
      <c r="F1255" s="115"/>
      <c r="G1255" s="115"/>
      <c r="H1255" s="115"/>
      <c r="I1255" s="115"/>
      <c r="J1255" s="115"/>
      <c r="K1255" s="115"/>
      <c r="L1255" s="115"/>
      <c r="M1255" s="115"/>
      <c r="N1255" s="115"/>
      <c r="O1255" s="115"/>
      <c r="P1255" s="115"/>
      <c r="Q1255" s="115"/>
      <c r="R1255" s="115"/>
      <c r="S1255" s="115"/>
      <c r="T1255" s="115"/>
      <c r="U1255" s="115"/>
      <c r="V1255" s="115"/>
      <c r="W1255" s="115"/>
      <c r="X1255" s="115"/>
      <c r="Y1255" s="115"/>
      <c r="Z1255" s="115"/>
      <c r="AA1255" s="115"/>
      <c r="AB1255" s="115"/>
      <c r="AC1255" s="115"/>
      <c r="AD1255" s="115"/>
      <c r="AE1255" s="115"/>
      <c r="AF1255" s="115"/>
      <c r="AG1255" s="115"/>
      <c r="AH1255" s="115"/>
      <c r="AI1255" s="115"/>
      <c r="AJ1255" s="115"/>
      <c r="AK1255" s="115"/>
      <c r="AL1255" s="115"/>
      <c r="AM1255" s="122"/>
      <c r="AN1255" s="122"/>
      <c r="AO1255" s="122"/>
      <c r="AP1255" s="115"/>
      <c r="AQ1255" s="115"/>
      <c r="AR1255" s="115"/>
      <c r="AS1255" s="115"/>
      <c r="AT1255" s="115"/>
      <c r="AU1255" s="115"/>
      <c r="AV1255" s="115"/>
      <c r="AW1255" s="115"/>
      <c r="AX1255" s="115"/>
      <c r="AY1255" s="115"/>
      <c r="AZ1255" s="115"/>
      <c r="BA1255" s="115"/>
      <c r="BB1255" s="115"/>
      <c r="BC1255" s="115"/>
      <c r="BD1255" s="25"/>
      <c r="BE1255" s="15"/>
      <c r="BI1255" s="117"/>
      <c r="BJ1255" s="116"/>
      <c r="BK1255" s="116"/>
      <c r="BL1255" s="116"/>
    </row>
    <row r="1256" spans="1:64" ht="19.5" x14ac:dyDescent="0.4">
      <c r="A1256" s="115"/>
      <c r="B1256" s="115"/>
      <c r="C1256" s="115"/>
      <c r="D1256" s="115"/>
      <c r="E1256" s="115"/>
      <c r="F1256" s="115"/>
      <c r="G1256" s="115"/>
      <c r="H1256" s="115"/>
      <c r="I1256" s="115"/>
      <c r="J1256" s="115"/>
      <c r="K1256" s="115"/>
      <c r="L1256" s="115"/>
      <c r="M1256" s="115"/>
      <c r="N1256" s="115"/>
      <c r="O1256" s="115"/>
      <c r="P1256" s="115"/>
      <c r="Q1256" s="115"/>
      <c r="R1256" s="115"/>
      <c r="S1256" s="115"/>
      <c r="T1256" s="115"/>
      <c r="U1256" s="115"/>
      <c r="V1256" s="115"/>
      <c r="W1256" s="115"/>
      <c r="X1256" s="115"/>
      <c r="Y1256" s="115"/>
      <c r="Z1256" s="115"/>
      <c r="AA1256" s="115"/>
      <c r="AB1256" s="115"/>
      <c r="AC1256" s="115"/>
      <c r="AD1256" s="115"/>
      <c r="AE1256" s="115"/>
      <c r="AF1256" s="115"/>
      <c r="AG1256" s="115"/>
      <c r="AH1256" s="115"/>
      <c r="AI1256" s="115"/>
      <c r="AJ1256" s="115"/>
      <c r="AK1256" s="115"/>
      <c r="AL1256" s="115"/>
      <c r="AM1256" s="122"/>
      <c r="AN1256" s="122"/>
      <c r="AO1256" s="122"/>
      <c r="AP1256" s="115"/>
      <c r="AQ1256" s="115"/>
      <c r="AR1256" s="115"/>
      <c r="AS1256" s="115"/>
      <c r="AT1256" s="115"/>
      <c r="AU1256" s="115"/>
      <c r="AV1256" s="115"/>
      <c r="AW1256" s="115"/>
      <c r="AX1256" s="115"/>
      <c r="AY1256" s="115"/>
      <c r="AZ1256" s="115"/>
      <c r="BA1256" s="115"/>
      <c r="BB1256" s="115"/>
      <c r="BC1256" s="115"/>
      <c r="BD1256" s="13"/>
      <c r="BE1256" s="15"/>
      <c r="BI1256" s="117"/>
      <c r="BJ1256" s="116"/>
      <c r="BK1256" s="116"/>
      <c r="BL1256" s="116"/>
    </row>
    <row r="1257" spans="1:64" ht="19.5" x14ac:dyDescent="0.4">
      <c r="A1257" s="115"/>
      <c r="B1257" s="115"/>
      <c r="C1257" s="115"/>
      <c r="D1257" s="115"/>
      <c r="E1257" s="115"/>
      <c r="F1257" s="115"/>
      <c r="G1257" s="115"/>
      <c r="H1257" s="115"/>
      <c r="I1257" s="115"/>
      <c r="J1257" s="115"/>
      <c r="K1257" s="115"/>
      <c r="L1257" s="115"/>
      <c r="M1257" s="115"/>
      <c r="N1257" s="115"/>
      <c r="O1257" s="115"/>
      <c r="P1257" s="115"/>
      <c r="Q1257" s="115"/>
      <c r="R1257" s="115"/>
      <c r="S1257" s="115"/>
      <c r="T1257" s="115"/>
      <c r="U1257" s="115"/>
      <c r="V1257" s="115"/>
      <c r="W1257" s="115"/>
      <c r="X1257" s="115"/>
      <c r="Y1257" s="115"/>
      <c r="Z1257" s="115"/>
      <c r="AA1257" s="115"/>
      <c r="AB1257" s="115"/>
      <c r="AC1257" s="115"/>
      <c r="AD1257" s="115"/>
      <c r="AE1257" s="115"/>
      <c r="AF1257" s="115"/>
      <c r="AG1257" s="115"/>
      <c r="AH1257" s="115"/>
      <c r="AI1257" s="115"/>
      <c r="AJ1257" s="115"/>
      <c r="AK1257" s="115"/>
      <c r="AL1257" s="115"/>
      <c r="AM1257" s="122"/>
      <c r="AN1257" s="122"/>
      <c r="AO1257" s="122"/>
      <c r="AP1257" s="115"/>
      <c r="AQ1257" s="115"/>
      <c r="AR1257" s="115"/>
      <c r="AS1257" s="115"/>
      <c r="AT1257" s="115"/>
      <c r="AU1257" s="115"/>
      <c r="AV1257" s="115"/>
      <c r="AW1257" s="115"/>
      <c r="AX1257" s="115"/>
      <c r="AY1257" s="115"/>
      <c r="AZ1257" s="115"/>
      <c r="BA1257" s="115"/>
      <c r="BB1257" s="115"/>
      <c r="BC1257" s="115"/>
      <c r="BD1257" s="25"/>
      <c r="BE1257" s="15"/>
      <c r="BI1257" s="117"/>
      <c r="BJ1257" s="116"/>
      <c r="BK1257" s="116"/>
      <c r="BL1257" s="116"/>
    </row>
    <row r="1258" spans="1:64" ht="19.5" x14ac:dyDescent="0.4">
      <c r="A1258" s="115"/>
      <c r="B1258" s="115"/>
      <c r="C1258" s="115"/>
      <c r="D1258" s="115"/>
      <c r="E1258" s="115"/>
      <c r="F1258" s="115"/>
      <c r="G1258" s="115"/>
      <c r="H1258" s="115"/>
      <c r="I1258" s="115"/>
      <c r="J1258" s="115"/>
      <c r="K1258" s="115"/>
      <c r="L1258" s="115"/>
      <c r="M1258" s="115"/>
      <c r="N1258" s="115"/>
      <c r="O1258" s="115"/>
      <c r="P1258" s="115"/>
      <c r="Q1258" s="115"/>
      <c r="R1258" s="115"/>
      <c r="S1258" s="115"/>
      <c r="T1258" s="115"/>
      <c r="U1258" s="115"/>
      <c r="V1258" s="115"/>
      <c r="W1258" s="115"/>
      <c r="X1258" s="115"/>
      <c r="Y1258" s="115"/>
      <c r="Z1258" s="115"/>
      <c r="AA1258" s="115"/>
      <c r="AB1258" s="115"/>
      <c r="AC1258" s="115"/>
      <c r="AD1258" s="115"/>
      <c r="AE1258" s="115"/>
      <c r="AF1258" s="115"/>
      <c r="AG1258" s="115"/>
      <c r="AH1258" s="115"/>
      <c r="AI1258" s="115"/>
      <c r="AJ1258" s="115"/>
      <c r="AK1258" s="115"/>
      <c r="AL1258" s="115"/>
      <c r="AM1258" s="122"/>
      <c r="AN1258" s="122"/>
      <c r="AO1258" s="122"/>
      <c r="AP1258" s="115"/>
      <c r="AQ1258" s="115"/>
      <c r="AR1258" s="115"/>
      <c r="AS1258" s="115"/>
      <c r="AT1258" s="115"/>
      <c r="AU1258" s="115"/>
      <c r="AV1258" s="115"/>
      <c r="AW1258" s="115"/>
      <c r="AX1258" s="115"/>
      <c r="AY1258" s="115"/>
      <c r="AZ1258" s="115"/>
      <c r="BA1258" s="115"/>
      <c r="BB1258" s="115"/>
      <c r="BC1258" s="115"/>
      <c r="BD1258" s="26"/>
      <c r="BE1258" s="15"/>
      <c r="BI1258" s="117"/>
      <c r="BJ1258" s="116"/>
      <c r="BK1258" s="116"/>
      <c r="BL1258" s="116"/>
    </row>
    <row r="1259" spans="1:64" ht="19.5" x14ac:dyDescent="0.4">
      <c r="A1259" s="115"/>
      <c r="B1259" s="115"/>
      <c r="C1259" s="115"/>
      <c r="D1259" s="115"/>
      <c r="E1259" s="115"/>
      <c r="F1259" s="115"/>
      <c r="G1259" s="115"/>
      <c r="H1259" s="115"/>
      <c r="I1259" s="115"/>
      <c r="J1259" s="115"/>
      <c r="K1259" s="115"/>
      <c r="L1259" s="115"/>
      <c r="M1259" s="115"/>
      <c r="N1259" s="115"/>
      <c r="O1259" s="115"/>
      <c r="P1259" s="115"/>
      <c r="Q1259" s="115"/>
      <c r="R1259" s="115"/>
      <c r="S1259" s="115"/>
      <c r="T1259" s="115"/>
      <c r="U1259" s="115"/>
      <c r="V1259" s="115"/>
      <c r="W1259" s="115"/>
      <c r="X1259" s="115"/>
      <c r="Y1259" s="115"/>
      <c r="Z1259" s="115"/>
      <c r="AA1259" s="115"/>
      <c r="AB1259" s="115"/>
      <c r="AC1259" s="115"/>
      <c r="AD1259" s="115"/>
      <c r="AE1259" s="115"/>
      <c r="AF1259" s="115"/>
      <c r="AG1259" s="115"/>
      <c r="AH1259" s="115"/>
      <c r="AI1259" s="115"/>
      <c r="AJ1259" s="115"/>
      <c r="AK1259" s="115"/>
      <c r="AL1259" s="115"/>
      <c r="AM1259" s="122"/>
      <c r="AN1259" s="122"/>
      <c r="AO1259" s="122"/>
      <c r="AP1259" s="115"/>
      <c r="AQ1259" s="115"/>
      <c r="AR1259" s="115"/>
      <c r="AS1259" s="115"/>
      <c r="AT1259" s="115"/>
      <c r="AU1259" s="115"/>
      <c r="AV1259" s="115"/>
      <c r="AW1259" s="115"/>
      <c r="AX1259" s="115"/>
      <c r="AY1259" s="115"/>
      <c r="AZ1259" s="115"/>
      <c r="BA1259" s="115"/>
      <c r="BB1259" s="115"/>
      <c r="BC1259" s="115"/>
      <c r="BD1259" s="17"/>
      <c r="BE1259" s="13"/>
      <c r="BI1259" s="117"/>
      <c r="BJ1259" s="116"/>
      <c r="BK1259" s="116"/>
      <c r="BL1259" s="116"/>
    </row>
    <row r="1260" spans="1:64" ht="19.5" x14ac:dyDescent="0.4">
      <c r="A1260" s="115"/>
      <c r="B1260" s="115"/>
      <c r="C1260" s="115"/>
      <c r="D1260" s="115"/>
      <c r="E1260" s="115"/>
      <c r="F1260" s="115"/>
      <c r="G1260" s="115"/>
      <c r="H1260" s="115"/>
      <c r="I1260" s="115"/>
      <c r="J1260" s="115"/>
      <c r="K1260" s="115"/>
      <c r="L1260" s="115"/>
      <c r="M1260" s="115"/>
      <c r="N1260" s="115"/>
      <c r="O1260" s="115"/>
      <c r="P1260" s="115"/>
      <c r="Q1260" s="115"/>
      <c r="R1260" s="115"/>
      <c r="S1260" s="115"/>
      <c r="T1260" s="115"/>
      <c r="U1260" s="115"/>
      <c r="V1260" s="115"/>
      <c r="W1260" s="115"/>
      <c r="X1260" s="115"/>
      <c r="Y1260" s="115"/>
      <c r="Z1260" s="115"/>
      <c r="AA1260" s="115"/>
      <c r="AB1260" s="115"/>
      <c r="AC1260" s="115"/>
      <c r="AD1260" s="115"/>
      <c r="AE1260" s="115"/>
      <c r="AF1260" s="115"/>
      <c r="AG1260" s="115"/>
      <c r="AH1260" s="115"/>
      <c r="AI1260" s="115"/>
      <c r="AJ1260" s="115"/>
      <c r="AK1260" s="115"/>
      <c r="AL1260" s="115"/>
      <c r="AM1260" s="122"/>
      <c r="AN1260" s="122"/>
      <c r="AO1260" s="122"/>
      <c r="AP1260" s="115"/>
      <c r="AQ1260" s="115"/>
      <c r="AR1260" s="115"/>
      <c r="AS1260" s="115"/>
      <c r="AT1260" s="115"/>
      <c r="AU1260" s="115"/>
      <c r="AV1260" s="115"/>
      <c r="AW1260" s="115"/>
      <c r="AX1260" s="115"/>
      <c r="AY1260" s="115"/>
      <c r="AZ1260" s="115"/>
      <c r="BA1260" s="115"/>
      <c r="BB1260" s="115"/>
      <c r="BC1260" s="115"/>
      <c r="BD1260" s="26"/>
      <c r="BE1260" s="13"/>
      <c r="BI1260" s="117"/>
      <c r="BJ1260" s="116"/>
      <c r="BK1260" s="116"/>
      <c r="BL1260" s="116"/>
    </row>
    <row r="1261" spans="1:64" ht="19.5" x14ac:dyDescent="0.4">
      <c r="A1261" s="115"/>
      <c r="B1261" s="115"/>
      <c r="C1261" s="115"/>
      <c r="D1261" s="115"/>
      <c r="E1261" s="115"/>
      <c r="F1261" s="115"/>
      <c r="G1261" s="115"/>
      <c r="H1261" s="115"/>
      <c r="I1261" s="115"/>
      <c r="J1261" s="115"/>
      <c r="K1261" s="115"/>
      <c r="L1261" s="115"/>
      <c r="M1261" s="115"/>
      <c r="N1261" s="115"/>
      <c r="O1261" s="115"/>
      <c r="P1261" s="115"/>
      <c r="Q1261" s="115"/>
      <c r="R1261" s="115"/>
      <c r="S1261" s="115"/>
      <c r="T1261" s="115"/>
      <c r="U1261" s="115"/>
      <c r="V1261" s="115"/>
      <c r="W1261" s="115"/>
      <c r="X1261" s="115"/>
      <c r="Y1261" s="115"/>
      <c r="Z1261" s="115"/>
      <c r="AA1261" s="115"/>
      <c r="AB1261" s="115"/>
      <c r="AC1261" s="115"/>
      <c r="AD1261" s="115"/>
      <c r="AE1261" s="115"/>
      <c r="AF1261" s="115"/>
      <c r="AG1261" s="115"/>
      <c r="AH1261" s="115"/>
      <c r="AI1261" s="115"/>
      <c r="AJ1261" s="115"/>
      <c r="AK1261" s="115"/>
      <c r="AL1261" s="115"/>
      <c r="AM1261" s="122"/>
      <c r="AN1261" s="122"/>
      <c r="AO1261" s="122"/>
      <c r="AP1261" s="115"/>
      <c r="AQ1261" s="115"/>
      <c r="AR1261" s="115"/>
      <c r="AS1261" s="115"/>
      <c r="AT1261" s="115"/>
      <c r="AU1261" s="115"/>
      <c r="AV1261" s="115"/>
      <c r="AW1261" s="115"/>
      <c r="AX1261" s="115"/>
      <c r="AY1261" s="115"/>
      <c r="AZ1261" s="115"/>
      <c r="BA1261" s="115"/>
      <c r="BB1261" s="115"/>
      <c r="BC1261" s="115"/>
      <c r="BD1261" s="17"/>
      <c r="BE1261" s="13"/>
      <c r="BI1261" s="117"/>
      <c r="BJ1261" s="116"/>
      <c r="BK1261" s="116"/>
      <c r="BL1261" s="116"/>
    </row>
    <row r="1262" spans="1:64" ht="19.5" x14ac:dyDescent="0.4">
      <c r="A1262" s="115"/>
      <c r="B1262" s="115"/>
      <c r="C1262" s="115"/>
      <c r="D1262" s="115"/>
      <c r="E1262" s="115"/>
      <c r="F1262" s="115"/>
      <c r="G1262" s="115"/>
      <c r="H1262" s="115"/>
      <c r="I1262" s="115"/>
      <c r="J1262" s="115"/>
      <c r="K1262" s="115"/>
      <c r="L1262" s="115"/>
      <c r="M1262" s="115"/>
      <c r="N1262" s="115"/>
      <c r="O1262" s="115"/>
      <c r="P1262" s="115"/>
      <c r="Q1262" s="115"/>
      <c r="R1262" s="115"/>
      <c r="S1262" s="115"/>
      <c r="T1262" s="115"/>
      <c r="U1262" s="115"/>
      <c r="V1262" s="115"/>
      <c r="W1262" s="115"/>
      <c r="X1262" s="115"/>
      <c r="Y1262" s="115"/>
      <c r="Z1262" s="115"/>
      <c r="AA1262" s="115"/>
      <c r="AB1262" s="115"/>
      <c r="AC1262" s="115"/>
      <c r="AD1262" s="115"/>
      <c r="AE1262" s="115"/>
      <c r="AF1262" s="115"/>
      <c r="AG1262" s="115"/>
      <c r="AH1262" s="115"/>
      <c r="AI1262" s="115"/>
      <c r="AJ1262" s="115"/>
      <c r="AK1262" s="115"/>
      <c r="AL1262" s="115"/>
      <c r="AM1262" s="122"/>
      <c r="AN1262" s="122"/>
      <c r="AO1262" s="122"/>
      <c r="AP1262" s="115"/>
      <c r="AQ1262" s="115"/>
      <c r="AR1262" s="115"/>
      <c r="AS1262" s="115"/>
      <c r="AT1262" s="115"/>
      <c r="AU1262" s="115"/>
      <c r="AV1262" s="115"/>
      <c r="AW1262" s="115"/>
      <c r="AX1262" s="115"/>
      <c r="AY1262" s="115"/>
      <c r="AZ1262" s="115"/>
      <c r="BA1262" s="115"/>
      <c r="BB1262" s="115"/>
      <c r="BC1262" s="115"/>
      <c r="BD1262" s="26"/>
      <c r="BE1262" s="15"/>
      <c r="BI1262" s="117"/>
      <c r="BJ1262" s="116"/>
      <c r="BK1262" s="116"/>
      <c r="BL1262" s="116"/>
    </row>
    <row r="1263" spans="1:64" ht="19.5" x14ac:dyDescent="0.4">
      <c r="A1263" s="115"/>
      <c r="B1263" s="115"/>
      <c r="C1263" s="115"/>
      <c r="D1263" s="115"/>
      <c r="E1263" s="115"/>
      <c r="F1263" s="115"/>
      <c r="G1263" s="115"/>
      <c r="H1263" s="115"/>
      <c r="I1263" s="115"/>
      <c r="J1263" s="115"/>
      <c r="K1263" s="115"/>
      <c r="L1263" s="115"/>
      <c r="M1263" s="115"/>
      <c r="N1263" s="115"/>
      <c r="O1263" s="115"/>
      <c r="P1263" s="115"/>
      <c r="Q1263" s="115"/>
      <c r="R1263" s="115"/>
      <c r="S1263" s="115"/>
      <c r="T1263" s="115"/>
      <c r="U1263" s="115"/>
      <c r="V1263" s="115"/>
      <c r="W1263" s="115"/>
      <c r="X1263" s="115"/>
      <c r="Y1263" s="115"/>
      <c r="Z1263" s="115"/>
      <c r="AA1263" s="115"/>
      <c r="AB1263" s="115"/>
      <c r="AC1263" s="115"/>
      <c r="AD1263" s="115"/>
      <c r="AE1263" s="115"/>
      <c r="AF1263" s="115"/>
      <c r="AG1263" s="115"/>
      <c r="AH1263" s="115"/>
      <c r="AI1263" s="115"/>
      <c r="AJ1263" s="115"/>
      <c r="AK1263" s="115"/>
      <c r="AL1263" s="115"/>
      <c r="AM1263" s="122"/>
      <c r="AN1263" s="122"/>
      <c r="AO1263" s="122"/>
      <c r="AP1263" s="115"/>
      <c r="AQ1263" s="115"/>
      <c r="AR1263" s="115"/>
      <c r="AS1263" s="115"/>
      <c r="AT1263" s="115"/>
      <c r="AU1263" s="115"/>
      <c r="AV1263" s="115"/>
      <c r="AW1263" s="115"/>
      <c r="AX1263" s="115"/>
      <c r="AY1263" s="115"/>
      <c r="AZ1263" s="115"/>
      <c r="BA1263" s="115"/>
      <c r="BB1263" s="115"/>
      <c r="BC1263" s="115"/>
      <c r="BD1263" s="17"/>
      <c r="BE1263" s="15"/>
      <c r="BI1263" s="117"/>
      <c r="BJ1263" s="116"/>
      <c r="BK1263" s="116"/>
      <c r="BL1263" s="116"/>
    </row>
    <row r="1264" spans="1:64" ht="19.5" x14ac:dyDescent="0.4">
      <c r="BD1264" s="26"/>
      <c r="BE1264" s="105"/>
      <c r="BI1264" s="117"/>
      <c r="BJ1264" s="116"/>
      <c r="BK1264" s="116"/>
      <c r="BL1264" s="116"/>
    </row>
    <row r="1265" spans="1:64" ht="19.5" x14ac:dyDescent="0.4">
      <c r="AJ1265" s="115"/>
      <c r="AK1265" s="115"/>
      <c r="AL1265" s="115"/>
      <c r="AM1265" s="122"/>
      <c r="AN1265" s="122"/>
      <c r="AO1265" s="122"/>
      <c r="AP1265" s="115"/>
      <c r="AQ1265" s="115"/>
      <c r="AR1265" s="115"/>
      <c r="AS1265" s="115"/>
      <c r="AT1265" s="115"/>
      <c r="AU1265" s="115"/>
      <c r="AV1265" s="115"/>
      <c r="AW1265" s="115"/>
      <c r="AX1265" s="115"/>
      <c r="AY1265" s="115"/>
      <c r="AZ1265" s="115"/>
      <c r="BA1265" s="115"/>
      <c r="BB1265" s="115"/>
      <c r="BC1265" s="115"/>
      <c r="BD1265" s="17"/>
      <c r="BE1265" s="15"/>
      <c r="BI1265" s="117"/>
      <c r="BJ1265" s="116"/>
      <c r="BK1265" s="116"/>
      <c r="BL1265" s="116"/>
    </row>
    <row r="1266" spans="1:64" ht="19.5" x14ac:dyDescent="0.4">
      <c r="AG1266" s="115"/>
      <c r="AH1266" s="115"/>
      <c r="AI1266" s="115"/>
      <c r="AJ1266" s="115"/>
      <c r="AK1266" s="115"/>
      <c r="AL1266" s="115"/>
      <c r="AM1266" s="122"/>
      <c r="AN1266" s="122"/>
      <c r="AO1266" s="122"/>
      <c r="AP1266" s="115"/>
      <c r="AQ1266" s="115"/>
      <c r="AR1266" s="115"/>
      <c r="AS1266" s="115"/>
      <c r="AT1266" s="115"/>
      <c r="AU1266" s="115"/>
      <c r="AV1266" s="115"/>
      <c r="AW1266" s="115"/>
      <c r="AX1266" s="115"/>
      <c r="AY1266" s="115"/>
      <c r="AZ1266" s="115"/>
      <c r="BA1266" s="115"/>
      <c r="BB1266" s="115"/>
      <c r="BC1266" s="115"/>
      <c r="BD1266" s="26"/>
      <c r="BE1266" s="15"/>
      <c r="BI1266" s="117"/>
      <c r="BJ1266" s="116"/>
      <c r="BK1266" s="116"/>
      <c r="BL1266" s="116"/>
    </row>
    <row r="1267" spans="1:64" ht="19.5" x14ac:dyDescent="0.4">
      <c r="AG1267" s="115"/>
      <c r="AH1267" s="115"/>
      <c r="AI1267" s="115"/>
      <c r="AJ1267" s="115"/>
      <c r="AK1267" s="115"/>
      <c r="AL1267" s="115"/>
      <c r="AM1267" s="122"/>
      <c r="AN1267" s="122"/>
      <c r="AO1267" s="122"/>
      <c r="AP1267" s="115"/>
      <c r="AQ1267" s="115"/>
      <c r="AR1267" s="115"/>
      <c r="AS1267" s="115"/>
      <c r="AT1267" s="115"/>
      <c r="AU1267" s="115"/>
      <c r="AV1267" s="115"/>
      <c r="AW1267" s="115"/>
      <c r="AX1267" s="115"/>
      <c r="AY1267" s="115"/>
      <c r="AZ1267" s="115"/>
      <c r="BA1267" s="115"/>
      <c r="BB1267" s="115"/>
      <c r="BC1267" s="115"/>
      <c r="BD1267" s="17"/>
      <c r="BE1267" s="15"/>
      <c r="BI1267" s="117"/>
      <c r="BJ1267" s="116"/>
      <c r="BK1267" s="116"/>
      <c r="BL1267" s="116"/>
    </row>
    <row r="1268" spans="1:64" ht="19.5" x14ac:dyDescent="0.4">
      <c r="E1268" s="115"/>
      <c r="F1268" s="115"/>
      <c r="G1268" s="115"/>
      <c r="H1268" s="115"/>
      <c r="I1268" s="115"/>
      <c r="J1268" s="115"/>
      <c r="K1268" s="115"/>
      <c r="L1268" s="115"/>
      <c r="M1268" s="115"/>
      <c r="N1268" s="115"/>
      <c r="O1268" s="115"/>
      <c r="P1268" s="115"/>
      <c r="Q1268" s="115"/>
      <c r="R1268" s="115"/>
      <c r="S1268" s="115"/>
      <c r="T1268" s="115"/>
      <c r="U1268" s="115"/>
      <c r="V1268" s="115"/>
      <c r="W1268" s="115"/>
      <c r="X1268" s="115"/>
      <c r="Y1268" s="115"/>
      <c r="Z1268" s="115"/>
      <c r="AA1268" s="115"/>
      <c r="AB1268" s="115"/>
      <c r="AC1268" s="115"/>
      <c r="AD1268" s="115"/>
      <c r="AE1268" s="115"/>
      <c r="AF1268" s="115"/>
      <c r="AG1268" s="115"/>
      <c r="AH1268" s="115"/>
      <c r="AI1268" s="115"/>
      <c r="AJ1268" s="115"/>
      <c r="AK1268" s="115"/>
      <c r="AL1268" s="115"/>
      <c r="AM1268" s="122"/>
      <c r="AN1268" s="122"/>
      <c r="AO1268" s="122"/>
      <c r="AP1268" s="115"/>
      <c r="AQ1268" s="115"/>
      <c r="AR1268" s="115"/>
      <c r="AS1268" s="115"/>
      <c r="AT1268" s="115"/>
      <c r="AU1268" s="115"/>
      <c r="AV1268" s="115"/>
      <c r="AW1268" s="115"/>
      <c r="AX1268" s="115"/>
      <c r="AY1268" s="115"/>
      <c r="AZ1268" s="115"/>
      <c r="BA1268" s="115"/>
      <c r="BB1268" s="115"/>
      <c r="BC1268" s="115"/>
      <c r="BD1268" s="26"/>
      <c r="BE1268" s="15"/>
      <c r="BI1268" s="117"/>
      <c r="BJ1268" s="116"/>
      <c r="BK1268" s="116"/>
      <c r="BL1268" s="116"/>
    </row>
    <row r="1269" spans="1:64" ht="19.5" x14ac:dyDescent="0.4">
      <c r="E1269" s="115"/>
      <c r="F1269" s="115"/>
      <c r="G1269" s="115"/>
      <c r="H1269" s="115"/>
      <c r="I1269" s="115"/>
      <c r="J1269" s="115"/>
      <c r="K1269" s="115"/>
      <c r="L1269" s="115"/>
      <c r="M1269" s="115"/>
      <c r="N1269" s="115"/>
      <c r="O1269" s="115"/>
      <c r="P1269" s="115"/>
      <c r="Q1269" s="115"/>
      <c r="R1269" s="115"/>
      <c r="S1269" s="115"/>
      <c r="T1269" s="115"/>
      <c r="U1269" s="115"/>
      <c r="V1269" s="115"/>
      <c r="W1269" s="115"/>
      <c r="X1269" s="115"/>
      <c r="Y1269" s="115"/>
      <c r="Z1269" s="115"/>
      <c r="AA1269" s="115"/>
      <c r="AB1269" s="115"/>
      <c r="AC1269" s="115"/>
      <c r="AD1269" s="115"/>
      <c r="AE1269" s="115"/>
      <c r="AF1269" s="115"/>
      <c r="AG1269" s="115"/>
      <c r="AH1269" s="115"/>
      <c r="AI1269" s="115"/>
      <c r="AJ1269" s="115"/>
      <c r="AK1269" s="115"/>
      <c r="AL1269" s="115"/>
      <c r="AM1269" s="122"/>
      <c r="AN1269" s="122"/>
      <c r="AO1269" s="122"/>
      <c r="AP1269" s="115"/>
      <c r="AQ1269" s="115"/>
      <c r="AR1269" s="115"/>
      <c r="AS1269" s="115"/>
      <c r="AT1269" s="115"/>
      <c r="AU1269" s="115"/>
      <c r="AV1269" s="115"/>
      <c r="AW1269" s="115"/>
      <c r="AX1269" s="115"/>
      <c r="AY1269" s="115"/>
      <c r="AZ1269" s="115"/>
      <c r="BA1269" s="115"/>
      <c r="BB1269" s="115"/>
      <c r="BC1269" s="115"/>
      <c r="BD1269" s="17"/>
      <c r="BE1269" s="15"/>
      <c r="BI1269" s="117"/>
      <c r="BJ1269" s="116"/>
      <c r="BK1269" s="116"/>
      <c r="BL1269" s="116"/>
    </row>
    <row r="1270" spans="1:64" ht="19.5" x14ac:dyDescent="0.4">
      <c r="A1270" s="115"/>
      <c r="B1270" s="115"/>
      <c r="C1270" s="115"/>
      <c r="D1270" s="115"/>
      <c r="E1270" s="115"/>
      <c r="F1270" s="115"/>
      <c r="G1270" s="115"/>
      <c r="H1270" s="115"/>
      <c r="I1270" s="115"/>
      <c r="J1270" s="115"/>
      <c r="K1270" s="115"/>
      <c r="L1270" s="115"/>
      <c r="M1270" s="115"/>
      <c r="N1270" s="115"/>
      <c r="O1270" s="115"/>
      <c r="P1270" s="115"/>
      <c r="Q1270" s="115"/>
      <c r="R1270" s="115"/>
      <c r="S1270" s="115"/>
      <c r="T1270" s="115"/>
      <c r="U1270" s="115"/>
      <c r="V1270" s="115"/>
      <c r="W1270" s="115"/>
      <c r="X1270" s="115"/>
      <c r="Y1270" s="115"/>
      <c r="Z1270" s="115"/>
      <c r="AA1270" s="115"/>
      <c r="AB1270" s="115"/>
      <c r="AC1270" s="115"/>
      <c r="AD1270" s="115"/>
      <c r="AE1270" s="115"/>
      <c r="AF1270" s="115"/>
      <c r="AG1270" s="115"/>
      <c r="AH1270" s="115"/>
      <c r="AI1270" s="115"/>
      <c r="AJ1270" s="115"/>
      <c r="AK1270" s="115"/>
      <c r="AL1270" s="115"/>
      <c r="AM1270" s="122"/>
      <c r="AN1270" s="122"/>
      <c r="AO1270" s="122"/>
      <c r="AP1270" s="115"/>
      <c r="AQ1270" s="115"/>
      <c r="AR1270" s="115"/>
      <c r="AS1270" s="115"/>
      <c r="AT1270" s="115"/>
      <c r="AU1270" s="115"/>
      <c r="AV1270" s="115"/>
      <c r="AW1270" s="115"/>
      <c r="AX1270" s="115"/>
      <c r="AY1270" s="115"/>
      <c r="AZ1270" s="115"/>
      <c r="BA1270" s="115"/>
      <c r="BB1270" s="115"/>
      <c r="BC1270" s="115"/>
      <c r="BD1270" s="26"/>
      <c r="BE1270" s="15"/>
      <c r="BI1270" s="117"/>
      <c r="BJ1270" s="116"/>
      <c r="BK1270" s="116"/>
      <c r="BL1270" s="116"/>
    </row>
    <row r="1271" spans="1:64" ht="19.5" x14ac:dyDescent="0.4">
      <c r="A1271" s="115"/>
      <c r="B1271" s="115"/>
      <c r="C1271" s="115"/>
      <c r="D1271" s="115"/>
      <c r="E1271" s="115"/>
      <c r="F1271" s="115"/>
      <c r="G1271" s="115"/>
      <c r="H1271" s="115"/>
      <c r="I1271" s="115"/>
      <c r="J1271" s="115"/>
      <c r="K1271" s="115"/>
      <c r="L1271" s="115"/>
      <c r="M1271" s="115"/>
      <c r="N1271" s="115"/>
      <c r="O1271" s="115"/>
      <c r="P1271" s="115"/>
      <c r="Q1271" s="115"/>
      <c r="R1271" s="115"/>
      <c r="S1271" s="115"/>
      <c r="T1271" s="115"/>
      <c r="U1271" s="115"/>
      <c r="V1271" s="115"/>
      <c r="W1271" s="115"/>
      <c r="X1271" s="115"/>
      <c r="Y1271" s="115"/>
      <c r="Z1271" s="115"/>
      <c r="AA1271" s="115"/>
      <c r="AB1271" s="115"/>
      <c r="AC1271" s="115"/>
      <c r="AD1271" s="115"/>
      <c r="AE1271" s="115"/>
      <c r="AF1271" s="115"/>
      <c r="AG1271" s="115"/>
      <c r="AH1271" s="115"/>
      <c r="AI1271" s="115"/>
      <c r="AJ1271" s="115"/>
      <c r="AK1271" s="115"/>
      <c r="AL1271" s="115"/>
      <c r="AM1271" s="122"/>
      <c r="AN1271" s="122"/>
      <c r="AO1271" s="122"/>
      <c r="AP1271" s="115"/>
      <c r="AQ1271" s="115"/>
      <c r="AR1271" s="115"/>
      <c r="AS1271" s="115"/>
      <c r="AT1271" s="115"/>
      <c r="AU1271" s="115"/>
      <c r="AV1271" s="115"/>
      <c r="AW1271" s="115"/>
      <c r="AX1271" s="115"/>
      <c r="AY1271" s="115"/>
      <c r="AZ1271" s="115"/>
      <c r="BA1271" s="115"/>
      <c r="BB1271" s="115"/>
      <c r="BC1271" s="115"/>
      <c r="BD1271" s="26"/>
      <c r="BE1271" s="15"/>
      <c r="BI1271" s="117"/>
      <c r="BJ1271" s="116"/>
      <c r="BK1271" s="116"/>
      <c r="BL1271" s="116"/>
    </row>
    <row r="1272" spans="1:64" ht="19.5" x14ac:dyDescent="0.4">
      <c r="A1272" s="115"/>
      <c r="B1272" s="115"/>
      <c r="C1272" s="115"/>
      <c r="D1272" s="115"/>
      <c r="E1272" s="115"/>
      <c r="F1272" s="115"/>
      <c r="G1272" s="115"/>
      <c r="H1272" s="115"/>
      <c r="I1272" s="115"/>
      <c r="J1272" s="115"/>
      <c r="K1272" s="115"/>
      <c r="L1272" s="115"/>
      <c r="M1272" s="115"/>
      <c r="N1272" s="115"/>
      <c r="O1272" s="115"/>
      <c r="P1272" s="115"/>
      <c r="Q1272" s="115"/>
      <c r="R1272" s="115"/>
      <c r="S1272" s="115"/>
      <c r="T1272" s="115"/>
      <c r="U1272" s="115"/>
      <c r="V1272" s="115"/>
      <c r="W1272" s="115"/>
      <c r="X1272" s="115"/>
      <c r="Y1272" s="115"/>
      <c r="Z1272" s="115"/>
      <c r="AA1272" s="115"/>
      <c r="AB1272" s="115"/>
      <c r="AC1272" s="115"/>
      <c r="AD1272" s="115"/>
      <c r="AE1272" s="115"/>
      <c r="AF1272" s="115"/>
      <c r="AG1272" s="115"/>
      <c r="AH1272" s="115"/>
      <c r="AI1272" s="115"/>
      <c r="AJ1272" s="115"/>
      <c r="AK1272" s="115"/>
      <c r="AL1272" s="115"/>
      <c r="AM1272" s="122"/>
      <c r="AN1272" s="122"/>
      <c r="AO1272" s="122"/>
      <c r="AP1272" s="115"/>
      <c r="AQ1272" s="115"/>
      <c r="AR1272" s="115"/>
      <c r="AS1272" s="115"/>
      <c r="AT1272" s="115"/>
      <c r="AU1272" s="115"/>
      <c r="AV1272" s="115"/>
      <c r="AW1272" s="115"/>
      <c r="AX1272" s="115"/>
      <c r="AY1272" s="115"/>
      <c r="AZ1272" s="115"/>
      <c r="BA1272" s="115"/>
      <c r="BB1272" s="115"/>
      <c r="BC1272" s="115"/>
      <c r="BD1272" s="17"/>
      <c r="BE1272" s="15"/>
      <c r="BI1272" s="117"/>
      <c r="BJ1272" s="116"/>
      <c r="BK1272" s="116"/>
      <c r="BL1272" s="116"/>
    </row>
    <row r="1273" spans="1:64" ht="19.5" x14ac:dyDescent="0.4">
      <c r="A1273" s="115"/>
      <c r="B1273" s="115"/>
      <c r="C1273" s="115"/>
      <c r="D1273" s="115"/>
      <c r="E1273" s="115"/>
      <c r="F1273" s="115"/>
      <c r="G1273" s="115"/>
      <c r="H1273" s="115"/>
      <c r="I1273" s="115"/>
      <c r="J1273" s="115"/>
      <c r="K1273" s="115"/>
      <c r="L1273" s="115"/>
      <c r="M1273" s="115"/>
      <c r="N1273" s="115"/>
      <c r="O1273" s="115"/>
      <c r="P1273" s="115"/>
      <c r="Q1273" s="115"/>
      <c r="R1273" s="115"/>
      <c r="S1273" s="115"/>
      <c r="T1273" s="115"/>
      <c r="U1273" s="115"/>
      <c r="V1273" s="115"/>
      <c r="W1273" s="115"/>
      <c r="X1273" s="115"/>
      <c r="Y1273" s="115"/>
      <c r="Z1273" s="115"/>
      <c r="AA1273" s="115"/>
      <c r="AB1273" s="115"/>
      <c r="AC1273" s="115"/>
      <c r="AD1273" s="115"/>
      <c r="AE1273" s="115"/>
      <c r="AF1273" s="115"/>
      <c r="AG1273" s="115"/>
      <c r="AH1273" s="115"/>
      <c r="AI1273" s="115"/>
      <c r="AJ1273" s="115"/>
      <c r="AK1273" s="115"/>
      <c r="AL1273" s="115"/>
      <c r="AM1273" s="122"/>
      <c r="AN1273" s="122"/>
      <c r="AO1273" s="122"/>
      <c r="AP1273" s="115"/>
      <c r="AQ1273" s="115"/>
      <c r="AR1273" s="115"/>
      <c r="AS1273" s="115"/>
      <c r="AT1273" s="115"/>
      <c r="AU1273" s="115"/>
      <c r="AV1273" s="115"/>
      <c r="AW1273" s="115"/>
      <c r="AX1273" s="115"/>
      <c r="AY1273" s="115"/>
      <c r="AZ1273" s="115"/>
      <c r="BA1273" s="115"/>
      <c r="BB1273" s="115"/>
      <c r="BC1273" s="115"/>
      <c r="BD1273" s="26"/>
      <c r="BE1273" s="15"/>
      <c r="BI1273" s="117"/>
      <c r="BJ1273" s="116"/>
      <c r="BK1273" s="116"/>
      <c r="BL1273" s="116"/>
    </row>
    <row r="1274" spans="1:64" ht="19.5" x14ac:dyDescent="0.4">
      <c r="A1274" s="115"/>
      <c r="B1274" s="115"/>
      <c r="C1274" s="115"/>
      <c r="D1274" s="115"/>
      <c r="E1274" s="115"/>
      <c r="F1274" s="115"/>
      <c r="G1274" s="115"/>
      <c r="H1274" s="115"/>
      <c r="I1274" s="115"/>
      <c r="J1274" s="115"/>
      <c r="K1274" s="115"/>
      <c r="L1274" s="115"/>
      <c r="M1274" s="115"/>
      <c r="N1274" s="115"/>
      <c r="O1274" s="115"/>
      <c r="P1274" s="115"/>
      <c r="Q1274" s="115"/>
      <c r="R1274" s="115"/>
      <c r="S1274" s="115"/>
      <c r="T1274" s="115"/>
      <c r="U1274" s="115"/>
      <c r="V1274" s="115"/>
      <c r="W1274" s="115"/>
      <c r="X1274" s="115"/>
      <c r="Y1274" s="115"/>
      <c r="Z1274" s="115"/>
      <c r="AA1274" s="115"/>
      <c r="AB1274" s="115"/>
      <c r="AC1274" s="115"/>
      <c r="AD1274" s="115"/>
      <c r="AE1274" s="115"/>
      <c r="AF1274" s="115"/>
      <c r="AG1274" s="115"/>
      <c r="AH1274" s="115"/>
      <c r="AI1274" s="115"/>
      <c r="AJ1274" s="115"/>
      <c r="AK1274" s="115"/>
      <c r="AL1274" s="115"/>
      <c r="AM1274" s="122"/>
      <c r="AN1274" s="122"/>
      <c r="AO1274" s="122"/>
      <c r="AP1274" s="115"/>
      <c r="AQ1274" s="115"/>
      <c r="AR1274" s="115"/>
      <c r="AS1274" s="115"/>
      <c r="AT1274" s="115"/>
      <c r="AU1274" s="115"/>
      <c r="AV1274" s="115"/>
      <c r="AW1274" s="115"/>
      <c r="AX1274" s="115"/>
      <c r="AY1274" s="115"/>
      <c r="AZ1274" s="115"/>
      <c r="BA1274" s="115"/>
      <c r="BB1274" s="115"/>
      <c r="BC1274" s="115"/>
      <c r="BD1274" s="17"/>
      <c r="BE1274" s="15"/>
      <c r="BI1274" s="117"/>
      <c r="BJ1274" s="116"/>
      <c r="BK1274" s="116"/>
      <c r="BL1274" s="116"/>
    </row>
    <row r="1275" spans="1:64" ht="19.5" x14ac:dyDescent="0.4">
      <c r="BD1275" s="26"/>
      <c r="BE1275" s="15"/>
      <c r="BI1275" s="117"/>
      <c r="BJ1275" s="116"/>
      <c r="BK1275" s="116"/>
      <c r="BL1275" s="116"/>
    </row>
    <row r="1276" spans="1:64" ht="19.5" x14ac:dyDescent="0.4">
      <c r="AJ1276" s="115"/>
      <c r="AK1276" s="115"/>
      <c r="AL1276" s="115"/>
      <c r="AM1276" s="122"/>
      <c r="AN1276" s="122"/>
      <c r="AO1276" s="122"/>
      <c r="AP1276" s="115"/>
      <c r="AQ1276" s="115"/>
      <c r="AR1276" s="115"/>
      <c r="AS1276" s="115"/>
      <c r="AT1276" s="115"/>
      <c r="AU1276" s="115"/>
      <c r="AV1276" s="115"/>
      <c r="AW1276" s="115"/>
      <c r="AX1276" s="115"/>
      <c r="AY1276" s="115"/>
      <c r="AZ1276" s="115"/>
      <c r="BA1276" s="115"/>
      <c r="BB1276" s="115"/>
      <c r="BC1276" s="115"/>
      <c r="BD1276" s="17"/>
      <c r="BE1276" s="15"/>
      <c r="BI1276" s="117"/>
      <c r="BJ1276" s="116"/>
      <c r="BK1276" s="116"/>
      <c r="BL1276" s="116"/>
    </row>
    <row r="1277" spans="1:64" ht="19.5" x14ac:dyDescent="0.4">
      <c r="BD1277" s="26"/>
      <c r="BE1277" s="15"/>
      <c r="BI1277" s="117"/>
      <c r="BJ1277" s="116"/>
      <c r="BK1277" s="116"/>
      <c r="BL1277" s="116"/>
    </row>
    <row r="1278" spans="1:64" ht="19.5" x14ac:dyDescent="0.4">
      <c r="AJ1278" s="115"/>
      <c r="AK1278" s="115"/>
      <c r="AL1278" s="115"/>
      <c r="AM1278" s="122"/>
      <c r="AN1278" s="122"/>
      <c r="AO1278" s="122"/>
      <c r="AP1278" s="115"/>
      <c r="AQ1278" s="115"/>
      <c r="AR1278" s="115"/>
      <c r="AS1278" s="115"/>
      <c r="AT1278" s="115"/>
      <c r="AU1278" s="115"/>
      <c r="AV1278" s="115"/>
      <c r="AW1278" s="115"/>
      <c r="AX1278" s="115"/>
      <c r="AY1278" s="115"/>
      <c r="AZ1278" s="115"/>
      <c r="BA1278" s="115"/>
      <c r="BB1278" s="115"/>
      <c r="BC1278" s="115"/>
      <c r="BD1278" s="17"/>
      <c r="BE1278" s="15"/>
      <c r="BI1278" s="117"/>
      <c r="BJ1278" s="116"/>
      <c r="BK1278" s="116"/>
      <c r="BL1278" s="116"/>
    </row>
    <row r="1279" spans="1:64" ht="19.5" x14ac:dyDescent="0.4">
      <c r="BD1279" s="26"/>
      <c r="BE1279" s="15"/>
      <c r="BI1279" s="117"/>
      <c r="BJ1279" s="116"/>
      <c r="BK1279" s="116"/>
      <c r="BL1279" s="116"/>
    </row>
    <row r="1280" spans="1:64" ht="19.5" x14ac:dyDescent="0.4">
      <c r="AJ1280" s="115"/>
      <c r="AK1280" s="115"/>
      <c r="AL1280" s="115"/>
      <c r="AM1280" s="122"/>
      <c r="AN1280" s="122"/>
      <c r="AO1280" s="122"/>
      <c r="AP1280" s="115"/>
      <c r="AQ1280" s="115"/>
      <c r="AR1280" s="115"/>
      <c r="AS1280" s="115"/>
      <c r="AT1280" s="115"/>
      <c r="AU1280" s="115"/>
      <c r="AV1280" s="115"/>
      <c r="AW1280" s="115"/>
      <c r="AX1280" s="115"/>
      <c r="AY1280" s="115"/>
      <c r="AZ1280" s="115"/>
      <c r="BA1280" s="115"/>
      <c r="BB1280" s="115"/>
      <c r="BC1280" s="115"/>
      <c r="BD1280" s="17"/>
      <c r="BE1280" s="15"/>
      <c r="BI1280" s="117"/>
      <c r="BJ1280" s="116"/>
      <c r="BK1280" s="116"/>
      <c r="BL1280" s="116"/>
    </row>
    <row r="1281" spans="2:64" ht="19.5" x14ac:dyDescent="0.4">
      <c r="B1281" s="115"/>
      <c r="C1281" s="115"/>
      <c r="D1281" s="115"/>
      <c r="E1281" s="115"/>
      <c r="F1281" s="115"/>
      <c r="G1281" s="115"/>
      <c r="H1281" s="115"/>
      <c r="I1281" s="115"/>
      <c r="J1281" s="115"/>
      <c r="K1281" s="115"/>
      <c r="L1281" s="115"/>
      <c r="M1281" s="115"/>
      <c r="N1281" s="115"/>
      <c r="O1281" s="115"/>
      <c r="P1281" s="115"/>
      <c r="Q1281" s="115"/>
      <c r="R1281" s="115"/>
      <c r="S1281" s="115"/>
      <c r="T1281" s="115"/>
      <c r="U1281" s="115"/>
      <c r="V1281" s="115"/>
      <c r="W1281" s="115"/>
      <c r="X1281" s="115"/>
      <c r="Y1281" s="115"/>
      <c r="Z1281" s="115"/>
      <c r="AA1281" s="115"/>
      <c r="AB1281" s="115"/>
      <c r="AC1281" s="115"/>
      <c r="AD1281" s="115"/>
      <c r="AE1281" s="115"/>
      <c r="AF1281" s="115"/>
      <c r="AG1281" s="115"/>
      <c r="AH1281" s="115"/>
      <c r="AI1281" s="115"/>
      <c r="AJ1281" s="115"/>
      <c r="AK1281" s="115"/>
      <c r="AL1281" s="115"/>
      <c r="AM1281" s="122"/>
      <c r="AN1281" s="122"/>
      <c r="AO1281" s="122"/>
      <c r="AP1281" s="115"/>
      <c r="AQ1281" s="115"/>
      <c r="AR1281" s="115"/>
      <c r="AS1281" s="115"/>
      <c r="AT1281" s="115"/>
      <c r="AU1281" s="115"/>
      <c r="AV1281" s="115"/>
      <c r="AW1281" s="115"/>
      <c r="AX1281" s="115"/>
      <c r="AY1281" s="115"/>
      <c r="AZ1281" s="115"/>
      <c r="BA1281" s="115"/>
      <c r="BB1281" s="115"/>
      <c r="BC1281" s="115"/>
      <c r="BD1281" s="26"/>
      <c r="BE1281" s="15"/>
      <c r="BI1281" s="117"/>
      <c r="BJ1281" s="116"/>
      <c r="BK1281" s="116"/>
      <c r="BL1281" s="116"/>
    </row>
    <row r="1282" spans="2:64" ht="19.5" x14ac:dyDescent="0.4">
      <c r="B1282" s="115"/>
      <c r="C1282" s="115"/>
      <c r="D1282" s="115"/>
      <c r="E1282" s="115"/>
      <c r="F1282" s="115"/>
      <c r="G1282" s="115"/>
      <c r="H1282" s="115"/>
      <c r="I1282" s="115"/>
      <c r="J1282" s="115"/>
      <c r="K1282" s="115"/>
      <c r="L1282" s="115"/>
      <c r="M1282" s="115"/>
      <c r="N1282" s="115"/>
      <c r="O1282" s="115"/>
      <c r="P1282" s="115"/>
      <c r="Q1282" s="115"/>
      <c r="R1282" s="115"/>
      <c r="S1282" s="115"/>
      <c r="T1282" s="115"/>
      <c r="U1282" s="115"/>
      <c r="V1282" s="115"/>
      <c r="W1282" s="115"/>
      <c r="X1282" s="115"/>
      <c r="Y1282" s="115"/>
      <c r="Z1282" s="115"/>
      <c r="AA1282" s="115"/>
      <c r="AB1282" s="115"/>
      <c r="AC1282" s="115"/>
      <c r="AD1282" s="115"/>
      <c r="AE1282" s="115"/>
      <c r="AF1282" s="115"/>
      <c r="AG1282" s="115"/>
      <c r="AH1282" s="115"/>
      <c r="AI1282" s="115"/>
      <c r="AJ1282" s="115"/>
      <c r="AK1282" s="115"/>
      <c r="AL1282" s="115"/>
      <c r="AM1282" s="122"/>
      <c r="AN1282" s="122"/>
      <c r="AO1282" s="122"/>
      <c r="AP1282" s="115"/>
      <c r="AQ1282" s="115"/>
      <c r="AR1282" s="115"/>
      <c r="AS1282" s="115"/>
      <c r="AT1282" s="115"/>
      <c r="AU1282" s="115"/>
      <c r="AV1282" s="115"/>
      <c r="AW1282" s="115"/>
      <c r="AX1282" s="115"/>
      <c r="AY1282" s="115"/>
      <c r="AZ1282" s="115"/>
      <c r="BA1282" s="115"/>
      <c r="BB1282" s="115"/>
      <c r="BC1282" s="115"/>
      <c r="BD1282" s="17"/>
      <c r="BE1282" s="15"/>
      <c r="BI1282" s="117"/>
      <c r="BJ1282" s="116"/>
      <c r="BK1282" s="116"/>
      <c r="BL1282" s="116"/>
    </row>
    <row r="1283" spans="2:64" ht="19.5" x14ac:dyDescent="0.4">
      <c r="B1283" s="115"/>
      <c r="C1283" s="115"/>
      <c r="D1283" s="115"/>
      <c r="E1283" s="115"/>
      <c r="F1283" s="115"/>
      <c r="G1283" s="115"/>
      <c r="H1283" s="115"/>
      <c r="I1283" s="115"/>
      <c r="J1283" s="115"/>
      <c r="K1283" s="115"/>
      <c r="L1283" s="115"/>
      <c r="M1283" s="115"/>
      <c r="N1283" s="115"/>
      <c r="O1283" s="115"/>
      <c r="P1283" s="115"/>
      <c r="Q1283" s="115"/>
      <c r="R1283" s="115"/>
      <c r="S1283" s="115"/>
      <c r="T1283" s="115"/>
      <c r="U1283" s="115"/>
      <c r="V1283" s="115"/>
      <c r="W1283" s="115"/>
      <c r="X1283" s="115"/>
      <c r="Y1283" s="115"/>
      <c r="Z1283" s="115"/>
      <c r="AA1283" s="115"/>
      <c r="AB1283" s="115"/>
      <c r="AC1283" s="115"/>
      <c r="AD1283" s="115"/>
      <c r="AE1283" s="115"/>
      <c r="AF1283" s="115"/>
      <c r="AG1283" s="115"/>
      <c r="AH1283" s="115"/>
      <c r="AI1283" s="115"/>
      <c r="AJ1283" s="115"/>
      <c r="AK1283" s="115"/>
      <c r="AL1283" s="115"/>
      <c r="AM1283" s="122"/>
      <c r="AN1283" s="122"/>
      <c r="AO1283" s="122"/>
      <c r="AP1283" s="115"/>
      <c r="AQ1283" s="115"/>
      <c r="AR1283" s="115"/>
      <c r="AS1283" s="115"/>
      <c r="AT1283" s="115"/>
      <c r="AU1283" s="115"/>
      <c r="AV1283" s="115"/>
      <c r="AW1283" s="115"/>
      <c r="AX1283" s="115"/>
      <c r="AY1283" s="115"/>
      <c r="AZ1283" s="115"/>
      <c r="BA1283" s="115"/>
      <c r="BB1283" s="115"/>
      <c r="BC1283" s="115"/>
      <c r="BD1283" s="26"/>
      <c r="BE1283" s="15"/>
      <c r="BI1283" s="117"/>
      <c r="BJ1283" s="116"/>
      <c r="BK1283" s="116"/>
      <c r="BL1283" s="116"/>
    </row>
    <row r="1284" spans="2:64" ht="19.5" x14ac:dyDescent="0.4">
      <c r="BD1284" s="26"/>
      <c r="BE1284" s="15"/>
      <c r="BI1284" s="117"/>
      <c r="BJ1284" s="116"/>
      <c r="BK1284" s="116"/>
      <c r="BL1284" s="116"/>
    </row>
    <row r="1285" spans="2:64" ht="19.5" x14ac:dyDescent="0.4">
      <c r="AJ1285" s="115"/>
      <c r="AK1285" s="115"/>
      <c r="AL1285" s="115"/>
      <c r="AM1285" s="122"/>
      <c r="AN1285" s="122"/>
      <c r="AO1285" s="122"/>
      <c r="AP1285" s="115"/>
      <c r="AQ1285" s="115"/>
      <c r="AR1285" s="115"/>
      <c r="AS1285" s="115"/>
      <c r="AT1285" s="115"/>
      <c r="AU1285" s="115"/>
      <c r="AV1285" s="115"/>
      <c r="AW1285" s="115"/>
      <c r="AX1285" s="115"/>
      <c r="AY1285" s="115"/>
      <c r="AZ1285" s="115"/>
      <c r="BA1285" s="115"/>
      <c r="BB1285" s="115"/>
      <c r="BC1285" s="115"/>
      <c r="BD1285" s="17"/>
      <c r="BE1285" s="15"/>
      <c r="BI1285" s="117"/>
      <c r="BJ1285" s="116"/>
      <c r="BK1285" s="116"/>
      <c r="BL1285" s="116"/>
    </row>
    <row r="1286" spans="2:64" ht="19.5" x14ac:dyDescent="0.4">
      <c r="AH1286" s="115"/>
      <c r="AI1286" s="115"/>
      <c r="AJ1286" s="115"/>
      <c r="AK1286" s="115"/>
      <c r="AL1286" s="115"/>
      <c r="AM1286" s="122"/>
      <c r="AN1286" s="122"/>
      <c r="AO1286" s="122"/>
      <c r="AP1286" s="115"/>
      <c r="AQ1286" s="115"/>
      <c r="AR1286" s="115"/>
      <c r="AS1286" s="115"/>
      <c r="AT1286" s="115"/>
      <c r="AU1286" s="115"/>
      <c r="AV1286" s="115"/>
      <c r="AW1286" s="115"/>
      <c r="AX1286" s="115"/>
      <c r="AY1286" s="115"/>
      <c r="AZ1286" s="115"/>
      <c r="BA1286" s="115"/>
      <c r="BB1286" s="115"/>
      <c r="BC1286" s="115"/>
      <c r="BD1286" s="26"/>
      <c r="BE1286" s="15"/>
      <c r="BI1286" s="117"/>
      <c r="BJ1286" s="116"/>
      <c r="BK1286" s="116"/>
      <c r="BL1286" s="116"/>
    </row>
    <row r="1287" spans="2:64" ht="19.5" x14ac:dyDescent="0.4">
      <c r="AH1287" s="115"/>
      <c r="AI1287" s="115"/>
      <c r="AJ1287" s="115"/>
      <c r="AK1287" s="115"/>
      <c r="AL1287" s="115"/>
      <c r="AM1287" s="122"/>
      <c r="AN1287" s="122"/>
      <c r="AO1287" s="122"/>
      <c r="AP1287" s="115"/>
      <c r="AQ1287" s="115"/>
      <c r="AR1287" s="115"/>
      <c r="AS1287" s="115"/>
      <c r="AT1287" s="115"/>
      <c r="AU1287" s="115"/>
      <c r="AV1287" s="115"/>
      <c r="AW1287" s="115"/>
      <c r="AX1287" s="115"/>
      <c r="AY1287" s="115"/>
      <c r="AZ1287" s="115"/>
      <c r="BA1287" s="115"/>
      <c r="BB1287" s="115"/>
      <c r="BC1287" s="115"/>
      <c r="BD1287" s="17"/>
      <c r="BE1287" s="13"/>
      <c r="BI1287" s="117"/>
      <c r="BJ1287" s="116"/>
      <c r="BK1287" s="116"/>
      <c r="BL1287" s="116"/>
    </row>
    <row r="1288" spans="2:64" ht="19.5" x14ac:dyDescent="0.4">
      <c r="AG1288" s="115"/>
      <c r="AH1288" s="115"/>
      <c r="AI1288" s="115"/>
      <c r="AJ1288" s="115"/>
      <c r="AK1288" s="115"/>
      <c r="AL1288" s="115"/>
      <c r="AM1288" s="122"/>
      <c r="AN1288" s="122"/>
      <c r="AO1288" s="122"/>
      <c r="AP1288" s="115"/>
      <c r="AQ1288" s="115"/>
      <c r="AR1288" s="115"/>
      <c r="AS1288" s="115"/>
      <c r="AT1288" s="115"/>
      <c r="AU1288" s="115"/>
      <c r="AV1288" s="115"/>
      <c r="AW1288" s="115"/>
      <c r="AX1288" s="115"/>
      <c r="AY1288" s="115"/>
      <c r="AZ1288" s="115"/>
      <c r="BA1288" s="115"/>
      <c r="BB1288" s="115"/>
      <c r="BC1288" s="115"/>
      <c r="BD1288" s="26"/>
      <c r="BE1288" s="13"/>
      <c r="BI1288" s="117"/>
      <c r="BJ1288" s="116"/>
      <c r="BK1288" s="116"/>
      <c r="BL1288" s="116"/>
    </row>
    <row r="1289" spans="2:64" ht="19.5" x14ac:dyDescent="0.4">
      <c r="AG1289" s="115"/>
      <c r="AH1289" s="115"/>
      <c r="AI1289" s="115"/>
      <c r="AJ1289" s="115"/>
      <c r="AK1289" s="115"/>
      <c r="AL1289" s="115"/>
      <c r="AM1289" s="122"/>
      <c r="AN1289" s="122"/>
      <c r="AO1289" s="122"/>
      <c r="AP1289" s="115"/>
      <c r="AQ1289" s="115"/>
      <c r="AR1289" s="115"/>
      <c r="AS1289" s="115"/>
      <c r="AT1289" s="115"/>
      <c r="AU1289" s="115"/>
      <c r="AV1289" s="115"/>
      <c r="AW1289" s="115"/>
      <c r="AX1289" s="115"/>
      <c r="AY1289" s="115"/>
      <c r="AZ1289" s="115"/>
      <c r="BA1289" s="115"/>
      <c r="BB1289" s="115"/>
      <c r="BC1289" s="115"/>
      <c r="BD1289" s="17"/>
      <c r="BE1289" s="13"/>
      <c r="BI1289" s="117"/>
      <c r="BJ1289" s="116"/>
      <c r="BK1289" s="116"/>
      <c r="BL1289" s="116"/>
    </row>
    <row r="1290" spans="2:64" ht="19.5" x14ac:dyDescent="0.4">
      <c r="C1290" s="115"/>
      <c r="D1290" s="115"/>
      <c r="E1290" s="115"/>
      <c r="F1290" s="115"/>
      <c r="G1290" s="115"/>
      <c r="H1290" s="115"/>
      <c r="I1290" s="115"/>
      <c r="J1290" s="115"/>
      <c r="K1290" s="115"/>
      <c r="L1290" s="115"/>
      <c r="M1290" s="115"/>
      <c r="N1290" s="115"/>
      <c r="O1290" s="115"/>
      <c r="P1290" s="115"/>
      <c r="Q1290" s="115"/>
      <c r="R1290" s="115"/>
      <c r="S1290" s="115"/>
      <c r="T1290" s="115"/>
      <c r="U1290" s="115"/>
      <c r="V1290" s="115"/>
      <c r="W1290" s="115"/>
      <c r="X1290" s="115"/>
      <c r="Y1290" s="115"/>
      <c r="Z1290" s="115"/>
      <c r="AA1290" s="115"/>
      <c r="AB1290" s="115"/>
      <c r="AC1290" s="115"/>
      <c r="AD1290" s="115"/>
      <c r="AE1290" s="115"/>
      <c r="AF1290" s="115"/>
      <c r="AG1290" s="115"/>
      <c r="AH1290" s="115"/>
      <c r="AI1290" s="115"/>
      <c r="AJ1290" s="115"/>
      <c r="AK1290" s="115"/>
      <c r="AL1290" s="115"/>
      <c r="AM1290" s="122"/>
      <c r="AN1290" s="122"/>
      <c r="AO1290" s="122"/>
      <c r="AP1290" s="115"/>
      <c r="AQ1290" s="115"/>
      <c r="AR1290" s="115"/>
      <c r="AS1290" s="115"/>
      <c r="AT1290" s="115"/>
      <c r="AU1290" s="115"/>
      <c r="AV1290" s="115"/>
      <c r="AW1290" s="115"/>
      <c r="AX1290" s="115"/>
      <c r="AY1290" s="115"/>
      <c r="AZ1290" s="115"/>
      <c r="BA1290" s="115"/>
      <c r="BB1290" s="115"/>
      <c r="BC1290" s="115"/>
      <c r="BD1290" s="26"/>
      <c r="BE1290" s="15"/>
      <c r="BI1290" s="117"/>
      <c r="BJ1290" s="116"/>
      <c r="BK1290" s="116"/>
      <c r="BL1290" s="116"/>
    </row>
    <row r="1291" spans="2:64" ht="19.5" x14ac:dyDescent="0.4">
      <c r="C1291" s="115"/>
      <c r="D1291" s="115"/>
      <c r="E1291" s="115"/>
      <c r="F1291" s="115"/>
      <c r="G1291" s="115"/>
      <c r="H1291" s="115"/>
      <c r="I1291" s="115"/>
      <c r="J1291" s="115"/>
      <c r="K1291" s="115"/>
      <c r="L1291" s="115"/>
      <c r="M1291" s="115"/>
      <c r="N1291" s="115"/>
      <c r="O1291" s="115"/>
      <c r="P1291" s="115"/>
      <c r="Q1291" s="115"/>
      <c r="R1291" s="115"/>
      <c r="S1291" s="115"/>
      <c r="T1291" s="115"/>
      <c r="U1291" s="115"/>
      <c r="V1291" s="115"/>
      <c r="W1291" s="115"/>
      <c r="X1291" s="115"/>
      <c r="Y1291" s="115"/>
      <c r="Z1291" s="115"/>
      <c r="AA1291" s="115"/>
      <c r="AB1291" s="115"/>
      <c r="AC1291" s="115"/>
      <c r="AD1291" s="115"/>
      <c r="AE1291" s="115"/>
      <c r="AF1291" s="115"/>
      <c r="AG1291" s="115"/>
      <c r="AH1291" s="115"/>
      <c r="AI1291" s="115"/>
      <c r="AJ1291" s="115"/>
      <c r="AK1291" s="115"/>
      <c r="AL1291" s="115"/>
      <c r="AM1291" s="122"/>
      <c r="AN1291" s="122"/>
      <c r="AO1291" s="122"/>
      <c r="AP1291" s="115"/>
      <c r="AQ1291" s="115"/>
      <c r="AR1291" s="115"/>
      <c r="AS1291" s="115"/>
      <c r="AT1291" s="115"/>
      <c r="AU1291" s="115"/>
      <c r="AV1291" s="115"/>
      <c r="AW1291" s="115"/>
      <c r="AX1291" s="115"/>
      <c r="AY1291" s="115"/>
      <c r="AZ1291" s="115"/>
      <c r="BA1291" s="115"/>
      <c r="BB1291" s="115"/>
      <c r="BC1291" s="115"/>
      <c r="BD1291" s="17"/>
      <c r="BE1291" s="15"/>
      <c r="BI1291" s="117"/>
      <c r="BJ1291" s="116"/>
      <c r="BK1291" s="116"/>
      <c r="BL1291" s="116"/>
    </row>
    <row r="1292" spans="2:64" ht="19.5" x14ac:dyDescent="0.4">
      <c r="C1292" s="115"/>
      <c r="D1292" s="115"/>
      <c r="E1292" s="115"/>
      <c r="F1292" s="115"/>
      <c r="G1292" s="115"/>
      <c r="H1292" s="115"/>
      <c r="I1292" s="115"/>
      <c r="J1292" s="115"/>
      <c r="K1292" s="115"/>
      <c r="L1292" s="115"/>
      <c r="M1292" s="115"/>
      <c r="N1292" s="115"/>
      <c r="O1292" s="115"/>
      <c r="P1292" s="115"/>
      <c r="Q1292" s="115"/>
      <c r="R1292" s="115"/>
      <c r="S1292" s="115"/>
      <c r="T1292" s="115"/>
      <c r="U1292" s="115"/>
      <c r="V1292" s="115"/>
      <c r="W1292" s="115"/>
      <c r="X1292" s="115"/>
      <c r="Y1292" s="115"/>
      <c r="Z1292" s="115"/>
      <c r="AA1292" s="115"/>
      <c r="AB1292" s="115"/>
      <c r="AC1292" s="115"/>
      <c r="AD1292" s="115"/>
      <c r="AE1292" s="115"/>
      <c r="AF1292" s="115"/>
      <c r="AG1292" s="115"/>
      <c r="AH1292" s="115"/>
      <c r="AI1292" s="115"/>
      <c r="AJ1292" s="115"/>
      <c r="AK1292" s="115"/>
      <c r="AL1292" s="115"/>
      <c r="AM1292" s="122"/>
      <c r="AN1292" s="122"/>
      <c r="AO1292" s="122"/>
      <c r="AP1292" s="115"/>
      <c r="AQ1292" s="115"/>
      <c r="AR1292" s="115"/>
      <c r="AS1292" s="115"/>
      <c r="AT1292" s="115"/>
      <c r="AU1292" s="115"/>
      <c r="AV1292" s="115"/>
      <c r="AW1292" s="115"/>
      <c r="AX1292" s="115"/>
      <c r="AY1292" s="115"/>
      <c r="AZ1292" s="115"/>
      <c r="BA1292" s="115"/>
      <c r="BB1292" s="115"/>
      <c r="BC1292" s="115"/>
      <c r="BD1292" s="26"/>
      <c r="BE1292" s="105"/>
      <c r="BI1292" s="117"/>
      <c r="BJ1292" s="116"/>
      <c r="BK1292" s="116"/>
      <c r="BL1292" s="116"/>
    </row>
    <row r="1293" spans="2:64" ht="19.5" x14ac:dyDescent="0.4">
      <c r="C1293" s="115"/>
      <c r="D1293" s="115"/>
      <c r="E1293" s="115"/>
      <c r="F1293" s="115"/>
      <c r="G1293" s="115"/>
      <c r="H1293" s="115"/>
      <c r="I1293" s="115"/>
      <c r="J1293" s="115"/>
      <c r="K1293" s="115"/>
      <c r="L1293" s="115"/>
      <c r="M1293" s="115"/>
      <c r="N1293" s="115"/>
      <c r="O1293" s="115"/>
      <c r="P1293" s="115"/>
      <c r="Q1293" s="115"/>
      <c r="R1293" s="115"/>
      <c r="S1293" s="115"/>
      <c r="T1293" s="115"/>
      <c r="U1293" s="115"/>
      <c r="V1293" s="115"/>
      <c r="W1293" s="115"/>
      <c r="X1293" s="115"/>
      <c r="Y1293" s="115"/>
      <c r="Z1293" s="115"/>
      <c r="AA1293" s="115"/>
      <c r="AB1293" s="115"/>
      <c r="AC1293" s="115"/>
      <c r="AD1293" s="115"/>
      <c r="AE1293" s="115"/>
      <c r="AF1293" s="115"/>
      <c r="AG1293" s="115"/>
      <c r="AH1293" s="115"/>
      <c r="AI1293" s="115"/>
      <c r="AJ1293" s="115"/>
      <c r="AK1293" s="115"/>
      <c r="AL1293" s="115"/>
      <c r="AM1293" s="122"/>
      <c r="AN1293" s="122"/>
      <c r="AO1293" s="122"/>
      <c r="AP1293" s="115"/>
      <c r="AQ1293" s="115"/>
      <c r="AR1293" s="115"/>
      <c r="AS1293" s="115"/>
      <c r="AT1293" s="115"/>
      <c r="AU1293" s="115"/>
      <c r="AV1293" s="115"/>
      <c r="AW1293" s="115"/>
      <c r="AX1293" s="115"/>
      <c r="AY1293" s="115"/>
      <c r="AZ1293" s="115"/>
      <c r="BA1293" s="115"/>
      <c r="BB1293" s="115"/>
      <c r="BC1293" s="115"/>
      <c r="BD1293" s="17"/>
      <c r="BE1293" s="15"/>
      <c r="BI1293" s="117"/>
      <c r="BJ1293" s="116"/>
      <c r="BK1293" s="116"/>
      <c r="BL1293" s="116"/>
    </row>
    <row r="1294" spans="2:64" ht="19.5" x14ac:dyDescent="0.4">
      <c r="C1294" s="115"/>
      <c r="D1294" s="115"/>
      <c r="E1294" s="115"/>
      <c r="F1294" s="115"/>
      <c r="G1294" s="115"/>
      <c r="H1294" s="115"/>
      <c r="I1294" s="115"/>
      <c r="J1294" s="115"/>
      <c r="K1294" s="115"/>
      <c r="L1294" s="115"/>
      <c r="M1294" s="115"/>
      <c r="N1294" s="115"/>
      <c r="O1294" s="115"/>
      <c r="P1294" s="115"/>
      <c r="Q1294" s="115"/>
      <c r="R1294" s="115"/>
      <c r="S1294" s="115"/>
      <c r="T1294" s="115"/>
      <c r="U1294" s="115"/>
      <c r="V1294" s="115"/>
      <c r="W1294" s="115"/>
      <c r="X1294" s="115"/>
      <c r="Y1294" s="115"/>
      <c r="Z1294" s="115"/>
      <c r="AA1294" s="115"/>
      <c r="AB1294" s="115"/>
      <c r="AC1294" s="115"/>
      <c r="AD1294" s="115"/>
      <c r="AE1294" s="115"/>
      <c r="AF1294" s="115"/>
      <c r="AG1294" s="115"/>
      <c r="AH1294" s="115"/>
      <c r="AI1294" s="115"/>
      <c r="AJ1294" s="115"/>
      <c r="AK1294" s="115"/>
      <c r="AL1294" s="115"/>
      <c r="AM1294" s="122"/>
      <c r="AN1294" s="122"/>
      <c r="AO1294" s="122"/>
      <c r="AP1294" s="115"/>
      <c r="AQ1294" s="115"/>
      <c r="AR1294" s="115"/>
      <c r="AS1294" s="115"/>
      <c r="AT1294" s="115"/>
      <c r="AU1294" s="115"/>
      <c r="AV1294" s="115"/>
      <c r="AW1294" s="115"/>
      <c r="AX1294" s="115"/>
      <c r="AY1294" s="115"/>
      <c r="AZ1294" s="115"/>
      <c r="BA1294" s="115"/>
      <c r="BB1294" s="115"/>
      <c r="BC1294" s="115"/>
      <c r="BD1294" s="26"/>
      <c r="BE1294" s="15"/>
      <c r="BI1294" s="117"/>
      <c r="BJ1294" s="116"/>
      <c r="BK1294" s="116"/>
      <c r="BL1294" s="116"/>
    </row>
    <row r="1295" spans="2:64" ht="19.5" x14ac:dyDescent="0.4">
      <c r="C1295" s="115"/>
      <c r="D1295" s="115"/>
      <c r="E1295" s="115"/>
      <c r="F1295" s="115"/>
      <c r="G1295" s="115"/>
      <c r="H1295" s="115"/>
      <c r="I1295" s="115"/>
      <c r="J1295" s="115"/>
      <c r="K1295" s="115"/>
      <c r="L1295" s="115"/>
      <c r="M1295" s="115"/>
      <c r="N1295" s="115"/>
      <c r="O1295" s="115"/>
      <c r="P1295" s="115"/>
      <c r="Q1295" s="115"/>
      <c r="R1295" s="115"/>
      <c r="S1295" s="115"/>
      <c r="T1295" s="115"/>
      <c r="U1295" s="115"/>
      <c r="V1295" s="115"/>
      <c r="W1295" s="115"/>
      <c r="X1295" s="115"/>
      <c r="Y1295" s="115"/>
      <c r="Z1295" s="115"/>
      <c r="AA1295" s="115"/>
      <c r="AB1295" s="115"/>
      <c r="AC1295" s="115"/>
      <c r="AD1295" s="115"/>
      <c r="AE1295" s="115"/>
      <c r="AF1295" s="115"/>
      <c r="AG1295" s="115"/>
      <c r="AH1295" s="115"/>
      <c r="AI1295" s="115"/>
      <c r="AJ1295" s="115"/>
      <c r="AK1295" s="115"/>
      <c r="AL1295" s="115"/>
      <c r="AM1295" s="122"/>
      <c r="AN1295" s="122"/>
      <c r="AO1295" s="122"/>
      <c r="AP1295" s="115"/>
      <c r="AQ1295" s="115"/>
      <c r="AR1295" s="115"/>
      <c r="AS1295" s="115"/>
      <c r="AT1295" s="115"/>
      <c r="AU1295" s="115"/>
      <c r="AV1295" s="115"/>
      <c r="AW1295" s="115"/>
      <c r="AX1295" s="115"/>
      <c r="AY1295" s="115"/>
      <c r="AZ1295" s="115"/>
      <c r="BA1295" s="115"/>
      <c r="BB1295" s="115"/>
      <c r="BC1295" s="115"/>
      <c r="BD1295" s="26"/>
      <c r="BE1295" s="15"/>
      <c r="BI1295" s="117"/>
      <c r="BJ1295" s="116"/>
      <c r="BK1295" s="116"/>
      <c r="BL1295" s="116"/>
    </row>
    <row r="1296" spans="2:64" ht="19.5" x14ac:dyDescent="0.4">
      <c r="BD1296" s="26"/>
      <c r="BE1296" s="15"/>
      <c r="BI1296" s="117"/>
      <c r="BJ1296" s="116"/>
      <c r="BK1296" s="116"/>
      <c r="BL1296" s="116"/>
    </row>
    <row r="1297" spans="1:64" ht="19.5" x14ac:dyDescent="0.4">
      <c r="AI1297" s="115"/>
      <c r="AJ1297" s="115"/>
      <c r="AK1297" s="115"/>
      <c r="AL1297" s="115"/>
      <c r="AM1297" s="122"/>
      <c r="AN1297" s="122"/>
      <c r="AO1297" s="122"/>
      <c r="AP1297" s="115"/>
      <c r="AQ1297" s="115"/>
      <c r="AR1297" s="115"/>
      <c r="AS1297" s="115"/>
      <c r="AT1297" s="115"/>
      <c r="AU1297" s="115"/>
      <c r="AV1297" s="115"/>
      <c r="AW1297" s="115"/>
      <c r="AX1297" s="115"/>
      <c r="AY1297" s="115"/>
      <c r="AZ1297" s="115"/>
      <c r="BA1297" s="115"/>
      <c r="BB1297" s="115"/>
      <c r="BC1297" s="115"/>
      <c r="BD1297" s="26"/>
      <c r="BE1297" s="15"/>
      <c r="BI1297" s="117"/>
      <c r="BJ1297" s="116"/>
      <c r="BK1297" s="116"/>
      <c r="BL1297" s="116"/>
    </row>
    <row r="1298" spans="1:64" ht="19.5" x14ac:dyDescent="0.4">
      <c r="A1298" s="115"/>
      <c r="B1298" s="115"/>
      <c r="C1298" s="115"/>
      <c r="D1298" s="115"/>
      <c r="E1298" s="115"/>
      <c r="F1298" s="115"/>
      <c r="G1298" s="115"/>
      <c r="H1298" s="115"/>
      <c r="I1298" s="115"/>
      <c r="J1298" s="115"/>
      <c r="K1298" s="115"/>
      <c r="L1298" s="115"/>
      <c r="M1298" s="115"/>
      <c r="N1298" s="115"/>
      <c r="O1298" s="115"/>
      <c r="P1298" s="115"/>
      <c r="Q1298" s="115"/>
      <c r="R1298" s="115"/>
      <c r="S1298" s="115"/>
      <c r="T1298" s="115"/>
      <c r="U1298" s="115"/>
      <c r="V1298" s="115"/>
      <c r="W1298" s="115"/>
      <c r="X1298" s="115"/>
      <c r="Y1298" s="115"/>
      <c r="Z1298" s="115"/>
      <c r="AA1298" s="115"/>
      <c r="AB1298" s="115"/>
      <c r="AC1298" s="115"/>
      <c r="AD1298" s="115"/>
      <c r="AE1298" s="115"/>
      <c r="AF1298" s="115"/>
      <c r="AG1298" s="115"/>
      <c r="AH1298" s="115"/>
      <c r="AI1298" s="115"/>
      <c r="AJ1298" s="115"/>
      <c r="AK1298" s="115"/>
      <c r="AL1298" s="115"/>
      <c r="AM1298" s="122"/>
      <c r="AN1298" s="122"/>
      <c r="AO1298" s="122"/>
      <c r="AP1298" s="115"/>
      <c r="AQ1298" s="115"/>
      <c r="AR1298" s="115"/>
      <c r="AS1298" s="115"/>
      <c r="AT1298" s="115"/>
      <c r="AU1298" s="115"/>
      <c r="AV1298" s="115"/>
      <c r="AW1298" s="115"/>
      <c r="AX1298" s="115"/>
      <c r="AY1298" s="115"/>
      <c r="AZ1298" s="115"/>
      <c r="BA1298" s="115"/>
      <c r="BB1298" s="115"/>
      <c r="BC1298" s="115"/>
      <c r="BD1298" s="26"/>
      <c r="BE1298" s="15"/>
      <c r="BI1298" s="117"/>
      <c r="BJ1298" s="116"/>
      <c r="BK1298" s="116"/>
      <c r="BL1298" s="116"/>
    </row>
    <row r="1299" spans="1:64" ht="19.5" x14ac:dyDescent="0.4">
      <c r="A1299" s="115"/>
      <c r="B1299" s="115"/>
      <c r="C1299" s="115"/>
      <c r="D1299" s="115"/>
      <c r="E1299" s="115"/>
      <c r="F1299" s="115"/>
      <c r="G1299" s="115"/>
      <c r="H1299" s="115"/>
      <c r="I1299" s="115"/>
      <c r="J1299" s="115"/>
      <c r="K1299" s="115"/>
      <c r="L1299" s="115"/>
      <c r="M1299" s="115"/>
      <c r="N1299" s="115"/>
      <c r="O1299" s="115"/>
      <c r="P1299" s="115"/>
      <c r="Q1299" s="115"/>
      <c r="R1299" s="115"/>
      <c r="S1299" s="115"/>
      <c r="T1299" s="115"/>
      <c r="U1299" s="115"/>
      <c r="V1299" s="115"/>
      <c r="W1299" s="115"/>
      <c r="X1299" s="115"/>
      <c r="Y1299" s="115"/>
      <c r="Z1299" s="115"/>
      <c r="AA1299" s="115"/>
      <c r="AB1299" s="115"/>
      <c r="AC1299" s="115"/>
      <c r="AD1299" s="115"/>
      <c r="AE1299" s="115"/>
      <c r="AF1299" s="115"/>
      <c r="AG1299" s="115"/>
      <c r="AH1299" s="115"/>
      <c r="AI1299" s="115"/>
      <c r="AJ1299" s="115"/>
      <c r="AK1299" s="115"/>
      <c r="AL1299" s="115"/>
      <c r="AM1299" s="122"/>
      <c r="AN1299" s="122"/>
      <c r="AO1299" s="122"/>
      <c r="AP1299" s="115"/>
      <c r="AQ1299" s="115"/>
      <c r="AR1299" s="115"/>
      <c r="AS1299" s="115"/>
      <c r="AT1299" s="115"/>
      <c r="AU1299" s="115"/>
      <c r="AV1299" s="115"/>
      <c r="AW1299" s="115"/>
      <c r="AX1299" s="115"/>
      <c r="AY1299" s="115"/>
      <c r="AZ1299" s="115"/>
      <c r="BA1299" s="115"/>
      <c r="BB1299" s="115"/>
      <c r="BC1299" s="115"/>
      <c r="BD1299" s="26"/>
      <c r="BE1299" s="15"/>
      <c r="BI1299" s="117"/>
      <c r="BJ1299" s="116"/>
      <c r="BK1299" s="116"/>
      <c r="BL1299" s="116"/>
    </row>
    <row r="1300" spans="1:64" ht="19.5" x14ac:dyDescent="0.4">
      <c r="A1300" s="115"/>
      <c r="B1300" s="115"/>
      <c r="C1300" s="115"/>
      <c r="D1300" s="115"/>
      <c r="E1300" s="115"/>
      <c r="F1300" s="115"/>
      <c r="G1300" s="115"/>
      <c r="H1300" s="115"/>
      <c r="I1300" s="115"/>
      <c r="J1300" s="115"/>
      <c r="K1300" s="115"/>
      <c r="L1300" s="115"/>
      <c r="M1300" s="115"/>
      <c r="N1300" s="115"/>
      <c r="O1300" s="115"/>
      <c r="P1300" s="115"/>
      <c r="Q1300" s="115"/>
      <c r="R1300" s="115"/>
      <c r="S1300" s="115"/>
      <c r="T1300" s="115"/>
      <c r="U1300" s="115"/>
      <c r="V1300" s="115"/>
      <c r="W1300" s="115"/>
      <c r="X1300" s="115"/>
      <c r="Y1300" s="115"/>
      <c r="Z1300" s="115"/>
      <c r="AA1300" s="115"/>
      <c r="AB1300" s="115"/>
      <c r="AC1300" s="115"/>
      <c r="AD1300" s="115"/>
      <c r="AE1300" s="115"/>
      <c r="AF1300" s="115"/>
      <c r="AG1300" s="115"/>
      <c r="AH1300" s="115"/>
      <c r="AI1300" s="115"/>
      <c r="AJ1300" s="115"/>
      <c r="AK1300" s="115"/>
      <c r="AL1300" s="115"/>
      <c r="AM1300" s="122"/>
      <c r="AN1300" s="122"/>
      <c r="AO1300" s="122"/>
      <c r="AP1300" s="115"/>
      <c r="AQ1300" s="115"/>
      <c r="AR1300" s="115"/>
      <c r="AS1300" s="115"/>
      <c r="AT1300" s="115"/>
      <c r="AU1300" s="115"/>
      <c r="AV1300" s="115"/>
      <c r="AW1300" s="115"/>
      <c r="AX1300" s="115"/>
      <c r="AY1300" s="115"/>
      <c r="AZ1300" s="115"/>
      <c r="BA1300" s="115"/>
      <c r="BB1300" s="115"/>
      <c r="BC1300" s="115"/>
      <c r="BD1300" s="17"/>
      <c r="BE1300" s="15"/>
      <c r="BI1300" s="117"/>
      <c r="BJ1300" s="116"/>
      <c r="BK1300" s="116"/>
      <c r="BL1300" s="116"/>
    </row>
    <row r="1301" spans="1:64" ht="19.5" x14ac:dyDescent="0.4">
      <c r="BD1301" s="26"/>
      <c r="BE1301" s="15"/>
      <c r="BI1301" s="117"/>
      <c r="BJ1301" s="116"/>
      <c r="BK1301" s="116"/>
      <c r="BL1301" s="116"/>
    </row>
    <row r="1302" spans="1:64" ht="19.5" x14ac:dyDescent="0.4">
      <c r="AJ1302" s="115"/>
      <c r="AK1302" s="115"/>
      <c r="AL1302" s="115"/>
      <c r="AM1302" s="122"/>
      <c r="AN1302" s="122"/>
      <c r="AO1302" s="122"/>
      <c r="AP1302" s="115"/>
      <c r="AQ1302" s="115"/>
      <c r="AR1302" s="115"/>
      <c r="AS1302" s="115"/>
      <c r="AT1302" s="115"/>
      <c r="AU1302" s="115"/>
      <c r="AV1302" s="115"/>
      <c r="AW1302" s="115"/>
      <c r="AX1302" s="115"/>
      <c r="AY1302" s="115"/>
      <c r="AZ1302" s="115"/>
      <c r="BA1302" s="115"/>
      <c r="BB1302" s="115"/>
      <c r="BC1302" s="115"/>
      <c r="BD1302" s="17"/>
      <c r="BE1302" s="15"/>
      <c r="BI1302" s="117"/>
      <c r="BJ1302" s="116"/>
      <c r="BK1302" s="116"/>
      <c r="BL1302" s="116"/>
    </row>
    <row r="1303" spans="1:64" ht="19.5" x14ac:dyDescent="0.4">
      <c r="AI1303" s="115"/>
      <c r="AJ1303" s="115"/>
      <c r="AK1303" s="115"/>
      <c r="AL1303" s="115"/>
      <c r="AM1303" s="122"/>
      <c r="AN1303" s="122"/>
      <c r="AO1303" s="122"/>
      <c r="AP1303" s="115"/>
      <c r="AQ1303" s="115"/>
      <c r="AR1303" s="115"/>
      <c r="AS1303" s="115"/>
      <c r="AT1303" s="115"/>
      <c r="AU1303" s="115"/>
      <c r="AV1303" s="115"/>
      <c r="AW1303" s="115"/>
      <c r="AX1303" s="115"/>
      <c r="AY1303" s="115"/>
      <c r="AZ1303" s="115"/>
      <c r="BA1303" s="115"/>
      <c r="BB1303" s="115"/>
      <c r="BC1303" s="115"/>
      <c r="BD1303" s="26"/>
      <c r="BE1303" s="15"/>
      <c r="BI1303" s="117"/>
      <c r="BJ1303" s="116"/>
      <c r="BK1303" s="116"/>
      <c r="BL1303" s="116"/>
    </row>
    <row r="1304" spans="1:64" ht="19.5" x14ac:dyDescent="0.4">
      <c r="C1304" s="115"/>
      <c r="D1304" s="115"/>
      <c r="E1304" s="115"/>
      <c r="F1304" s="115"/>
      <c r="G1304" s="115"/>
      <c r="H1304" s="115"/>
      <c r="I1304" s="115"/>
      <c r="J1304" s="115"/>
      <c r="K1304" s="115"/>
      <c r="L1304" s="115"/>
      <c r="M1304" s="115"/>
      <c r="N1304" s="115"/>
      <c r="O1304" s="115"/>
      <c r="P1304" s="115"/>
      <c r="Q1304" s="115"/>
      <c r="R1304" s="115"/>
      <c r="S1304" s="115"/>
      <c r="T1304" s="115"/>
      <c r="U1304" s="115"/>
      <c r="V1304" s="115"/>
      <c r="W1304" s="115"/>
      <c r="X1304" s="115"/>
      <c r="Y1304" s="115"/>
      <c r="Z1304" s="115"/>
      <c r="AA1304" s="115"/>
      <c r="AB1304" s="115"/>
      <c r="AC1304" s="115"/>
      <c r="AD1304" s="115"/>
      <c r="AE1304" s="115"/>
      <c r="AF1304" s="115"/>
      <c r="AG1304" s="115"/>
      <c r="AH1304" s="115"/>
      <c r="AI1304" s="115"/>
      <c r="AJ1304" s="115"/>
      <c r="AK1304" s="115"/>
      <c r="AL1304" s="115"/>
      <c r="AM1304" s="122"/>
      <c r="AN1304" s="122"/>
      <c r="AO1304" s="122"/>
      <c r="AP1304" s="115"/>
      <c r="AQ1304" s="115"/>
      <c r="AR1304" s="115"/>
      <c r="AS1304" s="115"/>
      <c r="AT1304" s="115"/>
      <c r="AU1304" s="115"/>
      <c r="AV1304" s="115"/>
      <c r="AW1304" s="115"/>
      <c r="AX1304" s="115"/>
      <c r="AY1304" s="115"/>
      <c r="AZ1304" s="115"/>
      <c r="BA1304" s="115"/>
      <c r="BB1304" s="115"/>
      <c r="BC1304" s="115"/>
      <c r="BD1304" s="26"/>
      <c r="BE1304" s="15"/>
      <c r="BI1304" s="117"/>
      <c r="BJ1304" s="116"/>
      <c r="BK1304" s="116"/>
      <c r="BL1304" s="116"/>
    </row>
    <row r="1305" spans="1:64" ht="19.5" x14ac:dyDescent="0.4">
      <c r="C1305" s="115"/>
      <c r="D1305" s="115"/>
      <c r="E1305" s="115"/>
      <c r="F1305" s="115"/>
      <c r="G1305" s="115"/>
      <c r="H1305" s="115"/>
      <c r="I1305" s="115"/>
      <c r="J1305" s="115"/>
      <c r="K1305" s="115"/>
      <c r="L1305" s="115"/>
      <c r="M1305" s="115"/>
      <c r="N1305" s="115"/>
      <c r="O1305" s="115"/>
      <c r="P1305" s="115"/>
      <c r="Q1305" s="115"/>
      <c r="R1305" s="115"/>
      <c r="S1305" s="115"/>
      <c r="T1305" s="115"/>
      <c r="U1305" s="115"/>
      <c r="V1305" s="115"/>
      <c r="W1305" s="115"/>
      <c r="X1305" s="115"/>
      <c r="Y1305" s="115"/>
      <c r="Z1305" s="115"/>
      <c r="AA1305" s="115"/>
      <c r="AB1305" s="115"/>
      <c r="AC1305" s="115"/>
      <c r="AD1305" s="115"/>
      <c r="AE1305" s="115"/>
      <c r="AF1305" s="115"/>
      <c r="AG1305" s="115"/>
      <c r="AH1305" s="115"/>
      <c r="AI1305" s="115"/>
      <c r="AJ1305" s="115"/>
      <c r="AK1305" s="115"/>
      <c r="AL1305" s="115"/>
      <c r="AM1305" s="122"/>
      <c r="AN1305" s="122"/>
      <c r="AO1305" s="122"/>
      <c r="AP1305" s="115"/>
      <c r="AQ1305" s="115"/>
      <c r="AR1305" s="115"/>
      <c r="AS1305" s="115"/>
      <c r="AT1305" s="115"/>
      <c r="AU1305" s="115"/>
      <c r="AV1305" s="115"/>
      <c r="AW1305" s="115"/>
      <c r="AX1305" s="115"/>
      <c r="AY1305" s="115"/>
      <c r="AZ1305" s="115"/>
      <c r="BA1305" s="115"/>
      <c r="BB1305" s="115"/>
      <c r="BC1305" s="115"/>
      <c r="BD1305" s="26"/>
      <c r="BE1305" s="15"/>
      <c r="BI1305" s="117"/>
      <c r="BJ1305" s="116"/>
      <c r="BK1305" s="116"/>
      <c r="BL1305" s="116"/>
    </row>
    <row r="1306" spans="1:64" ht="19.5" x14ac:dyDescent="0.4">
      <c r="B1306" s="115"/>
      <c r="C1306" s="115"/>
      <c r="D1306" s="115"/>
      <c r="E1306" s="115"/>
      <c r="F1306" s="115"/>
      <c r="G1306" s="115"/>
      <c r="H1306" s="115"/>
      <c r="I1306" s="115"/>
      <c r="J1306" s="115"/>
      <c r="K1306" s="115"/>
      <c r="L1306" s="115"/>
      <c r="M1306" s="115"/>
      <c r="N1306" s="115"/>
      <c r="O1306" s="115"/>
      <c r="P1306" s="115"/>
      <c r="Q1306" s="115"/>
      <c r="R1306" s="115"/>
      <c r="S1306" s="115"/>
      <c r="T1306" s="115"/>
      <c r="U1306" s="115"/>
      <c r="V1306" s="115"/>
      <c r="W1306" s="115"/>
      <c r="X1306" s="115"/>
      <c r="Y1306" s="115"/>
      <c r="Z1306" s="115"/>
      <c r="AA1306" s="115"/>
      <c r="AB1306" s="115"/>
      <c r="AC1306" s="115"/>
      <c r="AD1306" s="115"/>
      <c r="AE1306" s="115"/>
      <c r="AF1306" s="115"/>
      <c r="AG1306" s="115"/>
      <c r="AH1306" s="115"/>
      <c r="AI1306" s="115"/>
      <c r="AJ1306" s="115"/>
      <c r="AK1306" s="115"/>
      <c r="AL1306" s="115"/>
      <c r="AM1306" s="122"/>
      <c r="AN1306" s="122"/>
      <c r="AO1306" s="122"/>
      <c r="AP1306" s="115"/>
      <c r="AQ1306" s="115"/>
      <c r="AR1306" s="115"/>
      <c r="AS1306" s="115"/>
      <c r="AT1306" s="115"/>
      <c r="AU1306" s="115"/>
      <c r="AV1306" s="115"/>
      <c r="AW1306" s="115"/>
      <c r="AX1306" s="115"/>
      <c r="AY1306" s="115"/>
      <c r="AZ1306" s="115"/>
      <c r="BA1306" s="115"/>
      <c r="BB1306" s="115"/>
      <c r="BC1306" s="115"/>
      <c r="BD1306" s="26"/>
      <c r="BE1306" s="15"/>
      <c r="BI1306" s="117"/>
      <c r="BJ1306" s="116"/>
      <c r="BK1306" s="116"/>
      <c r="BL1306" s="116"/>
    </row>
    <row r="1307" spans="1:64" ht="19.5" x14ac:dyDescent="0.4">
      <c r="A1307" s="115"/>
      <c r="B1307" s="115"/>
      <c r="C1307" s="115"/>
      <c r="D1307" s="115"/>
      <c r="E1307" s="115"/>
      <c r="F1307" s="115"/>
      <c r="G1307" s="115"/>
      <c r="H1307" s="115"/>
      <c r="I1307" s="115"/>
      <c r="J1307" s="115"/>
      <c r="K1307" s="115"/>
      <c r="L1307" s="115"/>
      <c r="M1307" s="115"/>
      <c r="N1307" s="115"/>
      <c r="O1307" s="115"/>
      <c r="P1307" s="115"/>
      <c r="Q1307" s="115"/>
      <c r="R1307" s="115"/>
      <c r="S1307" s="115"/>
      <c r="T1307" s="115"/>
      <c r="U1307" s="115"/>
      <c r="V1307" s="115"/>
      <c r="W1307" s="115"/>
      <c r="X1307" s="115"/>
      <c r="Y1307" s="115"/>
      <c r="Z1307" s="115"/>
      <c r="AA1307" s="115"/>
      <c r="AB1307" s="115"/>
      <c r="AC1307" s="115"/>
      <c r="AD1307" s="115"/>
      <c r="AE1307" s="115"/>
      <c r="AF1307" s="115"/>
      <c r="AG1307" s="115"/>
      <c r="AH1307" s="115"/>
      <c r="AI1307" s="115"/>
      <c r="AJ1307" s="115"/>
      <c r="AK1307" s="115"/>
      <c r="AL1307" s="115"/>
      <c r="AM1307" s="122"/>
      <c r="AN1307" s="122"/>
      <c r="AO1307" s="122"/>
      <c r="AP1307" s="115"/>
      <c r="AQ1307" s="115"/>
      <c r="AR1307" s="115"/>
      <c r="AS1307" s="115"/>
      <c r="AT1307" s="115"/>
      <c r="AU1307" s="115"/>
      <c r="AV1307" s="115"/>
      <c r="AW1307" s="115"/>
      <c r="AX1307" s="115"/>
      <c r="AY1307" s="115"/>
      <c r="AZ1307" s="115"/>
      <c r="BA1307" s="115"/>
      <c r="BB1307" s="115"/>
      <c r="BC1307" s="115"/>
      <c r="BD1307" s="26"/>
      <c r="BE1307" s="15"/>
      <c r="BI1307" s="117"/>
      <c r="BJ1307" s="116"/>
      <c r="BK1307" s="116"/>
      <c r="BL1307" s="116"/>
    </row>
    <row r="1308" spans="1:64" ht="19.5" x14ac:dyDescent="0.4">
      <c r="A1308" s="115"/>
      <c r="B1308" s="115"/>
      <c r="C1308" s="115"/>
      <c r="D1308" s="115"/>
      <c r="E1308" s="115"/>
      <c r="F1308" s="115"/>
      <c r="G1308" s="115"/>
      <c r="H1308" s="115"/>
      <c r="I1308" s="115"/>
      <c r="J1308" s="115"/>
      <c r="K1308" s="115"/>
      <c r="L1308" s="115"/>
      <c r="M1308" s="115"/>
      <c r="N1308" s="115"/>
      <c r="O1308" s="115"/>
      <c r="P1308" s="115"/>
      <c r="Q1308" s="115"/>
      <c r="R1308" s="115"/>
      <c r="S1308" s="115"/>
      <c r="T1308" s="115"/>
      <c r="U1308" s="115"/>
      <c r="V1308" s="115"/>
      <c r="W1308" s="115"/>
      <c r="X1308" s="115"/>
      <c r="Y1308" s="115"/>
      <c r="Z1308" s="115"/>
      <c r="AA1308" s="115"/>
      <c r="AB1308" s="115"/>
      <c r="AC1308" s="115"/>
      <c r="AD1308" s="115"/>
      <c r="AE1308" s="115"/>
      <c r="AF1308" s="115"/>
      <c r="AG1308" s="115"/>
      <c r="AH1308" s="115"/>
      <c r="AI1308" s="115"/>
      <c r="AJ1308" s="115"/>
      <c r="AK1308" s="115"/>
      <c r="AL1308" s="115"/>
      <c r="AM1308" s="122"/>
      <c r="AN1308" s="122"/>
      <c r="AO1308" s="122"/>
      <c r="AP1308" s="115"/>
      <c r="AQ1308" s="115"/>
      <c r="AR1308" s="115"/>
      <c r="AS1308" s="115"/>
      <c r="AT1308" s="115"/>
      <c r="AU1308" s="115"/>
      <c r="AV1308" s="115"/>
      <c r="AW1308" s="115"/>
      <c r="AX1308" s="115"/>
      <c r="AY1308" s="115"/>
      <c r="AZ1308" s="115"/>
      <c r="BA1308" s="115"/>
      <c r="BB1308" s="115"/>
      <c r="BC1308" s="115"/>
      <c r="BD1308" s="26"/>
      <c r="BE1308" s="15"/>
      <c r="BI1308" s="117"/>
      <c r="BJ1308" s="116"/>
      <c r="BK1308" s="116"/>
      <c r="BL1308" s="116"/>
    </row>
    <row r="1309" spans="1:64" ht="19.5" x14ac:dyDescent="0.4">
      <c r="A1309" s="115"/>
      <c r="B1309" s="115"/>
      <c r="C1309" s="115"/>
      <c r="D1309" s="115"/>
      <c r="E1309" s="115"/>
      <c r="F1309" s="115"/>
      <c r="G1309" s="115"/>
      <c r="H1309" s="115"/>
      <c r="I1309" s="115"/>
      <c r="J1309" s="115"/>
      <c r="K1309" s="115"/>
      <c r="L1309" s="115"/>
      <c r="M1309" s="115"/>
      <c r="N1309" s="115"/>
      <c r="O1309" s="115"/>
      <c r="P1309" s="115"/>
      <c r="Q1309" s="115"/>
      <c r="R1309" s="115"/>
      <c r="S1309" s="115"/>
      <c r="T1309" s="115"/>
      <c r="U1309" s="115"/>
      <c r="V1309" s="115"/>
      <c r="W1309" s="115"/>
      <c r="X1309" s="115"/>
      <c r="Y1309" s="115"/>
      <c r="Z1309" s="115"/>
      <c r="AA1309" s="115"/>
      <c r="AB1309" s="115"/>
      <c r="AC1309" s="115"/>
      <c r="AD1309" s="115"/>
      <c r="AE1309" s="115"/>
      <c r="AF1309" s="115"/>
      <c r="AG1309" s="115"/>
      <c r="AH1309" s="115"/>
      <c r="AI1309" s="115"/>
      <c r="AJ1309" s="115"/>
      <c r="AK1309" s="115"/>
      <c r="AL1309" s="115"/>
      <c r="AM1309" s="122"/>
      <c r="AN1309" s="122"/>
      <c r="AO1309" s="122"/>
      <c r="AP1309" s="115"/>
      <c r="AQ1309" s="115"/>
      <c r="AR1309" s="115"/>
      <c r="AS1309" s="115"/>
      <c r="AT1309" s="115"/>
      <c r="AU1309" s="115"/>
      <c r="AV1309" s="115"/>
      <c r="AW1309" s="115"/>
      <c r="AX1309" s="115"/>
      <c r="AY1309" s="115"/>
      <c r="AZ1309" s="115"/>
      <c r="BA1309" s="115"/>
      <c r="BB1309" s="115"/>
      <c r="BC1309" s="115"/>
      <c r="BD1309" s="17"/>
      <c r="BE1309" s="15"/>
      <c r="BI1309" s="117"/>
      <c r="BJ1309" s="116"/>
      <c r="BK1309" s="116"/>
      <c r="BL1309" s="116"/>
    </row>
    <row r="1310" spans="1:64" ht="19.5" x14ac:dyDescent="0.4">
      <c r="BD1310" s="26"/>
      <c r="BE1310" s="15"/>
      <c r="BI1310" s="117"/>
      <c r="BJ1310" s="116"/>
      <c r="BK1310" s="116"/>
      <c r="BL1310" s="116"/>
    </row>
    <row r="1311" spans="1:64" ht="19.5" x14ac:dyDescent="0.4">
      <c r="AJ1311" s="115"/>
      <c r="AK1311" s="115"/>
      <c r="AL1311" s="115"/>
      <c r="AM1311" s="122"/>
      <c r="AN1311" s="122"/>
      <c r="AO1311" s="122"/>
      <c r="AP1311" s="115"/>
      <c r="AQ1311" s="115"/>
      <c r="AR1311" s="115"/>
      <c r="AS1311" s="115"/>
      <c r="AT1311" s="115"/>
      <c r="AU1311" s="115"/>
      <c r="AV1311" s="115"/>
      <c r="AW1311" s="115"/>
      <c r="AX1311" s="115"/>
      <c r="AY1311" s="115"/>
      <c r="AZ1311" s="115"/>
      <c r="BA1311" s="115"/>
      <c r="BB1311" s="115"/>
      <c r="BC1311" s="115"/>
      <c r="BD1311" s="17"/>
      <c r="BE1311" s="13"/>
      <c r="BI1311" s="117"/>
      <c r="BJ1311" s="116"/>
      <c r="BK1311" s="116"/>
      <c r="BL1311" s="116"/>
    </row>
    <row r="1312" spans="1:64" ht="19.5" x14ac:dyDescent="0.4">
      <c r="AJ1312" s="115"/>
      <c r="AK1312" s="115"/>
      <c r="AL1312" s="115"/>
      <c r="AM1312" s="122"/>
      <c r="AN1312" s="122"/>
      <c r="AO1312" s="122"/>
      <c r="AP1312" s="115"/>
      <c r="AQ1312" s="115"/>
      <c r="AR1312" s="115"/>
      <c r="AS1312" s="115"/>
      <c r="AT1312" s="115"/>
      <c r="AU1312" s="115"/>
      <c r="AV1312" s="115"/>
      <c r="AW1312" s="115"/>
      <c r="AX1312" s="115"/>
      <c r="AY1312" s="115"/>
      <c r="AZ1312" s="115"/>
      <c r="BA1312" s="115"/>
      <c r="BB1312" s="115"/>
      <c r="BC1312" s="115"/>
      <c r="BD1312" s="17"/>
      <c r="BE1312" s="13"/>
      <c r="BI1312" s="117"/>
      <c r="BJ1312" s="116"/>
      <c r="BK1312" s="116"/>
      <c r="BL1312" s="116"/>
    </row>
    <row r="1313" spans="1:64" ht="19.5" x14ac:dyDescent="0.4">
      <c r="BD1313" s="26"/>
      <c r="BE1313" s="13"/>
      <c r="BI1313" s="117"/>
      <c r="BJ1313" s="116"/>
      <c r="BK1313" s="116"/>
      <c r="BL1313" s="116"/>
    </row>
    <row r="1314" spans="1:64" ht="19.5" x14ac:dyDescent="0.4">
      <c r="BD1314" s="26"/>
      <c r="BE1314" s="13"/>
      <c r="BI1314" s="116"/>
      <c r="BJ1314" s="116"/>
      <c r="BK1314" s="116"/>
      <c r="BL1314" s="116"/>
    </row>
    <row r="1315" spans="1:64" ht="19.5" x14ac:dyDescent="0.4">
      <c r="D1315" s="115"/>
      <c r="E1315" s="115"/>
      <c r="F1315" s="115"/>
      <c r="G1315" s="115"/>
      <c r="H1315" s="115"/>
      <c r="I1315" s="115"/>
      <c r="J1315" s="115"/>
      <c r="K1315" s="115"/>
      <c r="L1315" s="115"/>
      <c r="M1315" s="115"/>
      <c r="N1315" s="115"/>
      <c r="O1315" s="115"/>
      <c r="P1315" s="115"/>
      <c r="Q1315" s="115"/>
      <c r="R1315" s="115"/>
      <c r="S1315" s="115"/>
      <c r="T1315" s="115"/>
      <c r="U1315" s="115"/>
      <c r="V1315" s="115"/>
      <c r="W1315" s="115"/>
      <c r="X1315" s="115"/>
      <c r="Y1315" s="115"/>
      <c r="Z1315" s="115"/>
      <c r="AA1315" s="115"/>
      <c r="AB1315" s="115"/>
      <c r="AC1315" s="115"/>
      <c r="AD1315" s="115"/>
      <c r="AE1315" s="115"/>
      <c r="AF1315" s="115"/>
      <c r="AG1315" s="115"/>
      <c r="AH1315" s="115"/>
      <c r="AI1315" s="115"/>
      <c r="AJ1315" s="115"/>
      <c r="AK1315" s="115"/>
      <c r="AL1315" s="115"/>
      <c r="AM1315" s="122"/>
      <c r="AN1315" s="122"/>
      <c r="AO1315" s="122"/>
      <c r="AP1315" s="115"/>
      <c r="AQ1315" s="115"/>
      <c r="AR1315" s="115"/>
      <c r="AS1315" s="115"/>
      <c r="AT1315" s="115"/>
      <c r="AU1315" s="115"/>
      <c r="AV1315" s="115"/>
      <c r="AW1315" s="115"/>
      <c r="AX1315" s="115"/>
      <c r="AY1315" s="115"/>
      <c r="AZ1315" s="115"/>
      <c r="BA1315" s="115"/>
      <c r="BB1315" s="115"/>
      <c r="BC1315" s="115"/>
      <c r="BD1315" s="26"/>
      <c r="BE1315" s="13"/>
      <c r="BI1315" s="118"/>
      <c r="BJ1315" s="118"/>
      <c r="BK1315" s="118"/>
      <c r="BL1315" s="118"/>
    </row>
    <row r="1316" spans="1:64" ht="19.5" x14ac:dyDescent="0.4">
      <c r="D1316" s="115"/>
      <c r="E1316" s="115"/>
      <c r="F1316" s="115"/>
      <c r="G1316" s="115"/>
      <c r="H1316" s="115"/>
      <c r="I1316" s="115"/>
      <c r="J1316" s="115"/>
      <c r="K1316" s="115"/>
      <c r="L1316" s="115"/>
      <c r="M1316" s="115"/>
      <c r="N1316" s="115"/>
      <c r="O1316" s="115"/>
      <c r="P1316" s="115"/>
      <c r="Q1316" s="115"/>
      <c r="R1316" s="115"/>
      <c r="S1316" s="115"/>
      <c r="T1316" s="115"/>
      <c r="U1316" s="115"/>
      <c r="V1316" s="115"/>
      <c r="W1316" s="115"/>
      <c r="X1316" s="115"/>
      <c r="Y1316" s="115"/>
      <c r="Z1316" s="115"/>
      <c r="AA1316" s="115"/>
      <c r="AB1316" s="115"/>
      <c r="AC1316" s="115"/>
      <c r="AD1316" s="115"/>
      <c r="AE1316" s="115"/>
      <c r="AF1316" s="115"/>
      <c r="AG1316" s="115"/>
      <c r="AH1316" s="115"/>
      <c r="AI1316" s="115"/>
      <c r="AJ1316" s="115"/>
      <c r="AK1316" s="115"/>
      <c r="AL1316" s="115"/>
      <c r="AM1316" s="122"/>
      <c r="AN1316" s="122"/>
      <c r="AO1316" s="122"/>
      <c r="AP1316" s="115"/>
      <c r="AQ1316" s="115"/>
      <c r="AR1316" s="115"/>
      <c r="AS1316" s="115"/>
      <c r="AT1316" s="115"/>
      <c r="AU1316" s="115"/>
      <c r="AV1316" s="115"/>
      <c r="AW1316" s="115"/>
      <c r="AX1316" s="115"/>
      <c r="AY1316" s="115"/>
      <c r="AZ1316" s="115"/>
      <c r="BA1316" s="115"/>
      <c r="BB1316" s="115"/>
      <c r="BC1316" s="115"/>
      <c r="BD1316" s="26"/>
      <c r="BE1316" s="13"/>
      <c r="BI1316" s="118"/>
      <c r="BJ1316" s="118"/>
      <c r="BK1316" s="118"/>
      <c r="BL1316" s="118"/>
    </row>
    <row r="1317" spans="1:64" ht="19.5" x14ac:dyDescent="0.4">
      <c r="B1317" s="115"/>
      <c r="C1317" s="115"/>
      <c r="D1317" s="115"/>
      <c r="E1317" s="115"/>
      <c r="F1317" s="115"/>
      <c r="G1317" s="115"/>
      <c r="H1317" s="115"/>
      <c r="I1317" s="115"/>
      <c r="J1317" s="115"/>
      <c r="K1317" s="115"/>
      <c r="L1317" s="115"/>
      <c r="M1317" s="115"/>
      <c r="N1317" s="115"/>
      <c r="O1317" s="115"/>
      <c r="P1317" s="115"/>
      <c r="Q1317" s="115"/>
      <c r="R1317" s="115"/>
      <c r="S1317" s="115"/>
      <c r="T1317" s="115"/>
      <c r="U1317" s="115"/>
      <c r="V1317" s="115"/>
      <c r="W1317" s="115"/>
      <c r="X1317" s="115"/>
      <c r="Y1317" s="115"/>
      <c r="Z1317" s="115"/>
      <c r="AA1317" s="115"/>
      <c r="AB1317" s="115"/>
      <c r="AC1317" s="115"/>
      <c r="AD1317" s="115"/>
      <c r="AE1317" s="115"/>
      <c r="AF1317" s="115"/>
      <c r="AG1317" s="115"/>
      <c r="AH1317" s="115"/>
      <c r="AI1317" s="115"/>
      <c r="AJ1317" s="115"/>
      <c r="AK1317" s="115"/>
      <c r="AL1317" s="115"/>
      <c r="AM1317" s="122"/>
      <c r="AN1317" s="122"/>
      <c r="AO1317" s="122"/>
      <c r="AP1317" s="115"/>
      <c r="AQ1317" s="115"/>
      <c r="AR1317" s="115"/>
      <c r="AS1317" s="115"/>
      <c r="AT1317" s="115"/>
      <c r="AU1317" s="115"/>
      <c r="AV1317" s="115"/>
      <c r="AW1317" s="115"/>
      <c r="AX1317" s="115"/>
      <c r="AY1317" s="115"/>
      <c r="AZ1317" s="115"/>
      <c r="BA1317" s="115"/>
      <c r="BB1317" s="115"/>
      <c r="BC1317" s="115"/>
      <c r="BD1317" s="26"/>
      <c r="BE1317" s="13"/>
      <c r="BI1317" s="118"/>
      <c r="BJ1317" s="118"/>
      <c r="BK1317" s="118"/>
      <c r="BL1317" s="118"/>
    </row>
    <row r="1318" spans="1:64" ht="19.5" x14ac:dyDescent="0.4">
      <c r="B1318" s="115"/>
      <c r="C1318" s="115"/>
      <c r="D1318" s="115"/>
      <c r="E1318" s="115"/>
      <c r="F1318" s="115"/>
      <c r="G1318" s="115"/>
      <c r="H1318" s="115"/>
      <c r="I1318" s="115"/>
      <c r="J1318" s="115"/>
      <c r="K1318" s="115"/>
      <c r="L1318" s="115"/>
      <c r="M1318" s="115"/>
      <c r="N1318" s="115"/>
      <c r="O1318" s="115"/>
      <c r="P1318" s="115"/>
      <c r="Q1318" s="115"/>
      <c r="R1318" s="115"/>
      <c r="S1318" s="115"/>
      <c r="T1318" s="115"/>
      <c r="U1318" s="115"/>
      <c r="V1318" s="115"/>
      <c r="W1318" s="115"/>
      <c r="X1318" s="115"/>
      <c r="Y1318" s="115"/>
      <c r="Z1318" s="115"/>
      <c r="AA1318" s="115"/>
      <c r="AB1318" s="115"/>
      <c r="AC1318" s="115"/>
      <c r="AD1318" s="115"/>
      <c r="AE1318" s="115"/>
      <c r="AF1318" s="115"/>
      <c r="AG1318" s="115"/>
      <c r="AH1318" s="115"/>
      <c r="AI1318" s="115"/>
      <c r="AJ1318" s="115"/>
      <c r="AK1318" s="115"/>
      <c r="AL1318" s="115"/>
      <c r="AM1318" s="122"/>
      <c r="AN1318" s="122"/>
      <c r="AO1318" s="122"/>
      <c r="AP1318" s="115"/>
      <c r="AQ1318" s="115"/>
      <c r="AR1318" s="115"/>
      <c r="AS1318" s="115"/>
      <c r="AT1318" s="115"/>
      <c r="AU1318" s="115"/>
      <c r="AV1318" s="115"/>
      <c r="AW1318" s="115"/>
      <c r="AX1318" s="115"/>
      <c r="AY1318" s="115"/>
      <c r="AZ1318" s="115"/>
      <c r="BA1318" s="115"/>
      <c r="BB1318" s="115"/>
      <c r="BC1318" s="115"/>
      <c r="BD1318" s="26"/>
      <c r="BE1318" s="15"/>
      <c r="BI1318" s="118"/>
      <c r="BJ1318" s="118"/>
      <c r="BK1318" s="118"/>
      <c r="BL1318" s="118"/>
    </row>
    <row r="1319" spans="1:64" ht="19.5" x14ac:dyDescent="0.4">
      <c r="B1319" s="115"/>
      <c r="C1319" s="115"/>
      <c r="D1319" s="115"/>
      <c r="E1319" s="115"/>
      <c r="F1319" s="115"/>
      <c r="G1319" s="115"/>
      <c r="H1319" s="115"/>
      <c r="I1319" s="115"/>
      <c r="J1319" s="115"/>
      <c r="K1319" s="115"/>
      <c r="L1319" s="115"/>
      <c r="M1319" s="115"/>
      <c r="N1319" s="115"/>
      <c r="O1319" s="115"/>
      <c r="P1319" s="115"/>
      <c r="Q1319" s="115"/>
      <c r="R1319" s="115"/>
      <c r="S1319" s="115"/>
      <c r="T1319" s="115"/>
      <c r="U1319" s="115"/>
      <c r="V1319" s="115"/>
      <c r="W1319" s="115"/>
      <c r="X1319" s="115"/>
      <c r="Y1319" s="115"/>
      <c r="Z1319" s="115"/>
      <c r="AA1319" s="115"/>
      <c r="AB1319" s="115"/>
      <c r="AC1319" s="115"/>
      <c r="AD1319" s="115"/>
      <c r="AE1319" s="115"/>
      <c r="AF1319" s="115"/>
      <c r="AG1319" s="115"/>
      <c r="AH1319" s="115"/>
      <c r="AI1319" s="115"/>
      <c r="AJ1319" s="115"/>
      <c r="AK1319" s="115"/>
      <c r="AL1319" s="115"/>
      <c r="AM1319" s="122"/>
      <c r="AN1319" s="122"/>
      <c r="AO1319" s="122"/>
      <c r="AP1319" s="115"/>
      <c r="AQ1319" s="115"/>
      <c r="AR1319" s="115"/>
      <c r="AS1319" s="115"/>
      <c r="AT1319" s="115"/>
      <c r="AU1319" s="115"/>
      <c r="AV1319" s="115"/>
      <c r="AW1319" s="115"/>
      <c r="AX1319" s="115"/>
      <c r="AY1319" s="115"/>
      <c r="AZ1319" s="115"/>
      <c r="BA1319" s="115"/>
      <c r="BB1319" s="115"/>
      <c r="BC1319" s="115"/>
      <c r="BD1319" s="26"/>
      <c r="BE1319" s="15"/>
      <c r="BI1319" s="118"/>
      <c r="BJ1319" s="118"/>
      <c r="BK1319" s="118"/>
      <c r="BL1319" s="118"/>
    </row>
    <row r="1320" spans="1:64" ht="19.5" x14ac:dyDescent="0.4">
      <c r="A1320" s="115"/>
      <c r="B1320" s="115"/>
      <c r="C1320" s="115"/>
      <c r="D1320" s="115"/>
      <c r="E1320" s="115"/>
      <c r="F1320" s="115"/>
      <c r="G1320" s="115"/>
      <c r="H1320" s="115"/>
      <c r="I1320" s="115"/>
      <c r="J1320" s="115"/>
      <c r="K1320" s="115"/>
      <c r="L1320" s="115"/>
      <c r="M1320" s="115"/>
      <c r="N1320" s="115"/>
      <c r="O1320" s="115"/>
      <c r="P1320" s="115"/>
      <c r="Q1320" s="115"/>
      <c r="R1320" s="115"/>
      <c r="S1320" s="115"/>
      <c r="T1320" s="115"/>
      <c r="U1320" s="115"/>
      <c r="V1320" s="115"/>
      <c r="W1320" s="115"/>
      <c r="X1320" s="115"/>
      <c r="Y1320" s="115"/>
      <c r="Z1320" s="115"/>
      <c r="AA1320" s="115"/>
      <c r="AB1320" s="115"/>
      <c r="AC1320" s="115"/>
      <c r="AD1320" s="115"/>
      <c r="AE1320" s="115"/>
      <c r="AF1320" s="115"/>
      <c r="AG1320" s="115"/>
      <c r="AH1320" s="115"/>
      <c r="AI1320" s="115"/>
      <c r="AJ1320" s="115"/>
      <c r="AK1320" s="115"/>
      <c r="AL1320" s="115"/>
      <c r="AM1320" s="122"/>
      <c r="AN1320" s="122"/>
      <c r="AO1320" s="122"/>
      <c r="AP1320" s="115"/>
      <c r="AQ1320" s="115"/>
      <c r="AR1320" s="115"/>
      <c r="AS1320" s="115"/>
      <c r="AT1320" s="115"/>
      <c r="AU1320" s="115"/>
      <c r="AV1320" s="115"/>
      <c r="AW1320" s="115"/>
      <c r="AX1320" s="115"/>
      <c r="AY1320" s="115"/>
      <c r="AZ1320" s="115"/>
      <c r="BA1320" s="115"/>
      <c r="BB1320" s="115"/>
      <c r="BC1320" s="115"/>
      <c r="BD1320" s="26"/>
      <c r="BE1320" s="15"/>
      <c r="BI1320" s="118"/>
      <c r="BJ1320" s="118"/>
      <c r="BK1320" s="118"/>
      <c r="BL1320" s="118"/>
    </row>
    <row r="1321" spans="1:64" ht="19.5" x14ac:dyDescent="0.4">
      <c r="A1321" s="115"/>
      <c r="B1321" s="115"/>
      <c r="C1321" s="115"/>
      <c r="D1321" s="115"/>
      <c r="E1321" s="115"/>
      <c r="F1321" s="115"/>
      <c r="G1321" s="115"/>
      <c r="H1321" s="115"/>
      <c r="I1321" s="115"/>
      <c r="J1321" s="115"/>
      <c r="K1321" s="115"/>
      <c r="L1321" s="115"/>
      <c r="M1321" s="115"/>
      <c r="N1321" s="115"/>
      <c r="O1321" s="115"/>
      <c r="P1321" s="115"/>
      <c r="Q1321" s="115"/>
      <c r="R1321" s="115"/>
      <c r="S1321" s="115"/>
      <c r="T1321" s="115"/>
      <c r="U1321" s="115"/>
      <c r="V1321" s="115"/>
      <c r="W1321" s="115"/>
      <c r="X1321" s="115"/>
      <c r="Y1321" s="115"/>
      <c r="Z1321" s="115"/>
      <c r="AA1321" s="115"/>
      <c r="AB1321" s="115"/>
      <c r="AC1321" s="115"/>
      <c r="AD1321" s="115"/>
      <c r="AE1321" s="115"/>
      <c r="AF1321" s="115"/>
      <c r="AG1321" s="115"/>
      <c r="AH1321" s="115"/>
      <c r="AI1321" s="115"/>
      <c r="AJ1321" s="115"/>
      <c r="AK1321" s="115"/>
      <c r="AL1321" s="115"/>
      <c r="AM1321" s="122"/>
      <c r="AN1321" s="122"/>
      <c r="AO1321" s="122"/>
      <c r="AP1321" s="115"/>
      <c r="AQ1321" s="115"/>
      <c r="AR1321" s="115"/>
      <c r="AS1321" s="115"/>
      <c r="AT1321" s="115"/>
      <c r="AU1321" s="115"/>
      <c r="AV1321" s="115"/>
      <c r="AW1321" s="115"/>
      <c r="AX1321" s="115"/>
      <c r="AY1321" s="115"/>
      <c r="AZ1321" s="115"/>
      <c r="BA1321" s="115"/>
      <c r="BB1321" s="115"/>
      <c r="BC1321" s="115"/>
      <c r="BD1321" s="26"/>
      <c r="BE1321" s="15"/>
      <c r="BI1321" s="118"/>
      <c r="BJ1321" s="118"/>
      <c r="BK1321" s="118"/>
      <c r="BL1321" s="118"/>
    </row>
    <row r="1322" spans="1:64" ht="20.25" customHeight="1" x14ac:dyDescent="0.4">
      <c r="A1322" s="115"/>
      <c r="B1322" s="115"/>
      <c r="C1322" s="115"/>
      <c r="D1322" s="115"/>
      <c r="E1322" s="115"/>
      <c r="F1322" s="115"/>
      <c r="G1322" s="115"/>
      <c r="H1322" s="115"/>
      <c r="I1322" s="115"/>
      <c r="J1322" s="115"/>
      <c r="K1322" s="115"/>
      <c r="L1322" s="115"/>
      <c r="M1322" s="115"/>
      <c r="N1322" s="115"/>
      <c r="O1322" s="115"/>
      <c r="P1322" s="115"/>
      <c r="Q1322" s="115"/>
      <c r="R1322" s="115"/>
      <c r="S1322" s="115"/>
      <c r="T1322" s="115"/>
      <c r="U1322" s="115"/>
      <c r="V1322" s="115"/>
      <c r="W1322" s="115"/>
      <c r="X1322" s="115"/>
      <c r="Y1322" s="115"/>
      <c r="Z1322" s="115"/>
      <c r="AA1322" s="115"/>
      <c r="AB1322" s="115"/>
      <c r="AC1322" s="115"/>
      <c r="AD1322" s="115"/>
      <c r="AE1322" s="115"/>
      <c r="AF1322" s="115"/>
      <c r="AG1322" s="115"/>
      <c r="AH1322" s="115"/>
      <c r="AI1322" s="115"/>
      <c r="AJ1322" s="115"/>
      <c r="AK1322" s="115"/>
      <c r="AL1322" s="115"/>
      <c r="AM1322" s="122"/>
      <c r="AN1322" s="122"/>
      <c r="AO1322" s="122"/>
      <c r="AP1322" s="115"/>
      <c r="AQ1322" s="115"/>
      <c r="AR1322" s="115"/>
      <c r="AS1322" s="115"/>
      <c r="AT1322" s="115"/>
      <c r="AU1322" s="115"/>
      <c r="AV1322" s="115"/>
      <c r="AW1322" s="115"/>
      <c r="AX1322" s="115"/>
      <c r="AY1322" s="115"/>
      <c r="AZ1322" s="115"/>
      <c r="BA1322" s="115"/>
      <c r="BB1322" s="115"/>
      <c r="BC1322" s="115"/>
      <c r="BD1322" s="26"/>
      <c r="BE1322" s="15"/>
      <c r="BI1322" s="118"/>
      <c r="BJ1322" s="118"/>
      <c r="BK1322" s="118"/>
      <c r="BL1322" s="118"/>
    </row>
    <row r="1323" spans="1:64" x14ac:dyDescent="0.4">
      <c r="BD1323" s="26"/>
      <c r="BE1323" s="15"/>
    </row>
    <row r="1324" spans="1:64" x14ac:dyDescent="0.4">
      <c r="BD1324" s="26"/>
      <c r="BE1324" s="13"/>
    </row>
    <row r="1325" spans="1:64" x14ac:dyDescent="0.4">
      <c r="AH1325" s="115"/>
      <c r="AI1325" s="115"/>
      <c r="AJ1325" s="115"/>
      <c r="AK1325" s="115"/>
      <c r="AL1325" s="115"/>
      <c r="AM1325" s="122"/>
      <c r="AN1325" s="122"/>
      <c r="AO1325" s="122"/>
      <c r="AP1325" s="115"/>
      <c r="AQ1325" s="115"/>
      <c r="AR1325" s="115"/>
      <c r="AS1325" s="115"/>
      <c r="AT1325" s="115"/>
      <c r="AU1325" s="115"/>
      <c r="AV1325" s="115"/>
      <c r="AW1325" s="115"/>
      <c r="AX1325" s="115"/>
      <c r="AY1325" s="115"/>
      <c r="AZ1325" s="115"/>
      <c r="BA1325" s="115"/>
      <c r="BB1325" s="115"/>
      <c r="BC1325" s="115"/>
      <c r="BD1325" s="26"/>
      <c r="BE1325" s="13"/>
    </row>
    <row r="1326" spans="1:64" x14ac:dyDescent="0.4">
      <c r="AH1326" s="115"/>
      <c r="AI1326" s="115"/>
      <c r="AJ1326" s="115"/>
      <c r="AK1326" s="115"/>
      <c r="AL1326" s="115"/>
      <c r="AM1326" s="122"/>
      <c r="AN1326" s="122"/>
      <c r="AO1326" s="122"/>
      <c r="AP1326" s="115"/>
      <c r="AQ1326" s="115"/>
      <c r="AR1326" s="115"/>
      <c r="AS1326" s="115"/>
      <c r="AT1326" s="115"/>
      <c r="AU1326" s="115"/>
      <c r="AV1326" s="115"/>
      <c r="AW1326" s="115"/>
      <c r="AX1326" s="115"/>
      <c r="AY1326" s="115"/>
      <c r="AZ1326" s="115"/>
      <c r="BA1326" s="115"/>
      <c r="BB1326" s="115"/>
      <c r="BC1326" s="115"/>
      <c r="BD1326" s="17"/>
      <c r="BE1326" s="13"/>
    </row>
    <row r="1327" spans="1:64" x14ac:dyDescent="0.4">
      <c r="C1327" s="115"/>
      <c r="D1327" s="115"/>
      <c r="E1327" s="115"/>
      <c r="F1327" s="115"/>
      <c r="G1327" s="115"/>
      <c r="H1327" s="115"/>
      <c r="I1327" s="115"/>
      <c r="J1327" s="115"/>
      <c r="K1327" s="115"/>
      <c r="L1327" s="115"/>
      <c r="M1327" s="115"/>
      <c r="N1327" s="115"/>
      <c r="O1327" s="115"/>
      <c r="P1327" s="115"/>
      <c r="Q1327" s="115"/>
      <c r="R1327" s="115"/>
      <c r="S1327" s="115"/>
      <c r="T1327" s="115"/>
      <c r="U1327" s="115"/>
      <c r="V1327" s="115"/>
      <c r="W1327" s="115"/>
      <c r="X1327" s="115"/>
      <c r="Y1327" s="115"/>
      <c r="Z1327" s="115"/>
      <c r="AA1327" s="115"/>
      <c r="AB1327" s="115"/>
      <c r="AC1327" s="115"/>
      <c r="AD1327" s="115"/>
      <c r="AE1327" s="115"/>
      <c r="AF1327" s="115"/>
      <c r="AG1327" s="115"/>
      <c r="AH1327" s="115"/>
      <c r="AI1327" s="115"/>
      <c r="AJ1327" s="115"/>
      <c r="AK1327" s="115"/>
      <c r="AL1327" s="115"/>
      <c r="AM1327" s="122"/>
      <c r="AN1327" s="122"/>
      <c r="AO1327" s="122"/>
      <c r="AP1327" s="115"/>
      <c r="AQ1327" s="115"/>
      <c r="AR1327" s="115"/>
      <c r="AS1327" s="115"/>
      <c r="AT1327" s="115"/>
      <c r="AU1327" s="115"/>
      <c r="AV1327" s="115"/>
      <c r="AW1327" s="115"/>
      <c r="AX1327" s="115"/>
      <c r="AY1327" s="115"/>
      <c r="AZ1327" s="115"/>
      <c r="BA1327" s="115"/>
      <c r="BB1327" s="115"/>
      <c r="BC1327" s="115"/>
      <c r="BD1327" s="26"/>
      <c r="BE1327" s="13"/>
    </row>
    <row r="1328" spans="1:64" x14ac:dyDescent="0.4">
      <c r="C1328" s="115"/>
      <c r="D1328" s="115"/>
      <c r="E1328" s="115"/>
      <c r="F1328" s="115"/>
      <c r="G1328" s="115"/>
      <c r="H1328" s="115"/>
      <c r="I1328" s="115"/>
      <c r="J1328" s="115"/>
      <c r="K1328" s="115"/>
      <c r="L1328" s="115"/>
      <c r="M1328" s="115"/>
      <c r="N1328" s="115"/>
      <c r="O1328" s="115"/>
      <c r="P1328" s="115"/>
      <c r="Q1328" s="115"/>
      <c r="R1328" s="115"/>
      <c r="S1328" s="115"/>
      <c r="T1328" s="115"/>
      <c r="U1328" s="115"/>
      <c r="V1328" s="115"/>
      <c r="W1328" s="115"/>
      <c r="X1328" s="115"/>
      <c r="Y1328" s="115"/>
      <c r="Z1328" s="115"/>
      <c r="AA1328" s="115"/>
      <c r="AB1328" s="115"/>
      <c r="AC1328" s="115"/>
      <c r="AD1328" s="115"/>
      <c r="AE1328" s="115"/>
      <c r="AF1328" s="115"/>
      <c r="AG1328" s="115"/>
      <c r="AH1328" s="115"/>
      <c r="AI1328" s="115"/>
      <c r="AJ1328" s="115"/>
      <c r="AK1328" s="115"/>
      <c r="AL1328" s="115"/>
      <c r="AM1328" s="122"/>
      <c r="AN1328" s="122"/>
      <c r="AO1328" s="122"/>
      <c r="AP1328" s="115"/>
      <c r="AQ1328" s="115"/>
      <c r="AR1328" s="115"/>
      <c r="AS1328" s="115"/>
      <c r="AT1328" s="115"/>
      <c r="AU1328" s="115"/>
      <c r="AV1328" s="115"/>
      <c r="AW1328" s="115"/>
      <c r="AX1328" s="115"/>
      <c r="AY1328" s="115"/>
      <c r="AZ1328" s="115"/>
      <c r="BA1328" s="115"/>
      <c r="BB1328" s="115"/>
      <c r="BC1328" s="115"/>
      <c r="BD1328" s="26"/>
      <c r="BE1328" s="13"/>
    </row>
    <row r="1329" spans="1:57" x14ac:dyDescent="0.4">
      <c r="BD1329" s="26"/>
      <c r="BE1329" s="13"/>
    </row>
    <row r="1330" spans="1:57" x14ac:dyDescent="0.4">
      <c r="E1330" s="115"/>
      <c r="F1330" s="115"/>
      <c r="G1330" s="115"/>
      <c r="H1330" s="115"/>
      <c r="I1330" s="115"/>
      <c r="J1330" s="115"/>
      <c r="K1330" s="115"/>
      <c r="L1330" s="115"/>
      <c r="M1330" s="115"/>
      <c r="N1330" s="115"/>
      <c r="O1330" s="115"/>
      <c r="P1330" s="115"/>
      <c r="Q1330" s="115"/>
      <c r="R1330" s="115"/>
      <c r="S1330" s="115"/>
      <c r="T1330" s="115"/>
      <c r="U1330" s="115"/>
      <c r="V1330" s="115"/>
      <c r="W1330" s="115"/>
      <c r="X1330" s="115"/>
      <c r="Y1330" s="115"/>
      <c r="Z1330" s="115"/>
      <c r="AA1330" s="115"/>
      <c r="AB1330" s="115"/>
      <c r="AC1330" s="115"/>
      <c r="AD1330" s="115"/>
      <c r="AE1330" s="115"/>
      <c r="AF1330" s="115"/>
      <c r="AG1330" s="115"/>
      <c r="AH1330" s="115"/>
      <c r="AI1330" s="115"/>
      <c r="AJ1330" s="115"/>
      <c r="AK1330" s="115"/>
      <c r="AL1330" s="115"/>
      <c r="AM1330" s="122"/>
      <c r="AN1330" s="122"/>
      <c r="AO1330" s="122"/>
      <c r="AP1330" s="115"/>
      <c r="AQ1330" s="115"/>
      <c r="AR1330" s="115"/>
      <c r="AS1330" s="115"/>
      <c r="AT1330" s="115"/>
      <c r="AU1330" s="115"/>
      <c r="AV1330" s="115"/>
      <c r="AW1330" s="115"/>
      <c r="AX1330" s="115"/>
      <c r="AY1330" s="115"/>
      <c r="AZ1330" s="115"/>
      <c r="BA1330" s="115"/>
      <c r="BB1330" s="115"/>
      <c r="BC1330" s="115"/>
      <c r="BD1330" s="26"/>
      <c r="BE1330" s="13"/>
    </row>
    <row r="1331" spans="1:57" x14ac:dyDescent="0.4">
      <c r="C1331" s="115"/>
      <c r="D1331" s="115"/>
      <c r="E1331" s="115"/>
      <c r="F1331" s="115"/>
      <c r="G1331" s="115"/>
      <c r="H1331" s="115"/>
      <c r="I1331" s="115"/>
      <c r="J1331" s="115"/>
      <c r="K1331" s="115"/>
      <c r="L1331" s="115"/>
      <c r="M1331" s="115"/>
      <c r="N1331" s="115"/>
      <c r="O1331" s="115"/>
      <c r="P1331" s="115"/>
      <c r="Q1331" s="115"/>
      <c r="R1331" s="115"/>
      <c r="S1331" s="115"/>
      <c r="T1331" s="115"/>
      <c r="U1331" s="115"/>
      <c r="V1331" s="115"/>
      <c r="W1331" s="115"/>
      <c r="X1331" s="115"/>
      <c r="Y1331" s="115"/>
      <c r="Z1331" s="115"/>
      <c r="AA1331" s="115"/>
      <c r="AB1331" s="115"/>
      <c r="AC1331" s="115"/>
      <c r="AD1331" s="115"/>
      <c r="AE1331" s="115"/>
      <c r="AF1331" s="115"/>
      <c r="AG1331" s="115"/>
      <c r="AH1331" s="115"/>
      <c r="AI1331" s="115"/>
      <c r="AJ1331" s="115"/>
      <c r="AK1331" s="115"/>
      <c r="AL1331" s="115"/>
      <c r="AM1331" s="122"/>
      <c r="AN1331" s="122"/>
      <c r="AO1331" s="122"/>
      <c r="AP1331" s="115"/>
      <c r="AQ1331" s="115"/>
      <c r="AR1331" s="115"/>
      <c r="AS1331" s="115"/>
      <c r="AT1331" s="115"/>
      <c r="AU1331" s="115"/>
      <c r="AV1331" s="115"/>
      <c r="AW1331" s="115"/>
      <c r="AX1331" s="115"/>
      <c r="AY1331" s="115"/>
      <c r="AZ1331" s="115"/>
      <c r="BA1331" s="115"/>
      <c r="BB1331" s="115"/>
      <c r="BC1331" s="115"/>
      <c r="BD1331" s="26"/>
      <c r="BE1331" s="13"/>
    </row>
    <row r="1332" spans="1:57" x14ac:dyDescent="0.4">
      <c r="BD1332" s="26"/>
      <c r="BE1332" s="13"/>
    </row>
    <row r="1333" spans="1:57" x14ac:dyDescent="0.4">
      <c r="C1333" s="115"/>
      <c r="D1333" s="115"/>
      <c r="E1333" s="115"/>
      <c r="F1333" s="115"/>
      <c r="G1333" s="115"/>
      <c r="H1333" s="115"/>
      <c r="I1333" s="115"/>
      <c r="J1333" s="115"/>
      <c r="K1333" s="115"/>
      <c r="L1333" s="115"/>
      <c r="M1333" s="115"/>
      <c r="N1333" s="115"/>
      <c r="O1333" s="115"/>
      <c r="P1333" s="115"/>
      <c r="Q1333" s="115"/>
      <c r="R1333" s="115"/>
      <c r="S1333" s="115"/>
      <c r="T1333" s="115"/>
      <c r="U1333" s="115"/>
      <c r="V1333" s="115"/>
      <c r="W1333" s="115"/>
      <c r="X1333" s="115"/>
      <c r="Y1333" s="115"/>
      <c r="Z1333" s="115"/>
      <c r="AA1333" s="115"/>
      <c r="AB1333" s="115"/>
      <c r="AC1333" s="115"/>
      <c r="AD1333" s="115"/>
      <c r="AE1333" s="115"/>
      <c r="AF1333" s="115"/>
      <c r="AG1333" s="115"/>
      <c r="AH1333" s="115"/>
      <c r="AI1333" s="115"/>
      <c r="AJ1333" s="115"/>
      <c r="AK1333" s="115"/>
      <c r="AL1333" s="115"/>
      <c r="AM1333" s="122"/>
      <c r="AN1333" s="122"/>
      <c r="AO1333" s="122"/>
      <c r="AP1333" s="115"/>
      <c r="AQ1333" s="115"/>
      <c r="AR1333" s="115"/>
      <c r="AS1333" s="115"/>
      <c r="AT1333" s="115"/>
      <c r="AU1333" s="115"/>
      <c r="AV1333" s="115"/>
      <c r="AW1333" s="115"/>
      <c r="AX1333" s="115"/>
      <c r="AY1333" s="115"/>
      <c r="AZ1333" s="115"/>
      <c r="BA1333" s="115"/>
      <c r="BB1333" s="115"/>
      <c r="BC1333" s="115"/>
      <c r="BD1333" s="26"/>
      <c r="BE1333" s="13"/>
    </row>
    <row r="1334" spans="1:57" x14ac:dyDescent="0.4">
      <c r="BD1334" s="26"/>
      <c r="BE1334" s="13"/>
    </row>
    <row r="1335" spans="1:57" x14ac:dyDescent="0.4">
      <c r="AG1335" s="115"/>
      <c r="AH1335" s="115"/>
      <c r="AI1335" s="115"/>
      <c r="AJ1335" s="115"/>
      <c r="AK1335" s="115"/>
      <c r="AL1335" s="115"/>
      <c r="AM1335" s="122"/>
      <c r="AN1335" s="122"/>
      <c r="AO1335" s="122"/>
      <c r="AP1335" s="115"/>
      <c r="AQ1335" s="115"/>
      <c r="AR1335" s="115"/>
      <c r="AS1335" s="115"/>
      <c r="AT1335" s="115"/>
      <c r="AU1335" s="115"/>
      <c r="AV1335" s="115"/>
      <c r="AW1335" s="115"/>
      <c r="AX1335" s="115"/>
      <c r="AY1335" s="115"/>
      <c r="AZ1335" s="115"/>
      <c r="BA1335" s="115"/>
      <c r="BB1335" s="115"/>
      <c r="BC1335" s="115"/>
      <c r="BD1335" s="26"/>
      <c r="BE1335" s="13"/>
    </row>
    <row r="1336" spans="1:57" x14ac:dyDescent="0.4">
      <c r="BD1336" s="26"/>
      <c r="BE1336" s="13"/>
    </row>
    <row r="1337" spans="1:57" x14ac:dyDescent="0.4">
      <c r="D1337" s="115"/>
      <c r="E1337" s="115"/>
      <c r="F1337" s="115"/>
      <c r="G1337" s="115"/>
      <c r="H1337" s="115"/>
      <c r="I1337" s="115"/>
      <c r="J1337" s="115"/>
      <c r="K1337" s="115"/>
      <c r="L1337" s="115"/>
      <c r="M1337" s="115"/>
      <c r="N1337" s="115"/>
      <c r="O1337" s="115"/>
      <c r="P1337" s="115"/>
      <c r="Q1337" s="115"/>
      <c r="R1337" s="115"/>
      <c r="S1337" s="115"/>
      <c r="T1337" s="115"/>
      <c r="U1337" s="115"/>
      <c r="V1337" s="115"/>
      <c r="W1337" s="115"/>
      <c r="X1337" s="115"/>
      <c r="Y1337" s="115"/>
      <c r="Z1337" s="115"/>
      <c r="AA1337" s="115"/>
      <c r="AB1337" s="115"/>
      <c r="AC1337" s="115"/>
      <c r="AD1337" s="115"/>
      <c r="AE1337" s="115"/>
      <c r="AF1337" s="115"/>
      <c r="AG1337" s="115"/>
      <c r="AH1337" s="115"/>
      <c r="AI1337" s="115"/>
      <c r="AJ1337" s="115"/>
      <c r="AK1337" s="115"/>
      <c r="AL1337" s="115"/>
      <c r="AM1337" s="122"/>
      <c r="AN1337" s="122"/>
      <c r="AO1337" s="122"/>
      <c r="AP1337" s="115"/>
      <c r="AQ1337" s="115"/>
      <c r="AR1337" s="115"/>
      <c r="AS1337" s="115"/>
      <c r="AT1337" s="115"/>
      <c r="AU1337" s="115"/>
      <c r="AV1337" s="115"/>
      <c r="AW1337" s="115"/>
      <c r="AX1337" s="115"/>
      <c r="AY1337" s="115"/>
      <c r="AZ1337" s="115"/>
      <c r="BA1337" s="115"/>
      <c r="BB1337" s="115"/>
      <c r="BC1337" s="115"/>
      <c r="BD1337" s="26"/>
      <c r="BE1337" s="15"/>
    </row>
    <row r="1338" spans="1:57" x14ac:dyDescent="0.4">
      <c r="D1338" s="115"/>
      <c r="E1338" s="115"/>
      <c r="F1338" s="115"/>
      <c r="G1338" s="115"/>
      <c r="H1338" s="115"/>
      <c r="I1338" s="115"/>
      <c r="J1338" s="115"/>
      <c r="K1338" s="115"/>
      <c r="L1338" s="115"/>
      <c r="M1338" s="115"/>
      <c r="N1338" s="115"/>
      <c r="O1338" s="115"/>
      <c r="P1338" s="115"/>
      <c r="Q1338" s="115"/>
      <c r="R1338" s="115"/>
      <c r="S1338" s="115"/>
      <c r="T1338" s="115"/>
      <c r="U1338" s="115"/>
      <c r="V1338" s="115"/>
      <c r="W1338" s="115"/>
      <c r="X1338" s="115"/>
      <c r="Y1338" s="115"/>
      <c r="Z1338" s="115"/>
      <c r="AA1338" s="115"/>
      <c r="AB1338" s="115"/>
      <c r="AC1338" s="115"/>
      <c r="AD1338" s="115"/>
      <c r="AE1338" s="115"/>
      <c r="AF1338" s="115"/>
      <c r="AG1338" s="115"/>
      <c r="AH1338" s="115"/>
      <c r="AI1338" s="115"/>
      <c r="AJ1338" s="115"/>
      <c r="AK1338" s="115"/>
      <c r="AL1338" s="115"/>
      <c r="AM1338" s="122"/>
      <c r="AN1338" s="122"/>
      <c r="AO1338" s="122"/>
      <c r="AP1338" s="115"/>
      <c r="AQ1338" s="115"/>
      <c r="AR1338" s="115"/>
      <c r="AS1338" s="115"/>
      <c r="AT1338" s="115"/>
      <c r="AU1338" s="115"/>
      <c r="AV1338" s="115"/>
      <c r="AW1338" s="115"/>
      <c r="AX1338" s="115"/>
      <c r="AY1338" s="115"/>
      <c r="AZ1338" s="115"/>
      <c r="BA1338" s="115"/>
      <c r="BB1338" s="115"/>
      <c r="BC1338" s="115"/>
      <c r="BD1338" s="26"/>
      <c r="BE1338" s="15"/>
    </row>
    <row r="1339" spans="1:57" x14ac:dyDescent="0.4">
      <c r="D1339" s="115"/>
      <c r="E1339" s="115"/>
      <c r="F1339" s="115"/>
      <c r="G1339" s="115"/>
      <c r="H1339" s="115"/>
      <c r="I1339" s="115"/>
      <c r="J1339" s="115"/>
      <c r="K1339" s="115"/>
      <c r="L1339" s="115"/>
      <c r="M1339" s="115"/>
      <c r="N1339" s="115"/>
      <c r="O1339" s="115"/>
      <c r="P1339" s="115"/>
      <c r="Q1339" s="115"/>
      <c r="R1339" s="115"/>
      <c r="S1339" s="115"/>
      <c r="T1339" s="115"/>
      <c r="U1339" s="115"/>
      <c r="V1339" s="115"/>
      <c r="W1339" s="115"/>
      <c r="X1339" s="115"/>
      <c r="Y1339" s="115"/>
      <c r="Z1339" s="115"/>
      <c r="AA1339" s="115"/>
      <c r="AB1339" s="115"/>
      <c r="AC1339" s="115"/>
      <c r="AD1339" s="115"/>
      <c r="AE1339" s="115"/>
      <c r="AF1339" s="115"/>
      <c r="AG1339" s="115"/>
      <c r="AH1339" s="115"/>
      <c r="AI1339" s="115"/>
      <c r="AJ1339" s="115"/>
      <c r="AK1339" s="115"/>
      <c r="AL1339" s="115"/>
      <c r="AM1339" s="122"/>
      <c r="AN1339" s="122"/>
      <c r="AO1339" s="122"/>
      <c r="AP1339" s="115"/>
      <c r="AQ1339" s="115"/>
      <c r="AR1339" s="115"/>
      <c r="AS1339" s="115"/>
      <c r="AT1339" s="115"/>
      <c r="AU1339" s="115"/>
      <c r="AV1339" s="115"/>
      <c r="AW1339" s="115"/>
      <c r="AX1339" s="115"/>
      <c r="AY1339" s="115"/>
      <c r="AZ1339" s="115"/>
      <c r="BA1339" s="115"/>
      <c r="BB1339" s="115"/>
      <c r="BC1339" s="115"/>
      <c r="BD1339" s="26"/>
      <c r="BE1339" s="15"/>
    </row>
    <row r="1340" spans="1:57" x14ac:dyDescent="0.4">
      <c r="BD1340" s="26"/>
      <c r="BE1340" s="13"/>
    </row>
    <row r="1341" spans="1:57" x14ac:dyDescent="0.4">
      <c r="A1341" s="115"/>
      <c r="B1341" s="115"/>
      <c r="C1341" s="115"/>
      <c r="D1341" s="115"/>
      <c r="E1341" s="115"/>
      <c r="F1341" s="115"/>
      <c r="G1341" s="115"/>
      <c r="H1341" s="115"/>
      <c r="I1341" s="115"/>
      <c r="J1341" s="115"/>
      <c r="K1341" s="115"/>
      <c r="L1341" s="115"/>
      <c r="M1341" s="115"/>
      <c r="N1341" s="115"/>
      <c r="O1341" s="115"/>
      <c r="P1341" s="115"/>
      <c r="Q1341" s="115"/>
      <c r="R1341" s="115"/>
      <c r="S1341" s="115"/>
      <c r="T1341" s="115"/>
      <c r="U1341" s="115"/>
      <c r="V1341" s="115"/>
      <c r="W1341" s="115"/>
      <c r="X1341" s="115"/>
      <c r="Y1341" s="115"/>
      <c r="Z1341" s="115"/>
      <c r="AA1341" s="115"/>
      <c r="AB1341" s="115"/>
      <c r="AC1341" s="115"/>
      <c r="AD1341" s="115"/>
      <c r="AE1341" s="115"/>
      <c r="AF1341" s="115"/>
      <c r="AG1341" s="115"/>
      <c r="AH1341" s="115"/>
      <c r="AI1341" s="115"/>
      <c r="AJ1341" s="115"/>
      <c r="AK1341" s="115"/>
      <c r="AL1341" s="115"/>
      <c r="AM1341" s="122"/>
      <c r="AN1341" s="122"/>
      <c r="AO1341" s="122"/>
      <c r="AP1341" s="115"/>
      <c r="AQ1341" s="115"/>
      <c r="AR1341" s="115"/>
      <c r="AS1341" s="115"/>
      <c r="AT1341" s="115"/>
      <c r="AU1341" s="115"/>
      <c r="AV1341" s="115"/>
      <c r="AW1341" s="115"/>
      <c r="AX1341" s="115"/>
      <c r="AY1341" s="115"/>
      <c r="AZ1341" s="115"/>
      <c r="BA1341" s="115"/>
      <c r="BB1341" s="115"/>
      <c r="BC1341" s="115"/>
      <c r="BD1341" s="26"/>
      <c r="BE1341" s="15"/>
    </row>
    <row r="1342" spans="1:57" x14ac:dyDescent="0.4">
      <c r="BD1342" s="26"/>
      <c r="BE1342" s="15"/>
    </row>
    <row r="1343" spans="1:57" x14ac:dyDescent="0.4">
      <c r="BD1343" s="26"/>
      <c r="BE1343" s="15"/>
    </row>
    <row r="1344" spans="1:57" x14ac:dyDescent="0.4">
      <c r="E1344" s="115"/>
      <c r="F1344" s="115"/>
      <c r="G1344" s="115"/>
      <c r="H1344" s="115"/>
      <c r="I1344" s="115"/>
      <c r="J1344" s="115"/>
      <c r="K1344" s="115"/>
      <c r="L1344" s="115"/>
      <c r="M1344" s="115"/>
      <c r="N1344" s="115"/>
      <c r="O1344" s="115"/>
      <c r="P1344" s="115"/>
      <c r="Q1344" s="115"/>
      <c r="R1344" s="115"/>
      <c r="S1344" s="115"/>
      <c r="T1344" s="115"/>
      <c r="U1344" s="115"/>
      <c r="V1344" s="115"/>
      <c r="W1344" s="115"/>
      <c r="X1344" s="115"/>
      <c r="Y1344" s="115"/>
      <c r="Z1344" s="115"/>
      <c r="AA1344" s="115"/>
      <c r="AB1344" s="115"/>
      <c r="AC1344" s="115"/>
      <c r="AD1344" s="115"/>
      <c r="AE1344" s="115"/>
      <c r="AF1344" s="115"/>
      <c r="AG1344" s="115"/>
      <c r="AH1344" s="115"/>
      <c r="AI1344" s="115"/>
      <c r="AJ1344" s="115"/>
      <c r="AK1344" s="115"/>
      <c r="AL1344" s="115"/>
      <c r="AM1344" s="122"/>
      <c r="AN1344" s="122"/>
      <c r="AO1344" s="122"/>
      <c r="AP1344" s="115"/>
      <c r="AQ1344" s="115"/>
      <c r="AR1344" s="115"/>
      <c r="AS1344" s="115"/>
      <c r="AT1344" s="115"/>
      <c r="AU1344" s="115"/>
      <c r="AV1344" s="115"/>
      <c r="AW1344" s="115"/>
      <c r="AX1344" s="115"/>
      <c r="AY1344" s="115"/>
      <c r="AZ1344" s="115"/>
      <c r="BA1344" s="115"/>
      <c r="BB1344" s="115"/>
      <c r="BC1344" s="115"/>
      <c r="BD1344" s="26"/>
      <c r="BE1344" s="15"/>
    </row>
    <row r="1345" spans="1:57" x14ac:dyDescent="0.4">
      <c r="C1345" s="115"/>
      <c r="D1345" s="115"/>
      <c r="E1345" s="115"/>
      <c r="F1345" s="115"/>
      <c r="G1345" s="115"/>
      <c r="H1345" s="115"/>
      <c r="I1345" s="115"/>
      <c r="J1345" s="115"/>
      <c r="K1345" s="115"/>
      <c r="L1345" s="115"/>
      <c r="M1345" s="115"/>
      <c r="N1345" s="115"/>
      <c r="O1345" s="115"/>
      <c r="P1345" s="115"/>
      <c r="Q1345" s="115"/>
      <c r="R1345" s="115"/>
      <c r="S1345" s="115"/>
      <c r="T1345" s="115"/>
      <c r="U1345" s="115"/>
      <c r="V1345" s="115"/>
      <c r="W1345" s="115"/>
      <c r="X1345" s="115"/>
      <c r="Y1345" s="115"/>
      <c r="Z1345" s="115"/>
      <c r="AA1345" s="115"/>
      <c r="AB1345" s="115"/>
      <c r="AC1345" s="115"/>
      <c r="AD1345" s="115"/>
      <c r="AE1345" s="115"/>
      <c r="AF1345" s="115"/>
      <c r="AG1345" s="115"/>
      <c r="AH1345" s="115"/>
      <c r="AI1345" s="115"/>
      <c r="AJ1345" s="115"/>
      <c r="AK1345" s="115"/>
      <c r="AL1345" s="115"/>
      <c r="AM1345" s="122"/>
      <c r="AN1345" s="122"/>
      <c r="AO1345" s="122"/>
      <c r="AP1345" s="115"/>
      <c r="AQ1345" s="115"/>
      <c r="AR1345" s="115"/>
      <c r="AS1345" s="115"/>
      <c r="AT1345" s="115"/>
      <c r="AU1345" s="115"/>
      <c r="AV1345" s="115"/>
      <c r="AW1345" s="115"/>
      <c r="AX1345" s="115"/>
      <c r="AY1345" s="115"/>
      <c r="AZ1345" s="115"/>
      <c r="BA1345" s="115"/>
      <c r="BB1345" s="115"/>
      <c r="BC1345" s="115"/>
      <c r="BD1345" s="26"/>
      <c r="BE1345" s="15"/>
    </row>
    <row r="1346" spans="1:57" x14ac:dyDescent="0.4">
      <c r="BD1346" s="26"/>
      <c r="BE1346" s="15"/>
    </row>
    <row r="1347" spans="1:57" x14ac:dyDescent="0.4">
      <c r="AF1347" s="115"/>
      <c r="AG1347" s="115"/>
      <c r="AH1347" s="115"/>
      <c r="AI1347" s="115"/>
      <c r="AJ1347" s="115"/>
      <c r="AK1347" s="115"/>
      <c r="AL1347" s="115"/>
      <c r="AM1347" s="122"/>
      <c r="AN1347" s="122"/>
      <c r="AO1347" s="122"/>
      <c r="AP1347" s="115"/>
      <c r="AQ1347" s="115"/>
      <c r="AR1347" s="115"/>
      <c r="AS1347" s="115"/>
      <c r="AT1347" s="115"/>
      <c r="AU1347" s="115"/>
      <c r="AV1347" s="115"/>
      <c r="AW1347" s="115"/>
      <c r="AX1347" s="115"/>
      <c r="AY1347" s="115"/>
      <c r="AZ1347" s="115"/>
      <c r="BA1347" s="115"/>
      <c r="BB1347" s="115"/>
      <c r="BC1347" s="115"/>
      <c r="BD1347" s="26"/>
      <c r="BE1347" s="15"/>
    </row>
    <row r="1348" spans="1:57" x14ac:dyDescent="0.4">
      <c r="D1348" s="115"/>
      <c r="E1348" s="115"/>
      <c r="F1348" s="115"/>
      <c r="G1348" s="115"/>
      <c r="H1348" s="115"/>
      <c r="I1348" s="115"/>
      <c r="J1348" s="115"/>
      <c r="K1348" s="115"/>
      <c r="L1348" s="115"/>
      <c r="M1348" s="115"/>
      <c r="N1348" s="115"/>
      <c r="O1348" s="115"/>
      <c r="P1348" s="115"/>
      <c r="Q1348" s="115"/>
      <c r="R1348" s="115"/>
      <c r="S1348" s="115"/>
      <c r="T1348" s="115"/>
      <c r="U1348" s="115"/>
      <c r="V1348" s="115"/>
      <c r="W1348" s="115"/>
      <c r="X1348" s="115"/>
      <c r="Y1348" s="115"/>
      <c r="Z1348" s="115"/>
      <c r="AA1348" s="115"/>
      <c r="AB1348" s="115"/>
      <c r="AC1348" s="115"/>
      <c r="AD1348" s="115"/>
      <c r="AE1348" s="115"/>
      <c r="AF1348" s="115"/>
      <c r="AG1348" s="115"/>
      <c r="AH1348" s="115"/>
      <c r="AI1348" s="115"/>
      <c r="AJ1348" s="115"/>
      <c r="AK1348" s="115"/>
      <c r="AL1348" s="115"/>
      <c r="AM1348" s="122"/>
      <c r="AN1348" s="122"/>
      <c r="AO1348" s="122"/>
      <c r="AP1348" s="115"/>
      <c r="AQ1348" s="115"/>
      <c r="AR1348" s="115"/>
      <c r="AS1348" s="115"/>
      <c r="AT1348" s="115"/>
      <c r="AU1348" s="115"/>
      <c r="AV1348" s="115"/>
      <c r="AW1348" s="115"/>
      <c r="AX1348" s="115"/>
      <c r="AY1348" s="115"/>
      <c r="AZ1348" s="115"/>
      <c r="BA1348" s="115"/>
      <c r="BB1348" s="115"/>
      <c r="BC1348" s="115"/>
      <c r="BD1348" s="26"/>
      <c r="BE1348" s="15"/>
    </row>
    <row r="1349" spans="1:57" x14ac:dyDescent="0.4">
      <c r="D1349" s="115"/>
      <c r="E1349" s="115"/>
      <c r="F1349" s="115"/>
      <c r="G1349" s="115"/>
      <c r="H1349" s="115"/>
      <c r="I1349" s="115"/>
      <c r="J1349" s="115"/>
      <c r="K1349" s="115"/>
      <c r="L1349" s="115"/>
      <c r="M1349" s="115"/>
      <c r="N1349" s="115"/>
      <c r="O1349" s="115"/>
      <c r="P1349" s="115"/>
      <c r="Q1349" s="115"/>
      <c r="R1349" s="115"/>
      <c r="S1349" s="115"/>
      <c r="T1349" s="115"/>
      <c r="U1349" s="115"/>
      <c r="V1349" s="115"/>
      <c r="W1349" s="115"/>
      <c r="X1349" s="115"/>
      <c r="Y1349" s="115"/>
      <c r="Z1349" s="115"/>
      <c r="AA1349" s="115"/>
      <c r="AB1349" s="115"/>
      <c r="AC1349" s="115"/>
      <c r="AD1349" s="115"/>
      <c r="AE1349" s="115"/>
      <c r="AF1349" s="115"/>
      <c r="AG1349" s="115"/>
      <c r="AH1349" s="115"/>
      <c r="AI1349" s="115"/>
      <c r="AJ1349" s="115"/>
      <c r="AK1349" s="115"/>
      <c r="AL1349" s="115"/>
      <c r="AM1349" s="122"/>
      <c r="AN1349" s="122"/>
      <c r="AO1349" s="122"/>
      <c r="AP1349" s="115"/>
      <c r="AQ1349" s="115"/>
      <c r="AR1349" s="115"/>
      <c r="AS1349" s="115"/>
      <c r="AT1349" s="115"/>
      <c r="AU1349" s="115"/>
      <c r="AV1349" s="115"/>
      <c r="AW1349" s="115"/>
      <c r="AX1349" s="115"/>
      <c r="AY1349" s="115"/>
      <c r="AZ1349" s="115"/>
      <c r="BA1349" s="115"/>
      <c r="BB1349" s="115"/>
      <c r="BC1349" s="115"/>
      <c r="BD1349" s="26"/>
      <c r="BE1349" s="15"/>
    </row>
    <row r="1350" spans="1:57" x14ac:dyDescent="0.4">
      <c r="D1350" s="115"/>
      <c r="E1350" s="115"/>
      <c r="F1350" s="115"/>
      <c r="G1350" s="115"/>
      <c r="H1350" s="115"/>
      <c r="I1350" s="115"/>
      <c r="J1350" s="115"/>
      <c r="K1350" s="115"/>
      <c r="L1350" s="115"/>
      <c r="M1350" s="115"/>
      <c r="N1350" s="115"/>
      <c r="O1350" s="115"/>
      <c r="P1350" s="115"/>
      <c r="Q1350" s="115"/>
      <c r="R1350" s="115"/>
      <c r="S1350" s="115"/>
      <c r="T1350" s="115"/>
      <c r="U1350" s="115"/>
      <c r="V1350" s="115"/>
      <c r="W1350" s="115"/>
      <c r="X1350" s="115"/>
      <c r="Y1350" s="115"/>
      <c r="Z1350" s="115"/>
      <c r="AA1350" s="115"/>
      <c r="AB1350" s="115"/>
      <c r="AC1350" s="115"/>
      <c r="AD1350" s="115"/>
      <c r="AE1350" s="115"/>
      <c r="AF1350" s="115"/>
      <c r="AG1350" s="115"/>
      <c r="AH1350" s="115"/>
      <c r="AI1350" s="115"/>
      <c r="AJ1350" s="115"/>
      <c r="AK1350" s="115"/>
      <c r="AL1350" s="115"/>
      <c r="AM1350" s="122"/>
      <c r="AN1350" s="122"/>
      <c r="AO1350" s="122"/>
      <c r="AP1350" s="115"/>
      <c r="AQ1350" s="115"/>
      <c r="AR1350" s="115"/>
      <c r="AS1350" s="115"/>
      <c r="AT1350" s="115"/>
      <c r="AU1350" s="115"/>
      <c r="AV1350" s="115"/>
      <c r="AW1350" s="115"/>
      <c r="AX1350" s="115"/>
      <c r="AY1350" s="115"/>
      <c r="AZ1350" s="115"/>
      <c r="BA1350" s="115"/>
      <c r="BB1350" s="115"/>
      <c r="BC1350" s="115"/>
      <c r="BD1350" s="26"/>
      <c r="BE1350" s="15"/>
    </row>
    <row r="1351" spans="1:57" x14ac:dyDescent="0.4">
      <c r="C1351" s="115"/>
      <c r="D1351" s="115"/>
      <c r="E1351" s="115"/>
      <c r="F1351" s="115"/>
      <c r="G1351" s="115"/>
      <c r="H1351" s="115"/>
      <c r="I1351" s="115"/>
      <c r="J1351" s="115"/>
      <c r="K1351" s="115"/>
      <c r="L1351" s="115"/>
      <c r="M1351" s="115"/>
      <c r="N1351" s="115"/>
      <c r="O1351" s="115"/>
      <c r="P1351" s="115"/>
      <c r="Q1351" s="115"/>
      <c r="R1351" s="115"/>
      <c r="S1351" s="115"/>
      <c r="T1351" s="115"/>
      <c r="U1351" s="115"/>
      <c r="V1351" s="115"/>
      <c r="W1351" s="115"/>
      <c r="X1351" s="115"/>
      <c r="Y1351" s="115"/>
      <c r="Z1351" s="115"/>
      <c r="AA1351" s="115"/>
      <c r="AB1351" s="115"/>
      <c r="AC1351" s="115"/>
      <c r="AD1351" s="115"/>
      <c r="AE1351" s="115"/>
      <c r="AF1351" s="115"/>
      <c r="AG1351" s="115"/>
      <c r="AH1351" s="115"/>
      <c r="AI1351" s="115"/>
      <c r="AJ1351" s="115"/>
      <c r="AK1351" s="115"/>
      <c r="AL1351" s="115"/>
      <c r="AM1351" s="122"/>
      <c r="AN1351" s="122"/>
      <c r="AO1351" s="122"/>
      <c r="AP1351" s="115"/>
      <c r="AQ1351" s="115"/>
      <c r="AR1351" s="115"/>
      <c r="AS1351" s="115"/>
      <c r="AT1351" s="115"/>
      <c r="AU1351" s="115"/>
      <c r="AV1351" s="115"/>
      <c r="AW1351" s="115"/>
      <c r="AX1351" s="115"/>
      <c r="AY1351" s="115"/>
      <c r="AZ1351" s="115"/>
      <c r="BA1351" s="115"/>
      <c r="BB1351" s="115"/>
      <c r="BC1351" s="115"/>
      <c r="BD1351" s="26"/>
      <c r="BE1351" s="15"/>
    </row>
    <row r="1352" spans="1:57" x14ac:dyDescent="0.4">
      <c r="BD1352" s="26"/>
      <c r="BE1352" s="15"/>
    </row>
    <row r="1353" spans="1:57" x14ac:dyDescent="0.4">
      <c r="AI1353" s="115"/>
      <c r="AJ1353" s="115"/>
      <c r="AK1353" s="115"/>
      <c r="AL1353" s="115"/>
      <c r="AM1353" s="122"/>
      <c r="AN1353" s="122"/>
      <c r="AO1353" s="122"/>
      <c r="AP1353" s="115"/>
      <c r="AQ1353" s="115"/>
      <c r="AR1353" s="115"/>
      <c r="AS1353" s="115"/>
      <c r="AT1353" s="115"/>
      <c r="AU1353" s="115"/>
      <c r="AV1353" s="115"/>
      <c r="AW1353" s="115"/>
      <c r="AX1353" s="115"/>
      <c r="AY1353" s="115"/>
      <c r="AZ1353" s="115"/>
      <c r="BA1353" s="115"/>
      <c r="BB1353" s="115"/>
      <c r="BC1353" s="115"/>
      <c r="BD1353" s="17"/>
      <c r="BE1353" s="15"/>
    </row>
    <row r="1354" spans="1:57" x14ac:dyDescent="0.4">
      <c r="BD1354" s="26"/>
      <c r="BE1354" s="15"/>
    </row>
    <row r="1355" spans="1:57" x14ac:dyDescent="0.4">
      <c r="AG1355" s="115"/>
      <c r="AH1355" s="115"/>
      <c r="AI1355" s="115"/>
      <c r="AJ1355" s="115"/>
      <c r="AK1355" s="115"/>
      <c r="AL1355" s="115"/>
      <c r="AM1355" s="122"/>
      <c r="AN1355" s="122"/>
      <c r="AO1355" s="122"/>
      <c r="AP1355" s="115"/>
      <c r="AQ1355" s="115"/>
      <c r="AR1355" s="115"/>
      <c r="AS1355" s="115"/>
      <c r="AT1355" s="115"/>
      <c r="AU1355" s="115"/>
      <c r="AV1355" s="115"/>
      <c r="AW1355" s="115"/>
      <c r="AX1355" s="115"/>
      <c r="AY1355" s="115"/>
      <c r="AZ1355" s="115"/>
      <c r="BA1355" s="115"/>
      <c r="BB1355" s="115"/>
      <c r="BC1355" s="115"/>
      <c r="BD1355" s="26"/>
      <c r="BE1355" s="15"/>
    </row>
    <row r="1356" spans="1:57" x14ac:dyDescent="0.4">
      <c r="BD1356" s="26"/>
      <c r="BE1356" s="15"/>
    </row>
    <row r="1357" spans="1:57" x14ac:dyDescent="0.4">
      <c r="BD1357" s="26"/>
      <c r="BE1357" s="15"/>
    </row>
    <row r="1358" spans="1:57" x14ac:dyDescent="0.4">
      <c r="E1358" s="115"/>
      <c r="F1358" s="115"/>
      <c r="G1358" s="115"/>
      <c r="H1358" s="115"/>
      <c r="I1358" s="115"/>
      <c r="J1358" s="115"/>
      <c r="K1358" s="115"/>
      <c r="L1358" s="115"/>
      <c r="M1358" s="115"/>
      <c r="N1358" s="115"/>
      <c r="O1358" s="115"/>
      <c r="P1358" s="115"/>
      <c r="Q1358" s="115"/>
      <c r="R1358" s="115"/>
      <c r="S1358" s="115"/>
      <c r="T1358" s="115"/>
      <c r="U1358" s="115"/>
      <c r="V1358" s="115"/>
      <c r="W1358" s="115"/>
      <c r="X1358" s="115"/>
      <c r="Y1358" s="115"/>
      <c r="Z1358" s="115"/>
      <c r="AA1358" s="115"/>
      <c r="AB1358" s="115"/>
      <c r="AC1358" s="115"/>
      <c r="AD1358" s="115"/>
      <c r="AE1358" s="115"/>
      <c r="AF1358" s="115"/>
      <c r="AG1358" s="115"/>
      <c r="AH1358" s="115"/>
      <c r="AI1358" s="115"/>
      <c r="AJ1358" s="115"/>
      <c r="AK1358" s="115"/>
      <c r="AL1358" s="115"/>
      <c r="AM1358" s="122"/>
      <c r="AN1358" s="122"/>
      <c r="AO1358" s="122"/>
      <c r="AP1358" s="115"/>
      <c r="AQ1358" s="115"/>
      <c r="AR1358" s="115"/>
      <c r="AS1358" s="115"/>
      <c r="AT1358" s="115"/>
      <c r="AU1358" s="115"/>
      <c r="AV1358" s="115"/>
      <c r="AW1358" s="115"/>
      <c r="AX1358" s="115"/>
      <c r="AY1358" s="115"/>
      <c r="AZ1358" s="115"/>
      <c r="BA1358" s="115"/>
      <c r="BB1358" s="115"/>
      <c r="BC1358" s="115"/>
      <c r="BD1358" s="26"/>
      <c r="BE1358" s="15"/>
    </row>
    <row r="1359" spans="1:57" x14ac:dyDescent="0.4">
      <c r="E1359" s="115"/>
      <c r="F1359" s="115"/>
      <c r="G1359" s="115"/>
      <c r="H1359" s="115"/>
      <c r="I1359" s="115"/>
      <c r="J1359" s="115"/>
      <c r="K1359" s="115"/>
      <c r="L1359" s="115"/>
      <c r="M1359" s="115"/>
      <c r="N1359" s="115"/>
      <c r="O1359" s="115"/>
      <c r="P1359" s="115"/>
      <c r="Q1359" s="115"/>
      <c r="R1359" s="115"/>
      <c r="S1359" s="115"/>
      <c r="T1359" s="115"/>
      <c r="U1359" s="115"/>
      <c r="V1359" s="115"/>
      <c r="W1359" s="115"/>
      <c r="X1359" s="115"/>
      <c r="Y1359" s="115"/>
      <c r="Z1359" s="115"/>
      <c r="AA1359" s="115"/>
      <c r="AB1359" s="115"/>
      <c r="AC1359" s="115"/>
      <c r="AD1359" s="115"/>
      <c r="AE1359" s="115"/>
      <c r="AF1359" s="115"/>
      <c r="AG1359" s="115"/>
      <c r="AH1359" s="115"/>
      <c r="AI1359" s="115"/>
      <c r="AJ1359" s="115"/>
      <c r="AK1359" s="115"/>
      <c r="AL1359" s="115"/>
      <c r="AM1359" s="122"/>
      <c r="AN1359" s="122"/>
      <c r="AO1359" s="122"/>
      <c r="AP1359" s="115"/>
      <c r="AQ1359" s="115"/>
      <c r="AR1359" s="115"/>
      <c r="AS1359" s="115"/>
      <c r="AT1359" s="115"/>
      <c r="AU1359" s="115"/>
      <c r="AV1359" s="115"/>
      <c r="AW1359" s="115"/>
      <c r="AX1359" s="115"/>
      <c r="AY1359" s="115"/>
      <c r="AZ1359" s="115"/>
      <c r="BA1359" s="115"/>
      <c r="BB1359" s="115"/>
      <c r="BC1359" s="115"/>
      <c r="BD1359" s="26"/>
      <c r="BE1359" s="15"/>
    </row>
    <row r="1360" spans="1:57" x14ac:dyDescent="0.4">
      <c r="A1360" s="115"/>
      <c r="B1360" s="115"/>
      <c r="C1360" s="115"/>
      <c r="D1360" s="115"/>
      <c r="E1360" s="115"/>
      <c r="F1360" s="115"/>
      <c r="G1360" s="115"/>
      <c r="H1360" s="115"/>
      <c r="I1360" s="115"/>
      <c r="J1360" s="115"/>
      <c r="K1360" s="115"/>
      <c r="L1360" s="115"/>
      <c r="M1360" s="115"/>
      <c r="N1360" s="115"/>
      <c r="O1360" s="115"/>
      <c r="P1360" s="115"/>
      <c r="Q1360" s="115"/>
      <c r="R1360" s="115"/>
      <c r="S1360" s="115"/>
      <c r="T1360" s="115"/>
      <c r="U1360" s="115"/>
      <c r="V1360" s="115"/>
      <c r="W1360" s="115"/>
      <c r="X1360" s="115"/>
      <c r="Y1360" s="115"/>
      <c r="Z1360" s="115"/>
      <c r="AA1360" s="115"/>
      <c r="AB1360" s="115"/>
      <c r="AC1360" s="115"/>
      <c r="AD1360" s="115"/>
      <c r="AE1360" s="115"/>
      <c r="AF1360" s="115"/>
      <c r="AG1360" s="115"/>
      <c r="AH1360" s="115"/>
      <c r="AI1360" s="115"/>
      <c r="AJ1360" s="115"/>
      <c r="AK1360" s="115"/>
      <c r="AL1360" s="115"/>
      <c r="AM1360" s="122"/>
      <c r="AN1360" s="122"/>
      <c r="AO1360" s="122"/>
      <c r="AP1360" s="115"/>
      <c r="AQ1360" s="115"/>
      <c r="AR1360" s="115"/>
      <c r="AS1360" s="115"/>
      <c r="AT1360" s="115"/>
      <c r="AU1360" s="115"/>
      <c r="AV1360" s="115"/>
      <c r="AW1360" s="115"/>
      <c r="AX1360" s="115"/>
      <c r="AY1360" s="115"/>
      <c r="AZ1360" s="115"/>
      <c r="BA1360" s="115"/>
      <c r="BB1360" s="115"/>
      <c r="BC1360" s="115"/>
      <c r="BD1360" s="26"/>
      <c r="BE1360" s="15"/>
    </row>
    <row r="1361" spans="1:57" x14ac:dyDescent="0.4">
      <c r="A1361" s="115"/>
      <c r="B1361" s="115"/>
      <c r="C1361" s="115"/>
      <c r="D1361" s="115"/>
      <c r="E1361" s="115"/>
      <c r="F1361" s="115"/>
      <c r="G1361" s="115"/>
      <c r="H1361" s="115"/>
      <c r="I1361" s="115"/>
      <c r="J1361" s="115"/>
      <c r="K1361" s="115"/>
      <c r="L1361" s="115"/>
      <c r="M1361" s="115"/>
      <c r="N1361" s="115"/>
      <c r="O1361" s="115"/>
      <c r="P1361" s="115"/>
      <c r="Q1361" s="115"/>
      <c r="R1361" s="115"/>
      <c r="S1361" s="115"/>
      <c r="T1361" s="115"/>
      <c r="U1361" s="115"/>
      <c r="V1361" s="115"/>
      <c r="W1361" s="115"/>
      <c r="X1361" s="115"/>
      <c r="Y1361" s="115"/>
      <c r="Z1361" s="115"/>
      <c r="AA1361" s="115"/>
      <c r="AB1361" s="115"/>
      <c r="AC1361" s="115"/>
      <c r="AD1361" s="115"/>
      <c r="AE1361" s="115"/>
      <c r="AF1361" s="115"/>
      <c r="AG1361" s="115"/>
      <c r="AH1361" s="115"/>
      <c r="AI1361" s="115"/>
      <c r="AJ1361" s="115"/>
      <c r="AK1361" s="115"/>
      <c r="AL1361" s="115"/>
      <c r="AM1361" s="122"/>
      <c r="AN1361" s="122"/>
      <c r="AO1361" s="122"/>
      <c r="AP1361" s="115"/>
      <c r="AQ1361" s="115"/>
      <c r="AR1361" s="115"/>
      <c r="AS1361" s="115"/>
      <c r="AT1361" s="115"/>
      <c r="AU1361" s="115"/>
      <c r="AV1361" s="115"/>
      <c r="AW1361" s="115"/>
      <c r="AX1361" s="115"/>
      <c r="AY1361" s="115"/>
      <c r="AZ1361" s="115"/>
      <c r="BA1361" s="115"/>
      <c r="BB1361" s="115"/>
      <c r="BC1361" s="115"/>
      <c r="BD1361" s="26"/>
      <c r="BE1361" s="15"/>
    </row>
    <row r="1362" spans="1:57" x14ac:dyDescent="0.4">
      <c r="BD1362" s="26"/>
      <c r="BE1362" s="15"/>
    </row>
    <row r="1363" spans="1:57" x14ac:dyDescent="0.4">
      <c r="AI1363" s="115"/>
      <c r="AJ1363" s="115"/>
      <c r="AK1363" s="115"/>
      <c r="AL1363" s="115"/>
      <c r="AM1363" s="122"/>
      <c r="AN1363" s="122"/>
      <c r="AO1363" s="122"/>
      <c r="AP1363" s="115"/>
      <c r="AQ1363" s="115"/>
      <c r="AR1363" s="115"/>
      <c r="AS1363" s="115"/>
      <c r="AT1363" s="115"/>
      <c r="AU1363" s="115"/>
      <c r="AV1363" s="115"/>
      <c r="AW1363" s="115"/>
      <c r="AX1363" s="115"/>
      <c r="AY1363" s="115"/>
      <c r="AZ1363" s="115"/>
      <c r="BA1363" s="115"/>
      <c r="BB1363" s="115"/>
      <c r="BC1363" s="115"/>
      <c r="BD1363" s="17"/>
      <c r="BE1363" s="15"/>
    </row>
    <row r="1364" spans="1:57" x14ac:dyDescent="0.4">
      <c r="BD1364" s="26"/>
      <c r="BE1364" s="15"/>
    </row>
    <row r="1365" spans="1:57" x14ac:dyDescent="0.4">
      <c r="E1365" s="115"/>
      <c r="F1365" s="115"/>
      <c r="G1365" s="115"/>
      <c r="H1365" s="115"/>
      <c r="I1365" s="115"/>
      <c r="J1365" s="115"/>
      <c r="K1365" s="115"/>
      <c r="L1365" s="115"/>
      <c r="M1365" s="115"/>
      <c r="N1365" s="115"/>
      <c r="O1365" s="115"/>
      <c r="P1365" s="115"/>
      <c r="Q1365" s="115"/>
      <c r="R1365" s="115"/>
      <c r="S1365" s="115"/>
      <c r="T1365" s="115"/>
      <c r="U1365" s="115"/>
      <c r="V1365" s="115"/>
      <c r="W1365" s="115"/>
      <c r="X1365" s="115"/>
      <c r="Y1365" s="115"/>
      <c r="Z1365" s="115"/>
      <c r="AA1365" s="115"/>
      <c r="AB1365" s="115"/>
      <c r="AC1365" s="115"/>
      <c r="AD1365" s="115"/>
      <c r="AE1365" s="115"/>
      <c r="AF1365" s="115"/>
      <c r="AG1365" s="115"/>
      <c r="AH1365" s="115"/>
      <c r="AI1365" s="115"/>
      <c r="AJ1365" s="115"/>
      <c r="AK1365" s="115"/>
      <c r="AL1365" s="115"/>
      <c r="AM1365" s="122"/>
      <c r="AN1365" s="122"/>
      <c r="AO1365" s="122"/>
      <c r="AP1365" s="115"/>
      <c r="AQ1365" s="115"/>
      <c r="AR1365" s="115"/>
      <c r="AS1365" s="115"/>
      <c r="AT1365" s="115"/>
      <c r="AU1365" s="115"/>
      <c r="AV1365" s="115"/>
      <c r="AW1365" s="115"/>
      <c r="AX1365" s="115"/>
      <c r="AY1365" s="115"/>
      <c r="AZ1365" s="115"/>
      <c r="BA1365" s="115"/>
      <c r="BB1365" s="115"/>
      <c r="BC1365" s="115"/>
      <c r="BD1365" s="26"/>
      <c r="BE1365" s="15"/>
    </row>
    <row r="1366" spans="1:57" x14ac:dyDescent="0.4">
      <c r="C1366" s="115"/>
      <c r="D1366" s="115"/>
      <c r="E1366" s="115"/>
      <c r="F1366" s="115"/>
      <c r="G1366" s="115"/>
      <c r="H1366" s="115"/>
      <c r="I1366" s="115"/>
      <c r="J1366" s="115"/>
      <c r="K1366" s="115"/>
      <c r="L1366" s="115"/>
      <c r="M1366" s="115"/>
      <c r="N1366" s="115"/>
      <c r="O1366" s="115"/>
      <c r="P1366" s="115"/>
      <c r="Q1366" s="115"/>
      <c r="R1366" s="115"/>
      <c r="S1366" s="115"/>
      <c r="T1366" s="115"/>
      <c r="U1366" s="115"/>
      <c r="V1366" s="115"/>
      <c r="W1366" s="115"/>
      <c r="X1366" s="115"/>
      <c r="Y1366" s="115"/>
      <c r="Z1366" s="115"/>
      <c r="AA1366" s="115"/>
      <c r="AB1366" s="115"/>
      <c r="AC1366" s="115"/>
      <c r="AD1366" s="115"/>
      <c r="AE1366" s="115"/>
      <c r="AF1366" s="115"/>
      <c r="AG1366" s="115"/>
      <c r="AH1366" s="115"/>
      <c r="AI1366" s="115"/>
      <c r="AJ1366" s="115"/>
      <c r="AK1366" s="115"/>
      <c r="AL1366" s="115"/>
      <c r="AM1366" s="122"/>
      <c r="AN1366" s="122"/>
      <c r="AO1366" s="122"/>
      <c r="AP1366" s="115"/>
      <c r="AQ1366" s="115"/>
      <c r="AR1366" s="115"/>
      <c r="AS1366" s="115"/>
      <c r="AT1366" s="115"/>
      <c r="AU1366" s="115"/>
      <c r="AV1366" s="115"/>
      <c r="AW1366" s="115"/>
      <c r="AX1366" s="115"/>
      <c r="AY1366" s="115"/>
      <c r="AZ1366" s="115"/>
      <c r="BA1366" s="115"/>
      <c r="BB1366" s="115"/>
      <c r="BC1366" s="115"/>
      <c r="BD1366" s="26"/>
      <c r="BE1366" s="15"/>
    </row>
    <row r="1367" spans="1:57" x14ac:dyDescent="0.4">
      <c r="C1367" s="115"/>
      <c r="D1367" s="115"/>
      <c r="E1367" s="115"/>
      <c r="F1367" s="115"/>
      <c r="G1367" s="115"/>
      <c r="H1367" s="115"/>
      <c r="I1367" s="115"/>
      <c r="J1367" s="115"/>
      <c r="K1367" s="115"/>
      <c r="L1367" s="115"/>
      <c r="M1367" s="115"/>
      <c r="N1367" s="115"/>
      <c r="O1367" s="115"/>
      <c r="P1367" s="115"/>
      <c r="Q1367" s="115"/>
      <c r="R1367" s="115"/>
      <c r="S1367" s="115"/>
      <c r="T1367" s="115"/>
      <c r="U1367" s="115"/>
      <c r="V1367" s="115"/>
      <c r="W1367" s="115"/>
      <c r="X1367" s="115"/>
      <c r="Y1367" s="115"/>
      <c r="Z1367" s="115"/>
      <c r="AA1367" s="115"/>
      <c r="AB1367" s="115"/>
      <c r="AC1367" s="115"/>
      <c r="AD1367" s="115"/>
      <c r="AE1367" s="115"/>
      <c r="AF1367" s="115"/>
      <c r="AG1367" s="115"/>
      <c r="AH1367" s="115"/>
      <c r="AI1367" s="115"/>
      <c r="AJ1367" s="115"/>
      <c r="AK1367" s="115"/>
      <c r="AL1367" s="115"/>
      <c r="AM1367" s="122"/>
      <c r="AN1367" s="122"/>
      <c r="AO1367" s="122"/>
      <c r="AP1367" s="115"/>
      <c r="AQ1367" s="115"/>
      <c r="AR1367" s="115"/>
      <c r="AS1367" s="115"/>
      <c r="AT1367" s="115"/>
      <c r="AU1367" s="115"/>
      <c r="AV1367" s="115"/>
      <c r="AW1367" s="115"/>
      <c r="AX1367" s="115"/>
      <c r="AY1367" s="115"/>
      <c r="AZ1367" s="115"/>
      <c r="BA1367" s="115"/>
      <c r="BB1367" s="115"/>
      <c r="BC1367" s="115"/>
      <c r="BD1367" s="17"/>
      <c r="BE1367" s="15"/>
    </row>
    <row r="1368" spans="1:57" x14ac:dyDescent="0.4">
      <c r="BD1368" s="26"/>
      <c r="BE1368" s="15"/>
    </row>
    <row r="1369" spans="1:57" x14ac:dyDescent="0.4">
      <c r="D1369" s="115"/>
      <c r="E1369" s="115"/>
      <c r="F1369" s="115"/>
      <c r="G1369" s="115"/>
      <c r="H1369" s="115"/>
      <c r="I1369" s="115"/>
      <c r="J1369" s="115"/>
      <c r="K1369" s="115"/>
      <c r="L1369" s="115"/>
      <c r="M1369" s="115"/>
      <c r="N1369" s="115"/>
      <c r="O1369" s="115"/>
      <c r="P1369" s="115"/>
      <c r="Q1369" s="115"/>
      <c r="R1369" s="115"/>
      <c r="S1369" s="115"/>
      <c r="T1369" s="115"/>
      <c r="U1369" s="115"/>
      <c r="V1369" s="115"/>
      <c r="W1369" s="115"/>
      <c r="X1369" s="115"/>
      <c r="Y1369" s="115"/>
      <c r="Z1369" s="115"/>
      <c r="AA1369" s="115"/>
      <c r="AB1369" s="115"/>
      <c r="AC1369" s="115"/>
      <c r="AD1369" s="115"/>
      <c r="AE1369" s="115"/>
      <c r="AF1369" s="115"/>
      <c r="AG1369" s="115"/>
      <c r="AH1369" s="115"/>
      <c r="AI1369" s="115"/>
      <c r="AJ1369" s="115"/>
      <c r="AK1369" s="115"/>
      <c r="AL1369" s="115"/>
      <c r="AM1369" s="122"/>
      <c r="AN1369" s="122"/>
      <c r="AO1369" s="122"/>
      <c r="AP1369" s="115"/>
      <c r="AQ1369" s="115"/>
      <c r="AR1369" s="115"/>
      <c r="AS1369" s="115"/>
      <c r="AT1369" s="115"/>
      <c r="AU1369" s="115"/>
      <c r="AV1369" s="115"/>
      <c r="AW1369" s="115"/>
      <c r="AX1369" s="115"/>
      <c r="AY1369" s="115"/>
      <c r="AZ1369" s="115"/>
      <c r="BA1369" s="115"/>
      <c r="BB1369" s="115"/>
      <c r="BC1369" s="115"/>
      <c r="BD1369" s="26"/>
      <c r="BE1369" s="15"/>
    </row>
    <row r="1370" spans="1:57" x14ac:dyDescent="0.4">
      <c r="D1370" s="115"/>
      <c r="E1370" s="115"/>
      <c r="F1370" s="115"/>
      <c r="G1370" s="115"/>
      <c r="H1370" s="115"/>
      <c r="I1370" s="115"/>
      <c r="J1370" s="115"/>
      <c r="K1370" s="115"/>
      <c r="L1370" s="115"/>
      <c r="M1370" s="115"/>
      <c r="N1370" s="115"/>
      <c r="O1370" s="115"/>
      <c r="P1370" s="115"/>
      <c r="Q1370" s="115"/>
      <c r="R1370" s="115"/>
      <c r="S1370" s="115"/>
      <c r="T1370" s="115"/>
      <c r="U1370" s="115"/>
      <c r="V1370" s="115"/>
      <c r="W1370" s="115"/>
      <c r="X1370" s="115"/>
      <c r="Y1370" s="115"/>
      <c r="Z1370" s="115"/>
      <c r="AA1370" s="115"/>
      <c r="AB1370" s="115"/>
      <c r="AC1370" s="115"/>
      <c r="AD1370" s="115"/>
      <c r="AE1370" s="115"/>
      <c r="AF1370" s="115"/>
      <c r="AG1370" s="115"/>
      <c r="AH1370" s="115"/>
      <c r="AI1370" s="115"/>
      <c r="AJ1370" s="115"/>
      <c r="AK1370" s="115"/>
      <c r="AL1370" s="115"/>
      <c r="AM1370" s="122"/>
      <c r="AN1370" s="122"/>
      <c r="AO1370" s="122"/>
      <c r="AP1370" s="115"/>
      <c r="AQ1370" s="115"/>
      <c r="AR1370" s="115"/>
      <c r="AS1370" s="115"/>
      <c r="AT1370" s="115"/>
      <c r="AU1370" s="115"/>
      <c r="AV1370" s="115"/>
      <c r="AW1370" s="115"/>
      <c r="AX1370" s="115"/>
      <c r="AY1370" s="115"/>
      <c r="AZ1370" s="115"/>
      <c r="BA1370" s="115"/>
      <c r="BB1370" s="115"/>
      <c r="BC1370" s="115"/>
      <c r="BD1370" s="17"/>
      <c r="BE1370" s="15"/>
    </row>
    <row r="1371" spans="1:57" x14ac:dyDescent="0.4">
      <c r="BD1371" s="26"/>
      <c r="BE1371" s="15"/>
    </row>
    <row r="1372" spans="1:57" x14ac:dyDescent="0.4">
      <c r="AI1372" s="115"/>
      <c r="AJ1372" s="115"/>
      <c r="AK1372" s="115"/>
      <c r="AL1372" s="115"/>
      <c r="AM1372" s="122"/>
      <c r="AN1372" s="122"/>
      <c r="AO1372" s="122"/>
      <c r="AP1372" s="115"/>
      <c r="AQ1372" s="115"/>
      <c r="AR1372" s="115"/>
      <c r="AS1372" s="115"/>
      <c r="AT1372" s="115"/>
      <c r="AU1372" s="115"/>
      <c r="AV1372" s="115"/>
      <c r="AW1372" s="115"/>
      <c r="AX1372" s="115"/>
      <c r="AY1372" s="115"/>
      <c r="AZ1372" s="115"/>
      <c r="BA1372" s="115"/>
      <c r="BB1372" s="115"/>
      <c r="BC1372" s="115"/>
      <c r="BD1372" s="17"/>
      <c r="BE1372" s="15"/>
    </row>
    <row r="1373" spans="1:57" x14ac:dyDescent="0.4">
      <c r="C1373" s="115"/>
      <c r="D1373" s="115"/>
      <c r="E1373" s="115"/>
      <c r="F1373" s="115"/>
      <c r="G1373" s="115"/>
      <c r="H1373" s="115"/>
      <c r="I1373" s="115"/>
      <c r="J1373" s="115"/>
      <c r="K1373" s="115"/>
      <c r="L1373" s="115"/>
      <c r="M1373" s="115"/>
      <c r="N1373" s="115"/>
      <c r="O1373" s="115"/>
      <c r="P1373" s="115"/>
      <c r="Q1373" s="115"/>
      <c r="R1373" s="115"/>
      <c r="S1373" s="115"/>
      <c r="T1373" s="115"/>
      <c r="U1373" s="115"/>
      <c r="V1373" s="115"/>
      <c r="W1373" s="115"/>
      <c r="X1373" s="115"/>
      <c r="Y1373" s="115"/>
      <c r="Z1373" s="115"/>
      <c r="AA1373" s="115"/>
      <c r="AB1373" s="115"/>
      <c r="AC1373" s="115"/>
      <c r="AD1373" s="115"/>
      <c r="AE1373" s="115"/>
      <c r="AF1373" s="115"/>
      <c r="AG1373" s="115"/>
      <c r="AH1373" s="115"/>
      <c r="AI1373" s="115"/>
      <c r="AJ1373" s="115"/>
      <c r="AK1373" s="115"/>
      <c r="AL1373" s="115"/>
      <c r="AM1373" s="122"/>
      <c r="AN1373" s="122"/>
      <c r="AO1373" s="122"/>
      <c r="AP1373" s="115"/>
      <c r="AQ1373" s="115"/>
      <c r="AR1373" s="115"/>
      <c r="AS1373" s="115"/>
      <c r="AT1373" s="115"/>
      <c r="AU1373" s="115"/>
      <c r="AV1373" s="115"/>
      <c r="AW1373" s="115"/>
      <c r="AX1373" s="115"/>
      <c r="AY1373" s="115"/>
      <c r="AZ1373" s="115"/>
      <c r="BA1373" s="115"/>
      <c r="BB1373" s="115"/>
      <c r="BC1373" s="115"/>
      <c r="BD1373" s="26"/>
      <c r="BE1373" s="15"/>
    </row>
    <row r="1374" spans="1:57" x14ac:dyDescent="0.4">
      <c r="C1374" s="115"/>
      <c r="D1374" s="115"/>
      <c r="E1374" s="115"/>
      <c r="F1374" s="115"/>
      <c r="G1374" s="115"/>
      <c r="H1374" s="115"/>
      <c r="I1374" s="115"/>
      <c r="J1374" s="115"/>
      <c r="K1374" s="115"/>
      <c r="L1374" s="115"/>
      <c r="M1374" s="115"/>
      <c r="N1374" s="115"/>
      <c r="O1374" s="115"/>
      <c r="P1374" s="115"/>
      <c r="Q1374" s="115"/>
      <c r="R1374" s="115"/>
      <c r="S1374" s="115"/>
      <c r="T1374" s="115"/>
      <c r="U1374" s="115"/>
      <c r="V1374" s="115"/>
      <c r="W1374" s="115"/>
      <c r="X1374" s="115"/>
      <c r="Y1374" s="115"/>
      <c r="Z1374" s="115"/>
      <c r="AA1374" s="115"/>
      <c r="AB1374" s="115"/>
      <c r="AC1374" s="115"/>
      <c r="AD1374" s="115"/>
      <c r="AE1374" s="115"/>
      <c r="AF1374" s="115"/>
      <c r="AG1374" s="115"/>
      <c r="AH1374" s="115"/>
      <c r="AI1374" s="115"/>
      <c r="AJ1374" s="115"/>
      <c r="AK1374" s="115"/>
      <c r="AL1374" s="115"/>
      <c r="AM1374" s="122"/>
      <c r="AN1374" s="122"/>
      <c r="AO1374" s="122"/>
      <c r="AP1374" s="115"/>
      <c r="AQ1374" s="115"/>
      <c r="AR1374" s="115"/>
      <c r="AS1374" s="115"/>
      <c r="AT1374" s="115"/>
      <c r="AU1374" s="115"/>
      <c r="AV1374" s="115"/>
      <c r="AW1374" s="115"/>
      <c r="AX1374" s="115"/>
      <c r="AY1374" s="115"/>
      <c r="AZ1374" s="115"/>
      <c r="BA1374" s="115"/>
      <c r="BB1374" s="115"/>
      <c r="BC1374" s="115"/>
      <c r="BD1374" s="17"/>
      <c r="BE1374" s="15"/>
    </row>
    <row r="1375" spans="1:57" x14ac:dyDescent="0.4">
      <c r="BD1375" s="26"/>
      <c r="BE1375" s="15"/>
    </row>
    <row r="1376" spans="1:57" x14ac:dyDescent="0.4">
      <c r="BD1376" s="26"/>
      <c r="BE1376" s="15"/>
    </row>
    <row r="1377" spans="3:57" x14ac:dyDescent="0.4">
      <c r="AH1377" s="115"/>
      <c r="AI1377" s="115"/>
      <c r="AJ1377" s="115"/>
      <c r="AK1377" s="115"/>
      <c r="AL1377" s="115"/>
      <c r="AM1377" s="122"/>
      <c r="AN1377" s="122"/>
      <c r="AO1377" s="122"/>
      <c r="AP1377" s="115"/>
      <c r="AQ1377" s="115"/>
      <c r="AR1377" s="115"/>
      <c r="AS1377" s="115"/>
      <c r="AT1377" s="115"/>
      <c r="AU1377" s="115"/>
      <c r="AV1377" s="115"/>
      <c r="AW1377" s="115"/>
      <c r="AX1377" s="115"/>
      <c r="AY1377" s="115"/>
      <c r="AZ1377" s="115"/>
      <c r="BA1377" s="115"/>
      <c r="BB1377" s="115"/>
      <c r="BC1377" s="115"/>
      <c r="BD1377" s="26"/>
      <c r="BE1377" s="15"/>
    </row>
    <row r="1378" spans="3:57" x14ac:dyDescent="0.4">
      <c r="AF1378" s="115"/>
      <c r="AG1378" s="115"/>
      <c r="AH1378" s="115"/>
      <c r="AI1378" s="115"/>
      <c r="AJ1378" s="115"/>
      <c r="AK1378" s="115"/>
      <c r="AL1378" s="115"/>
      <c r="AM1378" s="122"/>
      <c r="AN1378" s="122"/>
      <c r="AO1378" s="122"/>
      <c r="AP1378" s="115"/>
      <c r="AQ1378" s="115"/>
      <c r="AR1378" s="115"/>
      <c r="AS1378" s="115"/>
      <c r="AT1378" s="115"/>
      <c r="AU1378" s="115"/>
      <c r="AV1378" s="115"/>
      <c r="AW1378" s="115"/>
      <c r="AX1378" s="115"/>
      <c r="AY1378" s="115"/>
      <c r="AZ1378" s="115"/>
      <c r="BA1378" s="115"/>
      <c r="BB1378" s="115"/>
      <c r="BC1378" s="115"/>
      <c r="BD1378" s="26"/>
      <c r="BE1378" s="15"/>
    </row>
    <row r="1379" spans="3:57" x14ac:dyDescent="0.4">
      <c r="AF1379" s="115"/>
      <c r="AG1379" s="115"/>
      <c r="AH1379" s="115"/>
      <c r="AI1379" s="115"/>
      <c r="AJ1379" s="115"/>
      <c r="AK1379" s="115"/>
      <c r="AL1379" s="115"/>
      <c r="AM1379" s="122"/>
      <c r="AN1379" s="122"/>
      <c r="AO1379" s="122"/>
      <c r="AP1379" s="115"/>
      <c r="AQ1379" s="115"/>
      <c r="AR1379" s="115"/>
      <c r="AS1379" s="115"/>
      <c r="AT1379" s="115"/>
      <c r="AU1379" s="115"/>
      <c r="AV1379" s="115"/>
      <c r="AW1379" s="115"/>
      <c r="AX1379" s="115"/>
      <c r="AY1379" s="115"/>
      <c r="AZ1379" s="115"/>
      <c r="BA1379" s="115"/>
      <c r="BB1379" s="115"/>
      <c r="BC1379" s="115"/>
      <c r="BD1379" s="26"/>
      <c r="BE1379" s="15"/>
    </row>
    <row r="1380" spans="3:57" x14ac:dyDescent="0.4">
      <c r="E1380" s="115"/>
      <c r="F1380" s="115"/>
      <c r="G1380" s="115"/>
      <c r="H1380" s="115"/>
      <c r="I1380" s="115"/>
      <c r="J1380" s="115"/>
      <c r="K1380" s="115"/>
      <c r="L1380" s="115"/>
      <c r="M1380" s="115"/>
      <c r="N1380" s="115"/>
      <c r="O1380" s="115"/>
      <c r="P1380" s="115"/>
      <c r="Q1380" s="115"/>
      <c r="R1380" s="115"/>
      <c r="S1380" s="115"/>
      <c r="T1380" s="115"/>
      <c r="U1380" s="115"/>
      <c r="V1380" s="115"/>
      <c r="W1380" s="115"/>
      <c r="X1380" s="115"/>
      <c r="Y1380" s="115"/>
      <c r="Z1380" s="115"/>
      <c r="AA1380" s="115"/>
      <c r="AB1380" s="115"/>
      <c r="AC1380" s="115"/>
      <c r="AD1380" s="115"/>
      <c r="AE1380" s="115"/>
      <c r="AF1380" s="115"/>
      <c r="AG1380" s="115"/>
      <c r="AH1380" s="115"/>
      <c r="AI1380" s="115"/>
      <c r="AJ1380" s="115"/>
      <c r="AK1380" s="115"/>
      <c r="AL1380" s="115"/>
      <c r="AM1380" s="122"/>
      <c r="AN1380" s="122"/>
      <c r="AO1380" s="122"/>
      <c r="AP1380" s="115"/>
      <c r="AQ1380" s="115"/>
      <c r="AR1380" s="115"/>
      <c r="AS1380" s="115"/>
      <c r="AT1380" s="115"/>
      <c r="AU1380" s="115"/>
      <c r="AV1380" s="115"/>
      <c r="AW1380" s="115"/>
      <c r="AX1380" s="115"/>
      <c r="AY1380" s="115"/>
      <c r="AZ1380" s="115"/>
      <c r="BA1380" s="115"/>
      <c r="BB1380" s="115"/>
      <c r="BC1380" s="115"/>
      <c r="BD1380" s="26"/>
      <c r="BE1380" s="15"/>
    </row>
    <row r="1381" spans="3:57" x14ac:dyDescent="0.4">
      <c r="E1381" s="115"/>
      <c r="F1381" s="115"/>
      <c r="G1381" s="115"/>
      <c r="H1381" s="115"/>
      <c r="I1381" s="115"/>
      <c r="J1381" s="115"/>
      <c r="K1381" s="115"/>
      <c r="L1381" s="115"/>
      <c r="M1381" s="115"/>
      <c r="N1381" s="115"/>
      <c r="O1381" s="115"/>
      <c r="P1381" s="115"/>
      <c r="Q1381" s="115"/>
      <c r="R1381" s="115"/>
      <c r="S1381" s="115"/>
      <c r="T1381" s="115"/>
      <c r="U1381" s="115"/>
      <c r="V1381" s="115"/>
      <c r="W1381" s="115"/>
      <c r="X1381" s="115"/>
      <c r="Y1381" s="115"/>
      <c r="Z1381" s="115"/>
      <c r="AA1381" s="115"/>
      <c r="AB1381" s="115"/>
      <c r="AC1381" s="115"/>
      <c r="AD1381" s="115"/>
      <c r="AE1381" s="115"/>
      <c r="AF1381" s="115"/>
      <c r="AG1381" s="115"/>
      <c r="AH1381" s="115"/>
      <c r="AI1381" s="115"/>
      <c r="AJ1381" s="115"/>
      <c r="AK1381" s="115"/>
      <c r="AL1381" s="115"/>
      <c r="AM1381" s="122"/>
      <c r="AN1381" s="122"/>
      <c r="AO1381" s="122"/>
      <c r="AP1381" s="115"/>
      <c r="AQ1381" s="115"/>
      <c r="AR1381" s="115"/>
      <c r="AS1381" s="115"/>
      <c r="AT1381" s="115"/>
      <c r="AU1381" s="115"/>
      <c r="AV1381" s="115"/>
      <c r="AW1381" s="115"/>
      <c r="AX1381" s="115"/>
      <c r="AY1381" s="115"/>
      <c r="AZ1381" s="115"/>
      <c r="BA1381" s="115"/>
      <c r="BB1381" s="115"/>
      <c r="BC1381" s="115"/>
      <c r="BD1381" s="26"/>
      <c r="BE1381" s="15"/>
    </row>
    <row r="1382" spans="3:57" x14ac:dyDescent="0.4">
      <c r="BD1382" s="26"/>
      <c r="BE1382" s="15"/>
    </row>
    <row r="1383" spans="3:57" x14ac:dyDescent="0.4">
      <c r="AH1383" s="115"/>
      <c r="AI1383" s="115"/>
      <c r="AJ1383" s="115"/>
      <c r="AK1383" s="115"/>
      <c r="AL1383" s="115"/>
      <c r="AM1383" s="122"/>
      <c r="AN1383" s="122"/>
      <c r="AO1383" s="122"/>
      <c r="AP1383" s="115"/>
      <c r="AQ1383" s="115"/>
      <c r="AR1383" s="115"/>
      <c r="AS1383" s="115"/>
      <c r="AT1383" s="115"/>
      <c r="AU1383" s="115"/>
      <c r="AV1383" s="115"/>
      <c r="AW1383" s="115"/>
      <c r="AX1383" s="115"/>
      <c r="AY1383" s="115"/>
      <c r="AZ1383" s="115"/>
      <c r="BA1383" s="115"/>
      <c r="BB1383" s="115"/>
      <c r="BC1383" s="115"/>
      <c r="BD1383" s="26"/>
      <c r="BE1383" s="15"/>
    </row>
    <row r="1384" spans="3:57" x14ac:dyDescent="0.4">
      <c r="BD1384" s="26"/>
      <c r="BE1384" s="15"/>
    </row>
    <row r="1385" spans="3:57" x14ac:dyDescent="0.4">
      <c r="AI1385" s="115"/>
      <c r="AJ1385" s="115"/>
      <c r="AK1385" s="115"/>
      <c r="AL1385" s="115"/>
      <c r="AM1385" s="122"/>
      <c r="AN1385" s="122"/>
      <c r="AO1385" s="122"/>
      <c r="AP1385" s="115"/>
      <c r="AQ1385" s="115"/>
      <c r="AR1385" s="115"/>
      <c r="AS1385" s="115"/>
      <c r="AT1385" s="115"/>
      <c r="AU1385" s="115"/>
      <c r="AV1385" s="115"/>
      <c r="AW1385" s="115"/>
      <c r="AX1385" s="115"/>
      <c r="AY1385" s="115"/>
      <c r="AZ1385" s="115"/>
      <c r="BA1385" s="115"/>
      <c r="BB1385" s="115"/>
      <c r="BC1385" s="115"/>
      <c r="BD1385" s="17"/>
      <c r="BE1385" s="15"/>
    </row>
    <row r="1386" spans="3:57" x14ac:dyDescent="0.4">
      <c r="AH1386" s="115"/>
      <c r="AI1386" s="115"/>
      <c r="AJ1386" s="115"/>
      <c r="AK1386" s="115"/>
      <c r="AL1386" s="115"/>
      <c r="AM1386" s="122"/>
      <c r="AN1386" s="122"/>
      <c r="AO1386" s="122"/>
      <c r="AP1386" s="115"/>
      <c r="AQ1386" s="115"/>
      <c r="AR1386" s="115"/>
      <c r="AS1386" s="115"/>
      <c r="AT1386" s="115"/>
      <c r="AU1386" s="115"/>
      <c r="AV1386" s="115"/>
      <c r="AW1386" s="115"/>
      <c r="AX1386" s="115"/>
      <c r="AY1386" s="115"/>
      <c r="AZ1386" s="115"/>
      <c r="BA1386" s="115"/>
      <c r="BB1386" s="115"/>
      <c r="BC1386" s="115"/>
      <c r="BD1386" s="26"/>
      <c r="BE1386" s="15"/>
    </row>
    <row r="1387" spans="3:57" x14ac:dyDescent="0.4">
      <c r="C1387" s="115"/>
      <c r="D1387" s="115"/>
      <c r="E1387" s="115"/>
      <c r="F1387" s="115"/>
      <c r="G1387" s="115"/>
      <c r="H1387" s="115"/>
      <c r="I1387" s="115"/>
      <c r="J1387" s="115"/>
      <c r="K1387" s="115"/>
      <c r="L1387" s="115"/>
      <c r="M1387" s="115"/>
      <c r="N1387" s="115"/>
      <c r="O1387" s="115"/>
      <c r="P1387" s="115"/>
      <c r="Q1387" s="115"/>
      <c r="R1387" s="115"/>
      <c r="S1387" s="115"/>
      <c r="T1387" s="115"/>
      <c r="U1387" s="115"/>
      <c r="V1387" s="115"/>
      <c r="W1387" s="115"/>
      <c r="X1387" s="115"/>
      <c r="Y1387" s="115"/>
      <c r="Z1387" s="115"/>
      <c r="AA1387" s="115"/>
      <c r="AB1387" s="115"/>
      <c r="AC1387" s="115"/>
      <c r="AD1387" s="115"/>
      <c r="AE1387" s="115"/>
      <c r="AF1387" s="115"/>
      <c r="AG1387" s="115"/>
      <c r="AH1387" s="115"/>
      <c r="AI1387" s="115"/>
      <c r="AJ1387" s="115"/>
      <c r="AK1387" s="115"/>
      <c r="AL1387" s="115"/>
      <c r="AM1387" s="122"/>
      <c r="AN1387" s="122"/>
      <c r="AO1387" s="122"/>
      <c r="AP1387" s="115"/>
      <c r="AQ1387" s="115"/>
      <c r="AR1387" s="115"/>
      <c r="AS1387" s="115"/>
      <c r="AT1387" s="115"/>
      <c r="AU1387" s="115"/>
      <c r="AV1387" s="115"/>
      <c r="AW1387" s="115"/>
      <c r="AX1387" s="115"/>
      <c r="AY1387" s="115"/>
      <c r="AZ1387" s="115"/>
      <c r="BA1387" s="115"/>
      <c r="BB1387" s="115"/>
      <c r="BC1387" s="115"/>
      <c r="BD1387" s="26"/>
      <c r="BE1387" s="15"/>
    </row>
    <row r="1388" spans="3:57" x14ac:dyDescent="0.4">
      <c r="C1388" s="115"/>
      <c r="D1388" s="115"/>
      <c r="E1388" s="115"/>
      <c r="F1388" s="115"/>
      <c r="G1388" s="115"/>
      <c r="H1388" s="115"/>
      <c r="I1388" s="115"/>
      <c r="J1388" s="115"/>
      <c r="K1388" s="115"/>
      <c r="L1388" s="115"/>
      <c r="M1388" s="115"/>
      <c r="N1388" s="115"/>
      <c r="O1388" s="115"/>
      <c r="P1388" s="115"/>
      <c r="Q1388" s="115"/>
      <c r="R1388" s="115"/>
      <c r="S1388" s="115"/>
      <c r="T1388" s="115"/>
      <c r="U1388" s="115"/>
      <c r="V1388" s="115"/>
      <c r="W1388" s="115"/>
      <c r="X1388" s="115"/>
      <c r="Y1388" s="115"/>
      <c r="Z1388" s="115"/>
      <c r="AA1388" s="115"/>
      <c r="AB1388" s="115"/>
      <c r="AC1388" s="115"/>
      <c r="AD1388" s="115"/>
      <c r="AE1388" s="115"/>
      <c r="AF1388" s="115"/>
      <c r="AG1388" s="115"/>
      <c r="AH1388" s="115"/>
      <c r="AI1388" s="115"/>
      <c r="AJ1388" s="115"/>
      <c r="AK1388" s="115"/>
      <c r="AL1388" s="115"/>
      <c r="AM1388" s="122"/>
      <c r="AN1388" s="122"/>
      <c r="AO1388" s="122"/>
      <c r="AP1388" s="115"/>
      <c r="AQ1388" s="115"/>
      <c r="AR1388" s="115"/>
      <c r="AS1388" s="115"/>
      <c r="AT1388" s="115"/>
      <c r="AU1388" s="115"/>
      <c r="AV1388" s="115"/>
      <c r="AW1388" s="115"/>
      <c r="AX1388" s="115"/>
      <c r="AY1388" s="115"/>
      <c r="AZ1388" s="115"/>
      <c r="BA1388" s="115"/>
      <c r="BB1388" s="115"/>
      <c r="BC1388" s="115"/>
      <c r="BD1388" s="17"/>
      <c r="BE1388" s="15"/>
    </row>
    <row r="1389" spans="3:57" x14ac:dyDescent="0.4">
      <c r="BD1389" s="26"/>
      <c r="BE1389" s="15"/>
    </row>
    <row r="1390" spans="3:57" x14ac:dyDescent="0.4">
      <c r="AI1390" s="115"/>
      <c r="AJ1390" s="115"/>
      <c r="AK1390" s="115"/>
      <c r="AL1390" s="115"/>
      <c r="AM1390" s="122"/>
      <c r="AN1390" s="122"/>
      <c r="AO1390" s="122"/>
      <c r="AP1390" s="115"/>
      <c r="AQ1390" s="115"/>
      <c r="AR1390" s="115"/>
      <c r="AS1390" s="115"/>
      <c r="AT1390" s="115"/>
      <c r="AU1390" s="115"/>
      <c r="AV1390" s="115"/>
      <c r="AW1390" s="115"/>
      <c r="AX1390" s="115"/>
      <c r="AY1390" s="115"/>
      <c r="AZ1390" s="115"/>
      <c r="BA1390" s="115"/>
      <c r="BB1390" s="115"/>
      <c r="BC1390" s="115"/>
      <c r="BD1390" s="17"/>
      <c r="BE1390" s="15"/>
    </row>
    <row r="1391" spans="3:57" x14ac:dyDescent="0.4">
      <c r="AH1391" s="115"/>
      <c r="AI1391" s="115"/>
      <c r="AJ1391" s="115"/>
      <c r="AK1391" s="115"/>
      <c r="AL1391" s="115"/>
      <c r="AM1391" s="122"/>
      <c r="AN1391" s="122"/>
      <c r="AO1391" s="122"/>
      <c r="AP1391" s="115"/>
      <c r="AQ1391" s="115"/>
      <c r="AR1391" s="115"/>
      <c r="AS1391" s="115"/>
      <c r="AT1391" s="115"/>
      <c r="AU1391" s="115"/>
      <c r="AV1391" s="115"/>
      <c r="AW1391" s="115"/>
      <c r="AX1391" s="115"/>
      <c r="AY1391" s="115"/>
      <c r="AZ1391" s="115"/>
      <c r="BA1391" s="115"/>
      <c r="BB1391" s="115"/>
      <c r="BC1391" s="115"/>
      <c r="BD1391" s="26"/>
      <c r="BE1391" s="15"/>
    </row>
    <row r="1392" spans="3:57" x14ac:dyDescent="0.4">
      <c r="AH1392" s="115"/>
      <c r="AI1392" s="115"/>
      <c r="AJ1392" s="115"/>
      <c r="AK1392" s="115"/>
      <c r="AL1392" s="115"/>
      <c r="AM1392" s="122"/>
      <c r="AN1392" s="122"/>
      <c r="AO1392" s="122"/>
      <c r="AP1392" s="115"/>
      <c r="AQ1392" s="115"/>
      <c r="AR1392" s="115"/>
      <c r="AS1392" s="115"/>
      <c r="AT1392" s="115"/>
      <c r="AU1392" s="115"/>
      <c r="AV1392" s="115"/>
      <c r="AW1392" s="115"/>
      <c r="AX1392" s="115"/>
      <c r="AY1392" s="115"/>
      <c r="AZ1392" s="115"/>
      <c r="BA1392" s="115"/>
      <c r="BB1392" s="115"/>
      <c r="BC1392" s="115"/>
      <c r="BD1392" s="17"/>
      <c r="BE1392" s="15"/>
    </row>
    <row r="1393" spans="4:57" x14ac:dyDescent="0.4">
      <c r="AH1393" s="115"/>
      <c r="AI1393" s="115"/>
      <c r="AJ1393" s="115"/>
      <c r="AK1393" s="115"/>
      <c r="AL1393" s="115"/>
      <c r="AM1393" s="122"/>
      <c r="AN1393" s="122"/>
      <c r="AO1393" s="122"/>
      <c r="AP1393" s="115"/>
      <c r="AQ1393" s="115"/>
      <c r="AR1393" s="115"/>
      <c r="AS1393" s="115"/>
      <c r="AT1393" s="115"/>
      <c r="AU1393" s="115"/>
      <c r="AV1393" s="115"/>
      <c r="AW1393" s="115"/>
      <c r="AX1393" s="115"/>
      <c r="AY1393" s="115"/>
      <c r="AZ1393" s="115"/>
      <c r="BA1393" s="115"/>
      <c r="BB1393" s="115"/>
      <c r="BC1393" s="115"/>
      <c r="BD1393" s="17"/>
      <c r="BE1393" s="15"/>
    </row>
    <row r="1394" spans="4:57" x14ac:dyDescent="0.4">
      <c r="E1394" s="115"/>
      <c r="F1394" s="115"/>
      <c r="G1394" s="115"/>
      <c r="H1394" s="115"/>
      <c r="I1394" s="115"/>
      <c r="J1394" s="115"/>
      <c r="K1394" s="115"/>
      <c r="L1394" s="115"/>
      <c r="M1394" s="115"/>
      <c r="N1394" s="115"/>
      <c r="O1394" s="115"/>
      <c r="P1394" s="115"/>
      <c r="Q1394" s="115"/>
      <c r="R1394" s="115"/>
      <c r="S1394" s="115"/>
      <c r="T1394" s="115"/>
      <c r="U1394" s="115"/>
      <c r="V1394" s="115"/>
      <c r="W1394" s="115"/>
      <c r="X1394" s="115"/>
      <c r="Y1394" s="115"/>
      <c r="Z1394" s="115"/>
      <c r="AA1394" s="115"/>
      <c r="AB1394" s="115"/>
      <c r="AC1394" s="115"/>
      <c r="AD1394" s="115"/>
      <c r="AE1394" s="115"/>
      <c r="AF1394" s="115"/>
      <c r="AG1394" s="115"/>
      <c r="AH1394" s="115"/>
      <c r="AI1394" s="115"/>
      <c r="AJ1394" s="115"/>
      <c r="AK1394" s="115"/>
      <c r="AL1394" s="115"/>
      <c r="AM1394" s="122"/>
      <c r="AN1394" s="122"/>
      <c r="AO1394" s="122"/>
      <c r="AP1394" s="115"/>
      <c r="AQ1394" s="115"/>
      <c r="AR1394" s="115"/>
      <c r="AS1394" s="115"/>
      <c r="AT1394" s="115"/>
      <c r="AU1394" s="115"/>
      <c r="AV1394" s="115"/>
      <c r="AW1394" s="115"/>
      <c r="AX1394" s="115"/>
      <c r="AY1394" s="115"/>
      <c r="AZ1394" s="115"/>
      <c r="BA1394" s="115"/>
      <c r="BB1394" s="115"/>
      <c r="BC1394" s="115"/>
      <c r="BD1394" s="26"/>
      <c r="BE1394" s="15"/>
    </row>
    <row r="1395" spans="4:57" x14ac:dyDescent="0.4">
      <c r="E1395" s="115"/>
      <c r="F1395" s="115"/>
      <c r="G1395" s="115"/>
      <c r="H1395" s="115"/>
      <c r="I1395" s="115"/>
      <c r="J1395" s="115"/>
      <c r="K1395" s="115"/>
      <c r="L1395" s="115"/>
      <c r="M1395" s="115"/>
      <c r="N1395" s="115"/>
      <c r="O1395" s="115"/>
      <c r="P1395" s="115"/>
      <c r="Q1395" s="115"/>
      <c r="R1395" s="115"/>
      <c r="S1395" s="115"/>
      <c r="T1395" s="115"/>
      <c r="U1395" s="115"/>
      <c r="V1395" s="115"/>
      <c r="W1395" s="115"/>
      <c r="X1395" s="115"/>
      <c r="Y1395" s="115"/>
      <c r="Z1395" s="115"/>
      <c r="AA1395" s="115"/>
      <c r="AB1395" s="115"/>
      <c r="AC1395" s="115"/>
      <c r="AD1395" s="115"/>
      <c r="AE1395" s="115"/>
      <c r="AF1395" s="115"/>
      <c r="AG1395" s="115"/>
      <c r="AH1395" s="115"/>
      <c r="AI1395" s="115"/>
      <c r="AJ1395" s="115"/>
      <c r="AK1395" s="115"/>
      <c r="AL1395" s="115"/>
      <c r="AM1395" s="122"/>
      <c r="AN1395" s="122"/>
      <c r="AO1395" s="122"/>
      <c r="AP1395" s="115"/>
      <c r="AQ1395" s="115"/>
      <c r="AR1395" s="115"/>
      <c r="AS1395" s="115"/>
      <c r="AT1395" s="115"/>
      <c r="AU1395" s="115"/>
      <c r="AV1395" s="115"/>
      <c r="AW1395" s="115"/>
      <c r="AX1395" s="115"/>
      <c r="AY1395" s="115"/>
      <c r="AZ1395" s="115"/>
      <c r="BA1395" s="115"/>
      <c r="BB1395" s="115"/>
      <c r="BC1395" s="115"/>
      <c r="BD1395" s="26"/>
      <c r="BE1395" s="15"/>
    </row>
    <row r="1396" spans="4:57" x14ac:dyDescent="0.4">
      <c r="E1396" s="115"/>
      <c r="F1396" s="115"/>
      <c r="G1396" s="115"/>
      <c r="H1396" s="115"/>
      <c r="I1396" s="115"/>
      <c r="J1396" s="115"/>
      <c r="K1396" s="115"/>
      <c r="L1396" s="115"/>
      <c r="M1396" s="115"/>
      <c r="N1396" s="115"/>
      <c r="O1396" s="115"/>
      <c r="P1396" s="115"/>
      <c r="Q1396" s="115"/>
      <c r="R1396" s="115"/>
      <c r="S1396" s="115"/>
      <c r="T1396" s="115"/>
      <c r="U1396" s="115"/>
      <c r="V1396" s="115"/>
      <c r="W1396" s="115"/>
      <c r="X1396" s="115"/>
      <c r="Y1396" s="115"/>
      <c r="Z1396" s="115"/>
      <c r="AA1396" s="115"/>
      <c r="AB1396" s="115"/>
      <c r="AC1396" s="115"/>
      <c r="AD1396" s="115"/>
      <c r="AE1396" s="115"/>
      <c r="AF1396" s="115"/>
      <c r="AG1396" s="115"/>
      <c r="AH1396" s="115"/>
      <c r="AI1396" s="115"/>
      <c r="AJ1396" s="115"/>
      <c r="AK1396" s="115"/>
      <c r="AL1396" s="115"/>
      <c r="AM1396" s="122"/>
      <c r="AN1396" s="122"/>
      <c r="AO1396" s="122"/>
      <c r="AP1396" s="115"/>
      <c r="AQ1396" s="115"/>
      <c r="AR1396" s="115"/>
      <c r="AS1396" s="115"/>
      <c r="AT1396" s="115"/>
      <c r="AU1396" s="115"/>
      <c r="AV1396" s="115"/>
      <c r="AW1396" s="115"/>
      <c r="AX1396" s="115"/>
      <c r="AY1396" s="115"/>
      <c r="AZ1396" s="115"/>
      <c r="BA1396" s="115"/>
      <c r="BB1396" s="115"/>
      <c r="BC1396" s="115"/>
      <c r="BD1396" s="26"/>
      <c r="BE1396" s="15"/>
    </row>
    <row r="1397" spans="4:57" x14ac:dyDescent="0.4">
      <c r="D1397" s="115"/>
      <c r="E1397" s="115"/>
      <c r="F1397" s="115"/>
      <c r="G1397" s="115"/>
      <c r="H1397" s="115"/>
      <c r="I1397" s="115"/>
      <c r="J1397" s="115"/>
      <c r="K1397" s="115"/>
      <c r="L1397" s="115"/>
      <c r="M1397" s="115"/>
      <c r="N1397" s="115"/>
      <c r="O1397" s="115"/>
      <c r="P1397" s="115"/>
      <c r="Q1397" s="115"/>
      <c r="R1397" s="115"/>
      <c r="S1397" s="115"/>
      <c r="T1397" s="115"/>
      <c r="U1397" s="115"/>
      <c r="V1397" s="115"/>
      <c r="W1397" s="115"/>
      <c r="X1397" s="115"/>
      <c r="Y1397" s="115"/>
      <c r="Z1397" s="115"/>
      <c r="AA1397" s="115"/>
      <c r="AB1397" s="115"/>
      <c r="AC1397" s="115"/>
      <c r="AD1397" s="115"/>
      <c r="AE1397" s="115"/>
      <c r="AF1397" s="115"/>
      <c r="AG1397" s="115"/>
      <c r="AH1397" s="115"/>
      <c r="AI1397" s="115"/>
      <c r="AJ1397" s="115"/>
      <c r="AK1397" s="115"/>
      <c r="AL1397" s="115"/>
      <c r="AM1397" s="122"/>
      <c r="AN1397" s="122"/>
      <c r="AO1397" s="122"/>
      <c r="AP1397" s="115"/>
      <c r="AQ1397" s="115"/>
      <c r="AR1397" s="115"/>
      <c r="AS1397" s="115"/>
      <c r="AT1397" s="115"/>
      <c r="AU1397" s="115"/>
      <c r="AV1397" s="115"/>
      <c r="AW1397" s="115"/>
      <c r="AX1397" s="115"/>
      <c r="AY1397" s="115"/>
      <c r="AZ1397" s="115"/>
      <c r="BA1397" s="115"/>
      <c r="BB1397" s="115"/>
      <c r="BC1397" s="115"/>
      <c r="BD1397" s="26"/>
      <c r="BE1397" s="15"/>
    </row>
    <row r="1398" spans="4:57" x14ac:dyDescent="0.4">
      <c r="D1398" s="115"/>
      <c r="E1398" s="115"/>
      <c r="F1398" s="115"/>
      <c r="G1398" s="115"/>
      <c r="H1398" s="115"/>
      <c r="I1398" s="115"/>
      <c r="J1398" s="115"/>
      <c r="K1398" s="115"/>
      <c r="L1398" s="115"/>
      <c r="M1398" s="115"/>
      <c r="N1398" s="115"/>
      <c r="O1398" s="115"/>
      <c r="P1398" s="115"/>
      <c r="Q1398" s="115"/>
      <c r="R1398" s="115"/>
      <c r="S1398" s="115"/>
      <c r="T1398" s="115"/>
      <c r="U1398" s="115"/>
      <c r="V1398" s="115"/>
      <c r="W1398" s="115"/>
      <c r="X1398" s="115"/>
      <c r="Y1398" s="115"/>
      <c r="Z1398" s="115"/>
      <c r="AA1398" s="115"/>
      <c r="AB1398" s="115"/>
      <c r="AC1398" s="115"/>
      <c r="AD1398" s="115"/>
      <c r="AE1398" s="115"/>
      <c r="AF1398" s="115"/>
      <c r="AG1398" s="115"/>
      <c r="AH1398" s="115"/>
      <c r="AI1398" s="115"/>
      <c r="AJ1398" s="115"/>
      <c r="AK1398" s="115"/>
      <c r="AL1398" s="115"/>
      <c r="AM1398" s="122"/>
      <c r="AN1398" s="122"/>
      <c r="AO1398" s="122"/>
      <c r="AP1398" s="115"/>
      <c r="AQ1398" s="115"/>
      <c r="AR1398" s="115"/>
      <c r="AS1398" s="115"/>
      <c r="AT1398" s="115"/>
      <c r="AU1398" s="115"/>
      <c r="AV1398" s="115"/>
      <c r="AW1398" s="115"/>
      <c r="AX1398" s="115"/>
      <c r="AY1398" s="115"/>
      <c r="AZ1398" s="115"/>
      <c r="BA1398" s="115"/>
      <c r="BB1398" s="115"/>
      <c r="BC1398" s="115"/>
      <c r="BD1398" s="26"/>
      <c r="BE1398" s="15"/>
    </row>
    <row r="1399" spans="4:57" x14ac:dyDescent="0.4">
      <c r="D1399" s="115"/>
      <c r="E1399" s="115"/>
      <c r="F1399" s="115"/>
      <c r="G1399" s="115"/>
      <c r="H1399" s="115"/>
      <c r="I1399" s="115"/>
      <c r="J1399" s="115"/>
      <c r="K1399" s="115"/>
      <c r="L1399" s="115"/>
      <c r="M1399" s="115"/>
      <c r="N1399" s="115"/>
      <c r="O1399" s="115"/>
      <c r="P1399" s="115"/>
      <c r="Q1399" s="115"/>
      <c r="R1399" s="115"/>
      <c r="S1399" s="115"/>
      <c r="T1399" s="115"/>
      <c r="U1399" s="115"/>
      <c r="V1399" s="115"/>
      <c r="W1399" s="115"/>
      <c r="X1399" s="115"/>
      <c r="Y1399" s="115"/>
      <c r="Z1399" s="115"/>
      <c r="AA1399" s="115"/>
      <c r="AB1399" s="115"/>
      <c r="AC1399" s="115"/>
      <c r="AD1399" s="115"/>
      <c r="AE1399" s="115"/>
      <c r="AF1399" s="115"/>
      <c r="AG1399" s="115"/>
      <c r="AH1399" s="115"/>
      <c r="AI1399" s="115"/>
      <c r="AJ1399" s="115"/>
      <c r="AK1399" s="115"/>
      <c r="AL1399" s="115"/>
      <c r="AM1399" s="122"/>
      <c r="AN1399" s="122"/>
      <c r="AO1399" s="122"/>
      <c r="AP1399" s="115"/>
      <c r="AQ1399" s="115"/>
      <c r="AR1399" s="115"/>
      <c r="AS1399" s="115"/>
      <c r="AT1399" s="115"/>
      <c r="AU1399" s="115"/>
      <c r="AV1399" s="115"/>
      <c r="AW1399" s="115"/>
      <c r="AX1399" s="115"/>
      <c r="AY1399" s="115"/>
      <c r="AZ1399" s="115"/>
      <c r="BA1399" s="115"/>
      <c r="BB1399" s="115"/>
      <c r="BC1399" s="115"/>
      <c r="BD1399" s="17"/>
      <c r="BE1399" s="15"/>
    </row>
    <row r="1400" spans="4:57" x14ac:dyDescent="0.4">
      <c r="BD1400" s="26"/>
      <c r="BE1400" s="15"/>
    </row>
    <row r="1401" spans="4:57" x14ac:dyDescent="0.4">
      <c r="AH1401" s="115"/>
      <c r="AI1401" s="115"/>
      <c r="AJ1401" s="115"/>
      <c r="AK1401" s="115"/>
      <c r="AL1401" s="115"/>
      <c r="AM1401" s="122"/>
      <c r="AN1401" s="122"/>
      <c r="AO1401" s="122"/>
      <c r="AP1401" s="115"/>
      <c r="AQ1401" s="115"/>
      <c r="AR1401" s="115"/>
      <c r="AS1401" s="115"/>
      <c r="AT1401" s="115"/>
      <c r="AU1401" s="115"/>
      <c r="AV1401" s="115"/>
      <c r="AW1401" s="115"/>
      <c r="AX1401" s="115"/>
      <c r="AY1401" s="115"/>
      <c r="AZ1401" s="115"/>
      <c r="BA1401" s="115"/>
      <c r="BB1401" s="115"/>
      <c r="BC1401" s="115"/>
      <c r="BD1401" s="17"/>
      <c r="BE1401" s="13"/>
    </row>
    <row r="1402" spans="4:57" x14ac:dyDescent="0.4">
      <c r="AH1402" s="115"/>
      <c r="AI1402" s="115"/>
      <c r="AJ1402" s="115"/>
      <c r="AK1402" s="115"/>
      <c r="AL1402" s="115"/>
      <c r="AM1402" s="122"/>
      <c r="AN1402" s="122"/>
      <c r="AO1402" s="122"/>
      <c r="AP1402" s="115"/>
      <c r="AQ1402" s="115"/>
      <c r="AR1402" s="115"/>
      <c r="AS1402" s="115"/>
      <c r="AT1402" s="115"/>
      <c r="AU1402" s="115"/>
      <c r="AV1402" s="115"/>
      <c r="AW1402" s="115"/>
      <c r="AX1402" s="115"/>
      <c r="AY1402" s="115"/>
      <c r="AZ1402" s="115"/>
      <c r="BA1402" s="115"/>
      <c r="BB1402" s="115"/>
      <c r="BC1402" s="115"/>
      <c r="BD1402" s="17"/>
      <c r="BE1402" s="13"/>
    </row>
    <row r="1403" spans="4:57" x14ac:dyDescent="0.4">
      <c r="AF1403" s="115"/>
      <c r="AG1403" s="115"/>
      <c r="AH1403" s="115"/>
      <c r="AI1403" s="115"/>
      <c r="AJ1403" s="115"/>
      <c r="AK1403" s="115"/>
      <c r="AL1403" s="115"/>
      <c r="AM1403" s="122"/>
      <c r="AN1403" s="122"/>
      <c r="AO1403" s="122"/>
      <c r="AP1403" s="115"/>
      <c r="AQ1403" s="115"/>
      <c r="AR1403" s="115"/>
      <c r="AS1403" s="115"/>
      <c r="AT1403" s="115"/>
      <c r="AU1403" s="115"/>
      <c r="AV1403" s="115"/>
      <c r="AW1403" s="115"/>
      <c r="AX1403" s="115"/>
      <c r="AY1403" s="115"/>
      <c r="AZ1403" s="115"/>
      <c r="BA1403" s="115"/>
      <c r="BB1403" s="115"/>
      <c r="BC1403" s="115"/>
      <c r="BD1403" s="26"/>
      <c r="BE1403" s="13"/>
    </row>
    <row r="1404" spans="4:57" x14ac:dyDescent="0.4">
      <c r="AF1404" s="115"/>
      <c r="AG1404" s="115"/>
      <c r="AH1404" s="115"/>
      <c r="AI1404" s="115"/>
      <c r="AJ1404" s="115"/>
      <c r="AK1404" s="115"/>
      <c r="AL1404" s="115"/>
      <c r="AM1404" s="122"/>
      <c r="AN1404" s="122"/>
      <c r="AO1404" s="122"/>
      <c r="AP1404" s="115"/>
      <c r="AQ1404" s="115"/>
      <c r="AR1404" s="115"/>
      <c r="AS1404" s="115"/>
      <c r="AT1404" s="115"/>
      <c r="AU1404" s="115"/>
      <c r="AV1404" s="115"/>
      <c r="AW1404" s="115"/>
      <c r="AX1404" s="115"/>
      <c r="AY1404" s="115"/>
      <c r="AZ1404" s="115"/>
      <c r="BA1404" s="115"/>
      <c r="BB1404" s="115"/>
      <c r="BC1404" s="115"/>
      <c r="BD1404" s="17"/>
      <c r="BE1404" s="13"/>
    </row>
    <row r="1405" spans="4:57" x14ac:dyDescent="0.4">
      <c r="BD1405" s="26"/>
      <c r="BE1405" s="13"/>
    </row>
    <row r="1406" spans="4:57" x14ac:dyDescent="0.4">
      <c r="AG1406" s="115"/>
      <c r="AH1406" s="115"/>
      <c r="AI1406" s="115"/>
      <c r="AJ1406" s="115"/>
      <c r="AK1406" s="115"/>
      <c r="AL1406" s="115"/>
      <c r="AM1406" s="122"/>
      <c r="AN1406" s="122"/>
      <c r="AO1406" s="122"/>
      <c r="AP1406" s="115"/>
      <c r="AQ1406" s="115"/>
      <c r="AR1406" s="115"/>
      <c r="AS1406" s="115"/>
      <c r="AT1406" s="115"/>
      <c r="AU1406" s="115"/>
      <c r="AV1406" s="115"/>
      <c r="AW1406" s="115"/>
      <c r="AX1406" s="115"/>
      <c r="AY1406" s="115"/>
      <c r="AZ1406" s="115"/>
      <c r="BA1406" s="115"/>
      <c r="BB1406" s="115"/>
      <c r="BC1406" s="115"/>
      <c r="BD1406" s="17"/>
      <c r="BE1406" s="13"/>
    </row>
    <row r="1407" spans="4:57" x14ac:dyDescent="0.4">
      <c r="BD1407" s="26"/>
      <c r="BE1407" s="13"/>
    </row>
    <row r="1408" spans="4:57" x14ac:dyDescent="0.4">
      <c r="BD1408" s="26"/>
      <c r="BE1408" s="13"/>
    </row>
    <row r="1409" spans="3:57" x14ac:dyDescent="0.4">
      <c r="D1409" s="115"/>
      <c r="E1409" s="115"/>
      <c r="F1409" s="115"/>
      <c r="G1409" s="115"/>
      <c r="H1409" s="115"/>
      <c r="I1409" s="115"/>
      <c r="J1409" s="115"/>
      <c r="K1409" s="115"/>
      <c r="L1409" s="115"/>
      <c r="M1409" s="115"/>
      <c r="N1409" s="115"/>
      <c r="O1409" s="115"/>
      <c r="P1409" s="115"/>
      <c r="Q1409" s="115"/>
      <c r="R1409" s="115"/>
      <c r="S1409" s="115"/>
      <c r="T1409" s="115"/>
      <c r="U1409" s="115"/>
      <c r="V1409" s="115"/>
      <c r="W1409" s="115"/>
      <c r="X1409" s="115"/>
      <c r="Y1409" s="115"/>
      <c r="Z1409" s="115"/>
      <c r="AA1409" s="115"/>
      <c r="AB1409" s="115"/>
      <c r="AC1409" s="115"/>
      <c r="AD1409" s="115"/>
      <c r="AE1409" s="115"/>
      <c r="AF1409" s="115"/>
      <c r="AG1409" s="115"/>
      <c r="AH1409" s="115"/>
      <c r="AI1409" s="115"/>
      <c r="AJ1409" s="115"/>
      <c r="AK1409" s="115"/>
      <c r="AL1409" s="115"/>
      <c r="AM1409" s="122"/>
      <c r="AN1409" s="122"/>
      <c r="AO1409" s="122"/>
      <c r="AP1409" s="115"/>
      <c r="AQ1409" s="115"/>
      <c r="AR1409" s="115"/>
      <c r="AS1409" s="115"/>
      <c r="AT1409" s="115"/>
      <c r="AU1409" s="115"/>
      <c r="AV1409" s="115"/>
      <c r="AW1409" s="115"/>
      <c r="AX1409" s="115"/>
      <c r="AY1409" s="115"/>
      <c r="AZ1409" s="115"/>
      <c r="BA1409" s="115"/>
      <c r="BB1409" s="115"/>
      <c r="BC1409" s="115"/>
      <c r="BD1409" s="26"/>
      <c r="BE1409" s="13"/>
    </row>
    <row r="1410" spans="3:57" x14ac:dyDescent="0.4">
      <c r="C1410" s="115"/>
      <c r="D1410" s="115"/>
      <c r="E1410" s="115"/>
      <c r="F1410" s="115"/>
      <c r="G1410" s="115"/>
      <c r="H1410" s="115"/>
      <c r="I1410" s="115"/>
      <c r="J1410" s="115"/>
      <c r="K1410" s="115"/>
      <c r="L1410" s="115"/>
      <c r="M1410" s="115"/>
      <c r="N1410" s="115"/>
      <c r="O1410" s="115"/>
      <c r="P1410" s="115"/>
      <c r="Q1410" s="115"/>
      <c r="R1410" s="115"/>
      <c r="S1410" s="115"/>
      <c r="T1410" s="115"/>
      <c r="U1410" s="115"/>
      <c r="V1410" s="115"/>
      <c r="W1410" s="115"/>
      <c r="X1410" s="115"/>
      <c r="Y1410" s="115"/>
      <c r="Z1410" s="115"/>
      <c r="AA1410" s="115"/>
      <c r="AB1410" s="115"/>
      <c r="AC1410" s="115"/>
      <c r="AD1410" s="115"/>
      <c r="AE1410" s="115"/>
      <c r="AF1410" s="115"/>
      <c r="AG1410" s="115"/>
      <c r="AH1410" s="115"/>
      <c r="AI1410" s="115"/>
      <c r="AJ1410" s="115"/>
      <c r="AK1410" s="115"/>
      <c r="AL1410" s="115"/>
      <c r="AM1410" s="122"/>
      <c r="AN1410" s="122"/>
      <c r="AO1410" s="122"/>
      <c r="AP1410" s="115"/>
      <c r="AQ1410" s="115"/>
      <c r="AR1410" s="115"/>
      <c r="AS1410" s="115"/>
      <c r="AT1410" s="115"/>
      <c r="AU1410" s="115"/>
      <c r="AV1410" s="115"/>
      <c r="AW1410" s="115"/>
      <c r="AX1410" s="115"/>
      <c r="AY1410" s="115"/>
      <c r="AZ1410" s="115"/>
      <c r="BA1410" s="115"/>
      <c r="BB1410" s="115"/>
      <c r="BC1410" s="115"/>
      <c r="BD1410" s="26"/>
      <c r="BE1410" s="13"/>
    </row>
    <row r="1411" spans="3:57" x14ac:dyDescent="0.4">
      <c r="BD1411" s="26"/>
      <c r="BE1411" s="13"/>
    </row>
    <row r="1412" spans="3:57" x14ac:dyDescent="0.4">
      <c r="BD1412" s="26"/>
      <c r="BE1412" s="13"/>
    </row>
    <row r="1413" spans="3:57" x14ac:dyDescent="0.4">
      <c r="E1413" s="115"/>
      <c r="F1413" s="115"/>
      <c r="G1413" s="115"/>
      <c r="H1413" s="115"/>
      <c r="I1413" s="115"/>
      <c r="J1413" s="115"/>
      <c r="K1413" s="115"/>
      <c r="L1413" s="115"/>
      <c r="M1413" s="115"/>
      <c r="N1413" s="115"/>
      <c r="O1413" s="115"/>
      <c r="P1413" s="115"/>
      <c r="Q1413" s="115"/>
      <c r="R1413" s="115"/>
      <c r="S1413" s="115"/>
      <c r="T1413" s="115"/>
      <c r="U1413" s="115"/>
      <c r="V1413" s="115"/>
      <c r="W1413" s="115"/>
      <c r="X1413" s="115"/>
      <c r="Y1413" s="115"/>
      <c r="Z1413" s="115"/>
      <c r="AA1413" s="115"/>
      <c r="AB1413" s="115"/>
      <c r="AC1413" s="115"/>
      <c r="AD1413" s="115"/>
      <c r="AE1413" s="115"/>
      <c r="AF1413" s="115"/>
      <c r="AG1413" s="115"/>
      <c r="AH1413" s="115"/>
      <c r="AI1413" s="115"/>
      <c r="AJ1413" s="115"/>
      <c r="AK1413" s="115"/>
      <c r="AL1413" s="115"/>
      <c r="AM1413" s="122"/>
      <c r="AN1413" s="122"/>
      <c r="AO1413" s="122"/>
      <c r="AP1413" s="115"/>
      <c r="AQ1413" s="115"/>
      <c r="AR1413" s="115"/>
      <c r="AS1413" s="115"/>
      <c r="AT1413" s="115"/>
      <c r="AU1413" s="115"/>
      <c r="AV1413" s="115"/>
      <c r="AW1413" s="115"/>
      <c r="AX1413" s="115"/>
      <c r="AY1413" s="115"/>
      <c r="AZ1413" s="115"/>
      <c r="BA1413" s="115"/>
      <c r="BB1413" s="115"/>
      <c r="BC1413" s="115"/>
      <c r="BD1413" s="26"/>
      <c r="BE1413" s="13"/>
    </row>
    <row r="1414" spans="3:57" x14ac:dyDescent="0.4">
      <c r="BD1414" s="26"/>
      <c r="BE1414" s="105"/>
    </row>
    <row r="1415" spans="3:57" x14ac:dyDescent="0.4">
      <c r="E1415" s="115"/>
      <c r="F1415" s="115"/>
      <c r="G1415" s="115"/>
      <c r="H1415" s="115"/>
      <c r="I1415" s="115"/>
      <c r="J1415" s="115"/>
      <c r="K1415" s="115"/>
      <c r="L1415" s="115"/>
      <c r="M1415" s="115"/>
      <c r="N1415" s="115"/>
      <c r="O1415" s="115"/>
      <c r="P1415" s="115"/>
      <c r="Q1415" s="115"/>
      <c r="R1415" s="115"/>
      <c r="S1415" s="115"/>
      <c r="T1415" s="115"/>
      <c r="U1415" s="115"/>
      <c r="V1415" s="115"/>
      <c r="W1415" s="115"/>
      <c r="X1415" s="115"/>
      <c r="Y1415" s="115"/>
      <c r="Z1415" s="115"/>
      <c r="AA1415" s="115"/>
      <c r="AB1415" s="115"/>
      <c r="AC1415" s="115"/>
      <c r="AD1415" s="115"/>
      <c r="AE1415" s="115"/>
      <c r="AF1415" s="115"/>
      <c r="AG1415" s="115"/>
      <c r="AH1415" s="115"/>
      <c r="AI1415" s="115"/>
      <c r="AJ1415" s="115"/>
      <c r="AK1415" s="115"/>
      <c r="AL1415" s="115"/>
      <c r="AM1415" s="122"/>
      <c r="AN1415" s="122"/>
      <c r="AO1415" s="122"/>
      <c r="AP1415" s="115"/>
      <c r="AQ1415" s="115"/>
      <c r="AR1415" s="115"/>
      <c r="AS1415" s="115"/>
      <c r="AT1415" s="115"/>
      <c r="AU1415" s="115"/>
      <c r="AV1415" s="115"/>
      <c r="AW1415" s="115"/>
      <c r="AX1415" s="115"/>
      <c r="AY1415" s="115"/>
      <c r="AZ1415" s="115"/>
      <c r="BA1415" s="115"/>
      <c r="BB1415" s="115"/>
      <c r="BC1415" s="115"/>
      <c r="BD1415" s="26"/>
      <c r="BE1415" s="15"/>
    </row>
    <row r="1416" spans="3:57" x14ac:dyDescent="0.4">
      <c r="E1416" s="115"/>
      <c r="F1416" s="115"/>
      <c r="G1416" s="115"/>
      <c r="H1416" s="115"/>
      <c r="I1416" s="115"/>
      <c r="J1416" s="115"/>
      <c r="K1416" s="115"/>
      <c r="L1416" s="115"/>
      <c r="M1416" s="115"/>
      <c r="N1416" s="115"/>
      <c r="O1416" s="115"/>
      <c r="P1416" s="115"/>
      <c r="Q1416" s="115"/>
      <c r="R1416" s="115"/>
      <c r="S1416" s="115"/>
      <c r="T1416" s="115"/>
      <c r="U1416" s="115"/>
      <c r="V1416" s="115"/>
      <c r="W1416" s="115"/>
      <c r="X1416" s="115"/>
      <c r="Y1416" s="115"/>
      <c r="Z1416" s="115"/>
      <c r="AA1416" s="115"/>
      <c r="AB1416" s="115"/>
      <c r="AC1416" s="115"/>
      <c r="AD1416" s="115"/>
      <c r="AE1416" s="115"/>
      <c r="AF1416" s="115"/>
      <c r="AG1416" s="115"/>
      <c r="AH1416" s="115"/>
      <c r="AI1416" s="115"/>
      <c r="AJ1416" s="115"/>
      <c r="AK1416" s="115"/>
      <c r="AL1416" s="115"/>
      <c r="AM1416" s="122"/>
      <c r="AN1416" s="122"/>
      <c r="AO1416" s="122"/>
      <c r="AP1416" s="115"/>
      <c r="AQ1416" s="115"/>
      <c r="AR1416" s="115"/>
      <c r="AS1416" s="115"/>
      <c r="AT1416" s="115"/>
      <c r="AU1416" s="115"/>
      <c r="AV1416" s="115"/>
      <c r="AW1416" s="115"/>
      <c r="AX1416" s="115"/>
      <c r="AY1416" s="115"/>
      <c r="AZ1416" s="115"/>
      <c r="BA1416" s="115"/>
      <c r="BB1416" s="115"/>
      <c r="BC1416" s="115"/>
      <c r="BD1416" s="17"/>
      <c r="BE1416" s="15"/>
    </row>
    <row r="1417" spans="3:57" x14ac:dyDescent="0.4">
      <c r="BD1417" s="26"/>
      <c r="BE1417" s="15"/>
    </row>
    <row r="1418" spans="3:57" x14ac:dyDescent="0.4">
      <c r="E1418" s="115"/>
      <c r="F1418" s="115"/>
      <c r="G1418" s="115"/>
      <c r="H1418" s="115"/>
      <c r="I1418" s="115"/>
      <c r="J1418" s="115"/>
      <c r="K1418" s="115"/>
      <c r="L1418" s="115"/>
      <c r="M1418" s="115"/>
      <c r="N1418" s="115"/>
      <c r="O1418" s="115"/>
      <c r="P1418" s="115"/>
      <c r="Q1418" s="115"/>
      <c r="R1418" s="115"/>
      <c r="S1418" s="115"/>
      <c r="T1418" s="115"/>
      <c r="U1418" s="115"/>
      <c r="V1418" s="115"/>
      <c r="W1418" s="115"/>
      <c r="X1418" s="115"/>
      <c r="Y1418" s="115"/>
      <c r="Z1418" s="115"/>
      <c r="AA1418" s="115"/>
      <c r="AB1418" s="115"/>
      <c r="AC1418" s="115"/>
      <c r="AD1418" s="115"/>
      <c r="AE1418" s="115"/>
      <c r="AF1418" s="115"/>
      <c r="AG1418" s="115"/>
      <c r="AH1418" s="115"/>
      <c r="AI1418" s="115"/>
      <c r="AJ1418" s="115"/>
      <c r="AK1418" s="115"/>
      <c r="AL1418" s="115"/>
      <c r="AM1418" s="122"/>
      <c r="AN1418" s="122"/>
      <c r="AO1418" s="122"/>
      <c r="AP1418" s="115"/>
      <c r="AQ1418" s="115"/>
      <c r="AR1418" s="115"/>
      <c r="AS1418" s="115"/>
      <c r="AT1418" s="115"/>
      <c r="AU1418" s="115"/>
      <c r="AV1418" s="115"/>
      <c r="AW1418" s="115"/>
      <c r="AX1418" s="115"/>
      <c r="AY1418" s="115"/>
      <c r="AZ1418" s="115"/>
      <c r="BA1418" s="115"/>
      <c r="BB1418" s="115"/>
      <c r="BC1418" s="115"/>
      <c r="BD1418" s="26"/>
      <c r="BE1418" s="15"/>
    </row>
    <row r="1419" spans="3:57" x14ac:dyDescent="0.4">
      <c r="C1419" s="115"/>
      <c r="D1419" s="115"/>
      <c r="E1419" s="115"/>
      <c r="F1419" s="115"/>
      <c r="G1419" s="115"/>
      <c r="H1419" s="115"/>
      <c r="I1419" s="115"/>
      <c r="J1419" s="115"/>
      <c r="K1419" s="115"/>
      <c r="L1419" s="115"/>
      <c r="M1419" s="115"/>
      <c r="N1419" s="115"/>
      <c r="O1419" s="115"/>
      <c r="P1419" s="115"/>
      <c r="Q1419" s="115"/>
      <c r="R1419" s="115"/>
      <c r="S1419" s="115"/>
      <c r="T1419" s="115"/>
      <c r="U1419" s="115"/>
      <c r="V1419" s="115"/>
      <c r="W1419" s="115"/>
      <c r="X1419" s="115"/>
      <c r="Y1419" s="115"/>
      <c r="Z1419" s="115"/>
      <c r="AA1419" s="115"/>
      <c r="AB1419" s="115"/>
      <c r="AC1419" s="115"/>
      <c r="AD1419" s="115"/>
      <c r="AE1419" s="115"/>
      <c r="AF1419" s="115"/>
      <c r="AG1419" s="115"/>
      <c r="AH1419" s="115"/>
      <c r="AI1419" s="115"/>
      <c r="AJ1419" s="115"/>
      <c r="AK1419" s="115"/>
      <c r="AL1419" s="115"/>
      <c r="AM1419" s="122"/>
      <c r="AN1419" s="122"/>
      <c r="AO1419" s="122"/>
      <c r="AP1419" s="115"/>
      <c r="AQ1419" s="115"/>
      <c r="AR1419" s="115"/>
      <c r="AS1419" s="115"/>
      <c r="AT1419" s="115"/>
      <c r="AU1419" s="115"/>
      <c r="AV1419" s="115"/>
      <c r="AW1419" s="115"/>
      <c r="AX1419" s="115"/>
      <c r="AY1419" s="115"/>
      <c r="AZ1419" s="115"/>
      <c r="BA1419" s="115"/>
      <c r="BB1419" s="115"/>
      <c r="BC1419" s="115"/>
      <c r="BD1419" s="26"/>
      <c r="BE1419" s="15"/>
    </row>
    <row r="1420" spans="3:57" x14ac:dyDescent="0.4">
      <c r="C1420" s="115"/>
      <c r="D1420" s="115"/>
      <c r="E1420" s="115"/>
      <c r="F1420" s="115"/>
      <c r="G1420" s="115"/>
      <c r="H1420" s="115"/>
      <c r="I1420" s="115"/>
      <c r="J1420" s="115"/>
      <c r="K1420" s="115"/>
      <c r="L1420" s="115"/>
      <c r="M1420" s="115"/>
      <c r="N1420" s="115"/>
      <c r="O1420" s="115"/>
      <c r="P1420" s="115"/>
      <c r="Q1420" s="115"/>
      <c r="R1420" s="115"/>
      <c r="S1420" s="115"/>
      <c r="T1420" s="115"/>
      <c r="U1420" s="115"/>
      <c r="V1420" s="115"/>
      <c r="W1420" s="115"/>
      <c r="X1420" s="115"/>
      <c r="Y1420" s="115"/>
      <c r="Z1420" s="115"/>
      <c r="AA1420" s="115"/>
      <c r="AB1420" s="115"/>
      <c r="AC1420" s="115"/>
      <c r="AD1420" s="115"/>
      <c r="AE1420" s="115"/>
      <c r="AF1420" s="115"/>
      <c r="AG1420" s="115"/>
      <c r="AH1420" s="115"/>
      <c r="AI1420" s="115"/>
      <c r="AJ1420" s="115"/>
      <c r="AK1420" s="115"/>
      <c r="AL1420" s="115"/>
      <c r="AM1420" s="122"/>
      <c r="AN1420" s="122"/>
      <c r="AO1420" s="122"/>
      <c r="AP1420" s="115"/>
      <c r="AQ1420" s="115"/>
      <c r="AR1420" s="115"/>
      <c r="AS1420" s="115"/>
      <c r="AT1420" s="115"/>
      <c r="AU1420" s="115"/>
      <c r="AV1420" s="115"/>
      <c r="AW1420" s="115"/>
      <c r="AX1420" s="115"/>
      <c r="AY1420" s="115"/>
      <c r="AZ1420" s="115"/>
      <c r="BA1420" s="115"/>
      <c r="BB1420" s="115"/>
      <c r="BC1420" s="115"/>
      <c r="BD1420" s="26"/>
      <c r="BE1420" s="13"/>
    </row>
    <row r="1421" spans="3:57" x14ac:dyDescent="0.4">
      <c r="BD1421" s="26"/>
      <c r="BE1421" s="15"/>
    </row>
    <row r="1422" spans="3:57" x14ac:dyDescent="0.4">
      <c r="E1422" s="115"/>
      <c r="F1422" s="115"/>
      <c r="G1422" s="115"/>
      <c r="H1422" s="115"/>
      <c r="I1422" s="115"/>
      <c r="J1422" s="115"/>
      <c r="K1422" s="115"/>
      <c r="L1422" s="115"/>
      <c r="M1422" s="115"/>
      <c r="N1422" s="115"/>
      <c r="O1422" s="115"/>
      <c r="P1422" s="115"/>
      <c r="Q1422" s="115"/>
      <c r="R1422" s="115"/>
      <c r="S1422" s="115"/>
      <c r="T1422" s="115"/>
      <c r="U1422" s="115"/>
      <c r="V1422" s="115"/>
      <c r="W1422" s="115"/>
      <c r="X1422" s="115"/>
      <c r="Y1422" s="115"/>
      <c r="Z1422" s="115"/>
      <c r="AA1422" s="115"/>
      <c r="AB1422" s="115"/>
      <c r="AC1422" s="115"/>
      <c r="AD1422" s="115"/>
      <c r="AE1422" s="115"/>
      <c r="AF1422" s="115"/>
      <c r="AG1422" s="115"/>
      <c r="AH1422" s="115"/>
      <c r="AI1422" s="115"/>
      <c r="AJ1422" s="115"/>
      <c r="AK1422" s="115"/>
      <c r="AL1422" s="115"/>
      <c r="AM1422" s="122"/>
      <c r="AN1422" s="122"/>
      <c r="AO1422" s="122"/>
      <c r="AP1422" s="115"/>
      <c r="AQ1422" s="115"/>
      <c r="AR1422" s="115"/>
      <c r="AS1422" s="115"/>
      <c r="AT1422" s="115"/>
      <c r="AU1422" s="115"/>
      <c r="AV1422" s="115"/>
      <c r="AW1422" s="115"/>
      <c r="AX1422" s="115"/>
      <c r="AY1422" s="115"/>
      <c r="AZ1422" s="115"/>
      <c r="BA1422" s="115"/>
      <c r="BB1422" s="115"/>
      <c r="BC1422" s="115"/>
      <c r="BD1422" s="26"/>
      <c r="BE1422" s="15"/>
    </row>
    <row r="1423" spans="3:57" x14ac:dyDescent="0.4">
      <c r="E1423" s="115"/>
      <c r="F1423" s="115"/>
      <c r="G1423" s="115"/>
      <c r="H1423" s="115"/>
      <c r="I1423" s="115"/>
      <c r="J1423" s="115"/>
      <c r="K1423" s="115"/>
      <c r="L1423" s="115"/>
      <c r="M1423" s="115"/>
      <c r="N1423" s="115"/>
      <c r="O1423" s="115"/>
      <c r="P1423" s="115"/>
      <c r="Q1423" s="115"/>
      <c r="R1423" s="115"/>
      <c r="S1423" s="115"/>
      <c r="T1423" s="115"/>
      <c r="U1423" s="115"/>
      <c r="V1423" s="115"/>
      <c r="W1423" s="115"/>
      <c r="X1423" s="115"/>
      <c r="Y1423" s="115"/>
      <c r="Z1423" s="115"/>
      <c r="AA1423" s="115"/>
      <c r="AB1423" s="115"/>
      <c r="AC1423" s="115"/>
      <c r="AD1423" s="115"/>
      <c r="AE1423" s="115"/>
      <c r="AF1423" s="115"/>
      <c r="AG1423" s="115"/>
      <c r="AH1423" s="115"/>
      <c r="AI1423" s="115"/>
      <c r="AJ1423" s="115"/>
      <c r="AK1423" s="115"/>
      <c r="AL1423" s="115"/>
      <c r="AM1423" s="122"/>
      <c r="AN1423" s="122"/>
      <c r="AO1423" s="122"/>
      <c r="AP1423" s="115"/>
      <c r="AQ1423" s="115"/>
      <c r="AR1423" s="115"/>
      <c r="AS1423" s="115"/>
      <c r="AT1423" s="115"/>
      <c r="AU1423" s="115"/>
      <c r="AV1423" s="115"/>
      <c r="AW1423" s="115"/>
      <c r="AX1423" s="115"/>
      <c r="AY1423" s="115"/>
      <c r="AZ1423" s="115"/>
      <c r="BA1423" s="115"/>
      <c r="BB1423" s="115"/>
      <c r="BC1423" s="115"/>
      <c r="BD1423" s="26"/>
      <c r="BE1423" s="15"/>
    </row>
    <row r="1424" spans="3:57" x14ac:dyDescent="0.4">
      <c r="D1424" s="115"/>
      <c r="E1424" s="115"/>
      <c r="F1424" s="115"/>
      <c r="G1424" s="115"/>
      <c r="H1424" s="115"/>
      <c r="I1424" s="115"/>
      <c r="J1424" s="115"/>
      <c r="K1424" s="115"/>
      <c r="L1424" s="115"/>
      <c r="M1424" s="115"/>
      <c r="N1424" s="115"/>
      <c r="O1424" s="115"/>
      <c r="P1424" s="115"/>
      <c r="Q1424" s="115"/>
      <c r="R1424" s="115"/>
      <c r="S1424" s="115"/>
      <c r="T1424" s="115"/>
      <c r="U1424" s="115"/>
      <c r="V1424" s="115"/>
      <c r="W1424" s="115"/>
      <c r="X1424" s="115"/>
      <c r="Y1424" s="115"/>
      <c r="Z1424" s="115"/>
      <c r="AA1424" s="115"/>
      <c r="AB1424" s="115"/>
      <c r="AC1424" s="115"/>
      <c r="AD1424" s="115"/>
      <c r="AE1424" s="115"/>
      <c r="AF1424" s="115"/>
      <c r="AG1424" s="115"/>
      <c r="AH1424" s="115"/>
      <c r="AI1424" s="115"/>
      <c r="AJ1424" s="115"/>
      <c r="AK1424" s="115"/>
      <c r="AL1424" s="115"/>
      <c r="AM1424" s="122"/>
      <c r="AN1424" s="122"/>
      <c r="AO1424" s="122"/>
      <c r="AP1424" s="115"/>
      <c r="AQ1424" s="115"/>
      <c r="AR1424" s="115"/>
      <c r="AS1424" s="115"/>
      <c r="AT1424" s="115"/>
      <c r="AU1424" s="115"/>
      <c r="AV1424" s="115"/>
      <c r="AW1424" s="115"/>
      <c r="AX1424" s="115"/>
      <c r="AY1424" s="115"/>
      <c r="AZ1424" s="115"/>
      <c r="BA1424" s="115"/>
      <c r="BB1424" s="115"/>
      <c r="BC1424" s="115"/>
      <c r="BD1424" s="26"/>
      <c r="BE1424" s="15"/>
    </row>
    <row r="1425" spans="2:57" x14ac:dyDescent="0.4">
      <c r="D1425" s="115"/>
      <c r="E1425" s="115"/>
      <c r="F1425" s="115"/>
      <c r="G1425" s="115"/>
      <c r="H1425" s="115"/>
      <c r="I1425" s="115"/>
      <c r="J1425" s="115"/>
      <c r="K1425" s="115"/>
      <c r="L1425" s="115"/>
      <c r="M1425" s="115"/>
      <c r="N1425" s="115"/>
      <c r="O1425" s="115"/>
      <c r="P1425" s="115"/>
      <c r="Q1425" s="115"/>
      <c r="R1425" s="115"/>
      <c r="S1425" s="115"/>
      <c r="T1425" s="115"/>
      <c r="U1425" s="115"/>
      <c r="V1425" s="115"/>
      <c r="W1425" s="115"/>
      <c r="X1425" s="115"/>
      <c r="Y1425" s="115"/>
      <c r="Z1425" s="115"/>
      <c r="AA1425" s="115"/>
      <c r="AB1425" s="115"/>
      <c r="AC1425" s="115"/>
      <c r="AD1425" s="115"/>
      <c r="AE1425" s="115"/>
      <c r="AF1425" s="115"/>
      <c r="AG1425" s="115"/>
      <c r="AH1425" s="115"/>
      <c r="AI1425" s="115"/>
      <c r="AJ1425" s="115"/>
      <c r="AK1425" s="115"/>
      <c r="AL1425" s="115"/>
      <c r="AM1425" s="122"/>
      <c r="AN1425" s="122"/>
      <c r="AO1425" s="122"/>
      <c r="AP1425" s="115"/>
      <c r="AQ1425" s="115"/>
      <c r="AR1425" s="115"/>
      <c r="AS1425" s="115"/>
      <c r="AT1425" s="115"/>
      <c r="AU1425" s="115"/>
      <c r="AV1425" s="115"/>
      <c r="AW1425" s="115"/>
      <c r="AX1425" s="115"/>
      <c r="AY1425" s="115"/>
      <c r="AZ1425" s="115"/>
      <c r="BA1425" s="115"/>
      <c r="BB1425" s="115"/>
      <c r="BC1425" s="115"/>
      <c r="BD1425" s="26"/>
      <c r="BE1425" s="15"/>
    </row>
    <row r="1426" spans="2:57" x14ac:dyDescent="0.4">
      <c r="D1426" s="115"/>
      <c r="E1426" s="115"/>
      <c r="F1426" s="115"/>
      <c r="G1426" s="115"/>
      <c r="H1426" s="115"/>
      <c r="I1426" s="115"/>
      <c r="J1426" s="115"/>
      <c r="K1426" s="115"/>
      <c r="L1426" s="115"/>
      <c r="M1426" s="115"/>
      <c r="N1426" s="115"/>
      <c r="O1426" s="115"/>
      <c r="P1426" s="115"/>
      <c r="Q1426" s="115"/>
      <c r="R1426" s="115"/>
      <c r="S1426" s="115"/>
      <c r="T1426" s="115"/>
      <c r="U1426" s="115"/>
      <c r="V1426" s="115"/>
      <c r="W1426" s="115"/>
      <c r="X1426" s="115"/>
      <c r="Y1426" s="115"/>
      <c r="Z1426" s="115"/>
      <c r="AA1426" s="115"/>
      <c r="AB1426" s="115"/>
      <c r="AC1426" s="115"/>
      <c r="AD1426" s="115"/>
      <c r="AE1426" s="115"/>
      <c r="AF1426" s="115"/>
      <c r="AG1426" s="115"/>
      <c r="AH1426" s="115"/>
      <c r="AI1426" s="115"/>
      <c r="AJ1426" s="115"/>
      <c r="AK1426" s="115"/>
      <c r="AL1426" s="115"/>
      <c r="AM1426" s="122"/>
      <c r="AN1426" s="122"/>
      <c r="AO1426" s="122"/>
      <c r="AP1426" s="115"/>
      <c r="AQ1426" s="115"/>
      <c r="AR1426" s="115"/>
      <c r="AS1426" s="115"/>
      <c r="AT1426" s="115"/>
      <c r="AU1426" s="115"/>
      <c r="AV1426" s="115"/>
      <c r="AW1426" s="115"/>
      <c r="AX1426" s="115"/>
      <c r="AY1426" s="115"/>
      <c r="AZ1426" s="115"/>
      <c r="BA1426" s="115"/>
      <c r="BB1426" s="115"/>
      <c r="BC1426" s="115"/>
      <c r="BD1426" s="26"/>
      <c r="BE1426" s="15"/>
    </row>
    <row r="1427" spans="2:57" x14ac:dyDescent="0.4">
      <c r="C1427" s="115"/>
      <c r="D1427" s="115"/>
      <c r="E1427" s="115"/>
      <c r="F1427" s="115"/>
      <c r="G1427" s="115"/>
      <c r="H1427" s="115"/>
      <c r="I1427" s="115"/>
      <c r="J1427" s="115"/>
      <c r="K1427" s="115"/>
      <c r="L1427" s="115"/>
      <c r="M1427" s="115"/>
      <c r="N1427" s="115"/>
      <c r="O1427" s="115"/>
      <c r="P1427" s="115"/>
      <c r="Q1427" s="115"/>
      <c r="R1427" s="115"/>
      <c r="S1427" s="115"/>
      <c r="T1427" s="115"/>
      <c r="U1427" s="115"/>
      <c r="V1427" s="115"/>
      <c r="W1427" s="115"/>
      <c r="X1427" s="115"/>
      <c r="Y1427" s="115"/>
      <c r="Z1427" s="115"/>
      <c r="AA1427" s="115"/>
      <c r="AB1427" s="115"/>
      <c r="AC1427" s="115"/>
      <c r="AD1427" s="115"/>
      <c r="AE1427" s="115"/>
      <c r="AF1427" s="115"/>
      <c r="AG1427" s="115"/>
      <c r="AH1427" s="115"/>
      <c r="AI1427" s="115"/>
      <c r="AJ1427" s="115"/>
      <c r="AK1427" s="115"/>
      <c r="AL1427" s="115"/>
      <c r="AM1427" s="122"/>
      <c r="AN1427" s="122"/>
      <c r="AO1427" s="122"/>
      <c r="AP1427" s="115"/>
      <c r="AQ1427" s="115"/>
      <c r="AR1427" s="115"/>
      <c r="AS1427" s="115"/>
      <c r="AT1427" s="115"/>
      <c r="AU1427" s="115"/>
      <c r="AV1427" s="115"/>
      <c r="AW1427" s="115"/>
      <c r="AX1427" s="115"/>
      <c r="AY1427" s="115"/>
      <c r="AZ1427" s="115"/>
      <c r="BA1427" s="115"/>
      <c r="BB1427" s="115"/>
      <c r="BC1427" s="115"/>
      <c r="BD1427" s="26"/>
      <c r="BE1427" s="15"/>
    </row>
    <row r="1428" spans="2:57" ht="19.5" customHeight="1" x14ac:dyDescent="0.4">
      <c r="B1428" s="115"/>
      <c r="C1428" s="115"/>
      <c r="D1428" s="115"/>
      <c r="E1428" s="115"/>
      <c r="F1428" s="115"/>
      <c r="G1428" s="115"/>
      <c r="H1428" s="115"/>
      <c r="I1428" s="115"/>
      <c r="J1428" s="115"/>
      <c r="K1428" s="115"/>
      <c r="L1428" s="115"/>
      <c r="M1428" s="115"/>
      <c r="N1428" s="115"/>
      <c r="O1428" s="115"/>
      <c r="P1428" s="115"/>
      <c r="Q1428" s="115"/>
      <c r="R1428" s="115"/>
      <c r="S1428" s="115"/>
      <c r="T1428" s="115"/>
      <c r="U1428" s="115"/>
      <c r="V1428" s="115"/>
      <c r="W1428" s="115"/>
      <c r="X1428" s="115"/>
      <c r="Y1428" s="115"/>
      <c r="Z1428" s="115"/>
      <c r="AA1428" s="115"/>
      <c r="AB1428" s="115"/>
      <c r="AC1428" s="115"/>
      <c r="AD1428" s="115"/>
      <c r="AE1428" s="115"/>
      <c r="AF1428" s="115"/>
      <c r="AG1428" s="115"/>
      <c r="AH1428" s="115"/>
      <c r="AI1428" s="115"/>
      <c r="AJ1428" s="115"/>
      <c r="AK1428" s="115"/>
      <c r="AL1428" s="115"/>
      <c r="AM1428" s="122"/>
      <c r="AN1428" s="122"/>
      <c r="AO1428" s="122"/>
      <c r="AP1428" s="115"/>
      <c r="AQ1428" s="115"/>
      <c r="AR1428" s="115"/>
      <c r="AS1428" s="115"/>
      <c r="AT1428" s="115"/>
      <c r="AU1428" s="115"/>
      <c r="AV1428" s="115"/>
      <c r="AW1428" s="115"/>
      <c r="AX1428" s="115"/>
      <c r="AY1428" s="115"/>
      <c r="AZ1428" s="115"/>
      <c r="BA1428" s="115"/>
      <c r="BB1428" s="115"/>
      <c r="BC1428" s="115"/>
      <c r="BD1428" s="26"/>
      <c r="BE1428" s="15"/>
    </row>
    <row r="1429" spans="2:57" ht="19.5" customHeight="1" x14ac:dyDescent="0.4">
      <c r="B1429" s="115"/>
      <c r="C1429" s="115"/>
      <c r="D1429" s="115"/>
      <c r="E1429" s="115"/>
      <c r="F1429" s="115"/>
      <c r="G1429" s="115"/>
      <c r="H1429" s="115"/>
      <c r="I1429" s="115"/>
      <c r="J1429" s="115"/>
      <c r="K1429" s="115"/>
      <c r="L1429" s="115"/>
      <c r="M1429" s="115"/>
      <c r="N1429" s="115"/>
      <c r="O1429" s="115"/>
      <c r="P1429" s="115"/>
      <c r="Q1429" s="115"/>
      <c r="R1429" s="115"/>
      <c r="S1429" s="115"/>
      <c r="T1429" s="115"/>
      <c r="U1429" s="115"/>
      <c r="V1429" s="115"/>
      <c r="W1429" s="115"/>
      <c r="X1429" s="115"/>
      <c r="Y1429" s="115"/>
      <c r="Z1429" s="115"/>
      <c r="AA1429" s="115"/>
      <c r="AB1429" s="115"/>
      <c r="AC1429" s="115"/>
      <c r="AD1429" s="115"/>
      <c r="AE1429" s="115"/>
      <c r="AF1429" s="115"/>
      <c r="AG1429" s="115"/>
      <c r="AH1429" s="115"/>
      <c r="AI1429" s="115"/>
      <c r="AJ1429" s="115"/>
      <c r="AK1429" s="115"/>
      <c r="AL1429" s="115"/>
      <c r="AM1429" s="122"/>
      <c r="AN1429" s="122"/>
      <c r="AO1429" s="122"/>
      <c r="AP1429" s="115"/>
      <c r="AQ1429" s="115"/>
      <c r="AR1429" s="115"/>
      <c r="AS1429" s="115"/>
      <c r="AT1429" s="115"/>
      <c r="AU1429" s="115"/>
      <c r="AV1429" s="115"/>
      <c r="AW1429" s="115"/>
      <c r="AX1429" s="115"/>
      <c r="AY1429" s="115"/>
      <c r="AZ1429" s="115"/>
      <c r="BA1429" s="115"/>
      <c r="BB1429" s="115"/>
      <c r="BC1429" s="115"/>
      <c r="BD1429" s="26"/>
      <c r="BE1429" s="15"/>
    </row>
    <row r="1430" spans="2:57" x14ac:dyDescent="0.4">
      <c r="BD1430" s="26"/>
      <c r="BE1430" s="15"/>
    </row>
    <row r="1431" spans="2:57" x14ac:dyDescent="0.4">
      <c r="D1431" s="115"/>
      <c r="E1431" s="115"/>
      <c r="F1431" s="115"/>
      <c r="G1431" s="115"/>
      <c r="H1431" s="115"/>
      <c r="I1431" s="115"/>
      <c r="J1431" s="115"/>
      <c r="K1431" s="115"/>
      <c r="L1431" s="115"/>
      <c r="M1431" s="115"/>
      <c r="N1431" s="115"/>
      <c r="O1431" s="115"/>
      <c r="P1431" s="115"/>
      <c r="Q1431" s="115"/>
      <c r="R1431" s="115"/>
      <c r="S1431" s="115"/>
      <c r="T1431" s="115"/>
      <c r="U1431" s="115"/>
      <c r="V1431" s="115"/>
      <c r="W1431" s="115"/>
      <c r="X1431" s="115"/>
      <c r="Y1431" s="115"/>
      <c r="Z1431" s="115"/>
      <c r="AA1431" s="115"/>
      <c r="AB1431" s="115"/>
      <c r="AC1431" s="115"/>
      <c r="AD1431" s="115"/>
      <c r="AE1431" s="115"/>
      <c r="AF1431" s="115"/>
      <c r="AG1431" s="115"/>
      <c r="AH1431" s="115"/>
      <c r="AI1431" s="115"/>
      <c r="AJ1431" s="115"/>
      <c r="AK1431" s="115"/>
      <c r="AL1431" s="115"/>
      <c r="AM1431" s="122"/>
      <c r="AN1431" s="122"/>
      <c r="AO1431" s="122"/>
      <c r="AP1431" s="115"/>
      <c r="AQ1431" s="115"/>
      <c r="AR1431" s="115"/>
      <c r="AS1431" s="115"/>
      <c r="AT1431" s="115"/>
      <c r="AU1431" s="115"/>
      <c r="AV1431" s="115"/>
      <c r="AW1431" s="115"/>
      <c r="AX1431" s="115"/>
      <c r="AY1431" s="115"/>
      <c r="AZ1431" s="115"/>
      <c r="BA1431" s="115"/>
      <c r="BB1431" s="115"/>
      <c r="BC1431" s="115"/>
      <c r="BD1431" s="26"/>
      <c r="BE1431" s="15"/>
    </row>
    <row r="1432" spans="2:57" x14ac:dyDescent="0.4">
      <c r="C1432" s="115"/>
      <c r="D1432" s="115"/>
      <c r="E1432" s="115"/>
      <c r="F1432" s="115"/>
      <c r="G1432" s="115"/>
      <c r="H1432" s="115"/>
      <c r="I1432" s="115"/>
      <c r="J1432" s="115"/>
      <c r="K1432" s="115"/>
      <c r="L1432" s="115"/>
      <c r="M1432" s="115"/>
      <c r="N1432" s="115"/>
      <c r="O1432" s="115"/>
      <c r="P1432" s="115"/>
      <c r="Q1432" s="115"/>
      <c r="R1432" s="115"/>
      <c r="S1432" s="115"/>
      <c r="T1432" s="115"/>
      <c r="U1432" s="115"/>
      <c r="V1432" s="115"/>
      <c r="W1432" s="115"/>
      <c r="X1432" s="115"/>
      <c r="Y1432" s="115"/>
      <c r="Z1432" s="115"/>
      <c r="AA1432" s="115"/>
      <c r="AB1432" s="115"/>
      <c r="AC1432" s="115"/>
      <c r="AD1432" s="115"/>
      <c r="AE1432" s="115"/>
      <c r="AF1432" s="115"/>
      <c r="AG1432" s="115"/>
      <c r="AH1432" s="115"/>
      <c r="AI1432" s="115"/>
      <c r="AJ1432" s="115"/>
      <c r="AK1432" s="115"/>
      <c r="AL1432" s="115"/>
      <c r="AM1432" s="122"/>
      <c r="AN1432" s="122"/>
      <c r="AO1432" s="122"/>
      <c r="AP1432" s="115"/>
      <c r="AQ1432" s="115"/>
      <c r="AR1432" s="115"/>
      <c r="AS1432" s="115"/>
      <c r="AT1432" s="115"/>
      <c r="AU1432" s="115"/>
      <c r="AV1432" s="115"/>
      <c r="AW1432" s="115"/>
      <c r="AX1432" s="115"/>
      <c r="AY1432" s="115"/>
      <c r="AZ1432" s="115"/>
      <c r="BA1432" s="115"/>
      <c r="BB1432" s="115"/>
      <c r="BC1432" s="115"/>
      <c r="BD1432" s="26"/>
      <c r="BE1432" s="15"/>
    </row>
    <row r="1433" spans="2:57" x14ac:dyDescent="0.4">
      <c r="C1433" s="115"/>
      <c r="D1433" s="115"/>
      <c r="E1433" s="115"/>
      <c r="F1433" s="115"/>
      <c r="G1433" s="115"/>
      <c r="H1433" s="115"/>
      <c r="I1433" s="115"/>
      <c r="J1433" s="115"/>
      <c r="K1433" s="115"/>
      <c r="L1433" s="115"/>
      <c r="M1433" s="115"/>
      <c r="N1433" s="115"/>
      <c r="O1433" s="115"/>
      <c r="P1433" s="115"/>
      <c r="Q1433" s="115"/>
      <c r="R1433" s="115"/>
      <c r="S1433" s="115"/>
      <c r="T1433" s="115"/>
      <c r="U1433" s="115"/>
      <c r="V1433" s="115"/>
      <c r="W1433" s="115"/>
      <c r="X1433" s="115"/>
      <c r="Y1433" s="115"/>
      <c r="Z1433" s="115"/>
      <c r="AA1433" s="115"/>
      <c r="AB1433" s="115"/>
      <c r="AC1433" s="115"/>
      <c r="AD1433" s="115"/>
      <c r="AE1433" s="115"/>
      <c r="AF1433" s="115"/>
      <c r="AG1433" s="115"/>
      <c r="AH1433" s="115"/>
      <c r="AI1433" s="115"/>
      <c r="AJ1433" s="115"/>
      <c r="AK1433" s="115"/>
      <c r="AL1433" s="115"/>
      <c r="AM1433" s="122"/>
      <c r="AN1433" s="122"/>
      <c r="AO1433" s="122"/>
      <c r="AP1433" s="115"/>
      <c r="AQ1433" s="115"/>
      <c r="AR1433" s="115"/>
      <c r="AS1433" s="115"/>
      <c r="AT1433" s="115"/>
      <c r="AU1433" s="115"/>
      <c r="AV1433" s="115"/>
      <c r="AW1433" s="115"/>
      <c r="AX1433" s="115"/>
      <c r="AY1433" s="115"/>
      <c r="AZ1433" s="115"/>
      <c r="BA1433" s="115"/>
      <c r="BB1433" s="115"/>
      <c r="BC1433" s="115"/>
      <c r="BD1433" s="17"/>
      <c r="BE1433" s="15"/>
    </row>
    <row r="1434" spans="2:57" x14ac:dyDescent="0.4">
      <c r="BD1434" s="26"/>
      <c r="BE1434" s="15"/>
    </row>
    <row r="1435" spans="2:57" x14ac:dyDescent="0.4">
      <c r="AG1435" s="115"/>
      <c r="AH1435" s="115"/>
      <c r="AI1435" s="115"/>
      <c r="AJ1435" s="115"/>
      <c r="AK1435" s="115"/>
      <c r="AL1435" s="115"/>
      <c r="AM1435" s="122"/>
      <c r="AN1435" s="122"/>
      <c r="AO1435" s="122"/>
      <c r="AP1435" s="115"/>
      <c r="AQ1435" s="115"/>
      <c r="AR1435" s="115"/>
      <c r="AS1435" s="115"/>
      <c r="AT1435" s="115"/>
      <c r="AU1435" s="115"/>
      <c r="AV1435" s="115"/>
      <c r="AW1435" s="115"/>
      <c r="AX1435" s="115"/>
      <c r="AY1435" s="115"/>
      <c r="AZ1435" s="115"/>
      <c r="BA1435" s="115"/>
      <c r="BB1435" s="115"/>
      <c r="BC1435" s="115"/>
      <c r="BD1435" s="17"/>
      <c r="BE1435" s="15"/>
    </row>
    <row r="1436" spans="2:57" x14ac:dyDescent="0.4">
      <c r="C1436" s="115"/>
      <c r="D1436" s="115"/>
      <c r="E1436" s="115"/>
      <c r="F1436" s="115"/>
      <c r="G1436" s="115"/>
      <c r="H1436" s="115"/>
      <c r="I1436" s="115"/>
      <c r="J1436" s="115"/>
      <c r="K1436" s="115"/>
      <c r="L1436" s="115"/>
      <c r="M1436" s="115"/>
      <c r="N1436" s="115"/>
      <c r="O1436" s="115"/>
      <c r="P1436" s="115"/>
      <c r="Q1436" s="115"/>
      <c r="R1436" s="115"/>
      <c r="S1436" s="115"/>
      <c r="T1436" s="115"/>
      <c r="U1436" s="115"/>
      <c r="V1436" s="115"/>
      <c r="W1436" s="115"/>
      <c r="X1436" s="115"/>
      <c r="Y1436" s="115"/>
      <c r="Z1436" s="115"/>
      <c r="AA1436" s="115"/>
      <c r="AB1436" s="115"/>
      <c r="AC1436" s="115"/>
      <c r="AD1436" s="115"/>
      <c r="AE1436" s="115"/>
      <c r="AF1436" s="115"/>
      <c r="AG1436" s="115"/>
      <c r="AH1436" s="115"/>
      <c r="AI1436" s="115"/>
      <c r="AJ1436" s="115"/>
      <c r="AK1436" s="115"/>
      <c r="AL1436" s="115"/>
      <c r="AM1436" s="122"/>
      <c r="AN1436" s="122"/>
      <c r="AO1436" s="122"/>
      <c r="AP1436" s="115"/>
      <c r="AQ1436" s="115"/>
      <c r="AR1436" s="115"/>
      <c r="AS1436" s="115"/>
      <c r="AT1436" s="115"/>
      <c r="AU1436" s="115"/>
      <c r="AV1436" s="115"/>
      <c r="AW1436" s="115"/>
      <c r="AX1436" s="115"/>
      <c r="AY1436" s="115"/>
      <c r="AZ1436" s="115"/>
      <c r="BA1436" s="115"/>
      <c r="BB1436" s="115"/>
      <c r="BC1436" s="115"/>
      <c r="BD1436" s="26"/>
      <c r="BE1436" s="15"/>
    </row>
    <row r="1437" spans="2:57" x14ac:dyDescent="0.4">
      <c r="BD1437" s="26"/>
      <c r="BE1437" s="15"/>
    </row>
    <row r="1438" spans="2:57" x14ac:dyDescent="0.4">
      <c r="BD1438" s="26"/>
      <c r="BE1438" s="15"/>
    </row>
    <row r="1439" spans="2:57" x14ac:dyDescent="0.4">
      <c r="AF1439" s="115"/>
      <c r="AG1439" s="115"/>
      <c r="AH1439" s="115"/>
      <c r="AI1439" s="115"/>
      <c r="AJ1439" s="115"/>
      <c r="AK1439" s="115"/>
      <c r="AL1439" s="115"/>
      <c r="AM1439" s="122"/>
      <c r="AN1439" s="122"/>
      <c r="AO1439" s="122"/>
      <c r="AP1439" s="115"/>
      <c r="AQ1439" s="115"/>
      <c r="AR1439" s="115"/>
      <c r="AS1439" s="115"/>
      <c r="AT1439" s="115"/>
      <c r="AU1439" s="115"/>
      <c r="AV1439" s="115"/>
      <c r="AW1439" s="115"/>
      <c r="AX1439" s="115"/>
      <c r="AY1439" s="115"/>
      <c r="AZ1439" s="115"/>
      <c r="BA1439" s="115"/>
      <c r="BB1439" s="115"/>
      <c r="BC1439" s="115"/>
      <c r="BD1439" s="26"/>
      <c r="BE1439" s="15"/>
    </row>
    <row r="1440" spans="2:57" x14ac:dyDescent="0.4">
      <c r="BD1440" s="26"/>
      <c r="BE1440" s="15"/>
    </row>
    <row r="1441" spans="1:57" x14ac:dyDescent="0.4">
      <c r="AG1441" s="115"/>
      <c r="AH1441" s="115"/>
      <c r="AI1441" s="115"/>
      <c r="AJ1441" s="115"/>
      <c r="AK1441" s="115"/>
      <c r="AL1441" s="115"/>
      <c r="AM1441" s="122"/>
      <c r="AN1441" s="122"/>
      <c r="AO1441" s="122"/>
      <c r="AP1441" s="115"/>
      <c r="AQ1441" s="115"/>
      <c r="AR1441" s="115"/>
      <c r="AS1441" s="115"/>
      <c r="AT1441" s="115"/>
      <c r="AU1441" s="115"/>
      <c r="AV1441" s="115"/>
      <c r="AW1441" s="115"/>
      <c r="AX1441" s="115"/>
      <c r="AY1441" s="115"/>
      <c r="AZ1441" s="115"/>
      <c r="BA1441" s="115"/>
      <c r="BB1441" s="115"/>
      <c r="BC1441" s="115"/>
      <c r="BD1441" s="17"/>
      <c r="BE1441" s="15"/>
    </row>
    <row r="1442" spans="1:57" x14ac:dyDescent="0.4">
      <c r="A1442" s="115"/>
      <c r="B1442" s="115"/>
      <c r="C1442" s="115"/>
      <c r="D1442" s="115"/>
      <c r="E1442" s="115"/>
      <c r="F1442" s="115"/>
      <c r="G1442" s="115"/>
      <c r="H1442" s="115"/>
      <c r="I1442" s="115"/>
      <c r="J1442" s="115"/>
      <c r="K1442" s="115"/>
      <c r="L1442" s="115"/>
      <c r="M1442" s="115"/>
      <c r="N1442" s="115"/>
      <c r="O1442" s="115"/>
      <c r="P1442" s="115"/>
      <c r="Q1442" s="115"/>
      <c r="R1442" s="115"/>
      <c r="S1442" s="115"/>
      <c r="T1442" s="115"/>
      <c r="U1442" s="115"/>
      <c r="V1442" s="115"/>
      <c r="W1442" s="115"/>
      <c r="X1442" s="115"/>
      <c r="Y1442" s="115"/>
      <c r="Z1442" s="115"/>
      <c r="AA1442" s="115"/>
      <c r="AB1442" s="115"/>
      <c r="AC1442" s="115"/>
      <c r="AD1442" s="115"/>
      <c r="AE1442" s="115"/>
      <c r="AF1442" s="115"/>
      <c r="AG1442" s="115"/>
      <c r="AH1442" s="115"/>
      <c r="AI1442" s="115"/>
      <c r="AJ1442" s="115"/>
      <c r="AK1442" s="115"/>
      <c r="AL1442" s="115"/>
      <c r="AM1442" s="122"/>
      <c r="AN1442" s="122"/>
      <c r="AO1442" s="122"/>
      <c r="AP1442" s="115"/>
      <c r="AQ1442" s="115"/>
      <c r="AR1442" s="115"/>
      <c r="AS1442" s="115"/>
      <c r="AT1442" s="115"/>
      <c r="AU1442" s="115"/>
      <c r="AV1442" s="115"/>
      <c r="AW1442" s="115"/>
      <c r="AX1442" s="115"/>
      <c r="AY1442" s="115"/>
      <c r="AZ1442" s="115"/>
      <c r="BA1442" s="115"/>
      <c r="BB1442" s="115"/>
      <c r="BC1442" s="115"/>
      <c r="BD1442" s="26"/>
      <c r="BE1442" s="15"/>
    </row>
    <row r="1443" spans="1:57" x14ac:dyDescent="0.4">
      <c r="A1443" s="115"/>
      <c r="B1443" s="115"/>
      <c r="C1443" s="115"/>
      <c r="D1443" s="115"/>
      <c r="E1443" s="115"/>
      <c r="F1443" s="115"/>
      <c r="G1443" s="115"/>
      <c r="H1443" s="115"/>
      <c r="I1443" s="115"/>
      <c r="J1443" s="115"/>
      <c r="K1443" s="115"/>
      <c r="L1443" s="115"/>
      <c r="M1443" s="115"/>
      <c r="N1443" s="115"/>
      <c r="O1443" s="115"/>
      <c r="P1443" s="115"/>
      <c r="Q1443" s="115"/>
      <c r="R1443" s="115"/>
      <c r="S1443" s="115"/>
      <c r="T1443" s="115"/>
      <c r="U1443" s="115"/>
      <c r="V1443" s="115"/>
      <c r="W1443" s="115"/>
      <c r="X1443" s="115"/>
      <c r="Y1443" s="115"/>
      <c r="Z1443" s="115"/>
      <c r="AA1443" s="115"/>
      <c r="AB1443" s="115"/>
      <c r="AC1443" s="115"/>
      <c r="AD1443" s="115"/>
      <c r="AE1443" s="115"/>
      <c r="AF1443" s="115"/>
      <c r="AG1443" s="115"/>
      <c r="AH1443" s="115"/>
      <c r="AI1443" s="115"/>
      <c r="AJ1443" s="115"/>
      <c r="AK1443" s="115"/>
      <c r="AL1443" s="115"/>
      <c r="AM1443" s="122"/>
      <c r="AN1443" s="122"/>
      <c r="AO1443" s="122"/>
      <c r="AP1443" s="115"/>
      <c r="AQ1443" s="115"/>
      <c r="AR1443" s="115"/>
      <c r="AS1443" s="115"/>
      <c r="AT1443" s="115"/>
      <c r="AU1443" s="115"/>
      <c r="AV1443" s="115"/>
      <c r="AW1443" s="115"/>
      <c r="AX1443" s="115"/>
      <c r="AY1443" s="115"/>
      <c r="AZ1443" s="115"/>
      <c r="BA1443" s="115"/>
      <c r="BB1443" s="115"/>
      <c r="BC1443" s="115"/>
      <c r="BD1443" s="17"/>
      <c r="BE1443" s="13"/>
    </row>
    <row r="1444" spans="1:57" x14ac:dyDescent="0.4">
      <c r="A1444" s="115"/>
      <c r="B1444" s="115"/>
      <c r="C1444" s="115"/>
      <c r="D1444" s="115"/>
      <c r="E1444" s="115"/>
      <c r="F1444" s="115"/>
      <c r="G1444" s="115"/>
      <c r="H1444" s="115"/>
      <c r="I1444" s="115"/>
      <c r="J1444" s="115"/>
      <c r="K1444" s="115"/>
      <c r="L1444" s="115"/>
      <c r="M1444" s="115"/>
      <c r="N1444" s="115"/>
      <c r="O1444" s="115"/>
      <c r="P1444" s="115"/>
      <c r="Q1444" s="115"/>
      <c r="R1444" s="115"/>
      <c r="S1444" s="115"/>
      <c r="T1444" s="115"/>
      <c r="U1444" s="115"/>
      <c r="V1444" s="115"/>
      <c r="W1444" s="115"/>
      <c r="X1444" s="115"/>
      <c r="Y1444" s="115"/>
      <c r="Z1444" s="115"/>
      <c r="AA1444" s="115"/>
      <c r="AB1444" s="115"/>
      <c r="AC1444" s="115"/>
      <c r="AD1444" s="115"/>
      <c r="AE1444" s="115"/>
      <c r="AF1444" s="115"/>
      <c r="AG1444" s="115"/>
      <c r="AH1444" s="115"/>
      <c r="AI1444" s="115"/>
      <c r="AJ1444" s="115"/>
      <c r="AK1444" s="115"/>
      <c r="AL1444" s="115"/>
      <c r="AM1444" s="122"/>
      <c r="AN1444" s="122"/>
      <c r="AO1444" s="122"/>
      <c r="AP1444" s="115"/>
      <c r="AQ1444" s="115"/>
      <c r="AR1444" s="115"/>
      <c r="AS1444" s="115"/>
      <c r="AT1444" s="115"/>
      <c r="AU1444" s="115"/>
      <c r="AV1444" s="115"/>
      <c r="AW1444" s="115"/>
      <c r="AX1444" s="115"/>
      <c r="AY1444" s="115"/>
      <c r="AZ1444" s="115"/>
      <c r="BA1444" s="115"/>
      <c r="BB1444" s="115"/>
      <c r="BC1444" s="115"/>
      <c r="BD1444" s="17"/>
      <c r="BE1444" s="13"/>
    </row>
    <row r="1445" spans="1:57" x14ac:dyDescent="0.4">
      <c r="BD1445" s="26"/>
      <c r="BE1445" s="13"/>
    </row>
    <row r="1446" spans="1:57" x14ac:dyDescent="0.4">
      <c r="C1446" s="115"/>
      <c r="D1446" s="115"/>
      <c r="E1446" s="115"/>
      <c r="F1446" s="115"/>
      <c r="G1446" s="115"/>
      <c r="H1446" s="115"/>
      <c r="I1446" s="115"/>
      <c r="J1446" s="115"/>
      <c r="K1446" s="115"/>
      <c r="L1446" s="115"/>
      <c r="M1446" s="115"/>
      <c r="N1446" s="115"/>
      <c r="O1446" s="115"/>
      <c r="P1446" s="115"/>
      <c r="Q1446" s="115"/>
      <c r="R1446" s="115"/>
      <c r="S1446" s="115"/>
      <c r="T1446" s="115"/>
      <c r="U1446" s="115"/>
      <c r="V1446" s="115"/>
      <c r="W1446" s="115"/>
      <c r="X1446" s="115"/>
      <c r="Y1446" s="115"/>
      <c r="Z1446" s="115"/>
      <c r="AA1446" s="115"/>
      <c r="AB1446" s="115"/>
      <c r="AC1446" s="115"/>
      <c r="AD1446" s="115"/>
      <c r="AE1446" s="115"/>
      <c r="AF1446" s="115"/>
      <c r="AG1446" s="115"/>
      <c r="AH1446" s="115"/>
      <c r="AI1446" s="115"/>
      <c r="AJ1446" s="115"/>
      <c r="AK1446" s="115"/>
      <c r="AL1446" s="115"/>
      <c r="AM1446" s="122"/>
      <c r="AN1446" s="122"/>
      <c r="AO1446" s="122"/>
      <c r="AP1446" s="115"/>
      <c r="AQ1446" s="115"/>
      <c r="AR1446" s="115"/>
      <c r="AS1446" s="115"/>
      <c r="AT1446" s="115"/>
      <c r="AU1446" s="115"/>
      <c r="AV1446" s="115"/>
      <c r="AW1446" s="115"/>
      <c r="AX1446" s="115"/>
      <c r="AY1446" s="115"/>
      <c r="AZ1446" s="115"/>
      <c r="BA1446" s="115"/>
      <c r="BB1446" s="115"/>
      <c r="BC1446" s="115"/>
      <c r="BD1446" s="26"/>
      <c r="BE1446" s="15"/>
    </row>
    <row r="1447" spans="1:57" x14ac:dyDescent="0.4">
      <c r="C1447" s="115"/>
      <c r="D1447" s="115"/>
      <c r="E1447" s="115"/>
      <c r="F1447" s="115"/>
      <c r="G1447" s="115"/>
      <c r="H1447" s="115"/>
      <c r="I1447" s="115"/>
      <c r="J1447" s="115"/>
      <c r="K1447" s="115"/>
      <c r="L1447" s="115"/>
      <c r="M1447" s="115"/>
      <c r="N1447" s="115"/>
      <c r="O1447" s="115"/>
      <c r="P1447" s="115"/>
      <c r="Q1447" s="115"/>
      <c r="R1447" s="115"/>
      <c r="S1447" s="115"/>
      <c r="T1447" s="115"/>
      <c r="U1447" s="115"/>
      <c r="V1447" s="115"/>
      <c r="W1447" s="115"/>
      <c r="X1447" s="115"/>
      <c r="Y1447" s="115"/>
      <c r="Z1447" s="115"/>
      <c r="AA1447" s="115"/>
      <c r="AB1447" s="115"/>
      <c r="AC1447" s="115"/>
      <c r="AD1447" s="115"/>
      <c r="AE1447" s="115"/>
      <c r="AF1447" s="115"/>
      <c r="AG1447" s="115"/>
      <c r="AH1447" s="115"/>
      <c r="AI1447" s="115"/>
      <c r="AJ1447" s="115"/>
      <c r="AK1447" s="115"/>
      <c r="AL1447" s="115"/>
      <c r="AM1447" s="122"/>
      <c r="AN1447" s="122"/>
      <c r="AO1447" s="122"/>
      <c r="AP1447" s="115"/>
      <c r="AQ1447" s="115"/>
      <c r="AR1447" s="115"/>
      <c r="AS1447" s="115"/>
      <c r="AT1447" s="115"/>
      <c r="AU1447" s="115"/>
      <c r="AV1447" s="115"/>
      <c r="AW1447" s="115"/>
      <c r="AX1447" s="115"/>
      <c r="AY1447" s="115"/>
      <c r="AZ1447" s="115"/>
      <c r="BA1447" s="115"/>
      <c r="BB1447" s="115"/>
      <c r="BC1447" s="115"/>
      <c r="BD1447" s="26"/>
      <c r="BE1447" s="15"/>
    </row>
    <row r="1448" spans="1:57" x14ac:dyDescent="0.4">
      <c r="BD1448" s="26"/>
      <c r="BE1448" s="15"/>
    </row>
    <row r="1449" spans="1:57" x14ac:dyDescent="0.4">
      <c r="D1449" s="115"/>
      <c r="E1449" s="115"/>
      <c r="F1449" s="115"/>
      <c r="G1449" s="115"/>
      <c r="H1449" s="115"/>
      <c r="I1449" s="115"/>
      <c r="J1449" s="115"/>
      <c r="K1449" s="115"/>
      <c r="L1449" s="115"/>
      <c r="M1449" s="115"/>
      <c r="N1449" s="115"/>
      <c r="O1449" s="115"/>
      <c r="P1449" s="115"/>
      <c r="Q1449" s="115"/>
      <c r="R1449" s="115"/>
      <c r="S1449" s="115"/>
      <c r="T1449" s="115"/>
      <c r="U1449" s="115"/>
      <c r="V1449" s="115"/>
      <c r="W1449" s="115"/>
      <c r="X1449" s="115"/>
      <c r="Y1449" s="115"/>
      <c r="Z1449" s="115"/>
      <c r="AA1449" s="115"/>
      <c r="AB1449" s="115"/>
      <c r="AC1449" s="115"/>
      <c r="AD1449" s="115"/>
      <c r="AE1449" s="115"/>
      <c r="AF1449" s="115"/>
      <c r="AG1449" s="115"/>
      <c r="AH1449" s="115"/>
      <c r="AI1449" s="115"/>
      <c r="AJ1449" s="115"/>
      <c r="AK1449" s="115"/>
      <c r="AL1449" s="115"/>
      <c r="AM1449" s="122"/>
      <c r="AN1449" s="122"/>
      <c r="AO1449" s="122"/>
      <c r="AP1449" s="115"/>
      <c r="AQ1449" s="115"/>
      <c r="AR1449" s="115"/>
      <c r="AS1449" s="115"/>
      <c r="AT1449" s="115"/>
      <c r="AU1449" s="115"/>
      <c r="AV1449" s="115"/>
      <c r="AW1449" s="115"/>
      <c r="AX1449" s="115"/>
      <c r="AY1449" s="115"/>
      <c r="AZ1449" s="115"/>
      <c r="BA1449" s="115"/>
      <c r="BB1449" s="115"/>
      <c r="BC1449" s="115"/>
      <c r="BD1449" s="26"/>
      <c r="BE1449" s="15"/>
    </row>
    <row r="1450" spans="1:57" x14ac:dyDescent="0.4">
      <c r="C1450" s="115"/>
      <c r="D1450" s="115"/>
      <c r="E1450" s="115"/>
      <c r="F1450" s="115"/>
      <c r="G1450" s="115"/>
      <c r="H1450" s="115"/>
      <c r="I1450" s="115"/>
      <c r="J1450" s="115"/>
      <c r="K1450" s="115"/>
      <c r="L1450" s="115"/>
      <c r="M1450" s="115"/>
      <c r="N1450" s="115"/>
      <c r="O1450" s="115"/>
      <c r="P1450" s="115"/>
      <c r="Q1450" s="115"/>
      <c r="R1450" s="115"/>
      <c r="S1450" s="115"/>
      <c r="T1450" s="115"/>
      <c r="U1450" s="115"/>
      <c r="V1450" s="115"/>
      <c r="W1450" s="115"/>
      <c r="X1450" s="115"/>
      <c r="Y1450" s="115"/>
      <c r="Z1450" s="115"/>
      <c r="AA1450" s="115"/>
      <c r="AB1450" s="115"/>
      <c r="AC1450" s="115"/>
      <c r="AD1450" s="115"/>
      <c r="AE1450" s="115"/>
      <c r="AF1450" s="115"/>
      <c r="AG1450" s="115"/>
      <c r="AH1450" s="115"/>
      <c r="AI1450" s="115"/>
      <c r="AJ1450" s="115"/>
      <c r="AK1450" s="115"/>
      <c r="AL1450" s="115"/>
      <c r="AM1450" s="122"/>
      <c r="AN1450" s="122"/>
      <c r="AO1450" s="122"/>
      <c r="AP1450" s="115"/>
      <c r="AQ1450" s="115"/>
      <c r="AR1450" s="115"/>
      <c r="AS1450" s="115"/>
      <c r="AT1450" s="115"/>
      <c r="AU1450" s="115"/>
      <c r="AV1450" s="115"/>
      <c r="AW1450" s="115"/>
      <c r="AX1450" s="115"/>
      <c r="AY1450" s="115"/>
      <c r="AZ1450" s="115"/>
      <c r="BA1450" s="115"/>
      <c r="BB1450" s="115"/>
      <c r="BC1450" s="115"/>
      <c r="BD1450" s="26"/>
      <c r="BE1450" s="15"/>
    </row>
    <row r="1451" spans="1:57" x14ac:dyDescent="0.4">
      <c r="C1451" s="115"/>
      <c r="D1451" s="115"/>
      <c r="E1451" s="115"/>
      <c r="F1451" s="115"/>
      <c r="G1451" s="115"/>
      <c r="H1451" s="115"/>
      <c r="I1451" s="115"/>
      <c r="J1451" s="115"/>
      <c r="K1451" s="115"/>
      <c r="L1451" s="115"/>
      <c r="M1451" s="115"/>
      <c r="N1451" s="115"/>
      <c r="O1451" s="115"/>
      <c r="P1451" s="115"/>
      <c r="Q1451" s="115"/>
      <c r="R1451" s="115"/>
      <c r="S1451" s="115"/>
      <c r="T1451" s="115"/>
      <c r="U1451" s="115"/>
      <c r="V1451" s="115"/>
      <c r="W1451" s="115"/>
      <c r="X1451" s="115"/>
      <c r="Y1451" s="115"/>
      <c r="Z1451" s="115"/>
      <c r="AA1451" s="115"/>
      <c r="AB1451" s="115"/>
      <c r="AC1451" s="115"/>
      <c r="AD1451" s="115"/>
      <c r="AE1451" s="115"/>
      <c r="AF1451" s="115"/>
      <c r="AG1451" s="115"/>
      <c r="AH1451" s="115"/>
      <c r="AI1451" s="115"/>
      <c r="AJ1451" s="115"/>
      <c r="AK1451" s="115"/>
      <c r="AL1451" s="115"/>
      <c r="AM1451" s="122"/>
      <c r="AN1451" s="122"/>
      <c r="AO1451" s="122"/>
      <c r="AP1451" s="115"/>
      <c r="AQ1451" s="115"/>
      <c r="AR1451" s="115"/>
      <c r="AS1451" s="115"/>
      <c r="AT1451" s="115"/>
      <c r="AU1451" s="115"/>
      <c r="AV1451" s="115"/>
      <c r="AW1451" s="115"/>
      <c r="AX1451" s="115"/>
      <c r="AY1451" s="115"/>
      <c r="AZ1451" s="115"/>
      <c r="BA1451" s="115"/>
      <c r="BB1451" s="115"/>
      <c r="BC1451" s="115"/>
      <c r="BD1451" s="26"/>
      <c r="BE1451" s="15"/>
    </row>
    <row r="1452" spans="1:57" x14ac:dyDescent="0.4">
      <c r="C1452" s="115"/>
      <c r="D1452" s="115"/>
      <c r="E1452" s="115"/>
      <c r="F1452" s="115"/>
      <c r="G1452" s="115"/>
      <c r="H1452" s="115"/>
      <c r="I1452" s="115"/>
      <c r="J1452" s="115"/>
      <c r="K1452" s="115"/>
      <c r="L1452" s="115"/>
      <c r="M1452" s="115"/>
      <c r="N1452" s="115"/>
      <c r="O1452" s="115"/>
      <c r="P1452" s="115"/>
      <c r="Q1452" s="115"/>
      <c r="R1452" s="115"/>
      <c r="S1452" s="115"/>
      <c r="T1452" s="115"/>
      <c r="U1452" s="115"/>
      <c r="V1452" s="115"/>
      <c r="W1452" s="115"/>
      <c r="X1452" s="115"/>
      <c r="Y1452" s="115"/>
      <c r="Z1452" s="115"/>
      <c r="AA1452" s="115"/>
      <c r="AB1452" s="115"/>
      <c r="AC1452" s="115"/>
      <c r="AD1452" s="115"/>
      <c r="AE1452" s="115"/>
      <c r="AF1452" s="115"/>
      <c r="AG1452" s="115"/>
      <c r="AH1452" s="115"/>
      <c r="AI1452" s="115"/>
      <c r="AJ1452" s="115"/>
      <c r="AK1452" s="115"/>
      <c r="AL1452" s="115"/>
      <c r="AM1452" s="122"/>
      <c r="AN1452" s="122"/>
      <c r="AO1452" s="122"/>
      <c r="AP1452" s="115"/>
      <c r="AQ1452" s="115"/>
      <c r="AR1452" s="115"/>
      <c r="AS1452" s="115"/>
      <c r="AT1452" s="115"/>
      <c r="AU1452" s="115"/>
      <c r="AV1452" s="115"/>
      <c r="AW1452" s="115"/>
      <c r="AX1452" s="115"/>
      <c r="AY1452" s="115"/>
      <c r="AZ1452" s="115"/>
      <c r="BA1452" s="115"/>
      <c r="BB1452" s="115"/>
      <c r="BC1452" s="115"/>
      <c r="BD1452" s="26"/>
      <c r="BE1452" s="15"/>
    </row>
    <row r="1453" spans="1:57" x14ac:dyDescent="0.4">
      <c r="BD1453" s="26"/>
      <c r="BE1453" s="15"/>
    </row>
    <row r="1454" spans="1:57" x14ac:dyDescent="0.4">
      <c r="D1454" s="115"/>
      <c r="E1454" s="115"/>
      <c r="F1454" s="115"/>
      <c r="G1454" s="115"/>
      <c r="H1454" s="115"/>
      <c r="I1454" s="115"/>
      <c r="J1454" s="115"/>
      <c r="K1454" s="115"/>
      <c r="L1454" s="115"/>
      <c r="M1454" s="115"/>
      <c r="N1454" s="115"/>
      <c r="O1454" s="115"/>
      <c r="P1454" s="115"/>
      <c r="Q1454" s="115"/>
      <c r="R1454" s="115"/>
      <c r="S1454" s="115"/>
      <c r="T1454" s="115"/>
      <c r="U1454" s="115"/>
      <c r="V1454" s="115"/>
      <c r="W1454" s="115"/>
      <c r="X1454" s="115"/>
      <c r="Y1454" s="115"/>
      <c r="Z1454" s="115"/>
      <c r="AA1454" s="115"/>
      <c r="AB1454" s="115"/>
      <c r="AC1454" s="115"/>
      <c r="AD1454" s="115"/>
      <c r="AE1454" s="115"/>
      <c r="AF1454" s="115"/>
      <c r="AG1454" s="115"/>
      <c r="AH1454" s="115"/>
      <c r="AI1454" s="115"/>
      <c r="AJ1454" s="115"/>
      <c r="AK1454" s="115"/>
      <c r="AL1454" s="115"/>
      <c r="AM1454" s="122"/>
      <c r="AN1454" s="122"/>
      <c r="AO1454" s="122"/>
      <c r="AP1454" s="115"/>
      <c r="AQ1454" s="115"/>
      <c r="AR1454" s="115"/>
      <c r="AS1454" s="115"/>
      <c r="AT1454" s="115"/>
      <c r="AU1454" s="115"/>
      <c r="AV1454" s="115"/>
      <c r="AW1454" s="115"/>
      <c r="AX1454" s="115"/>
      <c r="AY1454" s="115"/>
      <c r="AZ1454" s="115"/>
      <c r="BA1454" s="115"/>
      <c r="BB1454" s="115"/>
      <c r="BC1454" s="115"/>
      <c r="BD1454" s="26"/>
      <c r="BE1454" s="15"/>
    </row>
    <row r="1455" spans="1:57" x14ac:dyDescent="0.4">
      <c r="BD1455" s="26"/>
      <c r="BE1455" s="15"/>
    </row>
    <row r="1456" spans="1:57" x14ac:dyDescent="0.4">
      <c r="D1456" s="115"/>
      <c r="E1456" s="115"/>
      <c r="F1456" s="115"/>
      <c r="G1456" s="115"/>
      <c r="H1456" s="115"/>
      <c r="I1456" s="115"/>
      <c r="J1456" s="115"/>
      <c r="K1456" s="115"/>
      <c r="L1456" s="115"/>
      <c r="M1456" s="115"/>
      <c r="N1456" s="115"/>
      <c r="O1456" s="115"/>
      <c r="P1456" s="115"/>
      <c r="Q1456" s="115"/>
      <c r="R1456" s="115"/>
      <c r="S1456" s="115"/>
      <c r="T1456" s="115"/>
      <c r="U1456" s="115"/>
      <c r="V1456" s="115"/>
      <c r="W1456" s="115"/>
      <c r="X1456" s="115"/>
      <c r="Y1456" s="115"/>
      <c r="Z1456" s="115"/>
      <c r="AA1456" s="115"/>
      <c r="AB1456" s="115"/>
      <c r="AC1456" s="115"/>
      <c r="AD1456" s="115"/>
      <c r="AE1456" s="115"/>
      <c r="AF1456" s="115"/>
      <c r="AG1456" s="115"/>
      <c r="AH1456" s="115"/>
      <c r="AI1456" s="115"/>
      <c r="AJ1456" s="115"/>
      <c r="AK1456" s="115"/>
      <c r="AL1456" s="115"/>
      <c r="AM1456" s="122"/>
      <c r="AN1456" s="122"/>
      <c r="AO1456" s="122"/>
      <c r="AP1456" s="115"/>
      <c r="AQ1456" s="115"/>
      <c r="AR1456" s="115"/>
      <c r="AS1456" s="115"/>
      <c r="AT1456" s="115"/>
      <c r="AU1456" s="115"/>
      <c r="AV1456" s="115"/>
      <c r="AW1456" s="115"/>
      <c r="AX1456" s="115"/>
      <c r="AY1456" s="115"/>
      <c r="AZ1456" s="115"/>
      <c r="BA1456" s="115"/>
      <c r="BB1456" s="115"/>
      <c r="BC1456" s="115"/>
      <c r="BD1456" s="26"/>
      <c r="BE1456" s="15"/>
    </row>
    <row r="1457" spans="1:57" x14ac:dyDescent="0.4">
      <c r="D1457" s="115"/>
      <c r="E1457" s="115"/>
      <c r="F1457" s="115"/>
      <c r="G1457" s="115"/>
      <c r="H1457" s="115"/>
      <c r="I1457" s="115"/>
      <c r="J1457" s="115"/>
      <c r="K1457" s="115"/>
      <c r="L1457" s="115"/>
      <c r="M1457" s="115"/>
      <c r="N1457" s="115"/>
      <c r="O1457" s="115"/>
      <c r="P1457" s="115"/>
      <c r="Q1457" s="115"/>
      <c r="R1457" s="115"/>
      <c r="S1457" s="115"/>
      <c r="T1457" s="115"/>
      <c r="U1457" s="115"/>
      <c r="V1457" s="115"/>
      <c r="W1457" s="115"/>
      <c r="X1457" s="115"/>
      <c r="Y1457" s="115"/>
      <c r="Z1457" s="115"/>
      <c r="AA1457" s="115"/>
      <c r="AB1457" s="115"/>
      <c r="AC1457" s="115"/>
      <c r="AD1457" s="115"/>
      <c r="AE1457" s="115"/>
      <c r="AF1457" s="115"/>
      <c r="AG1457" s="115"/>
      <c r="AH1457" s="115"/>
      <c r="AI1457" s="115"/>
      <c r="AJ1457" s="115"/>
      <c r="AK1457" s="115"/>
      <c r="AL1457" s="115"/>
      <c r="AM1457" s="122"/>
      <c r="AN1457" s="122"/>
      <c r="AO1457" s="122"/>
      <c r="AP1457" s="115"/>
      <c r="AQ1457" s="115"/>
      <c r="AR1457" s="115"/>
      <c r="AS1457" s="115"/>
      <c r="AT1457" s="115"/>
      <c r="AU1457" s="115"/>
      <c r="AV1457" s="115"/>
      <c r="AW1457" s="115"/>
      <c r="AX1457" s="115"/>
      <c r="AY1457" s="115"/>
      <c r="AZ1457" s="115"/>
      <c r="BA1457" s="115"/>
      <c r="BB1457" s="115"/>
      <c r="BC1457" s="115"/>
      <c r="BD1457" s="26"/>
      <c r="BE1457" s="15"/>
    </row>
    <row r="1458" spans="1:57" x14ac:dyDescent="0.4">
      <c r="D1458" s="115"/>
      <c r="E1458" s="115"/>
      <c r="F1458" s="115"/>
      <c r="G1458" s="115"/>
      <c r="H1458" s="115"/>
      <c r="I1458" s="115"/>
      <c r="J1458" s="115"/>
      <c r="K1458" s="115"/>
      <c r="L1458" s="115"/>
      <c r="M1458" s="115"/>
      <c r="N1458" s="115"/>
      <c r="O1458" s="115"/>
      <c r="P1458" s="115"/>
      <c r="Q1458" s="115"/>
      <c r="R1458" s="115"/>
      <c r="S1458" s="115"/>
      <c r="T1458" s="115"/>
      <c r="U1458" s="115"/>
      <c r="V1458" s="115"/>
      <c r="W1458" s="115"/>
      <c r="X1458" s="115"/>
      <c r="Y1458" s="115"/>
      <c r="Z1458" s="115"/>
      <c r="AA1458" s="115"/>
      <c r="AB1458" s="115"/>
      <c r="AC1458" s="115"/>
      <c r="AD1458" s="115"/>
      <c r="AE1458" s="115"/>
      <c r="AF1458" s="115"/>
      <c r="AG1458" s="115"/>
      <c r="AH1458" s="115"/>
      <c r="AI1458" s="115"/>
      <c r="AJ1458" s="115"/>
      <c r="AK1458" s="115"/>
      <c r="AL1458" s="115"/>
      <c r="AM1458" s="122"/>
      <c r="AN1458" s="122"/>
      <c r="AO1458" s="122"/>
      <c r="AP1458" s="115"/>
      <c r="AQ1458" s="115"/>
      <c r="AR1458" s="115"/>
      <c r="AS1458" s="115"/>
      <c r="AT1458" s="115"/>
      <c r="AU1458" s="115"/>
      <c r="AV1458" s="115"/>
      <c r="AW1458" s="115"/>
      <c r="AX1458" s="115"/>
      <c r="AY1458" s="115"/>
      <c r="AZ1458" s="115"/>
      <c r="BA1458" s="115"/>
      <c r="BB1458" s="115"/>
      <c r="BC1458" s="115"/>
      <c r="BD1458" s="17"/>
      <c r="BE1458" s="15"/>
    </row>
    <row r="1459" spans="1:57" x14ac:dyDescent="0.4">
      <c r="BD1459" s="26"/>
      <c r="BE1459" s="15"/>
    </row>
    <row r="1460" spans="1:57" x14ac:dyDescent="0.4">
      <c r="BD1460" s="26"/>
      <c r="BE1460" s="15"/>
    </row>
    <row r="1461" spans="1:57" x14ac:dyDescent="0.4">
      <c r="A1461" s="115"/>
      <c r="B1461" s="115"/>
      <c r="C1461" s="115"/>
      <c r="D1461" s="115"/>
      <c r="E1461" s="115"/>
      <c r="F1461" s="115"/>
      <c r="G1461" s="115"/>
      <c r="H1461" s="115"/>
      <c r="I1461" s="115"/>
      <c r="J1461" s="115"/>
      <c r="K1461" s="115"/>
      <c r="L1461" s="115"/>
      <c r="M1461" s="115"/>
      <c r="N1461" s="115"/>
      <c r="O1461" s="115"/>
      <c r="P1461" s="115"/>
      <c r="Q1461" s="115"/>
      <c r="R1461" s="115"/>
      <c r="S1461" s="115"/>
      <c r="T1461" s="115"/>
      <c r="U1461" s="115"/>
      <c r="V1461" s="115"/>
      <c r="W1461" s="115"/>
      <c r="X1461" s="115"/>
      <c r="Y1461" s="115"/>
      <c r="Z1461" s="115"/>
      <c r="AA1461" s="115"/>
      <c r="AB1461" s="115"/>
      <c r="AC1461" s="115"/>
      <c r="AD1461" s="115"/>
      <c r="AE1461" s="115"/>
      <c r="AF1461" s="115"/>
      <c r="AG1461" s="115"/>
      <c r="AH1461" s="115"/>
      <c r="AI1461" s="115"/>
      <c r="AJ1461" s="115"/>
      <c r="AK1461" s="115"/>
      <c r="AL1461" s="115"/>
      <c r="AM1461" s="122"/>
      <c r="AN1461" s="122"/>
      <c r="AO1461" s="122"/>
      <c r="AP1461" s="115"/>
      <c r="AQ1461" s="115"/>
      <c r="AR1461" s="115"/>
      <c r="AS1461" s="115"/>
      <c r="AT1461" s="115"/>
      <c r="AU1461" s="115"/>
      <c r="AV1461" s="115"/>
      <c r="AW1461" s="115"/>
      <c r="AX1461" s="115"/>
      <c r="AY1461" s="115"/>
      <c r="AZ1461" s="115"/>
      <c r="BA1461" s="115"/>
      <c r="BB1461" s="115"/>
      <c r="BC1461" s="115"/>
      <c r="BD1461" s="26"/>
      <c r="BE1461" s="15"/>
    </row>
    <row r="1462" spans="1:57" x14ac:dyDescent="0.4">
      <c r="A1462" s="115"/>
      <c r="B1462" s="115"/>
      <c r="C1462" s="115"/>
      <c r="D1462" s="115"/>
      <c r="E1462" s="115"/>
      <c r="F1462" s="115"/>
      <c r="G1462" s="115"/>
      <c r="H1462" s="115"/>
      <c r="I1462" s="115"/>
      <c r="J1462" s="115"/>
      <c r="K1462" s="115"/>
      <c r="L1462" s="115"/>
      <c r="M1462" s="115"/>
      <c r="N1462" s="115"/>
      <c r="O1462" s="115"/>
      <c r="P1462" s="115"/>
      <c r="Q1462" s="115"/>
      <c r="R1462" s="115"/>
      <c r="S1462" s="115"/>
      <c r="T1462" s="115"/>
      <c r="U1462" s="115"/>
      <c r="V1462" s="115"/>
      <c r="W1462" s="115"/>
      <c r="X1462" s="115"/>
      <c r="Y1462" s="115"/>
      <c r="Z1462" s="115"/>
      <c r="AA1462" s="115"/>
      <c r="AB1462" s="115"/>
      <c r="AC1462" s="115"/>
      <c r="AD1462" s="115"/>
      <c r="AE1462" s="115"/>
      <c r="AF1462" s="115"/>
      <c r="AG1462" s="115"/>
      <c r="AH1462" s="115"/>
      <c r="AI1462" s="115"/>
      <c r="AJ1462" s="115"/>
      <c r="AK1462" s="115"/>
      <c r="AL1462" s="115"/>
      <c r="AM1462" s="122"/>
      <c r="AN1462" s="122"/>
      <c r="AO1462" s="122"/>
      <c r="AP1462" s="115"/>
      <c r="AQ1462" s="115"/>
      <c r="AR1462" s="115"/>
      <c r="AS1462" s="115"/>
      <c r="AT1462" s="115"/>
      <c r="AU1462" s="115"/>
      <c r="AV1462" s="115"/>
      <c r="AW1462" s="115"/>
      <c r="AX1462" s="115"/>
      <c r="AY1462" s="115"/>
      <c r="AZ1462" s="115"/>
      <c r="BA1462" s="115"/>
      <c r="BB1462" s="115"/>
      <c r="BC1462" s="115"/>
      <c r="BD1462" s="17"/>
      <c r="BE1462" s="15"/>
    </row>
    <row r="1463" spans="1:57" x14ac:dyDescent="0.4">
      <c r="BD1463" s="26"/>
      <c r="BE1463" s="15"/>
    </row>
    <row r="1464" spans="1:57" ht="17.25" customHeight="1" x14ac:dyDescent="0.4">
      <c r="B1464" s="115"/>
      <c r="C1464" s="115"/>
      <c r="D1464" s="115"/>
      <c r="E1464" s="115"/>
      <c r="F1464" s="115"/>
      <c r="G1464" s="115"/>
      <c r="H1464" s="115"/>
      <c r="I1464" s="115"/>
      <c r="J1464" s="115"/>
      <c r="K1464" s="115"/>
      <c r="L1464" s="115"/>
      <c r="M1464" s="115"/>
      <c r="N1464" s="115"/>
      <c r="O1464" s="115"/>
      <c r="P1464" s="115"/>
      <c r="Q1464" s="115"/>
      <c r="R1464" s="115"/>
      <c r="S1464" s="115"/>
      <c r="T1464" s="115"/>
      <c r="U1464" s="115"/>
      <c r="V1464" s="115"/>
      <c r="W1464" s="115"/>
      <c r="X1464" s="115"/>
      <c r="Y1464" s="115"/>
      <c r="Z1464" s="115"/>
      <c r="AA1464" s="115"/>
      <c r="AB1464" s="115"/>
      <c r="AC1464" s="115"/>
      <c r="AD1464" s="115"/>
      <c r="AE1464" s="115"/>
      <c r="AF1464" s="115"/>
      <c r="AG1464" s="115"/>
      <c r="AH1464" s="115"/>
      <c r="AI1464" s="115"/>
      <c r="AJ1464" s="115"/>
      <c r="AK1464" s="115"/>
      <c r="AL1464" s="115"/>
      <c r="AM1464" s="122"/>
      <c r="AN1464" s="122"/>
      <c r="AO1464" s="122"/>
      <c r="AP1464" s="115"/>
      <c r="AQ1464" s="115"/>
      <c r="AR1464" s="115"/>
      <c r="AS1464" s="115"/>
      <c r="AT1464" s="115"/>
      <c r="AU1464" s="115"/>
      <c r="AV1464" s="115"/>
      <c r="AW1464" s="115"/>
      <c r="AX1464" s="115"/>
      <c r="AY1464" s="115"/>
      <c r="AZ1464" s="115"/>
      <c r="BA1464" s="115"/>
      <c r="BB1464" s="115"/>
      <c r="BC1464" s="115"/>
      <c r="BD1464" s="26"/>
      <c r="BE1464" s="15"/>
    </row>
    <row r="1465" spans="1:57" x14ac:dyDescent="0.4">
      <c r="BD1465" s="26"/>
      <c r="BE1465" s="15"/>
    </row>
    <row r="1466" spans="1:57" x14ac:dyDescent="0.4">
      <c r="AF1466" s="115"/>
      <c r="AG1466" s="115"/>
      <c r="AH1466" s="115"/>
      <c r="AI1466" s="115"/>
      <c r="AJ1466" s="115"/>
      <c r="AK1466" s="115"/>
      <c r="AL1466" s="115"/>
      <c r="AM1466" s="122"/>
      <c r="AN1466" s="122"/>
      <c r="AO1466" s="122"/>
      <c r="AP1466" s="115"/>
      <c r="AQ1466" s="115"/>
      <c r="AR1466" s="115"/>
      <c r="AS1466" s="115"/>
      <c r="AT1466" s="115"/>
      <c r="AU1466" s="115"/>
      <c r="AV1466" s="115"/>
      <c r="AW1466" s="115"/>
      <c r="AX1466" s="115"/>
      <c r="AY1466" s="115"/>
      <c r="AZ1466" s="115"/>
      <c r="BA1466" s="115"/>
      <c r="BB1466" s="115"/>
      <c r="BC1466" s="115"/>
      <c r="BD1466" s="17"/>
      <c r="BE1466" s="15"/>
    </row>
    <row r="1467" spans="1:57" ht="16.5" customHeight="1" x14ac:dyDescent="0.4">
      <c r="A1467" s="115"/>
      <c r="B1467" s="115"/>
      <c r="C1467" s="115"/>
      <c r="D1467" s="115"/>
      <c r="E1467" s="115"/>
      <c r="F1467" s="115"/>
      <c r="G1467" s="115"/>
      <c r="H1467" s="115"/>
      <c r="I1467" s="115"/>
      <c r="J1467" s="115"/>
      <c r="K1467" s="115"/>
      <c r="L1467" s="115"/>
      <c r="M1467" s="115"/>
      <c r="N1467" s="115"/>
      <c r="O1467" s="115"/>
      <c r="P1467" s="115"/>
      <c r="Q1467" s="115"/>
      <c r="R1467" s="115"/>
      <c r="S1467" s="115"/>
      <c r="T1467" s="115"/>
      <c r="U1467" s="115"/>
      <c r="V1467" s="115"/>
      <c r="W1467" s="115"/>
      <c r="X1467" s="115"/>
      <c r="Y1467" s="115"/>
      <c r="Z1467" s="115"/>
      <c r="AA1467" s="115"/>
      <c r="AB1467" s="115"/>
      <c r="AC1467" s="115"/>
      <c r="AD1467" s="115"/>
      <c r="AE1467" s="115"/>
      <c r="AF1467" s="115"/>
      <c r="AG1467" s="115"/>
      <c r="AH1467" s="115"/>
      <c r="AI1467" s="115"/>
      <c r="AJ1467" s="115"/>
      <c r="AK1467" s="115"/>
      <c r="AL1467" s="115"/>
      <c r="AM1467" s="122"/>
      <c r="AN1467" s="122"/>
      <c r="AO1467" s="122"/>
      <c r="AP1467" s="115"/>
      <c r="AQ1467" s="115"/>
      <c r="AR1467" s="115"/>
      <c r="AS1467" s="115"/>
      <c r="AT1467" s="115"/>
      <c r="AU1467" s="115"/>
      <c r="AV1467" s="115"/>
      <c r="AW1467" s="115"/>
      <c r="AX1467" s="115"/>
      <c r="AY1467" s="115"/>
      <c r="AZ1467" s="115"/>
      <c r="BA1467" s="115"/>
      <c r="BB1467" s="115"/>
      <c r="BC1467" s="115"/>
      <c r="BD1467" s="26"/>
      <c r="BE1467" s="15"/>
    </row>
    <row r="1468" spans="1:57" ht="22.5" customHeight="1" x14ac:dyDescent="0.4">
      <c r="A1468" s="115"/>
      <c r="B1468" s="115"/>
      <c r="C1468" s="115"/>
      <c r="D1468" s="115"/>
      <c r="E1468" s="115"/>
      <c r="F1468" s="115"/>
      <c r="G1468" s="115"/>
      <c r="H1468" s="115"/>
      <c r="I1468" s="115"/>
      <c r="J1468" s="115"/>
      <c r="K1468" s="115"/>
      <c r="L1468" s="115"/>
      <c r="M1468" s="115"/>
      <c r="N1468" s="115"/>
      <c r="O1468" s="115"/>
      <c r="P1468" s="115"/>
      <c r="Q1468" s="115"/>
      <c r="R1468" s="115"/>
      <c r="S1468" s="115"/>
      <c r="T1468" s="115"/>
      <c r="U1468" s="115"/>
      <c r="V1468" s="115"/>
      <c r="W1468" s="115"/>
      <c r="X1468" s="115"/>
      <c r="Y1468" s="115"/>
      <c r="Z1468" s="115"/>
      <c r="AA1468" s="115"/>
      <c r="AB1468" s="115"/>
      <c r="AC1468" s="115"/>
      <c r="AD1468" s="115"/>
      <c r="AE1468" s="115"/>
      <c r="AF1468" s="115"/>
      <c r="AG1468" s="115"/>
      <c r="AH1468" s="115"/>
      <c r="AI1468" s="115"/>
      <c r="AJ1468" s="115"/>
      <c r="AK1468" s="115"/>
      <c r="AL1468" s="115"/>
      <c r="AM1468" s="122"/>
      <c r="AN1468" s="122"/>
      <c r="AO1468" s="122"/>
      <c r="AP1468" s="115"/>
      <c r="AQ1468" s="115"/>
      <c r="AR1468" s="115"/>
      <c r="AS1468" s="115"/>
      <c r="AT1468" s="115"/>
      <c r="AU1468" s="115"/>
      <c r="AV1468" s="115"/>
      <c r="AW1468" s="115"/>
      <c r="AX1468" s="115"/>
      <c r="AY1468" s="115"/>
      <c r="AZ1468" s="115"/>
      <c r="BA1468" s="115"/>
      <c r="BB1468" s="115"/>
      <c r="BC1468" s="115"/>
      <c r="BD1468" s="26"/>
      <c r="BE1468" s="15"/>
    </row>
    <row r="1469" spans="1:57" x14ac:dyDescent="0.4">
      <c r="BD1469" s="26"/>
      <c r="BE1469" s="15"/>
    </row>
    <row r="1470" spans="1:57" x14ac:dyDescent="0.4">
      <c r="BD1470" s="26"/>
      <c r="BE1470" s="105"/>
    </row>
    <row r="1471" spans="1:57" x14ac:dyDescent="0.4">
      <c r="A1471" s="115"/>
      <c r="B1471" s="115"/>
      <c r="C1471" s="115"/>
      <c r="D1471" s="115"/>
      <c r="E1471" s="115"/>
      <c r="F1471" s="115"/>
      <c r="G1471" s="115"/>
      <c r="H1471" s="115"/>
      <c r="I1471" s="115"/>
      <c r="J1471" s="115"/>
      <c r="K1471" s="115"/>
      <c r="L1471" s="115"/>
      <c r="M1471" s="115"/>
      <c r="N1471" s="115"/>
      <c r="O1471" s="115"/>
      <c r="P1471" s="115"/>
      <c r="Q1471" s="115"/>
      <c r="R1471" s="115"/>
      <c r="S1471" s="115"/>
      <c r="T1471" s="115"/>
      <c r="U1471" s="115"/>
      <c r="V1471" s="115"/>
      <c r="W1471" s="115"/>
      <c r="X1471" s="115"/>
      <c r="Y1471" s="115"/>
      <c r="Z1471" s="115"/>
      <c r="AA1471" s="115"/>
      <c r="AB1471" s="115"/>
      <c r="AC1471" s="115"/>
      <c r="AD1471" s="115"/>
      <c r="AE1471" s="115"/>
      <c r="AF1471" s="115"/>
      <c r="AG1471" s="115"/>
      <c r="AH1471" s="115"/>
      <c r="AI1471" s="115"/>
      <c r="AJ1471" s="115"/>
      <c r="AK1471" s="115"/>
      <c r="AL1471" s="115"/>
      <c r="AM1471" s="122"/>
      <c r="AN1471" s="122"/>
      <c r="AO1471" s="122"/>
      <c r="AP1471" s="115"/>
      <c r="AQ1471" s="115"/>
      <c r="AR1471" s="115"/>
      <c r="AS1471" s="115"/>
      <c r="AT1471" s="115"/>
      <c r="AU1471" s="115"/>
      <c r="AV1471" s="115"/>
      <c r="AW1471" s="115"/>
      <c r="AX1471" s="115"/>
      <c r="AY1471" s="115"/>
      <c r="AZ1471" s="115"/>
      <c r="BA1471" s="115"/>
      <c r="BB1471" s="115"/>
      <c r="BC1471" s="115"/>
      <c r="BD1471" s="26"/>
      <c r="BE1471" s="15"/>
    </row>
    <row r="1472" spans="1:57" x14ac:dyDescent="0.4">
      <c r="BD1472" s="26"/>
      <c r="BE1472" s="15"/>
    </row>
    <row r="1473" spans="1:57" x14ac:dyDescent="0.4">
      <c r="BD1473" s="26"/>
      <c r="BE1473" s="15"/>
    </row>
    <row r="1474" spans="1:57" x14ac:dyDescent="0.4">
      <c r="BD1474" s="26"/>
      <c r="BE1474" s="15"/>
    </row>
    <row r="1475" spans="1:57" x14ac:dyDescent="0.4">
      <c r="BD1475" s="26"/>
      <c r="BE1475" s="15"/>
    </row>
    <row r="1476" spans="1:57" x14ac:dyDescent="0.4">
      <c r="A1476" s="115"/>
      <c r="B1476" s="115"/>
      <c r="C1476" s="115"/>
      <c r="D1476" s="115"/>
      <c r="E1476" s="115"/>
      <c r="F1476" s="115"/>
      <c r="G1476" s="115"/>
      <c r="H1476" s="115"/>
      <c r="I1476" s="115"/>
      <c r="J1476" s="115"/>
      <c r="K1476" s="115"/>
      <c r="L1476" s="115"/>
      <c r="M1476" s="115"/>
      <c r="N1476" s="115"/>
      <c r="O1476" s="115"/>
      <c r="P1476" s="115"/>
      <c r="Q1476" s="115"/>
      <c r="R1476" s="115"/>
      <c r="S1476" s="115"/>
      <c r="T1476" s="115"/>
      <c r="U1476" s="115"/>
      <c r="V1476" s="115"/>
      <c r="W1476" s="115"/>
      <c r="X1476" s="115"/>
      <c r="Y1476" s="115"/>
      <c r="Z1476" s="115"/>
      <c r="AA1476" s="115"/>
      <c r="AB1476" s="115"/>
      <c r="AC1476" s="115"/>
      <c r="AD1476" s="115"/>
      <c r="AE1476" s="115"/>
      <c r="AF1476" s="115"/>
      <c r="AG1476" s="115"/>
      <c r="AH1476" s="115"/>
      <c r="AI1476" s="115"/>
      <c r="AJ1476" s="115"/>
      <c r="AK1476" s="115"/>
      <c r="AL1476" s="115"/>
      <c r="AM1476" s="122"/>
      <c r="AN1476" s="122"/>
      <c r="AO1476" s="122"/>
      <c r="AP1476" s="115"/>
      <c r="AQ1476" s="115"/>
      <c r="AR1476" s="115"/>
      <c r="AS1476" s="115"/>
      <c r="AT1476" s="115"/>
      <c r="AU1476" s="115"/>
      <c r="AV1476" s="115"/>
      <c r="AW1476" s="115"/>
      <c r="AX1476" s="115"/>
      <c r="AY1476" s="115"/>
      <c r="AZ1476" s="115"/>
      <c r="BA1476" s="115"/>
      <c r="BB1476" s="115"/>
      <c r="BC1476" s="115"/>
      <c r="BD1476" s="26"/>
      <c r="BE1476" s="15"/>
    </row>
    <row r="1477" spans="1:57" x14ac:dyDescent="0.4">
      <c r="BD1477" s="26"/>
      <c r="BE1477" s="15"/>
    </row>
    <row r="1478" spans="1:57" x14ac:dyDescent="0.4">
      <c r="BD1478" s="26"/>
      <c r="BE1478" s="15"/>
    </row>
    <row r="1479" spans="1:57" x14ac:dyDescent="0.4">
      <c r="BD1479" s="26"/>
      <c r="BE1479" s="15"/>
    </row>
    <row r="1480" spans="1:57" x14ac:dyDescent="0.4">
      <c r="BD1480" s="26"/>
      <c r="BE1480" s="15"/>
    </row>
    <row r="1481" spans="1:57" ht="18.75" customHeight="1" x14ac:dyDescent="0.4">
      <c r="B1481" s="115"/>
      <c r="C1481" s="115"/>
      <c r="D1481" s="115"/>
      <c r="E1481" s="115"/>
      <c r="F1481" s="115"/>
      <c r="G1481" s="115"/>
      <c r="H1481" s="115"/>
      <c r="I1481" s="115"/>
      <c r="J1481" s="115"/>
      <c r="K1481" s="115"/>
      <c r="L1481" s="115"/>
      <c r="M1481" s="115"/>
      <c r="N1481" s="115"/>
      <c r="O1481" s="115"/>
      <c r="P1481" s="115"/>
      <c r="Q1481" s="115"/>
      <c r="R1481" s="115"/>
      <c r="S1481" s="115"/>
      <c r="T1481" s="115"/>
      <c r="U1481" s="115"/>
      <c r="V1481" s="115"/>
      <c r="W1481" s="115"/>
      <c r="X1481" s="115"/>
      <c r="Y1481" s="115"/>
      <c r="Z1481" s="115"/>
      <c r="AA1481" s="115"/>
      <c r="AB1481" s="115"/>
      <c r="AC1481" s="115"/>
      <c r="AD1481" s="115"/>
      <c r="AE1481" s="115"/>
      <c r="AF1481" s="115"/>
      <c r="AG1481" s="115"/>
      <c r="AH1481" s="115"/>
      <c r="AI1481" s="115"/>
      <c r="AJ1481" s="115"/>
      <c r="AK1481" s="115"/>
      <c r="AL1481" s="115"/>
      <c r="AM1481" s="122"/>
      <c r="AN1481" s="122"/>
      <c r="AO1481" s="122"/>
      <c r="AP1481" s="115"/>
      <c r="AQ1481" s="115"/>
      <c r="AR1481" s="115"/>
      <c r="AS1481" s="115"/>
      <c r="AT1481" s="115"/>
      <c r="AU1481" s="115"/>
      <c r="AV1481" s="115"/>
      <c r="AW1481" s="115"/>
      <c r="AX1481" s="115"/>
      <c r="AY1481" s="115"/>
      <c r="AZ1481" s="115"/>
      <c r="BA1481" s="115"/>
      <c r="BB1481" s="115"/>
      <c r="BC1481" s="115"/>
      <c r="BD1481" s="26"/>
      <c r="BE1481" s="15"/>
    </row>
    <row r="1482" spans="1:57" x14ac:dyDescent="0.4">
      <c r="BD1482" s="26"/>
      <c r="BE1482" s="15"/>
    </row>
    <row r="1483" spans="1:57" x14ac:dyDescent="0.4">
      <c r="BD1483" s="26"/>
      <c r="BE1483" s="15"/>
    </row>
    <row r="1484" spans="1:57" x14ac:dyDescent="0.4">
      <c r="B1484" s="115"/>
      <c r="C1484" s="115"/>
      <c r="D1484" s="115"/>
      <c r="E1484" s="115"/>
      <c r="F1484" s="115"/>
      <c r="G1484" s="115"/>
      <c r="H1484" s="115"/>
      <c r="I1484" s="115"/>
      <c r="J1484" s="115"/>
      <c r="K1484" s="115"/>
      <c r="L1484" s="115"/>
      <c r="M1484" s="115"/>
      <c r="N1484" s="115"/>
      <c r="O1484" s="115"/>
      <c r="P1484" s="115"/>
      <c r="Q1484" s="115"/>
      <c r="R1484" s="115"/>
      <c r="S1484" s="115"/>
      <c r="T1484" s="115"/>
      <c r="U1484" s="115"/>
      <c r="V1484" s="115"/>
      <c r="W1484" s="115"/>
      <c r="X1484" s="115"/>
      <c r="Y1484" s="115"/>
      <c r="Z1484" s="115"/>
      <c r="AA1484" s="115"/>
      <c r="AB1484" s="115"/>
      <c r="AC1484" s="115"/>
      <c r="AD1484" s="115"/>
      <c r="AE1484" s="115"/>
      <c r="AF1484" s="115"/>
      <c r="AG1484" s="115"/>
      <c r="AH1484" s="115"/>
      <c r="AI1484" s="115"/>
      <c r="AJ1484" s="115"/>
      <c r="AK1484" s="115"/>
      <c r="AL1484" s="115"/>
      <c r="AM1484" s="122"/>
      <c r="AN1484" s="122"/>
      <c r="AO1484" s="122"/>
      <c r="AP1484" s="115"/>
      <c r="AQ1484" s="115"/>
      <c r="AR1484" s="115"/>
      <c r="AS1484" s="115"/>
      <c r="AT1484" s="115"/>
      <c r="AU1484" s="115"/>
      <c r="AV1484" s="115"/>
      <c r="AW1484" s="115"/>
      <c r="AX1484" s="115"/>
      <c r="AY1484" s="115"/>
      <c r="AZ1484" s="115"/>
      <c r="BA1484" s="115"/>
      <c r="BB1484" s="115"/>
      <c r="BC1484" s="115"/>
      <c r="BD1484" s="26"/>
      <c r="BE1484" s="15"/>
    </row>
    <row r="1485" spans="1:57" x14ac:dyDescent="0.4">
      <c r="A1485" s="115"/>
      <c r="B1485" s="115"/>
      <c r="C1485" s="115"/>
      <c r="D1485" s="115"/>
      <c r="E1485" s="115"/>
      <c r="F1485" s="115"/>
      <c r="G1485" s="115"/>
      <c r="H1485" s="115"/>
      <c r="I1485" s="115"/>
      <c r="J1485" s="115"/>
      <c r="K1485" s="115"/>
      <c r="L1485" s="115"/>
      <c r="M1485" s="115"/>
      <c r="N1485" s="115"/>
      <c r="O1485" s="115"/>
      <c r="P1485" s="115"/>
      <c r="Q1485" s="115"/>
      <c r="R1485" s="115"/>
      <c r="S1485" s="115"/>
      <c r="T1485" s="115"/>
      <c r="U1485" s="115"/>
      <c r="V1485" s="115"/>
      <c r="W1485" s="115"/>
      <c r="X1485" s="115"/>
      <c r="Y1485" s="115"/>
      <c r="Z1485" s="115"/>
      <c r="AA1485" s="115"/>
      <c r="AB1485" s="115"/>
      <c r="AC1485" s="115"/>
      <c r="AD1485" s="115"/>
      <c r="AE1485" s="115"/>
      <c r="AF1485" s="115"/>
      <c r="AG1485" s="115"/>
      <c r="AH1485" s="115"/>
      <c r="AI1485" s="115"/>
      <c r="AJ1485" s="115"/>
      <c r="AK1485" s="115"/>
      <c r="AL1485" s="115"/>
      <c r="AM1485" s="122"/>
      <c r="AN1485" s="122"/>
      <c r="AO1485" s="122"/>
      <c r="AP1485" s="115"/>
      <c r="AQ1485" s="115"/>
      <c r="AR1485" s="115"/>
      <c r="AS1485" s="115"/>
      <c r="AT1485" s="115"/>
      <c r="AU1485" s="115"/>
      <c r="AV1485" s="115"/>
      <c r="AW1485" s="115"/>
      <c r="AX1485" s="115"/>
      <c r="AY1485" s="115"/>
      <c r="AZ1485" s="115"/>
      <c r="BA1485" s="115"/>
      <c r="BB1485" s="115"/>
      <c r="BC1485" s="115"/>
      <c r="BD1485" s="26"/>
      <c r="BE1485" s="15"/>
    </row>
    <row r="1486" spans="1:57" x14ac:dyDescent="0.4">
      <c r="BD1486" s="26"/>
      <c r="BE1486" s="15"/>
    </row>
    <row r="1487" spans="1:57" x14ac:dyDescent="0.4">
      <c r="AF1487" s="115"/>
      <c r="AG1487" s="115"/>
      <c r="AH1487" s="115"/>
      <c r="AI1487" s="115"/>
      <c r="AJ1487" s="115"/>
      <c r="AK1487" s="115"/>
      <c r="AL1487" s="115"/>
      <c r="AM1487" s="122"/>
      <c r="AN1487" s="122"/>
      <c r="AO1487" s="122"/>
      <c r="AP1487" s="115"/>
      <c r="AQ1487" s="115"/>
      <c r="AR1487" s="115"/>
      <c r="AS1487" s="115"/>
      <c r="AT1487" s="115"/>
      <c r="AU1487" s="115"/>
      <c r="AV1487" s="115"/>
      <c r="AW1487" s="115"/>
      <c r="AX1487" s="115"/>
      <c r="AY1487" s="115"/>
      <c r="AZ1487" s="115"/>
      <c r="BA1487" s="115"/>
      <c r="BB1487" s="115"/>
      <c r="BC1487" s="115"/>
      <c r="BD1487" s="17"/>
      <c r="BE1487" s="15"/>
    </row>
    <row r="1488" spans="1:57" x14ac:dyDescent="0.4">
      <c r="A1488" s="115"/>
      <c r="B1488" s="115"/>
      <c r="C1488" s="115"/>
      <c r="D1488" s="115"/>
      <c r="E1488" s="115"/>
      <c r="F1488" s="115"/>
      <c r="G1488" s="115"/>
      <c r="H1488" s="115"/>
      <c r="I1488" s="115"/>
      <c r="J1488" s="115"/>
      <c r="K1488" s="115"/>
      <c r="L1488" s="115"/>
      <c r="M1488" s="115"/>
      <c r="N1488" s="115"/>
      <c r="O1488" s="115"/>
      <c r="P1488" s="115"/>
      <c r="Q1488" s="115"/>
      <c r="R1488" s="115"/>
      <c r="S1488" s="115"/>
      <c r="T1488" s="115"/>
      <c r="U1488" s="115"/>
      <c r="V1488" s="115"/>
      <c r="W1488" s="115"/>
      <c r="X1488" s="115"/>
      <c r="Y1488" s="115"/>
      <c r="Z1488" s="115"/>
      <c r="AA1488" s="115"/>
      <c r="AB1488" s="115"/>
      <c r="AC1488" s="115"/>
      <c r="AD1488" s="115"/>
      <c r="AE1488" s="115"/>
      <c r="AF1488" s="115"/>
      <c r="AG1488" s="115"/>
      <c r="AH1488" s="115"/>
      <c r="AI1488" s="115"/>
      <c r="AJ1488" s="115"/>
      <c r="AK1488" s="115"/>
      <c r="AL1488" s="115"/>
      <c r="AM1488" s="122"/>
      <c r="AN1488" s="122"/>
      <c r="AO1488" s="122"/>
      <c r="AP1488" s="115"/>
      <c r="AQ1488" s="115"/>
      <c r="AR1488" s="115"/>
      <c r="AS1488" s="115"/>
      <c r="AT1488" s="115"/>
      <c r="AU1488" s="115"/>
      <c r="AV1488" s="115"/>
      <c r="AW1488" s="115"/>
      <c r="AX1488" s="115"/>
      <c r="AY1488" s="115"/>
      <c r="AZ1488" s="115"/>
      <c r="BA1488" s="115"/>
      <c r="BB1488" s="115"/>
      <c r="BC1488" s="115"/>
      <c r="BD1488" s="26"/>
      <c r="BE1488" s="15"/>
    </row>
    <row r="1489" spans="1:57" x14ac:dyDescent="0.4">
      <c r="BD1489" s="26"/>
      <c r="BE1489" s="15"/>
    </row>
    <row r="1490" spans="1:57" x14ac:dyDescent="0.4">
      <c r="AF1490" s="115"/>
      <c r="AG1490" s="115"/>
      <c r="AH1490" s="115"/>
      <c r="AI1490" s="115"/>
      <c r="AJ1490" s="115"/>
      <c r="AK1490" s="115"/>
      <c r="AL1490" s="115"/>
      <c r="AM1490" s="122"/>
      <c r="AN1490" s="122"/>
      <c r="AO1490" s="122"/>
      <c r="AP1490" s="115"/>
      <c r="AQ1490" s="115"/>
      <c r="AR1490" s="115"/>
      <c r="AS1490" s="115"/>
      <c r="AT1490" s="115"/>
      <c r="AU1490" s="115"/>
      <c r="AV1490" s="115"/>
      <c r="AW1490" s="115"/>
      <c r="AX1490" s="115"/>
      <c r="AY1490" s="115"/>
      <c r="AZ1490" s="115"/>
      <c r="BA1490" s="115"/>
      <c r="BB1490" s="115"/>
      <c r="BC1490" s="115"/>
      <c r="BD1490" s="17"/>
      <c r="BE1490" s="15"/>
    </row>
    <row r="1491" spans="1:57" x14ac:dyDescent="0.4">
      <c r="BD1491" s="26"/>
      <c r="BE1491" s="15"/>
    </row>
    <row r="1492" spans="1:57" x14ac:dyDescent="0.4">
      <c r="B1492" s="115"/>
      <c r="C1492" s="115"/>
      <c r="D1492" s="115"/>
      <c r="E1492" s="115"/>
      <c r="F1492" s="115"/>
      <c r="G1492" s="115"/>
      <c r="H1492" s="115"/>
      <c r="I1492" s="115"/>
      <c r="J1492" s="115"/>
      <c r="K1492" s="115"/>
      <c r="L1492" s="115"/>
      <c r="M1492" s="115"/>
      <c r="N1492" s="115"/>
      <c r="O1492" s="115"/>
      <c r="P1492" s="115"/>
      <c r="Q1492" s="115"/>
      <c r="R1492" s="115"/>
      <c r="S1492" s="115"/>
      <c r="T1492" s="115"/>
      <c r="U1492" s="115"/>
      <c r="V1492" s="115"/>
      <c r="W1492" s="115"/>
      <c r="X1492" s="115"/>
      <c r="Y1492" s="115"/>
      <c r="Z1492" s="115"/>
      <c r="AA1492" s="115"/>
      <c r="AB1492" s="115"/>
      <c r="AC1492" s="115"/>
      <c r="AD1492" s="115"/>
      <c r="AE1492" s="115"/>
      <c r="AF1492" s="115"/>
      <c r="AG1492" s="115"/>
      <c r="AH1492" s="115"/>
      <c r="AI1492" s="115"/>
      <c r="AJ1492" s="115"/>
      <c r="AK1492" s="115"/>
      <c r="AL1492" s="115"/>
      <c r="AM1492" s="122"/>
      <c r="AN1492" s="122"/>
      <c r="AO1492" s="122"/>
      <c r="AP1492" s="115"/>
      <c r="AQ1492" s="115"/>
      <c r="AR1492" s="115"/>
      <c r="AS1492" s="115"/>
      <c r="AT1492" s="115"/>
      <c r="AU1492" s="115"/>
      <c r="AV1492" s="115"/>
      <c r="AW1492" s="115"/>
      <c r="AX1492" s="115"/>
      <c r="AY1492" s="115"/>
      <c r="AZ1492" s="115"/>
      <c r="BA1492" s="115"/>
      <c r="BB1492" s="115"/>
      <c r="BC1492" s="115"/>
      <c r="BD1492" s="26"/>
      <c r="BE1492" s="15"/>
    </row>
    <row r="1493" spans="1:57" x14ac:dyDescent="0.4">
      <c r="A1493" s="115"/>
      <c r="B1493" s="115"/>
      <c r="C1493" s="115"/>
      <c r="D1493" s="115"/>
      <c r="E1493" s="115"/>
      <c r="F1493" s="115"/>
      <c r="G1493" s="115"/>
      <c r="H1493" s="115"/>
      <c r="I1493" s="115"/>
      <c r="J1493" s="115"/>
      <c r="K1493" s="115"/>
      <c r="L1493" s="115"/>
      <c r="M1493" s="115"/>
      <c r="N1493" s="115"/>
      <c r="O1493" s="115"/>
      <c r="P1493" s="115"/>
      <c r="Q1493" s="115"/>
      <c r="R1493" s="115"/>
      <c r="S1493" s="115"/>
      <c r="T1493" s="115"/>
      <c r="U1493" s="115"/>
      <c r="V1493" s="115"/>
      <c r="W1493" s="115"/>
      <c r="X1493" s="115"/>
      <c r="Y1493" s="115"/>
      <c r="Z1493" s="115"/>
      <c r="AA1493" s="115"/>
      <c r="AB1493" s="115"/>
      <c r="AC1493" s="115"/>
      <c r="AD1493" s="115"/>
      <c r="AE1493" s="115"/>
      <c r="AF1493" s="115"/>
      <c r="AG1493" s="115"/>
      <c r="AH1493" s="115"/>
      <c r="AI1493" s="115"/>
      <c r="AJ1493" s="115"/>
      <c r="AK1493" s="115"/>
      <c r="AL1493" s="115"/>
      <c r="AM1493" s="122"/>
      <c r="AN1493" s="122"/>
      <c r="AO1493" s="122"/>
      <c r="AP1493" s="115"/>
      <c r="AQ1493" s="115"/>
      <c r="AR1493" s="115"/>
      <c r="AS1493" s="115"/>
      <c r="AT1493" s="115"/>
      <c r="AU1493" s="115"/>
      <c r="AV1493" s="115"/>
      <c r="AW1493" s="115"/>
      <c r="AX1493" s="115"/>
      <c r="AY1493" s="115"/>
      <c r="AZ1493" s="115"/>
      <c r="BA1493" s="115"/>
      <c r="BB1493" s="115"/>
      <c r="BC1493" s="115"/>
      <c r="BD1493" s="26"/>
      <c r="BE1493" s="15"/>
    </row>
    <row r="1494" spans="1:57" x14ac:dyDescent="0.4">
      <c r="A1494" s="115"/>
      <c r="B1494" s="115"/>
      <c r="C1494" s="115"/>
      <c r="D1494" s="115"/>
      <c r="E1494" s="115"/>
      <c r="F1494" s="115"/>
      <c r="G1494" s="115"/>
      <c r="H1494" s="115"/>
      <c r="I1494" s="115"/>
      <c r="J1494" s="115"/>
      <c r="K1494" s="115"/>
      <c r="L1494" s="115"/>
      <c r="M1494" s="115"/>
      <c r="N1494" s="115"/>
      <c r="O1494" s="115"/>
      <c r="P1494" s="115"/>
      <c r="Q1494" s="115"/>
      <c r="R1494" s="115"/>
      <c r="S1494" s="115"/>
      <c r="T1494" s="115"/>
      <c r="U1494" s="115"/>
      <c r="V1494" s="115"/>
      <c r="W1494" s="115"/>
      <c r="X1494" s="115"/>
      <c r="Y1494" s="115"/>
      <c r="Z1494" s="115"/>
      <c r="AA1494" s="115"/>
      <c r="AB1494" s="115"/>
      <c r="AC1494" s="115"/>
      <c r="AD1494" s="115"/>
      <c r="AE1494" s="115"/>
      <c r="AF1494" s="115"/>
      <c r="AG1494" s="115"/>
      <c r="AH1494" s="115"/>
      <c r="AI1494" s="115"/>
      <c r="AJ1494" s="115"/>
      <c r="AK1494" s="115"/>
      <c r="AL1494" s="115"/>
      <c r="AM1494" s="122"/>
      <c r="AN1494" s="122"/>
      <c r="AO1494" s="122"/>
      <c r="AP1494" s="115"/>
      <c r="AQ1494" s="115"/>
      <c r="AR1494" s="115"/>
      <c r="AS1494" s="115"/>
      <c r="AT1494" s="115"/>
      <c r="AU1494" s="115"/>
      <c r="AV1494" s="115"/>
      <c r="AW1494" s="115"/>
      <c r="AX1494" s="115"/>
      <c r="AY1494" s="115"/>
      <c r="AZ1494" s="115"/>
      <c r="BA1494" s="115"/>
      <c r="BB1494" s="115"/>
      <c r="BC1494" s="115"/>
      <c r="BD1494" s="26"/>
      <c r="BE1494" s="15"/>
    </row>
    <row r="1495" spans="1:57" x14ac:dyDescent="0.4">
      <c r="BD1495" s="26"/>
      <c r="BE1495" s="15"/>
    </row>
    <row r="1496" spans="1:57" x14ac:dyDescent="0.4">
      <c r="B1496" s="115"/>
      <c r="C1496" s="115"/>
      <c r="D1496" s="115"/>
      <c r="E1496" s="115"/>
      <c r="F1496" s="115"/>
      <c r="G1496" s="115"/>
      <c r="H1496" s="115"/>
      <c r="I1496" s="115"/>
      <c r="J1496" s="115"/>
      <c r="K1496" s="115"/>
      <c r="L1496" s="115"/>
      <c r="M1496" s="115"/>
      <c r="N1496" s="115"/>
      <c r="O1496" s="115"/>
      <c r="P1496" s="115"/>
      <c r="Q1496" s="115"/>
      <c r="R1496" s="115"/>
      <c r="S1496" s="115"/>
      <c r="T1496" s="115"/>
      <c r="U1496" s="115"/>
      <c r="V1496" s="115"/>
      <c r="W1496" s="115"/>
      <c r="X1496" s="115"/>
      <c r="Y1496" s="115"/>
      <c r="Z1496" s="115"/>
      <c r="AA1496" s="115"/>
      <c r="AB1496" s="115"/>
      <c r="AC1496" s="115"/>
      <c r="AD1496" s="115"/>
      <c r="AE1496" s="115"/>
      <c r="AF1496" s="115"/>
      <c r="AG1496" s="115"/>
      <c r="AH1496" s="115"/>
      <c r="AI1496" s="115"/>
      <c r="AJ1496" s="115"/>
      <c r="AK1496" s="115"/>
      <c r="AL1496" s="115"/>
      <c r="AM1496" s="122"/>
      <c r="AN1496" s="122"/>
      <c r="AO1496" s="122"/>
      <c r="AP1496" s="115"/>
      <c r="AQ1496" s="115"/>
      <c r="AR1496" s="115"/>
      <c r="AS1496" s="115"/>
      <c r="AT1496" s="115"/>
      <c r="AU1496" s="115"/>
      <c r="AV1496" s="115"/>
      <c r="AW1496" s="115"/>
      <c r="AX1496" s="115"/>
      <c r="AY1496" s="115"/>
      <c r="AZ1496" s="115"/>
      <c r="BA1496" s="115"/>
      <c r="BB1496" s="115"/>
      <c r="BC1496" s="115"/>
      <c r="BD1496" s="26"/>
      <c r="BE1496" s="15"/>
    </row>
    <row r="1497" spans="1:57" x14ac:dyDescent="0.4">
      <c r="BD1497" s="26"/>
      <c r="BE1497" s="15"/>
    </row>
    <row r="1498" spans="1:57" x14ac:dyDescent="0.4">
      <c r="B1498" s="115"/>
      <c r="C1498" s="115"/>
      <c r="D1498" s="115"/>
      <c r="E1498" s="115"/>
      <c r="F1498" s="115"/>
      <c r="G1498" s="115"/>
      <c r="H1498" s="115"/>
      <c r="I1498" s="115"/>
      <c r="J1498" s="115"/>
      <c r="K1498" s="115"/>
      <c r="L1498" s="115"/>
      <c r="M1498" s="115"/>
      <c r="N1498" s="115"/>
      <c r="O1498" s="115"/>
      <c r="P1498" s="115"/>
      <c r="Q1498" s="115"/>
      <c r="R1498" s="115"/>
      <c r="S1498" s="115"/>
      <c r="T1498" s="115"/>
      <c r="U1498" s="115"/>
      <c r="V1498" s="115"/>
      <c r="W1498" s="115"/>
      <c r="X1498" s="115"/>
      <c r="Y1498" s="115"/>
      <c r="Z1498" s="115"/>
      <c r="AA1498" s="115"/>
      <c r="AB1498" s="115"/>
      <c r="AC1498" s="115"/>
      <c r="AD1498" s="115"/>
      <c r="AE1498" s="115"/>
      <c r="AF1498" s="115"/>
      <c r="AG1498" s="115"/>
      <c r="AH1498" s="115"/>
      <c r="AI1498" s="115"/>
      <c r="AJ1498" s="115"/>
      <c r="AK1498" s="115"/>
      <c r="AL1498" s="115"/>
      <c r="AM1498" s="122"/>
      <c r="AN1498" s="122"/>
      <c r="AO1498" s="122"/>
      <c r="AP1498" s="115"/>
      <c r="AQ1498" s="115"/>
      <c r="AR1498" s="115"/>
      <c r="AS1498" s="115"/>
      <c r="AT1498" s="115"/>
      <c r="AU1498" s="115"/>
      <c r="AV1498" s="115"/>
      <c r="AW1498" s="115"/>
      <c r="AX1498" s="115"/>
      <c r="AY1498" s="115"/>
      <c r="AZ1498" s="115"/>
      <c r="BA1498" s="115"/>
      <c r="BB1498" s="115"/>
      <c r="BC1498" s="115"/>
      <c r="BD1498" s="26"/>
      <c r="BE1498" s="15"/>
    </row>
    <row r="1499" spans="1:57" x14ac:dyDescent="0.4">
      <c r="BD1499" s="26"/>
      <c r="BE1499" s="15"/>
    </row>
    <row r="1500" spans="1:57" x14ac:dyDescent="0.4">
      <c r="BD1500" s="26"/>
      <c r="BE1500" s="15"/>
    </row>
    <row r="1501" spans="1:57" x14ac:dyDescent="0.4">
      <c r="BD1501" s="26"/>
      <c r="BE1501" s="15"/>
    </row>
    <row r="1502" spans="1:57" x14ac:dyDescent="0.4">
      <c r="BD1502" s="26"/>
      <c r="BE1502" s="15"/>
    </row>
    <row r="1503" spans="1:57" x14ac:dyDescent="0.4">
      <c r="BD1503" s="26"/>
      <c r="BE1503" s="15"/>
    </row>
    <row r="1504" spans="1:57" x14ac:dyDescent="0.4">
      <c r="BD1504" s="26"/>
      <c r="BE1504" s="15"/>
    </row>
    <row r="1505" spans="1:57" x14ac:dyDescent="0.4">
      <c r="A1505" s="115"/>
      <c r="B1505" s="115"/>
      <c r="C1505" s="115"/>
      <c r="D1505" s="115"/>
      <c r="E1505" s="115"/>
      <c r="F1505" s="115"/>
      <c r="G1505" s="115"/>
      <c r="H1505" s="115"/>
      <c r="I1505" s="115"/>
      <c r="J1505" s="115"/>
      <c r="K1505" s="115"/>
      <c r="L1505" s="115"/>
      <c r="M1505" s="115"/>
      <c r="N1505" s="115"/>
      <c r="O1505" s="115"/>
      <c r="P1505" s="115"/>
      <c r="Q1505" s="115"/>
      <c r="R1505" s="115"/>
      <c r="S1505" s="115"/>
      <c r="T1505" s="115"/>
      <c r="U1505" s="115"/>
      <c r="V1505" s="115"/>
      <c r="W1505" s="115"/>
      <c r="X1505" s="115"/>
      <c r="Y1505" s="115"/>
      <c r="Z1505" s="115"/>
      <c r="AA1505" s="115"/>
      <c r="AB1505" s="115"/>
      <c r="AC1505" s="115"/>
      <c r="AD1505" s="115"/>
      <c r="AE1505" s="115"/>
      <c r="AF1505" s="115"/>
      <c r="AG1505" s="115"/>
      <c r="AH1505" s="115"/>
      <c r="AI1505" s="115"/>
      <c r="AJ1505" s="115"/>
      <c r="AK1505" s="115"/>
      <c r="AL1505" s="115"/>
      <c r="AM1505" s="122"/>
      <c r="AN1505" s="122"/>
      <c r="AO1505" s="122"/>
      <c r="AP1505" s="115"/>
      <c r="AQ1505" s="115"/>
      <c r="AR1505" s="115"/>
      <c r="AS1505" s="115"/>
      <c r="AT1505" s="115"/>
      <c r="AU1505" s="115"/>
      <c r="AV1505" s="115"/>
      <c r="AW1505" s="115"/>
      <c r="AX1505" s="115"/>
      <c r="AY1505" s="115"/>
      <c r="AZ1505" s="115"/>
      <c r="BA1505" s="115"/>
      <c r="BB1505" s="115"/>
      <c r="BC1505" s="115"/>
      <c r="BD1505" s="26"/>
      <c r="BE1505" s="15"/>
    </row>
    <row r="1506" spans="1:57" x14ac:dyDescent="0.4">
      <c r="BD1506" s="26"/>
      <c r="BE1506" s="15"/>
    </row>
    <row r="1507" spans="1:57" x14ac:dyDescent="0.4">
      <c r="BD1507" s="26"/>
      <c r="BE1507" s="15"/>
    </row>
    <row r="1508" spans="1:57" x14ac:dyDescent="0.4">
      <c r="BD1508" s="26"/>
      <c r="BE1508" s="15"/>
    </row>
    <row r="1509" spans="1:57" x14ac:dyDescent="0.4">
      <c r="BD1509" s="26"/>
      <c r="BE1509" s="15"/>
    </row>
    <row r="1510" spans="1:57" x14ac:dyDescent="0.4">
      <c r="BD1510" s="26"/>
      <c r="BE1510" s="15"/>
    </row>
    <row r="1511" spans="1:57" x14ac:dyDescent="0.4">
      <c r="AF1511" s="115"/>
      <c r="AG1511" s="115"/>
      <c r="AH1511" s="115"/>
      <c r="AI1511" s="115"/>
      <c r="AJ1511" s="115"/>
      <c r="AK1511" s="115"/>
      <c r="AL1511" s="115"/>
      <c r="AM1511" s="122"/>
      <c r="AN1511" s="122"/>
      <c r="AO1511" s="122"/>
      <c r="AP1511" s="115"/>
      <c r="AQ1511" s="115"/>
      <c r="AR1511" s="115"/>
      <c r="AS1511" s="115"/>
      <c r="AT1511" s="115"/>
      <c r="AU1511" s="115"/>
      <c r="AV1511" s="115"/>
      <c r="AW1511" s="115"/>
      <c r="AX1511" s="115"/>
      <c r="AY1511" s="115"/>
      <c r="AZ1511" s="115"/>
      <c r="BA1511" s="115"/>
      <c r="BB1511" s="115"/>
      <c r="BC1511" s="115"/>
      <c r="BD1511" s="17"/>
      <c r="BE1511" s="15"/>
    </row>
    <row r="1512" spans="1:57" x14ac:dyDescent="0.4">
      <c r="AF1512" s="115"/>
      <c r="AG1512" s="115"/>
      <c r="AH1512" s="115"/>
      <c r="AI1512" s="115"/>
      <c r="AJ1512" s="115"/>
      <c r="AK1512" s="115"/>
      <c r="AL1512" s="115"/>
      <c r="AM1512" s="122"/>
      <c r="AN1512" s="122"/>
      <c r="AO1512" s="122"/>
      <c r="AP1512" s="115"/>
      <c r="AQ1512" s="115"/>
      <c r="AR1512" s="115"/>
      <c r="AS1512" s="115"/>
      <c r="AT1512" s="115"/>
      <c r="AU1512" s="115"/>
      <c r="AV1512" s="115"/>
      <c r="AW1512" s="115"/>
      <c r="AX1512" s="115"/>
      <c r="AY1512" s="115"/>
      <c r="AZ1512" s="115"/>
      <c r="BA1512" s="115"/>
      <c r="BB1512" s="115"/>
      <c r="BC1512" s="115"/>
      <c r="BD1512" s="17"/>
      <c r="BE1512" s="15"/>
    </row>
    <row r="1513" spans="1:57" x14ac:dyDescent="0.4">
      <c r="BD1513" s="26"/>
      <c r="BE1513" s="15"/>
    </row>
    <row r="1514" spans="1:57" x14ac:dyDescent="0.4">
      <c r="BD1514" s="26"/>
      <c r="BE1514" s="15"/>
    </row>
    <row r="1515" spans="1:57" x14ac:dyDescent="0.4">
      <c r="A1515" s="115"/>
      <c r="B1515" s="115"/>
      <c r="C1515" s="115"/>
      <c r="D1515" s="115"/>
      <c r="E1515" s="115"/>
      <c r="F1515" s="115"/>
      <c r="G1515" s="115"/>
      <c r="H1515" s="115"/>
      <c r="I1515" s="115"/>
      <c r="J1515" s="115"/>
      <c r="K1515" s="115"/>
      <c r="L1515" s="115"/>
      <c r="M1515" s="115"/>
      <c r="N1515" s="115"/>
      <c r="O1515" s="115"/>
      <c r="P1515" s="115"/>
      <c r="Q1515" s="115"/>
      <c r="R1515" s="115"/>
      <c r="S1515" s="115"/>
      <c r="T1515" s="115"/>
      <c r="U1515" s="115"/>
      <c r="V1515" s="115"/>
      <c r="W1515" s="115"/>
      <c r="X1515" s="115"/>
      <c r="Y1515" s="115"/>
      <c r="Z1515" s="115"/>
      <c r="AA1515" s="115"/>
      <c r="AB1515" s="115"/>
      <c r="AC1515" s="115"/>
      <c r="AD1515" s="115"/>
      <c r="AE1515" s="115"/>
      <c r="AF1515" s="115"/>
      <c r="AG1515" s="115"/>
      <c r="AH1515" s="115"/>
      <c r="AI1515" s="115"/>
      <c r="AJ1515" s="115"/>
      <c r="AK1515" s="115"/>
      <c r="AL1515" s="115"/>
      <c r="AM1515" s="122"/>
      <c r="AN1515" s="122"/>
      <c r="AO1515" s="122"/>
      <c r="AP1515" s="115"/>
      <c r="AQ1515" s="115"/>
      <c r="AR1515" s="115"/>
      <c r="AS1515" s="115"/>
      <c r="AT1515" s="115"/>
      <c r="AU1515" s="115"/>
      <c r="AV1515" s="115"/>
      <c r="AW1515" s="115"/>
      <c r="AX1515" s="115"/>
      <c r="AY1515" s="115"/>
      <c r="AZ1515" s="115"/>
      <c r="BA1515" s="115"/>
      <c r="BB1515" s="115"/>
      <c r="BC1515" s="115"/>
      <c r="BD1515" s="26"/>
      <c r="BE1515" s="15"/>
    </row>
    <row r="1516" spans="1:57" x14ac:dyDescent="0.4">
      <c r="A1516" s="115"/>
      <c r="B1516" s="115"/>
      <c r="C1516" s="115"/>
      <c r="D1516" s="115"/>
      <c r="E1516" s="115"/>
      <c r="F1516" s="115"/>
      <c r="G1516" s="115"/>
      <c r="H1516" s="115"/>
      <c r="I1516" s="115"/>
      <c r="J1516" s="115"/>
      <c r="K1516" s="115"/>
      <c r="L1516" s="115"/>
      <c r="M1516" s="115"/>
      <c r="N1516" s="115"/>
      <c r="O1516" s="115"/>
      <c r="P1516" s="115"/>
      <c r="Q1516" s="115"/>
      <c r="R1516" s="115"/>
      <c r="S1516" s="115"/>
      <c r="T1516" s="115"/>
      <c r="U1516" s="115"/>
      <c r="V1516" s="115"/>
      <c r="W1516" s="115"/>
      <c r="X1516" s="115"/>
      <c r="Y1516" s="115"/>
      <c r="Z1516" s="115"/>
      <c r="AA1516" s="115"/>
      <c r="AB1516" s="115"/>
      <c r="AC1516" s="115"/>
      <c r="AD1516" s="115"/>
      <c r="AE1516" s="115"/>
      <c r="AF1516" s="115"/>
      <c r="AG1516" s="115"/>
      <c r="AH1516" s="115"/>
      <c r="AI1516" s="115"/>
      <c r="AJ1516" s="115"/>
      <c r="AK1516" s="115"/>
      <c r="AL1516" s="115"/>
      <c r="AM1516" s="122"/>
      <c r="AN1516" s="122"/>
      <c r="AO1516" s="122"/>
      <c r="AP1516" s="115"/>
      <c r="AQ1516" s="115"/>
      <c r="AR1516" s="115"/>
      <c r="AS1516" s="115"/>
      <c r="AT1516" s="115"/>
      <c r="AU1516" s="115"/>
      <c r="AV1516" s="115"/>
      <c r="AW1516" s="115"/>
      <c r="AX1516" s="115"/>
      <c r="AY1516" s="115"/>
      <c r="AZ1516" s="115"/>
      <c r="BA1516" s="115"/>
      <c r="BB1516" s="115"/>
      <c r="BC1516" s="115"/>
      <c r="BD1516" s="26"/>
      <c r="BE1516" s="13"/>
    </row>
    <row r="1517" spans="1:57" x14ac:dyDescent="0.4">
      <c r="BD1517" s="26"/>
      <c r="BE1517" s="15"/>
    </row>
    <row r="1518" spans="1:57" x14ac:dyDescent="0.4">
      <c r="B1518" s="115"/>
      <c r="C1518" s="115"/>
      <c r="D1518" s="115"/>
      <c r="E1518" s="115"/>
      <c r="F1518" s="115"/>
      <c r="G1518" s="115"/>
      <c r="H1518" s="115"/>
      <c r="I1518" s="115"/>
      <c r="J1518" s="115"/>
      <c r="K1518" s="115"/>
      <c r="L1518" s="115"/>
      <c r="M1518" s="115"/>
      <c r="N1518" s="115"/>
      <c r="O1518" s="115"/>
      <c r="P1518" s="115"/>
      <c r="Q1518" s="115"/>
      <c r="R1518" s="115"/>
      <c r="S1518" s="115"/>
      <c r="T1518" s="115"/>
      <c r="U1518" s="115"/>
      <c r="V1518" s="115"/>
      <c r="W1518" s="115"/>
      <c r="X1518" s="115"/>
      <c r="Y1518" s="115"/>
      <c r="Z1518" s="115"/>
      <c r="AA1518" s="115"/>
      <c r="AB1518" s="115"/>
      <c r="AC1518" s="115"/>
      <c r="AD1518" s="115"/>
      <c r="AE1518" s="115"/>
      <c r="AF1518" s="115"/>
      <c r="AG1518" s="115"/>
      <c r="AH1518" s="115"/>
      <c r="AI1518" s="115"/>
      <c r="AJ1518" s="115"/>
      <c r="AK1518" s="115"/>
      <c r="AL1518" s="115"/>
      <c r="AM1518" s="122"/>
      <c r="AN1518" s="122"/>
      <c r="AO1518" s="122"/>
      <c r="AP1518" s="115"/>
      <c r="AQ1518" s="115"/>
      <c r="AR1518" s="115"/>
      <c r="AS1518" s="115"/>
      <c r="AT1518" s="115"/>
      <c r="AU1518" s="115"/>
      <c r="AV1518" s="115"/>
      <c r="AW1518" s="115"/>
      <c r="AX1518" s="115"/>
      <c r="AY1518" s="115"/>
      <c r="AZ1518" s="115"/>
      <c r="BA1518" s="115"/>
      <c r="BB1518" s="115"/>
      <c r="BC1518" s="115"/>
      <c r="BD1518" s="26"/>
      <c r="BE1518" s="15"/>
    </row>
    <row r="1519" spans="1:57" x14ac:dyDescent="0.4">
      <c r="BD1519" s="26"/>
      <c r="BE1519" s="15"/>
    </row>
    <row r="1520" spans="1:57" x14ac:dyDescent="0.4">
      <c r="BD1520" s="26"/>
      <c r="BE1520" s="15"/>
    </row>
    <row r="1521" spans="1:57" x14ac:dyDescent="0.4">
      <c r="A1521" s="115"/>
      <c r="B1521" s="115"/>
      <c r="C1521" s="115"/>
      <c r="D1521" s="115"/>
      <c r="E1521" s="115"/>
      <c r="F1521" s="115"/>
      <c r="G1521" s="115"/>
      <c r="H1521" s="115"/>
      <c r="I1521" s="115"/>
      <c r="J1521" s="115"/>
      <c r="K1521" s="115"/>
      <c r="L1521" s="115"/>
      <c r="M1521" s="115"/>
      <c r="N1521" s="115"/>
      <c r="O1521" s="115"/>
      <c r="P1521" s="115"/>
      <c r="Q1521" s="115"/>
      <c r="R1521" s="115"/>
      <c r="S1521" s="115"/>
      <c r="T1521" s="115"/>
      <c r="U1521" s="115"/>
      <c r="V1521" s="115"/>
      <c r="W1521" s="115"/>
      <c r="X1521" s="115"/>
      <c r="Y1521" s="115"/>
      <c r="Z1521" s="115"/>
      <c r="AA1521" s="115"/>
      <c r="AB1521" s="115"/>
      <c r="AC1521" s="115"/>
      <c r="AD1521" s="115"/>
      <c r="AE1521" s="115"/>
      <c r="AF1521" s="115"/>
      <c r="AG1521" s="115"/>
      <c r="AH1521" s="115"/>
      <c r="AI1521" s="115"/>
      <c r="AJ1521" s="115"/>
      <c r="AK1521" s="115"/>
      <c r="AL1521" s="115"/>
      <c r="AM1521" s="122"/>
      <c r="AN1521" s="122"/>
      <c r="AO1521" s="122"/>
      <c r="AP1521" s="115"/>
      <c r="AQ1521" s="115"/>
      <c r="AR1521" s="115"/>
      <c r="AS1521" s="115"/>
      <c r="AT1521" s="115"/>
      <c r="AU1521" s="115"/>
      <c r="AV1521" s="115"/>
      <c r="AW1521" s="115"/>
      <c r="AX1521" s="115"/>
      <c r="AY1521" s="115"/>
      <c r="AZ1521" s="115"/>
      <c r="BA1521" s="115"/>
      <c r="BB1521" s="115"/>
      <c r="BC1521" s="115"/>
      <c r="BD1521" s="26"/>
      <c r="BE1521" s="15"/>
    </row>
    <row r="1522" spans="1:57" x14ac:dyDescent="0.4">
      <c r="BD1522" s="26"/>
      <c r="BE1522" s="13"/>
    </row>
    <row r="1523" spans="1:57" x14ac:dyDescent="0.4">
      <c r="BD1523" s="26"/>
      <c r="BE1523" s="13"/>
    </row>
    <row r="1524" spans="1:57" x14ac:dyDescent="0.4">
      <c r="A1524" s="115"/>
      <c r="B1524" s="115"/>
      <c r="C1524" s="115"/>
      <c r="D1524" s="115"/>
      <c r="E1524" s="115"/>
      <c r="F1524" s="115"/>
      <c r="G1524" s="115"/>
      <c r="H1524" s="115"/>
      <c r="I1524" s="115"/>
      <c r="J1524" s="115"/>
      <c r="K1524" s="115"/>
      <c r="L1524" s="115"/>
      <c r="M1524" s="115"/>
      <c r="N1524" s="115"/>
      <c r="O1524" s="115"/>
      <c r="P1524" s="115"/>
      <c r="Q1524" s="115"/>
      <c r="R1524" s="115"/>
      <c r="S1524" s="115"/>
      <c r="T1524" s="115"/>
      <c r="U1524" s="115"/>
      <c r="V1524" s="115"/>
      <c r="W1524" s="115"/>
      <c r="X1524" s="115"/>
      <c r="Y1524" s="115"/>
      <c r="Z1524" s="115"/>
      <c r="AA1524" s="115"/>
      <c r="AB1524" s="115"/>
      <c r="AC1524" s="115"/>
      <c r="AD1524" s="115"/>
      <c r="AE1524" s="115"/>
      <c r="AF1524" s="115"/>
      <c r="AG1524" s="115"/>
      <c r="AH1524" s="115"/>
      <c r="AI1524" s="115"/>
      <c r="AJ1524" s="115"/>
      <c r="AK1524" s="115"/>
      <c r="AL1524" s="115"/>
      <c r="AM1524" s="122"/>
      <c r="AN1524" s="122"/>
      <c r="AO1524" s="122"/>
      <c r="AP1524" s="115"/>
      <c r="AQ1524" s="115"/>
      <c r="AR1524" s="115"/>
      <c r="AS1524" s="115"/>
      <c r="AT1524" s="115"/>
      <c r="AU1524" s="115"/>
      <c r="AV1524" s="115"/>
      <c r="AW1524" s="115"/>
      <c r="AX1524" s="115"/>
      <c r="AY1524" s="115"/>
      <c r="AZ1524" s="115"/>
      <c r="BA1524" s="115"/>
      <c r="BB1524" s="115"/>
      <c r="BC1524" s="115"/>
      <c r="BD1524" s="26"/>
      <c r="BE1524" s="13"/>
    </row>
    <row r="1525" spans="1:57" x14ac:dyDescent="0.4">
      <c r="BD1525" s="26"/>
      <c r="BE1525" s="13"/>
    </row>
    <row r="1526" spans="1:57" x14ac:dyDescent="0.4">
      <c r="BD1526" s="26"/>
      <c r="BE1526" s="13"/>
    </row>
    <row r="1527" spans="1:57" x14ac:dyDescent="0.4">
      <c r="BD1527" s="26"/>
      <c r="BE1527" s="13"/>
    </row>
    <row r="1528" spans="1:57" x14ac:dyDescent="0.4">
      <c r="BD1528" s="26"/>
      <c r="BE1528" s="13"/>
    </row>
    <row r="1529" spans="1:57" x14ac:dyDescent="0.4">
      <c r="BD1529" s="26"/>
      <c r="BE1529" s="13"/>
    </row>
    <row r="1530" spans="1:57" x14ac:dyDescent="0.4">
      <c r="A1530" s="115"/>
      <c r="B1530" s="115"/>
      <c r="C1530" s="115"/>
      <c r="D1530" s="115"/>
      <c r="E1530" s="115"/>
      <c r="F1530" s="115"/>
      <c r="G1530" s="115"/>
      <c r="H1530" s="115"/>
      <c r="I1530" s="115"/>
      <c r="J1530" s="115"/>
      <c r="K1530" s="115"/>
      <c r="L1530" s="115"/>
      <c r="M1530" s="115"/>
      <c r="N1530" s="115"/>
      <c r="O1530" s="115"/>
      <c r="P1530" s="115"/>
      <c r="Q1530" s="115"/>
      <c r="R1530" s="115"/>
      <c r="S1530" s="115"/>
      <c r="T1530" s="115"/>
      <c r="U1530" s="115"/>
      <c r="V1530" s="115"/>
      <c r="W1530" s="115"/>
      <c r="X1530" s="115"/>
      <c r="Y1530" s="115"/>
      <c r="Z1530" s="115"/>
      <c r="AA1530" s="115"/>
      <c r="AB1530" s="115"/>
      <c r="AC1530" s="115"/>
      <c r="AD1530" s="115"/>
      <c r="AE1530" s="115"/>
      <c r="AF1530" s="115"/>
      <c r="AG1530" s="115"/>
      <c r="AH1530" s="115"/>
      <c r="AI1530" s="115"/>
      <c r="AJ1530" s="115"/>
      <c r="AK1530" s="115"/>
      <c r="AL1530" s="115"/>
      <c r="AM1530" s="122"/>
      <c r="AN1530" s="122"/>
      <c r="AO1530" s="122"/>
      <c r="AP1530" s="115"/>
      <c r="AQ1530" s="115"/>
      <c r="AR1530" s="115"/>
      <c r="AS1530" s="115"/>
      <c r="AT1530" s="115"/>
      <c r="AU1530" s="115"/>
      <c r="AV1530" s="115"/>
      <c r="AW1530" s="115"/>
      <c r="AX1530" s="115"/>
      <c r="AY1530" s="115"/>
      <c r="AZ1530" s="115"/>
      <c r="BA1530" s="115"/>
      <c r="BB1530" s="115"/>
      <c r="BC1530" s="115"/>
      <c r="BD1530" s="26"/>
      <c r="BE1530" s="25"/>
    </row>
    <row r="1531" spans="1:57" x14ac:dyDescent="0.4">
      <c r="BD1531" s="26"/>
      <c r="BE1531" s="13"/>
    </row>
    <row r="1532" spans="1:57" x14ac:dyDescent="0.4">
      <c r="A1532" s="115"/>
      <c r="B1532" s="115"/>
      <c r="C1532" s="115"/>
      <c r="D1532" s="115"/>
      <c r="E1532" s="115"/>
      <c r="F1532" s="115"/>
      <c r="G1532" s="115"/>
      <c r="H1532" s="115"/>
      <c r="I1532" s="115"/>
      <c r="J1532" s="115"/>
      <c r="K1532" s="115"/>
      <c r="L1532" s="115"/>
      <c r="M1532" s="115"/>
      <c r="N1532" s="115"/>
      <c r="O1532" s="115"/>
      <c r="P1532" s="115"/>
      <c r="Q1532" s="115"/>
      <c r="R1532" s="115"/>
      <c r="S1532" s="115"/>
      <c r="T1532" s="115"/>
      <c r="U1532" s="115"/>
      <c r="V1532" s="115"/>
      <c r="W1532" s="115"/>
      <c r="X1532" s="115"/>
      <c r="Y1532" s="115"/>
      <c r="Z1532" s="115"/>
      <c r="AA1532" s="115"/>
      <c r="AB1532" s="115"/>
      <c r="AC1532" s="115"/>
      <c r="AD1532" s="115"/>
      <c r="AE1532" s="115"/>
      <c r="AF1532" s="115"/>
      <c r="AG1532" s="115"/>
      <c r="AH1532" s="115"/>
      <c r="AI1532" s="115"/>
      <c r="AJ1532" s="115"/>
      <c r="AK1532" s="115"/>
      <c r="AL1532" s="115"/>
      <c r="AM1532" s="122"/>
      <c r="AN1532" s="122"/>
      <c r="AO1532" s="122"/>
      <c r="AP1532" s="115"/>
      <c r="AQ1532" s="115"/>
      <c r="AR1532" s="115"/>
      <c r="AS1532" s="115"/>
      <c r="AT1532" s="115"/>
      <c r="AU1532" s="115"/>
      <c r="AV1532" s="115"/>
      <c r="AW1532" s="115"/>
      <c r="AX1532" s="115"/>
      <c r="AY1532" s="115"/>
      <c r="AZ1532" s="115"/>
      <c r="BA1532" s="115"/>
      <c r="BB1532" s="115"/>
      <c r="BC1532" s="115"/>
      <c r="BD1532" s="26"/>
      <c r="BE1532" s="13"/>
    </row>
    <row r="1533" spans="1:57" x14ac:dyDescent="0.4">
      <c r="A1533" s="115"/>
      <c r="B1533" s="115"/>
      <c r="C1533" s="115"/>
      <c r="D1533" s="115"/>
      <c r="E1533" s="115"/>
      <c r="F1533" s="115"/>
      <c r="G1533" s="115"/>
      <c r="H1533" s="115"/>
      <c r="I1533" s="115"/>
      <c r="J1533" s="115"/>
      <c r="K1533" s="115"/>
      <c r="L1533" s="115"/>
      <c r="M1533" s="115"/>
      <c r="N1533" s="115"/>
      <c r="O1533" s="115"/>
      <c r="P1533" s="115"/>
      <c r="Q1533" s="115"/>
      <c r="R1533" s="115"/>
      <c r="S1533" s="115"/>
      <c r="T1533" s="115"/>
      <c r="U1533" s="115"/>
      <c r="V1533" s="115"/>
      <c r="W1533" s="115"/>
      <c r="X1533" s="115"/>
      <c r="Y1533" s="115"/>
      <c r="Z1533" s="115"/>
      <c r="AA1533" s="115"/>
      <c r="AB1533" s="115"/>
      <c r="AC1533" s="115"/>
      <c r="AD1533" s="115"/>
      <c r="AE1533" s="115"/>
      <c r="AF1533" s="115"/>
      <c r="AG1533" s="115"/>
      <c r="AH1533" s="115"/>
      <c r="AI1533" s="115"/>
      <c r="AJ1533" s="115"/>
      <c r="AK1533" s="115"/>
      <c r="AL1533" s="115"/>
      <c r="AM1533" s="122"/>
      <c r="AN1533" s="122"/>
      <c r="AO1533" s="122"/>
      <c r="AP1533" s="115"/>
      <c r="AQ1533" s="115"/>
      <c r="AR1533" s="115"/>
      <c r="AS1533" s="115"/>
      <c r="AT1533" s="115"/>
      <c r="AU1533" s="115"/>
      <c r="AV1533" s="115"/>
      <c r="AW1533" s="115"/>
      <c r="AX1533" s="115"/>
      <c r="AY1533" s="115"/>
      <c r="AZ1533" s="115"/>
      <c r="BA1533" s="115"/>
      <c r="BB1533" s="115"/>
      <c r="BC1533" s="115"/>
      <c r="BD1533" s="26"/>
      <c r="BE1533" s="13"/>
    </row>
    <row r="1534" spans="1:57" x14ac:dyDescent="0.4">
      <c r="BD1534" s="26"/>
      <c r="BE1534" s="15"/>
    </row>
    <row r="1535" spans="1:57" x14ac:dyDescent="0.4">
      <c r="BD1535" s="26"/>
      <c r="BE1535" s="15"/>
    </row>
    <row r="1536" spans="1:57" x14ac:dyDescent="0.4">
      <c r="BD1536" s="26"/>
      <c r="BE1536" s="15"/>
    </row>
    <row r="1537" spans="2:57" x14ac:dyDescent="0.4">
      <c r="BD1537" s="26"/>
      <c r="BE1537" s="13"/>
    </row>
    <row r="1538" spans="2:57" x14ac:dyDescent="0.4">
      <c r="BD1538" s="26"/>
      <c r="BE1538" s="15"/>
    </row>
    <row r="1539" spans="2:57" x14ac:dyDescent="0.4">
      <c r="B1539" s="115"/>
      <c r="C1539" s="115"/>
      <c r="D1539" s="115"/>
      <c r="E1539" s="115"/>
      <c r="F1539" s="115"/>
      <c r="G1539" s="115"/>
      <c r="H1539" s="115"/>
      <c r="I1539" s="115"/>
      <c r="J1539" s="115"/>
      <c r="K1539" s="115"/>
      <c r="L1539" s="115"/>
      <c r="M1539" s="115"/>
      <c r="N1539" s="115"/>
      <c r="O1539" s="115"/>
      <c r="P1539" s="115"/>
      <c r="Q1539" s="115"/>
      <c r="R1539" s="115"/>
      <c r="S1539" s="115"/>
      <c r="T1539" s="115"/>
      <c r="U1539" s="115"/>
      <c r="V1539" s="115"/>
      <c r="W1539" s="115"/>
      <c r="X1539" s="115"/>
      <c r="Y1539" s="115"/>
      <c r="Z1539" s="115"/>
      <c r="AA1539" s="115"/>
      <c r="AB1539" s="115"/>
      <c r="AC1539" s="115"/>
      <c r="AD1539" s="115"/>
      <c r="AE1539" s="115"/>
      <c r="AF1539" s="115"/>
      <c r="AG1539" s="115"/>
      <c r="AH1539" s="115"/>
      <c r="AI1539" s="115"/>
      <c r="AJ1539" s="115"/>
      <c r="AK1539" s="115"/>
      <c r="AL1539" s="115"/>
      <c r="AM1539" s="122"/>
      <c r="AN1539" s="122"/>
      <c r="AO1539" s="122"/>
      <c r="AP1539" s="115"/>
      <c r="AQ1539" s="115"/>
      <c r="AR1539" s="115"/>
      <c r="AS1539" s="115"/>
      <c r="AT1539" s="115"/>
      <c r="AU1539" s="115"/>
      <c r="AV1539" s="115"/>
      <c r="AW1539" s="115"/>
      <c r="AX1539" s="115"/>
      <c r="AY1539" s="115"/>
      <c r="AZ1539" s="115"/>
      <c r="BA1539" s="115"/>
      <c r="BB1539" s="115"/>
      <c r="BC1539" s="115"/>
      <c r="BD1539" s="17"/>
      <c r="BE1539" s="15"/>
    </row>
    <row r="1540" spans="2:57" x14ac:dyDescent="0.4">
      <c r="BD1540" s="26"/>
      <c r="BE1540" s="15"/>
    </row>
    <row r="1541" spans="2:57" x14ac:dyDescent="0.4">
      <c r="B1541" s="115"/>
      <c r="C1541" s="115"/>
      <c r="D1541" s="115"/>
      <c r="E1541" s="115"/>
      <c r="F1541" s="115"/>
      <c r="G1541" s="115"/>
      <c r="H1541" s="115"/>
      <c r="I1541" s="115"/>
      <c r="J1541" s="115"/>
      <c r="K1541" s="115"/>
      <c r="L1541" s="115"/>
      <c r="M1541" s="115"/>
      <c r="N1541" s="115"/>
      <c r="O1541" s="115"/>
      <c r="P1541" s="115"/>
      <c r="Q1541" s="115"/>
      <c r="R1541" s="115"/>
      <c r="S1541" s="115"/>
      <c r="T1541" s="115"/>
      <c r="U1541" s="115"/>
      <c r="V1541" s="115"/>
      <c r="W1541" s="115"/>
      <c r="X1541" s="115"/>
      <c r="Y1541" s="115"/>
      <c r="Z1541" s="115"/>
      <c r="AA1541" s="115"/>
      <c r="AB1541" s="115"/>
      <c r="AC1541" s="115"/>
      <c r="AD1541" s="115"/>
      <c r="AE1541" s="115"/>
      <c r="AF1541" s="115"/>
      <c r="AG1541" s="115"/>
      <c r="AH1541" s="115"/>
      <c r="AI1541" s="115"/>
      <c r="AJ1541" s="115"/>
      <c r="AK1541" s="115"/>
      <c r="AL1541" s="115"/>
      <c r="AM1541" s="122"/>
      <c r="AN1541" s="122"/>
      <c r="AO1541" s="122"/>
      <c r="AP1541" s="115"/>
      <c r="AQ1541" s="115"/>
      <c r="AR1541" s="115"/>
      <c r="AS1541" s="115"/>
      <c r="AT1541" s="115"/>
      <c r="AU1541" s="115"/>
      <c r="AV1541" s="115"/>
      <c r="AW1541" s="115"/>
      <c r="AX1541" s="115"/>
      <c r="AY1541" s="115"/>
      <c r="AZ1541" s="115"/>
      <c r="BA1541" s="115"/>
      <c r="BB1541" s="115"/>
      <c r="BC1541" s="115"/>
      <c r="BD1541" s="17"/>
      <c r="BE1541" s="15"/>
    </row>
    <row r="1542" spans="2:57" x14ac:dyDescent="0.4">
      <c r="BD1542" s="26"/>
      <c r="BE1542" s="15"/>
    </row>
    <row r="1543" spans="2:57" x14ac:dyDescent="0.4">
      <c r="BD1543" s="26"/>
      <c r="BE1543" s="15"/>
    </row>
    <row r="1544" spans="2:57" x14ac:dyDescent="0.4">
      <c r="B1544" s="115"/>
      <c r="C1544" s="115"/>
      <c r="D1544" s="115"/>
      <c r="E1544" s="115"/>
      <c r="F1544" s="115"/>
      <c r="G1544" s="115"/>
      <c r="H1544" s="115"/>
      <c r="I1544" s="115"/>
      <c r="J1544" s="115"/>
      <c r="K1544" s="115"/>
      <c r="L1544" s="115"/>
      <c r="M1544" s="115"/>
      <c r="N1544" s="115"/>
      <c r="O1544" s="115"/>
      <c r="P1544" s="115"/>
      <c r="Q1544" s="115"/>
      <c r="R1544" s="115"/>
      <c r="S1544" s="115"/>
      <c r="T1544" s="115"/>
      <c r="U1544" s="115"/>
      <c r="V1544" s="115"/>
      <c r="W1544" s="115"/>
      <c r="X1544" s="115"/>
      <c r="Y1544" s="115"/>
      <c r="Z1544" s="115"/>
      <c r="AA1544" s="115"/>
      <c r="AB1544" s="115"/>
      <c r="AC1544" s="115"/>
      <c r="AD1544" s="115"/>
      <c r="AE1544" s="115"/>
      <c r="AF1544" s="115"/>
      <c r="AG1544" s="115"/>
      <c r="AH1544" s="115"/>
      <c r="AI1544" s="115"/>
      <c r="AJ1544" s="115"/>
      <c r="AK1544" s="115"/>
      <c r="AL1544" s="115"/>
      <c r="AM1544" s="122"/>
      <c r="AN1544" s="122"/>
      <c r="AO1544" s="122"/>
      <c r="AP1544" s="115"/>
      <c r="AQ1544" s="115"/>
      <c r="AR1544" s="115"/>
      <c r="AS1544" s="115"/>
      <c r="AT1544" s="115"/>
      <c r="AU1544" s="115"/>
      <c r="AV1544" s="115"/>
      <c r="AW1544" s="115"/>
      <c r="AX1544" s="115"/>
      <c r="AY1544" s="115"/>
      <c r="AZ1544" s="115"/>
      <c r="BA1544" s="115"/>
      <c r="BB1544" s="115"/>
      <c r="BC1544" s="115"/>
      <c r="BD1544" s="17"/>
      <c r="BE1544" s="15"/>
    </row>
    <row r="1545" spans="2:57" x14ac:dyDescent="0.4">
      <c r="BD1545" s="26"/>
      <c r="BE1545" s="15"/>
    </row>
    <row r="1546" spans="2:57" x14ac:dyDescent="0.4">
      <c r="BD1546" s="26"/>
      <c r="BE1546" s="15"/>
    </row>
    <row r="1547" spans="2:57" x14ac:dyDescent="0.4">
      <c r="BD1547" s="26"/>
      <c r="BE1547" s="105"/>
    </row>
    <row r="1548" spans="2:57" x14ac:dyDescent="0.4">
      <c r="BD1548" s="26"/>
      <c r="BE1548" s="15"/>
    </row>
    <row r="1549" spans="2:57" x14ac:dyDescent="0.4">
      <c r="BD1549" s="26"/>
      <c r="BE1549" s="15"/>
    </row>
    <row r="1550" spans="2:57" x14ac:dyDescent="0.4">
      <c r="BD1550" s="26"/>
      <c r="BE1550" s="15"/>
    </row>
    <row r="1551" spans="2:57" x14ac:dyDescent="0.4">
      <c r="BD1551" s="26"/>
      <c r="BE1551" s="15"/>
    </row>
    <row r="1552" spans="2:57" x14ac:dyDescent="0.4">
      <c r="BD1552" s="26"/>
      <c r="BE1552" s="15"/>
    </row>
    <row r="1553" spans="2:57" x14ac:dyDescent="0.4">
      <c r="B1553" s="115"/>
      <c r="C1553" s="115"/>
      <c r="D1553" s="115"/>
      <c r="E1553" s="115"/>
      <c r="F1553" s="115"/>
      <c r="G1553" s="115"/>
      <c r="H1553" s="115"/>
      <c r="I1553" s="115"/>
      <c r="J1553" s="115"/>
      <c r="K1553" s="115"/>
      <c r="L1553" s="115"/>
      <c r="M1553" s="115"/>
      <c r="N1553" s="115"/>
      <c r="O1553" s="115"/>
      <c r="P1553" s="115"/>
      <c r="Q1553" s="115"/>
      <c r="R1553" s="115"/>
      <c r="S1553" s="115"/>
      <c r="T1553" s="115"/>
      <c r="U1553" s="115"/>
      <c r="V1553" s="115"/>
      <c r="W1553" s="115"/>
      <c r="X1553" s="115"/>
      <c r="Y1553" s="115"/>
      <c r="Z1553" s="115"/>
      <c r="AA1553" s="115"/>
      <c r="AB1553" s="115"/>
      <c r="AC1553" s="115"/>
      <c r="AD1553" s="115"/>
      <c r="AE1553" s="115"/>
      <c r="AF1553" s="115"/>
      <c r="AG1553" s="115"/>
      <c r="AH1553" s="115"/>
      <c r="AI1553" s="115"/>
      <c r="AJ1553" s="115"/>
      <c r="AK1553" s="115"/>
      <c r="AL1553" s="115"/>
      <c r="AM1553" s="122"/>
      <c r="AN1553" s="122"/>
      <c r="AO1553" s="122"/>
      <c r="AP1553" s="115"/>
      <c r="AQ1553" s="115"/>
      <c r="AR1553" s="115"/>
      <c r="AS1553" s="115"/>
      <c r="AT1553" s="115"/>
      <c r="AU1553" s="115"/>
      <c r="AV1553" s="115"/>
      <c r="AW1553" s="115"/>
      <c r="AX1553" s="115"/>
      <c r="AY1553" s="115"/>
      <c r="AZ1553" s="115"/>
      <c r="BA1553" s="115"/>
      <c r="BB1553" s="115"/>
      <c r="BC1553" s="115"/>
      <c r="BD1553" s="119"/>
      <c r="BE1553" s="119"/>
    </row>
    <row r="1554" spans="2:57" x14ac:dyDescent="0.4">
      <c r="B1554" s="115"/>
      <c r="C1554" s="115"/>
      <c r="D1554" s="115"/>
      <c r="E1554" s="115"/>
      <c r="F1554" s="115"/>
      <c r="G1554" s="115"/>
      <c r="H1554" s="115"/>
      <c r="I1554" s="115"/>
      <c r="J1554" s="115"/>
      <c r="K1554" s="115"/>
      <c r="L1554" s="115"/>
      <c r="M1554" s="115"/>
      <c r="N1554" s="115"/>
      <c r="O1554" s="115"/>
      <c r="P1554" s="115"/>
      <c r="Q1554" s="115"/>
      <c r="R1554" s="115"/>
      <c r="S1554" s="115"/>
      <c r="T1554" s="115"/>
      <c r="U1554" s="115"/>
      <c r="V1554" s="115"/>
      <c r="W1554" s="115"/>
      <c r="X1554" s="115"/>
      <c r="Y1554" s="115"/>
      <c r="Z1554" s="115"/>
      <c r="AA1554" s="115"/>
      <c r="AB1554" s="115"/>
      <c r="AC1554" s="115"/>
      <c r="AD1554" s="115"/>
      <c r="AE1554" s="115"/>
      <c r="AF1554" s="115"/>
      <c r="AG1554" s="115"/>
      <c r="AH1554" s="115"/>
      <c r="AI1554" s="115"/>
      <c r="AJ1554" s="115"/>
      <c r="AK1554" s="115"/>
      <c r="AL1554" s="115"/>
      <c r="AM1554" s="122"/>
      <c r="AN1554" s="122"/>
      <c r="AO1554" s="122"/>
      <c r="AP1554" s="115"/>
      <c r="AQ1554" s="115"/>
      <c r="AR1554" s="115"/>
      <c r="AS1554" s="115"/>
      <c r="AT1554" s="115"/>
      <c r="AU1554" s="115"/>
      <c r="AV1554" s="115"/>
      <c r="AW1554" s="115"/>
      <c r="AX1554" s="115"/>
      <c r="AY1554" s="115"/>
      <c r="AZ1554" s="115"/>
      <c r="BA1554" s="115"/>
      <c r="BB1554" s="115"/>
      <c r="BC1554" s="115"/>
      <c r="BD1554" s="119"/>
      <c r="BE1554" s="119"/>
    </row>
  </sheetData>
  <sortState xmlns:xlrd2="http://schemas.microsoft.com/office/spreadsheetml/2017/richdata2" ref="U2:V174">
    <sortCondition ref="U2:U174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2025-07-03T07:14:36Z</cp:lastPrinted>
  <dcterms:created xsi:type="dcterms:W3CDTF">2020-05-08T06:29:04Z</dcterms:created>
  <dcterms:modified xsi:type="dcterms:W3CDTF">2025-07-04T01:10:18Z</dcterms:modified>
</cp:coreProperties>
</file>