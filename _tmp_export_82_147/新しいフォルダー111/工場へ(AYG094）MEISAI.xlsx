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B6FA180-EC37-4550-8A05-3CFC4AD57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C19" i="3"/>
  <c r="B19" i="3"/>
  <c r="D20" i="3" s="1"/>
  <c r="O139" i="3"/>
  <c r="N139" i="3"/>
  <c r="O137" i="3"/>
  <c r="N137" i="3"/>
  <c r="O134" i="3"/>
  <c r="N134" i="3"/>
  <c r="O129" i="3"/>
  <c r="N129" i="3"/>
  <c r="O122" i="3"/>
  <c r="N122" i="3"/>
  <c r="O118" i="3"/>
  <c r="N118" i="3"/>
  <c r="O109" i="3"/>
  <c r="N109" i="3"/>
  <c r="O84" i="3"/>
  <c r="N84" i="3"/>
  <c r="O77" i="3"/>
  <c r="N77" i="3"/>
  <c r="O75" i="3"/>
  <c r="N75" i="3"/>
  <c r="O62" i="3"/>
  <c r="N62" i="3"/>
  <c r="O54" i="3"/>
  <c r="N54" i="3"/>
  <c r="O43" i="3"/>
  <c r="N43" i="3"/>
  <c r="O16" i="3"/>
  <c r="N16" i="3"/>
  <c r="O13" i="3"/>
  <c r="N13" i="3"/>
  <c r="O7" i="3"/>
  <c r="N7" i="3"/>
  <c r="O4" i="3"/>
  <c r="O140" i="3" s="1"/>
  <c r="N4" i="3"/>
  <c r="N140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M379" i="3"/>
  <c r="AL379" i="3"/>
  <c r="AM374" i="3"/>
  <c r="AL374" i="3"/>
  <c r="AM372" i="3"/>
  <c r="AL372" i="3"/>
  <c r="AM358" i="3"/>
  <c r="AL358" i="3"/>
  <c r="AM340" i="3"/>
  <c r="AL340" i="3"/>
  <c r="AM329" i="3"/>
  <c r="AL329" i="3"/>
  <c r="AM295" i="3"/>
  <c r="AL295" i="3"/>
  <c r="AM282" i="3"/>
  <c r="AL282" i="3"/>
  <c r="AM244" i="3"/>
  <c r="AL244" i="3"/>
  <c r="AM235" i="3"/>
  <c r="AL235" i="3"/>
  <c r="AM221" i="3"/>
  <c r="AL221" i="3"/>
  <c r="AM188" i="3"/>
  <c r="AL188" i="3"/>
  <c r="AM135" i="3"/>
  <c r="AL135" i="3"/>
  <c r="AM123" i="3"/>
  <c r="AL123" i="3"/>
  <c r="AM104" i="3"/>
  <c r="AL104" i="3"/>
  <c r="AM98" i="3"/>
  <c r="AL98" i="3"/>
  <c r="AM88" i="3"/>
  <c r="AL88" i="3"/>
  <c r="AM82" i="3"/>
  <c r="AL82" i="3"/>
  <c r="AM71" i="3"/>
  <c r="AL71" i="3"/>
  <c r="AM63" i="3"/>
  <c r="AL63" i="3"/>
  <c r="AM58" i="3"/>
  <c r="AL58" i="3"/>
  <c r="AM33" i="3"/>
  <c r="AL33" i="3"/>
  <c r="B61" i="1"/>
  <c r="A241" i="1"/>
  <c r="A151" i="1"/>
  <c r="AB43" i="1"/>
  <c r="AL380" i="3" l="1"/>
  <c r="AM38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<sst xmlns="http://schemas.openxmlformats.org/spreadsheetml/2006/main" count="2353" uniqueCount="364">
  <si>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</si>
  <si>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</si>
  <si>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</si>
  <si>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</si>
  <si>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</si>
  <si>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</si>
  <si>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</si>
  <si>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</si>
  <si>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</si>
  <si>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</si>
  <si>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</si>
  <si>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</si>
  <si>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</si>
  <si>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</si>
  <si>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</si>
  <si>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</si>
  <si>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</si>
  <si>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</si>
  <si>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</si>
  <si>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</si>
  <si>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</si>
  <si>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</si>
  <si>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</si>
  <si>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</si>
  <si>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</si>
  <si>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</si>
  <si>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</si>
  <si>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</si>
  <si>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</si>
  <si>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</si>
  <si>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</si>
  <si>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</si>
  <si>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</si>
  <si>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</si>
  <si>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</si>
  <si>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</si>
  <si>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</si>
  <si>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</si>
  <si>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</si>
  <si>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</si>
  <si>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</si>
  <si>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</si>
  <si>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</si>
  <si>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</si>
  <si>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</si>
  <si>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</si>
  <si>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</si>
  <si>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</si>
  <si>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</si>
  <si>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</si>
  <si>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</si>
  <si>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</si>
  <si>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</si>
  <si>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</si>
  <si>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</si>
  <si>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</si>
  <si>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</si>
  <si>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</si>
  <si>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</si>
  <si>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</si>
  <si>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</si>
  <si>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</si>
  <si>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</si>
  <si>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</si>
  <si>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</si>
  <si>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</si>
  <si>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</si>
  <si>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</si>
  <si>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</si>
  <si>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</si>
  <si>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</si>
  <si>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</si>
  <si>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</si>
  <si>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</si>
  <si>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</si>
  <si>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</si>
  <si>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</si>
  <si>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</si>
  <si>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</si>
  <si>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</si>
  <si>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</si>
  <si>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</si>
  <si>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</si>
  <si>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</si>
  <si>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</si>
  <si>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</si>
  <si>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</si>
  <si>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</si>
  <si>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</si>
  <si>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</si>
  <si>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</si>
  <si>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</si>
  <si>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</si>
  <si>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</si>
  <si>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</si>
  <si>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</si>
  <si>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</si>
  <si>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</si>
  <si>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</si>
  <si>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</si>
  <si>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</si>
  <si>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</si>
  <si>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</si>
  <si>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</si>
  <si>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</si>
  <si>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</si>
  <si>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</si>
  <si>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</si>
  <si>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</si>
  <si>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</si>
  <si>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</si>
  <si>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</si>
  <si>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</si>
  <si>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</si>
  <si>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</si>
  <si>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</si>
  <si>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</si>
  <si>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</si>
  <si>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</si>
  <si>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</si>
  <si>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</si>
  <si>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</si>
  <si>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</si>
  <si>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</si>
  <si>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</si>
  <si>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</si>
  <si>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</si>
  <si>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</si>
  <si>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</si>
  <si>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</si>
  <si>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</si>
  <si>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</si>
  <si>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</si>
  <si>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</si>
  <si>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</si>
  <si>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</si>
  <si>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</si>
  <si>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</si>
  <si>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</si>
  <si>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</si>
  <si>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</si>
  <si>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</si>
  <si>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</si>
  <si>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</si>
  <si>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</si>
  <si>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</si>
  <si>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</si>
  <si>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</si>
  <si>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</si>
  <si>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</si>
  <si>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</si>
  <si>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</si>
  <si>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</si>
  <si>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</si>
  <si>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</si>
  <si>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</si>
  <si>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</si>
  <si>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</si>
  <si>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</si>
  <si>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</si>
  <si>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</si>
  <si>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</si>
  <si>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</si>
  <si>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</si>
  <si>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</si>
  <si>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</si>
  <si>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</si>
  <si>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</si>
  <si>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</si>
  <si>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</si>
  <si>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</si>
  <si>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</si>
  <si>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</si>
  <si>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</si>
  <si>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</si>
  <si>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</si>
  <si>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</si>
  <si>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2024/12/8 個数</t>
  </si>
  <si>
    <t>2024/12/11 個数</t>
  </si>
  <si>
    <t>2024/12/13 個数</t>
  </si>
  <si>
    <t>2024/12/16 個数</t>
  </si>
  <si>
    <t>2024/12/18 個数</t>
  </si>
  <si>
    <t>2024/12/21 個数</t>
  </si>
  <si>
    <t>2024/12/23 個数</t>
  </si>
  <si>
    <t>2024/12/26 個数</t>
  </si>
  <si>
    <t>2025/1/15 個数</t>
  </si>
  <si>
    <t>AYG094</t>
    <phoneticPr fontId="1"/>
  </si>
  <si>
    <t>06110200</t>
    <phoneticPr fontId="1"/>
  </si>
  <si>
    <t>A700</t>
    <phoneticPr fontId="1"/>
  </si>
  <si>
    <t>UC</t>
    <phoneticPr fontId="1"/>
  </si>
  <si>
    <t>S</t>
    <phoneticPr fontId="1"/>
  </si>
  <si>
    <t>K</t>
    <phoneticPr fontId="1"/>
  </si>
  <si>
    <t>E</t>
    <phoneticPr fontId="1"/>
  </si>
  <si>
    <t>06110201</t>
    <phoneticPr fontId="1"/>
  </si>
  <si>
    <t>S</t>
    <phoneticPr fontId="1"/>
  </si>
  <si>
    <t>K</t>
    <phoneticPr fontId="1"/>
  </si>
  <si>
    <t>06110202</t>
    <phoneticPr fontId="1"/>
  </si>
  <si>
    <t>06110208</t>
    <phoneticPr fontId="1"/>
  </si>
  <si>
    <t>06110204</t>
    <phoneticPr fontId="1"/>
  </si>
  <si>
    <t>A700</t>
    <phoneticPr fontId="1"/>
  </si>
  <si>
    <t>UC</t>
    <phoneticPr fontId="1"/>
  </si>
  <si>
    <t>06110205</t>
    <phoneticPr fontId="1"/>
  </si>
  <si>
    <t>06110206</t>
    <phoneticPr fontId="1"/>
  </si>
  <si>
    <t>06110207</t>
    <phoneticPr fontId="1"/>
  </si>
  <si>
    <t>06110133</t>
    <phoneticPr fontId="1"/>
  </si>
  <si>
    <t>M032</t>
    <phoneticPr fontId="1"/>
  </si>
  <si>
    <t>TM</t>
    <phoneticPr fontId="1"/>
  </si>
  <si>
    <t>R</t>
    <phoneticPr fontId="1"/>
  </si>
  <si>
    <t>KM</t>
    <phoneticPr fontId="1"/>
  </si>
  <si>
    <t>A318</t>
    <phoneticPr fontId="1"/>
  </si>
  <si>
    <t>06110156</t>
    <phoneticPr fontId="1"/>
  </si>
  <si>
    <t>06110157</t>
    <phoneticPr fontId="1"/>
  </si>
  <si>
    <t>IR</t>
    <phoneticPr fontId="1"/>
  </si>
  <si>
    <t>06110158</t>
    <phoneticPr fontId="1"/>
  </si>
  <si>
    <t>06110203</t>
    <phoneticPr fontId="1"/>
  </si>
  <si>
    <t>06110209</t>
    <phoneticPr fontId="1"/>
  </si>
  <si>
    <t>06110210</t>
    <phoneticPr fontId="1"/>
  </si>
  <si>
    <t>MH</t>
    <phoneticPr fontId="1"/>
  </si>
  <si>
    <t>06110211</t>
    <phoneticPr fontId="1"/>
  </si>
  <si>
    <t>06110212</t>
    <phoneticPr fontId="1"/>
  </si>
  <si>
    <t>MK</t>
    <phoneticPr fontId="1"/>
  </si>
  <si>
    <t>06110045</t>
    <phoneticPr fontId="1"/>
  </si>
  <si>
    <t>M078</t>
    <phoneticPr fontId="1"/>
  </si>
  <si>
    <t>HM</t>
    <phoneticPr fontId="1"/>
  </si>
  <si>
    <t>06110131</t>
    <phoneticPr fontId="1"/>
  </si>
  <si>
    <t>06110132</t>
    <phoneticPr fontId="1"/>
  </si>
  <si>
    <t>NA</t>
    <phoneticPr fontId="1"/>
  </si>
  <si>
    <t>J</t>
    <phoneticPr fontId="1"/>
  </si>
  <si>
    <t>06110154</t>
    <phoneticPr fontId="1"/>
  </si>
  <si>
    <t>06110170</t>
    <phoneticPr fontId="1"/>
  </si>
  <si>
    <t>06110185</t>
    <phoneticPr fontId="1"/>
  </si>
  <si>
    <t>06110184</t>
    <phoneticPr fontId="1"/>
  </si>
  <si>
    <t>06110189</t>
    <phoneticPr fontId="1"/>
  </si>
  <si>
    <t>06110252</t>
    <phoneticPr fontId="1"/>
  </si>
  <si>
    <t>A913</t>
    <phoneticPr fontId="1"/>
  </si>
  <si>
    <t>TO</t>
    <phoneticPr fontId="1"/>
  </si>
  <si>
    <t>06110253</t>
    <phoneticPr fontId="1"/>
  </si>
  <si>
    <t>06100709</t>
    <phoneticPr fontId="1"/>
  </si>
  <si>
    <t>A523</t>
    <phoneticPr fontId="1"/>
  </si>
  <si>
    <t>FR</t>
    <phoneticPr fontId="1"/>
  </si>
  <si>
    <t>06110238</t>
    <phoneticPr fontId="1"/>
  </si>
  <si>
    <t>06110239</t>
    <phoneticPr fontId="1"/>
  </si>
  <si>
    <t>A622</t>
    <phoneticPr fontId="1"/>
  </si>
  <si>
    <t>06110279</t>
    <phoneticPr fontId="1"/>
  </si>
  <si>
    <t>06110280</t>
    <phoneticPr fontId="1"/>
  </si>
  <si>
    <t>06110281</t>
    <phoneticPr fontId="1"/>
  </si>
  <si>
    <t>06110282</t>
    <phoneticPr fontId="1"/>
  </si>
  <si>
    <t>A623</t>
    <phoneticPr fontId="1"/>
  </si>
  <si>
    <t>06110283</t>
    <phoneticPr fontId="1"/>
  </si>
  <si>
    <t>06110288</t>
    <phoneticPr fontId="1"/>
  </si>
  <si>
    <t>06110289</t>
    <phoneticPr fontId="1"/>
  </si>
  <si>
    <t>06110256</t>
    <phoneticPr fontId="1"/>
  </si>
  <si>
    <t>A550</t>
    <phoneticPr fontId="1"/>
  </si>
  <si>
    <t>NF</t>
    <phoneticPr fontId="1"/>
  </si>
  <si>
    <t>M074</t>
    <phoneticPr fontId="1"/>
  </si>
  <si>
    <t>06110260</t>
    <phoneticPr fontId="1"/>
  </si>
  <si>
    <t>06110262</t>
    <phoneticPr fontId="1"/>
  </si>
  <si>
    <t>A336</t>
    <phoneticPr fontId="1"/>
  </si>
  <si>
    <t>06110264</t>
    <phoneticPr fontId="1"/>
  </si>
  <si>
    <t>06110265</t>
    <phoneticPr fontId="1"/>
  </si>
  <si>
    <t>A335</t>
    <phoneticPr fontId="1"/>
  </si>
  <si>
    <t>06110266</t>
    <phoneticPr fontId="1"/>
  </si>
  <si>
    <t>06110269</t>
    <phoneticPr fontId="1"/>
  </si>
  <si>
    <t>06110270</t>
    <phoneticPr fontId="1"/>
  </si>
  <si>
    <t>06110271</t>
    <phoneticPr fontId="1"/>
  </si>
  <si>
    <t>06110272</t>
    <phoneticPr fontId="1"/>
  </si>
  <si>
    <t>06110273</t>
    <phoneticPr fontId="1"/>
  </si>
  <si>
    <t>06110274</t>
    <phoneticPr fontId="1"/>
  </si>
  <si>
    <t>06110284</t>
    <phoneticPr fontId="1"/>
  </si>
  <si>
    <t>A545</t>
    <phoneticPr fontId="1"/>
  </si>
  <si>
    <t>A997</t>
    <phoneticPr fontId="1"/>
  </si>
  <si>
    <t>06110286</t>
    <phoneticPr fontId="1"/>
  </si>
  <si>
    <t>06110287</t>
    <phoneticPr fontId="1"/>
  </si>
  <si>
    <t>06110311</t>
    <phoneticPr fontId="1"/>
  </si>
  <si>
    <t>06110267</t>
    <phoneticPr fontId="1"/>
  </si>
  <si>
    <t>06110268</t>
    <phoneticPr fontId="1"/>
  </si>
  <si>
    <t>06110275</t>
    <phoneticPr fontId="1"/>
  </si>
  <si>
    <t>HA</t>
    <phoneticPr fontId="1"/>
  </si>
  <si>
    <t>06110277</t>
    <phoneticPr fontId="1"/>
  </si>
  <si>
    <t>06110278</t>
    <phoneticPr fontId="1"/>
  </si>
  <si>
    <t>06110290</t>
    <phoneticPr fontId="1"/>
  </si>
  <si>
    <t>06110291</t>
    <phoneticPr fontId="1"/>
  </si>
  <si>
    <t>TK</t>
    <phoneticPr fontId="1"/>
  </si>
  <si>
    <t>06110292</t>
    <phoneticPr fontId="1"/>
  </si>
  <si>
    <t>06110293</t>
    <phoneticPr fontId="1"/>
  </si>
  <si>
    <t>06110294</t>
    <phoneticPr fontId="1"/>
  </si>
  <si>
    <t>06110295</t>
    <phoneticPr fontId="1"/>
  </si>
  <si>
    <t>06110296</t>
    <phoneticPr fontId="1"/>
  </si>
  <si>
    <t>06110297</t>
    <phoneticPr fontId="1"/>
  </si>
  <si>
    <t>06110298</t>
    <phoneticPr fontId="1"/>
  </si>
  <si>
    <t>06110354</t>
    <phoneticPr fontId="1"/>
  </si>
  <si>
    <t>A307</t>
    <phoneticPr fontId="1"/>
  </si>
  <si>
    <t>06100700</t>
    <phoneticPr fontId="1"/>
  </si>
  <si>
    <t>M079</t>
    <phoneticPr fontId="1"/>
  </si>
  <si>
    <t>06110195</t>
    <phoneticPr fontId="1"/>
  </si>
  <si>
    <t>06110213</t>
    <phoneticPr fontId="1"/>
  </si>
  <si>
    <t>06110214</t>
    <phoneticPr fontId="1"/>
  </si>
  <si>
    <t>06110217</t>
    <phoneticPr fontId="1"/>
  </si>
  <si>
    <t>06110215</t>
    <phoneticPr fontId="1"/>
  </si>
  <si>
    <t>06110216</t>
    <phoneticPr fontId="1"/>
  </si>
  <si>
    <t>A505</t>
    <phoneticPr fontId="1"/>
  </si>
  <si>
    <t>06110224</t>
    <phoneticPr fontId="1"/>
  </si>
  <si>
    <t>06110229</t>
    <phoneticPr fontId="1"/>
  </si>
  <si>
    <t>CO</t>
    <phoneticPr fontId="1"/>
  </si>
  <si>
    <t>06110231</t>
    <phoneticPr fontId="1"/>
  </si>
  <si>
    <t>06110232</t>
    <phoneticPr fontId="1"/>
  </si>
  <si>
    <t>06110240</t>
    <phoneticPr fontId="1"/>
  </si>
  <si>
    <t>06110245</t>
    <phoneticPr fontId="1"/>
  </si>
  <si>
    <t>06110246</t>
    <phoneticPr fontId="1"/>
  </si>
  <si>
    <t>06110247</t>
    <phoneticPr fontId="1"/>
  </si>
  <si>
    <t>M037</t>
    <phoneticPr fontId="1"/>
  </si>
  <si>
    <t>06110248</t>
    <phoneticPr fontId="1"/>
  </si>
  <si>
    <t>06110250</t>
    <phoneticPr fontId="1"/>
  </si>
  <si>
    <t>06110251</t>
    <phoneticPr fontId="1"/>
  </si>
  <si>
    <t>06110343</t>
    <phoneticPr fontId="1"/>
  </si>
  <si>
    <t>06110344</t>
    <phoneticPr fontId="1"/>
  </si>
  <si>
    <t>06110345</t>
    <phoneticPr fontId="1"/>
  </si>
  <si>
    <t>06110370</t>
    <phoneticPr fontId="1"/>
  </si>
  <si>
    <t>06110299</t>
    <phoneticPr fontId="1"/>
  </si>
  <si>
    <t>06110300</t>
  </si>
  <si>
    <t>06110301</t>
  </si>
  <si>
    <t>06110302</t>
  </si>
  <si>
    <t>06110303</t>
  </si>
  <si>
    <t>06110304</t>
  </si>
  <si>
    <t>06110305</t>
  </si>
  <si>
    <t>06110306</t>
  </si>
  <si>
    <t>06110307</t>
  </si>
  <si>
    <t>06110308</t>
  </si>
  <si>
    <t>06110309</t>
  </si>
  <si>
    <t>06110310</t>
  </si>
  <si>
    <t>A330</t>
    <phoneticPr fontId="1"/>
  </si>
  <si>
    <t>06110346</t>
    <phoneticPr fontId="1"/>
  </si>
  <si>
    <t>M100</t>
    <phoneticPr fontId="1"/>
  </si>
  <si>
    <t>06110347</t>
    <phoneticPr fontId="1"/>
  </si>
  <si>
    <t>06110198</t>
    <phoneticPr fontId="1"/>
  </si>
  <si>
    <t>A128</t>
    <phoneticPr fontId="1"/>
  </si>
  <si>
    <t>06110199</t>
    <phoneticPr fontId="1"/>
  </si>
  <si>
    <t>06110263</t>
    <phoneticPr fontId="1"/>
  </si>
  <si>
    <t>06110361</t>
    <phoneticPr fontId="1"/>
  </si>
  <si>
    <t>06110362</t>
    <phoneticPr fontId="1"/>
  </si>
  <si>
    <t>A156</t>
    <phoneticPr fontId="1"/>
  </si>
  <si>
    <t>A127</t>
    <phoneticPr fontId="1"/>
  </si>
  <si>
    <t>06110363</t>
    <phoneticPr fontId="1"/>
  </si>
  <si>
    <t>06110364</t>
    <phoneticPr fontId="1"/>
  </si>
  <si>
    <t>06110365</t>
    <phoneticPr fontId="1"/>
  </si>
  <si>
    <t>06110366</t>
    <phoneticPr fontId="1"/>
  </si>
  <si>
    <t>06110367</t>
    <phoneticPr fontId="1"/>
  </si>
  <si>
    <t>06110368</t>
    <phoneticPr fontId="1"/>
  </si>
  <si>
    <t>MW</t>
    <phoneticPr fontId="1"/>
  </si>
  <si>
    <t>06110369</t>
    <phoneticPr fontId="1"/>
  </si>
  <si>
    <t>06110372</t>
    <phoneticPr fontId="1"/>
  </si>
  <si>
    <t>M070</t>
    <phoneticPr fontId="1"/>
  </si>
  <si>
    <t>06110373</t>
    <phoneticPr fontId="1"/>
  </si>
  <si>
    <t>06110374</t>
    <phoneticPr fontId="1"/>
  </si>
  <si>
    <t>06110375</t>
    <phoneticPr fontId="1"/>
  </si>
  <si>
    <t>06110377</t>
    <phoneticPr fontId="1"/>
  </si>
  <si>
    <t>2024/1/18 個数</t>
  </si>
  <si>
    <t>2024/12/14 個数</t>
  </si>
  <si>
    <t>2024/12/17 個数</t>
  </si>
  <si>
    <t>2024/12/19 個数</t>
  </si>
  <si>
    <t>2024/12/22 個数</t>
  </si>
  <si>
    <t>2024/12/24 個数</t>
  </si>
  <si>
    <t>2024/12/25 個数</t>
  </si>
  <si>
    <t>2025/1/18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</si>
</sst>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9" sqref="F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186</v>
      </c>
      <c r="B1" s="24">
        <v>45617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6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33">
        <v>19.8</v>
      </c>
      <c r="C3" s="85" t="s">
        <v>187</v>
      </c>
      <c r="D3" s="109" t="s">
        <v>188</v>
      </c>
      <c r="E3" s="15" t="s">
        <v>189</v>
      </c>
      <c r="F3" s="14"/>
      <c r="G3" s="12" t="s">
        <v>190</v>
      </c>
      <c r="H3" s="13" t="s">
        <v>192</v>
      </c>
      <c r="I3" s="13"/>
      <c r="J3" s="13">
        <v>2</v>
      </c>
      <c r="K3" s="13"/>
      <c r="L3" s="13"/>
      <c r="M3" s="13"/>
      <c r="N3" s="13"/>
      <c r="O3" s="13"/>
      <c r="P3" s="13"/>
      <c r="Q3" s="13"/>
      <c r="R3" s="13"/>
      <c r="S3" s="13"/>
      <c r="T3" s="25">
        <v>45648</v>
      </c>
      <c r="U3" s="13" t="s">
        <v>191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34"/>
      <c r="C4" s="85" t="s">
        <v>193</v>
      </c>
      <c r="D4" s="109" t="s">
        <v>188</v>
      </c>
      <c r="E4" s="15" t="s">
        <v>59</v>
      </c>
      <c r="F4" s="16"/>
      <c r="G4" s="12" t="s">
        <v>194</v>
      </c>
      <c r="H4" s="15" t="s">
        <v>192</v>
      </c>
      <c r="I4" s="13"/>
      <c r="J4" s="15">
        <v>2</v>
      </c>
      <c r="K4" s="15"/>
      <c r="L4" s="17"/>
      <c r="M4" s="17"/>
      <c r="N4" s="13"/>
      <c r="O4" s="17"/>
      <c r="P4" s="17"/>
      <c r="Q4" s="17"/>
      <c r="R4" s="17"/>
      <c r="S4" s="15"/>
      <c r="T4" s="25">
        <v>45643</v>
      </c>
      <c r="U4" s="13" t="s">
        <v>195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34"/>
      <c r="C5" s="85" t="s">
        <v>196</v>
      </c>
      <c r="D5" s="109" t="s">
        <v>188</v>
      </c>
      <c r="E5" s="15" t="s">
        <v>59</v>
      </c>
      <c r="F5" s="16"/>
      <c r="G5" s="12" t="s">
        <v>194</v>
      </c>
      <c r="H5" s="13" t="s">
        <v>192</v>
      </c>
      <c r="I5" s="13"/>
      <c r="J5" s="15">
        <v>2</v>
      </c>
      <c r="K5" s="15"/>
      <c r="L5" s="17"/>
      <c r="M5" s="17"/>
      <c r="N5" s="13"/>
      <c r="O5" s="17"/>
      <c r="P5" s="17"/>
      <c r="Q5" s="17"/>
      <c r="R5" s="17"/>
      <c r="S5" s="15"/>
      <c r="T5" s="25">
        <v>45649</v>
      </c>
      <c r="U5" s="13" t="s">
        <v>195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34"/>
      <c r="C6" s="85" t="s">
        <v>197</v>
      </c>
      <c r="D6" s="109" t="s">
        <v>188</v>
      </c>
      <c r="E6" s="15" t="s">
        <v>59</v>
      </c>
      <c r="F6" s="16"/>
      <c r="G6" s="12" t="s">
        <v>194</v>
      </c>
      <c r="H6" s="15" t="s">
        <v>192</v>
      </c>
      <c r="I6" s="13"/>
      <c r="J6" s="13">
        <v>2</v>
      </c>
      <c r="K6" s="15"/>
      <c r="L6" s="17"/>
      <c r="M6" s="17"/>
      <c r="N6" s="13"/>
      <c r="O6" s="17"/>
      <c r="P6" s="17"/>
      <c r="Q6" s="17"/>
      <c r="R6" s="17"/>
      <c r="S6" s="15"/>
      <c r="T6" s="25">
        <v>45648</v>
      </c>
      <c r="U6" s="13" t="s">
        <v>195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34"/>
      <c r="C7" s="85"/>
      <c r="D7" s="109"/>
      <c r="E7" s="15"/>
      <c r="F7" s="16"/>
      <c r="G7" s="12"/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/>
      <c r="T7" s="25"/>
      <c r="U7" s="13"/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34"/>
      <c r="C8" s="85"/>
      <c r="D8" s="109"/>
      <c r="E8" s="15"/>
      <c r="F8" s="16"/>
      <c r="G8" s="12"/>
      <c r="H8" s="13"/>
      <c r="I8" s="13"/>
      <c r="J8" s="15"/>
      <c r="K8" s="15"/>
      <c r="L8" s="17"/>
      <c r="M8" s="17"/>
      <c r="N8" s="13"/>
      <c r="O8" s="17"/>
      <c r="P8" s="17"/>
      <c r="Q8" s="17"/>
      <c r="R8" s="17"/>
      <c r="S8" s="15"/>
      <c r="T8" s="25"/>
      <c r="U8" s="13"/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34"/>
      <c r="C9" s="85"/>
      <c r="D9" s="109"/>
      <c r="E9" s="15"/>
      <c r="F9" s="16"/>
      <c r="G9" s="12"/>
      <c r="H9" s="15"/>
      <c r="I9" s="13"/>
      <c r="J9" s="15"/>
      <c r="K9" s="15"/>
      <c r="L9" s="17"/>
      <c r="M9" s="17"/>
      <c r="N9" s="13"/>
      <c r="O9" s="17"/>
      <c r="P9" s="17"/>
      <c r="Q9" s="17"/>
      <c r="R9" s="17"/>
      <c r="S9" s="15"/>
      <c r="T9" s="25"/>
      <c r="U9" s="13"/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34"/>
      <c r="C10" s="85"/>
      <c r="D10" s="109"/>
      <c r="E10" s="15"/>
      <c r="F10" s="16"/>
      <c r="G10" s="12"/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/>
      <c r="T10" s="25"/>
      <c r="U10" s="13"/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34"/>
      <c r="C11" s="85"/>
      <c r="D11" s="109"/>
      <c r="E11" s="15"/>
      <c r="F11" s="16"/>
      <c r="G11" s="12"/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/>
      <c r="T11" s="25"/>
      <c r="U11" s="13"/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34"/>
      <c r="C12" s="85"/>
      <c r="D12" s="109"/>
      <c r="E12" s="15"/>
      <c r="F12" s="16"/>
      <c r="G12" s="12"/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34"/>
      <c r="C13" s="85"/>
      <c r="D13" s="109"/>
      <c r="E13" s="15"/>
      <c r="F13" s="16"/>
      <c r="G13" s="12"/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34"/>
      <c r="C14" s="85"/>
      <c r="D14" s="109"/>
      <c r="E14" s="15"/>
      <c r="F14" s="16"/>
      <c r="G14" s="12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34"/>
      <c r="C15" s="85"/>
      <c r="D15" s="109"/>
      <c r="E15" s="15"/>
      <c r="F15" s="16"/>
      <c r="G15" s="12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34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34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34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34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34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34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34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34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34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34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225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34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35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121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4</v>
      </c>
      <c r="D28" s="112"/>
      <c r="E28" s="29"/>
      <c r="F28" s="29" t="s">
        <v>34</v>
      </c>
      <c r="G28" s="29">
        <f>COUNTIF(G3:G27,"S")</f>
        <v>4</v>
      </c>
      <c r="H28" s="29">
        <f>COUNTIF(H3:H27,"E")</f>
        <v>4</v>
      </c>
      <c r="I28" s="29">
        <f t="shared" ref="I28:S28" si="0">SUM(I3:I27)</f>
        <v>0</v>
      </c>
      <c r="J28" s="29">
        <f t="shared" si="0"/>
        <v>8</v>
      </c>
      <c r="K28" s="29">
        <f t="shared" si="0"/>
        <v>0</v>
      </c>
      <c r="L28" s="29">
        <f t="shared" si="0"/>
        <v>0</v>
      </c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38" t="s">
        <v>104</v>
      </c>
      <c r="AB28" s="13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8</v>
      </c>
      <c r="T29" s="29"/>
      <c r="U29" s="29"/>
      <c r="X29" t="s">
        <v>136</v>
      </c>
      <c r="AA29" s="140"/>
      <c r="AB29" s="141"/>
      <c r="AC29" s="154">
        <f>SUM(AC28:AE28)</f>
        <v>0</v>
      </c>
      <c r="AD29" s="155"/>
      <c r="AE29" s="15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AYG094</v>
      </c>
      <c r="B31" s="24">
        <f>B1</f>
        <v>45617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6" t="s">
        <v>119</v>
      </c>
      <c r="Y32" s="142"/>
      <c r="AA32" s="149" t="s">
        <v>47</v>
      </c>
      <c r="AB32" s="150"/>
    </row>
    <row r="33" spans="1:29" ht="19.5" thickTop="1" x14ac:dyDescent="0.4">
      <c r="A33" s="143">
        <v>2</v>
      </c>
      <c r="B33" s="133">
        <v>19.3</v>
      </c>
      <c r="C33" s="85" t="s">
        <v>198</v>
      </c>
      <c r="D33" s="109" t="s">
        <v>199</v>
      </c>
      <c r="E33" s="109" t="s">
        <v>200</v>
      </c>
      <c r="F33" s="16"/>
      <c r="G33" s="12" t="s">
        <v>194</v>
      </c>
      <c r="H33" s="15" t="s">
        <v>192</v>
      </c>
      <c r="I33" s="15"/>
      <c r="J33" s="15">
        <v>2</v>
      </c>
      <c r="K33" s="15"/>
      <c r="L33" s="17"/>
      <c r="M33" s="17"/>
      <c r="N33" s="17"/>
      <c r="O33" s="17"/>
      <c r="P33" s="17"/>
      <c r="Q33" s="17"/>
      <c r="R33" s="17"/>
      <c r="S33" s="15"/>
      <c r="T33" s="25">
        <v>45644</v>
      </c>
      <c r="U33" s="13" t="s">
        <v>195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76</v>
      </c>
    </row>
    <row r="34" spans="1:29" x14ac:dyDescent="0.4">
      <c r="A34" s="144"/>
      <c r="B34" s="134"/>
      <c r="C34" s="85" t="s">
        <v>201</v>
      </c>
      <c r="D34" s="109" t="s">
        <v>199</v>
      </c>
      <c r="E34" s="109" t="s">
        <v>200</v>
      </c>
      <c r="F34" s="16"/>
      <c r="G34" s="12" t="s">
        <v>194</v>
      </c>
      <c r="H34" s="15" t="s">
        <v>192</v>
      </c>
      <c r="I34" s="13"/>
      <c r="J34" s="15">
        <v>2</v>
      </c>
      <c r="K34" s="15"/>
      <c r="L34" s="17"/>
      <c r="M34" s="17"/>
      <c r="N34" s="17"/>
      <c r="O34" s="17"/>
      <c r="P34" s="17"/>
      <c r="Q34" s="17"/>
      <c r="R34" s="17"/>
      <c r="S34" s="15"/>
      <c r="T34" s="25">
        <v>45644</v>
      </c>
      <c r="U34" s="13" t="s">
        <v>195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34</v>
      </c>
    </row>
    <row r="35" spans="1:29" ht="19.5" thickBot="1" x14ac:dyDescent="0.45">
      <c r="A35" s="144"/>
      <c r="B35" s="134"/>
      <c r="C35" s="85" t="s">
        <v>202</v>
      </c>
      <c r="D35" s="109" t="s">
        <v>199</v>
      </c>
      <c r="E35" s="109" t="s">
        <v>200</v>
      </c>
      <c r="F35" s="16"/>
      <c r="G35" s="12" t="s">
        <v>194</v>
      </c>
      <c r="H35" s="13" t="s">
        <v>192</v>
      </c>
      <c r="I35" s="13"/>
      <c r="J35" s="15">
        <v>2</v>
      </c>
      <c r="K35" s="15"/>
      <c r="L35" s="17"/>
      <c r="M35" s="17"/>
      <c r="N35" s="17"/>
      <c r="O35" s="17"/>
      <c r="P35" s="17"/>
      <c r="Q35" s="17"/>
      <c r="R35" s="17"/>
      <c r="S35" s="15"/>
      <c r="T35" s="25">
        <v>45644</v>
      </c>
      <c r="U35" s="13" t="s">
        <v>195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7</v>
      </c>
    </row>
    <row r="36" spans="1:29" x14ac:dyDescent="0.4">
      <c r="A36" s="144"/>
      <c r="B36" s="134"/>
      <c r="C36" s="85" t="s">
        <v>203</v>
      </c>
      <c r="D36" s="109" t="s">
        <v>199</v>
      </c>
      <c r="E36" s="109" t="s">
        <v>200</v>
      </c>
      <c r="F36" s="16"/>
      <c r="G36" s="12" t="s">
        <v>194</v>
      </c>
      <c r="H36" s="15" t="s">
        <v>192</v>
      </c>
      <c r="I36" s="13"/>
      <c r="J36" s="13">
        <v>2</v>
      </c>
      <c r="K36" s="15"/>
      <c r="L36" s="17"/>
      <c r="M36" s="17"/>
      <c r="N36" s="17"/>
      <c r="O36" s="17"/>
      <c r="P36" s="17"/>
      <c r="Q36" s="17"/>
      <c r="R36" s="17"/>
      <c r="S36" s="15"/>
      <c r="T36" s="25">
        <v>45643</v>
      </c>
      <c r="U36" s="13" t="s">
        <v>195</v>
      </c>
      <c r="V36">
        <v>4</v>
      </c>
      <c r="AA36" s="31" t="s">
        <v>50</v>
      </c>
      <c r="AB36" s="32">
        <f>M28+M178+M148+M118+M208+M238+M268+M298+M328+M358</f>
        <v>14</v>
      </c>
    </row>
    <row r="37" spans="1:29" x14ac:dyDescent="0.4">
      <c r="A37" s="144"/>
      <c r="B37" s="134"/>
      <c r="C37" s="85"/>
      <c r="D37" s="109"/>
      <c r="E37" s="109"/>
      <c r="F37" s="16"/>
      <c r="G37" s="12"/>
      <c r="H37" s="15"/>
      <c r="I37" s="15"/>
      <c r="J37" s="15"/>
      <c r="K37" s="15"/>
      <c r="L37" s="17"/>
      <c r="M37" s="17"/>
      <c r="N37" s="17"/>
      <c r="O37" s="17"/>
      <c r="P37" s="17"/>
      <c r="Q37" s="17"/>
      <c r="R37" s="17"/>
      <c r="S37" s="15"/>
      <c r="T37" s="25"/>
      <c r="U37" s="13"/>
      <c r="V37">
        <v>5</v>
      </c>
      <c r="AA37" s="31" t="s">
        <v>51</v>
      </c>
      <c r="AB37" s="32">
        <f>N28+N178+N148+N118+N208+N238+N268+N298+N328+N358</f>
        <v>13</v>
      </c>
    </row>
    <row r="38" spans="1:29" x14ac:dyDescent="0.4">
      <c r="A38" s="144"/>
      <c r="B38" s="134"/>
      <c r="C38" s="85"/>
      <c r="D38" s="109"/>
      <c r="E38" s="109"/>
      <c r="F38" s="16"/>
      <c r="G38" s="12"/>
      <c r="H38" s="13"/>
      <c r="I38" s="15"/>
      <c r="J38" s="15"/>
      <c r="K38" s="15"/>
      <c r="L38" s="17"/>
      <c r="M38" s="17"/>
      <c r="N38" s="17"/>
      <c r="O38" s="17"/>
      <c r="P38" s="17"/>
      <c r="Q38" s="17"/>
      <c r="R38" s="17"/>
      <c r="S38" s="15"/>
      <c r="T38" s="25"/>
      <c r="U38" s="13"/>
      <c r="V38">
        <v>6</v>
      </c>
      <c r="AA38" s="31" t="s">
        <v>52</v>
      </c>
      <c r="AB38" s="32">
        <f>O28+O178+O148+O118+O208+O238+O268+O298+O328+O358</f>
        <v>17</v>
      </c>
    </row>
    <row r="39" spans="1:29" x14ac:dyDescent="0.4">
      <c r="A39" s="144"/>
      <c r="B39" s="134"/>
      <c r="C39" s="85"/>
      <c r="D39" s="109"/>
      <c r="E39" s="109"/>
      <c r="F39" s="16"/>
      <c r="G39" s="12"/>
      <c r="H39" s="15"/>
      <c r="I39" s="15"/>
      <c r="J39" s="15"/>
      <c r="K39" s="15"/>
      <c r="L39" s="17"/>
      <c r="M39" s="17"/>
      <c r="N39" s="17"/>
      <c r="O39" s="17"/>
      <c r="P39" s="17"/>
      <c r="Q39" s="17"/>
      <c r="R39" s="17"/>
      <c r="S39" s="15"/>
      <c r="T39" s="25"/>
      <c r="U39" s="13"/>
      <c r="V39">
        <v>7</v>
      </c>
      <c r="AA39" s="31" t="s">
        <v>53</v>
      </c>
      <c r="AB39" s="32">
        <f>P28+P178+P148+P118+P208+P238+P268+P298+P328+P358</f>
        <v>14</v>
      </c>
    </row>
    <row r="40" spans="1:29" x14ac:dyDescent="0.4">
      <c r="A40" s="144"/>
      <c r="B40" s="134"/>
      <c r="C40" s="85"/>
      <c r="D40" s="109"/>
      <c r="E40" s="109"/>
      <c r="F40" s="16"/>
      <c r="G40" s="12"/>
      <c r="H40" s="15"/>
      <c r="I40" s="15"/>
      <c r="J40" s="15"/>
      <c r="K40" s="15"/>
      <c r="L40" s="17"/>
      <c r="M40" s="17"/>
      <c r="N40" s="17"/>
      <c r="O40" s="17"/>
      <c r="P40" s="17"/>
      <c r="Q40" s="17"/>
      <c r="R40" s="17"/>
      <c r="S40" s="15"/>
      <c r="T40" s="25"/>
      <c r="U40" s="13"/>
      <c r="V40">
        <v>8</v>
      </c>
      <c r="AA40" s="31" t="s">
        <v>54</v>
      </c>
      <c r="AB40" s="32">
        <f>Q28+Q178+Q148+Q118+Q208+Q238+Q268+Q298+Q328+Q358</f>
        <v>22</v>
      </c>
    </row>
    <row r="41" spans="1:29" x14ac:dyDescent="0.4">
      <c r="A41" s="144"/>
      <c r="B41" s="134"/>
      <c r="C41" s="85"/>
      <c r="D41" s="109"/>
      <c r="E41" s="109"/>
      <c r="F41" s="16"/>
      <c r="G41" s="12"/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10</v>
      </c>
      <c r="AC41" t="s">
        <v>123</v>
      </c>
    </row>
    <row r="42" spans="1:29" ht="19.5" thickBot="1" x14ac:dyDescent="0.45">
      <c r="A42" s="144"/>
      <c r="B42" s="134"/>
      <c r="C42" s="85"/>
      <c r="D42" s="109"/>
      <c r="E42" s="109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208</v>
      </c>
    </row>
    <row r="43" spans="1:29" ht="19.5" thickBot="1" x14ac:dyDescent="0.45">
      <c r="A43" s="144"/>
      <c r="B43" s="134"/>
      <c r="C43" s="85"/>
      <c r="D43" s="109"/>
      <c r="E43" s="109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34"/>
      <c r="C44" s="85"/>
      <c r="D44" s="109"/>
      <c r="E44" s="109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16</v>
      </c>
    </row>
    <row r="45" spans="1:29" x14ac:dyDescent="0.4">
      <c r="A45" s="144"/>
      <c r="B45" s="134"/>
      <c r="C45" s="85"/>
      <c r="D45" s="109"/>
      <c r="E45" s="109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4"/>
      <c r="B46" s="134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34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34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44"/>
      <c r="B49" s="134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121</v>
      </c>
    </row>
    <row r="50" spans="1:28" ht="19.5" thickBot="1" x14ac:dyDescent="0.45">
      <c r="A50" s="144"/>
      <c r="B50" s="134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44"/>
      <c r="B51" s="134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4"/>
      <c r="B52" s="134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1">
        <v>76</v>
      </c>
    </row>
    <row r="53" spans="1:28" ht="19.5" thickBot="1" x14ac:dyDescent="0.45">
      <c r="A53" s="144"/>
      <c r="B53" s="134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2"/>
    </row>
    <row r="54" spans="1:28" ht="19.5" thickBot="1" x14ac:dyDescent="0.45">
      <c r="A54" s="144"/>
      <c r="B54" s="134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34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6" t="s">
        <v>73</v>
      </c>
      <c r="AB55" s="45"/>
    </row>
    <row r="56" spans="1:28" ht="19.5" thickBot="1" x14ac:dyDescent="0.45">
      <c r="A56" s="144"/>
      <c r="B56" s="134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7"/>
      <c r="AB56" s="46"/>
    </row>
    <row r="57" spans="1:28" ht="19.5" thickBot="1" x14ac:dyDescent="0.45">
      <c r="A57" s="145"/>
      <c r="B57" s="135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6"/>
      <c r="AB57" s="45">
        <v>7</v>
      </c>
    </row>
    <row r="58" spans="1:28" ht="19.5" thickBot="1" x14ac:dyDescent="0.45">
      <c r="A58" s="27"/>
      <c r="B58" s="28"/>
      <c r="C58" s="88">
        <f>COUNTA(C33:C57)</f>
        <v>4</v>
      </c>
      <c r="D58" s="112"/>
      <c r="E58" s="29"/>
      <c r="F58" s="29" t="s">
        <v>34</v>
      </c>
      <c r="G58" s="29">
        <f>COUNTIF(G33:G57,"S")</f>
        <v>4</v>
      </c>
      <c r="H58" s="29">
        <f>COUNTIF(H33:H57,"E")</f>
        <v>4</v>
      </c>
      <c r="I58" s="29">
        <f>SUM(I33:I57)</f>
        <v>0</v>
      </c>
      <c r="J58" s="29">
        <f t="shared" ref="J58:S58" si="1">SUM(J33:J57)</f>
        <v>8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AYG094</v>
      </c>
      <c r="B61" s="24">
        <f>B1</f>
        <v>45617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6" t="s">
        <v>118</v>
      </c>
      <c r="Y62" s="142"/>
    </row>
    <row r="63" spans="1:28" ht="20.25" thickTop="1" thickBot="1" x14ac:dyDescent="0.45">
      <c r="A63" s="143">
        <v>3</v>
      </c>
      <c r="B63" s="146">
        <v>22.2</v>
      </c>
      <c r="C63" s="85" t="s">
        <v>204</v>
      </c>
      <c r="D63" s="109" t="s">
        <v>205</v>
      </c>
      <c r="E63" s="15" t="s">
        <v>206</v>
      </c>
      <c r="F63" s="14"/>
      <c r="G63" s="12" t="s">
        <v>194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>
        <v>1</v>
      </c>
      <c r="R63" s="13"/>
      <c r="S63" s="13"/>
      <c r="T63" s="25">
        <v>45634</v>
      </c>
      <c r="U63" s="13" t="s">
        <v>207</v>
      </c>
      <c r="V63">
        <v>1</v>
      </c>
      <c r="X63" s="51" t="s">
        <v>106</v>
      </c>
      <c r="Y63" s="52">
        <f>COUNTIF(U63:U87,"K")</f>
        <v>6</v>
      </c>
      <c r="AA63" s="59" t="s">
        <v>120</v>
      </c>
      <c r="AB63" s="60" t="s">
        <v>121</v>
      </c>
    </row>
    <row r="64" spans="1:28" x14ac:dyDescent="0.4">
      <c r="A64" s="144"/>
      <c r="B64" s="147"/>
      <c r="C64" s="85" t="s">
        <v>210</v>
      </c>
      <c r="D64" s="109" t="s">
        <v>209</v>
      </c>
      <c r="E64" s="15" t="s">
        <v>208</v>
      </c>
      <c r="F64" s="16"/>
      <c r="G64" s="12" t="s">
        <v>194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45652</v>
      </c>
      <c r="U64" s="13" t="s">
        <v>195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44"/>
      <c r="B65" s="147"/>
      <c r="C65" s="85" t="s">
        <v>211</v>
      </c>
      <c r="D65" s="109" t="s">
        <v>209</v>
      </c>
      <c r="E65" s="15" t="s">
        <v>212</v>
      </c>
      <c r="F65" s="16"/>
      <c r="G65" s="12" t="s">
        <v>194</v>
      </c>
      <c r="H65" s="15"/>
      <c r="I65" s="15"/>
      <c r="J65" s="13"/>
      <c r="K65" s="15"/>
      <c r="L65" s="13"/>
      <c r="M65" s="17">
        <v>1</v>
      </c>
      <c r="N65" s="17">
        <v>1</v>
      </c>
      <c r="O65" s="17"/>
      <c r="P65" s="17"/>
      <c r="Q65" s="17"/>
      <c r="R65" s="17"/>
      <c r="S65" s="15"/>
      <c r="T65" s="25">
        <v>45652</v>
      </c>
      <c r="U65" s="13" t="s">
        <v>207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4"/>
      <c r="B66" s="147"/>
      <c r="C66" s="85" t="s">
        <v>213</v>
      </c>
      <c r="D66" s="109" t="s">
        <v>209</v>
      </c>
      <c r="E66" s="15" t="s">
        <v>208</v>
      </c>
      <c r="F66" s="16"/>
      <c r="G66" s="12" t="s">
        <v>194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/>
      <c r="R66" s="17"/>
      <c r="S66" s="15"/>
      <c r="T66" s="25">
        <v>45652</v>
      </c>
      <c r="U66" s="13" t="s">
        <v>207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47"/>
      <c r="C67" s="85" t="s">
        <v>214</v>
      </c>
      <c r="D67" s="109" t="s">
        <v>199</v>
      </c>
      <c r="E67" s="15" t="s">
        <v>200</v>
      </c>
      <c r="F67" s="16"/>
      <c r="G67" s="12" t="s">
        <v>194</v>
      </c>
      <c r="H67" s="15" t="s">
        <v>192</v>
      </c>
      <c r="I67" s="15"/>
      <c r="J67" s="13">
        <v>2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45649</v>
      </c>
      <c r="U67" s="13" t="s">
        <v>195</v>
      </c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47"/>
      <c r="C68" s="85" t="s">
        <v>215</v>
      </c>
      <c r="D68" s="109" t="s">
        <v>199</v>
      </c>
      <c r="E68" s="15" t="s">
        <v>200</v>
      </c>
      <c r="F68" s="16"/>
      <c r="G68" s="12" t="s">
        <v>194</v>
      </c>
      <c r="H68" s="15" t="s">
        <v>192</v>
      </c>
      <c r="I68" s="15"/>
      <c r="J68" s="13">
        <v>2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45644</v>
      </c>
      <c r="U68" s="13" t="s">
        <v>195</v>
      </c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47"/>
      <c r="C69" s="85" t="s">
        <v>216</v>
      </c>
      <c r="D69" s="109" t="s">
        <v>199</v>
      </c>
      <c r="E69" s="15" t="s">
        <v>200</v>
      </c>
      <c r="F69" s="16"/>
      <c r="G69" s="12" t="s">
        <v>194</v>
      </c>
      <c r="H69" s="15" t="s">
        <v>192</v>
      </c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>
        <v>45648</v>
      </c>
      <c r="U69" s="13" t="s">
        <v>195</v>
      </c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47"/>
      <c r="C70" s="85" t="s">
        <v>218</v>
      </c>
      <c r="D70" s="109" t="s">
        <v>199</v>
      </c>
      <c r="E70" s="15" t="s">
        <v>217</v>
      </c>
      <c r="F70" s="16"/>
      <c r="G70" s="12" t="s">
        <v>194</v>
      </c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>
        <v>1</v>
      </c>
      <c r="T70" s="25">
        <v>45643</v>
      </c>
      <c r="U70" s="13" t="s">
        <v>195</v>
      </c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47"/>
      <c r="C71" s="85" t="s">
        <v>219</v>
      </c>
      <c r="D71" s="109" t="s">
        <v>199</v>
      </c>
      <c r="E71" s="15" t="s">
        <v>220</v>
      </c>
      <c r="F71" s="16"/>
      <c r="G71" s="12" t="s">
        <v>194</v>
      </c>
      <c r="H71" s="15"/>
      <c r="I71" s="15"/>
      <c r="J71" s="13">
        <v>1</v>
      </c>
      <c r="K71" s="15"/>
      <c r="L71" s="13"/>
      <c r="M71" s="17"/>
      <c r="N71" s="17"/>
      <c r="O71" s="17"/>
      <c r="P71" s="17"/>
      <c r="Q71" s="17"/>
      <c r="R71" s="17"/>
      <c r="S71" s="15"/>
      <c r="T71" s="25">
        <v>45643</v>
      </c>
      <c r="U71" s="13" t="s">
        <v>195</v>
      </c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47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47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47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47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47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47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47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47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47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47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47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47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47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47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47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48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9</v>
      </c>
      <c r="D88" s="112"/>
      <c r="E88" s="29"/>
      <c r="F88" s="29" t="s">
        <v>34</v>
      </c>
      <c r="G88" s="29">
        <f>COUNTIF(G63:G87,"S")</f>
        <v>9</v>
      </c>
      <c r="H88" s="29">
        <f>COUNTIF(H63:H87,"E")</f>
        <v>3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0</v>
      </c>
      <c r="M88" s="29">
        <f t="shared" si="2"/>
        <v>3</v>
      </c>
      <c r="N88" s="29">
        <f t="shared" si="2"/>
        <v>3</v>
      </c>
      <c r="O88" s="29">
        <f t="shared" si="2"/>
        <v>0</v>
      </c>
      <c r="P88" s="29">
        <f t="shared" si="2"/>
        <v>0</v>
      </c>
      <c r="Q88" s="29">
        <f t="shared" si="2"/>
        <v>1</v>
      </c>
      <c r="R88" s="29">
        <f t="shared" si="2"/>
        <v>0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9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AYG094</v>
      </c>
      <c r="B91" s="24">
        <f>B1</f>
        <v>45617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6" t="s">
        <v>117</v>
      </c>
      <c r="Y92" s="142"/>
    </row>
    <row r="93" spans="1:28" ht="20.25" thickTop="1" thickBot="1" x14ac:dyDescent="0.45">
      <c r="A93" s="143">
        <v>4</v>
      </c>
      <c r="B93" s="133">
        <v>20.399999999999999</v>
      </c>
      <c r="C93" s="85" t="s">
        <v>221</v>
      </c>
      <c r="D93" s="109" t="s">
        <v>222</v>
      </c>
      <c r="E93" s="15" t="s">
        <v>208</v>
      </c>
      <c r="F93" s="14"/>
      <c r="G93" s="12" t="s">
        <v>194</v>
      </c>
      <c r="H93" s="13"/>
      <c r="I93" s="13"/>
      <c r="J93" s="13"/>
      <c r="K93" s="13">
        <v>1</v>
      </c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45642</v>
      </c>
      <c r="U93" s="13" t="s">
        <v>207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44"/>
      <c r="B94" s="134"/>
      <c r="C94" s="85" t="s">
        <v>224</v>
      </c>
      <c r="D94" s="109" t="s">
        <v>205</v>
      </c>
      <c r="E94" s="15" t="s">
        <v>223</v>
      </c>
      <c r="F94" s="16"/>
      <c r="G94" s="12" t="s">
        <v>194</v>
      </c>
      <c r="H94" s="15"/>
      <c r="I94" s="15"/>
      <c r="J94" s="15">
        <v>1</v>
      </c>
      <c r="K94" s="15">
        <v>1</v>
      </c>
      <c r="L94" s="17"/>
      <c r="M94" s="17"/>
      <c r="N94" s="17"/>
      <c r="O94" s="17"/>
      <c r="P94" s="17"/>
      <c r="Q94" s="17"/>
      <c r="R94" s="17"/>
      <c r="S94" s="15"/>
      <c r="T94" s="25">
        <v>45637</v>
      </c>
      <c r="U94" s="15" t="s">
        <v>195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44"/>
      <c r="B95" s="134"/>
      <c r="C95" s="85" t="s">
        <v>225</v>
      </c>
      <c r="D95" s="109" t="s">
        <v>205</v>
      </c>
      <c r="E95" s="15" t="s">
        <v>226</v>
      </c>
      <c r="F95" s="16"/>
      <c r="G95" s="12" t="s">
        <v>194</v>
      </c>
      <c r="H95" s="15"/>
      <c r="I95" s="15"/>
      <c r="J95" s="15"/>
      <c r="K95" s="15"/>
      <c r="L95" s="17"/>
      <c r="M95" s="17"/>
      <c r="N95" s="17"/>
      <c r="O95" s="17">
        <v>1</v>
      </c>
      <c r="P95" s="17">
        <v>1</v>
      </c>
      <c r="Q95" s="17"/>
      <c r="R95" s="17">
        <v>1</v>
      </c>
      <c r="S95" s="15"/>
      <c r="T95" s="25">
        <v>45637</v>
      </c>
      <c r="U95" s="15" t="s">
        <v>227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4"/>
      <c r="B96" s="134"/>
      <c r="C96" s="85" t="s">
        <v>228</v>
      </c>
      <c r="D96" s="109" t="s">
        <v>205</v>
      </c>
      <c r="E96" s="15" t="s">
        <v>208</v>
      </c>
      <c r="F96" s="16"/>
      <c r="G96" s="12" t="s">
        <v>194</v>
      </c>
      <c r="H96" s="15"/>
      <c r="I96" s="15"/>
      <c r="J96" s="15"/>
      <c r="K96" s="15"/>
      <c r="L96" s="17"/>
      <c r="M96" s="17">
        <v>1</v>
      </c>
      <c r="N96" s="17">
        <v>1</v>
      </c>
      <c r="O96" s="17"/>
      <c r="P96" s="17"/>
      <c r="Q96" s="17"/>
      <c r="R96" s="17"/>
      <c r="S96" s="15"/>
      <c r="T96" s="25">
        <v>45640</v>
      </c>
      <c r="U96" s="15" t="s">
        <v>207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34"/>
      <c r="C97" s="85" t="s">
        <v>229</v>
      </c>
      <c r="D97" s="109" t="s">
        <v>205</v>
      </c>
      <c r="E97" s="15" t="s">
        <v>206</v>
      </c>
      <c r="F97" s="16"/>
      <c r="G97" s="12" t="s">
        <v>194</v>
      </c>
      <c r="H97" s="15"/>
      <c r="I97" s="15"/>
      <c r="J97" s="15"/>
      <c r="K97" s="15"/>
      <c r="L97" s="17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45639</v>
      </c>
      <c r="U97" s="15" t="s">
        <v>207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34"/>
      <c r="C98" s="85" t="s">
        <v>230</v>
      </c>
      <c r="D98" s="109" t="s">
        <v>199</v>
      </c>
      <c r="E98" s="15" t="s">
        <v>200</v>
      </c>
      <c r="F98" s="16"/>
      <c r="G98" s="12" t="s">
        <v>194</v>
      </c>
      <c r="H98" s="13" t="s">
        <v>192</v>
      </c>
      <c r="I98" s="15"/>
      <c r="J98" s="15">
        <v>2</v>
      </c>
      <c r="K98" s="15"/>
      <c r="L98" s="17"/>
      <c r="M98" s="17"/>
      <c r="N98" s="17"/>
      <c r="O98" s="17"/>
      <c r="P98" s="17"/>
      <c r="Q98" s="17"/>
      <c r="R98" s="17"/>
      <c r="S98" s="15"/>
      <c r="T98" s="25">
        <v>45642</v>
      </c>
      <c r="U98" s="15" t="s">
        <v>195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34"/>
      <c r="C99" s="85" t="s">
        <v>231</v>
      </c>
      <c r="D99" s="109" t="s">
        <v>199</v>
      </c>
      <c r="E99" s="15" t="s">
        <v>200</v>
      </c>
      <c r="F99" s="16"/>
      <c r="G99" s="12" t="s">
        <v>194</v>
      </c>
      <c r="H99" s="15"/>
      <c r="I99" s="15"/>
      <c r="J99" s="15">
        <v>2</v>
      </c>
      <c r="K99" s="15"/>
      <c r="L99" s="17"/>
      <c r="M99" s="17"/>
      <c r="N99" s="17"/>
      <c r="O99" s="17"/>
      <c r="P99" s="17"/>
      <c r="Q99" s="17"/>
      <c r="R99" s="17"/>
      <c r="S99" s="15"/>
      <c r="T99" s="25">
        <v>45642</v>
      </c>
      <c r="U99" s="15" t="s">
        <v>195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34"/>
      <c r="C100" s="85" t="s">
        <v>232</v>
      </c>
      <c r="D100" s="109" t="s">
        <v>205</v>
      </c>
      <c r="E100" s="15" t="s">
        <v>223</v>
      </c>
      <c r="F100" s="16"/>
      <c r="G100" s="12" t="s">
        <v>194</v>
      </c>
      <c r="H100" s="15"/>
      <c r="I100" s="15"/>
      <c r="J100" s="15"/>
      <c r="K100" s="15">
        <v>1</v>
      </c>
      <c r="L100" s="17"/>
      <c r="M100" s="17"/>
      <c r="N100" s="17">
        <v>1</v>
      </c>
      <c r="O100" s="17"/>
      <c r="P100" s="17"/>
      <c r="Q100" s="17">
        <v>1</v>
      </c>
      <c r="R100" s="17"/>
      <c r="S100" s="15"/>
      <c r="T100" s="25">
        <v>45640</v>
      </c>
      <c r="U100" s="15" t="s">
        <v>207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34"/>
      <c r="C101" s="85" t="s">
        <v>233</v>
      </c>
      <c r="D101" s="109" t="s">
        <v>234</v>
      </c>
      <c r="E101" s="15" t="s">
        <v>226</v>
      </c>
      <c r="F101" s="16"/>
      <c r="G101" s="12" t="s">
        <v>194</v>
      </c>
      <c r="H101" s="15"/>
      <c r="I101" s="15"/>
      <c r="J101" s="15"/>
      <c r="K101" s="15"/>
      <c r="L101" s="17"/>
      <c r="M101" s="17"/>
      <c r="N101" s="17"/>
      <c r="O101" s="17">
        <v>1</v>
      </c>
      <c r="P101" s="17"/>
      <c r="Q101" s="17"/>
      <c r="R101" s="17">
        <v>1</v>
      </c>
      <c r="S101" s="15"/>
      <c r="T101" s="25">
        <v>45675</v>
      </c>
      <c r="U101" s="15" t="s">
        <v>227</v>
      </c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34"/>
      <c r="C102" s="85" t="s">
        <v>236</v>
      </c>
      <c r="D102" s="109" t="s">
        <v>234</v>
      </c>
      <c r="E102" s="15" t="s">
        <v>235</v>
      </c>
      <c r="F102" s="16"/>
      <c r="G102" s="12" t="s">
        <v>194</v>
      </c>
      <c r="H102" s="15"/>
      <c r="I102" s="15"/>
      <c r="J102" s="15">
        <v>1</v>
      </c>
      <c r="K102" s="15"/>
      <c r="L102" s="17">
        <v>1</v>
      </c>
      <c r="M102" s="17"/>
      <c r="N102" s="17"/>
      <c r="O102" s="17"/>
      <c r="P102" s="17"/>
      <c r="Q102" s="17"/>
      <c r="R102" s="17"/>
      <c r="S102" s="15"/>
      <c r="T102" s="25">
        <v>45675</v>
      </c>
      <c r="U102" s="15" t="s">
        <v>195</v>
      </c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34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34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34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5"/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34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34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34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34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34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34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34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34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34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34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4"/>
      <c r="B116" s="134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35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10</v>
      </c>
      <c r="D118" s="112"/>
      <c r="E118" s="29"/>
      <c r="F118" s="29" t="s">
        <v>34</v>
      </c>
      <c r="G118" s="29">
        <f>COUNTIF(G93:G117,"S")</f>
        <v>10</v>
      </c>
      <c r="H118" s="29">
        <f>COUNTIF(H93:H117,"E")</f>
        <v>1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3</v>
      </c>
      <c r="L118" s="29">
        <f t="shared" ref="L118" si="5">SUM(L93:L117)</f>
        <v>1</v>
      </c>
      <c r="M118" s="29">
        <f t="shared" ref="M118" si="6">SUM(M93:M117)</f>
        <v>3</v>
      </c>
      <c r="N118" s="29">
        <f t="shared" ref="N118" si="7">SUM(N93:N117)</f>
        <v>4</v>
      </c>
      <c r="O118" s="29">
        <f t="shared" ref="O118" si="8">SUM(O93:O117)</f>
        <v>2</v>
      </c>
      <c r="P118" s="29">
        <f t="shared" ref="P118" si="9">SUM(P93:P117)</f>
        <v>1</v>
      </c>
      <c r="Q118" s="29">
        <f t="shared" ref="Q118" si="10">SUM(Q93:Q117)</f>
        <v>3</v>
      </c>
      <c r="R118" s="29">
        <f t="shared" ref="R118" si="11">SUM(R93:R117)</f>
        <v>2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25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AYG094</v>
      </c>
      <c r="B121" s="24">
        <f>B1</f>
        <v>45617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6" t="s">
        <v>116</v>
      </c>
      <c r="Y122" s="142"/>
    </row>
    <row r="123" spans="1:28" ht="20.25" thickTop="1" thickBot="1" x14ac:dyDescent="0.45">
      <c r="A123" s="143">
        <v>5</v>
      </c>
      <c r="B123" s="133">
        <v>19.8</v>
      </c>
      <c r="C123" s="85" t="s">
        <v>237</v>
      </c>
      <c r="D123" s="106" t="s">
        <v>238</v>
      </c>
      <c r="E123" s="106" t="s">
        <v>206</v>
      </c>
      <c r="F123" s="14"/>
      <c r="G123" s="12" t="s">
        <v>194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45634</v>
      </c>
      <c r="U123" s="13" t="s">
        <v>207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44"/>
      <c r="B124" s="134"/>
      <c r="C124" s="85" t="s">
        <v>240</v>
      </c>
      <c r="D124" s="106" t="s">
        <v>199</v>
      </c>
      <c r="E124" s="106" t="s">
        <v>239</v>
      </c>
      <c r="F124" s="16"/>
      <c r="G124" s="12" t="s">
        <v>194</v>
      </c>
      <c r="H124" s="15"/>
      <c r="I124" s="15"/>
      <c r="J124" s="13">
        <v>1</v>
      </c>
      <c r="K124" s="15"/>
      <c r="L124" s="13">
        <v>1</v>
      </c>
      <c r="M124" s="17"/>
      <c r="N124" s="17"/>
      <c r="O124" s="17"/>
      <c r="P124" s="17"/>
      <c r="Q124" s="17"/>
      <c r="R124" s="17"/>
      <c r="S124" s="15"/>
      <c r="T124" s="25">
        <v>45647</v>
      </c>
      <c r="U124" s="13" t="s">
        <v>195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44"/>
      <c r="B125" s="134"/>
      <c r="C125" s="85" t="s">
        <v>241</v>
      </c>
      <c r="D125" s="106" t="s">
        <v>199</v>
      </c>
      <c r="E125" s="106" t="s">
        <v>239</v>
      </c>
      <c r="F125" s="16"/>
      <c r="G125" s="12" t="s">
        <v>194</v>
      </c>
      <c r="H125" s="13"/>
      <c r="I125" s="15"/>
      <c r="J125" s="13">
        <v>1</v>
      </c>
      <c r="K125" s="15"/>
      <c r="L125" s="13">
        <v>1</v>
      </c>
      <c r="M125" s="17"/>
      <c r="N125" s="17"/>
      <c r="O125" s="17"/>
      <c r="P125" s="17"/>
      <c r="Q125" s="17"/>
      <c r="R125" s="17"/>
      <c r="S125" s="15"/>
      <c r="T125" s="25">
        <v>45647</v>
      </c>
      <c r="U125" s="13" t="s">
        <v>195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4"/>
      <c r="B126" s="134"/>
      <c r="C126" s="85" t="s">
        <v>243</v>
      </c>
      <c r="D126" s="106" t="s">
        <v>242</v>
      </c>
      <c r="E126" s="106" t="s">
        <v>223</v>
      </c>
      <c r="F126" s="16"/>
      <c r="G126" s="12" t="s">
        <v>194</v>
      </c>
      <c r="H126" s="15"/>
      <c r="I126" s="15"/>
      <c r="J126" s="13">
        <v>1</v>
      </c>
      <c r="K126" s="15">
        <v>1</v>
      </c>
      <c r="L126" s="13"/>
      <c r="M126" s="17"/>
      <c r="N126" s="17"/>
      <c r="O126" s="17"/>
      <c r="P126" s="17"/>
      <c r="Q126" s="17"/>
      <c r="R126" s="17"/>
      <c r="S126" s="15"/>
      <c r="T126" s="25">
        <v>45648</v>
      </c>
      <c r="U126" s="13" t="s">
        <v>195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34"/>
      <c r="C127" s="85" t="s">
        <v>244</v>
      </c>
      <c r="D127" s="106" t="s">
        <v>242</v>
      </c>
      <c r="E127" s="106" t="s">
        <v>223</v>
      </c>
      <c r="F127" s="16"/>
      <c r="G127" s="12" t="s">
        <v>194</v>
      </c>
      <c r="H127" s="15"/>
      <c r="I127" s="15"/>
      <c r="J127" s="13">
        <v>1</v>
      </c>
      <c r="K127" s="15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45648</v>
      </c>
      <c r="U127" s="13" t="s">
        <v>195</v>
      </c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34"/>
      <c r="C128" s="85" t="s">
        <v>245</v>
      </c>
      <c r="D128" s="106" t="s">
        <v>242</v>
      </c>
      <c r="E128" s="106" t="s">
        <v>226</v>
      </c>
      <c r="F128" s="16"/>
      <c r="G128" s="12" t="s">
        <v>194</v>
      </c>
      <c r="H128" s="13"/>
      <c r="I128" s="15"/>
      <c r="J128" s="13"/>
      <c r="K128" s="15"/>
      <c r="L128" s="13"/>
      <c r="M128" s="17"/>
      <c r="N128" s="17"/>
      <c r="O128" s="17">
        <v>1</v>
      </c>
      <c r="P128" s="17">
        <v>1</v>
      </c>
      <c r="Q128" s="17">
        <v>1</v>
      </c>
      <c r="R128" s="17">
        <v>1</v>
      </c>
      <c r="S128" s="15"/>
      <c r="T128" s="25">
        <v>45648</v>
      </c>
      <c r="U128" s="13" t="s">
        <v>227</v>
      </c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34"/>
      <c r="C129" s="85" t="s">
        <v>246</v>
      </c>
      <c r="D129" s="106" t="s">
        <v>247</v>
      </c>
      <c r="E129" s="106" t="s">
        <v>223</v>
      </c>
      <c r="F129" s="16"/>
      <c r="G129" s="12" t="s">
        <v>194</v>
      </c>
      <c r="H129" s="15"/>
      <c r="I129" s="15"/>
      <c r="J129" s="13">
        <v>1</v>
      </c>
      <c r="K129" s="15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45648</v>
      </c>
      <c r="U129" s="13" t="s">
        <v>195</v>
      </c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34"/>
      <c r="C130" s="85" t="s">
        <v>248</v>
      </c>
      <c r="D130" s="106" t="s">
        <v>247</v>
      </c>
      <c r="E130" s="106" t="s">
        <v>226</v>
      </c>
      <c r="F130" s="16"/>
      <c r="G130" s="12" t="s">
        <v>194</v>
      </c>
      <c r="H130" s="15"/>
      <c r="I130" s="15"/>
      <c r="J130" s="13"/>
      <c r="K130" s="15"/>
      <c r="L130" s="13"/>
      <c r="M130" s="17"/>
      <c r="N130" s="17"/>
      <c r="O130" s="17">
        <v>1</v>
      </c>
      <c r="P130" s="17">
        <v>1</v>
      </c>
      <c r="Q130" s="17">
        <v>1</v>
      </c>
      <c r="R130" s="17">
        <v>1</v>
      </c>
      <c r="S130" s="15"/>
      <c r="T130" s="25">
        <v>45648</v>
      </c>
      <c r="U130" s="13" t="s">
        <v>227</v>
      </c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34"/>
      <c r="C131" s="85" t="s">
        <v>249</v>
      </c>
      <c r="D131" s="106" t="s">
        <v>199</v>
      </c>
      <c r="E131" s="106" t="s">
        <v>239</v>
      </c>
      <c r="F131" s="16"/>
      <c r="G131" s="12" t="s">
        <v>194</v>
      </c>
      <c r="H131" s="15"/>
      <c r="I131" s="15"/>
      <c r="J131" s="13">
        <v>1</v>
      </c>
      <c r="K131" s="15"/>
      <c r="L131" s="13">
        <v>1</v>
      </c>
      <c r="M131" s="17"/>
      <c r="N131" s="17"/>
      <c r="O131" s="17"/>
      <c r="P131" s="17"/>
      <c r="Q131" s="17"/>
      <c r="R131" s="17"/>
      <c r="S131" s="15"/>
      <c r="T131" s="25">
        <v>45649</v>
      </c>
      <c r="U131" s="13" t="s">
        <v>195</v>
      </c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34"/>
      <c r="C132" s="85" t="s">
        <v>250</v>
      </c>
      <c r="D132" s="106" t="s">
        <v>199</v>
      </c>
      <c r="E132" s="106" t="s">
        <v>239</v>
      </c>
      <c r="F132" s="106"/>
      <c r="G132" s="12" t="s">
        <v>194</v>
      </c>
      <c r="H132" s="15"/>
      <c r="I132" s="15"/>
      <c r="J132" s="13">
        <v>1</v>
      </c>
      <c r="K132" s="15"/>
      <c r="L132" s="13">
        <v>1</v>
      </c>
      <c r="M132" s="17"/>
      <c r="N132" s="17"/>
      <c r="O132" s="17"/>
      <c r="P132" s="17"/>
      <c r="Q132" s="17"/>
      <c r="R132" s="17"/>
      <c r="S132" s="15"/>
      <c r="T132" s="25">
        <v>45649</v>
      </c>
      <c r="U132" s="13" t="s">
        <v>195</v>
      </c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34"/>
      <c r="C133" s="85"/>
      <c r="D133" s="106"/>
      <c r="E133" s="106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34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34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34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34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34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34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34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34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34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34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34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34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34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35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10</v>
      </c>
      <c r="D148" s="112"/>
      <c r="E148" s="29"/>
      <c r="F148" s="29" t="s">
        <v>34</v>
      </c>
      <c r="G148" s="29">
        <f>COUNTIF(G123:G147,"S")</f>
        <v>10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3</v>
      </c>
      <c r="L148" s="29">
        <f t="shared" ref="L148" si="15">SUM(L123:L147)</f>
        <v>4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3</v>
      </c>
      <c r="R148" s="29">
        <f t="shared" ref="R148" si="21">SUM(R123:R147)</f>
        <v>2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25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AYG094</v>
      </c>
      <c r="B151" s="24">
        <f>B1</f>
        <v>45617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6" t="s">
        <v>115</v>
      </c>
      <c r="Y152" s="142"/>
    </row>
    <row r="153" spans="1:28" ht="20.25" thickTop="1" thickBot="1" x14ac:dyDescent="0.45">
      <c r="A153" s="143">
        <v>6</v>
      </c>
      <c r="B153" s="146">
        <v>22.2</v>
      </c>
      <c r="C153" s="85" t="s">
        <v>251</v>
      </c>
      <c r="D153" s="106" t="s">
        <v>252</v>
      </c>
      <c r="E153" s="15" t="s">
        <v>253</v>
      </c>
      <c r="F153" s="14"/>
      <c r="G153" s="12" t="s">
        <v>194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45645</v>
      </c>
      <c r="U153" s="13" t="s">
        <v>227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44"/>
      <c r="B154" s="147"/>
      <c r="C154" s="85" t="s">
        <v>255</v>
      </c>
      <c r="D154" s="106" t="s">
        <v>254</v>
      </c>
      <c r="E154" s="15" t="s">
        <v>226</v>
      </c>
      <c r="F154" s="16"/>
      <c r="G154" s="15" t="s">
        <v>194</v>
      </c>
      <c r="H154" s="15"/>
      <c r="I154" s="15"/>
      <c r="J154" s="15"/>
      <c r="K154" s="15"/>
      <c r="L154" s="17"/>
      <c r="M154" s="17"/>
      <c r="N154" s="17"/>
      <c r="O154" s="17">
        <v>1</v>
      </c>
      <c r="P154" s="17">
        <v>1</v>
      </c>
      <c r="Q154" s="17"/>
      <c r="R154" s="17"/>
      <c r="S154" s="15"/>
      <c r="T154" s="25">
        <v>45642</v>
      </c>
      <c r="U154" s="13" t="s">
        <v>227</v>
      </c>
      <c r="V154">
        <v>2</v>
      </c>
      <c r="X154" s="51" t="s">
        <v>107</v>
      </c>
      <c r="Y154" s="52">
        <f>COUNTIF(U153:U177,"R")</f>
        <v>6</v>
      </c>
      <c r="AA154" s="47" t="s">
        <v>81</v>
      </c>
      <c r="AB154" s="48" t="s">
        <v>60</v>
      </c>
    </row>
    <row r="155" spans="1:28" ht="19.5" thickBot="1" x14ac:dyDescent="0.45">
      <c r="A155" s="144"/>
      <c r="B155" s="147"/>
      <c r="C155" s="85" t="s">
        <v>256</v>
      </c>
      <c r="D155" s="106" t="s">
        <v>257</v>
      </c>
      <c r="E155" s="15" t="s">
        <v>206</v>
      </c>
      <c r="F155" s="16"/>
      <c r="G155" s="15" t="s">
        <v>194</v>
      </c>
      <c r="H155" s="13"/>
      <c r="I155" s="15"/>
      <c r="J155" s="15">
        <v>1</v>
      </c>
      <c r="K155" s="15">
        <v>1</v>
      </c>
      <c r="L155" s="17"/>
      <c r="M155" s="17"/>
      <c r="N155" s="17"/>
      <c r="O155" s="17"/>
      <c r="P155" s="17"/>
      <c r="Q155" s="17"/>
      <c r="R155" s="17"/>
      <c r="S155" s="15"/>
      <c r="T155" s="25">
        <v>45640</v>
      </c>
      <c r="U155" s="13" t="s">
        <v>207</v>
      </c>
      <c r="V155">
        <v>3</v>
      </c>
      <c r="X155" s="53" t="s">
        <v>108</v>
      </c>
      <c r="Y155" s="54">
        <f>COUNTIF(U153:U177,"J")</f>
        <v>5</v>
      </c>
      <c r="AA155" s="49" t="s">
        <v>82</v>
      </c>
      <c r="AB155" s="50" t="s">
        <v>39</v>
      </c>
    </row>
    <row r="156" spans="1:28" x14ac:dyDescent="0.4">
      <c r="A156" s="144"/>
      <c r="B156" s="147"/>
      <c r="C156" s="85" t="s">
        <v>258</v>
      </c>
      <c r="D156" s="106" t="s">
        <v>257</v>
      </c>
      <c r="E156" s="15" t="s">
        <v>206</v>
      </c>
      <c r="F156" s="16"/>
      <c r="G156" s="15" t="s">
        <v>194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/>
      <c r="R156" s="17"/>
      <c r="S156" s="15"/>
      <c r="T156" s="25">
        <v>45640</v>
      </c>
      <c r="U156" s="13" t="s">
        <v>207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47"/>
      <c r="C157" s="85" t="s">
        <v>259</v>
      </c>
      <c r="D157" s="106" t="s">
        <v>257</v>
      </c>
      <c r="E157" s="15" t="s">
        <v>223</v>
      </c>
      <c r="F157" s="16"/>
      <c r="G157" s="15" t="s">
        <v>194</v>
      </c>
      <c r="H157" s="15"/>
      <c r="I157" s="15"/>
      <c r="J157" s="15">
        <v>1</v>
      </c>
      <c r="K157" s="15">
        <v>1</v>
      </c>
      <c r="L157" s="17"/>
      <c r="M157" s="17"/>
      <c r="N157" s="17"/>
      <c r="O157" s="17"/>
      <c r="P157" s="17"/>
      <c r="Q157" s="17"/>
      <c r="R157" s="17"/>
      <c r="S157" s="15"/>
      <c r="T157" s="25">
        <v>45640</v>
      </c>
      <c r="U157" s="13" t="s">
        <v>142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47"/>
      <c r="C158" s="85" t="s">
        <v>261</v>
      </c>
      <c r="D158" s="106" t="s">
        <v>260</v>
      </c>
      <c r="E158" s="15" t="s">
        <v>223</v>
      </c>
      <c r="F158" s="16"/>
      <c r="G158" s="13" t="s">
        <v>194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45640</v>
      </c>
      <c r="U158" s="15" t="s">
        <v>195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47"/>
      <c r="C159" s="85" t="s">
        <v>262</v>
      </c>
      <c r="D159" s="106" t="s">
        <v>260</v>
      </c>
      <c r="E159" s="15" t="s">
        <v>239</v>
      </c>
      <c r="F159" s="16"/>
      <c r="G159" s="15" t="s">
        <v>194</v>
      </c>
      <c r="H159" s="15"/>
      <c r="I159" s="15"/>
      <c r="J159" s="15">
        <v>1</v>
      </c>
      <c r="K159" s="15">
        <v>1</v>
      </c>
      <c r="L159" s="17"/>
      <c r="M159" s="17"/>
      <c r="N159" s="17"/>
      <c r="O159" s="17"/>
      <c r="P159" s="17"/>
      <c r="Q159" s="17"/>
      <c r="R159" s="17"/>
      <c r="S159" s="15"/>
      <c r="T159" s="25">
        <v>45640</v>
      </c>
      <c r="U159" s="15" t="s">
        <v>195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47"/>
      <c r="C160" s="85" t="s">
        <v>263</v>
      </c>
      <c r="D160" s="106" t="s">
        <v>260</v>
      </c>
      <c r="E160" s="15" t="s">
        <v>253</v>
      </c>
      <c r="F160" s="16"/>
      <c r="G160" s="15" t="s">
        <v>194</v>
      </c>
      <c r="H160" s="15"/>
      <c r="I160" s="15"/>
      <c r="J160" s="15"/>
      <c r="K160" s="15"/>
      <c r="L160" s="17"/>
      <c r="M160" s="17"/>
      <c r="N160" s="17"/>
      <c r="O160" s="17">
        <v>1</v>
      </c>
      <c r="P160" s="17"/>
      <c r="Q160" s="17">
        <v>1</v>
      </c>
      <c r="R160" s="17">
        <v>1</v>
      </c>
      <c r="S160" s="15"/>
      <c r="T160" s="25">
        <v>45640</v>
      </c>
      <c r="U160" s="15" t="s">
        <v>227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47"/>
      <c r="C161" s="85" t="s">
        <v>264</v>
      </c>
      <c r="D161" s="106" t="s">
        <v>260</v>
      </c>
      <c r="E161" s="15" t="s">
        <v>239</v>
      </c>
      <c r="F161" s="16"/>
      <c r="G161" s="15" t="s">
        <v>194</v>
      </c>
      <c r="H161" s="15"/>
      <c r="I161" s="15"/>
      <c r="J161" s="15">
        <v>1</v>
      </c>
      <c r="K161" s="15">
        <v>1</v>
      </c>
      <c r="L161" s="17"/>
      <c r="M161" s="17"/>
      <c r="N161" s="17"/>
      <c r="O161" s="17"/>
      <c r="P161" s="17"/>
      <c r="Q161" s="17"/>
      <c r="R161" s="17"/>
      <c r="S161" s="132"/>
      <c r="T161" s="25">
        <v>45640</v>
      </c>
      <c r="U161" s="15" t="s">
        <v>195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47"/>
      <c r="C162" s="85" t="s">
        <v>265</v>
      </c>
      <c r="D162" s="106" t="s">
        <v>260</v>
      </c>
      <c r="E162" s="15" t="s">
        <v>253</v>
      </c>
      <c r="F162" s="16"/>
      <c r="G162" s="15" t="s">
        <v>194</v>
      </c>
      <c r="H162" s="15"/>
      <c r="I162" s="15"/>
      <c r="J162" s="15"/>
      <c r="K162" s="15"/>
      <c r="L162" s="17"/>
      <c r="M162" s="17"/>
      <c r="N162" s="17"/>
      <c r="O162" s="17">
        <v>1</v>
      </c>
      <c r="P162" s="17">
        <v>1</v>
      </c>
      <c r="Q162" s="17"/>
      <c r="R162" s="17"/>
      <c r="S162" s="15"/>
      <c r="T162" s="25">
        <v>45640</v>
      </c>
      <c r="U162" s="15" t="s">
        <v>227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47"/>
      <c r="C163" s="85" t="s">
        <v>266</v>
      </c>
      <c r="D163" s="106" t="s">
        <v>260</v>
      </c>
      <c r="E163" s="15" t="s">
        <v>239</v>
      </c>
      <c r="F163" s="16"/>
      <c r="G163" s="15" t="s">
        <v>194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45640</v>
      </c>
      <c r="U163" s="15" t="s">
        <v>195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47"/>
      <c r="C164" s="85" t="s">
        <v>267</v>
      </c>
      <c r="D164" s="106" t="s">
        <v>260</v>
      </c>
      <c r="E164" s="15" t="s">
        <v>253</v>
      </c>
      <c r="F164" s="16"/>
      <c r="G164" s="15" t="s">
        <v>194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>
        <v>1</v>
      </c>
      <c r="R164" s="17"/>
      <c r="S164" s="15"/>
      <c r="T164" s="25">
        <v>45640</v>
      </c>
      <c r="U164" s="15" t="s">
        <v>227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47"/>
      <c r="C165" s="85" t="s">
        <v>268</v>
      </c>
      <c r="D165" s="106" t="s">
        <v>269</v>
      </c>
      <c r="E165" s="15" t="s">
        <v>208</v>
      </c>
      <c r="F165" s="16"/>
      <c r="G165" s="15" t="s">
        <v>194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>
        <v>1</v>
      </c>
      <c r="R165" s="17"/>
      <c r="S165" s="15"/>
      <c r="T165" s="25">
        <v>45648</v>
      </c>
      <c r="U165" s="105" t="s">
        <v>207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47"/>
      <c r="C166" s="85" t="s">
        <v>271</v>
      </c>
      <c r="D166" s="106" t="s">
        <v>270</v>
      </c>
      <c r="E166" s="15" t="s">
        <v>206</v>
      </c>
      <c r="F166" s="16"/>
      <c r="G166" s="15" t="s">
        <v>194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45648</v>
      </c>
      <c r="U166" s="15" t="s">
        <v>207</v>
      </c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47"/>
      <c r="C167" s="85" t="s">
        <v>272</v>
      </c>
      <c r="D167" s="106" t="s">
        <v>270</v>
      </c>
      <c r="E167" s="15" t="s">
        <v>206</v>
      </c>
      <c r="F167" s="16"/>
      <c r="G167" s="15" t="s">
        <v>194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>
        <v>1</v>
      </c>
      <c r="R167" s="17"/>
      <c r="S167" s="15"/>
      <c r="T167" s="25">
        <v>45648</v>
      </c>
      <c r="U167" s="25" t="s">
        <v>207</v>
      </c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47"/>
      <c r="C168" s="85" t="s">
        <v>273</v>
      </c>
      <c r="D168" s="106" t="s">
        <v>234</v>
      </c>
      <c r="E168" s="15" t="s">
        <v>208</v>
      </c>
      <c r="F168" s="16"/>
      <c r="G168" s="15" t="s">
        <v>194</v>
      </c>
      <c r="H168" s="15"/>
      <c r="I168" s="15"/>
      <c r="J168" s="18"/>
      <c r="K168" s="15"/>
      <c r="L168" s="19"/>
      <c r="M168" s="19">
        <v>1</v>
      </c>
      <c r="N168" s="19"/>
      <c r="O168" s="19"/>
      <c r="P168" s="19"/>
      <c r="Q168" s="19">
        <v>1</v>
      </c>
      <c r="R168" s="19"/>
      <c r="S168" s="15"/>
      <c r="T168" s="25">
        <v>45648</v>
      </c>
      <c r="U168" s="15" t="s">
        <v>207</v>
      </c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47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47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47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47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47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47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47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47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48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3</v>
      </c>
      <c r="O178" s="29">
        <f t="shared" ref="O178" si="28">SUM(O153:O177)</f>
        <v>4</v>
      </c>
      <c r="P178" s="29">
        <f t="shared" ref="P178" si="29">SUM(P153:P177)</f>
        <v>3</v>
      </c>
      <c r="Q178" s="29">
        <f t="shared" ref="Q178" si="30">SUM(Q153:Q177)</f>
        <v>6</v>
      </c>
      <c r="R178" s="29">
        <f t="shared" ref="R178" si="31">SUM(R153:R177)</f>
        <v>1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6" t="s">
        <v>114</v>
      </c>
      <c r="Y182" s="142"/>
    </row>
    <row r="183" spans="1:28" ht="20.25" thickTop="1" thickBot="1" x14ac:dyDescent="0.45">
      <c r="A183" s="143">
        <v>7</v>
      </c>
      <c r="B183" s="146">
        <v>21.6</v>
      </c>
      <c r="C183" s="85" t="s">
        <v>274</v>
      </c>
      <c r="D183" s="110" t="s">
        <v>260</v>
      </c>
      <c r="E183" s="18" t="s">
        <v>235</v>
      </c>
      <c r="F183" s="16"/>
      <c r="G183" s="18" t="s">
        <v>194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45640</v>
      </c>
      <c r="U183" s="15" t="s">
        <v>195</v>
      </c>
      <c r="V183">
        <v>1</v>
      </c>
      <c r="X183" s="51" t="s">
        <v>106</v>
      </c>
      <c r="Y183" s="52">
        <f>COUNTIF(U183:U207,"K")</f>
        <v>10</v>
      </c>
      <c r="AA183" s="59" t="s">
        <v>120</v>
      </c>
      <c r="AB183" s="60" t="s">
        <v>121</v>
      </c>
    </row>
    <row r="184" spans="1:28" x14ac:dyDescent="0.4">
      <c r="A184" s="144"/>
      <c r="B184" s="147"/>
      <c r="C184" s="85" t="s">
        <v>275</v>
      </c>
      <c r="D184" s="110" t="s">
        <v>260</v>
      </c>
      <c r="E184" s="15" t="s">
        <v>239</v>
      </c>
      <c r="F184" s="16"/>
      <c r="G184" s="18" t="s">
        <v>194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45640</v>
      </c>
      <c r="U184" s="15" t="s">
        <v>195</v>
      </c>
      <c r="V184">
        <v>2</v>
      </c>
      <c r="X184" s="51" t="s">
        <v>107</v>
      </c>
      <c r="Y184" s="52">
        <f>COUNTIF(U183:U207,"R")</f>
        <v>2</v>
      </c>
      <c r="AA184" s="47" t="s">
        <v>81</v>
      </c>
      <c r="AB184" s="48" t="s">
        <v>60</v>
      </c>
    </row>
    <row r="185" spans="1:28" ht="19.5" thickBot="1" x14ac:dyDescent="0.45">
      <c r="A185" s="144"/>
      <c r="B185" s="147"/>
      <c r="C185" s="85" t="s">
        <v>276</v>
      </c>
      <c r="D185" s="110" t="s">
        <v>260</v>
      </c>
      <c r="E185" s="15" t="s">
        <v>253</v>
      </c>
      <c r="F185" s="16"/>
      <c r="G185" s="18" t="s">
        <v>194</v>
      </c>
      <c r="H185" s="15"/>
      <c r="I185" s="15"/>
      <c r="J185" s="15"/>
      <c r="K185" s="15"/>
      <c r="L185" s="17"/>
      <c r="M185" s="17"/>
      <c r="N185" s="17"/>
      <c r="O185" s="17">
        <v>1</v>
      </c>
      <c r="P185" s="17"/>
      <c r="Q185" s="17">
        <v>1</v>
      </c>
      <c r="R185" s="17">
        <v>1</v>
      </c>
      <c r="S185" s="15"/>
      <c r="T185" s="25">
        <v>45640</v>
      </c>
      <c r="U185" s="15" t="s">
        <v>227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44"/>
      <c r="B186" s="147"/>
      <c r="C186" s="85" t="s">
        <v>278</v>
      </c>
      <c r="D186" s="110" t="s">
        <v>260</v>
      </c>
      <c r="E186" s="15" t="s">
        <v>277</v>
      </c>
      <c r="F186" s="16"/>
      <c r="G186" s="18" t="s">
        <v>194</v>
      </c>
      <c r="H186" s="15"/>
      <c r="I186" s="15"/>
      <c r="J186" s="15"/>
      <c r="K186" s="15"/>
      <c r="L186" s="17"/>
      <c r="M186" s="17"/>
      <c r="N186" s="17"/>
      <c r="O186" s="17"/>
      <c r="P186" s="17"/>
      <c r="Q186" s="17"/>
      <c r="R186" s="17"/>
      <c r="S186" s="15"/>
      <c r="T186" s="25">
        <v>45640</v>
      </c>
      <c r="U186" s="25" t="s">
        <v>207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47"/>
      <c r="C187" s="85" t="s">
        <v>279</v>
      </c>
      <c r="D187" s="106" t="s">
        <v>260</v>
      </c>
      <c r="E187" s="13" t="s">
        <v>212</v>
      </c>
      <c r="F187" s="16"/>
      <c r="G187" s="18" t="s">
        <v>194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45642</v>
      </c>
      <c r="U187" s="25" t="s">
        <v>195</v>
      </c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47"/>
      <c r="C188" s="85" t="s">
        <v>280</v>
      </c>
      <c r="D188" s="106" t="s">
        <v>260</v>
      </c>
      <c r="E188" s="13" t="s">
        <v>208</v>
      </c>
      <c r="F188" s="16"/>
      <c r="G188" s="18" t="s">
        <v>194</v>
      </c>
      <c r="H188" s="13"/>
      <c r="I188" s="15"/>
      <c r="J188" s="15">
        <v>1</v>
      </c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45640</v>
      </c>
      <c r="U188" s="25" t="s">
        <v>195</v>
      </c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47"/>
      <c r="C189" s="85" t="s">
        <v>281</v>
      </c>
      <c r="D189" s="106" t="s">
        <v>260</v>
      </c>
      <c r="E189" s="13" t="s">
        <v>282</v>
      </c>
      <c r="F189" s="16"/>
      <c r="G189" s="18" t="s">
        <v>194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45640</v>
      </c>
      <c r="U189" s="25" t="s">
        <v>195</v>
      </c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47"/>
      <c r="C190" s="85" t="s">
        <v>283</v>
      </c>
      <c r="D190" s="106" t="s">
        <v>260</v>
      </c>
      <c r="E190" s="13" t="s">
        <v>223</v>
      </c>
      <c r="F190" s="16"/>
      <c r="G190" s="18" t="s">
        <v>194</v>
      </c>
      <c r="H190" s="15"/>
      <c r="I190" s="15"/>
      <c r="J190" s="15">
        <v>1</v>
      </c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45640</v>
      </c>
      <c r="U190" s="25" t="s">
        <v>195</v>
      </c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47"/>
      <c r="C191" s="85" t="s">
        <v>284</v>
      </c>
      <c r="D191" s="106" t="s">
        <v>260</v>
      </c>
      <c r="E191" s="13" t="s">
        <v>235</v>
      </c>
      <c r="F191" s="16"/>
      <c r="G191" s="18" t="s">
        <v>194</v>
      </c>
      <c r="H191" s="15"/>
      <c r="I191" s="15"/>
      <c r="J191" s="15">
        <v>1</v>
      </c>
      <c r="K191" s="15"/>
      <c r="L191" s="17">
        <v>1</v>
      </c>
      <c r="M191" s="17"/>
      <c r="N191" s="17"/>
      <c r="O191" s="17"/>
      <c r="P191" s="17"/>
      <c r="Q191" s="17"/>
      <c r="R191" s="17"/>
      <c r="S191" s="15"/>
      <c r="T191" s="25">
        <v>45640</v>
      </c>
      <c r="U191" s="25" t="s">
        <v>195</v>
      </c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47"/>
      <c r="C192" s="85" t="s">
        <v>285</v>
      </c>
      <c r="D192" s="106" t="s">
        <v>260</v>
      </c>
      <c r="E192" s="13" t="s">
        <v>220</v>
      </c>
      <c r="F192" s="16"/>
      <c r="G192" s="18" t="s">
        <v>194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45640</v>
      </c>
      <c r="U192" s="15" t="s">
        <v>195</v>
      </c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47"/>
      <c r="C193" s="85" t="s">
        <v>286</v>
      </c>
      <c r="D193" s="106" t="s">
        <v>260</v>
      </c>
      <c r="E193" s="13" t="s">
        <v>217</v>
      </c>
      <c r="F193" s="16"/>
      <c r="G193" s="18" t="s">
        <v>194</v>
      </c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>
        <v>1</v>
      </c>
      <c r="T193" s="25">
        <v>45640</v>
      </c>
      <c r="U193" s="15" t="s">
        <v>195</v>
      </c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47"/>
      <c r="C194" s="85" t="s">
        <v>287</v>
      </c>
      <c r="D194" s="106" t="s">
        <v>260</v>
      </c>
      <c r="E194" s="13" t="s">
        <v>223</v>
      </c>
      <c r="F194" s="16"/>
      <c r="G194" s="18" t="s">
        <v>194</v>
      </c>
      <c r="H194" s="15"/>
      <c r="I194" s="15"/>
      <c r="J194" s="15">
        <v>1</v>
      </c>
      <c r="K194" s="15">
        <v>1</v>
      </c>
      <c r="L194" s="17"/>
      <c r="M194" s="17"/>
      <c r="N194" s="17"/>
      <c r="O194" s="17"/>
      <c r="P194" s="17"/>
      <c r="Q194" s="17"/>
      <c r="R194" s="17"/>
      <c r="S194" s="15"/>
      <c r="T194" s="25">
        <v>45640</v>
      </c>
      <c r="U194" s="15" t="s">
        <v>195</v>
      </c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47"/>
      <c r="C195" s="85" t="s">
        <v>288</v>
      </c>
      <c r="D195" s="106" t="s">
        <v>260</v>
      </c>
      <c r="E195" s="15" t="s">
        <v>226</v>
      </c>
      <c r="F195" s="16"/>
      <c r="G195" s="18" t="s">
        <v>194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/>
      <c r="R195" s="17"/>
      <c r="S195" s="15"/>
      <c r="T195" s="25">
        <v>45640</v>
      </c>
      <c r="U195" s="15" t="s">
        <v>227</v>
      </c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47"/>
      <c r="C196" s="85" t="s">
        <v>289</v>
      </c>
      <c r="D196" s="106" t="s">
        <v>260</v>
      </c>
      <c r="E196" s="15" t="s">
        <v>253</v>
      </c>
      <c r="F196" s="16"/>
      <c r="G196" s="18" t="s">
        <v>194</v>
      </c>
      <c r="H196" s="15"/>
      <c r="I196" s="15"/>
      <c r="J196" s="15"/>
      <c r="K196" s="15"/>
      <c r="L196" s="17"/>
      <c r="M196" s="17"/>
      <c r="N196" s="17"/>
      <c r="O196" s="17">
        <v>1</v>
      </c>
      <c r="P196" s="17">
        <v>1</v>
      </c>
      <c r="Q196" s="17"/>
      <c r="R196" s="17"/>
      <c r="S196" s="15"/>
      <c r="T196" s="25">
        <v>45640</v>
      </c>
      <c r="U196" s="15" t="s">
        <v>227</v>
      </c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47"/>
      <c r="C197" s="85" t="s">
        <v>290</v>
      </c>
      <c r="D197" s="106" t="s">
        <v>291</v>
      </c>
      <c r="E197" s="15" t="s">
        <v>212</v>
      </c>
      <c r="F197" s="16"/>
      <c r="G197" s="15" t="s">
        <v>194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45650</v>
      </c>
      <c r="U197" s="15" t="s">
        <v>207</v>
      </c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47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47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47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47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47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47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47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47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47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48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9</v>
      </c>
      <c r="K208" s="29">
        <f t="shared" ref="K208" si="34">SUM(K183:K207)</f>
        <v>7</v>
      </c>
      <c r="L208" s="29">
        <f t="shared" ref="L208" si="35">SUM(L183:L207)</f>
        <v>2</v>
      </c>
      <c r="M208" s="29">
        <f t="shared" ref="M208" si="36">SUM(M183:M207)</f>
        <v>1</v>
      </c>
      <c r="N208" s="29">
        <f t="shared" ref="N208" si="37">SUM(N183:N207)</f>
        <v>1</v>
      </c>
      <c r="O208" s="29">
        <f t="shared" ref="O208" si="38">SUM(O183:O207)</f>
        <v>3</v>
      </c>
      <c r="P208" s="29">
        <f t="shared" ref="P208" si="39">SUM(P183:P207)</f>
        <v>2</v>
      </c>
      <c r="Q208" s="29">
        <f t="shared" ref="Q208" si="40">SUM(Q183:Q207)</f>
        <v>2</v>
      </c>
      <c r="R208" s="29">
        <f t="shared" ref="R208" si="41">SUM(R183:R207)</f>
        <v>1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29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AYG094</v>
      </c>
      <c r="B211" s="24">
        <f>B1</f>
        <v>45617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6" t="s">
        <v>113</v>
      </c>
      <c r="Y212" s="142"/>
    </row>
    <row r="213" spans="1:28" ht="20.25" thickTop="1" thickBot="1" x14ac:dyDescent="0.45">
      <c r="A213" s="143">
        <v>8</v>
      </c>
      <c r="B213" s="146">
        <v>21.8</v>
      </c>
      <c r="C213" s="85" t="s">
        <v>292</v>
      </c>
      <c r="D213" s="106" t="s">
        <v>293</v>
      </c>
      <c r="E213" s="15" t="s">
        <v>277</v>
      </c>
      <c r="F213" s="16"/>
      <c r="G213" s="15" t="s">
        <v>194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45642</v>
      </c>
      <c r="U213" s="15" t="s">
        <v>207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44"/>
      <c r="B214" s="147"/>
      <c r="C214" s="85" t="s">
        <v>294</v>
      </c>
      <c r="D214" s="106" t="s">
        <v>222</v>
      </c>
      <c r="E214" s="15" t="s">
        <v>206</v>
      </c>
      <c r="F214" s="16"/>
      <c r="G214" s="15" t="s">
        <v>194</v>
      </c>
      <c r="H214" s="15"/>
      <c r="I214" s="15"/>
      <c r="J214" s="15"/>
      <c r="K214" s="15"/>
      <c r="L214" s="17"/>
      <c r="M214" s="17">
        <v>1</v>
      </c>
      <c r="N214" s="17">
        <v>1</v>
      </c>
      <c r="O214" s="17"/>
      <c r="P214" s="17"/>
      <c r="Q214" s="17">
        <v>1</v>
      </c>
      <c r="R214" s="17"/>
      <c r="S214" s="15"/>
      <c r="T214" s="25">
        <v>45642</v>
      </c>
      <c r="U214" s="15" t="s">
        <v>207</v>
      </c>
      <c r="V214">
        <v>2</v>
      </c>
      <c r="X214" s="51" t="s">
        <v>107</v>
      </c>
      <c r="Y214" s="52">
        <f>COUNTIF(U213:U237,"R")</f>
        <v>6</v>
      </c>
      <c r="AA214" s="47" t="s">
        <v>81</v>
      </c>
      <c r="AB214" s="48" t="s">
        <v>60</v>
      </c>
    </row>
    <row r="215" spans="1:28" ht="19.5" thickBot="1" x14ac:dyDescent="0.45">
      <c r="A215" s="144"/>
      <c r="B215" s="147"/>
      <c r="C215" s="85" t="s">
        <v>295</v>
      </c>
      <c r="D215" s="106" t="s">
        <v>234</v>
      </c>
      <c r="E215" s="15" t="s">
        <v>206</v>
      </c>
      <c r="F215" s="16"/>
      <c r="G215" s="15" t="s">
        <v>194</v>
      </c>
      <c r="H215" s="15"/>
      <c r="I215" s="15"/>
      <c r="J215" s="15"/>
      <c r="K215" s="15"/>
      <c r="L215" s="17"/>
      <c r="M215" s="17">
        <v>1</v>
      </c>
      <c r="N215" s="17">
        <v>1</v>
      </c>
      <c r="O215" s="17"/>
      <c r="P215" s="17"/>
      <c r="Q215" s="17">
        <v>1</v>
      </c>
      <c r="R215" s="17"/>
      <c r="S215" s="15"/>
      <c r="T215" s="25">
        <v>45644</v>
      </c>
      <c r="U215" s="15" t="s">
        <v>207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44"/>
      <c r="B216" s="147"/>
      <c r="C216" s="85" t="s">
        <v>296</v>
      </c>
      <c r="D216" s="106" t="s">
        <v>234</v>
      </c>
      <c r="E216" s="15" t="s">
        <v>282</v>
      </c>
      <c r="F216" s="16"/>
      <c r="G216" s="15" t="s">
        <v>194</v>
      </c>
      <c r="H216" s="15"/>
      <c r="I216" s="15"/>
      <c r="J216" s="15">
        <v>1</v>
      </c>
      <c r="K216" s="15">
        <v>1</v>
      </c>
      <c r="L216" s="19"/>
      <c r="M216" s="19"/>
      <c r="N216" s="19"/>
      <c r="O216" s="19"/>
      <c r="P216" s="19"/>
      <c r="Q216" s="19"/>
      <c r="R216" s="19"/>
      <c r="S216" s="15"/>
      <c r="T216" s="25">
        <v>45644</v>
      </c>
      <c r="U216" s="15" t="s">
        <v>142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47"/>
      <c r="C217" s="85" t="s">
        <v>297</v>
      </c>
      <c r="D217" s="106" t="s">
        <v>234</v>
      </c>
      <c r="E217" s="15" t="s">
        <v>223</v>
      </c>
      <c r="F217" s="16"/>
      <c r="G217" s="15" t="s">
        <v>194</v>
      </c>
      <c r="H217" s="15"/>
      <c r="I217" s="15"/>
      <c r="J217" s="18">
        <v>1</v>
      </c>
      <c r="K217" s="15">
        <v>1</v>
      </c>
      <c r="L217" s="19"/>
      <c r="M217" s="19"/>
      <c r="N217" s="19"/>
      <c r="O217" s="19"/>
      <c r="P217" s="19"/>
      <c r="Q217" s="19"/>
      <c r="R217" s="19"/>
      <c r="S217" s="15"/>
      <c r="T217" s="25">
        <v>45651</v>
      </c>
      <c r="U217" s="15" t="s">
        <v>195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47"/>
      <c r="C218" s="85" t="s">
        <v>298</v>
      </c>
      <c r="D218" s="106" t="s">
        <v>234</v>
      </c>
      <c r="E218" s="15" t="s">
        <v>282</v>
      </c>
      <c r="F218" s="16"/>
      <c r="G218" s="15" t="s">
        <v>194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45644</v>
      </c>
      <c r="U218" s="15" t="s">
        <v>195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47"/>
      <c r="C219" s="85" t="s">
        <v>299</v>
      </c>
      <c r="D219" s="106" t="s">
        <v>234</v>
      </c>
      <c r="E219" s="15" t="s">
        <v>226</v>
      </c>
      <c r="F219" s="16"/>
      <c r="G219" s="15" t="s">
        <v>194</v>
      </c>
      <c r="H219" s="15"/>
      <c r="I219" s="15"/>
      <c r="J219" s="18"/>
      <c r="K219" s="15"/>
      <c r="L219" s="19"/>
      <c r="M219" s="19"/>
      <c r="N219" s="19"/>
      <c r="O219" s="19">
        <v>1</v>
      </c>
      <c r="P219" s="19"/>
      <c r="Q219" s="19"/>
      <c r="R219" s="19">
        <v>1</v>
      </c>
      <c r="S219" s="15"/>
      <c r="T219" s="25">
        <v>45644</v>
      </c>
      <c r="U219" s="15" t="s">
        <v>227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47"/>
      <c r="C220" s="85" t="s">
        <v>301</v>
      </c>
      <c r="D220" s="106" t="s">
        <v>300</v>
      </c>
      <c r="E220" s="15" t="s">
        <v>206</v>
      </c>
      <c r="F220" s="16"/>
      <c r="G220" s="15" t="s">
        <v>194</v>
      </c>
      <c r="H220" s="15"/>
      <c r="I220" s="15"/>
      <c r="J220" s="18">
        <v>1</v>
      </c>
      <c r="K220" s="15">
        <v>1</v>
      </c>
      <c r="L220" s="19"/>
      <c r="M220" s="19"/>
      <c r="N220" s="19"/>
      <c r="O220" s="19"/>
      <c r="P220" s="19"/>
      <c r="Q220" s="19"/>
      <c r="R220" s="19"/>
      <c r="S220" s="15"/>
      <c r="T220" s="25">
        <v>45639</v>
      </c>
      <c r="U220" s="15" t="s">
        <v>195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47"/>
      <c r="C221" s="85" t="s">
        <v>302</v>
      </c>
      <c r="D221" s="106">
        <v>1183</v>
      </c>
      <c r="E221" s="15" t="s">
        <v>303</v>
      </c>
      <c r="F221" s="16"/>
      <c r="G221" s="15" t="s">
        <v>194</v>
      </c>
      <c r="H221" s="15"/>
      <c r="I221" s="15"/>
      <c r="J221" s="18"/>
      <c r="K221" s="15"/>
      <c r="L221" s="19"/>
      <c r="M221" s="19"/>
      <c r="N221" s="19"/>
      <c r="O221" s="19"/>
      <c r="P221" s="19"/>
      <c r="Q221" s="19"/>
      <c r="R221" s="19"/>
      <c r="S221" s="15"/>
      <c r="T221" s="25">
        <v>45651</v>
      </c>
      <c r="U221" s="15" t="s">
        <v>207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47"/>
      <c r="C222" s="85" t="s">
        <v>304</v>
      </c>
      <c r="D222" s="106" t="s">
        <v>300</v>
      </c>
      <c r="E222" s="15" t="s">
        <v>223</v>
      </c>
      <c r="F222" s="16"/>
      <c r="G222" s="15" t="s">
        <v>194</v>
      </c>
      <c r="H222" s="15"/>
      <c r="I222" s="15"/>
      <c r="J222" s="15">
        <v>1</v>
      </c>
      <c r="K222" s="15">
        <v>1</v>
      </c>
      <c r="L222" s="17"/>
      <c r="M222" s="17"/>
      <c r="N222" s="17"/>
      <c r="O222" s="17"/>
      <c r="P222" s="17"/>
      <c r="Q222" s="17"/>
      <c r="R222" s="17"/>
      <c r="S222" s="15"/>
      <c r="T222" s="25">
        <v>45637</v>
      </c>
      <c r="U222" s="15" t="s">
        <v>195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47"/>
      <c r="C223" s="85" t="s">
        <v>305</v>
      </c>
      <c r="D223" s="106" t="s">
        <v>300</v>
      </c>
      <c r="E223" s="15" t="s">
        <v>223</v>
      </c>
      <c r="F223" s="16"/>
      <c r="G223" s="15" t="s">
        <v>194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45637</v>
      </c>
      <c r="U223" s="15" t="s">
        <v>195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47"/>
      <c r="C224" s="85" t="s">
        <v>306</v>
      </c>
      <c r="D224" s="106" t="s">
        <v>293</v>
      </c>
      <c r="E224" s="15" t="s">
        <v>223</v>
      </c>
      <c r="F224" s="16"/>
      <c r="G224" s="15" t="s">
        <v>194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45637</v>
      </c>
      <c r="U224" s="15" t="s">
        <v>195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47"/>
      <c r="C225" s="85" t="s">
        <v>307</v>
      </c>
      <c r="D225" s="106" t="s">
        <v>205</v>
      </c>
      <c r="E225" s="13" t="s">
        <v>223</v>
      </c>
      <c r="F225" s="16"/>
      <c r="G225" s="15" t="s">
        <v>194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45649</v>
      </c>
      <c r="U225" s="15" t="s">
        <v>195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47"/>
      <c r="C226" s="85" t="s">
        <v>308</v>
      </c>
      <c r="D226" s="106" t="s">
        <v>205</v>
      </c>
      <c r="E226" s="13" t="s">
        <v>226</v>
      </c>
      <c r="F226" s="16"/>
      <c r="G226" s="15" t="s">
        <v>194</v>
      </c>
      <c r="H226" s="15"/>
      <c r="I226" s="15"/>
      <c r="J226" s="15"/>
      <c r="K226" s="15"/>
      <c r="L226" s="17"/>
      <c r="M226" s="17"/>
      <c r="N226" s="17"/>
      <c r="O226" s="17">
        <v>1</v>
      </c>
      <c r="P226" s="17">
        <v>1</v>
      </c>
      <c r="Q226" s="17">
        <v>1</v>
      </c>
      <c r="R226" s="17">
        <v>1</v>
      </c>
      <c r="S226" s="15"/>
      <c r="T226" s="25">
        <v>45649</v>
      </c>
      <c r="U226" s="15" t="s">
        <v>227</v>
      </c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47"/>
      <c r="C227" s="85" t="s">
        <v>309</v>
      </c>
      <c r="D227" s="109" t="s">
        <v>310</v>
      </c>
      <c r="E227" s="15" t="s">
        <v>217</v>
      </c>
      <c r="F227" s="16"/>
      <c r="G227" s="15" t="s">
        <v>194</v>
      </c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>
        <v>45644</v>
      </c>
      <c r="U227" s="15" t="s">
        <v>207</v>
      </c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47"/>
      <c r="C228" s="85" t="s">
        <v>311</v>
      </c>
      <c r="D228" s="109" t="s">
        <v>310</v>
      </c>
      <c r="E228" s="15" t="s">
        <v>223</v>
      </c>
      <c r="F228" s="16"/>
      <c r="G228" s="15" t="s">
        <v>194</v>
      </c>
      <c r="H228" s="15"/>
      <c r="I228" s="15"/>
      <c r="J228" s="15">
        <v>1</v>
      </c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6">
        <v>45644</v>
      </c>
      <c r="U228" s="15" t="s">
        <v>195</v>
      </c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47"/>
      <c r="C229" s="85" t="s">
        <v>312</v>
      </c>
      <c r="D229" s="110" t="s">
        <v>310</v>
      </c>
      <c r="E229" s="18" t="s">
        <v>208</v>
      </c>
      <c r="F229" s="16"/>
      <c r="G229" s="18" t="s">
        <v>194</v>
      </c>
      <c r="H229" s="15"/>
      <c r="I229" s="15"/>
      <c r="J229" s="18">
        <v>1</v>
      </c>
      <c r="K229" s="15">
        <v>1</v>
      </c>
      <c r="L229" s="19"/>
      <c r="M229" s="19"/>
      <c r="N229" s="19"/>
      <c r="O229" s="19"/>
      <c r="P229" s="19"/>
      <c r="Q229" s="19"/>
      <c r="R229" s="19"/>
      <c r="S229" s="15"/>
      <c r="T229" s="26">
        <v>45644</v>
      </c>
      <c r="U229" s="15" t="s">
        <v>195</v>
      </c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47"/>
      <c r="C230" s="85" t="s">
        <v>313</v>
      </c>
      <c r="D230" s="110" t="s">
        <v>234</v>
      </c>
      <c r="E230" s="18" t="s">
        <v>208</v>
      </c>
      <c r="F230" s="16"/>
      <c r="G230" s="18" t="s">
        <v>194</v>
      </c>
      <c r="H230" s="15"/>
      <c r="I230" s="15"/>
      <c r="J230" s="18"/>
      <c r="K230" s="15"/>
      <c r="L230" s="19"/>
      <c r="M230" s="19">
        <v>1</v>
      </c>
      <c r="N230" s="19">
        <v>1</v>
      </c>
      <c r="O230" s="19"/>
      <c r="P230" s="19"/>
      <c r="Q230" s="19">
        <v>1</v>
      </c>
      <c r="R230" s="19"/>
      <c r="S230" s="15"/>
      <c r="T230" s="26">
        <v>45647</v>
      </c>
      <c r="U230" s="15" t="s">
        <v>207</v>
      </c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47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47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47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47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47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47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48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18</v>
      </c>
      <c r="D238" s="112"/>
      <c r="E238" s="29"/>
      <c r="F238" s="29" t="s">
        <v>34</v>
      </c>
      <c r="G238" s="29">
        <f>COUNTIF(G213:G237,"S")</f>
        <v>18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10</v>
      </c>
      <c r="L238" s="29">
        <f t="shared" ref="L238" si="45">SUM(L213:L237)</f>
        <v>0</v>
      </c>
      <c r="M238" s="29">
        <f t="shared" ref="M238" si="46">SUM(M213:M237)</f>
        <v>3</v>
      </c>
      <c r="N238" s="29">
        <f t="shared" ref="N238" si="47">SUM(N213:N237)</f>
        <v>3</v>
      </c>
      <c r="O238" s="29">
        <f t="shared" ref="O238" si="48">SUM(O213:O237)</f>
        <v>2</v>
      </c>
      <c r="P238" s="29">
        <f t="shared" ref="P238" si="49">SUM(P213:P237)</f>
        <v>1</v>
      </c>
      <c r="Q238" s="29">
        <f t="shared" ref="Q238" si="50">SUM(Q213:Q237)</f>
        <v>4</v>
      </c>
      <c r="R238" s="29">
        <f t="shared" ref="R238" si="51">SUM(R213:R237)</f>
        <v>2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35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AYG094</v>
      </c>
      <c r="B241" s="24">
        <f>B1</f>
        <v>45617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3" t="s">
        <v>112</v>
      </c>
      <c r="Y242" s="153"/>
    </row>
    <row r="243" spans="1:28" ht="20.25" thickTop="1" thickBot="1" x14ac:dyDescent="0.45">
      <c r="A243" s="143">
        <v>9</v>
      </c>
      <c r="B243" s="146">
        <v>20.6</v>
      </c>
      <c r="C243" s="85" t="s">
        <v>314</v>
      </c>
      <c r="D243" s="109" t="s">
        <v>199</v>
      </c>
      <c r="E243" s="13" t="s">
        <v>200</v>
      </c>
      <c r="F243" s="14"/>
      <c r="G243" s="12" t="s">
        <v>194</v>
      </c>
      <c r="H243" s="13" t="s">
        <v>192</v>
      </c>
      <c r="I243" s="13"/>
      <c r="J243" s="13">
        <v>2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45651</v>
      </c>
      <c r="U243" s="13" t="s">
        <v>195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44"/>
      <c r="B244" s="147"/>
      <c r="C244" s="85" t="s">
        <v>315</v>
      </c>
      <c r="D244" s="109" t="s">
        <v>199</v>
      </c>
      <c r="E244" s="13" t="s">
        <v>200</v>
      </c>
      <c r="F244" s="16"/>
      <c r="G244" s="12" t="s">
        <v>194</v>
      </c>
      <c r="H244" s="15" t="s">
        <v>192</v>
      </c>
      <c r="I244" s="15"/>
      <c r="J244" s="15">
        <v>2</v>
      </c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45650</v>
      </c>
      <c r="U244" s="13" t="s">
        <v>195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4"/>
      <c r="B245" s="147"/>
      <c r="C245" s="85" t="s">
        <v>316</v>
      </c>
      <c r="D245" s="109" t="s">
        <v>199</v>
      </c>
      <c r="E245" s="13" t="s">
        <v>200</v>
      </c>
      <c r="F245" s="16"/>
      <c r="G245" s="12" t="s">
        <v>194</v>
      </c>
      <c r="H245" s="15" t="s">
        <v>192</v>
      </c>
      <c r="I245" s="15"/>
      <c r="J245" s="15">
        <v>2</v>
      </c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45650</v>
      </c>
      <c r="U245" s="13" t="s">
        <v>195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4"/>
      <c r="B246" s="147"/>
      <c r="C246" s="85" t="s">
        <v>317</v>
      </c>
      <c r="D246" s="109" t="s">
        <v>199</v>
      </c>
      <c r="E246" s="13" t="s">
        <v>200</v>
      </c>
      <c r="F246" s="16"/>
      <c r="G246" s="12" t="s">
        <v>194</v>
      </c>
      <c r="H246" s="15" t="s">
        <v>192</v>
      </c>
      <c r="I246" s="15"/>
      <c r="J246" s="15">
        <v>2</v>
      </c>
      <c r="K246" s="15"/>
      <c r="L246" s="17"/>
      <c r="M246" s="17"/>
      <c r="N246" s="17"/>
      <c r="O246" s="17"/>
      <c r="P246" s="17"/>
      <c r="Q246" s="17"/>
      <c r="R246" s="17"/>
      <c r="S246" s="15"/>
      <c r="T246" s="26">
        <v>45649</v>
      </c>
      <c r="U246" s="13" t="s">
        <v>195</v>
      </c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47"/>
      <c r="C247" s="85"/>
      <c r="D247" s="109"/>
      <c r="E247" s="13"/>
      <c r="F247" s="16"/>
      <c r="G247" s="12"/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/>
      <c r="T247" s="26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47"/>
      <c r="C248" s="85"/>
      <c r="D248" s="109"/>
      <c r="E248" s="13"/>
      <c r="F248" s="16"/>
      <c r="G248" s="12"/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47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47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47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47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47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47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47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47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47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47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47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47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47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47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47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47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47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47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48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4</v>
      </c>
      <c r="D268" s="112"/>
      <c r="E268" s="29"/>
      <c r="F268" s="29" t="s">
        <v>34</v>
      </c>
      <c r="G268" s="29">
        <f>COUNTIF(G243:G267,"S")</f>
        <v>4</v>
      </c>
      <c r="H268" s="29">
        <f>COUNTIF(H243:H267,"E")</f>
        <v>4</v>
      </c>
      <c r="I268" s="29">
        <f>SUM(I243:I267)</f>
        <v>0</v>
      </c>
      <c r="J268" s="29">
        <f t="shared" ref="J268" si="53">SUM(J243:J267)</f>
        <v>8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AYG094</v>
      </c>
      <c r="B271" s="24">
        <f>B1</f>
        <v>45617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6" t="s">
        <v>111</v>
      </c>
      <c r="Y272" s="142"/>
    </row>
    <row r="273" spans="1:28" ht="20.25" thickTop="1" thickBot="1" x14ac:dyDescent="0.45">
      <c r="A273" s="143">
        <v>10</v>
      </c>
      <c r="B273" s="146">
        <v>22</v>
      </c>
      <c r="C273" s="85" t="s">
        <v>318</v>
      </c>
      <c r="D273" s="109" t="s">
        <v>330</v>
      </c>
      <c r="E273" s="13" t="s">
        <v>217</v>
      </c>
      <c r="F273" s="14"/>
      <c r="G273" s="12" t="s">
        <v>194</v>
      </c>
      <c r="H273" s="13"/>
      <c r="I273" s="13"/>
      <c r="J273" s="13">
        <v>1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45648</v>
      </c>
      <c r="U273" s="13" t="s">
        <v>195</v>
      </c>
      <c r="V273">
        <v>1</v>
      </c>
      <c r="X273" s="51" t="s">
        <v>106</v>
      </c>
      <c r="Y273" s="52">
        <f>COUNTIF(U273:U297,"K")</f>
        <v>13</v>
      </c>
      <c r="AA273" s="59" t="s">
        <v>120</v>
      </c>
      <c r="AB273" s="60" t="s">
        <v>121</v>
      </c>
    </row>
    <row r="274" spans="1:28" x14ac:dyDescent="0.4">
      <c r="A274" s="144"/>
      <c r="B274" s="147"/>
      <c r="C274" s="85" t="s">
        <v>319</v>
      </c>
      <c r="D274" s="109" t="s">
        <v>330</v>
      </c>
      <c r="E274" s="13" t="s">
        <v>217</v>
      </c>
      <c r="F274" s="16"/>
      <c r="G274" s="12" t="s">
        <v>194</v>
      </c>
      <c r="H274" s="15"/>
      <c r="I274" s="15"/>
      <c r="J274" s="15">
        <v>1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45648</v>
      </c>
      <c r="U274" s="13" t="s">
        <v>195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4"/>
      <c r="B275" s="147"/>
      <c r="C275" s="85" t="s">
        <v>320</v>
      </c>
      <c r="D275" s="109" t="s">
        <v>330</v>
      </c>
      <c r="E275" s="13" t="s">
        <v>217</v>
      </c>
      <c r="F275" s="16"/>
      <c r="G275" s="12" t="s">
        <v>194</v>
      </c>
      <c r="H275" s="15"/>
      <c r="I275" s="15"/>
      <c r="J275" s="15">
        <v>1</v>
      </c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45648</v>
      </c>
      <c r="U275" s="13" t="s">
        <v>195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44"/>
      <c r="B276" s="147"/>
      <c r="C276" s="85" t="s">
        <v>321</v>
      </c>
      <c r="D276" s="109" t="s">
        <v>330</v>
      </c>
      <c r="E276" s="13" t="s">
        <v>217</v>
      </c>
      <c r="F276" s="16"/>
      <c r="G276" s="12" t="s">
        <v>194</v>
      </c>
      <c r="H276" s="15"/>
      <c r="I276" s="15"/>
      <c r="J276" s="15">
        <v>1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45648</v>
      </c>
      <c r="U276" s="13" t="s">
        <v>195</v>
      </c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47"/>
      <c r="C277" s="85" t="s">
        <v>322</v>
      </c>
      <c r="D277" s="109" t="s">
        <v>330</v>
      </c>
      <c r="E277" s="13" t="s">
        <v>217</v>
      </c>
      <c r="F277" s="16"/>
      <c r="G277" s="12" t="s">
        <v>194</v>
      </c>
      <c r="H277" s="15"/>
      <c r="I277" s="15"/>
      <c r="J277" s="15">
        <v>1</v>
      </c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45648</v>
      </c>
      <c r="U277" s="13" t="s">
        <v>195</v>
      </c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47"/>
      <c r="C278" s="85" t="s">
        <v>323</v>
      </c>
      <c r="D278" s="109" t="s">
        <v>330</v>
      </c>
      <c r="E278" s="13" t="s">
        <v>217</v>
      </c>
      <c r="F278" s="16"/>
      <c r="G278" s="12" t="s">
        <v>194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45648</v>
      </c>
      <c r="U278" s="13" t="s">
        <v>195</v>
      </c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47"/>
      <c r="C279" s="85" t="s">
        <v>324</v>
      </c>
      <c r="D279" s="109" t="s">
        <v>330</v>
      </c>
      <c r="E279" s="13" t="s">
        <v>217</v>
      </c>
      <c r="F279" s="16"/>
      <c r="G279" s="12" t="s">
        <v>194</v>
      </c>
      <c r="H279" s="15"/>
      <c r="I279" s="15"/>
      <c r="J279" s="15">
        <v>1</v>
      </c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45648</v>
      </c>
      <c r="U279" s="13" t="s">
        <v>195</v>
      </c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47"/>
      <c r="C280" s="85" t="s">
        <v>325</v>
      </c>
      <c r="D280" s="109" t="s">
        <v>330</v>
      </c>
      <c r="E280" s="13" t="s">
        <v>217</v>
      </c>
      <c r="F280" s="16"/>
      <c r="G280" s="12" t="s">
        <v>194</v>
      </c>
      <c r="H280" s="15"/>
      <c r="I280" s="15"/>
      <c r="J280" s="15">
        <v>1</v>
      </c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45648</v>
      </c>
      <c r="U280" s="13" t="s">
        <v>195</v>
      </c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47"/>
      <c r="C281" s="85" t="s">
        <v>326</v>
      </c>
      <c r="D281" s="109" t="s">
        <v>330</v>
      </c>
      <c r="E281" s="13" t="s">
        <v>217</v>
      </c>
      <c r="F281" s="16"/>
      <c r="G281" s="12" t="s">
        <v>194</v>
      </c>
      <c r="H281" s="15"/>
      <c r="I281" s="15"/>
      <c r="J281" s="15">
        <v>1</v>
      </c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45648</v>
      </c>
      <c r="U281" s="13" t="s">
        <v>195</v>
      </c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47"/>
      <c r="C282" s="85" t="s">
        <v>327</v>
      </c>
      <c r="D282" s="109" t="s">
        <v>330</v>
      </c>
      <c r="E282" s="13" t="s">
        <v>217</v>
      </c>
      <c r="F282" s="16"/>
      <c r="G282" s="12" t="s">
        <v>194</v>
      </c>
      <c r="H282" s="15"/>
      <c r="I282" s="15"/>
      <c r="J282" s="15">
        <v>1</v>
      </c>
      <c r="K282" s="15"/>
      <c r="L282" s="17"/>
      <c r="M282" s="17"/>
      <c r="N282" s="17"/>
      <c r="O282" s="17"/>
      <c r="P282" s="17"/>
      <c r="Q282" s="17"/>
      <c r="R282" s="17"/>
      <c r="S282" s="15"/>
      <c r="T282" s="26">
        <v>45648</v>
      </c>
      <c r="U282" s="13" t="s">
        <v>195</v>
      </c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47"/>
      <c r="C283" s="85" t="s">
        <v>328</v>
      </c>
      <c r="D283" s="109" t="s">
        <v>330</v>
      </c>
      <c r="E283" s="13" t="s">
        <v>217</v>
      </c>
      <c r="F283" s="16"/>
      <c r="G283" s="12" t="s">
        <v>194</v>
      </c>
      <c r="H283" s="15"/>
      <c r="I283" s="15"/>
      <c r="J283" s="15">
        <v>1</v>
      </c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45648</v>
      </c>
      <c r="U283" s="13" t="s">
        <v>195</v>
      </c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47"/>
      <c r="C284" s="85" t="s">
        <v>329</v>
      </c>
      <c r="D284" s="109" t="s">
        <v>330</v>
      </c>
      <c r="E284" s="13" t="s">
        <v>217</v>
      </c>
      <c r="F284" s="16"/>
      <c r="G284" s="12" t="s">
        <v>194</v>
      </c>
      <c r="H284" s="15"/>
      <c r="I284" s="15"/>
      <c r="J284" s="15">
        <v>1</v>
      </c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45648</v>
      </c>
      <c r="U284" s="13" t="s">
        <v>195</v>
      </c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47"/>
      <c r="C285" s="85" t="s">
        <v>331</v>
      </c>
      <c r="D285" s="109" t="s">
        <v>332</v>
      </c>
      <c r="E285" s="13" t="s">
        <v>239</v>
      </c>
      <c r="F285" s="16"/>
      <c r="G285" s="12" t="s">
        <v>194</v>
      </c>
      <c r="H285" s="15"/>
      <c r="I285" s="15"/>
      <c r="J285" s="15">
        <v>1</v>
      </c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45647</v>
      </c>
      <c r="U285" s="13" t="s">
        <v>195</v>
      </c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47"/>
      <c r="C286" s="85" t="s">
        <v>333</v>
      </c>
      <c r="D286" s="109" t="s">
        <v>332</v>
      </c>
      <c r="E286" s="15" t="s">
        <v>253</v>
      </c>
      <c r="F286" s="16"/>
      <c r="G286" s="12" t="s">
        <v>194</v>
      </c>
      <c r="H286" s="15"/>
      <c r="I286" s="15"/>
      <c r="J286" s="15"/>
      <c r="K286" s="15"/>
      <c r="L286" s="17"/>
      <c r="M286" s="17"/>
      <c r="N286" s="17"/>
      <c r="O286" s="17">
        <v>1</v>
      </c>
      <c r="P286" s="17">
        <v>2</v>
      </c>
      <c r="Q286" s="17">
        <v>1</v>
      </c>
      <c r="R286" s="17"/>
      <c r="S286" s="15"/>
      <c r="T286" s="26">
        <v>45647</v>
      </c>
      <c r="U286" s="15" t="s">
        <v>227</v>
      </c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47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47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47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47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47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47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47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47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47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47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48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14</v>
      </c>
      <c r="D298" s="112"/>
      <c r="E298" s="29"/>
      <c r="F298" s="29" t="s">
        <v>34</v>
      </c>
      <c r="G298" s="29">
        <f>COUNTIF(G273:G297,"S")</f>
        <v>14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13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1</v>
      </c>
      <c r="P298" s="29">
        <f t="shared" ref="P298" si="69">SUM(P273:P297)</f>
        <v>2</v>
      </c>
      <c r="Q298" s="29">
        <f t="shared" ref="Q298" si="70">SUM(Q273:Q297)</f>
        <v>1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17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AYG094</v>
      </c>
      <c r="B301" s="24">
        <f>B1</f>
        <v>45617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6" t="s">
        <v>110</v>
      </c>
      <c r="Y302" s="142"/>
    </row>
    <row r="303" spans="1:28" ht="20.25" thickTop="1" thickBot="1" x14ac:dyDescent="0.45">
      <c r="A303" s="143">
        <v>11</v>
      </c>
      <c r="B303" s="146">
        <v>23.8</v>
      </c>
      <c r="C303" s="85" t="s">
        <v>334</v>
      </c>
      <c r="D303" s="109" t="s">
        <v>335</v>
      </c>
      <c r="E303" s="13" t="s">
        <v>239</v>
      </c>
      <c r="F303" s="14"/>
      <c r="G303" s="12" t="s">
        <v>194</v>
      </c>
      <c r="H303" s="13"/>
      <c r="I303" s="13"/>
      <c r="J303" s="13">
        <v>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45643</v>
      </c>
      <c r="U303" s="13" t="s">
        <v>195</v>
      </c>
      <c r="V303">
        <v>1</v>
      </c>
      <c r="X303" s="51" t="s">
        <v>106</v>
      </c>
      <c r="Y303" s="52">
        <f>COUNTIF(U303:U327,"K")</f>
        <v>9</v>
      </c>
      <c r="AA303" s="59" t="s">
        <v>120</v>
      </c>
      <c r="AB303" s="60" t="s">
        <v>121</v>
      </c>
    </row>
    <row r="304" spans="1:28" x14ac:dyDescent="0.4">
      <c r="A304" s="144"/>
      <c r="B304" s="147"/>
      <c r="C304" s="85" t="s">
        <v>336</v>
      </c>
      <c r="D304" s="109" t="s">
        <v>335</v>
      </c>
      <c r="E304" s="13" t="s">
        <v>253</v>
      </c>
      <c r="F304" s="16"/>
      <c r="G304" s="12" t="s">
        <v>194</v>
      </c>
      <c r="H304" s="15"/>
      <c r="I304" s="15"/>
      <c r="J304" s="15"/>
      <c r="K304" s="15"/>
      <c r="L304" s="17"/>
      <c r="M304" s="13"/>
      <c r="N304" s="13"/>
      <c r="O304" s="17">
        <v>1</v>
      </c>
      <c r="P304" s="17"/>
      <c r="Q304" s="17">
        <v>1</v>
      </c>
      <c r="R304" s="17">
        <v>1</v>
      </c>
      <c r="S304" s="15"/>
      <c r="T304" s="26">
        <v>45643</v>
      </c>
      <c r="U304" s="13" t="s">
        <v>227</v>
      </c>
      <c r="V304">
        <v>2</v>
      </c>
      <c r="X304" s="51" t="s">
        <v>107</v>
      </c>
      <c r="Y304" s="52">
        <f>COUNTIF(U303:U327,"R")</f>
        <v>4</v>
      </c>
      <c r="AA304" s="47" t="s">
        <v>81</v>
      </c>
      <c r="AB304" s="48" t="s">
        <v>60</v>
      </c>
    </row>
    <row r="305" spans="1:28" ht="19.5" thickBot="1" x14ac:dyDescent="0.45">
      <c r="A305" s="144"/>
      <c r="B305" s="147"/>
      <c r="C305" s="85" t="s">
        <v>337</v>
      </c>
      <c r="D305" s="109" t="s">
        <v>257</v>
      </c>
      <c r="E305" s="13" t="s">
        <v>303</v>
      </c>
      <c r="F305" s="16"/>
      <c r="G305" s="12" t="s">
        <v>194</v>
      </c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>
        <v>45640</v>
      </c>
      <c r="U305" s="13" t="s">
        <v>207</v>
      </c>
      <c r="V305">
        <v>3</v>
      </c>
      <c r="X305" s="53" t="s">
        <v>108</v>
      </c>
      <c r="Y305" s="54">
        <f>COUNTIF(U303:U327,"J")</f>
        <v>4</v>
      </c>
      <c r="AA305" s="49" t="s">
        <v>82</v>
      </c>
      <c r="AB305" s="50" t="s">
        <v>39</v>
      </c>
    </row>
    <row r="306" spans="1:28" x14ac:dyDescent="0.4">
      <c r="A306" s="144"/>
      <c r="B306" s="147"/>
      <c r="C306" s="85" t="s">
        <v>338</v>
      </c>
      <c r="D306" s="109" t="s">
        <v>222</v>
      </c>
      <c r="E306" s="13" t="s">
        <v>226</v>
      </c>
      <c r="F306" s="16"/>
      <c r="G306" s="12" t="s">
        <v>194</v>
      </c>
      <c r="H306" s="15"/>
      <c r="I306" s="15"/>
      <c r="J306" s="15"/>
      <c r="K306" s="15"/>
      <c r="L306" s="17"/>
      <c r="M306" s="13"/>
      <c r="N306" s="13"/>
      <c r="O306" s="17">
        <v>1</v>
      </c>
      <c r="P306" s="17">
        <v>1</v>
      </c>
      <c r="Q306" s="17">
        <v>1</v>
      </c>
      <c r="R306" s="17">
        <v>1</v>
      </c>
      <c r="S306" s="15"/>
      <c r="T306" s="26">
        <v>45642</v>
      </c>
      <c r="U306" s="13" t="s">
        <v>227</v>
      </c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47"/>
      <c r="C307" s="85" t="s">
        <v>339</v>
      </c>
      <c r="D307" s="109" t="s">
        <v>340</v>
      </c>
      <c r="E307" s="13" t="s">
        <v>223</v>
      </c>
      <c r="F307" s="16"/>
      <c r="G307" s="12" t="s">
        <v>194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45643</v>
      </c>
      <c r="U307" s="13" t="s">
        <v>195</v>
      </c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47"/>
      <c r="C308" s="85" t="s">
        <v>342</v>
      </c>
      <c r="D308" s="109" t="s">
        <v>341</v>
      </c>
      <c r="E308" s="13" t="s">
        <v>206</v>
      </c>
      <c r="F308" s="16"/>
      <c r="G308" s="12" t="s">
        <v>194</v>
      </c>
      <c r="H308" s="13"/>
      <c r="I308" s="15"/>
      <c r="J308" s="15">
        <v>1</v>
      </c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45675</v>
      </c>
      <c r="U308" s="13" t="s">
        <v>195</v>
      </c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47"/>
      <c r="C309" s="85" t="s">
        <v>343</v>
      </c>
      <c r="D309" s="109" t="s">
        <v>257</v>
      </c>
      <c r="E309" s="13" t="s">
        <v>208</v>
      </c>
      <c r="F309" s="16"/>
      <c r="G309" s="12" t="s">
        <v>194</v>
      </c>
      <c r="H309" s="15"/>
      <c r="I309" s="15"/>
      <c r="J309" s="15">
        <v>1</v>
      </c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45642</v>
      </c>
      <c r="U309" s="13" t="s">
        <v>195</v>
      </c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47"/>
      <c r="C310" s="85" t="s">
        <v>344</v>
      </c>
      <c r="D310" s="109" t="s">
        <v>257</v>
      </c>
      <c r="E310" s="13" t="s">
        <v>212</v>
      </c>
      <c r="F310" s="16"/>
      <c r="G310" s="12" t="s">
        <v>194</v>
      </c>
      <c r="H310" s="15"/>
      <c r="I310" s="15"/>
      <c r="J310" s="15">
        <v>1</v>
      </c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45649</v>
      </c>
      <c r="U310" s="13" t="s">
        <v>195</v>
      </c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47"/>
      <c r="C311" s="85" t="s">
        <v>345</v>
      </c>
      <c r="D311" s="109" t="s">
        <v>257</v>
      </c>
      <c r="E311" s="13" t="s">
        <v>282</v>
      </c>
      <c r="F311" s="16"/>
      <c r="G311" s="12" t="s">
        <v>194</v>
      </c>
      <c r="H311" s="15"/>
      <c r="I311" s="15"/>
      <c r="J311" s="15">
        <v>1</v>
      </c>
      <c r="K311" s="15">
        <v>1</v>
      </c>
      <c r="L311" s="17"/>
      <c r="M311" s="13"/>
      <c r="N311" s="13"/>
      <c r="O311" s="17"/>
      <c r="P311" s="17"/>
      <c r="Q311" s="17"/>
      <c r="R311" s="17"/>
      <c r="S311" s="15"/>
      <c r="T311" s="26">
        <v>45672</v>
      </c>
      <c r="U311" s="13" t="s">
        <v>195</v>
      </c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47"/>
      <c r="C312" s="85" t="s">
        <v>346</v>
      </c>
      <c r="D312" s="109" t="s">
        <v>257</v>
      </c>
      <c r="E312" s="13" t="s">
        <v>206</v>
      </c>
      <c r="F312" s="16"/>
      <c r="G312" s="12" t="s">
        <v>194</v>
      </c>
      <c r="H312" s="15"/>
      <c r="I312" s="15"/>
      <c r="J312" s="15"/>
      <c r="K312" s="15"/>
      <c r="L312" s="17"/>
      <c r="M312" s="13">
        <v>1</v>
      </c>
      <c r="N312" s="13">
        <v>1</v>
      </c>
      <c r="O312" s="17"/>
      <c r="P312" s="17"/>
      <c r="Q312" s="17">
        <v>1</v>
      </c>
      <c r="R312" s="17"/>
      <c r="S312" s="15"/>
      <c r="T312" s="26">
        <v>45672</v>
      </c>
      <c r="U312" s="13" t="s">
        <v>207</v>
      </c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47"/>
      <c r="C313" s="85" t="s">
        <v>347</v>
      </c>
      <c r="D313" s="109" t="s">
        <v>260</v>
      </c>
      <c r="E313" s="13" t="s">
        <v>348</v>
      </c>
      <c r="F313" s="16"/>
      <c r="G313" s="12" t="s">
        <v>194</v>
      </c>
      <c r="H313" s="15"/>
      <c r="I313" s="15"/>
      <c r="J313" s="15">
        <v>1</v>
      </c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45642</v>
      </c>
      <c r="U313" s="13" t="s">
        <v>195</v>
      </c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47"/>
      <c r="C314" s="85" t="s">
        <v>349</v>
      </c>
      <c r="D314" s="109" t="s">
        <v>238</v>
      </c>
      <c r="E314" s="13" t="s">
        <v>223</v>
      </c>
      <c r="F314" s="16"/>
      <c r="G314" s="12" t="s">
        <v>194</v>
      </c>
      <c r="H314" s="15"/>
      <c r="I314" s="15"/>
      <c r="J314" s="15">
        <v>1</v>
      </c>
      <c r="K314" s="15"/>
      <c r="L314" s="17"/>
      <c r="M314" s="13"/>
      <c r="N314" s="13"/>
      <c r="O314" s="17"/>
      <c r="P314" s="17"/>
      <c r="Q314" s="17"/>
      <c r="R314" s="17"/>
      <c r="S314" s="15"/>
      <c r="T314" s="26">
        <v>45651</v>
      </c>
      <c r="U314" s="13" t="s">
        <v>195</v>
      </c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47"/>
      <c r="C315" s="85" t="s">
        <v>350</v>
      </c>
      <c r="D315" s="109" t="s">
        <v>234</v>
      </c>
      <c r="E315" s="13" t="s">
        <v>226</v>
      </c>
      <c r="F315" s="16"/>
      <c r="G315" s="12" t="s">
        <v>194</v>
      </c>
      <c r="H315" s="15"/>
      <c r="I315" s="15"/>
      <c r="J315" s="15"/>
      <c r="K315" s="15"/>
      <c r="L315" s="17"/>
      <c r="M315" s="13"/>
      <c r="N315" s="13"/>
      <c r="O315" s="17"/>
      <c r="P315" s="17">
        <v>1</v>
      </c>
      <c r="Q315" s="17"/>
      <c r="R315" s="17"/>
      <c r="S315" s="15"/>
      <c r="T315" s="26">
        <v>45652</v>
      </c>
      <c r="U315" s="13" t="s">
        <v>227</v>
      </c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47"/>
      <c r="C316" s="85" t="s">
        <v>352</v>
      </c>
      <c r="D316" s="109" t="s">
        <v>351</v>
      </c>
      <c r="E316" s="13" t="s">
        <v>226</v>
      </c>
      <c r="F316" s="16"/>
      <c r="G316" s="12" t="s">
        <v>194</v>
      </c>
      <c r="H316" s="15"/>
      <c r="I316" s="15"/>
      <c r="J316" s="15"/>
      <c r="K316" s="15"/>
      <c r="L316" s="17"/>
      <c r="M316" s="13"/>
      <c r="N316" s="13"/>
      <c r="O316" s="17">
        <v>1</v>
      </c>
      <c r="P316" s="17">
        <v>1</v>
      </c>
      <c r="Q316" s="17"/>
      <c r="R316" s="17"/>
      <c r="S316" s="15"/>
      <c r="T316" s="26">
        <v>45644</v>
      </c>
      <c r="U316" s="13" t="s">
        <v>227</v>
      </c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47"/>
      <c r="C317" s="85" t="s">
        <v>353</v>
      </c>
      <c r="D317" s="109" t="s">
        <v>252</v>
      </c>
      <c r="E317" s="13" t="s">
        <v>206</v>
      </c>
      <c r="F317" s="16"/>
      <c r="G317" s="12" t="s">
        <v>194</v>
      </c>
      <c r="H317" s="15"/>
      <c r="I317" s="15"/>
      <c r="J317" s="15"/>
      <c r="K317" s="15"/>
      <c r="L317" s="17"/>
      <c r="M317" s="13">
        <v>1</v>
      </c>
      <c r="N317" s="13"/>
      <c r="O317" s="17"/>
      <c r="P317" s="17"/>
      <c r="Q317" s="17"/>
      <c r="R317" s="17"/>
      <c r="S317" s="15"/>
      <c r="T317" s="26">
        <v>45651</v>
      </c>
      <c r="U317" s="13" t="s">
        <v>207</v>
      </c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47"/>
      <c r="C318" s="85" t="s">
        <v>354</v>
      </c>
      <c r="D318" s="109" t="s">
        <v>252</v>
      </c>
      <c r="E318" s="13" t="s">
        <v>277</v>
      </c>
      <c r="F318" s="16"/>
      <c r="G318" s="12" t="s">
        <v>194</v>
      </c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>
        <v>45651</v>
      </c>
      <c r="U318" s="13" t="s">
        <v>207</v>
      </c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47"/>
      <c r="C319" s="86" t="s">
        <v>355</v>
      </c>
      <c r="D319" s="110" t="s">
        <v>252</v>
      </c>
      <c r="E319" s="18" t="s">
        <v>206</v>
      </c>
      <c r="F319" s="16"/>
      <c r="G319" s="15" t="s">
        <v>194</v>
      </c>
      <c r="H319" s="15"/>
      <c r="I319" s="15"/>
      <c r="J319" s="18">
        <v>1</v>
      </c>
      <c r="K319" s="15">
        <v>1</v>
      </c>
      <c r="L319" s="19"/>
      <c r="M319" s="19"/>
      <c r="N319" s="19"/>
      <c r="O319" s="19"/>
      <c r="P319" s="19"/>
      <c r="Q319" s="19"/>
      <c r="R319" s="19"/>
      <c r="S319" s="15"/>
      <c r="T319" s="26">
        <v>45647</v>
      </c>
      <c r="U319" s="15" t="s">
        <v>195</v>
      </c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47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47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47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47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47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47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47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48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17</v>
      </c>
      <c r="D328" s="112"/>
      <c r="E328" s="29"/>
      <c r="F328" s="29" t="s">
        <v>34</v>
      </c>
      <c r="G328" s="29">
        <f>COUNTIF(G303:G327,"S")</f>
        <v>17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9</v>
      </c>
      <c r="K328" s="29">
        <f t="shared" ref="K328" si="74">SUM(K303:K327)</f>
        <v>5</v>
      </c>
      <c r="L328" s="29">
        <f t="shared" ref="L328" si="75">SUM(L303:L327)</f>
        <v>0</v>
      </c>
      <c r="M328" s="29">
        <f t="shared" ref="M328" si="76">SUM(M303:M327)</f>
        <v>2</v>
      </c>
      <c r="N328" s="29">
        <f t="shared" ref="N328" si="77">SUM(N303:N327)</f>
        <v>1</v>
      </c>
      <c r="O328" s="29">
        <f t="shared" ref="O328" si="78">SUM(O303:O327)</f>
        <v>3</v>
      </c>
      <c r="P328" s="29">
        <f t="shared" ref="P328" si="79">SUM(P303:P327)</f>
        <v>3</v>
      </c>
      <c r="Q328" s="29">
        <f t="shared" ref="Q328" si="80">SUM(Q303:Q327)</f>
        <v>3</v>
      </c>
      <c r="R328" s="29">
        <f t="shared" ref="R328" si="81">SUM(R303:R327)</f>
        <v>2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28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AYG094</v>
      </c>
      <c r="B331" s="24">
        <f>B151</f>
        <v>45617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6" t="s">
        <v>109</v>
      </c>
      <c r="Y332" s="142"/>
    </row>
    <row r="333" spans="1:28" ht="20.25" thickTop="1" thickBot="1" x14ac:dyDescent="0.45">
      <c r="A333" s="143">
        <v>12</v>
      </c>
      <c r="B333" s="146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4"/>
      <c r="B334" s="147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4"/>
      <c r="B335" s="147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4"/>
      <c r="B336" s="147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47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47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47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47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47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47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47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47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47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47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47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47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47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47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47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47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47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47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47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47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48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6" t="s">
        <v>138</v>
      </c>
      <c r="Y362" s="142"/>
    </row>
    <row r="363" spans="1:28" ht="19.5" thickTop="1" x14ac:dyDescent="0.4">
      <c r="A363" s="143">
        <v>13</v>
      </c>
      <c r="B363" s="146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47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47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47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47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47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47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47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47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47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47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47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47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47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47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47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47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47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47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47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47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47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47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47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48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6" t="s">
        <v>139</v>
      </c>
      <c r="Y392" s="142"/>
    </row>
    <row r="393" spans="1:25" ht="19.5" thickTop="1" x14ac:dyDescent="0.4">
      <c r="A393" s="143">
        <v>14</v>
      </c>
      <c r="B393" s="146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47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47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47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47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47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47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47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47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47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47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47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47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47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47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47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47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47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47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47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47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47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47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47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48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6" t="s">
        <v>140</v>
      </c>
      <c r="Y422" s="142"/>
    </row>
    <row r="423" spans="1:25" ht="19.5" thickTop="1" x14ac:dyDescent="0.4">
      <c r="A423" s="143">
        <v>15</v>
      </c>
      <c r="B423" s="146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47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47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47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47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47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47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47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47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47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47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47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47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47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47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47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47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47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47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47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47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47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47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47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48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6" t="s">
        <v>105</v>
      </c>
      <c r="Y451" s="142"/>
    </row>
    <row r="452" spans="1:25" ht="19.5" thickTop="1" x14ac:dyDescent="0.4">
      <c r="A452" s="143">
        <v>16</v>
      </c>
      <c r="B452" s="133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34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34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34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34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34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34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34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34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34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34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34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34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34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34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34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34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34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34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34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34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34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34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34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35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T1062"/>
  <sheetViews>
    <sheetView zoomScaleNormal="100" workbookViewId="0">
      <selection sqref="A1:D2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9" width="16.625" customWidth="1"/>
    <col min="20" max="20" width="11" customWidth="1"/>
    <col min="21" max="21" width="10.5" style="121" customWidth="1"/>
    <col min="22" max="22" width="10.25" style="121" customWidth="1"/>
    <col min="23" max="23" width="10.875" style="121" customWidth="1"/>
    <col min="24" max="37" width="16.625" customWidth="1"/>
    <col min="38" max="38" width="20.5" customWidth="1"/>
    <col min="43" max="43" width="12.375" customWidth="1"/>
    <col min="44" max="44" width="11.25" customWidth="1"/>
    <col min="45" max="45" width="10.5" customWidth="1"/>
    <col min="46" max="46" width="10.25" customWidth="1"/>
  </cols>
  <sheetData>
    <row r="1" spans="1:42" x14ac:dyDescent="0.4">
      <c r="A1" s="120" t="s">
        <v>186</v>
      </c>
      <c r="B1" s="121"/>
      <c r="C1" s="121"/>
      <c r="D1" s="121"/>
      <c r="N1" t="s">
        <v>143</v>
      </c>
      <c r="O1" t="s">
        <v>144</v>
      </c>
      <c r="T1" s="120"/>
      <c r="AL1" t="s">
        <v>143</v>
      </c>
      <c r="AM1" t="s">
        <v>144</v>
      </c>
    </row>
    <row r="2" spans="1:42" ht="19.5" x14ac:dyDescent="0.4">
      <c r="A2" s="116"/>
      <c r="B2" s="123" t="s">
        <v>146</v>
      </c>
      <c r="C2" s="123" t="s">
        <v>147</v>
      </c>
      <c r="D2" s="123" t="s">
        <v>148</v>
      </c>
      <c r="N2" s="25">
        <v>45309</v>
      </c>
      <c r="O2" s="13" t="s">
        <v>227</v>
      </c>
      <c r="T2" s="116"/>
      <c r="U2" s="123"/>
      <c r="V2" s="123"/>
      <c r="W2" s="123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25">
        <v>45258</v>
      </c>
      <c r="AM2" s="13" t="s">
        <v>162</v>
      </c>
      <c r="AP2" s="114"/>
    </row>
    <row r="3" spans="1:42" ht="19.5" x14ac:dyDescent="0.4">
      <c r="A3" s="117">
        <v>45634</v>
      </c>
      <c r="B3" s="123"/>
      <c r="C3" s="123">
        <v>2</v>
      </c>
      <c r="D3" s="123"/>
      <c r="L3" s="115"/>
      <c r="M3" s="115"/>
      <c r="N3" s="25">
        <v>45309</v>
      </c>
      <c r="O3" s="13" t="s">
        <v>195</v>
      </c>
      <c r="T3" s="116"/>
      <c r="U3" s="123"/>
      <c r="V3" s="123"/>
      <c r="W3" s="123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25"/>
      <c r="AM3" s="13"/>
      <c r="AP3" s="114"/>
    </row>
    <row r="4" spans="1:42" ht="19.5" x14ac:dyDescent="0.4">
      <c r="A4" s="117">
        <v>45637</v>
      </c>
      <c r="B4" s="123">
        <v>4</v>
      </c>
      <c r="C4" s="123"/>
      <c r="D4" s="123">
        <v>1</v>
      </c>
      <c r="L4" s="115"/>
      <c r="M4" s="115" t="s">
        <v>356</v>
      </c>
      <c r="N4" s="13">
        <f>SUBTOTAL(3,N2:N3)</f>
        <v>2</v>
      </c>
      <c r="O4" s="13">
        <f>SUBTOTAL(3,O2:O3)</f>
        <v>2</v>
      </c>
      <c r="T4" s="116"/>
      <c r="U4" s="123"/>
      <c r="V4" s="123"/>
      <c r="W4" s="123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25"/>
      <c r="AM4" s="13"/>
      <c r="AP4" s="114"/>
    </row>
    <row r="5" spans="1:42" ht="19.5" x14ac:dyDescent="0.4">
      <c r="A5" s="117">
        <v>45639</v>
      </c>
      <c r="B5" s="123">
        <v>1</v>
      </c>
      <c r="C5" s="123">
        <v>1</v>
      </c>
      <c r="D5" s="123"/>
      <c r="J5" s="115"/>
      <c r="K5" s="115"/>
      <c r="L5" s="115"/>
      <c r="M5" s="115"/>
      <c r="N5" s="25">
        <v>45634</v>
      </c>
      <c r="O5" s="13" t="s">
        <v>207</v>
      </c>
      <c r="T5" s="116"/>
      <c r="U5" s="123"/>
      <c r="V5" s="123"/>
      <c r="W5" s="123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25"/>
      <c r="AM5" s="13"/>
      <c r="AP5" s="114"/>
    </row>
    <row r="6" spans="1:42" ht="19.5" x14ac:dyDescent="0.4">
      <c r="A6" s="117">
        <v>45640</v>
      </c>
      <c r="B6" s="123">
        <v>14</v>
      </c>
      <c r="C6" s="123">
        <v>6</v>
      </c>
      <c r="D6" s="123">
        <v>6</v>
      </c>
      <c r="J6" s="115"/>
      <c r="K6" s="115"/>
      <c r="L6" s="115"/>
      <c r="M6" s="115"/>
      <c r="N6" s="25">
        <v>45634</v>
      </c>
      <c r="O6" s="13" t="s">
        <v>207</v>
      </c>
      <c r="T6" s="116"/>
      <c r="U6" s="123"/>
      <c r="V6" s="123"/>
      <c r="W6" s="123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25"/>
      <c r="AM6" s="13"/>
      <c r="AP6" s="114"/>
    </row>
    <row r="7" spans="1:42" ht="19.5" x14ac:dyDescent="0.4">
      <c r="A7" s="117">
        <v>45642</v>
      </c>
      <c r="B7" s="123">
        <v>5</v>
      </c>
      <c r="C7" s="123">
        <v>3</v>
      </c>
      <c r="D7" s="123">
        <v>2</v>
      </c>
      <c r="J7" s="115"/>
      <c r="K7" s="115"/>
      <c r="L7" s="115"/>
      <c r="M7" s="115" t="s">
        <v>177</v>
      </c>
      <c r="N7" s="13">
        <f>SUBTOTAL(3,N5:N6)</f>
        <v>2</v>
      </c>
      <c r="O7" s="13">
        <f>SUBTOTAL(3,O5:O6)</f>
        <v>2</v>
      </c>
      <c r="T7" s="116"/>
      <c r="U7" s="123"/>
      <c r="V7" s="123"/>
      <c r="W7" s="123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25"/>
      <c r="AM7" s="13"/>
      <c r="AP7" s="114"/>
    </row>
    <row r="8" spans="1:42" ht="19.5" x14ac:dyDescent="0.4">
      <c r="A8" s="117">
        <v>45643</v>
      </c>
      <c r="B8" s="123">
        <v>6</v>
      </c>
      <c r="C8" s="123"/>
      <c r="D8" s="123">
        <v>1</v>
      </c>
      <c r="I8" s="115"/>
      <c r="J8" s="115"/>
      <c r="K8" s="115"/>
      <c r="L8" s="115"/>
      <c r="M8" s="115"/>
      <c r="N8" s="25">
        <v>45637</v>
      </c>
      <c r="O8" s="13" t="s">
        <v>195</v>
      </c>
      <c r="T8" s="116"/>
      <c r="U8" s="123"/>
      <c r="V8" s="123"/>
      <c r="W8" s="123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25"/>
      <c r="AM8" s="13"/>
      <c r="AP8" s="114"/>
    </row>
    <row r="9" spans="1:42" ht="19.5" x14ac:dyDescent="0.4">
      <c r="A9" s="117">
        <v>45644</v>
      </c>
      <c r="B9" s="123">
        <v>8</v>
      </c>
      <c r="C9" s="123">
        <v>2</v>
      </c>
      <c r="D9" s="123">
        <v>2</v>
      </c>
      <c r="I9" s="115"/>
      <c r="J9" s="115"/>
      <c r="K9" s="115"/>
      <c r="L9" s="115"/>
      <c r="M9" s="115"/>
      <c r="N9" s="25">
        <v>45637</v>
      </c>
      <c r="O9" s="13" t="s">
        <v>227</v>
      </c>
      <c r="T9" s="116"/>
      <c r="U9" s="123"/>
      <c r="V9" s="123"/>
      <c r="W9" s="123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25"/>
      <c r="AM9" s="13"/>
      <c r="AP9" s="114"/>
    </row>
    <row r="10" spans="1:42" ht="19.5" x14ac:dyDescent="0.4">
      <c r="A10" s="117">
        <v>45645</v>
      </c>
      <c r="B10" s="123"/>
      <c r="C10" s="123"/>
      <c r="D10" s="123">
        <v>1</v>
      </c>
      <c r="I10" s="115"/>
      <c r="J10" s="115"/>
      <c r="K10" s="115"/>
      <c r="L10" s="115"/>
      <c r="M10" s="115"/>
      <c r="N10" s="25">
        <v>45637</v>
      </c>
      <c r="O10" s="13" t="s">
        <v>195</v>
      </c>
      <c r="T10" s="116"/>
      <c r="U10" s="123"/>
      <c r="V10" s="123"/>
      <c r="W10" s="123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25"/>
      <c r="AM10" s="13"/>
      <c r="AP10" s="114"/>
    </row>
    <row r="11" spans="1:42" ht="19.5" x14ac:dyDescent="0.4">
      <c r="A11" s="117">
        <v>45647</v>
      </c>
      <c r="B11" s="123">
        <v>4</v>
      </c>
      <c r="C11" s="123">
        <v>1</v>
      </c>
      <c r="D11" s="123">
        <v>1</v>
      </c>
      <c r="I11" s="115"/>
      <c r="J11" s="115"/>
      <c r="K11" s="115"/>
      <c r="L11" s="115"/>
      <c r="M11" s="115"/>
      <c r="N11" s="25">
        <v>45637</v>
      </c>
      <c r="O11" s="13" t="s">
        <v>195</v>
      </c>
      <c r="T11" s="116"/>
      <c r="U11" s="123"/>
      <c r="V11" s="123"/>
      <c r="W11" s="123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25"/>
      <c r="AM11" s="13"/>
      <c r="AP11" s="114"/>
    </row>
    <row r="12" spans="1:42" ht="19.5" x14ac:dyDescent="0.4">
      <c r="A12" s="117">
        <v>45648</v>
      </c>
      <c r="B12" s="123">
        <v>18</v>
      </c>
      <c r="C12" s="123">
        <v>4</v>
      </c>
      <c r="D12" s="123">
        <v>2</v>
      </c>
      <c r="G12" s="115"/>
      <c r="H12" s="115"/>
      <c r="I12" s="115"/>
      <c r="J12" s="115"/>
      <c r="K12" s="115"/>
      <c r="L12" s="115"/>
      <c r="M12" s="115"/>
      <c r="N12" s="25">
        <v>45637</v>
      </c>
      <c r="O12" s="13" t="s">
        <v>195</v>
      </c>
      <c r="T12" s="116"/>
      <c r="U12" s="123"/>
      <c r="V12" s="123"/>
      <c r="W12" s="123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25"/>
      <c r="AM12" s="13"/>
      <c r="AP12" s="114"/>
    </row>
    <row r="13" spans="1:42" ht="19.5" x14ac:dyDescent="0.4">
      <c r="A13" s="117">
        <v>45649</v>
      </c>
      <c r="B13" s="123">
        <v>7</v>
      </c>
      <c r="C13" s="123"/>
      <c r="D13" s="123">
        <v>1</v>
      </c>
      <c r="G13" s="115"/>
      <c r="H13" s="115"/>
      <c r="I13" s="115"/>
      <c r="J13" s="115"/>
      <c r="K13" s="115"/>
      <c r="L13" s="115"/>
      <c r="M13" s="115" t="s">
        <v>178</v>
      </c>
      <c r="N13" s="13">
        <f>SUBTOTAL(3,N8:N12)</f>
        <v>5</v>
      </c>
      <c r="O13" s="13">
        <f>SUBTOTAL(3,O8:O12)</f>
        <v>5</v>
      </c>
      <c r="T13" s="116"/>
      <c r="U13" s="123"/>
      <c r="V13" s="123"/>
      <c r="W13" s="123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25"/>
      <c r="AM13" s="13"/>
      <c r="AP13" s="114"/>
    </row>
    <row r="14" spans="1:42" ht="19.5" x14ac:dyDescent="0.4">
      <c r="A14" s="117">
        <v>45650</v>
      </c>
      <c r="B14" s="123">
        <v>2</v>
      </c>
      <c r="C14" s="123">
        <v>1</v>
      </c>
      <c r="D14" s="123"/>
      <c r="G14" s="115"/>
      <c r="H14" s="115"/>
      <c r="I14" s="115"/>
      <c r="J14" s="115"/>
      <c r="K14" s="115"/>
      <c r="L14" s="115"/>
      <c r="M14" s="115"/>
      <c r="N14" s="25">
        <v>45639</v>
      </c>
      <c r="O14" s="13" t="s">
        <v>207</v>
      </c>
      <c r="T14" s="116"/>
      <c r="U14" s="123"/>
      <c r="V14" s="123"/>
      <c r="W14" s="123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25"/>
      <c r="AM14" s="13"/>
      <c r="AP14" s="114"/>
    </row>
    <row r="15" spans="1:42" ht="19.5" x14ac:dyDescent="0.4">
      <c r="A15" s="117">
        <v>45651</v>
      </c>
      <c r="B15" s="123">
        <v>3</v>
      </c>
      <c r="C15" s="123">
        <v>3</v>
      </c>
      <c r="D15" s="123"/>
      <c r="G15" s="115"/>
      <c r="H15" s="115"/>
      <c r="I15" s="115"/>
      <c r="J15" s="115"/>
      <c r="K15" s="115"/>
      <c r="L15" s="115"/>
      <c r="M15" s="115"/>
      <c r="N15" s="25">
        <v>45639</v>
      </c>
      <c r="O15" s="13" t="s">
        <v>195</v>
      </c>
      <c r="T15" s="116"/>
      <c r="U15" s="123"/>
      <c r="V15" s="123"/>
      <c r="W15" s="12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25"/>
      <c r="AM15" s="13"/>
      <c r="AP15" s="114"/>
    </row>
    <row r="16" spans="1:42" ht="19.5" x14ac:dyDescent="0.4">
      <c r="A16" s="117">
        <v>45652</v>
      </c>
      <c r="B16" s="123">
        <v>1</v>
      </c>
      <c r="C16" s="123">
        <v>2</v>
      </c>
      <c r="D16" s="123">
        <v>1</v>
      </c>
      <c r="G16" s="115"/>
      <c r="H16" s="115"/>
      <c r="I16" s="115"/>
      <c r="J16" s="115"/>
      <c r="K16" s="115"/>
      <c r="L16" s="115"/>
      <c r="M16" s="115" t="s">
        <v>179</v>
      </c>
      <c r="N16" s="13">
        <f>SUBTOTAL(3,N14:N15)</f>
        <v>2</v>
      </c>
      <c r="O16" s="13">
        <f>SUBTOTAL(3,O14:O15)</f>
        <v>2</v>
      </c>
      <c r="T16" s="116"/>
      <c r="U16" s="123"/>
      <c r="V16" s="123"/>
      <c r="W16" s="123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25"/>
      <c r="AM16" s="13"/>
      <c r="AP16" s="114"/>
    </row>
    <row r="17" spans="1:42" ht="19.5" x14ac:dyDescent="0.4">
      <c r="A17" s="117">
        <v>45672</v>
      </c>
      <c r="B17" s="123">
        <v>1</v>
      </c>
      <c r="C17" s="123">
        <v>1</v>
      </c>
      <c r="D17" s="123"/>
      <c r="G17" s="115"/>
      <c r="H17" s="115"/>
      <c r="I17" s="115"/>
      <c r="J17" s="115"/>
      <c r="K17" s="115"/>
      <c r="L17" s="115"/>
      <c r="M17" s="115"/>
      <c r="N17" s="25">
        <v>45640</v>
      </c>
      <c r="O17" s="13" t="s">
        <v>207</v>
      </c>
      <c r="T17" s="116"/>
      <c r="U17" s="123"/>
      <c r="V17" s="123"/>
      <c r="W17" s="123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25"/>
      <c r="AM17" s="13"/>
      <c r="AP17" s="114"/>
    </row>
    <row r="18" spans="1:42" ht="19.5" x14ac:dyDescent="0.4">
      <c r="A18" s="117">
        <v>45309</v>
      </c>
      <c r="B18" s="123">
        <v>2</v>
      </c>
      <c r="C18" s="123">
        <v>1</v>
      </c>
      <c r="D18" s="123"/>
      <c r="G18" s="115"/>
      <c r="H18" s="115"/>
      <c r="I18" s="115"/>
      <c r="J18" s="115"/>
      <c r="K18" s="115"/>
      <c r="L18" s="115"/>
      <c r="M18" s="115"/>
      <c r="N18" s="25">
        <v>45640</v>
      </c>
      <c r="O18" s="13" t="s">
        <v>207</v>
      </c>
      <c r="T18" s="116"/>
      <c r="U18" s="123"/>
      <c r="V18" s="123"/>
      <c r="W18" s="123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25"/>
      <c r="AM18" s="13"/>
      <c r="AP18" s="114"/>
    </row>
    <row r="19" spans="1:42" ht="19.5" x14ac:dyDescent="0.4">
      <c r="A19" s="117"/>
      <c r="B19" s="123">
        <f>SUM(B3:B18)</f>
        <v>76</v>
      </c>
      <c r="C19" s="123">
        <f>SUM(C3:C18)</f>
        <v>27</v>
      </c>
      <c r="D19" s="123">
        <f>SUM(D3:D18)</f>
        <v>18</v>
      </c>
      <c r="G19" s="115"/>
      <c r="H19" s="115"/>
      <c r="I19" s="115"/>
      <c r="J19" s="115"/>
      <c r="K19" s="115"/>
      <c r="L19" s="115"/>
      <c r="M19" s="115"/>
      <c r="N19" s="25">
        <v>45640</v>
      </c>
      <c r="O19" s="13" t="s">
        <v>207</v>
      </c>
      <c r="T19" s="116"/>
      <c r="U19" s="123"/>
      <c r="V19" s="123"/>
      <c r="W19" s="123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25"/>
      <c r="AM19" s="13"/>
      <c r="AP19" s="114"/>
    </row>
    <row r="20" spans="1:42" ht="19.5" x14ac:dyDescent="0.4">
      <c r="A20" s="117"/>
      <c r="B20" s="123"/>
      <c r="C20" s="123"/>
      <c r="D20" s="123">
        <f>SUM(B19:D19)</f>
        <v>121</v>
      </c>
      <c r="N20" s="25">
        <v>45640</v>
      </c>
      <c r="O20" s="13" t="s">
        <v>207</v>
      </c>
      <c r="T20" s="116"/>
      <c r="U20" s="123"/>
      <c r="V20" s="123"/>
      <c r="W20" s="123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25"/>
      <c r="AM20" s="13"/>
      <c r="AP20" s="114"/>
    </row>
    <row r="21" spans="1:42" ht="19.5" x14ac:dyDescent="0.4">
      <c r="A21" s="117"/>
      <c r="B21" s="123"/>
      <c r="C21" s="123"/>
      <c r="D21" s="123"/>
      <c r="I21" s="115"/>
      <c r="J21" s="115"/>
      <c r="K21" s="115"/>
      <c r="L21" s="115"/>
      <c r="M21" s="115"/>
      <c r="N21" s="25">
        <v>45640</v>
      </c>
      <c r="O21" s="13" t="s">
        <v>142</v>
      </c>
      <c r="T21" s="116"/>
      <c r="U21" s="123"/>
      <c r="V21" s="123"/>
      <c r="W21" s="123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25"/>
      <c r="AM21" s="13"/>
      <c r="AP21" s="114"/>
    </row>
    <row r="22" spans="1:42" ht="19.5" x14ac:dyDescent="0.4">
      <c r="A22" s="117"/>
      <c r="B22" s="123"/>
      <c r="C22" s="123"/>
      <c r="D22" s="123"/>
      <c r="I22" s="115"/>
      <c r="J22" s="115"/>
      <c r="K22" s="115"/>
      <c r="L22" s="115"/>
      <c r="M22" s="115"/>
      <c r="N22" s="25">
        <v>45640</v>
      </c>
      <c r="O22" s="13" t="s">
        <v>195</v>
      </c>
      <c r="T22" s="116"/>
      <c r="U22" s="123"/>
      <c r="V22" s="123"/>
      <c r="W22" s="123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25"/>
      <c r="AM22" s="13"/>
      <c r="AP22" s="114"/>
    </row>
    <row r="23" spans="1:42" ht="19.5" x14ac:dyDescent="0.4">
      <c r="A23" s="117"/>
      <c r="B23" s="123"/>
      <c r="C23" s="123"/>
      <c r="D23" s="123"/>
      <c r="I23" s="115"/>
      <c r="J23" s="115"/>
      <c r="K23" s="115"/>
      <c r="L23" s="115"/>
      <c r="M23" s="115"/>
      <c r="N23" s="25">
        <v>45640</v>
      </c>
      <c r="O23" s="13" t="s">
        <v>195</v>
      </c>
      <c r="T23" s="116"/>
      <c r="U23" s="123"/>
      <c r="V23" s="123"/>
      <c r="W23" s="123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25"/>
      <c r="AM23" s="13"/>
      <c r="AP23" s="114"/>
    </row>
    <row r="24" spans="1:42" ht="19.5" x14ac:dyDescent="0.4">
      <c r="A24" s="117"/>
      <c r="B24" s="123"/>
      <c r="C24" s="123"/>
      <c r="D24" s="123"/>
      <c r="I24" s="115"/>
      <c r="J24" s="115"/>
      <c r="K24" s="115"/>
      <c r="L24" s="115"/>
      <c r="M24" s="115"/>
      <c r="N24" s="25">
        <v>45640</v>
      </c>
      <c r="O24" s="15" t="s">
        <v>227</v>
      </c>
      <c r="T24" s="116"/>
      <c r="U24" s="123"/>
      <c r="V24" s="123"/>
      <c r="W24" s="123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25"/>
      <c r="AM24" s="13"/>
      <c r="AP24" s="114"/>
    </row>
    <row r="25" spans="1:42" ht="19.5" x14ac:dyDescent="0.4">
      <c r="A25" s="117"/>
      <c r="B25" s="123"/>
      <c r="C25" s="123"/>
      <c r="D25" s="123"/>
      <c r="I25" s="115"/>
      <c r="J25" s="115"/>
      <c r="K25" s="115"/>
      <c r="L25" s="115"/>
      <c r="M25" s="115"/>
      <c r="N25" s="25">
        <v>45640</v>
      </c>
      <c r="O25" s="15" t="s">
        <v>195</v>
      </c>
      <c r="T25" s="116"/>
      <c r="U25" s="123"/>
      <c r="V25" s="123"/>
      <c r="W25" s="123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25"/>
      <c r="AM25" s="13"/>
      <c r="AP25" s="114"/>
    </row>
    <row r="26" spans="1:42" ht="19.5" x14ac:dyDescent="0.4">
      <c r="A26" s="117"/>
      <c r="B26" s="123"/>
      <c r="C26" s="123"/>
      <c r="D26" s="123"/>
      <c r="F26" s="115"/>
      <c r="G26" s="115"/>
      <c r="H26" s="115"/>
      <c r="I26" s="115"/>
      <c r="J26" s="115"/>
      <c r="K26" s="115"/>
      <c r="L26" s="115"/>
      <c r="M26" s="115"/>
      <c r="N26" s="25">
        <v>45640</v>
      </c>
      <c r="O26" s="15" t="s">
        <v>227</v>
      </c>
      <c r="T26" s="116"/>
      <c r="U26" s="123"/>
      <c r="V26" s="123"/>
      <c r="W26" s="123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25"/>
      <c r="AM26" s="13"/>
      <c r="AP26" s="114"/>
    </row>
    <row r="27" spans="1:42" ht="19.5" x14ac:dyDescent="0.4">
      <c r="A27" s="117"/>
      <c r="B27" s="123"/>
      <c r="C27" s="123"/>
      <c r="D27" s="123"/>
      <c r="F27" s="115"/>
      <c r="G27" s="115"/>
      <c r="H27" s="115"/>
      <c r="I27" s="115"/>
      <c r="J27" s="115"/>
      <c r="K27" s="115"/>
      <c r="L27" s="115"/>
      <c r="M27" s="115"/>
      <c r="N27" s="25">
        <v>45640</v>
      </c>
      <c r="O27" s="15" t="s">
        <v>195</v>
      </c>
      <c r="T27" s="116"/>
      <c r="U27" s="123"/>
      <c r="V27" s="123"/>
      <c r="W27" s="123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25"/>
      <c r="AM27" s="13"/>
      <c r="AP27" s="114"/>
    </row>
    <row r="28" spans="1:42" ht="19.5" x14ac:dyDescent="0.4">
      <c r="A28" s="117"/>
      <c r="B28" s="123"/>
      <c r="C28" s="123"/>
      <c r="D28" s="123"/>
      <c r="F28" s="115"/>
      <c r="G28" s="115"/>
      <c r="H28" s="115"/>
      <c r="I28" s="115"/>
      <c r="J28" s="115"/>
      <c r="K28" s="115"/>
      <c r="L28" s="115"/>
      <c r="M28" s="115"/>
      <c r="N28" s="25">
        <v>45640</v>
      </c>
      <c r="O28" s="15" t="s">
        <v>227</v>
      </c>
      <c r="T28" s="116"/>
      <c r="U28" s="123"/>
      <c r="V28" s="123"/>
      <c r="W28" s="123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25"/>
      <c r="AM28" s="13"/>
      <c r="AP28" s="114"/>
    </row>
    <row r="29" spans="1:42" ht="19.5" x14ac:dyDescent="0.4">
      <c r="A29" s="117"/>
      <c r="B29" s="123"/>
      <c r="C29" s="123"/>
      <c r="D29" s="123"/>
      <c r="F29" s="115"/>
      <c r="G29" s="115"/>
      <c r="H29" s="115"/>
      <c r="I29" s="115"/>
      <c r="J29" s="115"/>
      <c r="K29" s="115"/>
      <c r="L29" s="115"/>
      <c r="M29" s="115"/>
      <c r="N29" s="25">
        <v>45640</v>
      </c>
      <c r="O29" s="15" t="s">
        <v>195</v>
      </c>
      <c r="T29" s="116"/>
      <c r="U29" s="123"/>
      <c r="V29" s="123"/>
      <c r="W29" s="123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25"/>
      <c r="AM29" s="13"/>
      <c r="AP29" s="114"/>
    </row>
    <row r="30" spans="1:42" ht="19.5" x14ac:dyDescent="0.4">
      <c r="A30" s="117"/>
      <c r="B30" s="123"/>
      <c r="C30" s="123"/>
      <c r="D30" s="123"/>
      <c r="F30" s="115"/>
      <c r="G30" s="115"/>
      <c r="H30" s="115"/>
      <c r="I30" s="115"/>
      <c r="J30" s="115"/>
      <c r="K30" s="115"/>
      <c r="L30" s="115"/>
      <c r="M30" s="115"/>
      <c r="N30" s="25">
        <v>45640</v>
      </c>
      <c r="O30" s="15" t="s">
        <v>195</v>
      </c>
      <c r="T30" s="116"/>
      <c r="U30" s="123"/>
      <c r="V30" s="123"/>
      <c r="W30" s="123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25"/>
      <c r="AM30" s="13"/>
      <c r="AP30" s="114"/>
    </row>
    <row r="31" spans="1:42" ht="19.5" x14ac:dyDescent="0.4">
      <c r="A31" s="117"/>
      <c r="B31" s="123"/>
      <c r="C31" s="123"/>
      <c r="D31" s="123"/>
      <c r="F31" s="115"/>
      <c r="G31" s="115"/>
      <c r="H31" s="115"/>
      <c r="I31" s="115"/>
      <c r="J31" s="115"/>
      <c r="K31" s="115"/>
      <c r="L31" s="115"/>
      <c r="M31" s="115"/>
      <c r="N31" s="25">
        <v>45640</v>
      </c>
      <c r="O31" s="15" t="s">
        <v>227</v>
      </c>
      <c r="T31" s="116"/>
      <c r="U31" s="123"/>
      <c r="V31" s="123"/>
      <c r="W31" s="123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25"/>
      <c r="AM31" s="13"/>
      <c r="AP31" s="114"/>
    </row>
    <row r="32" spans="1:42" ht="19.5" x14ac:dyDescent="0.4">
      <c r="A32" s="117"/>
      <c r="B32" s="123"/>
      <c r="C32" s="123"/>
      <c r="D32" s="123"/>
      <c r="F32" s="115"/>
      <c r="G32" s="115"/>
      <c r="H32" s="115"/>
      <c r="I32" s="115"/>
      <c r="J32" s="115"/>
      <c r="K32" s="115"/>
      <c r="L32" s="115"/>
      <c r="M32" s="115"/>
      <c r="N32" s="25">
        <v>45640</v>
      </c>
      <c r="O32" s="105" t="s">
        <v>207</v>
      </c>
      <c r="T32" s="116"/>
      <c r="U32" s="123"/>
      <c r="V32" s="123"/>
      <c r="W32" s="123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25"/>
      <c r="AM32" s="13"/>
      <c r="AP32" s="114"/>
    </row>
    <row r="33" spans="1:42" ht="19.5" x14ac:dyDescent="0.4">
      <c r="A33" s="117"/>
      <c r="B33" s="123"/>
      <c r="C33" s="123"/>
      <c r="D33" s="123"/>
      <c r="N33" s="25">
        <v>45640</v>
      </c>
      <c r="O33" s="25" t="s">
        <v>195</v>
      </c>
      <c r="T33" s="117"/>
      <c r="U33" s="123"/>
      <c r="V33" s="123"/>
      <c r="W33" s="123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 t="s">
        <v>149</v>
      </c>
      <c r="AL33" s="13">
        <f>SUBTOTAL(3,AL2:AL2)</f>
        <v>1</v>
      </c>
      <c r="AM33" s="13">
        <f>SUBTOTAL(3,AM2:AM2)</f>
        <v>1</v>
      </c>
      <c r="AP33" s="114"/>
    </row>
    <row r="34" spans="1:42" ht="19.5" x14ac:dyDescent="0.4">
      <c r="A34" s="117"/>
      <c r="B34" s="123"/>
      <c r="C34" s="123"/>
      <c r="D34" s="123"/>
      <c r="G34" s="115"/>
      <c r="H34" s="115"/>
      <c r="I34" s="115"/>
      <c r="J34" s="115"/>
      <c r="K34" s="115"/>
      <c r="L34" s="115"/>
      <c r="M34" s="115"/>
      <c r="N34" s="25">
        <v>45640</v>
      </c>
      <c r="O34" s="25" t="s">
        <v>195</v>
      </c>
      <c r="T34" s="117"/>
      <c r="U34" s="123"/>
      <c r="V34" s="123"/>
      <c r="W34" s="123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3"/>
      <c r="AM34" s="13"/>
      <c r="AP34" s="114"/>
    </row>
    <row r="35" spans="1:42" ht="19.5" x14ac:dyDescent="0.4">
      <c r="A35" s="117"/>
      <c r="B35" s="123"/>
      <c r="C35" s="123"/>
      <c r="D35" s="123"/>
      <c r="G35" s="115"/>
      <c r="H35" s="115"/>
      <c r="I35" s="115"/>
      <c r="J35" s="115"/>
      <c r="K35" s="115"/>
      <c r="L35" s="115"/>
      <c r="M35" s="115"/>
      <c r="N35" s="25">
        <v>45640</v>
      </c>
      <c r="O35" s="25" t="s">
        <v>195</v>
      </c>
      <c r="T35" s="117"/>
      <c r="U35" s="123"/>
      <c r="V35" s="123"/>
      <c r="W35" s="123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3"/>
      <c r="AM35" s="13"/>
      <c r="AP35" s="114"/>
    </row>
    <row r="36" spans="1:42" ht="19.5" x14ac:dyDescent="0.4">
      <c r="A36" s="117"/>
      <c r="B36" s="123"/>
      <c r="C36" s="123"/>
      <c r="D36" s="123"/>
      <c r="G36" s="115"/>
      <c r="H36" s="115"/>
      <c r="I36" s="115"/>
      <c r="J36" s="115"/>
      <c r="K36" s="115"/>
      <c r="L36" s="115"/>
      <c r="M36" s="115"/>
      <c r="N36" s="25">
        <v>45640</v>
      </c>
      <c r="O36" s="25" t="s">
        <v>195</v>
      </c>
      <c r="T36" s="117"/>
      <c r="U36" s="123"/>
      <c r="V36" s="123"/>
      <c r="W36" s="123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3"/>
      <c r="AM36" s="13"/>
      <c r="AP36" s="114"/>
    </row>
    <row r="37" spans="1:42" ht="19.5" x14ac:dyDescent="0.4">
      <c r="A37" s="117"/>
      <c r="B37" s="123"/>
      <c r="C37" s="123"/>
      <c r="D37" s="123"/>
      <c r="N37" s="25">
        <v>45640</v>
      </c>
      <c r="O37" s="13" t="s">
        <v>195</v>
      </c>
      <c r="T37" s="117"/>
      <c r="U37" s="123"/>
      <c r="V37" s="123"/>
      <c r="W37" s="123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3"/>
      <c r="AM37" s="13"/>
      <c r="AP37" s="114"/>
    </row>
    <row r="38" spans="1:42" ht="19.5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115"/>
      <c r="N38" s="25">
        <v>45640</v>
      </c>
      <c r="O38" s="13" t="s">
        <v>195</v>
      </c>
      <c r="T38" s="117"/>
      <c r="U38" s="123"/>
      <c r="V38" s="123"/>
      <c r="W38" s="123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3"/>
      <c r="AM38" s="13"/>
      <c r="AP38" s="114"/>
    </row>
    <row r="39" spans="1:42" ht="19.5" x14ac:dyDescent="0.4">
      <c r="A39" s="117"/>
      <c r="B39" s="123"/>
      <c r="C39" s="123"/>
      <c r="D39" s="123"/>
      <c r="G39" s="115"/>
      <c r="H39" s="115"/>
      <c r="I39" s="115"/>
      <c r="J39" s="115"/>
      <c r="K39" s="115"/>
      <c r="L39" s="115"/>
      <c r="M39" s="115"/>
      <c r="N39" s="25">
        <v>45640</v>
      </c>
      <c r="O39" s="13" t="s">
        <v>195</v>
      </c>
      <c r="T39" s="117"/>
      <c r="U39" s="123"/>
      <c r="V39" s="123"/>
      <c r="W39" s="123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3"/>
      <c r="AM39" s="13"/>
      <c r="AP39" s="114"/>
    </row>
    <row r="40" spans="1:42" ht="19.5" x14ac:dyDescent="0.4">
      <c r="A40" s="117"/>
      <c r="B40" s="123"/>
      <c r="C40" s="123"/>
      <c r="D40" s="123"/>
      <c r="G40" s="115"/>
      <c r="H40" s="115"/>
      <c r="I40" s="115"/>
      <c r="J40" s="115"/>
      <c r="K40" s="115"/>
      <c r="L40" s="115"/>
      <c r="M40" s="115"/>
      <c r="N40" s="25">
        <v>45640</v>
      </c>
      <c r="O40" s="13" t="s">
        <v>227</v>
      </c>
      <c r="T40" s="117"/>
      <c r="U40" s="123"/>
      <c r="V40" s="123"/>
      <c r="W40" s="123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3"/>
      <c r="AM40" s="13"/>
      <c r="AP40" s="114"/>
    </row>
    <row r="41" spans="1:42" ht="19.5" x14ac:dyDescent="0.4">
      <c r="A41" s="117"/>
      <c r="B41" s="123"/>
      <c r="C41" s="123"/>
      <c r="D41" s="123"/>
      <c r="G41" s="115"/>
      <c r="H41" s="115"/>
      <c r="I41" s="115"/>
      <c r="J41" s="115"/>
      <c r="K41" s="115"/>
      <c r="L41" s="115"/>
      <c r="M41" s="115"/>
      <c r="N41" s="25">
        <v>45640</v>
      </c>
      <c r="O41" s="13" t="s">
        <v>227</v>
      </c>
      <c r="T41" s="117"/>
      <c r="U41" s="123"/>
      <c r="V41" s="123"/>
      <c r="W41" s="123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3"/>
      <c r="AM41" s="13"/>
      <c r="AP41" s="114"/>
    </row>
    <row r="42" spans="1:42" ht="19.5" x14ac:dyDescent="0.4">
      <c r="A42" s="117"/>
      <c r="B42" s="123"/>
      <c r="C42" s="123"/>
      <c r="D42" s="123"/>
      <c r="G42" s="115"/>
      <c r="H42" s="115"/>
      <c r="I42" s="115"/>
      <c r="J42" s="115"/>
      <c r="K42" s="115"/>
      <c r="L42" s="115"/>
      <c r="M42" s="115"/>
      <c r="N42" s="25">
        <v>45640</v>
      </c>
      <c r="O42" s="13" t="s">
        <v>207</v>
      </c>
      <c r="T42" s="117"/>
      <c r="U42" s="123"/>
      <c r="V42" s="123"/>
      <c r="W42" s="123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3"/>
      <c r="AM42" s="13"/>
      <c r="AP42" s="114"/>
    </row>
    <row r="43" spans="1:42" ht="19.5" x14ac:dyDescent="0.4">
      <c r="A43" s="117"/>
      <c r="B43" s="123"/>
      <c r="C43" s="123"/>
      <c r="D43" s="123"/>
      <c r="G43" s="115"/>
      <c r="H43" s="115"/>
      <c r="I43" s="115"/>
      <c r="J43" s="115"/>
      <c r="K43" s="115"/>
      <c r="L43" s="115"/>
      <c r="M43" s="115" t="s">
        <v>357</v>
      </c>
      <c r="N43" s="13">
        <f>SUBTOTAL(3,N17:N42)</f>
        <v>26</v>
      </c>
      <c r="O43" s="13">
        <f>SUBTOTAL(3,O17:O42)</f>
        <v>26</v>
      </c>
      <c r="T43" s="117"/>
      <c r="U43" s="123"/>
      <c r="V43" s="123"/>
      <c r="W43" s="123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3"/>
      <c r="AM43" s="13"/>
      <c r="AP43" s="114"/>
    </row>
    <row r="44" spans="1:42" ht="19.5" x14ac:dyDescent="0.4">
      <c r="A44" s="117"/>
      <c r="B44" s="123"/>
      <c r="C44" s="123"/>
      <c r="D44" s="123"/>
      <c r="F44" s="115"/>
      <c r="G44" s="115"/>
      <c r="H44" s="115"/>
      <c r="I44" s="115"/>
      <c r="J44" s="115"/>
      <c r="K44" s="115"/>
      <c r="L44" s="115"/>
      <c r="M44" s="115"/>
      <c r="N44" s="25">
        <v>45642</v>
      </c>
      <c r="O44" s="13" t="s">
        <v>207</v>
      </c>
      <c r="T44" s="117"/>
      <c r="U44" s="123"/>
      <c r="V44" s="123"/>
      <c r="W44" s="123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3"/>
      <c r="AM44" s="13"/>
      <c r="AP44" s="114"/>
    </row>
    <row r="45" spans="1:42" ht="19.5" x14ac:dyDescent="0.4">
      <c r="A45" s="117"/>
      <c r="B45" s="123"/>
      <c r="C45" s="123"/>
      <c r="D45" s="123"/>
      <c r="F45" s="115"/>
      <c r="G45" s="115"/>
      <c r="H45" s="115"/>
      <c r="I45" s="115"/>
      <c r="J45" s="115"/>
      <c r="K45" s="115"/>
      <c r="L45" s="115"/>
      <c r="M45" s="115"/>
      <c r="N45" s="25">
        <v>45642</v>
      </c>
      <c r="O45" s="13" t="s">
        <v>195</v>
      </c>
      <c r="T45" s="117"/>
      <c r="U45" s="123"/>
      <c r="V45" s="123"/>
      <c r="W45" s="123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3"/>
      <c r="AM45" s="13"/>
      <c r="AP45" s="114"/>
    </row>
    <row r="46" spans="1:42" ht="19.5" x14ac:dyDescent="0.4">
      <c r="A46" s="117"/>
      <c r="B46" s="123"/>
      <c r="C46" s="123"/>
      <c r="D46" s="123"/>
      <c r="F46" s="115"/>
      <c r="G46" s="115"/>
      <c r="H46" s="115"/>
      <c r="I46" s="115"/>
      <c r="J46" s="115"/>
      <c r="K46" s="115"/>
      <c r="L46" s="115"/>
      <c r="M46" s="115"/>
      <c r="N46" s="25">
        <v>45642</v>
      </c>
      <c r="O46" s="13" t="s">
        <v>195</v>
      </c>
      <c r="T46" s="117"/>
      <c r="U46" s="123"/>
      <c r="V46" s="123"/>
      <c r="W46" s="123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3"/>
      <c r="AM46" s="13"/>
      <c r="AP46" s="114"/>
    </row>
    <row r="47" spans="1:42" ht="19.5" x14ac:dyDescent="0.4">
      <c r="A47" s="117"/>
      <c r="B47" s="123"/>
      <c r="C47" s="123"/>
      <c r="D47" s="123"/>
      <c r="F47" s="115"/>
      <c r="G47" s="115"/>
      <c r="H47" s="115"/>
      <c r="I47" s="115"/>
      <c r="J47" s="115"/>
      <c r="K47" s="115"/>
      <c r="L47" s="115"/>
      <c r="M47" s="115"/>
      <c r="N47" s="25">
        <v>45642</v>
      </c>
      <c r="O47" s="13" t="s">
        <v>227</v>
      </c>
      <c r="T47" s="117"/>
      <c r="U47" s="123"/>
      <c r="V47" s="123"/>
      <c r="W47" s="123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3"/>
      <c r="AM47" s="13"/>
      <c r="AP47" s="114"/>
    </row>
    <row r="48" spans="1:42" ht="19.5" x14ac:dyDescent="0.4">
      <c r="A48" s="117"/>
      <c r="B48" s="123"/>
      <c r="C48" s="123"/>
      <c r="D48" s="123"/>
      <c r="F48" s="115"/>
      <c r="G48" s="115"/>
      <c r="H48" s="115"/>
      <c r="I48" s="115"/>
      <c r="J48" s="115"/>
      <c r="K48" s="115"/>
      <c r="L48" s="115"/>
      <c r="M48" s="115"/>
      <c r="N48" s="25">
        <v>45642</v>
      </c>
      <c r="O48" s="25" t="s">
        <v>195</v>
      </c>
      <c r="T48" s="117"/>
      <c r="U48" s="123"/>
      <c r="V48" s="123"/>
      <c r="W48" s="123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3"/>
      <c r="AM48" s="13"/>
      <c r="AP48" s="114"/>
    </row>
    <row r="49" spans="1:42" ht="19.5" x14ac:dyDescent="0.4">
      <c r="A49" s="117"/>
      <c r="B49" s="123"/>
      <c r="C49" s="123"/>
      <c r="D49" s="123"/>
      <c r="F49" s="115"/>
      <c r="G49" s="115"/>
      <c r="H49" s="115"/>
      <c r="I49" s="115"/>
      <c r="J49" s="115"/>
      <c r="K49" s="115"/>
      <c r="L49" s="115"/>
      <c r="M49" s="115"/>
      <c r="N49" s="25">
        <v>45642</v>
      </c>
      <c r="O49" s="15" t="s">
        <v>207</v>
      </c>
      <c r="T49" s="117"/>
      <c r="U49" s="123"/>
      <c r="V49" s="123"/>
      <c r="W49" s="123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3"/>
      <c r="AM49" s="13"/>
      <c r="AP49" s="114"/>
    </row>
    <row r="50" spans="1:42" ht="19.5" x14ac:dyDescent="0.4">
      <c r="A50" s="117"/>
      <c r="B50" s="123"/>
      <c r="C50" s="123"/>
      <c r="D50" s="123"/>
      <c r="F50" s="115"/>
      <c r="G50" s="115"/>
      <c r="H50" s="115"/>
      <c r="I50" s="115"/>
      <c r="J50" s="115"/>
      <c r="K50" s="115"/>
      <c r="L50" s="115"/>
      <c r="M50" s="115"/>
      <c r="N50" s="25">
        <v>45642</v>
      </c>
      <c r="O50" s="15" t="s">
        <v>207</v>
      </c>
      <c r="T50" s="117"/>
      <c r="U50" s="123"/>
      <c r="V50" s="123"/>
      <c r="W50" s="123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3"/>
      <c r="AM50" s="13"/>
      <c r="AP50" s="114"/>
    </row>
    <row r="51" spans="1:42" ht="19.5" x14ac:dyDescent="0.4">
      <c r="A51" s="117"/>
      <c r="B51" s="123"/>
      <c r="C51" s="123"/>
      <c r="D51" s="123"/>
      <c r="F51" s="115"/>
      <c r="G51" s="115"/>
      <c r="H51" s="115"/>
      <c r="I51" s="115"/>
      <c r="J51" s="115"/>
      <c r="K51" s="115"/>
      <c r="L51" s="115"/>
      <c r="M51" s="115"/>
      <c r="N51" s="25">
        <v>45642</v>
      </c>
      <c r="O51" s="15" t="s">
        <v>227</v>
      </c>
      <c r="T51" s="117"/>
      <c r="U51" s="123"/>
      <c r="V51" s="123"/>
      <c r="W51" s="123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3"/>
      <c r="AM51" s="13"/>
      <c r="AP51" s="114"/>
    </row>
    <row r="52" spans="1:42" ht="19.5" x14ac:dyDescent="0.4">
      <c r="A52" s="117"/>
      <c r="B52" s="123"/>
      <c r="C52" s="123"/>
      <c r="D52" s="123"/>
      <c r="N52" s="25">
        <v>45642</v>
      </c>
      <c r="O52" s="15" t="s">
        <v>195</v>
      </c>
      <c r="T52" s="117"/>
      <c r="U52" s="123"/>
      <c r="V52" s="123"/>
      <c r="W52" s="123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25">
        <v>45263</v>
      </c>
      <c r="AM52" s="13" t="s">
        <v>162</v>
      </c>
      <c r="AP52" s="114"/>
    </row>
    <row r="53" spans="1:42" ht="19.5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25">
        <v>45642</v>
      </c>
      <c r="O53" s="15" t="s">
        <v>195</v>
      </c>
      <c r="T53" s="117"/>
      <c r="U53" s="123"/>
      <c r="V53" s="123"/>
      <c r="W53" s="123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25"/>
      <c r="AM53" s="13"/>
      <c r="AP53" s="114"/>
    </row>
    <row r="54" spans="1:42" ht="19.5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 t="s">
        <v>180</v>
      </c>
      <c r="N54" s="13">
        <f>SUBTOTAL(3,N44:N53)</f>
        <v>10</v>
      </c>
      <c r="O54" s="15">
        <f>SUBTOTAL(3,O44:O53)</f>
        <v>10</v>
      </c>
      <c r="T54" s="117"/>
      <c r="U54" s="123"/>
      <c r="V54" s="123"/>
      <c r="W54" s="123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25"/>
      <c r="AM54" s="13"/>
      <c r="AP54" s="114"/>
    </row>
    <row r="55" spans="1:42" ht="19.5" x14ac:dyDescent="0.4">
      <c r="A55" s="117"/>
      <c r="B55" s="123"/>
      <c r="C55" s="123"/>
      <c r="D55" s="123"/>
      <c r="G55" s="115"/>
      <c r="H55" s="115"/>
      <c r="I55" s="115"/>
      <c r="J55" s="115"/>
      <c r="K55" s="115"/>
      <c r="L55" s="115"/>
      <c r="M55" s="115"/>
      <c r="N55" s="25">
        <v>45643</v>
      </c>
      <c r="O55" s="15" t="s">
        <v>195</v>
      </c>
      <c r="T55" s="117"/>
      <c r="U55" s="123"/>
      <c r="V55" s="123"/>
      <c r="W55" s="123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25"/>
      <c r="AM55" s="13"/>
      <c r="AP55" s="114"/>
    </row>
    <row r="56" spans="1:42" ht="19.5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115"/>
      <c r="M56" s="115"/>
      <c r="N56" s="25">
        <v>45643</v>
      </c>
      <c r="O56" s="15" t="s">
        <v>195</v>
      </c>
      <c r="T56" s="117"/>
      <c r="U56" s="123"/>
      <c r="V56" s="123"/>
      <c r="W56" s="123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25"/>
      <c r="AM56" s="13"/>
      <c r="AP56" s="114"/>
    </row>
    <row r="57" spans="1:42" ht="19.5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25">
        <v>45643</v>
      </c>
      <c r="O57" s="15" t="s">
        <v>195</v>
      </c>
      <c r="T57" s="117"/>
      <c r="U57" s="123"/>
      <c r="V57" s="123"/>
      <c r="W57" s="123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25"/>
      <c r="AM57" s="13"/>
      <c r="AP57" s="114"/>
    </row>
    <row r="58" spans="1:42" ht="19.5" x14ac:dyDescent="0.4">
      <c r="A58" s="117"/>
      <c r="B58" s="123"/>
      <c r="C58" s="123"/>
      <c r="D58" s="123"/>
      <c r="N58" s="25">
        <v>45643</v>
      </c>
      <c r="O58" s="15" t="s">
        <v>195</v>
      </c>
      <c r="T58" s="117"/>
      <c r="U58" s="123"/>
      <c r="V58" s="123"/>
      <c r="W58" s="123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 t="s">
        <v>150</v>
      </c>
      <c r="AL58" s="13">
        <f>SUBTOTAL(3,AL52:AL52)</f>
        <v>1</v>
      </c>
      <c r="AM58" s="13">
        <f>SUBTOTAL(3,AM52:AM52)</f>
        <v>1</v>
      </c>
      <c r="AP58" s="114"/>
    </row>
    <row r="59" spans="1:42" ht="19.5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25">
        <v>45643</v>
      </c>
      <c r="O59" s="13" t="s">
        <v>195</v>
      </c>
      <c r="T59" s="117"/>
      <c r="U59" s="123"/>
      <c r="V59" s="123"/>
      <c r="W59" s="123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3"/>
      <c r="AM59" s="13"/>
      <c r="AP59" s="114"/>
    </row>
    <row r="60" spans="1:42" ht="19.5" x14ac:dyDescent="0.4">
      <c r="A60" s="117"/>
      <c r="B60" s="123"/>
      <c r="C60" s="123"/>
      <c r="D60" s="123"/>
      <c r="N60" s="25">
        <v>45643</v>
      </c>
      <c r="O60" s="15" t="s">
        <v>227</v>
      </c>
      <c r="T60" s="117"/>
      <c r="U60" s="123"/>
      <c r="V60" s="123"/>
      <c r="W60" s="123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25">
        <v>45264</v>
      </c>
      <c r="AM60" s="13" t="s">
        <v>162</v>
      </c>
      <c r="AP60" s="114"/>
    </row>
    <row r="61" spans="1:42" ht="19.5" x14ac:dyDescent="0.4">
      <c r="A61" s="117"/>
      <c r="B61" s="123"/>
      <c r="C61" s="123"/>
      <c r="D61" s="123"/>
      <c r="L61" s="115"/>
      <c r="M61" s="115"/>
      <c r="N61" s="25">
        <v>45643</v>
      </c>
      <c r="O61" s="15" t="s">
        <v>195</v>
      </c>
      <c r="T61" s="117"/>
      <c r="U61" s="123"/>
      <c r="V61" s="123"/>
      <c r="W61" s="123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25"/>
      <c r="AM61" s="13"/>
      <c r="AP61" s="114"/>
    </row>
    <row r="62" spans="1:42" ht="19.5" x14ac:dyDescent="0.4">
      <c r="A62" s="117"/>
      <c r="B62" s="123"/>
      <c r="C62" s="123"/>
      <c r="D62" s="123"/>
      <c r="L62" s="115"/>
      <c r="M62" s="115" t="s">
        <v>358</v>
      </c>
      <c r="N62" s="13">
        <f>SUBTOTAL(3,N55:N61)</f>
        <v>7</v>
      </c>
      <c r="O62" s="15">
        <f>SUBTOTAL(3,O55:O61)</f>
        <v>7</v>
      </c>
      <c r="T62" s="117"/>
      <c r="U62" s="123"/>
      <c r="V62" s="123"/>
      <c r="W62" s="123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25"/>
      <c r="AM62" s="13"/>
      <c r="AP62" s="114"/>
    </row>
    <row r="63" spans="1:42" ht="19.5" x14ac:dyDescent="0.4">
      <c r="A63" s="117"/>
      <c r="B63" s="123"/>
      <c r="C63" s="123"/>
      <c r="D63" s="123"/>
      <c r="N63" s="25">
        <v>45644</v>
      </c>
      <c r="O63" s="15" t="s">
        <v>195</v>
      </c>
      <c r="T63" s="117"/>
      <c r="U63" s="123"/>
      <c r="V63" s="123"/>
      <c r="W63" s="123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 t="s">
        <v>154</v>
      </c>
      <c r="AL63" s="13">
        <f>SUBTOTAL(3,AL60:AL60)</f>
        <v>1</v>
      </c>
      <c r="AM63" s="13">
        <f>SUBTOTAL(3,AM60:AM60)</f>
        <v>1</v>
      </c>
      <c r="AP63" s="114"/>
    </row>
    <row r="64" spans="1:42" ht="19.5" x14ac:dyDescent="0.4">
      <c r="A64" s="117"/>
      <c r="B64" s="123"/>
      <c r="C64" s="123"/>
      <c r="D64" s="123"/>
      <c r="N64" s="25">
        <v>45644</v>
      </c>
      <c r="O64" s="15" t="s">
        <v>195</v>
      </c>
      <c r="T64" s="117"/>
      <c r="U64" s="123"/>
      <c r="V64" s="123"/>
      <c r="W64" s="123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25">
        <v>45265</v>
      </c>
      <c r="AM64" s="13" t="s">
        <v>162</v>
      </c>
      <c r="AP64" s="114"/>
    </row>
    <row r="65" spans="1:42" ht="19.5" x14ac:dyDescent="0.4">
      <c r="A65" s="117"/>
      <c r="B65" s="123"/>
      <c r="C65" s="123"/>
      <c r="D65" s="123"/>
      <c r="N65" s="25">
        <v>45644</v>
      </c>
      <c r="O65" s="13" t="s">
        <v>195</v>
      </c>
      <c r="T65" s="117"/>
      <c r="U65" s="123"/>
      <c r="V65" s="123"/>
      <c r="W65" s="123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25">
        <v>45265</v>
      </c>
      <c r="AM65" s="25" t="s">
        <v>162</v>
      </c>
      <c r="AP65" s="114"/>
    </row>
    <row r="66" spans="1:4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45644</v>
      </c>
      <c r="O66" s="13" t="s">
        <v>195</v>
      </c>
      <c r="T66" s="117"/>
      <c r="U66" s="123"/>
      <c r="V66" s="123"/>
      <c r="W66" s="123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25"/>
      <c r="AM66" s="25"/>
      <c r="AP66" s="114"/>
    </row>
    <row r="67" spans="1:42" ht="19.5" x14ac:dyDescent="0.4">
      <c r="A67" s="117"/>
      <c r="B67" s="123"/>
      <c r="C67" s="123"/>
      <c r="D67" s="123"/>
      <c r="N67" s="25">
        <v>45644</v>
      </c>
      <c r="O67" s="13" t="s">
        <v>207</v>
      </c>
      <c r="T67" s="117"/>
      <c r="U67" s="123"/>
      <c r="V67" s="123"/>
      <c r="W67" s="123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25">
        <v>45265</v>
      </c>
      <c r="AM67" s="13" t="s">
        <v>162</v>
      </c>
      <c r="AP67" s="114"/>
    </row>
    <row r="68" spans="1:42" ht="19.5" x14ac:dyDescent="0.4">
      <c r="A68" s="117"/>
      <c r="B68" s="123"/>
      <c r="C68" s="123"/>
      <c r="D68" s="123"/>
      <c r="N68" s="25">
        <v>45644</v>
      </c>
      <c r="O68" s="13" t="s">
        <v>142</v>
      </c>
      <c r="T68" s="117"/>
      <c r="U68" s="123"/>
      <c r="V68" s="123"/>
      <c r="W68" s="123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25">
        <v>45265</v>
      </c>
      <c r="AM68" s="13" t="s">
        <v>162</v>
      </c>
      <c r="AP68" s="114"/>
    </row>
    <row r="69" spans="1:42" ht="19.5" x14ac:dyDescent="0.4">
      <c r="A69" s="117"/>
      <c r="B69" s="123"/>
      <c r="C69" s="123"/>
      <c r="D69" s="123"/>
      <c r="G69" s="115"/>
      <c r="H69" s="115"/>
      <c r="I69" s="115"/>
      <c r="J69" s="115"/>
      <c r="K69" s="115"/>
      <c r="L69" s="115"/>
      <c r="M69" s="115"/>
      <c r="N69" s="25">
        <v>45644</v>
      </c>
      <c r="O69" s="13" t="s">
        <v>195</v>
      </c>
      <c r="T69" s="117"/>
      <c r="U69" s="123"/>
      <c r="V69" s="123"/>
      <c r="W69" s="123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25"/>
      <c r="AM69" s="13"/>
      <c r="AP69" s="114"/>
    </row>
    <row r="70" spans="1:42" ht="19.5" x14ac:dyDescent="0.4">
      <c r="A70" s="117"/>
      <c r="B70" s="123"/>
      <c r="C70" s="123"/>
      <c r="D70" s="123"/>
      <c r="N70" s="25">
        <v>45644</v>
      </c>
      <c r="O70" s="13" t="s">
        <v>227</v>
      </c>
      <c r="T70" s="117"/>
      <c r="U70" s="123"/>
      <c r="V70" s="123"/>
      <c r="W70" s="123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25">
        <v>45265</v>
      </c>
      <c r="AM70" s="13" t="s">
        <v>163</v>
      </c>
      <c r="AP70" s="114"/>
    </row>
    <row r="71" spans="1:42" ht="19.5" x14ac:dyDescent="0.4">
      <c r="A71" s="117"/>
      <c r="B71" s="123"/>
      <c r="C71" s="123"/>
      <c r="D71" s="123"/>
      <c r="N71" s="25">
        <v>45644</v>
      </c>
      <c r="O71" s="15" t="s">
        <v>207</v>
      </c>
      <c r="T71" s="117"/>
      <c r="U71" s="123"/>
      <c r="V71" s="123"/>
      <c r="W71" s="123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 t="s">
        <v>155</v>
      </c>
      <c r="AL71" s="13">
        <f>SUBTOTAL(3,AL64:AL70)</f>
        <v>5</v>
      </c>
      <c r="AM71" s="13">
        <f>SUBTOTAL(3,AM64:AM70)</f>
        <v>5</v>
      </c>
      <c r="AP71" s="114"/>
    </row>
    <row r="72" spans="1:42" ht="19.5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115"/>
      <c r="N72" s="25">
        <v>45644</v>
      </c>
      <c r="O72" s="15" t="s">
        <v>195</v>
      </c>
      <c r="T72" s="117"/>
      <c r="U72" s="123"/>
      <c r="V72" s="123"/>
      <c r="W72" s="123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3"/>
      <c r="AM72" s="13"/>
      <c r="AP72" s="114"/>
    </row>
    <row r="73" spans="1:42" ht="19.5" x14ac:dyDescent="0.4">
      <c r="A73" s="117"/>
      <c r="B73" s="123"/>
      <c r="C73" s="123"/>
      <c r="D73" s="123"/>
      <c r="F73" s="115"/>
      <c r="G73" s="115"/>
      <c r="H73" s="115"/>
      <c r="I73" s="115"/>
      <c r="J73" s="115"/>
      <c r="K73" s="115"/>
      <c r="L73" s="115"/>
      <c r="M73" s="115"/>
      <c r="N73" s="25">
        <v>45644</v>
      </c>
      <c r="O73" s="15" t="s">
        <v>195</v>
      </c>
      <c r="T73" s="117"/>
      <c r="U73" s="123"/>
      <c r="V73" s="123"/>
      <c r="W73" s="123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3"/>
      <c r="AM73" s="13"/>
      <c r="AP73" s="114"/>
    </row>
    <row r="74" spans="1:42" ht="19.5" x14ac:dyDescent="0.4">
      <c r="A74" s="117"/>
      <c r="B74" s="123"/>
      <c r="C74" s="123"/>
      <c r="D74" s="123"/>
      <c r="F74" s="115"/>
      <c r="G74" s="115"/>
      <c r="H74" s="115"/>
      <c r="I74" s="115"/>
      <c r="J74" s="115"/>
      <c r="K74" s="115"/>
      <c r="L74" s="115"/>
      <c r="M74" s="115"/>
      <c r="N74" s="25">
        <v>45644</v>
      </c>
      <c r="O74" s="15" t="s">
        <v>227</v>
      </c>
      <c r="T74" s="117"/>
      <c r="U74" s="123"/>
      <c r="V74" s="123"/>
      <c r="W74" s="123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3"/>
      <c r="AM74" s="13"/>
      <c r="AP74" s="114"/>
    </row>
    <row r="75" spans="1:42" ht="19.5" x14ac:dyDescent="0.4">
      <c r="A75" s="117"/>
      <c r="B75" s="123"/>
      <c r="C75" s="123"/>
      <c r="D75" s="123"/>
      <c r="F75" s="115"/>
      <c r="G75" s="115"/>
      <c r="H75" s="115"/>
      <c r="I75" s="115"/>
      <c r="J75" s="115"/>
      <c r="K75" s="115"/>
      <c r="L75" s="115"/>
      <c r="M75" s="115" t="s">
        <v>181</v>
      </c>
      <c r="N75" s="13">
        <f>SUBTOTAL(3,N63:N74)</f>
        <v>12</v>
      </c>
      <c r="O75" s="15">
        <f>SUBTOTAL(3,O63:O74)</f>
        <v>12</v>
      </c>
      <c r="T75" s="117"/>
      <c r="U75" s="123"/>
      <c r="V75" s="123"/>
      <c r="W75" s="123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3"/>
      <c r="AM75" s="13"/>
      <c r="AP75" s="114"/>
    </row>
    <row r="76" spans="1:42" ht="19.5" x14ac:dyDescent="0.4">
      <c r="A76" s="117"/>
      <c r="B76" s="123"/>
      <c r="C76" s="123"/>
      <c r="D76" s="123"/>
      <c r="F76" s="115"/>
      <c r="G76" s="115"/>
      <c r="H76" s="115"/>
      <c r="I76" s="115"/>
      <c r="J76" s="115"/>
      <c r="K76" s="115"/>
      <c r="L76" s="115"/>
      <c r="M76" s="115"/>
      <c r="N76" s="25">
        <v>45645</v>
      </c>
      <c r="O76" s="15" t="s">
        <v>227</v>
      </c>
      <c r="T76" s="117"/>
      <c r="U76" s="123"/>
      <c r="V76" s="123"/>
      <c r="W76" s="123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3"/>
      <c r="AM76" s="13"/>
      <c r="AP76" s="114"/>
    </row>
    <row r="77" spans="1:42" ht="19.5" x14ac:dyDescent="0.4">
      <c r="A77" s="117"/>
      <c r="B77" s="123"/>
      <c r="C77" s="123"/>
      <c r="D77" s="123"/>
      <c r="F77" s="115"/>
      <c r="G77" s="115"/>
      <c r="H77" s="115"/>
      <c r="I77" s="115"/>
      <c r="J77" s="115"/>
      <c r="K77" s="115"/>
      <c r="L77" s="115"/>
      <c r="M77" s="115" t="s">
        <v>359</v>
      </c>
      <c r="N77" s="13">
        <f>SUBTOTAL(3,N76:N76)</f>
        <v>1</v>
      </c>
      <c r="O77" s="15">
        <f>SUBTOTAL(3,O76:O76)</f>
        <v>1</v>
      </c>
      <c r="T77" s="117"/>
      <c r="U77" s="123"/>
      <c r="V77" s="123"/>
      <c r="W77" s="123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3"/>
      <c r="AM77" s="13"/>
      <c r="AP77" s="114"/>
    </row>
    <row r="78" spans="1:42" ht="19.5" x14ac:dyDescent="0.4">
      <c r="A78" s="117"/>
      <c r="B78" s="123"/>
      <c r="C78" s="123"/>
      <c r="D78" s="123"/>
      <c r="F78" s="115"/>
      <c r="G78" s="115"/>
      <c r="H78" s="115"/>
      <c r="I78" s="115"/>
      <c r="J78" s="115"/>
      <c r="K78" s="115"/>
      <c r="L78" s="115"/>
      <c r="M78" s="115"/>
      <c r="N78" s="25">
        <v>45647</v>
      </c>
      <c r="O78" s="15" t="s">
        <v>195</v>
      </c>
      <c r="T78" s="117"/>
      <c r="U78" s="123"/>
      <c r="V78" s="123"/>
      <c r="W78" s="123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3"/>
      <c r="AM78" s="13"/>
      <c r="AP78" s="114"/>
    </row>
    <row r="79" spans="1:42" ht="19.5" x14ac:dyDescent="0.4">
      <c r="A79" s="117"/>
      <c r="B79" s="123"/>
      <c r="C79" s="123"/>
      <c r="D79" s="123"/>
      <c r="F79" s="115"/>
      <c r="G79" s="115"/>
      <c r="H79" s="115"/>
      <c r="I79" s="115"/>
      <c r="J79" s="115"/>
      <c r="K79" s="115"/>
      <c r="L79" s="115"/>
      <c r="M79" s="115"/>
      <c r="N79" s="25">
        <v>45647</v>
      </c>
      <c r="O79" s="15" t="s">
        <v>195</v>
      </c>
      <c r="T79" s="117"/>
      <c r="U79" s="123"/>
      <c r="V79" s="123"/>
      <c r="W79" s="123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3"/>
      <c r="AM79" s="13"/>
      <c r="AP79" s="114"/>
    </row>
    <row r="80" spans="1:42" ht="19.5" x14ac:dyDescent="0.4">
      <c r="A80" s="117"/>
      <c r="B80" s="123"/>
      <c r="C80" s="123"/>
      <c r="D80" s="123"/>
      <c r="N80" s="25">
        <v>45647</v>
      </c>
      <c r="O80" s="15" t="s">
        <v>207</v>
      </c>
      <c r="T80" s="117"/>
      <c r="U80" s="123"/>
      <c r="V80" s="123"/>
      <c r="W80" s="123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25">
        <v>45266</v>
      </c>
      <c r="AM80" s="25" t="s">
        <v>162</v>
      </c>
      <c r="AP80" s="114"/>
    </row>
    <row r="81" spans="1:42" ht="19.5" x14ac:dyDescent="0.4">
      <c r="A81" s="117"/>
      <c r="B81" s="123"/>
      <c r="C81" s="123"/>
      <c r="D81" s="123"/>
      <c r="I81" s="115"/>
      <c r="J81" s="115"/>
      <c r="K81" s="115"/>
      <c r="L81" s="115"/>
      <c r="M81" s="115"/>
      <c r="N81" s="25">
        <v>45647</v>
      </c>
      <c r="O81" s="15" t="s">
        <v>195</v>
      </c>
      <c r="T81" s="117"/>
      <c r="U81" s="123"/>
      <c r="V81" s="123"/>
      <c r="W81" s="123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25"/>
      <c r="AM81" s="25"/>
      <c r="AP81" s="114"/>
    </row>
    <row r="82" spans="1:42" ht="19.5" x14ac:dyDescent="0.4">
      <c r="A82" s="117"/>
      <c r="B82" s="123"/>
      <c r="C82" s="123"/>
      <c r="D82" s="123"/>
      <c r="N82" s="25">
        <v>45647</v>
      </c>
      <c r="O82" s="15" t="s">
        <v>227</v>
      </c>
      <c r="T82" s="117"/>
      <c r="U82" s="123"/>
      <c r="V82" s="123"/>
      <c r="W82" s="123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 t="s">
        <v>156</v>
      </c>
      <c r="AL82" s="13">
        <f>SUBTOTAL(3,AL80:AL80)</f>
        <v>1</v>
      </c>
      <c r="AM82" s="13">
        <f>SUBTOTAL(3,AM80:AM80)</f>
        <v>1</v>
      </c>
      <c r="AP82" s="114"/>
    </row>
    <row r="83" spans="1:4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45647</v>
      </c>
      <c r="O83" s="15" t="s">
        <v>195</v>
      </c>
      <c r="T83" s="117"/>
      <c r="U83" s="123"/>
      <c r="V83" s="123"/>
      <c r="W83" s="123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3"/>
      <c r="AM83" s="13"/>
      <c r="AP83" s="114"/>
    </row>
    <row r="84" spans="1:4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 t="s">
        <v>182</v>
      </c>
      <c r="N84" s="13">
        <f>SUBTOTAL(3,N78:N83)</f>
        <v>6</v>
      </c>
      <c r="O84" s="15">
        <f>SUBTOTAL(3,O78:O83)</f>
        <v>6</v>
      </c>
      <c r="T84" s="117"/>
      <c r="U84" s="123"/>
      <c r="V84" s="123"/>
      <c r="W84" s="123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3"/>
      <c r="AM84" s="13"/>
      <c r="AP84" s="114"/>
    </row>
    <row r="85" spans="1:42" ht="19.5" x14ac:dyDescent="0.4">
      <c r="A85" s="117"/>
      <c r="B85" s="123"/>
      <c r="C85" s="123"/>
      <c r="D85" s="123"/>
      <c r="N85" s="25">
        <v>45648</v>
      </c>
      <c r="O85" s="15" t="s">
        <v>146</v>
      </c>
      <c r="T85" s="117"/>
      <c r="U85" s="123"/>
      <c r="V85" s="123"/>
      <c r="W85" s="123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25">
        <v>45267</v>
      </c>
      <c r="AM85" s="13" t="s">
        <v>142</v>
      </c>
      <c r="AP85" s="114"/>
    </row>
    <row r="86" spans="1:42" ht="19.5" x14ac:dyDescent="0.4">
      <c r="A86" s="117"/>
      <c r="B86" s="123"/>
      <c r="C86" s="123"/>
      <c r="D86" s="123"/>
      <c r="J86" s="115"/>
      <c r="K86" s="115"/>
      <c r="L86" s="115"/>
      <c r="M86" s="115"/>
      <c r="N86" s="25">
        <v>45648</v>
      </c>
      <c r="O86" s="15" t="s">
        <v>195</v>
      </c>
      <c r="T86" s="117"/>
      <c r="U86" s="123"/>
      <c r="V86" s="123"/>
      <c r="W86" s="123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25"/>
      <c r="AM86" s="13"/>
      <c r="AP86" s="114"/>
    </row>
    <row r="87" spans="1:42" ht="19.5" x14ac:dyDescent="0.4">
      <c r="A87" s="117"/>
      <c r="B87" s="123"/>
      <c r="C87" s="123"/>
      <c r="D87" s="123"/>
      <c r="I87" s="115"/>
      <c r="J87" s="115"/>
      <c r="K87" s="115"/>
      <c r="L87" s="115"/>
      <c r="M87" s="115"/>
      <c r="N87" s="25">
        <v>45648</v>
      </c>
      <c r="O87" s="15" t="s">
        <v>195</v>
      </c>
      <c r="T87" s="117"/>
      <c r="U87" s="123"/>
      <c r="V87" s="123"/>
      <c r="W87" s="123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25"/>
      <c r="AM87" s="13"/>
      <c r="AP87" s="114"/>
    </row>
    <row r="88" spans="1:42" ht="19.5" x14ac:dyDescent="0.4">
      <c r="A88" s="117"/>
      <c r="B88" s="123"/>
      <c r="C88" s="123"/>
      <c r="D88" s="123"/>
      <c r="N88" s="25">
        <v>45648</v>
      </c>
      <c r="O88" s="15" t="s">
        <v>195</v>
      </c>
      <c r="T88" s="117"/>
      <c r="U88" s="123"/>
      <c r="V88" s="123"/>
      <c r="W88" s="123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 t="s">
        <v>157</v>
      </c>
      <c r="AL88" s="13">
        <f>SUBTOTAL(3,AL85:AL85)</f>
        <v>1</v>
      </c>
      <c r="AM88" s="13">
        <f>SUBTOTAL(3,AM85:AM85)</f>
        <v>1</v>
      </c>
      <c r="AP88" s="114"/>
    </row>
    <row r="89" spans="1:42" ht="19.5" x14ac:dyDescent="0.4">
      <c r="A89" s="117"/>
      <c r="B89" s="123"/>
      <c r="C89" s="123"/>
      <c r="D89" s="123"/>
      <c r="J89" s="115"/>
      <c r="K89" s="115"/>
      <c r="L89" s="115"/>
      <c r="M89" s="115"/>
      <c r="N89" s="25">
        <v>45648</v>
      </c>
      <c r="O89" s="15" t="s">
        <v>195</v>
      </c>
      <c r="T89" s="117"/>
      <c r="U89" s="123"/>
      <c r="V89" s="123"/>
      <c r="W89" s="123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3"/>
      <c r="AM89" s="13"/>
      <c r="AP89" s="114"/>
    </row>
    <row r="90" spans="1:42" ht="19.5" x14ac:dyDescent="0.4">
      <c r="A90" s="117"/>
      <c r="B90" s="123"/>
      <c r="C90" s="123"/>
      <c r="D90" s="123"/>
      <c r="I90" s="115"/>
      <c r="J90" s="115"/>
      <c r="K90" s="115"/>
      <c r="L90" s="115"/>
      <c r="M90" s="115"/>
      <c r="N90" s="25">
        <v>45648</v>
      </c>
      <c r="O90" s="15" t="s">
        <v>227</v>
      </c>
      <c r="T90" s="117"/>
      <c r="U90" s="123"/>
      <c r="V90" s="123"/>
      <c r="W90" s="123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3"/>
      <c r="AM90" s="13"/>
      <c r="AP90" s="114"/>
    </row>
    <row r="91" spans="1:42" ht="19.5" x14ac:dyDescent="0.4">
      <c r="A91" s="117"/>
      <c r="B91" s="123"/>
      <c r="C91" s="123"/>
      <c r="D91" s="123"/>
      <c r="N91" s="25">
        <v>45648</v>
      </c>
      <c r="O91" s="15" t="s">
        <v>195</v>
      </c>
      <c r="T91" s="117"/>
      <c r="U91" s="123"/>
      <c r="V91" s="123"/>
      <c r="W91" s="123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25">
        <v>45268</v>
      </c>
      <c r="AM91" s="13" t="s">
        <v>162</v>
      </c>
      <c r="AP91" s="114"/>
    </row>
    <row r="92" spans="1:42" ht="19.5" x14ac:dyDescent="0.4">
      <c r="A92" s="117"/>
      <c r="B92" s="123"/>
      <c r="C92" s="123"/>
      <c r="D92" s="123"/>
      <c r="J92" s="115"/>
      <c r="K92" s="115"/>
      <c r="L92" s="115"/>
      <c r="M92" s="115"/>
      <c r="N92" s="25">
        <v>45648</v>
      </c>
      <c r="O92" s="15" t="s">
        <v>227</v>
      </c>
      <c r="T92" s="117"/>
      <c r="U92" s="123"/>
      <c r="V92" s="123"/>
      <c r="W92" s="123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25"/>
      <c r="AM92" s="13"/>
      <c r="AP92" s="114"/>
    </row>
    <row r="93" spans="1:42" ht="19.5" x14ac:dyDescent="0.4">
      <c r="A93" s="117"/>
      <c r="B93" s="123"/>
      <c r="C93" s="123"/>
      <c r="D93" s="123"/>
      <c r="N93" s="25">
        <v>45648</v>
      </c>
      <c r="O93" s="105" t="s">
        <v>207</v>
      </c>
      <c r="T93" s="117"/>
      <c r="U93" s="123"/>
      <c r="V93" s="123"/>
      <c r="W93" s="123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25">
        <v>45268</v>
      </c>
      <c r="AM93" s="13" t="s">
        <v>162</v>
      </c>
      <c r="AP93" s="114"/>
    </row>
    <row r="94" spans="1:42" ht="19.5" x14ac:dyDescent="0.4">
      <c r="A94" s="117"/>
      <c r="B94" s="123"/>
      <c r="C94" s="123"/>
      <c r="D94" s="123"/>
      <c r="N94" s="26">
        <v>45648</v>
      </c>
      <c r="O94" s="15" t="s">
        <v>207</v>
      </c>
      <c r="T94" s="117"/>
      <c r="U94" s="123"/>
      <c r="V94" s="123"/>
      <c r="W94" s="123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25">
        <v>45268</v>
      </c>
      <c r="AM94" s="13" t="s">
        <v>163</v>
      </c>
      <c r="AP94" s="114"/>
    </row>
    <row r="95" spans="1:42" ht="19.5" x14ac:dyDescent="0.4">
      <c r="A95" s="117"/>
      <c r="B95" s="123"/>
      <c r="C95" s="123"/>
      <c r="D95" s="123"/>
      <c r="I95" s="115"/>
      <c r="J95" s="115"/>
      <c r="K95" s="115"/>
      <c r="L95" s="115"/>
      <c r="M95" s="115"/>
      <c r="N95" s="26">
        <v>45648</v>
      </c>
      <c r="O95" s="105" t="s">
        <v>207</v>
      </c>
      <c r="T95" s="117"/>
      <c r="U95" s="123"/>
      <c r="V95" s="123"/>
      <c r="W95" s="123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25"/>
      <c r="AM95" s="13"/>
      <c r="AP95" s="114"/>
    </row>
    <row r="96" spans="1:42" ht="19.5" x14ac:dyDescent="0.4">
      <c r="A96" s="117"/>
      <c r="B96" s="123"/>
      <c r="C96" s="123"/>
      <c r="D96" s="123"/>
      <c r="N96" s="26">
        <v>45648</v>
      </c>
      <c r="O96" s="15" t="s">
        <v>207</v>
      </c>
      <c r="T96" s="117"/>
      <c r="U96" s="123"/>
      <c r="V96" s="123"/>
      <c r="W96" s="123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25">
        <v>45268</v>
      </c>
      <c r="AM96" s="13" t="s">
        <v>163</v>
      </c>
      <c r="AP96" s="114"/>
    </row>
    <row r="97" spans="1:42" ht="19.5" x14ac:dyDescent="0.4">
      <c r="A97" s="117"/>
      <c r="B97" s="123"/>
      <c r="C97" s="123"/>
      <c r="D97" s="123"/>
      <c r="K97" s="115"/>
      <c r="L97" s="115"/>
      <c r="M97" s="115"/>
      <c r="N97" s="26">
        <v>45648</v>
      </c>
      <c r="O97" s="15" t="s">
        <v>195</v>
      </c>
      <c r="T97" s="117"/>
      <c r="U97" s="123"/>
      <c r="V97" s="123"/>
      <c r="W97" s="123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25"/>
      <c r="AM97" s="13"/>
      <c r="AP97" s="114"/>
    </row>
    <row r="98" spans="1:42" ht="19.5" x14ac:dyDescent="0.4">
      <c r="A98" s="117"/>
      <c r="B98" s="123"/>
      <c r="C98" s="123"/>
      <c r="D98" s="123"/>
      <c r="N98" s="26">
        <v>45648</v>
      </c>
      <c r="O98" s="13" t="s">
        <v>195</v>
      </c>
      <c r="T98" s="117"/>
      <c r="U98" s="123"/>
      <c r="V98" s="123"/>
      <c r="W98" s="123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 t="s">
        <v>158</v>
      </c>
      <c r="AL98" s="13">
        <f>SUBTOTAL(3,AL91:AL96)</f>
        <v>4</v>
      </c>
      <c r="AM98" s="13">
        <f>SUBTOTAL(3,AM91:AM96)</f>
        <v>4</v>
      </c>
      <c r="AP98" s="114"/>
    </row>
    <row r="99" spans="1:42" ht="19.5" x14ac:dyDescent="0.4">
      <c r="A99" s="117"/>
      <c r="B99" s="123"/>
      <c r="C99" s="123"/>
      <c r="D99" s="123"/>
      <c r="L99" s="115"/>
      <c r="M99" s="115"/>
      <c r="N99" s="26">
        <v>45648</v>
      </c>
      <c r="O99" s="13" t="s">
        <v>195</v>
      </c>
      <c r="T99" s="117"/>
      <c r="U99" s="123"/>
      <c r="V99" s="123"/>
      <c r="W99" s="123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3"/>
      <c r="AM99" s="13"/>
      <c r="AP99" s="114"/>
    </row>
    <row r="100" spans="1:42" ht="19.5" x14ac:dyDescent="0.4">
      <c r="A100" s="117"/>
      <c r="B100" s="123"/>
      <c r="C100" s="123"/>
      <c r="D100" s="123"/>
      <c r="N100" s="26">
        <v>45648</v>
      </c>
      <c r="O100" s="13" t="s">
        <v>195</v>
      </c>
      <c r="T100" s="117"/>
      <c r="U100" s="123"/>
      <c r="V100" s="123"/>
      <c r="W100" s="123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25">
        <v>45269</v>
      </c>
      <c r="AM100" s="13" t="s">
        <v>163</v>
      </c>
      <c r="AP100" s="114"/>
    </row>
    <row r="101" spans="1:4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6">
        <v>45648</v>
      </c>
      <c r="O101" s="13" t="s">
        <v>195</v>
      </c>
      <c r="T101" s="117"/>
      <c r="U101" s="123"/>
      <c r="V101" s="123"/>
      <c r="W101" s="123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25"/>
      <c r="AM101" s="13"/>
      <c r="AP101" s="114"/>
    </row>
    <row r="102" spans="1:42" ht="19.5" x14ac:dyDescent="0.4">
      <c r="A102" s="117"/>
      <c r="B102" s="123"/>
      <c r="C102" s="123"/>
      <c r="D102" s="123"/>
      <c r="N102" s="26">
        <v>45648</v>
      </c>
      <c r="O102" s="13" t="s">
        <v>195</v>
      </c>
      <c r="T102" s="117"/>
      <c r="U102" s="123"/>
      <c r="V102" s="123"/>
      <c r="W102" s="123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25">
        <v>45269</v>
      </c>
      <c r="AM102" s="13" t="s">
        <v>163</v>
      </c>
      <c r="AP102" s="114"/>
    </row>
    <row r="103" spans="1:42" ht="19.5" x14ac:dyDescent="0.4">
      <c r="A103" s="117"/>
      <c r="B103" s="123"/>
      <c r="C103" s="123"/>
      <c r="D103" s="123"/>
      <c r="K103" s="115"/>
      <c r="L103" s="115"/>
      <c r="M103" s="115"/>
      <c r="N103" s="26">
        <v>45648</v>
      </c>
      <c r="O103" s="13" t="s">
        <v>195</v>
      </c>
      <c r="T103" s="117"/>
      <c r="U103" s="123"/>
      <c r="V103" s="123"/>
      <c r="W103" s="123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25"/>
      <c r="AM103" s="13"/>
      <c r="AP103" s="114"/>
    </row>
    <row r="104" spans="1:42" ht="19.5" x14ac:dyDescent="0.4">
      <c r="A104" s="117"/>
      <c r="B104" s="123"/>
      <c r="C104" s="123"/>
      <c r="D104" s="123"/>
      <c r="N104" s="26">
        <v>45648</v>
      </c>
      <c r="O104" s="13" t="s">
        <v>195</v>
      </c>
      <c r="T104" s="117"/>
      <c r="U104" s="123"/>
      <c r="V104" s="123"/>
      <c r="W104" s="123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 t="s">
        <v>159</v>
      </c>
      <c r="AL104" s="13">
        <f>SUBTOTAL(3,AL100:AL102)</f>
        <v>2</v>
      </c>
      <c r="AM104" s="13">
        <f>SUBTOTAL(3,AM100:AM102)</f>
        <v>2</v>
      </c>
      <c r="AP104" s="114"/>
    </row>
    <row r="105" spans="1:42" ht="19.5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26">
        <v>45648</v>
      </c>
      <c r="O105" s="13" t="s">
        <v>195</v>
      </c>
      <c r="T105" s="117"/>
      <c r="U105" s="123"/>
      <c r="V105" s="123"/>
      <c r="W105" s="123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3"/>
      <c r="AM105" s="13"/>
      <c r="AP105" s="114"/>
    </row>
    <row r="106" spans="1:42" ht="19.5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26">
        <v>45648</v>
      </c>
      <c r="O106" s="13" t="s">
        <v>195</v>
      </c>
      <c r="T106" s="117"/>
      <c r="U106" s="123"/>
      <c r="V106" s="123"/>
      <c r="W106" s="123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5"/>
      <c r="AL106" s="13"/>
      <c r="AM106" s="13"/>
      <c r="AP106" s="114"/>
    </row>
    <row r="107" spans="1:42" ht="19.5" x14ac:dyDescent="0.4">
      <c r="A107" s="117"/>
      <c r="B107" s="123"/>
      <c r="C107" s="123"/>
      <c r="D107" s="123"/>
      <c r="F107" s="115"/>
      <c r="G107" s="115"/>
      <c r="H107" s="115"/>
      <c r="I107" s="115"/>
      <c r="J107" s="115"/>
      <c r="K107" s="115"/>
      <c r="L107" s="115"/>
      <c r="M107" s="115"/>
      <c r="N107" s="26">
        <v>45648</v>
      </c>
      <c r="O107" s="13" t="s">
        <v>195</v>
      </c>
      <c r="T107" s="117"/>
      <c r="U107" s="123"/>
      <c r="V107" s="123"/>
      <c r="W107" s="123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3"/>
      <c r="AM107" s="13"/>
      <c r="AP107" s="114"/>
    </row>
    <row r="108" spans="1:42" ht="19.5" x14ac:dyDescent="0.4">
      <c r="A108" s="117"/>
      <c r="B108" s="123"/>
      <c r="C108" s="123"/>
      <c r="D108" s="123"/>
      <c r="N108" s="26">
        <v>45648</v>
      </c>
      <c r="O108" s="13" t="s">
        <v>195</v>
      </c>
      <c r="T108" s="117"/>
      <c r="U108" s="123"/>
      <c r="V108" s="123"/>
      <c r="W108" s="123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25">
        <v>45270</v>
      </c>
      <c r="AM108" s="13" t="s">
        <v>164</v>
      </c>
      <c r="AP108" s="114"/>
    </row>
    <row r="109" spans="1:42" ht="19.5" x14ac:dyDescent="0.4">
      <c r="A109" s="117"/>
      <c r="B109" s="123"/>
      <c r="C109" s="123"/>
      <c r="D109" s="123"/>
      <c r="M109" s="115" t="s">
        <v>360</v>
      </c>
      <c r="N109" s="17">
        <f>SUBTOTAL(3,N85:N108)</f>
        <v>24</v>
      </c>
      <c r="O109" s="13">
        <f>SUBTOTAL(3,O85:O108)</f>
        <v>24</v>
      </c>
      <c r="T109" s="117"/>
      <c r="U109" s="123"/>
      <c r="V109" s="123"/>
      <c r="W109" s="123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25"/>
      <c r="AM109" s="13"/>
      <c r="AP109" s="114"/>
    </row>
    <row r="110" spans="1:42" ht="19.5" x14ac:dyDescent="0.4">
      <c r="A110" s="117"/>
      <c r="B110" s="123"/>
      <c r="C110" s="123"/>
      <c r="D110" s="123"/>
      <c r="N110" s="26">
        <v>45649</v>
      </c>
      <c r="O110" s="13" t="s">
        <v>195</v>
      </c>
      <c r="T110" s="117"/>
      <c r="U110" s="123"/>
      <c r="V110" s="123"/>
      <c r="W110" s="123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25"/>
      <c r="AM110" s="13"/>
      <c r="AP110" s="114"/>
    </row>
    <row r="111" spans="1:42" ht="19.5" x14ac:dyDescent="0.4">
      <c r="A111" s="117"/>
      <c r="B111" s="123"/>
      <c r="C111" s="123"/>
      <c r="D111" s="123"/>
      <c r="J111" s="115"/>
      <c r="K111" s="115"/>
      <c r="L111" s="115"/>
      <c r="M111" s="115"/>
      <c r="N111" s="26">
        <v>45649</v>
      </c>
      <c r="O111" s="13" t="s">
        <v>195</v>
      </c>
      <c r="T111" s="117"/>
      <c r="U111" s="123"/>
      <c r="V111" s="123"/>
      <c r="W111" s="123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25"/>
      <c r="AM111" s="13"/>
      <c r="AP111" s="114"/>
    </row>
    <row r="112" spans="1:42" ht="19.5" x14ac:dyDescent="0.4">
      <c r="A112" s="117"/>
      <c r="B112" s="123"/>
      <c r="C112" s="123"/>
      <c r="D112" s="123"/>
      <c r="N112" s="26">
        <v>45649</v>
      </c>
      <c r="O112" s="13" t="s">
        <v>195</v>
      </c>
      <c r="T112" s="117"/>
      <c r="U112" s="123"/>
      <c r="V112" s="123"/>
      <c r="W112" s="123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25">
        <v>45270</v>
      </c>
      <c r="AM112" s="13" t="s">
        <v>164</v>
      </c>
      <c r="AP112" s="114"/>
    </row>
    <row r="113" spans="1:42" ht="19.5" x14ac:dyDescent="0.4">
      <c r="A113" s="117"/>
      <c r="B113" s="123"/>
      <c r="C113" s="123"/>
      <c r="D113" s="123"/>
      <c r="L113" s="115"/>
      <c r="M113" s="115"/>
      <c r="N113" s="26">
        <v>45649</v>
      </c>
      <c r="O113" s="13" t="s">
        <v>195</v>
      </c>
      <c r="T113" s="117"/>
      <c r="U113" s="123"/>
      <c r="V113" s="123"/>
      <c r="W113" s="123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25"/>
      <c r="AM113" s="13"/>
      <c r="AP113" s="114"/>
    </row>
    <row r="114" spans="1:42" ht="19.5" x14ac:dyDescent="0.4">
      <c r="A114" s="117"/>
      <c r="B114" s="123"/>
      <c r="C114" s="123"/>
      <c r="D114" s="123"/>
      <c r="F114" s="115"/>
      <c r="G114" s="115"/>
      <c r="H114" s="115"/>
      <c r="I114" s="115"/>
      <c r="J114" s="115"/>
      <c r="K114" s="115"/>
      <c r="L114" s="115"/>
      <c r="M114" s="115"/>
      <c r="N114" s="26">
        <v>45649</v>
      </c>
      <c r="O114" s="13" t="s">
        <v>195</v>
      </c>
      <c r="T114" s="117"/>
      <c r="U114" s="123"/>
      <c r="V114" s="123"/>
      <c r="W114" s="123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25"/>
      <c r="AM114" s="13"/>
      <c r="AP114" s="114"/>
    </row>
    <row r="115" spans="1:42" ht="19.5" x14ac:dyDescent="0.4">
      <c r="A115" s="117"/>
      <c r="B115" s="123"/>
      <c r="C115" s="123"/>
      <c r="D115" s="123"/>
      <c r="N115" s="26">
        <v>45649</v>
      </c>
      <c r="O115" s="13" t="s">
        <v>227</v>
      </c>
      <c r="T115" s="117"/>
      <c r="U115" s="123"/>
      <c r="V115" s="123"/>
      <c r="W115" s="123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25">
        <v>45270</v>
      </c>
      <c r="AM115" s="13" t="s">
        <v>162</v>
      </c>
      <c r="AP115" s="114"/>
    </row>
    <row r="116" spans="1:42" ht="19.5" x14ac:dyDescent="0.4">
      <c r="A116" s="117"/>
      <c r="B116" s="123"/>
      <c r="C116" s="123"/>
      <c r="D116" s="123"/>
      <c r="K116" s="115"/>
      <c r="L116" s="115"/>
      <c r="M116" s="115"/>
      <c r="N116" s="26">
        <v>45649</v>
      </c>
      <c r="O116" s="15" t="s">
        <v>195</v>
      </c>
      <c r="T116" s="117"/>
      <c r="U116" s="123"/>
      <c r="V116" s="123"/>
      <c r="W116" s="123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25"/>
      <c r="AM116" s="13"/>
      <c r="AP116" s="114"/>
    </row>
    <row r="117" spans="1:42" ht="19.5" x14ac:dyDescent="0.4">
      <c r="A117" s="117"/>
      <c r="B117" s="123"/>
      <c r="C117" s="123"/>
      <c r="D117" s="123"/>
      <c r="N117" s="26">
        <v>45649</v>
      </c>
      <c r="O117" s="13" t="s">
        <v>195</v>
      </c>
      <c r="T117" s="117"/>
      <c r="U117" s="123"/>
      <c r="V117" s="123"/>
      <c r="W117" s="123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25">
        <v>45270</v>
      </c>
      <c r="AM117" s="13" t="s">
        <v>162</v>
      </c>
      <c r="AP117" s="114"/>
    </row>
    <row r="118" spans="1:42" ht="19.5" x14ac:dyDescent="0.4">
      <c r="A118" s="117"/>
      <c r="B118" s="123"/>
      <c r="C118" s="123"/>
      <c r="D118" s="123"/>
      <c r="M118" s="115" t="s">
        <v>183</v>
      </c>
      <c r="N118" s="17">
        <f>SUBTOTAL(3,N110:N117)</f>
        <v>8</v>
      </c>
      <c r="O118" s="13">
        <f>SUBTOTAL(3,O110:O117)</f>
        <v>8</v>
      </c>
      <c r="T118" s="117"/>
      <c r="U118" s="123"/>
      <c r="V118" s="123"/>
      <c r="W118" s="123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25"/>
      <c r="AM118" s="13"/>
      <c r="AP118" s="114"/>
    </row>
    <row r="119" spans="1:42" ht="19.5" x14ac:dyDescent="0.4">
      <c r="A119" s="117"/>
      <c r="B119" s="123"/>
      <c r="C119" s="123"/>
      <c r="D119" s="123"/>
      <c r="G119" s="115"/>
      <c r="H119" s="115"/>
      <c r="I119" s="115"/>
      <c r="J119" s="115"/>
      <c r="K119" s="115"/>
      <c r="L119" s="115"/>
      <c r="M119" s="115"/>
      <c r="N119" s="26">
        <v>45650</v>
      </c>
      <c r="O119" s="13" t="s">
        <v>207</v>
      </c>
      <c r="T119" s="117"/>
      <c r="U119" s="123"/>
      <c r="V119" s="123"/>
      <c r="W119" s="123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25"/>
      <c r="AM119" s="13"/>
      <c r="AP119" s="114"/>
    </row>
    <row r="120" spans="1:42" ht="19.5" x14ac:dyDescent="0.4">
      <c r="A120" s="117"/>
      <c r="B120" s="123"/>
      <c r="C120" s="123"/>
      <c r="D120" s="123"/>
      <c r="N120" s="26">
        <v>45650</v>
      </c>
      <c r="O120" s="13" t="s">
        <v>195</v>
      </c>
      <c r="T120" s="117"/>
      <c r="U120" s="123"/>
      <c r="V120" s="123"/>
      <c r="W120" s="123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25"/>
      <c r="AM120" s="13"/>
      <c r="AP120" s="114"/>
    </row>
    <row r="121" spans="1:42" ht="19.5" x14ac:dyDescent="0.4">
      <c r="A121" s="117"/>
      <c r="B121" s="123"/>
      <c r="C121" s="123"/>
      <c r="D121" s="123"/>
      <c r="N121" s="26">
        <v>45650</v>
      </c>
      <c r="O121" s="13" t="s">
        <v>195</v>
      </c>
      <c r="T121" s="117"/>
      <c r="U121" s="123"/>
      <c r="V121" s="123"/>
      <c r="W121" s="123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25">
        <v>45270</v>
      </c>
      <c r="AM121" s="13" t="s">
        <v>163</v>
      </c>
      <c r="AP121" s="114"/>
    </row>
    <row r="122" spans="1:42" ht="19.5" x14ac:dyDescent="0.4">
      <c r="A122" s="117"/>
      <c r="B122" s="123"/>
      <c r="C122" s="123"/>
      <c r="D122" s="123"/>
      <c r="M122" s="115" t="s">
        <v>361</v>
      </c>
      <c r="N122" s="17">
        <f>SUBTOTAL(3,N119:N121)</f>
        <v>3</v>
      </c>
      <c r="O122" s="13">
        <f>SUBTOTAL(3,O119:O121)</f>
        <v>3</v>
      </c>
      <c r="T122" s="117"/>
      <c r="U122" s="123"/>
      <c r="V122" s="123"/>
      <c r="W122" s="123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25"/>
      <c r="AM122" s="13"/>
      <c r="AP122" s="114"/>
    </row>
    <row r="123" spans="1:42" ht="19.5" x14ac:dyDescent="0.4">
      <c r="A123" s="117"/>
      <c r="B123" s="123"/>
      <c r="C123" s="123"/>
      <c r="D123" s="123"/>
      <c r="N123" s="26">
        <v>45651</v>
      </c>
      <c r="O123" s="13" t="s">
        <v>195</v>
      </c>
      <c r="T123" s="117"/>
      <c r="U123" s="123"/>
      <c r="V123" s="123"/>
      <c r="W123" s="123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 t="s">
        <v>151</v>
      </c>
      <c r="AL123" s="13">
        <f>SUBTOTAL(3,AL108:AL121)</f>
        <v>5</v>
      </c>
      <c r="AM123" s="13">
        <f>SUBTOTAL(3,AM108:AM121)</f>
        <v>5</v>
      </c>
      <c r="AP123" s="114"/>
    </row>
    <row r="124" spans="1:42" ht="19.5" x14ac:dyDescent="0.4">
      <c r="A124" s="117"/>
      <c r="B124" s="123"/>
      <c r="C124" s="123"/>
      <c r="D124" s="123"/>
      <c r="L124" s="115"/>
      <c r="M124" s="115"/>
      <c r="N124" s="26">
        <v>45651</v>
      </c>
      <c r="O124" s="13" t="s">
        <v>207</v>
      </c>
      <c r="T124" s="117"/>
      <c r="U124" s="123"/>
      <c r="V124" s="123"/>
      <c r="W124" s="123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3"/>
      <c r="AM124" s="13"/>
      <c r="AP124" s="114"/>
    </row>
    <row r="125" spans="1:42" ht="19.5" x14ac:dyDescent="0.4">
      <c r="A125" s="117"/>
      <c r="B125" s="123"/>
      <c r="C125" s="123"/>
      <c r="D125" s="123"/>
      <c r="N125" s="26">
        <v>45651</v>
      </c>
      <c r="O125" s="13" t="s">
        <v>195</v>
      </c>
      <c r="T125" s="117"/>
      <c r="U125" s="123"/>
      <c r="V125" s="123"/>
      <c r="W125" s="123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25">
        <v>45271</v>
      </c>
      <c r="AM125" s="13" t="s">
        <v>162</v>
      </c>
      <c r="AP125" s="114"/>
    </row>
    <row r="126" spans="1:42" ht="19.5" x14ac:dyDescent="0.4">
      <c r="A126" s="117"/>
      <c r="B126" s="123"/>
      <c r="C126" s="123"/>
      <c r="D126" s="123"/>
      <c r="N126" s="26">
        <v>45651</v>
      </c>
      <c r="O126" s="13" t="s">
        <v>195</v>
      </c>
      <c r="T126" s="117"/>
      <c r="U126" s="123"/>
      <c r="V126" s="123"/>
      <c r="W126" s="123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25">
        <v>45271</v>
      </c>
      <c r="AM126" s="13" t="s">
        <v>163</v>
      </c>
      <c r="AP126" s="114"/>
    </row>
    <row r="127" spans="1:42" ht="19.5" x14ac:dyDescent="0.4">
      <c r="A127" s="117"/>
      <c r="B127" s="123"/>
      <c r="C127" s="123"/>
      <c r="D127" s="123"/>
      <c r="L127" s="115"/>
      <c r="M127" s="115"/>
      <c r="N127" s="26">
        <v>45651</v>
      </c>
      <c r="O127" s="13" t="s">
        <v>207</v>
      </c>
      <c r="T127" s="117"/>
      <c r="U127" s="123"/>
      <c r="V127" s="123"/>
      <c r="W127" s="123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25"/>
      <c r="AM127" s="13"/>
      <c r="AP127" s="114"/>
    </row>
    <row r="128" spans="1:42" ht="19.5" x14ac:dyDescent="0.4">
      <c r="A128" s="117"/>
      <c r="B128" s="123"/>
      <c r="C128" s="123"/>
      <c r="D128" s="123"/>
      <c r="K128" s="115"/>
      <c r="L128" s="115"/>
      <c r="M128" s="115"/>
      <c r="N128" s="26">
        <v>45651</v>
      </c>
      <c r="O128" s="13" t="s">
        <v>207</v>
      </c>
      <c r="T128" s="117"/>
      <c r="U128" s="123"/>
      <c r="V128" s="123"/>
      <c r="W128" s="123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25"/>
      <c r="AM128" s="13"/>
      <c r="AP128" s="114"/>
    </row>
    <row r="129" spans="1:42" ht="19.5" x14ac:dyDescent="0.4">
      <c r="A129" s="117"/>
      <c r="B129" s="123"/>
      <c r="C129" s="123"/>
      <c r="D129" s="123"/>
      <c r="K129" s="115"/>
      <c r="L129" s="115"/>
      <c r="M129" s="115" t="s">
        <v>362</v>
      </c>
      <c r="N129" s="17">
        <f>SUBTOTAL(3,N123:N128)</f>
        <v>6</v>
      </c>
      <c r="O129" s="13">
        <f>SUBTOTAL(3,O123:O128)</f>
        <v>6</v>
      </c>
      <c r="T129" s="117"/>
      <c r="U129" s="123"/>
      <c r="V129" s="123"/>
      <c r="W129" s="123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25"/>
      <c r="AM129" s="13"/>
      <c r="AP129" s="114"/>
    </row>
    <row r="130" spans="1:42" ht="19.5" x14ac:dyDescent="0.4">
      <c r="A130" s="117"/>
      <c r="B130" s="123"/>
      <c r="C130" s="123"/>
      <c r="D130" s="123"/>
      <c r="I130" s="115"/>
      <c r="J130" s="115"/>
      <c r="K130" s="115"/>
      <c r="L130" s="115"/>
      <c r="M130" s="115"/>
      <c r="N130" s="26">
        <v>45652</v>
      </c>
      <c r="O130" s="13" t="s">
        <v>195</v>
      </c>
      <c r="T130" s="117"/>
      <c r="U130" s="123"/>
      <c r="V130" s="123"/>
      <c r="W130" s="123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25"/>
      <c r="AM130" s="13"/>
      <c r="AP130" s="114"/>
    </row>
    <row r="131" spans="1:42" ht="19.5" x14ac:dyDescent="0.4">
      <c r="A131" s="117"/>
      <c r="B131" s="123"/>
      <c r="C131" s="123"/>
      <c r="D131" s="123"/>
      <c r="N131" s="26">
        <v>45652</v>
      </c>
      <c r="O131" s="13" t="s">
        <v>207</v>
      </c>
      <c r="T131" s="117"/>
      <c r="U131" s="123"/>
      <c r="V131" s="123"/>
      <c r="W131" s="123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25">
        <v>45271</v>
      </c>
      <c r="AM131" s="13" t="s">
        <v>163</v>
      </c>
      <c r="AP131" s="114"/>
    </row>
    <row r="132" spans="1:42" ht="19.5" x14ac:dyDescent="0.4">
      <c r="A132" s="117"/>
      <c r="B132" s="123"/>
      <c r="C132" s="123"/>
      <c r="D132" s="123"/>
      <c r="L132" s="115"/>
      <c r="M132" s="115"/>
      <c r="N132" s="26">
        <v>45652</v>
      </c>
      <c r="O132" s="13" t="s">
        <v>207</v>
      </c>
      <c r="T132" s="117"/>
      <c r="U132" s="123"/>
      <c r="V132" s="123"/>
      <c r="W132" s="123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25"/>
      <c r="AM132" s="13"/>
      <c r="AP132" s="114"/>
    </row>
    <row r="133" spans="1:42" ht="19.5" x14ac:dyDescent="0.4">
      <c r="A133" s="117"/>
      <c r="B133" s="123"/>
      <c r="C133" s="123"/>
      <c r="D133" s="123"/>
      <c r="J133" s="115"/>
      <c r="K133" s="115"/>
      <c r="L133" s="115"/>
      <c r="M133" s="115"/>
      <c r="N133" s="26">
        <v>45652</v>
      </c>
      <c r="O133" s="13" t="s">
        <v>227</v>
      </c>
      <c r="T133" s="117"/>
      <c r="U133" s="123"/>
      <c r="V133" s="123"/>
      <c r="W133" s="123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25"/>
      <c r="AM133" s="13"/>
      <c r="AP133" s="114"/>
    </row>
    <row r="134" spans="1:42" ht="19.5" x14ac:dyDescent="0.4">
      <c r="A134" s="117"/>
      <c r="B134" s="123"/>
      <c r="C134" s="123"/>
      <c r="D134" s="123"/>
      <c r="J134" s="115"/>
      <c r="K134" s="115"/>
      <c r="L134" s="115"/>
      <c r="M134" s="115" t="s">
        <v>184</v>
      </c>
      <c r="N134" s="17">
        <f>SUBTOTAL(3,N130:N133)</f>
        <v>4</v>
      </c>
      <c r="O134" s="13">
        <f>SUBTOTAL(3,O130:O133)</f>
        <v>4</v>
      </c>
      <c r="T134" s="117"/>
      <c r="U134" s="123"/>
      <c r="V134" s="123"/>
      <c r="W134" s="123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25"/>
      <c r="AM134" s="13"/>
      <c r="AP134" s="114"/>
    </row>
    <row r="135" spans="1:42" ht="19.5" x14ac:dyDescent="0.4">
      <c r="A135" s="117"/>
      <c r="B135" s="123"/>
      <c r="C135" s="123"/>
      <c r="D135" s="123"/>
      <c r="N135" s="26">
        <v>45672</v>
      </c>
      <c r="O135" s="13" t="s">
        <v>195</v>
      </c>
      <c r="T135" s="117"/>
      <c r="U135" s="123"/>
      <c r="V135" s="123"/>
      <c r="W135" s="123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 t="s">
        <v>165</v>
      </c>
      <c r="AL135" s="13">
        <f>SUBTOTAL(3,AL125:AL131)</f>
        <v>3</v>
      </c>
      <c r="AM135" s="13">
        <f>SUBTOTAL(3,AM125:AM131)</f>
        <v>3</v>
      </c>
      <c r="AP135" s="114"/>
    </row>
    <row r="136" spans="1:42" ht="19.5" x14ac:dyDescent="0.4">
      <c r="A136" s="117"/>
      <c r="B136" s="123"/>
      <c r="C136" s="123"/>
      <c r="D136" s="123"/>
      <c r="N136" s="26">
        <v>45672</v>
      </c>
      <c r="O136" s="13" t="s">
        <v>207</v>
      </c>
      <c r="T136" s="117"/>
      <c r="U136" s="123"/>
      <c r="V136" s="123"/>
      <c r="W136" s="123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25">
        <v>45272</v>
      </c>
      <c r="AM136" s="13" t="s">
        <v>162</v>
      </c>
      <c r="AP136" s="114"/>
    </row>
    <row r="137" spans="1:42" ht="19.5" x14ac:dyDescent="0.4">
      <c r="A137" s="117"/>
      <c r="B137" s="123"/>
      <c r="C137" s="123"/>
      <c r="D137" s="123"/>
      <c r="M137" s="115" t="s">
        <v>185</v>
      </c>
      <c r="N137" s="17">
        <f>SUBTOTAL(3,N135:N136)</f>
        <v>2</v>
      </c>
      <c r="O137" s="13">
        <f>SUBTOTAL(3,O135:O136)</f>
        <v>2</v>
      </c>
      <c r="T137" s="117"/>
      <c r="U137" s="123"/>
      <c r="V137" s="123"/>
      <c r="W137" s="123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25"/>
      <c r="AM137" s="13"/>
      <c r="AP137" s="114"/>
    </row>
    <row r="138" spans="1:42" ht="19.5" x14ac:dyDescent="0.4">
      <c r="A138" s="117"/>
      <c r="B138" s="123"/>
      <c r="C138" s="123"/>
      <c r="D138" s="123"/>
      <c r="N138" s="26">
        <v>45675</v>
      </c>
      <c r="O138" s="15" t="s">
        <v>195</v>
      </c>
      <c r="T138" s="117"/>
      <c r="U138" s="123"/>
      <c r="V138" s="123"/>
      <c r="W138" s="123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25">
        <v>45272</v>
      </c>
      <c r="AM138" s="13" t="s">
        <v>162</v>
      </c>
      <c r="AP138" s="114"/>
    </row>
    <row r="139" spans="1:42" ht="19.5" x14ac:dyDescent="0.4">
      <c r="A139" s="117"/>
      <c r="B139" s="123"/>
      <c r="C139" s="123"/>
      <c r="D139" s="123"/>
      <c r="M139" s="115" t="s">
        <v>363</v>
      </c>
      <c r="N139" s="17">
        <f>SUBTOTAL(3,N138:N138)</f>
        <v>1</v>
      </c>
      <c r="O139" s="13">
        <f>SUBTOTAL(3,O138:O138)</f>
        <v>1</v>
      </c>
      <c r="T139" s="117"/>
      <c r="U139" s="123"/>
      <c r="V139" s="123"/>
      <c r="W139" s="123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25"/>
      <c r="AM139" s="13"/>
      <c r="AP139" s="114"/>
    </row>
    <row r="140" spans="1:42" ht="19.5" x14ac:dyDescent="0.4">
      <c r="A140" s="117"/>
      <c r="B140" s="123"/>
      <c r="C140" s="123"/>
      <c r="D140" s="123"/>
      <c r="M140" s="115" t="s">
        <v>145</v>
      </c>
      <c r="N140" s="17">
        <f>SUBTOTAL(3,N2:N138)</f>
        <v>121</v>
      </c>
      <c r="O140" s="13">
        <f>SUBTOTAL(3,O2:O138)</f>
        <v>121</v>
      </c>
      <c r="T140" s="117"/>
      <c r="U140" s="123"/>
      <c r="V140" s="123"/>
      <c r="W140" s="123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25"/>
      <c r="AM140" s="13"/>
      <c r="AP140" s="114"/>
    </row>
    <row r="141" spans="1:42" ht="19.5" x14ac:dyDescent="0.4">
      <c r="A141" s="117"/>
      <c r="B141" s="123"/>
      <c r="C141" s="123"/>
      <c r="D141" s="123"/>
      <c r="N141" s="26"/>
      <c r="O141" s="13"/>
      <c r="T141" s="117"/>
      <c r="U141" s="123"/>
      <c r="V141" s="123"/>
      <c r="W141" s="123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25">
        <v>45272</v>
      </c>
      <c r="AM141" s="13" t="s">
        <v>162</v>
      </c>
      <c r="AP141" s="114"/>
    </row>
    <row r="142" spans="1:42" ht="19.5" x14ac:dyDescent="0.4">
      <c r="A142" s="125"/>
      <c r="B142" s="126"/>
      <c r="C142" s="126"/>
      <c r="D142" s="126"/>
      <c r="F142" s="115"/>
      <c r="G142" s="115"/>
      <c r="H142" s="115"/>
      <c r="I142" s="115"/>
      <c r="J142" s="115"/>
      <c r="K142" s="115"/>
      <c r="L142" s="115"/>
      <c r="M142" s="115"/>
      <c r="N142" s="26"/>
      <c r="O142" s="13"/>
      <c r="T142" s="117"/>
      <c r="U142" s="123"/>
      <c r="V142" s="123"/>
      <c r="W142" s="123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25"/>
      <c r="AM142" s="13"/>
      <c r="AP142" s="114"/>
    </row>
    <row r="143" spans="1:42" ht="19.5" x14ac:dyDescent="0.4">
      <c r="A143" s="125"/>
      <c r="B143" s="126"/>
      <c r="C143" s="126"/>
      <c r="D143" s="126"/>
      <c r="F143" s="115"/>
      <c r="G143" s="115"/>
      <c r="H143" s="115"/>
      <c r="I143" s="115"/>
      <c r="J143" s="115"/>
      <c r="K143" s="115"/>
      <c r="L143" s="115"/>
      <c r="M143" s="115"/>
      <c r="N143" s="26"/>
      <c r="O143" s="13"/>
      <c r="T143" s="117"/>
      <c r="U143" s="123"/>
      <c r="V143" s="123"/>
      <c r="W143" s="123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25"/>
      <c r="AM143" s="13"/>
      <c r="AP143" s="114"/>
    </row>
    <row r="144" spans="1:42" ht="19.5" x14ac:dyDescent="0.4">
      <c r="A144" s="125"/>
      <c r="B144" s="126"/>
      <c r="C144" s="126"/>
      <c r="D144" s="126"/>
      <c r="F144" s="115"/>
      <c r="G144" s="115"/>
      <c r="H144" s="115"/>
      <c r="I144" s="115"/>
      <c r="J144" s="115"/>
      <c r="K144" s="115"/>
      <c r="L144" s="115"/>
      <c r="M144" s="115"/>
      <c r="N144" s="17"/>
      <c r="O144" s="13"/>
      <c r="T144" s="117"/>
      <c r="U144" s="123"/>
      <c r="V144" s="123"/>
      <c r="W144" s="123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25"/>
      <c r="AM144" s="13"/>
      <c r="AP144" s="114"/>
    </row>
    <row r="145" spans="1:42" ht="19.5" x14ac:dyDescent="0.4">
      <c r="A145" s="125"/>
      <c r="B145" s="126"/>
      <c r="C145" s="126"/>
      <c r="D145" s="126"/>
      <c r="F145" s="115"/>
      <c r="G145" s="115"/>
      <c r="H145" s="115"/>
      <c r="I145" s="115"/>
      <c r="J145" s="115"/>
      <c r="K145" s="115"/>
      <c r="L145" s="115"/>
      <c r="M145" s="115"/>
      <c r="N145" s="26"/>
      <c r="O145" s="13"/>
      <c r="T145" s="117"/>
      <c r="U145" s="123"/>
      <c r="V145" s="123"/>
      <c r="W145" s="123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25"/>
      <c r="AM145" s="13"/>
      <c r="AP145" s="114"/>
    </row>
    <row r="146" spans="1:42" ht="19.5" x14ac:dyDescent="0.4">
      <c r="N146" s="26"/>
      <c r="O146" s="13"/>
      <c r="T146" s="117"/>
      <c r="U146" s="123"/>
      <c r="V146" s="123"/>
      <c r="W146" s="123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25">
        <v>45272</v>
      </c>
      <c r="AM146" s="13" t="s">
        <v>162</v>
      </c>
      <c r="AP146" s="114"/>
    </row>
    <row r="147" spans="1:42" ht="19.5" x14ac:dyDescent="0.4">
      <c r="N147" s="26"/>
      <c r="O147" s="13"/>
      <c r="T147" s="117"/>
      <c r="U147" s="123"/>
      <c r="V147" s="123"/>
      <c r="W147" s="123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25"/>
      <c r="AM147" s="13"/>
      <c r="AP147" s="114"/>
    </row>
    <row r="148" spans="1:42" ht="19.5" x14ac:dyDescent="0.4">
      <c r="H148" s="115"/>
      <c r="I148" s="115"/>
      <c r="J148" s="115"/>
      <c r="K148" s="115"/>
      <c r="L148" s="115"/>
      <c r="M148" s="115"/>
      <c r="N148" s="26"/>
      <c r="O148" s="25"/>
      <c r="T148" s="117"/>
      <c r="U148" s="123"/>
      <c r="V148" s="123"/>
      <c r="W148" s="123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25"/>
      <c r="AM148" s="13"/>
      <c r="AP148" s="114"/>
    </row>
    <row r="149" spans="1:42" ht="19.5" x14ac:dyDescent="0.4">
      <c r="N149" s="26"/>
      <c r="O149" s="25"/>
      <c r="T149" s="117"/>
      <c r="U149" s="123"/>
      <c r="V149" s="123"/>
      <c r="W149" s="123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25">
        <v>45272</v>
      </c>
      <c r="AM149" s="13" t="s">
        <v>162</v>
      </c>
      <c r="AP149" s="114"/>
    </row>
    <row r="150" spans="1:42" ht="19.5" x14ac:dyDescent="0.4">
      <c r="N150" s="26"/>
      <c r="O150" s="13"/>
      <c r="T150" s="117"/>
      <c r="U150" s="123"/>
      <c r="V150" s="123"/>
      <c r="W150" s="123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25">
        <v>45272</v>
      </c>
      <c r="AM150" s="15" t="s">
        <v>162</v>
      </c>
      <c r="AP150" s="114"/>
    </row>
    <row r="151" spans="1:42" ht="19.5" x14ac:dyDescent="0.4">
      <c r="N151" s="26"/>
      <c r="O151" s="13"/>
      <c r="T151" s="117"/>
      <c r="U151" s="123"/>
      <c r="V151" s="123"/>
      <c r="W151" s="123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25">
        <v>45272</v>
      </c>
      <c r="AM151" s="15" t="s">
        <v>162</v>
      </c>
      <c r="AP151" s="114"/>
    </row>
    <row r="152" spans="1:42" ht="19.5" x14ac:dyDescent="0.4">
      <c r="H152" s="115"/>
      <c r="I152" s="115"/>
      <c r="J152" s="115"/>
      <c r="K152" s="115"/>
      <c r="L152" s="115"/>
      <c r="M152" s="115"/>
      <c r="N152" s="26"/>
      <c r="O152" s="13"/>
      <c r="T152" s="117"/>
      <c r="U152" s="123"/>
      <c r="V152" s="123"/>
      <c r="W152" s="123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25"/>
      <c r="AM152" s="15"/>
      <c r="AP152" s="114"/>
    </row>
    <row r="153" spans="1:42" ht="19.5" x14ac:dyDescent="0.4">
      <c r="H153" s="115"/>
      <c r="I153" s="115"/>
      <c r="J153" s="115"/>
      <c r="K153" s="115"/>
      <c r="L153" s="115"/>
      <c r="M153" s="115"/>
      <c r="N153" s="17"/>
      <c r="O153" s="13"/>
      <c r="T153" s="117"/>
      <c r="U153" s="123"/>
      <c r="V153" s="123"/>
      <c r="W153" s="123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25"/>
      <c r="AM153" s="15"/>
      <c r="AP153" s="114"/>
    </row>
    <row r="154" spans="1:42" ht="19.5" x14ac:dyDescent="0.4">
      <c r="N154" s="26"/>
      <c r="O154" s="13"/>
      <c r="T154" s="117"/>
      <c r="U154" s="123"/>
      <c r="V154" s="123"/>
      <c r="W154" s="123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25">
        <v>45272</v>
      </c>
      <c r="AM154" s="15" t="s">
        <v>162</v>
      </c>
      <c r="AP154" s="114"/>
    </row>
    <row r="155" spans="1:42" ht="19.5" x14ac:dyDescent="0.4">
      <c r="F155" s="115"/>
      <c r="G155" s="115"/>
      <c r="H155" s="115"/>
      <c r="I155" s="115"/>
      <c r="J155" s="115"/>
      <c r="K155" s="115"/>
      <c r="L155" s="115"/>
      <c r="M155" s="115"/>
      <c r="N155" s="26"/>
      <c r="O155" s="13"/>
      <c r="T155" s="117"/>
      <c r="U155" s="123"/>
      <c r="V155" s="123"/>
      <c r="W155" s="123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25"/>
      <c r="AM155" s="15"/>
      <c r="AP155" s="114"/>
    </row>
    <row r="156" spans="1:42" ht="19.5" x14ac:dyDescent="0.4">
      <c r="F156" s="115"/>
      <c r="G156" s="115"/>
      <c r="H156" s="115"/>
      <c r="I156" s="115"/>
      <c r="J156" s="115"/>
      <c r="K156" s="115"/>
      <c r="L156" s="115"/>
      <c r="M156" s="115"/>
      <c r="N156" s="26"/>
      <c r="O156" s="13"/>
      <c r="T156" s="117"/>
      <c r="U156" s="123"/>
      <c r="V156" s="123"/>
      <c r="W156" s="123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25"/>
      <c r="AM156" s="15"/>
      <c r="AP156" s="114"/>
    </row>
    <row r="157" spans="1:42" ht="19.5" x14ac:dyDescent="0.4">
      <c r="F157" s="115"/>
      <c r="G157" s="115"/>
      <c r="H157" s="115"/>
      <c r="I157" s="115"/>
      <c r="J157" s="115"/>
      <c r="K157" s="115"/>
      <c r="L157" s="115"/>
      <c r="M157" s="115"/>
      <c r="N157" s="17"/>
      <c r="O157" s="13"/>
      <c r="T157" s="117"/>
      <c r="U157" s="123"/>
      <c r="V157" s="123"/>
      <c r="W157" s="123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25"/>
      <c r="AM157" s="15"/>
      <c r="AP157" s="114"/>
    </row>
    <row r="158" spans="1:42" ht="19.5" x14ac:dyDescent="0.4">
      <c r="F158" s="115"/>
      <c r="G158" s="115"/>
      <c r="H158" s="115"/>
      <c r="I158" s="115"/>
      <c r="J158" s="115"/>
      <c r="K158" s="115"/>
      <c r="L158" s="115"/>
      <c r="M158" s="115"/>
      <c r="N158" s="26"/>
      <c r="O158" s="13"/>
      <c r="T158" s="117"/>
      <c r="U158" s="123"/>
      <c r="V158" s="123"/>
      <c r="W158" s="123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25"/>
      <c r="AM158" s="15"/>
      <c r="AP158" s="114"/>
    </row>
    <row r="159" spans="1:42" ht="19.5" x14ac:dyDescent="0.4">
      <c r="F159" s="115"/>
      <c r="G159" s="115"/>
      <c r="H159" s="115"/>
      <c r="I159" s="115"/>
      <c r="J159" s="115"/>
      <c r="K159" s="115"/>
      <c r="L159" s="115"/>
      <c r="M159" s="115"/>
      <c r="N159" s="17"/>
      <c r="O159" s="13"/>
      <c r="T159" s="117"/>
      <c r="U159" s="123"/>
      <c r="V159" s="123"/>
      <c r="W159" s="123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25"/>
      <c r="AM159" s="15"/>
      <c r="AP159" s="114"/>
    </row>
    <row r="160" spans="1:42" ht="19.5" x14ac:dyDescent="0.4">
      <c r="F160" s="115"/>
      <c r="G160" s="115"/>
      <c r="H160" s="115"/>
      <c r="I160" s="115"/>
      <c r="J160" s="115"/>
      <c r="K160" s="115"/>
      <c r="L160" s="115"/>
      <c r="M160" s="115"/>
      <c r="N160" s="26"/>
      <c r="O160" s="13"/>
      <c r="T160" s="117"/>
      <c r="U160" s="123"/>
      <c r="V160" s="123"/>
      <c r="W160" s="123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25"/>
      <c r="AM160" s="15"/>
      <c r="AP160" s="114"/>
    </row>
    <row r="161" spans="6:42" ht="19.5" x14ac:dyDescent="0.4">
      <c r="N161" s="26"/>
      <c r="O161" s="13"/>
      <c r="T161" s="117"/>
      <c r="U161" s="123"/>
      <c r="V161" s="123"/>
      <c r="W161" s="123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25">
        <v>45272</v>
      </c>
      <c r="AM161" s="15" t="s">
        <v>162</v>
      </c>
      <c r="AP161" s="114"/>
    </row>
    <row r="162" spans="6:42" ht="19.5" x14ac:dyDescent="0.4">
      <c r="K162" s="115"/>
      <c r="L162" s="115"/>
      <c r="M162" s="115"/>
      <c r="N162" s="26"/>
      <c r="O162" s="13"/>
      <c r="T162" s="117"/>
      <c r="U162" s="123"/>
      <c r="V162" s="123"/>
      <c r="W162" s="123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25"/>
      <c r="AM162" s="15"/>
      <c r="AP162" s="114"/>
    </row>
    <row r="163" spans="6:42" ht="19.5" x14ac:dyDescent="0.4">
      <c r="K163" s="115"/>
      <c r="L163" s="115"/>
      <c r="M163" s="115"/>
      <c r="N163" s="17"/>
      <c r="O163" s="13"/>
      <c r="T163" s="117"/>
      <c r="U163" s="123"/>
      <c r="V163" s="123"/>
      <c r="W163" s="123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25"/>
      <c r="AM163" s="15"/>
      <c r="AP163" s="114"/>
    </row>
    <row r="164" spans="6:42" ht="19.5" x14ac:dyDescent="0.4">
      <c r="F164" s="115"/>
      <c r="G164" s="115"/>
      <c r="H164" s="115"/>
      <c r="I164" s="115"/>
      <c r="J164" s="115"/>
      <c r="K164" s="115"/>
      <c r="L164" s="115"/>
      <c r="M164" s="115"/>
      <c r="N164" s="26"/>
      <c r="O164" s="13"/>
      <c r="T164" s="117"/>
      <c r="U164" s="123"/>
      <c r="V164" s="123"/>
      <c r="W164" s="123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25"/>
      <c r="AM164" s="15"/>
      <c r="AP164" s="114"/>
    </row>
    <row r="165" spans="6:42" ht="19.5" x14ac:dyDescent="0.4">
      <c r="F165" s="115"/>
      <c r="G165" s="115"/>
      <c r="H165" s="115"/>
      <c r="I165" s="115"/>
      <c r="J165" s="115"/>
      <c r="K165" s="115"/>
      <c r="L165" s="115"/>
      <c r="M165" s="115"/>
      <c r="N165" s="17"/>
      <c r="O165" s="13"/>
      <c r="T165" s="117"/>
      <c r="U165" s="123"/>
      <c r="V165" s="123"/>
      <c r="W165" s="123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25"/>
      <c r="AM165" s="15"/>
      <c r="AP165" s="114"/>
    </row>
    <row r="166" spans="6:42" ht="19.5" x14ac:dyDescent="0.4">
      <c r="F166" s="115"/>
      <c r="G166" s="115"/>
      <c r="H166" s="115"/>
      <c r="I166" s="115"/>
      <c r="J166" s="115"/>
      <c r="K166" s="115"/>
      <c r="L166" s="115"/>
      <c r="M166" s="115"/>
      <c r="N166" s="26"/>
      <c r="O166" s="25"/>
      <c r="T166" s="117"/>
      <c r="U166" s="123"/>
      <c r="V166" s="123"/>
      <c r="W166" s="123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25"/>
      <c r="AM166" s="15"/>
      <c r="AP166" s="114"/>
    </row>
    <row r="167" spans="6:42" ht="19.5" x14ac:dyDescent="0.4">
      <c r="F167" s="115"/>
      <c r="G167" s="115"/>
      <c r="H167" s="115"/>
      <c r="I167" s="115"/>
      <c r="J167" s="115"/>
      <c r="K167" s="115"/>
      <c r="L167" s="115"/>
      <c r="M167" s="115"/>
      <c r="N167" s="17"/>
      <c r="O167" s="13"/>
      <c r="T167" s="117"/>
      <c r="U167" s="123"/>
      <c r="V167" s="123"/>
      <c r="W167" s="123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25"/>
      <c r="AM167" s="15"/>
      <c r="AP167" s="114"/>
    </row>
    <row r="168" spans="6:42" ht="19.5" x14ac:dyDescent="0.4">
      <c r="F168" s="115"/>
      <c r="G168" s="115"/>
      <c r="H168" s="115"/>
      <c r="I168" s="115"/>
      <c r="J168" s="115"/>
      <c r="K168" s="115"/>
      <c r="L168" s="115"/>
      <c r="M168" s="115"/>
      <c r="N168" s="26"/>
      <c r="O168" s="13"/>
      <c r="T168" s="117"/>
      <c r="U168" s="123"/>
      <c r="V168" s="123"/>
      <c r="W168" s="123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25"/>
      <c r="AM168" s="15"/>
      <c r="AP168" s="114"/>
    </row>
    <row r="169" spans="6:42" ht="19.5" x14ac:dyDescent="0.4">
      <c r="N169" s="26"/>
      <c r="O169" s="13"/>
      <c r="T169" s="117"/>
      <c r="U169" s="123"/>
      <c r="V169" s="123"/>
      <c r="W169" s="123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25">
        <v>45272</v>
      </c>
      <c r="AM169" s="15" t="s">
        <v>162</v>
      </c>
      <c r="AP169" s="114"/>
    </row>
    <row r="170" spans="6:42" ht="19.5" x14ac:dyDescent="0.4">
      <c r="L170" s="115"/>
      <c r="M170" s="115"/>
      <c r="N170" s="17"/>
      <c r="O170" s="13"/>
      <c r="T170" s="117"/>
      <c r="U170" s="123"/>
      <c r="V170" s="123"/>
      <c r="W170" s="123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25"/>
      <c r="AM170" s="15"/>
      <c r="AP170" s="114"/>
    </row>
    <row r="171" spans="6:42" ht="19.5" x14ac:dyDescent="0.4">
      <c r="K171" s="115"/>
      <c r="L171" s="115"/>
      <c r="M171" s="115"/>
      <c r="N171" s="26"/>
      <c r="O171" s="13"/>
      <c r="T171" s="117"/>
      <c r="U171" s="123"/>
      <c r="V171" s="123"/>
      <c r="W171" s="123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25"/>
      <c r="AM171" s="15"/>
      <c r="AP171" s="114"/>
    </row>
    <row r="172" spans="6:42" ht="19.5" x14ac:dyDescent="0.4">
      <c r="K172" s="115"/>
      <c r="L172" s="115"/>
      <c r="M172" s="115"/>
      <c r="N172" s="17"/>
      <c r="O172" s="13"/>
      <c r="T172" s="117"/>
      <c r="U172" s="123"/>
      <c r="V172" s="123"/>
      <c r="W172" s="123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25"/>
      <c r="AM172" s="15"/>
      <c r="AP172" s="114"/>
    </row>
    <row r="173" spans="6:42" ht="19.5" x14ac:dyDescent="0.4">
      <c r="K173" s="115"/>
      <c r="L173" s="115"/>
      <c r="M173" s="115"/>
      <c r="N173" s="17"/>
      <c r="O173" s="13"/>
      <c r="T173" s="117"/>
      <c r="U173" s="123"/>
      <c r="V173" s="123"/>
      <c r="W173" s="123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25"/>
      <c r="AM173" s="15"/>
      <c r="AP173" s="114"/>
    </row>
    <row r="174" spans="6:42" ht="19.5" x14ac:dyDescent="0.4">
      <c r="H174" s="115"/>
      <c r="I174" s="115"/>
      <c r="J174" s="115"/>
      <c r="K174" s="115"/>
      <c r="L174" s="115"/>
      <c r="M174" s="115"/>
      <c r="N174" s="26"/>
      <c r="O174" s="13"/>
      <c r="T174" s="117"/>
      <c r="U174" s="123"/>
      <c r="V174" s="123"/>
      <c r="W174" s="123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25"/>
      <c r="AM174" s="15"/>
      <c r="AP174" s="114"/>
    </row>
    <row r="175" spans="6:42" ht="19.5" x14ac:dyDescent="0.4">
      <c r="H175" s="115"/>
      <c r="I175" s="115"/>
      <c r="J175" s="115"/>
      <c r="K175" s="115"/>
      <c r="L175" s="115"/>
      <c r="M175" s="115"/>
      <c r="N175" s="20"/>
      <c r="O175" s="13"/>
      <c r="T175" s="117"/>
      <c r="U175" s="123"/>
      <c r="V175" s="123"/>
      <c r="W175" s="123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25"/>
      <c r="AM175" s="15"/>
      <c r="AP175" s="114"/>
    </row>
    <row r="176" spans="6:42" ht="19.5" x14ac:dyDescent="0.4">
      <c r="H176" s="115"/>
      <c r="I176" s="115"/>
      <c r="J176" s="115"/>
      <c r="K176" s="115"/>
      <c r="L176" s="115"/>
      <c r="M176" s="115"/>
      <c r="N176" s="20"/>
      <c r="O176" s="13"/>
      <c r="T176" s="117"/>
      <c r="U176" s="123"/>
      <c r="V176" s="123"/>
      <c r="W176" s="123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25"/>
      <c r="AM176" s="15"/>
      <c r="AP176" s="114"/>
    </row>
    <row r="177" spans="6:42" ht="19.5" x14ac:dyDescent="0.4">
      <c r="H177" s="115"/>
      <c r="I177" s="115"/>
      <c r="J177" s="115"/>
      <c r="K177" s="115"/>
      <c r="L177" s="115"/>
      <c r="M177" s="115"/>
      <c r="N177" s="25"/>
      <c r="O177" s="15"/>
      <c r="T177" s="117"/>
      <c r="U177" s="123"/>
      <c r="V177" s="123"/>
      <c r="W177" s="123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25"/>
      <c r="AM177" s="15"/>
      <c r="AP177" s="114"/>
    </row>
    <row r="178" spans="6:42" ht="19.5" x14ac:dyDescent="0.4">
      <c r="F178" s="115"/>
      <c r="G178" s="115"/>
      <c r="H178" s="115"/>
      <c r="I178" s="115"/>
      <c r="J178" s="115"/>
      <c r="K178" s="115"/>
      <c r="L178" s="115"/>
      <c r="M178" s="115"/>
      <c r="N178" s="25"/>
      <c r="O178" s="15"/>
      <c r="T178" s="117"/>
      <c r="U178" s="123"/>
      <c r="V178" s="123"/>
      <c r="W178" s="123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25"/>
      <c r="AM178" s="15"/>
      <c r="AP178" s="114"/>
    </row>
    <row r="179" spans="6:42" ht="19.5" x14ac:dyDescent="0.4">
      <c r="F179" s="115"/>
      <c r="G179" s="115"/>
      <c r="H179" s="115"/>
      <c r="I179" s="115"/>
      <c r="J179" s="115"/>
      <c r="K179" s="115"/>
      <c r="L179" s="115"/>
      <c r="M179" s="115"/>
      <c r="N179" s="25"/>
      <c r="O179" s="15"/>
      <c r="T179" s="117"/>
      <c r="U179" s="123"/>
      <c r="V179" s="123"/>
      <c r="W179" s="123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25"/>
      <c r="AM179" s="15"/>
      <c r="AP179" s="114"/>
    </row>
    <row r="180" spans="6:42" ht="19.5" x14ac:dyDescent="0.4">
      <c r="N180" s="26"/>
      <c r="O180" s="15"/>
      <c r="T180" s="117"/>
      <c r="U180" s="123"/>
      <c r="V180" s="123"/>
      <c r="W180" s="123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25">
        <v>45272</v>
      </c>
      <c r="AM180" s="15" t="s">
        <v>162</v>
      </c>
      <c r="AP180" s="114"/>
    </row>
    <row r="181" spans="6:42" ht="19.5" x14ac:dyDescent="0.4">
      <c r="N181" s="26"/>
      <c r="O181" s="13"/>
      <c r="T181" s="117"/>
      <c r="U181" s="123"/>
      <c r="V181" s="123"/>
      <c r="W181" s="123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25"/>
      <c r="AM181" s="15"/>
      <c r="AP181" s="114"/>
    </row>
    <row r="182" spans="6:42" ht="19.5" x14ac:dyDescent="0.4">
      <c r="G182" s="115"/>
      <c r="H182" s="115"/>
      <c r="I182" s="115"/>
      <c r="J182" s="115"/>
      <c r="K182" s="115"/>
      <c r="L182" s="115"/>
      <c r="M182" s="115"/>
      <c r="N182" s="26"/>
      <c r="O182" s="13"/>
      <c r="T182" s="117"/>
      <c r="U182" s="123"/>
      <c r="V182" s="123"/>
      <c r="W182" s="123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25"/>
      <c r="AM182" s="15"/>
      <c r="AP182" s="114"/>
    </row>
    <row r="183" spans="6:42" ht="19.5" x14ac:dyDescent="0.4">
      <c r="N183" s="26"/>
      <c r="O183" s="13"/>
      <c r="T183" s="117"/>
      <c r="U183" s="123"/>
      <c r="V183" s="123"/>
      <c r="W183" s="123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25">
        <v>45272</v>
      </c>
      <c r="AM183" s="15" t="s">
        <v>162</v>
      </c>
      <c r="AP183" s="114"/>
    </row>
    <row r="184" spans="6:42" ht="19.5" x14ac:dyDescent="0.4">
      <c r="J184" s="115"/>
      <c r="K184" s="115"/>
      <c r="L184" s="115"/>
      <c r="M184" s="115"/>
      <c r="N184" s="17"/>
      <c r="O184" s="13"/>
      <c r="T184" s="117"/>
      <c r="U184" s="123"/>
      <c r="V184" s="123"/>
      <c r="W184" s="123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25"/>
      <c r="AM184" s="15"/>
      <c r="AP184" s="114"/>
    </row>
    <row r="185" spans="6:42" ht="19.5" x14ac:dyDescent="0.4">
      <c r="N185" s="26"/>
      <c r="O185" s="13"/>
      <c r="T185" s="117"/>
      <c r="U185" s="123"/>
      <c r="V185" s="123"/>
      <c r="W185" s="123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25"/>
      <c r="AM185" s="15"/>
      <c r="AP185" s="114"/>
    </row>
    <row r="186" spans="6:42" ht="19.5" x14ac:dyDescent="0.4">
      <c r="H186" s="115"/>
      <c r="I186" s="115"/>
      <c r="J186" s="115"/>
      <c r="K186" s="115"/>
      <c r="L186" s="115"/>
      <c r="M186" s="115"/>
      <c r="N186" s="26"/>
      <c r="O186" s="13"/>
      <c r="T186" s="117"/>
      <c r="U186" s="123"/>
      <c r="V186" s="123"/>
      <c r="W186" s="123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25"/>
      <c r="AM186" s="15"/>
      <c r="AP186" s="114"/>
    </row>
    <row r="187" spans="6:42" ht="19.5" x14ac:dyDescent="0.4">
      <c r="N187" s="26"/>
      <c r="O187" s="13"/>
      <c r="T187" s="117"/>
      <c r="U187" s="123"/>
      <c r="V187" s="123"/>
      <c r="W187" s="123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25">
        <v>45272</v>
      </c>
      <c r="AM187" s="15" t="s">
        <v>162</v>
      </c>
      <c r="AP187" s="114"/>
    </row>
    <row r="188" spans="6:42" ht="19.5" x14ac:dyDescent="0.4">
      <c r="N188" s="26"/>
      <c r="O188" s="13"/>
      <c r="T188" s="117"/>
      <c r="U188" s="123"/>
      <c r="V188" s="123"/>
      <c r="W188" s="123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 t="s">
        <v>166</v>
      </c>
      <c r="AL188" s="13">
        <f>SUBTOTAL(3,AL136:AL187)</f>
        <v>13</v>
      </c>
      <c r="AM188" s="15">
        <f>SUBTOTAL(3,AM136:AM187)</f>
        <v>13</v>
      </c>
      <c r="AP188" s="114"/>
    </row>
    <row r="189" spans="6:42" ht="19.5" x14ac:dyDescent="0.4">
      <c r="J189" s="115"/>
      <c r="K189" s="115"/>
      <c r="L189" s="115"/>
      <c r="M189" s="115"/>
      <c r="N189" s="17"/>
      <c r="O189" s="13"/>
      <c r="T189" s="117"/>
      <c r="U189" s="123"/>
      <c r="V189" s="123"/>
      <c r="W189" s="123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3"/>
      <c r="AM189" s="15"/>
      <c r="AP189" s="114"/>
    </row>
    <row r="190" spans="6:42" ht="19.5" x14ac:dyDescent="0.4">
      <c r="N190" s="26"/>
      <c r="O190" s="13"/>
      <c r="T190" s="117"/>
      <c r="U190" s="123"/>
      <c r="V190" s="123"/>
      <c r="W190" s="123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25">
        <v>45273</v>
      </c>
      <c r="AM190" s="105" t="s">
        <v>164</v>
      </c>
      <c r="AP190" s="114"/>
    </row>
    <row r="191" spans="6:42" ht="19.5" x14ac:dyDescent="0.4">
      <c r="N191" s="26"/>
      <c r="O191" s="13"/>
      <c r="T191" s="117"/>
      <c r="U191" s="123"/>
      <c r="V191" s="123"/>
      <c r="W191" s="123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25">
        <v>45273</v>
      </c>
      <c r="AM191" s="15" t="s">
        <v>164</v>
      </c>
      <c r="AP191" s="114"/>
    </row>
    <row r="192" spans="6:42" ht="19.5" x14ac:dyDescent="0.4">
      <c r="G192" s="115"/>
      <c r="H192" s="115"/>
      <c r="I192" s="115"/>
      <c r="J192" s="115"/>
      <c r="K192" s="115"/>
      <c r="L192" s="115"/>
      <c r="M192" s="115"/>
      <c r="N192" s="26"/>
      <c r="O192" s="13"/>
      <c r="T192" s="117"/>
      <c r="U192" s="123"/>
      <c r="V192" s="123"/>
      <c r="W192" s="123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25"/>
      <c r="AM192" s="13"/>
      <c r="AP192" s="114"/>
    </row>
    <row r="193" spans="8:42" ht="19.5" x14ac:dyDescent="0.4">
      <c r="N193" s="26"/>
      <c r="O193" s="13"/>
      <c r="T193" s="117"/>
      <c r="U193" s="123"/>
      <c r="V193" s="123"/>
      <c r="W193" s="123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25">
        <v>45273</v>
      </c>
      <c r="AM193" s="13" t="s">
        <v>164</v>
      </c>
      <c r="AP193" s="114"/>
    </row>
    <row r="194" spans="8:42" ht="19.5" x14ac:dyDescent="0.4">
      <c r="N194" s="26"/>
      <c r="O194" s="13"/>
      <c r="T194" s="117"/>
      <c r="U194" s="123"/>
      <c r="V194" s="123"/>
      <c r="W194" s="123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25">
        <v>45273</v>
      </c>
      <c r="AM194" s="15" t="s">
        <v>164</v>
      </c>
      <c r="AP194" s="114"/>
    </row>
    <row r="195" spans="8:42" ht="19.5" x14ac:dyDescent="0.4">
      <c r="N195" s="26"/>
      <c r="O195" s="13"/>
      <c r="T195" s="117"/>
      <c r="U195" s="123"/>
      <c r="V195" s="123"/>
      <c r="W195" s="123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25">
        <v>45273</v>
      </c>
      <c r="AM195" s="15" t="s">
        <v>162</v>
      </c>
      <c r="AP195" s="114"/>
    </row>
    <row r="196" spans="8:42" ht="19.5" x14ac:dyDescent="0.4">
      <c r="I196" s="115"/>
      <c r="J196" s="115"/>
      <c r="K196" s="115"/>
      <c r="L196" s="115"/>
      <c r="M196" s="115"/>
      <c r="N196" s="26"/>
      <c r="O196" s="13"/>
      <c r="T196" s="117"/>
      <c r="U196" s="123"/>
      <c r="V196" s="123"/>
      <c r="W196" s="123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25"/>
      <c r="AM196" s="15"/>
      <c r="AP196" s="114"/>
    </row>
    <row r="197" spans="8:42" ht="19.5" x14ac:dyDescent="0.4">
      <c r="N197" s="26"/>
      <c r="O197" s="13"/>
      <c r="T197" s="117"/>
      <c r="U197" s="123"/>
      <c r="V197" s="123"/>
      <c r="W197" s="123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25">
        <v>45273</v>
      </c>
      <c r="AM197" s="15" t="s">
        <v>162</v>
      </c>
      <c r="AP197" s="114"/>
    </row>
    <row r="198" spans="8:42" ht="19.5" x14ac:dyDescent="0.4">
      <c r="N198" s="26"/>
      <c r="O198" s="13"/>
      <c r="T198" s="117"/>
      <c r="U198" s="123"/>
      <c r="V198" s="123"/>
      <c r="W198" s="123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25">
        <v>45273</v>
      </c>
      <c r="AM198" s="15" t="s">
        <v>162</v>
      </c>
      <c r="AP198" s="114"/>
    </row>
    <row r="199" spans="8:42" ht="19.5" x14ac:dyDescent="0.4">
      <c r="N199" s="26"/>
      <c r="O199" s="13"/>
      <c r="T199" s="117"/>
      <c r="U199" s="123"/>
      <c r="V199" s="123"/>
      <c r="W199" s="123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25">
        <v>45273</v>
      </c>
      <c r="AM199" s="15" t="s">
        <v>162</v>
      </c>
      <c r="AP199" s="114"/>
    </row>
    <row r="200" spans="8:42" ht="19.5" x14ac:dyDescent="0.4">
      <c r="H200" s="115"/>
      <c r="I200" s="115"/>
      <c r="J200" s="115"/>
      <c r="K200" s="115"/>
      <c r="L200" s="115"/>
      <c r="M200" s="115"/>
      <c r="N200" s="26"/>
      <c r="O200" s="13"/>
      <c r="T200" s="117"/>
      <c r="U200" s="123"/>
      <c r="V200" s="123"/>
      <c r="W200" s="123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25"/>
      <c r="AM200" s="15"/>
      <c r="AP200" s="114"/>
    </row>
    <row r="201" spans="8:42" ht="19.5" x14ac:dyDescent="0.4">
      <c r="N201" s="26"/>
      <c r="O201" s="13"/>
      <c r="T201" s="117"/>
      <c r="U201" s="123"/>
      <c r="V201" s="123"/>
      <c r="W201" s="123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25">
        <v>45273</v>
      </c>
      <c r="AM201" s="15" t="s">
        <v>162</v>
      </c>
      <c r="AP201" s="114"/>
    </row>
    <row r="202" spans="8:42" ht="19.5" x14ac:dyDescent="0.4">
      <c r="N202" s="26"/>
      <c r="O202" s="13"/>
      <c r="T202" s="117"/>
      <c r="U202" s="123"/>
      <c r="V202" s="123"/>
      <c r="W202" s="123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25">
        <v>45273</v>
      </c>
      <c r="AM202" s="15" t="s">
        <v>162</v>
      </c>
      <c r="AP202" s="114"/>
    </row>
    <row r="203" spans="8:42" ht="19.5" x14ac:dyDescent="0.4">
      <c r="N203" s="26"/>
      <c r="O203" s="13"/>
      <c r="T203" s="117"/>
      <c r="U203" s="123"/>
      <c r="V203" s="123"/>
      <c r="W203" s="123"/>
      <c r="X203" s="115"/>
      <c r="Y203" s="115"/>
      <c r="Z203" s="115"/>
      <c r="AA203" s="115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25">
        <v>45273</v>
      </c>
      <c r="AM203" s="15" t="s">
        <v>162</v>
      </c>
      <c r="AP203" s="114"/>
    </row>
    <row r="204" spans="8:42" ht="19.5" x14ac:dyDescent="0.4">
      <c r="N204" s="26"/>
      <c r="O204" s="13"/>
      <c r="T204" s="117"/>
      <c r="U204" s="123"/>
      <c r="V204" s="123"/>
      <c r="W204" s="123"/>
      <c r="X204" s="115"/>
      <c r="Y204" s="115"/>
      <c r="Z204" s="115"/>
      <c r="AA204" s="115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25">
        <v>45273</v>
      </c>
      <c r="AM204" s="15" t="s">
        <v>162</v>
      </c>
      <c r="AP204" s="114"/>
    </row>
    <row r="205" spans="8:42" ht="19.5" x14ac:dyDescent="0.4">
      <c r="J205" s="115"/>
      <c r="K205" s="115"/>
      <c r="L205" s="115"/>
      <c r="M205" s="115"/>
      <c r="N205" s="17"/>
      <c r="O205" s="13"/>
      <c r="T205" s="117"/>
      <c r="U205" s="123"/>
      <c r="V205" s="123"/>
      <c r="W205" s="123"/>
      <c r="X205" s="115"/>
      <c r="Y205" s="115"/>
      <c r="Z205" s="115"/>
      <c r="AA205" s="115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25"/>
      <c r="AM205" s="15"/>
      <c r="AP205" s="114"/>
    </row>
    <row r="206" spans="8:42" ht="19.5" x14ac:dyDescent="0.4">
      <c r="N206" s="26"/>
      <c r="O206" s="13"/>
      <c r="T206" s="117"/>
      <c r="U206" s="123"/>
      <c r="V206" s="123"/>
      <c r="W206" s="123"/>
      <c r="X206" s="115"/>
      <c r="Y206" s="115"/>
      <c r="Z206" s="115"/>
      <c r="AA206" s="115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25">
        <v>45273</v>
      </c>
      <c r="AM206" s="15" t="s">
        <v>162</v>
      </c>
      <c r="AP206" s="114"/>
    </row>
    <row r="207" spans="8:42" ht="19.5" x14ac:dyDescent="0.4">
      <c r="J207" s="115"/>
      <c r="K207" s="115"/>
      <c r="L207" s="115"/>
      <c r="M207" s="115"/>
      <c r="N207" s="17"/>
      <c r="O207" s="13"/>
      <c r="T207" s="117"/>
      <c r="U207" s="123"/>
      <c r="V207" s="123"/>
      <c r="W207" s="123"/>
      <c r="X207" s="115"/>
      <c r="Y207" s="115"/>
      <c r="Z207" s="115"/>
      <c r="AA207" s="115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25"/>
      <c r="AM207" s="15"/>
      <c r="AP207" s="114"/>
    </row>
    <row r="208" spans="8:42" ht="19.5" x14ac:dyDescent="0.4">
      <c r="N208" s="26"/>
      <c r="O208" s="13"/>
      <c r="T208" s="117"/>
      <c r="U208" s="123"/>
      <c r="V208" s="123"/>
      <c r="W208" s="123"/>
      <c r="X208" s="115"/>
      <c r="Y208" s="115"/>
      <c r="Z208" s="115"/>
      <c r="AA208" s="115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25">
        <v>45273</v>
      </c>
      <c r="AM208" s="15" t="s">
        <v>162</v>
      </c>
      <c r="AP208" s="114"/>
    </row>
    <row r="209" spans="6:42" ht="19.5" x14ac:dyDescent="0.4">
      <c r="N209" s="26"/>
      <c r="O209" s="13"/>
      <c r="T209" s="117"/>
      <c r="U209" s="123"/>
      <c r="V209" s="123"/>
      <c r="W209" s="123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25">
        <v>45273</v>
      </c>
      <c r="AM209" s="13" t="s">
        <v>162</v>
      </c>
      <c r="AP209" s="114"/>
    </row>
    <row r="210" spans="6:42" ht="19.5" x14ac:dyDescent="0.4">
      <c r="N210" s="26"/>
      <c r="O210" s="13"/>
      <c r="T210" s="117"/>
      <c r="U210" s="123"/>
      <c r="V210" s="123"/>
      <c r="W210" s="123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25">
        <v>45273</v>
      </c>
      <c r="AM210" s="15" t="s">
        <v>162</v>
      </c>
      <c r="AP210" s="114"/>
    </row>
    <row r="211" spans="6:42" ht="19.5" x14ac:dyDescent="0.4">
      <c r="N211" s="26"/>
      <c r="O211" s="13"/>
      <c r="T211" s="117"/>
      <c r="U211" s="123"/>
      <c r="V211" s="123"/>
      <c r="W211" s="123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25">
        <v>45273</v>
      </c>
      <c r="AM211" s="15" t="s">
        <v>162</v>
      </c>
      <c r="AP211" s="114"/>
    </row>
    <row r="212" spans="6:42" ht="19.5" x14ac:dyDescent="0.4">
      <c r="G212" s="115"/>
      <c r="H212" s="115"/>
      <c r="I212" s="115"/>
      <c r="J212" s="115"/>
      <c r="K212" s="115"/>
      <c r="L212" s="115"/>
      <c r="M212" s="115"/>
      <c r="N212" s="26"/>
      <c r="O212" s="25"/>
      <c r="T212" s="117"/>
      <c r="U212" s="123"/>
      <c r="V212" s="123"/>
      <c r="W212" s="123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25"/>
      <c r="AM212" s="15"/>
      <c r="AP212" s="114"/>
    </row>
    <row r="213" spans="6:42" ht="19.5" x14ac:dyDescent="0.4">
      <c r="N213" s="26"/>
      <c r="O213" s="25"/>
      <c r="T213" s="117"/>
      <c r="U213" s="123"/>
      <c r="V213" s="123"/>
      <c r="W213" s="123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25">
        <v>45273</v>
      </c>
      <c r="AM213" s="15" t="s">
        <v>162</v>
      </c>
      <c r="AP213" s="114"/>
    </row>
    <row r="214" spans="6:42" ht="19.5" x14ac:dyDescent="0.4">
      <c r="N214" s="26"/>
      <c r="O214" s="13"/>
      <c r="T214" s="117"/>
      <c r="U214" s="123"/>
      <c r="V214" s="123"/>
      <c r="W214" s="123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25">
        <v>45273</v>
      </c>
      <c r="AM214" s="15" t="s">
        <v>162</v>
      </c>
      <c r="AP214" s="114"/>
    </row>
    <row r="215" spans="6:42" ht="19.5" x14ac:dyDescent="0.4">
      <c r="F215" s="115"/>
      <c r="G215" s="115"/>
      <c r="H215" s="115"/>
      <c r="I215" s="115"/>
      <c r="J215" s="115"/>
      <c r="K215" s="115"/>
      <c r="L215" s="115"/>
      <c r="M215" s="115"/>
      <c r="N215" s="26"/>
      <c r="O215" s="13"/>
      <c r="T215" s="117"/>
      <c r="U215" s="123"/>
      <c r="V215" s="123"/>
      <c r="W215" s="123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25"/>
      <c r="AM215" s="15"/>
      <c r="AP215" s="114"/>
    </row>
    <row r="216" spans="6:42" ht="19.5" x14ac:dyDescent="0.4">
      <c r="F216" s="115"/>
      <c r="G216" s="115"/>
      <c r="H216" s="115"/>
      <c r="I216" s="115"/>
      <c r="J216" s="115"/>
      <c r="K216" s="115"/>
      <c r="L216" s="115"/>
      <c r="M216" s="115"/>
      <c r="N216" s="26"/>
      <c r="O216" s="13"/>
      <c r="T216" s="117"/>
      <c r="U216" s="123"/>
      <c r="V216" s="123"/>
      <c r="W216" s="123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25"/>
      <c r="AM216" s="15"/>
      <c r="AP216" s="114"/>
    </row>
    <row r="217" spans="6:42" ht="19.5" x14ac:dyDescent="0.4">
      <c r="N217" s="26"/>
      <c r="O217" s="13"/>
      <c r="T217" s="117"/>
      <c r="U217" s="123"/>
      <c r="V217" s="123"/>
      <c r="W217" s="123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25">
        <v>45273</v>
      </c>
      <c r="AM217" s="15" t="s">
        <v>162</v>
      </c>
      <c r="AP217" s="114"/>
    </row>
    <row r="218" spans="6:42" ht="19.5" x14ac:dyDescent="0.4">
      <c r="N218" s="26"/>
      <c r="O218" s="13"/>
      <c r="T218" s="117"/>
      <c r="U218" s="123"/>
      <c r="V218" s="123"/>
      <c r="W218" s="123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25">
        <v>45273</v>
      </c>
      <c r="AM218" s="15" t="s">
        <v>162</v>
      </c>
      <c r="AP218" s="114"/>
    </row>
    <row r="219" spans="6:42" ht="19.5" x14ac:dyDescent="0.4">
      <c r="N219" s="26"/>
      <c r="O219" s="13"/>
      <c r="T219" s="117"/>
      <c r="U219" s="123"/>
      <c r="V219" s="123"/>
      <c r="W219" s="123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25">
        <v>45273</v>
      </c>
      <c r="AM219" s="13" t="s">
        <v>163</v>
      </c>
      <c r="AP219" s="114"/>
    </row>
    <row r="220" spans="6:42" ht="19.5" x14ac:dyDescent="0.4">
      <c r="N220" s="26"/>
      <c r="O220" s="13"/>
      <c r="T220" s="117"/>
      <c r="U220" s="123"/>
      <c r="V220" s="123"/>
      <c r="W220" s="123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25"/>
      <c r="AM220" s="13"/>
      <c r="AP220" s="114"/>
    </row>
    <row r="221" spans="6:42" ht="19.5" x14ac:dyDescent="0.4">
      <c r="N221" s="26"/>
      <c r="O221" s="13"/>
      <c r="T221" s="117"/>
      <c r="U221" s="123"/>
      <c r="V221" s="123"/>
      <c r="W221" s="123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 t="s">
        <v>152</v>
      </c>
      <c r="AL221" s="13">
        <f>SUBTOTAL(3,AL190:AL219)</f>
        <v>22</v>
      </c>
      <c r="AM221" s="13">
        <f>SUBTOTAL(3,AM190:AM219)</f>
        <v>22</v>
      </c>
      <c r="AP221" s="114"/>
    </row>
    <row r="222" spans="6:42" ht="19.5" x14ac:dyDescent="0.4">
      <c r="N222" s="26"/>
      <c r="O222" s="13"/>
      <c r="T222" s="117"/>
      <c r="U222" s="123"/>
      <c r="V222" s="123"/>
      <c r="W222" s="123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25">
        <v>45274</v>
      </c>
      <c r="AM222" s="15" t="s">
        <v>162</v>
      </c>
      <c r="AP222" s="114"/>
    </row>
    <row r="223" spans="6:42" ht="19.5" x14ac:dyDescent="0.4">
      <c r="H223" s="115"/>
      <c r="I223" s="115"/>
      <c r="J223" s="115"/>
      <c r="K223" s="115"/>
      <c r="L223" s="115"/>
      <c r="M223" s="115"/>
      <c r="N223" s="26"/>
      <c r="O223" s="13"/>
      <c r="T223" s="117"/>
      <c r="U223" s="123"/>
      <c r="V223" s="123"/>
      <c r="W223" s="123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25"/>
      <c r="AM223" s="15"/>
      <c r="AP223" s="114"/>
    </row>
    <row r="224" spans="6:42" ht="19.5" x14ac:dyDescent="0.4">
      <c r="H224" s="115"/>
      <c r="I224" s="115"/>
      <c r="J224" s="115"/>
      <c r="K224" s="115"/>
      <c r="L224" s="115"/>
      <c r="M224" s="115"/>
      <c r="N224" s="26"/>
      <c r="O224" s="13"/>
      <c r="T224" s="117"/>
      <c r="U224" s="123"/>
      <c r="V224" s="123"/>
      <c r="W224" s="123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25"/>
      <c r="AM224" s="15"/>
      <c r="AP224" s="114"/>
    </row>
    <row r="225" spans="6:42" ht="19.5" x14ac:dyDescent="0.4">
      <c r="N225" s="26"/>
      <c r="O225" s="13"/>
      <c r="T225" s="117"/>
      <c r="U225" s="123"/>
      <c r="V225" s="123"/>
      <c r="W225" s="123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25">
        <v>45274</v>
      </c>
      <c r="AM225" s="15" t="s">
        <v>162</v>
      </c>
      <c r="AP225" s="114"/>
    </row>
    <row r="226" spans="6:42" ht="19.5" x14ac:dyDescent="0.4">
      <c r="I226" s="115"/>
      <c r="J226" s="115"/>
      <c r="K226" s="115"/>
      <c r="L226" s="115"/>
      <c r="M226" s="115"/>
      <c r="N226" s="26"/>
      <c r="O226" s="13"/>
      <c r="T226" s="117"/>
      <c r="U226" s="123"/>
      <c r="V226" s="123"/>
      <c r="W226" s="123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25"/>
      <c r="AM226" s="15"/>
      <c r="AP226" s="114"/>
    </row>
    <row r="227" spans="6:42" ht="19.5" x14ac:dyDescent="0.4">
      <c r="H227" s="115"/>
      <c r="I227" s="115"/>
      <c r="J227" s="115"/>
      <c r="K227" s="115"/>
      <c r="L227" s="115"/>
      <c r="M227" s="115"/>
      <c r="N227" s="26"/>
      <c r="O227" s="13"/>
      <c r="T227" s="117"/>
      <c r="U227" s="123"/>
      <c r="V227" s="123"/>
      <c r="W227" s="123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25"/>
      <c r="AM227" s="15"/>
      <c r="AP227" s="114"/>
    </row>
    <row r="228" spans="6:42" ht="19.5" x14ac:dyDescent="0.4">
      <c r="F228" s="115"/>
      <c r="G228" s="115"/>
      <c r="H228" s="115"/>
      <c r="I228" s="115"/>
      <c r="J228" s="115"/>
      <c r="K228" s="115"/>
      <c r="L228" s="115"/>
      <c r="M228" s="115"/>
      <c r="N228" s="26"/>
      <c r="O228" s="13"/>
      <c r="T228" s="117"/>
      <c r="U228" s="123"/>
      <c r="V228" s="123"/>
      <c r="W228" s="123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25"/>
      <c r="AM228" s="15"/>
      <c r="AP228" s="114"/>
    </row>
    <row r="229" spans="6:42" ht="19.5" x14ac:dyDescent="0.4">
      <c r="N229" s="26"/>
      <c r="O229" s="13"/>
      <c r="T229" s="117"/>
      <c r="U229" s="123"/>
      <c r="V229" s="123"/>
      <c r="W229" s="123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25">
        <v>45274</v>
      </c>
      <c r="AM229" s="15" t="s">
        <v>162</v>
      </c>
      <c r="AP229" s="114"/>
    </row>
    <row r="230" spans="6:42" ht="19.5" x14ac:dyDescent="0.4">
      <c r="G230" s="115"/>
      <c r="H230" s="115"/>
      <c r="I230" s="115"/>
      <c r="J230" s="115"/>
      <c r="K230" s="115"/>
      <c r="L230" s="115"/>
      <c r="M230" s="115"/>
      <c r="N230" s="26"/>
      <c r="O230" s="13"/>
      <c r="T230" s="117"/>
      <c r="U230" s="123"/>
      <c r="V230" s="123"/>
      <c r="W230" s="123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25"/>
      <c r="AM230" s="15"/>
      <c r="AP230" s="114"/>
    </row>
    <row r="231" spans="6:42" ht="19.5" x14ac:dyDescent="0.4">
      <c r="N231" s="26"/>
      <c r="O231" s="13"/>
      <c r="T231" s="117"/>
      <c r="U231" s="123"/>
      <c r="V231" s="123"/>
      <c r="W231" s="123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25">
        <v>45274</v>
      </c>
      <c r="AM231" s="15" t="s">
        <v>162</v>
      </c>
      <c r="AP231" s="114"/>
    </row>
    <row r="232" spans="6:42" ht="19.5" x14ac:dyDescent="0.4">
      <c r="N232" s="26"/>
      <c r="O232" s="13"/>
      <c r="T232" s="117"/>
      <c r="U232" s="123"/>
      <c r="V232" s="123"/>
      <c r="W232" s="123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25">
        <v>45274</v>
      </c>
      <c r="AM232" s="15" t="s">
        <v>163</v>
      </c>
      <c r="AP232" s="114"/>
    </row>
    <row r="233" spans="6:42" ht="19.5" x14ac:dyDescent="0.4">
      <c r="J233" s="115"/>
      <c r="K233" s="115"/>
      <c r="L233" s="115"/>
      <c r="M233" s="115"/>
      <c r="N233" s="17"/>
      <c r="O233" s="13"/>
      <c r="T233" s="117"/>
      <c r="U233" s="123"/>
      <c r="V233" s="123"/>
      <c r="W233" s="123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25"/>
      <c r="AM233" s="15"/>
      <c r="AP233" s="114"/>
    </row>
    <row r="234" spans="6:42" ht="19.5" x14ac:dyDescent="0.4">
      <c r="H234" s="115"/>
      <c r="I234" s="115"/>
      <c r="J234" s="115"/>
      <c r="K234" s="115"/>
      <c r="L234" s="115"/>
      <c r="M234" s="115"/>
      <c r="N234" s="26"/>
      <c r="O234" s="13"/>
      <c r="T234" s="117"/>
      <c r="U234" s="123"/>
      <c r="V234" s="123"/>
      <c r="W234" s="123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25"/>
      <c r="AM234" s="15"/>
      <c r="AP234" s="114"/>
    </row>
    <row r="235" spans="6:42" ht="19.5" x14ac:dyDescent="0.4">
      <c r="N235" s="26"/>
      <c r="O235" s="25"/>
      <c r="T235" s="117"/>
      <c r="U235" s="123"/>
      <c r="V235" s="123"/>
      <c r="W235" s="123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 t="s">
        <v>167</v>
      </c>
      <c r="AL235" s="13">
        <f>SUBTOTAL(3,AL222:AL232)</f>
        <v>5</v>
      </c>
      <c r="AM235" s="15">
        <f>SUBTOTAL(3,AM222:AM232)</f>
        <v>5</v>
      </c>
      <c r="AP235" s="114"/>
    </row>
    <row r="236" spans="6:42" ht="19.5" x14ac:dyDescent="0.4">
      <c r="H236" s="115"/>
      <c r="I236" s="115"/>
      <c r="J236" s="115"/>
      <c r="K236" s="115"/>
      <c r="L236" s="115"/>
      <c r="M236" s="115"/>
      <c r="N236" s="26"/>
      <c r="O236" s="105"/>
      <c r="T236" s="117"/>
      <c r="U236" s="123"/>
      <c r="V236" s="123"/>
      <c r="W236" s="123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3"/>
      <c r="AM236" s="15"/>
      <c r="AP236" s="114"/>
    </row>
    <row r="237" spans="6:42" ht="19.5" x14ac:dyDescent="0.4">
      <c r="N237" s="26"/>
      <c r="O237" s="105"/>
      <c r="T237" s="117"/>
      <c r="U237" s="123"/>
      <c r="V237" s="123"/>
      <c r="W237" s="123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3"/>
      <c r="AM237" s="15"/>
      <c r="AP237" s="114"/>
    </row>
    <row r="238" spans="6:42" ht="19.5" x14ac:dyDescent="0.4">
      <c r="J238" s="115"/>
      <c r="K238" s="115"/>
      <c r="L238" s="115"/>
      <c r="M238" s="115"/>
      <c r="N238" s="17"/>
      <c r="O238" s="15"/>
      <c r="T238" s="117"/>
      <c r="U238" s="123"/>
      <c r="V238" s="123"/>
      <c r="W238" s="123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3"/>
      <c r="AM238" s="15"/>
      <c r="AP238" s="114"/>
    </row>
    <row r="239" spans="6:42" ht="19.5" x14ac:dyDescent="0.4">
      <c r="H239" s="115"/>
      <c r="I239" s="115"/>
      <c r="J239" s="115"/>
      <c r="K239" s="115"/>
      <c r="L239" s="115"/>
      <c r="M239" s="115"/>
      <c r="N239" s="26"/>
      <c r="O239" s="15"/>
      <c r="T239" s="117"/>
      <c r="U239" s="123"/>
      <c r="V239" s="123"/>
      <c r="W239" s="123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3"/>
      <c r="AM239" s="15"/>
      <c r="AP239" s="114"/>
    </row>
    <row r="240" spans="6:42" ht="19.5" x14ac:dyDescent="0.4">
      <c r="H240" s="115"/>
      <c r="I240" s="115"/>
      <c r="J240" s="115"/>
      <c r="K240" s="115"/>
      <c r="L240" s="115"/>
      <c r="M240" s="115"/>
      <c r="N240" s="26"/>
      <c r="O240" s="15"/>
      <c r="T240" s="117"/>
      <c r="U240" s="123"/>
      <c r="V240" s="123"/>
      <c r="W240" s="123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3"/>
      <c r="AM240" s="15"/>
      <c r="AP240" s="114"/>
    </row>
    <row r="241" spans="6:42" ht="19.5" x14ac:dyDescent="0.4">
      <c r="H241" s="115"/>
      <c r="I241" s="115"/>
      <c r="J241" s="115"/>
      <c r="K241" s="115"/>
      <c r="L241" s="115"/>
      <c r="M241" s="115"/>
      <c r="N241" s="26"/>
      <c r="O241" s="15"/>
      <c r="T241" s="117"/>
      <c r="U241" s="123"/>
      <c r="V241" s="123"/>
      <c r="W241" s="123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3"/>
      <c r="AM241" s="15"/>
      <c r="AP241" s="114"/>
    </row>
    <row r="242" spans="6:42" ht="19.5" x14ac:dyDescent="0.4">
      <c r="G242" s="115"/>
      <c r="H242" s="115"/>
      <c r="I242" s="115"/>
      <c r="J242" s="115"/>
      <c r="K242" s="115"/>
      <c r="L242" s="115"/>
      <c r="M242" s="115"/>
      <c r="N242" s="26"/>
      <c r="O242" s="15"/>
      <c r="T242" s="117"/>
      <c r="U242" s="123"/>
      <c r="V242" s="123"/>
      <c r="W242" s="123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3"/>
      <c r="AM242" s="15"/>
      <c r="AP242" s="114"/>
    </row>
    <row r="243" spans="6:42" ht="19.5" x14ac:dyDescent="0.4">
      <c r="N243" s="26"/>
      <c r="O243" s="15"/>
      <c r="T243" s="117"/>
      <c r="U243" s="123"/>
      <c r="V243" s="123"/>
      <c r="W243" s="123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25">
        <v>45275</v>
      </c>
      <c r="AM243" s="15" t="s">
        <v>163</v>
      </c>
      <c r="AP243" s="114"/>
    </row>
    <row r="244" spans="6:42" ht="19.5" x14ac:dyDescent="0.4">
      <c r="N244" s="26"/>
      <c r="O244" s="15"/>
      <c r="T244" s="117"/>
      <c r="U244" s="123"/>
      <c r="V244" s="123"/>
      <c r="W244" s="123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 t="s">
        <v>168</v>
      </c>
      <c r="AL244" s="13">
        <f>SUBTOTAL(3,AL243:AL243)</f>
        <v>1</v>
      </c>
      <c r="AM244" s="15">
        <f>SUBTOTAL(3,AM243:AM243)</f>
        <v>1</v>
      </c>
      <c r="AP244" s="114"/>
    </row>
    <row r="245" spans="6:42" ht="19.5" x14ac:dyDescent="0.4">
      <c r="N245" s="26"/>
      <c r="O245" s="15"/>
      <c r="T245" s="117"/>
      <c r="U245" s="123"/>
      <c r="V245" s="123"/>
      <c r="W245" s="123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25">
        <v>45276</v>
      </c>
      <c r="AM245" s="15" t="s">
        <v>164</v>
      </c>
      <c r="AP245" s="114"/>
    </row>
    <row r="246" spans="6:42" ht="19.5" x14ac:dyDescent="0.4">
      <c r="N246" s="26"/>
      <c r="O246" s="15"/>
      <c r="T246" s="117"/>
      <c r="U246" s="123"/>
      <c r="V246" s="123"/>
      <c r="W246" s="123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25">
        <v>45276</v>
      </c>
      <c r="AM246" s="15" t="s">
        <v>162</v>
      </c>
      <c r="AP246" s="114"/>
    </row>
    <row r="247" spans="6:42" ht="19.5" x14ac:dyDescent="0.4">
      <c r="N247" s="26"/>
      <c r="O247" s="15"/>
      <c r="T247" s="117"/>
      <c r="U247" s="123"/>
      <c r="V247" s="123"/>
      <c r="W247" s="123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25">
        <v>45276</v>
      </c>
      <c r="AM247" s="15" t="s">
        <v>162</v>
      </c>
      <c r="AP247" s="114"/>
    </row>
    <row r="248" spans="6:42" ht="19.5" x14ac:dyDescent="0.4">
      <c r="N248" s="26"/>
      <c r="O248" s="15"/>
      <c r="T248" s="117"/>
      <c r="U248" s="123"/>
      <c r="V248" s="123"/>
      <c r="W248" s="123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25">
        <v>45276</v>
      </c>
      <c r="AM248" s="15" t="s">
        <v>162</v>
      </c>
      <c r="AP248" s="114"/>
    </row>
    <row r="249" spans="6:42" ht="19.5" x14ac:dyDescent="0.4">
      <c r="N249" s="26"/>
      <c r="O249" s="15"/>
      <c r="T249" s="117"/>
      <c r="U249" s="123"/>
      <c r="V249" s="123"/>
      <c r="W249" s="123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25">
        <v>45276</v>
      </c>
      <c r="AM249" s="15" t="s">
        <v>162</v>
      </c>
      <c r="AP249" s="114"/>
    </row>
    <row r="250" spans="6:42" ht="19.5" x14ac:dyDescent="0.4">
      <c r="F250" s="115"/>
      <c r="G250" s="115"/>
      <c r="H250" s="115"/>
      <c r="I250" s="115"/>
      <c r="J250" s="115"/>
      <c r="K250" s="115"/>
      <c r="L250" s="115"/>
      <c r="M250" s="115"/>
      <c r="N250" s="26"/>
      <c r="O250" s="15"/>
      <c r="T250" s="117"/>
      <c r="U250" s="123"/>
      <c r="V250" s="123"/>
      <c r="W250" s="123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25"/>
      <c r="AM250" s="15"/>
      <c r="AP250" s="114"/>
    </row>
    <row r="251" spans="6:42" ht="19.5" x14ac:dyDescent="0.4">
      <c r="N251" s="26"/>
      <c r="O251" s="15"/>
      <c r="T251" s="117"/>
      <c r="U251" s="123"/>
      <c r="V251" s="123"/>
      <c r="W251" s="123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25">
        <v>45276</v>
      </c>
      <c r="AM251" s="15" t="s">
        <v>162</v>
      </c>
      <c r="AP251" s="114"/>
    </row>
    <row r="252" spans="6:42" ht="19.5" x14ac:dyDescent="0.4">
      <c r="N252" s="26"/>
      <c r="O252" s="15"/>
      <c r="T252" s="117"/>
      <c r="U252" s="123"/>
      <c r="V252" s="123"/>
      <c r="W252" s="123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25">
        <v>45276</v>
      </c>
      <c r="AM252" s="15" t="s">
        <v>162</v>
      </c>
      <c r="AP252" s="114"/>
    </row>
    <row r="253" spans="6:42" ht="19.5" x14ac:dyDescent="0.4">
      <c r="J253" s="115"/>
      <c r="K253" s="115"/>
      <c r="L253" s="115"/>
      <c r="M253" s="115"/>
      <c r="N253" s="17"/>
      <c r="O253" s="15"/>
      <c r="T253" s="117"/>
      <c r="U253" s="123"/>
      <c r="V253" s="123"/>
      <c r="W253" s="123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25"/>
      <c r="AM253" s="15"/>
      <c r="AP253" s="114"/>
    </row>
    <row r="254" spans="6:42" ht="19.5" x14ac:dyDescent="0.4">
      <c r="F254" s="115"/>
      <c r="G254" s="115"/>
      <c r="H254" s="115"/>
      <c r="I254" s="115"/>
      <c r="J254" s="115"/>
      <c r="K254" s="115"/>
      <c r="L254" s="115"/>
      <c r="M254" s="115"/>
      <c r="N254" s="26"/>
      <c r="O254" s="15"/>
      <c r="T254" s="117"/>
      <c r="U254" s="123"/>
      <c r="V254" s="123"/>
      <c r="W254" s="123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25"/>
      <c r="AM254" s="15"/>
      <c r="AP254" s="114"/>
    </row>
    <row r="255" spans="6:42" ht="19.5" x14ac:dyDescent="0.4">
      <c r="F255" s="115"/>
      <c r="G255" s="115"/>
      <c r="H255" s="115"/>
      <c r="I255" s="115"/>
      <c r="J255" s="115"/>
      <c r="K255" s="115"/>
      <c r="L255" s="115"/>
      <c r="M255" s="115"/>
      <c r="N255" s="26"/>
      <c r="O255" s="15"/>
      <c r="T255" s="117"/>
      <c r="U255" s="123"/>
      <c r="V255" s="123"/>
      <c r="W255" s="123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25"/>
      <c r="AM255" s="15"/>
      <c r="AP255" s="114"/>
    </row>
    <row r="256" spans="6:42" ht="19.5" x14ac:dyDescent="0.4">
      <c r="F256" s="115"/>
      <c r="G256" s="115"/>
      <c r="H256" s="115"/>
      <c r="I256" s="115"/>
      <c r="J256" s="115"/>
      <c r="K256" s="115"/>
      <c r="L256" s="115"/>
      <c r="M256" s="115"/>
      <c r="N256" s="26"/>
      <c r="O256" s="15"/>
      <c r="T256" s="117"/>
      <c r="U256" s="123"/>
      <c r="V256" s="123"/>
      <c r="W256" s="123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25"/>
      <c r="AM256" s="15"/>
      <c r="AP256" s="114"/>
    </row>
    <row r="257" spans="6:42" ht="19.5" x14ac:dyDescent="0.4">
      <c r="N257" s="26"/>
      <c r="O257" s="15"/>
      <c r="S257" s="115"/>
      <c r="T257" s="117"/>
      <c r="U257" s="123"/>
      <c r="V257" s="123"/>
      <c r="W257" s="123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25">
        <v>45276</v>
      </c>
      <c r="AM257" s="15" t="s">
        <v>162</v>
      </c>
      <c r="AP257" s="114"/>
    </row>
    <row r="258" spans="6:42" ht="19.5" x14ac:dyDescent="0.4">
      <c r="N258" s="26"/>
      <c r="O258" s="15"/>
      <c r="S258" s="115"/>
      <c r="T258" s="117"/>
      <c r="U258" s="123"/>
      <c r="V258" s="123"/>
      <c r="W258" s="123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25">
        <v>45276</v>
      </c>
      <c r="AM258" s="15" t="s">
        <v>162</v>
      </c>
      <c r="AP258" s="114"/>
    </row>
    <row r="259" spans="6:42" ht="19.5" x14ac:dyDescent="0.4">
      <c r="N259" s="26"/>
      <c r="O259" s="15"/>
      <c r="S259" s="115"/>
      <c r="T259" s="117"/>
      <c r="U259" s="123"/>
      <c r="V259" s="123"/>
      <c r="W259" s="123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25">
        <v>45276</v>
      </c>
      <c r="AM259" s="15" t="s">
        <v>162</v>
      </c>
      <c r="AP259" s="114"/>
    </row>
    <row r="260" spans="6:42" ht="19.5" x14ac:dyDescent="0.4">
      <c r="J260" s="115"/>
      <c r="K260" s="115"/>
      <c r="L260" s="115"/>
      <c r="M260" s="115"/>
      <c r="N260" s="17"/>
      <c r="O260" s="15"/>
      <c r="S260" s="115"/>
      <c r="T260" s="117"/>
      <c r="U260" s="123"/>
      <c r="V260" s="123"/>
      <c r="W260" s="123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25"/>
      <c r="AM260" s="15"/>
      <c r="AP260" s="114"/>
    </row>
    <row r="261" spans="6:42" ht="19.5" x14ac:dyDescent="0.4">
      <c r="G261" s="115"/>
      <c r="H261" s="115"/>
      <c r="I261" s="115"/>
      <c r="J261" s="115"/>
      <c r="K261" s="115"/>
      <c r="L261" s="115"/>
      <c r="M261" s="115"/>
      <c r="N261" s="26"/>
      <c r="O261" s="15"/>
      <c r="S261" s="115"/>
      <c r="T261" s="117"/>
      <c r="U261" s="123"/>
      <c r="V261" s="123"/>
      <c r="W261" s="123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25"/>
      <c r="AM261" s="15"/>
      <c r="AP261" s="114"/>
    </row>
    <row r="262" spans="6:42" ht="19.5" x14ac:dyDescent="0.4">
      <c r="G262" s="115"/>
      <c r="H262" s="115"/>
      <c r="I262" s="115"/>
      <c r="J262" s="115"/>
      <c r="K262" s="115"/>
      <c r="L262" s="115"/>
      <c r="M262" s="115"/>
      <c r="N262" s="17"/>
      <c r="O262" s="15"/>
      <c r="S262" s="115"/>
      <c r="T262" s="117"/>
      <c r="U262" s="123"/>
      <c r="V262" s="123"/>
      <c r="W262" s="123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25"/>
      <c r="AM262" s="15"/>
      <c r="AP262" s="114"/>
    </row>
    <row r="263" spans="6:42" ht="19.5" x14ac:dyDescent="0.4">
      <c r="N263" s="26"/>
      <c r="O263" s="15"/>
      <c r="S263" s="115"/>
      <c r="T263" s="117"/>
      <c r="U263" s="123"/>
      <c r="V263" s="123"/>
      <c r="W263" s="123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25"/>
      <c r="AM263" s="15"/>
      <c r="AP263" s="114"/>
    </row>
    <row r="264" spans="6:42" ht="19.5" x14ac:dyDescent="0.4">
      <c r="F264" s="115"/>
      <c r="G264" s="115"/>
      <c r="H264" s="115"/>
      <c r="I264" s="115"/>
      <c r="J264" s="115"/>
      <c r="K264" s="115"/>
      <c r="L264" s="115"/>
      <c r="M264" s="115"/>
      <c r="N264" s="26"/>
      <c r="O264" s="15"/>
      <c r="S264" s="115"/>
      <c r="T264" s="117"/>
      <c r="U264" s="123"/>
      <c r="V264" s="123"/>
      <c r="W264" s="123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25"/>
      <c r="AM264" s="15"/>
      <c r="AP264" s="114"/>
    </row>
    <row r="265" spans="6:42" ht="19.5" x14ac:dyDescent="0.4">
      <c r="N265" s="26"/>
      <c r="O265" s="15"/>
      <c r="S265" s="115"/>
      <c r="T265" s="117"/>
      <c r="U265" s="123"/>
      <c r="V265" s="123"/>
      <c r="W265" s="123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25">
        <v>45276</v>
      </c>
      <c r="AM265" s="15" t="s">
        <v>162</v>
      </c>
      <c r="AP265" s="114"/>
    </row>
    <row r="266" spans="6:42" ht="19.5" x14ac:dyDescent="0.4">
      <c r="J266" s="115"/>
      <c r="K266" s="115"/>
      <c r="L266" s="115"/>
      <c r="M266" s="115"/>
      <c r="N266" s="17"/>
      <c r="O266" s="15"/>
      <c r="S266" s="115"/>
      <c r="T266" s="117"/>
      <c r="U266" s="123"/>
      <c r="V266" s="123"/>
      <c r="W266" s="123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25"/>
      <c r="AM266" s="15"/>
      <c r="AP266" s="114"/>
    </row>
    <row r="267" spans="6:42" ht="19.5" x14ac:dyDescent="0.4">
      <c r="N267" s="26"/>
      <c r="O267" s="15"/>
      <c r="S267" s="115"/>
      <c r="T267" s="117"/>
      <c r="U267" s="123"/>
      <c r="V267" s="123"/>
      <c r="W267" s="123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25">
        <v>45276</v>
      </c>
      <c r="AM267" s="15" t="s">
        <v>162</v>
      </c>
      <c r="AP267" s="114"/>
    </row>
    <row r="268" spans="6:42" ht="19.5" x14ac:dyDescent="0.4">
      <c r="J268" s="115"/>
      <c r="K268" s="115"/>
      <c r="L268" s="115"/>
      <c r="M268" s="115"/>
      <c r="N268" s="17"/>
      <c r="O268" s="15"/>
      <c r="S268" s="115"/>
      <c r="T268" s="117"/>
      <c r="U268" s="123"/>
      <c r="V268" s="123"/>
      <c r="W268" s="123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25"/>
      <c r="AM268" s="15"/>
      <c r="AP268" s="114"/>
    </row>
    <row r="269" spans="6:42" ht="19.5" x14ac:dyDescent="0.4">
      <c r="I269" s="115"/>
      <c r="J269" s="115"/>
      <c r="K269" s="115"/>
      <c r="L269" s="115"/>
      <c r="M269" s="115"/>
      <c r="N269" s="26"/>
      <c r="O269" s="15"/>
      <c r="S269" s="115"/>
      <c r="T269" s="117"/>
      <c r="U269" s="123"/>
      <c r="V269" s="123"/>
      <c r="W269" s="123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25"/>
      <c r="AM269" s="15"/>
      <c r="AP269" s="114"/>
    </row>
    <row r="270" spans="6:42" ht="19.5" x14ac:dyDescent="0.4">
      <c r="I270" s="115"/>
      <c r="J270" s="115"/>
      <c r="K270" s="115"/>
      <c r="L270" s="115"/>
      <c r="M270" s="115"/>
      <c r="N270" s="17"/>
      <c r="O270" s="15"/>
      <c r="S270" s="115"/>
      <c r="T270" s="117"/>
      <c r="U270" s="123"/>
      <c r="V270" s="123"/>
      <c r="W270" s="123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25"/>
      <c r="AM270" s="15"/>
      <c r="AP270" s="114"/>
    </row>
    <row r="271" spans="6:42" ht="19.5" x14ac:dyDescent="0.4">
      <c r="N271" s="26"/>
      <c r="O271" s="15"/>
      <c r="S271" s="115"/>
      <c r="T271" s="117"/>
      <c r="U271" s="123"/>
      <c r="V271" s="123"/>
      <c r="W271" s="123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25">
        <v>45276</v>
      </c>
      <c r="AM271" s="15" t="s">
        <v>162</v>
      </c>
      <c r="AP271" s="114"/>
    </row>
    <row r="272" spans="6:42" ht="19.5" x14ac:dyDescent="0.4">
      <c r="N272" s="26"/>
      <c r="O272" s="15"/>
      <c r="S272" s="115"/>
      <c r="T272" s="117"/>
      <c r="U272" s="123"/>
      <c r="V272" s="123"/>
      <c r="W272" s="123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25">
        <v>45276</v>
      </c>
      <c r="AM272" s="15" t="s">
        <v>162</v>
      </c>
      <c r="AP272" s="114"/>
    </row>
    <row r="273" spans="7:42" ht="19.5" x14ac:dyDescent="0.4">
      <c r="N273" s="26"/>
      <c r="O273" s="15"/>
      <c r="S273" s="115"/>
      <c r="T273" s="117"/>
      <c r="U273" s="123"/>
      <c r="V273" s="123"/>
      <c r="W273" s="123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25">
        <v>45276</v>
      </c>
      <c r="AM273" s="15" t="s">
        <v>162</v>
      </c>
      <c r="AP273" s="114"/>
    </row>
    <row r="274" spans="7:42" ht="19.5" x14ac:dyDescent="0.4">
      <c r="N274" s="26"/>
      <c r="O274" s="15"/>
      <c r="S274" s="115"/>
      <c r="T274" s="117"/>
      <c r="U274" s="123"/>
      <c r="V274" s="123"/>
      <c r="W274" s="123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25"/>
      <c r="AM274" s="15"/>
      <c r="AP274" s="114"/>
    </row>
    <row r="275" spans="7:42" ht="19.5" x14ac:dyDescent="0.4">
      <c r="J275" s="115"/>
      <c r="K275" s="115"/>
      <c r="L275" s="115"/>
      <c r="M275" s="115"/>
      <c r="N275" s="17"/>
      <c r="O275" s="15"/>
      <c r="S275" s="115"/>
      <c r="T275" s="117"/>
      <c r="U275" s="123"/>
      <c r="V275" s="123"/>
      <c r="W275" s="123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25"/>
      <c r="AM275" s="15"/>
      <c r="AP275" s="114"/>
    </row>
    <row r="276" spans="7:42" ht="19.5" x14ac:dyDescent="0.4">
      <c r="N276" s="26"/>
      <c r="O276" s="15"/>
      <c r="S276" s="115"/>
      <c r="T276" s="117"/>
      <c r="U276" s="123"/>
      <c r="V276" s="123"/>
      <c r="W276" s="123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25">
        <v>45276</v>
      </c>
      <c r="AM276" s="15" t="s">
        <v>162</v>
      </c>
      <c r="AP276" s="114"/>
    </row>
    <row r="277" spans="7:42" ht="19.5" x14ac:dyDescent="0.4">
      <c r="N277" s="26"/>
      <c r="O277" s="15"/>
      <c r="S277" s="115"/>
      <c r="T277" s="117"/>
      <c r="U277" s="123"/>
      <c r="V277" s="123"/>
      <c r="W277" s="123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25">
        <v>45276</v>
      </c>
      <c r="AM277" s="15" t="s">
        <v>162</v>
      </c>
      <c r="AP277" s="114"/>
    </row>
    <row r="278" spans="7:42" ht="19.5" x14ac:dyDescent="0.4">
      <c r="J278" s="115"/>
      <c r="K278" s="115"/>
      <c r="L278" s="115"/>
      <c r="M278" s="115"/>
      <c r="N278" s="17"/>
      <c r="O278" s="15"/>
      <c r="S278" s="115"/>
      <c r="T278" s="117"/>
      <c r="U278" s="123"/>
      <c r="V278" s="123"/>
      <c r="W278" s="123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25"/>
      <c r="AM278" s="15"/>
      <c r="AP278" s="114"/>
    </row>
    <row r="279" spans="7:42" ht="19.5" x14ac:dyDescent="0.4">
      <c r="G279" s="115"/>
      <c r="H279" s="115"/>
      <c r="I279" s="115"/>
      <c r="J279" s="115"/>
      <c r="K279" s="115"/>
      <c r="L279" s="115"/>
      <c r="M279" s="115"/>
      <c r="N279" s="26"/>
      <c r="O279" s="15"/>
      <c r="S279" s="115"/>
      <c r="T279" s="117"/>
      <c r="U279" s="123"/>
      <c r="V279" s="123"/>
      <c r="W279" s="123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25"/>
      <c r="AM279" s="15"/>
      <c r="AP279" s="114"/>
    </row>
    <row r="280" spans="7:42" ht="19.5" x14ac:dyDescent="0.4">
      <c r="G280" s="115"/>
      <c r="H280" s="115"/>
      <c r="I280" s="115"/>
      <c r="J280" s="115"/>
      <c r="K280" s="115"/>
      <c r="L280" s="115"/>
      <c r="M280" s="115"/>
      <c r="N280" s="17"/>
      <c r="O280" s="15"/>
      <c r="S280" s="115"/>
      <c r="T280" s="117"/>
      <c r="U280" s="123"/>
      <c r="V280" s="123"/>
      <c r="W280" s="123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25"/>
      <c r="AM280" s="15"/>
      <c r="AP280" s="114"/>
    </row>
    <row r="281" spans="7:42" ht="19.5" x14ac:dyDescent="0.4">
      <c r="G281" s="115"/>
      <c r="H281" s="115"/>
      <c r="I281" s="115"/>
      <c r="J281" s="115"/>
      <c r="K281" s="115"/>
      <c r="L281" s="115"/>
      <c r="M281" s="115"/>
      <c r="N281" s="26"/>
      <c r="O281" s="15"/>
      <c r="S281" s="115"/>
      <c r="T281" s="117"/>
      <c r="U281" s="123"/>
      <c r="V281" s="123"/>
      <c r="W281" s="123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25"/>
      <c r="AM281" s="15"/>
      <c r="AP281" s="114"/>
    </row>
    <row r="282" spans="7:42" ht="19.5" x14ac:dyDescent="0.4">
      <c r="N282" s="26"/>
      <c r="O282" s="15"/>
      <c r="S282" s="115"/>
      <c r="T282" s="117"/>
      <c r="U282" s="123"/>
      <c r="V282" s="123"/>
      <c r="W282" s="123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 t="s">
        <v>169</v>
      </c>
      <c r="AL282" s="13">
        <f>SUBTOTAL(3,AL245:AL277)</f>
        <v>17</v>
      </c>
      <c r="AM282" s="15">
        <f>SUBTOTAL(3,AM245:AM277)</f>
        <v>17</v>
      </c>
      <c r="AP282" s="114"/>
    </row>
    <row r="283" spans="7:42" ht="19.5" x14ac:dyDescent="0.4">
      <c r="G283" s="115"/>
      <c r="H283" s="115"/>
      <c r="I283" s="115"/>
      <c r="J283" s="115"/>
      <c r="K283" s="115"/>
      <c r="L283" s="115"/>
      <c r="M283" s="115"/>
      <c r="N283" s="26"/>
      <c r="O283" s="15"/>
      <c r="S283" s="115"/>
      <c r="T283" s="117"/>
      <c r="U283" s="123"/>
      <c r="V283" s="123"/>
      <c r="W283" s="123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3"/>
      <c r="AM283" s="15"/>
      <c r="AP283" s="114"/>
    </row>
    <row r="284" spans="7:42" ht="19.5" x14ac:dyDescent="0.4">
      <c r="N284" s="26"/>
      <c r="O284" s="15"/>
      <c r="S284" s="115"/>
      <c r="T284" s="117"/>
      <c r="U284" s="123"/>
      <c r="V284" s="123"/>
      <c r="W284" s="123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25">
        <v>45277</v>
      </c>
      <c r="AM284" s="15" t="s">
        <v>162</v>
      </c>
      <c r="AP284" s="114"/>
    </row>
    <row r="285" spans="7:42" ht="19.5" x14ac:dyDescent="0.4">
      <c r="J285" s="115"/>
      <c r="K285" s="115"/>
      <c r="L285" s="115"/>
      <c r="M285" s="115"/>
      <c r="N285" s="17"/>
      <c r="O285" s="15"/>
      <c r="S285" s="115"/>
      <c r="T285" s="117"/>
      <c r="U285" s="123"/>
      <c r="V285" s="123"/>
      <c r="W285" s="123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25"/>
      <c r="AM285" s="15"/>
      <c r="AP285" s="114"/>
    </row>
    <row r="286" spans="7:42" ht="19.5" x14ac:dyDescent="0.4">
      <c r="G286" s="115"/>
      <c r="H286" s="115"/>
      <c r="I286" s="115"/>
      <c r="J286" s="115"/>
      <c r="K286" s="115"/>
      <c r="L286" s="115"/>
      <c r="M286" s="115"/>
      <c r="N286" s="26"/>
      <c r="O286" s="15"/>
      <c r="S286" s="115"/>
      <c r="T286" s="117"/>
      <c r="U286" s="123"/>
      <c r="V286" s="123"/>
      <c r="W286" s="123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25"/>
      <c r="AM286" s="15"/>
      <c r="AP286" s="114"/>
    </row>
    <row r="287" spans="7:42" ht="19.5" x14ac:dyDescent="0.4">
      <c r="G287" s="115"/>
      <c r="H287" s="115"/>
      <c r="I287" s="115"/>
      <c r="J287" s="115"/>
      <c r="K287" s="115"/>
      <c r="L287" s="115"/>
      <c r="M287" s="115"/>
      <c r="N287" s="17"/>
      <c r="O287" s="15"/>
      <c r="S287" s="115"/>
      <c r="T287" s="117"/>
      <c r="U287" s="123"/>
      <c r="V287" s="123"/>
      <c r="W287" s="123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25"/>
      <c r="AM287" s="15"/>
      <c r="AP287" s="114"/>
    </row>
    <row r="288" spans="7:42" ht="19.5" x14ac:dyDescent="0.4">
      <c r="G288" s="115"/>
      <c r="H288" s="115"/>
      <c r="I288" s="115"/>
      <c r="J288" s="115"/>
      <c r="K288" s="115"/>
      <c r="L288" s="115"/>
      <c r="M288" s="115"/>
      <c r="N288" s="17"/>
      <c r="O288" s="15"/>
      <c r="S288" s="115"/>
      <c r="T288" s="117"/>
      <c r="U288" s="123"/>
      <c r="V288" s="123"/>
      <c r="W288" s="123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25"/>
      <c r="AM288" s="15"/>
      <c r="AP288" s="114"/>
    </row>
    <row r="289" spans="6:42" ht="19.5" x14ac:dyDescent="0.4">
      <c r="N289" s="26"/>
      <c r="O289" s="15"/>
      <c r="S289" s="115"/>
      <c r="T289" s="117"/>
      <c r="U289" s="123"/>
      <c r="V289" s="123"/>
      <c r="W289" s="123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25">
        <v>45277</v>
      </c>
      <c r="AM289" s="15" t="s">
        <v>162</v>
      </c>
      <c r="AP289" s="114"/>
    </row>
    <row r="290" spans="6:42" ht="19.5" x14ac:dyDescent="0.4">
      <c r="I290" s="115"/>
      <c r="J290" s="115"/>
      <c r="K290" s="115"/>
      <c r="L290" s="115"/>
      <c r="M290" s="115"/>
      <c r="N290" s="17"/>
      <c r="O290" s="15"/>
      <c r="S290" s="115"/>
      <c r="T290" s="117"/>
      <c r="U290" s="123"/>
      <c r="V290" s="123"/>
      <c r="W290" s="123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31"/>
      <c r="AM290" s="13"/>
      <c r="AP290" s="114"/>
    </row>
    <row r="291" spans="6:42" ht="19.5" x14ac:dyDescent="0.4">
      <c r="N291" s="26"/>
      <c r="O291" s="15"/>
      <c r="S291" s="115"/>
      <c r="T291" s="117"/>
      <c r="U291" s="123"/>
      <c r="V291" s="123"/>
      <c r="W291" s="123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26">
        <v>45277</v>
      </c>
      <c r="AM291" s="13" t="s">
        <v>162</v>
      </c>
      <c r="AP291" s="114"/>
    </row>
    <row r="292" spans="6:42" ht="19.5" x14ac:dyDescent="0.4">
      <c r="N292" s="26"/>
      <c r="O292" s="15"/>
      <c r="S292" s="115"/>
      <c r="T292" s="117"/>
      <c r="U292" s="123"/>
      <c r="V292" s="123"/>
      <c r="W292" s="123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26">
        <v>45277</v>
      </c>
      <c r="AM292" s="15" t="s">
        <v>162</v>
      </c>
      <c r="AP292" s="114"/>
    </row>
    <row r="293" spans="6:42" ht="19.5" x14ac:dyDescent="0.4">
      <c r="F293" s="115"/>
      <c r="G293" s="115"/>
      <c r="H293" s="115"/>
      <c r="I293" s="115"/>
      <c r="J293" s="115"/>
      <c r="K293" s="115"/>
      <c r="L293" s="115"/>
      <c r="M293" s="115"/>
      <c r="N293" s="26"/>
      <c r="O293" s="15"/>
      <c r="S293" s="115"/>
      <c r="T293" s="117"/>
      <c r="U293" s="123"/>
      <c r="V293" s="123"/>
      <c r="W293" s="123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26"/>
      <c r="AM293" s="15"/>
      <c r="AP293" s="114"/>
    </row>
    <row r="294" spans="6:42" ht="19.5" x14ac:dyDescent="0.4">
      <c r="N294" s="26"/>
      <c r="O294" s="15"/>
      <c r="S294" s="115"/>
      <c r="T294" s="117"/>
      <c r="U294" s="123"/>
      <c r="V294" s="123"/>
      <c r="W294" s="123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26">
        <v>45277</v>
      </c>
      <c r="AM294" s="15" t="s">
        <v>162</v>
      </c>
      <c r="AP294" s="114"/>
    </row>
    <row r="295" spans="6:42" ht="19.5" x14ac:dyDescent="0.4">
      <c r="N295" s="26"/>
      <c r="O295" s="15"/>
      <c r="S295" s="115"/>
      <c r="T295" s="117"/>
      <c r="U295" s="123"/>
      <c r="V295" s="123"/>
      <c r="W295" s="123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 t="s">
        <v>160</v>
      </c>
      <c r="AL295" s="17">
        <f>SUBTOTAL(3,AL284:AL294)</f>
        <v>5</v>
      </c>
      <c r="AM295" s="15">
        <f>SUBTOTAL(3,AM284:AM294)</f>
        <v>5</v>
      </c>
      <c r="AP295" s="114"/>
    </row>
    <row r="296" spans="6:42" ht="19.5" x14ac:dyDescent="0.4">
      <c r="F296" s="115"/>
      <c r="G296" s="115"/>
      <c r="H296" s="115"/>
      <c r="I296" s="115"/>
      <c r="J296" s="115"/>
      <c r="K296" s="115"/>
      <c r="L296" s="115"/>
      <c r="M296" s="115"/>
      <c r="N296" s="26"/>
      <c r="O296" s="15"/>
      <c r="S296" s="115"/>
      <c r="T296" s="117"/>
      <c r="U296" s="123"/>
      <c r="V296" s="123"/>
      <c r="W296" s="123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7"/>
      <c r="AM296" s="15"/>
      <c r="AP296" s="114"/>
    </row>
    <row r="297" spans="6:42" ht="19.5" x14ac:dyDescent="0.4">
      <c r="F297" s="115"/>
      <c r="G297" s="115"/>
      <c r="H297" s="115"/>
      <c r="I297" s="115"/>
      <c r="J297" s="115"/>
      <c r="K297" s="115"/>
      <c r="L297" s="115"/>
      <c r="M297" s="115"/>
      <c r="N297" s="26"/>
      <c r="O297" s="15"/>
      <c r="S297" s="115"/>
      <c r="T297" s="117"/>
      <c r="U297" s="123"/>
      <c r="V297" s="123"/>
      <c r="W297" s="123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7"/>
      <c r="AM297" s="15"/>
      <c r="AP297" s="114"/>
    </row>
    <row r="298" spans="6:42" ht="19.5" x14ac:dyDescent="0.4">
      <c r="N298" s="26"/>
      <c r="O298" s="15"/>
      <c r="S298" s="115"/>
      <c r="T298" s="117"/>
      <c r="U298" s="123"/>
      <c r="V298" s="123"/>
      <c r="W298" s="123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26">
        <v>45278</v>
      </c>
      <c r="AM298" s="15" t="s">
        <v>164</v>
      </c>
      <c r="AP298" s="114"/>
    </row>
    <row r="299" spans="6:42" ht="19.5" x14ac:dyDescent="0.4">
      <c r="N299" s="26"/>
      <c r="O299" s="15"/>
      <c r="S299" s="115"/>
      <c r="T299" s="117"/>
      <c r="U299" s="123"/>
      <c r="V299" s="123"/>
      <c r="W299" s="123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26">
        <v>45278</v>
      </c>
      <c r="AM299" s="15" t="s">
        <v>164</v>
      </c>
      <c r="AP299" s="114"/>
    </row>
    <row r="300" spans="6:42" ht="19.5" x14ac:dyDescent="0.4">
      <c r="G300" s="115"/>
      <c r="H300" s="115"/>
      <c r="I300" s="115"/>
      <c r="J300" s="115"/>
      <c r="K300" s="115"/>
      <c r="L300" s="115"/>
      <c r="M300" s="115"/>
      <c r="N300" s="26"/>
      <c r="O300" s="15"/>
      <c r="S300" s="115"/>
      <c r="T300" s="117"/>
      <c r="U300" s="123"/>
      <c r="V300" s="123"/>
      <c r="W300" s="123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26"/>
      <c r="AM300" s="15"/>
      <c r="AP300" s="114"/>
    </row>
    <row r="301" spans="6:42" ht="19.5" x14ac:dyDescent="0.4">
      <c r="N301" s="26"/>
      <c r="O301" s="15"/>
      <c r="S301" s="115"/>
      <c r="T301" s="117"/>
      <c r="U301" s="123"/>
      <c r="V301" s="123"/>
      <c r="W301" s="123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26">
        <v>45278</v>
      </c>
      <c r="AM301" s="15" t="s">
        <v>162</v>
      </c>
      <c r="AP301" s="114"/>
    </row>
    <row r="302" spans="6:42" ht="19.5" x14ac:dyDescent="0.4">
      <c r="I302" s="115"/>
      <c r="J302" s="115"/>
      <c r="K302" s="115"/>
      <c r="L302" s="115"/>
      <c r="M302" s="115"/>
      <c r="N302" s="17"/>
      <c r="O302" s="15"/>
      <c r="S302" s="115"/>
      <c r="T302" s="117"/>
      <c r="U302" s="123"/>
      <c r="V302" s="123"/>
      <c r="W302" s="123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26"/>
      <c r="AM302" s="15"/>
      <c r="AP302" s="114"/>
    </row>
    <row r="303" spans="6:42" ht="19.5" x14ac:dyDescent="0.4">
      <c r="G303" s="115"/>
      <c r="H303" s="115"/>
      <c r="I303" s="115"/>
      <c r="J303" s="115"/>
      <c r="K303" s="115"/>
      <c r="L303" s="115"/>
      <c r="M303" s="115"/>
      <c r="N303" s="26"/>
      <c r="O303" s="15"/>
      <c r="S303" s="115"/>
      <c r="T303" s="117"/>
      <c r="U303" s="123"/>
      <c r="V303" s="123"/>
      <c r="W303" s="123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26"/>
      <c r="AM303" s="15"/>
      <c r="AP303" s="114"/>
    </row>
    <row r="304" spans="6:42" ht="19.5" x14ac:dyDescent="0.4">
      <c r="G304" s="115"/>
      <c r="H304" s="115"/>
      <c r="I304" s="115"/>
      <c r="J304" s="115"/>
      <c r="K304" s="115"/>
      <c r="L304" s="115"/>
      <c r="M304" s="115"/>
      <c r="N304" s="17"/>
      <c r="O304" s="15"/>
      <c r="S304" s="115"/>
      <c r="T304" s="117"/>
      <c r="U304" s="123"/>
      <c r="V304" s="123"/>
      <c r="W304" s="123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26"/>
      <c r="AM304" s="15"/>
      <c r="AP304" s="114"/>
    </row>
    <row r="305" spans="6:42" ht="19.5" x14ac:dyDescent="0.4">
      <c r="N305" s="26"/>
      <c r="O305" s="15"/>
      <c r="S305" s="115"/>
      <c r="T305" s="117"/>
      <c r="U305" s="123"/>
      <c r="V305" s="123"/>
      <c r="W305" s="123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26">
        <v>45278</v>
      </c>
      <c r="AM305" s="15" t="s">
        <v>142</v>
      </c>
      <c r="AP305" s="114"/>
    </row>
    <row r="306" spans="6:42" ht="19.5" x14ac:dyDescent="0.4">
      <c r="N306" s="26"/>
      <c r="O306" s="15"/>
      <c r="S306" s="115"/>
      <c r="T306" s="117"/>
      <c r="U306" s="123"/>
      <c r="V306" s="123"/>
      <c r="W306" s="123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26">
        <v>45278</v>
      </c>
      <c r="AM306" s="15" t="s">
        <v>162</v>
      </c>
      <c r="AP306" s="114"/>
    </row>
    <row r="307" spans="6:42" ht="19.5" x14ac:dyDescent="0.4">
      <c r="N307" s="26"/>
      <c r="O307" s="15"/>
      <c r="S307" s="115"/>
      <c r="T307" s="117"/>
      <c r="U307" s="123"/>
      <c r="V307" s="123"/>
      <c r="W307" s="123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26">
        <v>45278</v>
      </c>
      <c r="AM307" s="15" t="s">
        <v>162</v>
      </c>
      <c r="AP307" s="114"/>
    </row>
    <row r="308" spans="6:42" ht="19.5" x14ac:dyDescent="0.4">
      <c r="I308" s="115"/>
      <c r="J308" s="115"/>
      <c r="K308" s="115"/>
      <c r="L308" s="115"/>
      <c r="M308" s="115"/>
      <c r="N308" s="17"/>
      <c r="O308" s="15"/>
      <c r="S308" s="115"/>
      <c r="T308" s="117"/>
      <c r="U308" s="123"/>
      <c r="V308" s="123"/>
      <c r="W308" s="123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26"/>
      <c r="AM308" s="15"/>
      <c r="AP308" s="114"/>
    </row>
    <row r="309" spans="6:42" ht="19.5" x14ac:dyDescent="0.4">
      <c r="G309" s="115"/>
      <c r="H309" s="115"/>
      <c r="I309" s="115"/>
      <c r="J309" s="115"/>
      <c r="K309" s="115"/>
      <c r="L309" s="115"/>
      <c r="M309" s="115"/>
      <c r="N309" s="26"/>
      <c r="O309" s="15"/>
      <c r="S309" s="115"/>
      <c r="T309" s="117"/>
      <c r="U309" s="123"/>
      <c r="V309" s="123"/>
      <c r="W309" s="123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26"/>
      <c r="AM309" s="15"/>
      <c r="AP309" s="114"/>
    </row>
    <row r="310" spans="6:42" ht="19.5" x14ac:dyDescent="0.4">
      <c r="F310" s="115"/>
      <c r="G310" s="115"/>
      <c r="H310" s="115"/>
      <c r="I310" s="115"/>
      <c r="J310" s="115"/>
      <c r="K310" s="115"/>
      <c r="L310" s="115"/>
      <c r="M310" s="115"/>
      <c r="N310" s="26"/>
      <c r="O310" s="15"/>
      <c r="S310" s="115"/>
      <c r="T310" s="117"/>
      <c r="U310" s="123"/>
      <c r="V310" s="123"/>
      <c r="W310" s="123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26"/>
      <c r="AM310" s="15"/>
      <c r="AP310" s="114"/>
    </row>
    <row r="311" spans="6:42" ht="19.5" x14ac:dyDescent="0.4">
      <c r="F311" s="115"/>
      <c r="G311" s="115"/>
      <c r="H311" s="115"/>
      <c r="I311" s="115"/>
      <c r="J311" s="115"/>
      <c r="K311" s="115"/>
      <c r="L311" s="115"/>
      <c r="M311" s="115"/>
      <c r="N311" s="17"/>
      <c r="O311" s="15"/>
      <c r="S311" s="115"/>
      <c r="T311" s="117"/>
      <c r="U311" s="123"/>
      <c r="V311" s="123"/>
      <c r="W311" s="123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26"/>
      <c r="AM311" s="15"/>
      <c r="AP311" s="114"/>
    </row>
    <row r="312" spans="6:42" ht="19.5" x14ac:dyDescent="0.4">
      <c r="F312" s="115"/>
      <c r="G312" s="115"/>
      <c r="H312" s="115"/>
      <c r="I312" s="115"/>
      <c r="J312" s="115"/>
      <c r="K312" s="115"/>
      <c r="L312" s="115"/>
      <c r="M312" s="115"/>
      <c r="N312" s="26"/>
      <c r="O312" s="15"/>
      <c r="S312" s="115"/>
      <c r="T312" s="117"/>
      <c r="U312" s="123"/>
      <c r="V312" s="123"/>
      <c r="W312" s="123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26"/>
      <c r="AM312" s="15"/>
      <c r="AP312" s="114"/>
    </row>
    <row r="313" spans="6:42" ht="19.5" x14ac:dyDescent="0.4">
      <c r="N313" s="26"/>
      <c r="O313" s="15"/>
      <c r="S313" s="115"/>
      <c r="T313" s="117"/>
      <c r="U313" s="123"/>
      <c r="V313" s="123"/>
      <c r="W313" s="123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26">
        <v>45278</v>
      </c>
      <c r="AM313" s="15" t="s">
        <v>162</v>
      </c>
      <c r="AP313" s="114"/>
    </row>
    <row r="314" spans="6:42" ht="19.5" x14ac:dyDescent="0.4">
      <c r="G314" s="115"/>
      <c r="H314" s="115"/>
      <c r="I314" s="115"/>
      <c r="J314" s="115"/>
      <c r="K314" s="115"/>
      <c r="L314" s="115"/>
      <c r="M314" s="115"/>
      <c r="N314" s="26"/>
      <c r="O314" s="15"/>
      <c r="S314" s="115"/>
      <c r="T314" s="117"/>
      <c r="U314" s="123"/>
      <c r="V314" s="123"/>
      <c r="W314" s="123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26"/>
      <c r="AM314" s="15"/>
      <c r="AP314" s="114"/>
    </row>
    <row r="315" spans="6:42" ht="19.5" x14ac:dyDescent="0.4">
      <c r="N315" s="26"/>
      <c r="O315" s="15"/>
      <c r="S315" s="115"/>
      <c r="T315" s="117"/>
      <c r="U315" s="123"/>
      <c r="V315" s="123"/>
      <c r="W315" s="123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26">
        <v>45278</v>
      </c>
      <c r="AM315" s="15" t="s">
        <v>163</v>
      </c>
      <c r="AP315" s="114"/>
    </row>
    <row r="316" spans="6:42" ht="19.5" x14ac:dyDescent="0.4">
      <c r="N316" s="26"/>
      <c r="O316" s="15"/>
      <c r="S316" s="115"/>
      <c r="T316" s="117"/>
      <c r="U316" s="123"/>
      <c r="V316" s="123"/>
      <c r="W316" s="123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26">
        <v>45278</v>
      </c>
      <c r="AM316" s="105" t="s">
        <v>163</v>
      </c>
      <c r="AP316" s="114"/>
    </row>
    <row r="317" spans="6:42" ht="19.5" x14ac:dyDescent="0.4">
      <c r="N317" s="25"/>
      <c r="O317" s="13"/>
      <c r="S317" s="115"/>
      <c r="T317" s="117"/>
      <c r="U317" s="123"/>
      <c r="V317" s="123"/>
      <c r="W317" s="123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26">
        <v>45278</v>
      </c>
      <c r="AM317" s="15" t="s">
        <v>163</v>
      </c>
      <c r="AP317" s="114"/>
    </row>
    <row r="318" spans="6:42" ht="19.5" x14ac:dyDescent="0.4">
      <c r="F318" s="115"/>
      <c r="G318" s="115"/>
      <c r="H318" s="115"/>
      <c r="I318" s="115"/>
      <c r="J318" s="115"/>
      <c r="K318" s="115"/>
      <c r="L318" s="115"/>
      <c r="M318" s="115"/>
      <c r="N318" s="25"/>
      <c r="O318" s="13"/>
      <c r="S318" s="115"/>
      <c r="T318" s="117"/>
      <c r="U318" s="123"/>
      <c r="V318" s="123"/>
      <c r="W318" s="123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26"/>
      <c r="AM318" s="15"/>
      <c r="AP318" s="114"/>
    </row>
    <row r="319" spans="6:42" ht="19.5" x14ac:dyDescent="0.4">
      <c r="F319" s="115"/>
      <c r="G319" s="115"/>
      <c r="H319" s="115"/>
      <c r="I319" s="115"/>
      <c r="J319" s="115"/>
      <c r="K319" s="115"/>
      <c r="L319" s="115"/>
      <c r="M319" s="115"/>
      <c r="N319" s="25"/>
      <c r="O319" s="13"/>
      <c r="S319" s="115"/>
      <c r="T319" s="117"/>
      <c r="U319" s="123"/>
      <c r="V319" s="123"/>
      <c r="W319" s="123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26"/>
      <c r="AM319" s="15"/>
      <c r="AP319" s="114"/>
    </row>
    <row r="320" spans="6:42" ht="19.5" x14ac:dyDescent="0.4">
      <c r="F320" s="115"/>
      <c r="G320" s="115"/>
      <c r="H320" s="115"/>
      <c r="I320" s="115"/>
      <c r="J320" s="115"/>
      <c r="K320" s="115"/>
      <c r="L320" s="115"/>
      <c r="M320" s="115"/>
      <c r="N320" s="25"/>
      <c r="O320" s="13"/>
      <c r="S320" s="115"/>
      <c r="T320" s="117"/>
      <c r="U320" s="123"/>
      <c r="V320" s="123"/>
      <c r="W320" s="123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26"/>
      <c r="AM320" s="15"/>
      <c r="AP320" s="114"/>
    </row>
    <row r="321" spans="6:42" ht="19.5" x14ac:dyDescent="0.4">
      <c r="F321" s="115"/>
      <c r="G321" s="115"/>
      <c r="H321" s="115"/>
      <c r="I321" s="115"/>
      <c r="J321" s="115"/>
      <c r="K321" s="115"/>
      <c r="L321" s="115"/>
      <c r="M321" s="115"/>
      <c r="N321" s="25"/>
      <c r="O321" s="13"/>
      <c r="S321" s="115"/>
      <c r="T321" s="117"/>
      <c r="U321" s="123"/>
      <c r="V321" s="123"/>
      <c r="W321" s="123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26"/>
      <c r="AM321" s="15"/>
      <c r="AP321" s="114"/>
    </row>
    <row r="322" spans="6:42" ht="19.5" x14ac:dyDescent="0.4">
      <c r="F322" s="115"/>
      <c r="G322" s="115"/>
      <c r="H322" s="115"/>
      <c r="I322" s="115"/>
      <c r="J322" s="115"/>
      <c r="K322" s="115"/>
      <c r="L322" s="115"/>
      <c r="M322" s="115"/>
      <c r="N322" s="25"/>
      <c r="O322" s="13"/>
      <c r="S322" s="115"/>
      <c r="T322" s="117"/>
      <c r="U322" s="123"/>
      <c r="V322" s="123"/>
      <c r="W322" s="123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26"/>
      <c r="AM322" s="15"/>
      <c r="AP322" s="114"/>
    </row>
    <row r="323" spans="6:42" ht="19.5" x14ac:dyDescent="0.4">
      <c r="F323" s="115"/>
      <c r="G323" s="115"/>
      <c r="H323" s="115"/>
      <c r="I323" s="115"/>
      <c r="J323" s="115"/>
      <c r="K323" s="115"/>
      <c r="L323" s="115"/>
      <c r="M323" s="115"/>
      <c r="N323" s="25"/>
      <c r="O323" s="13"/>
      <c r="S323" s="115"/>
      <c r="T323" s="117"/>
      <c r="U323" s="123"/>
      <c r="V323" s="123"/>
      <c r="W323" s="123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26"/>
      <c r="AM323" s="15"/>
      <c r="AP323" s="114"/>
    </row>
    <row r="324" spans="6:42" ht="19.5" x14ac:dyDescent="0.4">
      <c r="N324" s="25"/>
      <c r="O324" s="13"/>
      <c r="S324" s="115"/>
      <c r="T324" s="117"/>
      <c r="U324" s="123"/>
      <c r="V324" s="123"/>
      <c r="W324" s="123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26">
        <v>45278</v>
      </c>
      <c r="AM324" s="15" t="s">
        <v>163</v>
      </c>
      <c r="AP324" s="114"/>
    </row>
    <row r="325" spans="6:42" ht="19.5" x14ac:dyDescent="0.4">
      <c r="N325" s="25"/>
      <c r="O325" s="13"/>
      <c r="S325" s="115"/>
      <c r="T325" s="117"/>
      <c r="U325" s="123"/>
      <c r="V325" s="123"/>
      <c r="W325" s="123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26"/>
      <c r="AM325" s="15"/>
      <c r="AP325" s="114"/>
    </row>
    <row r="326" spans="6:42" ht="19.5" x14ac:dyDescent="0.4">
      <c r="I326" s="115"/>
      <c r="J326" s="115"/>
      <c r="K326" s="115"/>
      <c r="L326" s="115"/>
      <c r="M326" s="115"/>
      <c r="N326" s="13"/>
      <c r="O326" s="13"/>
      <c r="S326" s="115"/>
      <c r="T326" s="117"/>
      <c r="U326" s="123"/>
      <c r="V326" s="123"/>
      <c r="W326" s="123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26"/>
      <c r="AM326" s="15"/>
      <c r="AP326" s="114"/>
    </row>
    <row r="327" spans="6:42" ht="19.5" x14ac:dyDescent="0.4">
      <c r="N327" s="25"/>
      <c r="O327" s="13"/>
      <c r="S327" s="115"/>
      <c r="T327" s="117"/>
      <c r="U327" s="123"/>
      <c r="V327" s="123"/>
      <c r="W327" s="123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26">
        <v>45278</v>
      </c>
      <c r="AM327" s="15" t="s">
        <v>163</v>
      </c>
      <c r="AP327" s="114"/>
    </row>
    <row r="328" spans="6:42" ht="19.5" x14ac:dyDescent="0.4">
      <c r="I328" s="115"/>
      <c r="J328" s="115"/>
      <c r="K328" s="115"/>
      <c r="L328" s="115"/>
      <c r="M328" s="115"/>
      <c r="N328" s="13"/>
      <c r="O328" s="13"/>
      <c r="S328" s="115"/>
      <c r="T328" s="117"/>
      <c r="U328" s="123"/>
      <c r="V328" s="123"/>
      <c r="W328" s="123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26"/>
      <c r="AM328" s="13"/>
      <c r="AP328" s="114"/>
    </row>
    <row r="329" spans="6:42" ht="19.5" x14ac:dyDescent="0.4">
      <c r="N329" s="25"/>
      <c r="O329" s="13"/>
      <c r="S329" s="115"/>
      <c r="T329" s="117"/>
      <c r="U329" s="123"/>
      <c r="V329" s="123"/>
      <c r="W329" s="123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 t="s">
        <v>153</v>
      </c>
      <c r="AL329" s="17">
        <f>SUBTOTAL(3,AL298:AL327)</f>
        <v>12</v>
      </c>
      <c r="AM329" s="13">
        <f>SUBTOTAL(3,AM298:AM327)</f>
        <v>12</v>
      </c>
      <c r="AP329" s="114"/>
    </row>
    <row r="330" spans="6:42" ht="19.5" x14ac:dyDescent="0.4">
      <c r="I330" s="115"/>
      <c r="J330" s="115"/>
      <c r="K330" s="115"/>
      <c r="L330" s="115"/>
      <c r="M330" s="115"/>
      <c r="N330" s="13"/>
      <c r="O330" s="13"/>
      <c r="S330" s="115"/>
      <c r="T330" s="117"/>
      <c r="U330" s="123"/>
      <c r="V330" s="123"/>
      <c r="W330" s="123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7"/>
      <c r="AM330" s="13"/>
      <c r="AP330" s="114"/>
    </row>
    <row r="331" spans="6:42" ht="19.5" x14ac:dyDescent="0.4">
      <c r="N331" s="25"/>
      <c r="O331" s="13"/>
      <c r="S331" s="115"/>
      <c r="T331" s="117"/>
      <c r="U331" s="123"/>
      <c r="V331" s="123"/>
      <c r="W331" s="123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26">
        <v>45279</v>
      </c>
      <c r="AM331" s="25" t="s">
        <v>162</v>
      </c>
      <c r="AP331" s="114"/>
    </row>
    <row r="332" spans="6:42" ht="19.5" x14ac:dyDescent="0.4">
      <c r="N332" s="25"/>
      <c r="O332" s="13"/>
      <c r="S332" s="115"/>
      <c r="T332" s="117"/>
      <c r="U332" s="123"/>
      <c r="V332" s="123"/>
      <c r="W332" s="123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26">
        <v>45279</v>
      </c>
      <c r="AM332" s="13" t="s">
        <v>162</v>
      </c>
      <c r="AP332" s="114"/>
    </row>
    <row r="333" spans="6:42" ht="19.5" x14ac:dyDescent="0.4">
      <c r="I333" s="115"/>
      <c r="J333" s="115"/>
      <c r="K333" s="115"/>
      <c r="L333" s="115"/>
      <c r="M333" s="115"/>
      <c r="N333" s="20"/>
      <c r="O333" s="13"/>
      <c r="S333" s="115"/>
      <c r="T333" s="117"/>
      <c r="U333" s="123"/>
      <c r="V333" s="123"/>
      <c r="W333" s="123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26"/>
      <c r="AM333" s="13"/>
      <c r="AP333" s="114"/>
    </row>
    <row r="334" spans="6:42" ht="19.5" x14ac:dyDescent="0.4">
      <c r="I334" s="115"/>
      <c r="J334" s="115"/>
      <c r="K334" s="115"/>
      <c r="L334" s="115"/>
      <c r="M334" s="115"/>
      <c r="N334" s="20"/>
      <c r="O334" s="13"/>
      <c r="S334" s="115"/>
      <c r="T334" s="117"/>
      <c r="U334" s="123"/>
      <c r="V334" s="123"/>
      <c r="W334" s="123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26"/>
      <c r="AM334" s="13"/>
      <c r="AP334" s="114"/>
    </row>
    <row r="335" spans="6:42" ht="19.5" x14ac:dyDescent="0.4">
      <c r="N335" s="26"/>
      <c r="O335" s="13"/>
      <c r="S335" s="115"/>
      <c r="T335" s="117"/>
      <c r="U335" s="123"/>
      <c r="V335" s="123"/>
      <c r="W335" s="123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26">
        <v>45279</v>
      </c>
      <c r="AM335" s="13" t="s">
        <v>162</v>
      </c>
      <c r="AP335" s="114"/>
    </row>
    <row r="336" spans="6:42" ht="19.5" x14ac:dyDescent="0.4">
      <c r="N336" s="26"/>
      <c r="O336" s="13"/>
      <c r="S336" s="115"/>
      <c r="T336" s="117"/>
      <c r="U336" s="123"/>
      <c r="V336" s="123"/>
      <c r="W336" s="123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26">
        <v>45279</v>
      </c>
      <c r="AM336" s="13" t="s">
        <v>162</v>
      </c>
      <c r="AP336" s="114"/>
    </row>
    <row r="337" spans="14:42" ht="19.5" x14ac:dyDescent="0.4">
      <c r="N337" s="129"/>
      <c r="O337" s="13"/>
      <c r="S337" s="115"/>
      <c r="T337" s="117"/>
      <c r="U337" s="123"/>
      <c r="V337" s="123"/>
      <c r="W337" s="123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26"/>
      <c r="AM337" s="13"/>
      <c r="AP337" s="114"/>
    </row>
    <row r="338" spans="14:42" ht="19.5" x14ac:dyDescent="0.4">
      <c r="N338" s="26"/>
      <c r="O338" s="13"/>
      <c r="S338" s="115"/>
      <c r="T338" s="117"/>
      <c r="U338" s="123"/>
      <c r="V338" s="123"/>
      <c r="W338" s="123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26">
        <v>45279</v>
      </c>
      <c r="AM338" s="13" t="s">
        <v>162</v>
      </c>
      <c r="AP338" s="114"/>
    </row>
    <row r="339" spans="14:42" ht="19.5" x14ac:dyDescent="0.4">
      <c r="N339" s="26"/>
      <c r="O339" s="13"/>
      <c r="S339" s="115"/>
      <c r="T339" s="117"/>
      <c r="U339" s="123"/>
      <c r="V339" s="123"/>
      <c r="W339" s="123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26">
        <v>45279</v>
      </c>
      <c r="AM339" s="13" t="s">
        <v>162</v>
      </c>
      <c r="AP339" s="114"/>
    </row>
    <row r="340" spans="14:42" ht="19.5" x14ac:dyDescent="0.4">
      <c r="N340" s="26"/>
      <c r="O340" s="13"/>
      <c r="S340" s="115"/>
      <c r="T340" s="117"/>
      <c r="U340" s="123"/>
      <c r="V340" s="123"/>
      <c r="W340" s="123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 t="s">
        <v>170</v>
      </c>
      <c r="AL340" s="17">
        <f>SUBTOTAL(3,AL331:AL339)</f>
        <v>6</v>
      </c>
      <c r="AM340" s="13">
        <f>SUBTOTAL(3,AM331:AM339)</f>
        <v>6</v>
      </c>
      <c r="AP340" s="114"/>
    </row>
    <row r="341" spans="14:42" ht="19.5" x14ac:dyDescent="0.4">
      <c r="N341" s="129"/>
      <c r="O341" s="13"/>
      <c r="S341" s="115"/>
      <c r="T341" s="117"/>
      <c r="U341" s="123"/>
      <c r="V341" s="123"/>
      <c r="W341" s="123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7"/>
      <c r="AM341" s="13"/>
      <c r="AP341" s="114"/>
    </row>
    <row r="342" spans="14:42" ht="19.5" x14ac:dyDescent="0.4">
      <c r="N342" s="26"/>
      <c r="O342" s="13"/>
      <c r="S342" s="115"/>
      <c r="T342" s="117"/>
      <c r="U342" s="123"/>
      <c r="V342" s="123"/>
      <c r="W342" s="123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26">
        <v>45280</v>
      </c>
      <c r="AM342" s="13" t="s">
        <v>162</v>
      </c>
      <c r="AP342" s="114"/>
    </row>
    <row r="343" spans="14:42" ht="19.5" x14ac:dyDescent="0.4">
      <c r="N343" s="26"/>
      <c r="O343" s="13"/>
      <c r="S343" s="115"/>
      <c r="T343" s="116"/>
      <c r="U343" s="123"/>
      <c r="V343" s="123"/>
      <c r="W343" s="123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26">
        <v>45280</v>
      </c>
      <c r="AM343" s="13" t="s">
        <v>162</v>
      </c>
      <c r="AP343" s="114"/>
    </row>
    <row r="344" spans="14:42" ht="19.5" x14ac:dyDescent="0.4">
      <c r="N344" s="26"/>
      <c r="O344" s="13"/>
      <c r="S344" s="115"/>
      <c r="T344" s="116"/>
      <c r="U344" s="123"/>
      <c r="V344" s="123"/>
      <c r="W344" s="123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26">
        <v>45280</v>
      </c>
      <c r="AM344" s="13" t="s">
        <v>162</v>
      </c>
      <c r="AP344" s="114"/>
    </row>
    <row r="345" spans="14:42" ht="19.5" x14ac:dyDescent="0.4">
      <c r="N345" s="26"/>
      <c r="O345" s="13"/>
      <c r="S345" s="115"/>
      <c r="T345" s="116"/>
      <c r="U345" s="123"/>
      <c r="V345" s="123"/>
      <c r="W345" s="123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26">
        <v>45280</v>
      </c>
      <c r="AM345" s="13" t="s">
        <v>162</v>
      </c>
      <c r="AP345" s="114"/>
    </row>
    <row r="346" spans="14:42" ht="19.5" x14ac:dyDescent="0.4">
      <c r="N346" s="129"/>
      <c r="O346" s="13"/>
      <c r="S346" s="115"/>
      <c r="T346" s="116"/>
      <c r="U346" s="123"/>
      <c r="V346" s="123"/>
      <c r="W346" s="123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26"/>
      <c r="AM346" s="13"/>
      <c r="AP346" s="114"/>
    </row>
    <row r="347" spans="14:42" ht="19.5" x14ac:dyDescent="0.4">
      <c r="N347" s="26"/>
      <c r="O347" s="13"/>
      <c r="S347" s="115"/>
      <c r="T347" s="116"/>
      <c r="U347" s="123"/>
      <c r="V347" s="123"/>
      <c r="W347" s="123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26">
        <v>45280</v>
      </c>
      <c r="AM347" s="13" t="s">
        <v>162</v>
      </c>
      <c r="AP347" s="114"/>
    </row>
    <row r="348" spans="14:42" ht="19.5" x14ac:dyDescent="0.4">
      <c r="N348" s="130"/>
      <c r="O348" s="119"/>
      <c r="S348" s="115"/>
      <c r="T348" s="116"/>
      <c r="U348" s="123"/>
      <c r="V348" s="123"/>
      <c r="W348" s="123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26"/>
      <c r="AM348" s="13"/>
      <c r="AP348" s="114"/>
    </row>
    <row r="349" spans="14:42" ht="19.5" x14ac:dyDescent="0.4">
      <c r="N349" s="130"/>
      <c r="O349" s="119"/>
      <c r="S349" s="115"/>
      <c r="T349" s="116"/>
      <c r="U349" s="123"/>
      <c r="V349" s="123"/>
      <c r="W349" s="123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26"/>
      <c r="AM349" s="13"/>
      <c r="AP349" s="114"/>
    </row>
    <row r="350" spans="14:42" ht="19.5" x14ac:dyDescent="0.4">
      <c r="S350" s="115"/>
      <c r="T350" s="116"/>
      <c r="U350" s="123"/>
      <c r="V350" s="123"/>
      <c r="W350" s="123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26">
        <v>45280</v>
      </c>
      <c r="AM350" s="13" t="s">
        <v>162</v>
      </c>
      <c r="AP350" s="114"/>
    </row>
    <row r="351" spans="14:42" ht="19.5" x14ac:dyDescent="0.4">
      <c r="S351" s="115"/>
      <c r="T351" s="116"/>
      <c r="U351" s="123"/>
      <c r="V351" s="123"/>
      <c r="W351" s="123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26">
        <v>45280</v>
      </c>
      <c r="AM351" s="13" t="s">
        <v>162</v>
      </c>
      <c r="AP351" s="114"/>
    </row>
    <row r="352" spans="14:42" ht="19.5" x14ac:dyDescent="0.4">
      <c r="S352" s="115"/>
      <c r="T352" s="116"/>
      <c r="U352" s="123"/>
      <c r="V352" s="123"/>
      <c r="W352" s="123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26">
        <v>45280</v>
      </c>
      <c r="AM352" s="13" t="s">
        <v>162</v>
      </c>
      <c r="AP352" s="114"/>
    </row>
    <row r="353" spans="16:42" ht="19.5" x14ac:dyDescent="0.4">
      <c r="R353" s="115"/>
      <c r="S353" s="115"/>
      <c r="T353" s="116"/>
      <c r="U353" s="123"/>
      <c r="V353" s="123"/>
      <c r="W353" s="123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26">
        <v>45280</v>
      </c>
      <c r="AM353" s="13" t="s">
        <v>162</v>
      </c>
      <c r="AP353" s="114"/>
    </row>
    <row r="354" spans="16:42" ht="19.5" x14ac:dyDescent="0.4">
      <c r="R354" s="115"/>
      <c r="S354" s="115"/>
      <c r="T354" s="116"/>
      <c r="U354" s="123"/>
      <c r="V354" s="123"/>
      <c r="W354" s="123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26">
        <v>45280</v>
      </c>
      <c r="AM354" s="13" t="s">
        <v>162</v>
      </c>
      <c r="AP354" s="114"/>
    </row>
    <row r="355" spans="16:42" ht="19.5" x14ac:dyDescent="0.4">
      <c r="P355" s="115"/>
      <c r="Q355" s="115"/>
      <c r="R355" s="115"/>
      <c r="S355" s="115"/>
      <c r="T355" s="116"/>
      <c r="U355" s="123"/>
      <c r="V355" s="123"/>
      <c r="W355" s="123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26">
        <v>45280</v>
      </c>
      <c r="AM355" s="13" t="s">
        <v>162</v>
      </c>
      <c r="AP355" s="114"/>
    </row>
    <row r="356" spans="16:42" x14ac:dyDescent="0.4">
      <c r="P356" s="115"/>
      <c r="Q356" s="115"/>
      <c r="R356" s="115"/>
      <c r="S356" s="115"/>
      <c r="T356" s="115"/>
      <c r="U356" s="122"/>
      <c r="V356" s="122"/>
      <c r="W356" s="122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26">
        <v>45280</v>
      </c>
      <c r="AM356" s="13" t="s">
        <v>162</v>
      </c>
      <c r="AP356" s="114"/>
    </row>
    <row r="357" spans="16:42" x14ac:dyDescent="0.4">
      <c r="P357" s="115"/>
      <c r="Q357" s="115"/>
      <c r="R357" s="115"/>
      <c r="S357" s="115"/>
      <c r="T357" s="115"/>
      <c r="U357" s="122"/>
      <c r="V357" s="122"/>
      <c r="W357" s="122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26">
        <v>45280</v>
      </c>
      <c r="AM357" s="13" t="s">
        <v>162</v>
      </c>
      <c r="AP357" s="114"/>
    </row>
    <row r="358" spans="16:42" x14ac:dyDescent="0.4">
      <c r="P358" s="115"/>
      <c r="Q358" s="115"/>
      <c r="R358" s="115"/>
      <c r="S358" s="115"/>
      <c r="T358" s="115"/>
      <c r="U358" s="122"/>
      <c r="V358" s="122"/>
      <c r="W358" s="122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 t="s">
        <v>171</v>
      </c>
      <c r="AL358" s="17">
        <f>SUBTOTAL(3,AL342:AL357)</f>
        <v>13</v>
      </c>
      <c r="AM358" s="13">
        <f>SUBTOTAL(3,AM342:AM357)</f>
        <v>13</v>
      </c>
      <c r="AP358" s="114"/>
    </row>
    <row r="359" spans="16:42" x14ac:dyDescent="0.4">
      <c r="P359" s="115"/>
      <c r="Q359" s="115"/>
      <c r="R359" s="115"/>
      <c r="S359" s="115"/>
      <c r="T359" s="115"/>
      <c r="U359" s="122"/>
      <c r="V359" s="122"/>
      <c r="W359" s="122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26">
        <v>45283</v>
      </c>
      <c r="AM359" s="13" t="s">
        <v>162</v>
      </c>
      <c r="AP359" s="114"/>
    </row>
    <row r="360" spans="16:42" x14ac:dyDescent="0.4">
      <c r="P360" s="115"/>
      <c r="Q360" s="115"/>
      <c r="R360" s="115"/>
      <c r="S360" s="115"/>
      <c r="T360" s="115"/>
      <c r="U360" s="122"/>
      <c r="V360" s="122"/>
      <c r="W360" s="122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26">
        <v>45283</v>
      </c>
      <c r="AM360" s="13" t="s">
        <v>162</v>
      </c>
      <c r="AP360" s="114"/>
    </row>
    <row r="361" spans="16:42" x14ac:dyDescent="0.4">
      <c r="P361" s="115"/>
      <c r="Q361" s="115"/>
      <c r="R361" s="115"/>
      <c r="S361" s="115"/>
      <c r="T361" s="115"/>
      <c r="U361" s="122"/>
      <c r="V361" s="122"/>
      <c r="W361" s="122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26">
        <v>45283</v>
      </c>
      <c r="AM361" s="13" t="s">
        <v>162</v>
      </c>
      <c r="AP361" s="114"/>
    </row>
    <row r="362" spans="16:42" x14ac:dyDescent="0.4">
      <c r="P362" s="115"/>
      <c r="Q362" s="115"/>
      <c r="R362" s="115"/>
      <c r="S362" s="115"/>
      <c r="T362" s="115"/>
      <c r="U362" s="122"/>
      <c r="V362" s="122"/>
      <c r="W362" s="122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26">
        <v>45283</v>
      </c>
      <c r="AM362" s="13" t="s">
        <v>162</v>
      </c>
      <c r="AP362" s="114"/>
    </row>
    <row r="363" spans="16:42" x14ac:dyDescent="0.4">
      <c r="P363" s="115"/>
      <c r="Q363" s="115"/>
      <c r="R363" s="115"/>
      <c r="S363" s="115"/>
      <c r="T363" s="115"/>
      <c r="U363" s="122"/>
      <c r="V363" s="122"/>
      <c r="W363" s="122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26">
        <v>45283</v>
      </c>
      <c r="AM363" s="13" t="s">
        <v>162</v>
      </c>
      <c r="AP363" s="114"/>
    </row>
    <row r="364" spans="16:42" x14ac:dyDescent="0.4">
      <c r="P364" s="115"/>
      <c r="Q364" s="115"/>
      <c r="R364" s="115"/>
      <c r="S364" s="115"/>
      <c r="T364" s="115"/>
      <c r="U364" s="122"/>
      <c r="V364" s="122"/>
      <c r="W364" s="122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26">
        <v>45283</v>
      </c>
      <c r="AM364" s="13" t="s">
        <v>162</v>
      </c>
      <c r="AP364" s="114"/>
    </row>
    <row r="365" spans="16:42" x14ac:dyDescent="0.4">
      <c r="P365" s="115"/>
      <c r="Q365" s="115"/>
      <c r="R365" s="115"/>
      <c r="S365" s="115"/>
      <c r="T365" s="115"/>
      <c r="U365" s="122"/>
      <c r="V365" s="122"/>
      <c r="W365" s="122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26">
        <v>45283</v>
      </c>
      <c r="AM365" s="13" t="s">
        <v>162</v>
      </c>
      <c r="AP365" s="114"/>
    </row>
    <row r="366" spans="16:42" x14ac:dyDescent="0.4">
      <c r="P366" s="115"/>
      <c r="Q366" s="115"/>
      <c r="R366" s="115"/>
      <c r="S366" s="115"/>
      <c r="T366" s="115"/>
      <c r="U366" s="122"/>
      <c r="V366" s="122"/>
      <c r="W366" s="122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26">
        <v>45283</v>
      </c>
      <c r="AM366" s="13" t="s">
        <v>162</v>
      </c>
      <c r="AP366" s="114"/>
    </row>
    <row r="367" spans="16:42" x14ac:dyDescent="0.4">
      <c r="P367" s="115"/>
      <c r="Q367" s="115"/>
      <c r="R367" s="115"/>
      <c r="S367" s="115"/>
      <c r="T367" s="115"/>
      <c r="U367" s="122"/>
      <c r="V367" s="122"/>
      <c r="W367" s="122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26">
        <v>45283</v>
      </c>
      <c r="AM367" s="13" t="s">
        <v>162</v>
      </c>
      <c r="AP367" s="114"/>
    </row>
    <row r="368" spans="16:42" x14ac:dyDescent="0.4">
      <c r="P368" s="115"/>
      <c r="Q368" s="115"/>
      <c r="R368" s="115"/>
      <c r="S368" s="115"/>
      <c r="T368" s="115"/>
      <c r="U368" s="122"/>
      <c r="V368" s="122"/>
      <c r="W368" s="122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26">
        <v>45283</v>
      </c>
      <c r="AM368" s="13" t="s">
        <v>162</v>
      </c>
      <c r="AP368" s="114"/>
    </row>
    <row r="369" spans="16:42" x14ac:dyDescent="0.4">
      <c r="P369" s="115"/>
      <c r="Q369" s="115"/>
      <c r="R369" s="115"/>
      <c r="S369" s="115"/>
      <c r="T369" s="115"/>
      <c r="U369" s="122"/>
      <c r="V369" s="122"/>
      <c r="W369" s="122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26">
        <v>45283</v>
      </c>
      <c r="AM369" s="13" t="s">
        <v>163</v>
      </c>
      <c r="AP369" s="114"/>
    </row>
    <row r="370" spans="16:42" x14ac:dyDescent="0.4">
      <c r="P370" s="115"/>
      <c r="Q370" s="115"/>
      <c r="R370" s="115"/>
      <c r="S370" s="115"/>
      <c r="T370" s="115"/>
      <c r="U370" s="122"/>
      <c r="V370" s="122"/>
      <c r="W370" s="122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26">
        <v>45283</v>
      </c>
      <c r="AM370" s="13" t="s">
        <v>163</v>
      </c>
      <c r="AP370" s="114"/>
    </row>
    <row r="371" spans="16:42" x14ac:dyDescent="0.4">
      <c r="P371" s="115"/>
      <c r="Q371" s="115"/>
      <c r="R371" s="115"/>
      <c r="S371" s="115"/>
      <c r="T371" s="115"/>
      <c r="U371" s="122"/>
      <c r="V371" s="122"/>
      <c r="W371" s="122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26">
        <v>45283</v>
      </c>
      <c r="AM371" s="13" t="s">
        <v>163</v>
      </c>
      <c r="AP371" s="114"/>
    </row>
    <row r="372" spans="16:42" x14ac:dyDescent="0.4">
      <c r="P372" s="115"/>
      <c r="Q372" s="115"/>
      <c r="R372" s="115"/>
      <c r="S372" s="115"/>
      <c r="T372" s="115"/>
      <c r="U372" s="122"/>
      <c r="V372" s="122"/>
      <c r="W372" s="122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 t="s">
        <v>161</v>
      </c>
      <c r="AL372" s="17">
        <f>SUBTOTAL(3,AL359:AL371)</f>
        <v>13</v>
      </c>
      <c r="AM372" s="13">
        <f>SUBTOTAL(3,AM359:AM371)</f>
        <v>13</v>
      </c>
      <c r="AP372" s="114"/>
    </row>
    <row r="373" spans="16:42" x14ac:dyDescent="0.4">
      <c r="P373" s="115"/>
      <c r="Q373" s="115"/>
      <c r="R373" s="115"/>
      <c r="S373" s="115"/>
      <c r="T373" s="115"/>
      <c r="U373" s="122"/>
      <c r="V373" s="122"/>
      <c r="W373" s="122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26">
        <v>45285</v>
      </c>
      <c r="AM373" s="13" t="s">
        <v>163</v>
      </c>
      <c r="AP373" s="114"/>
    </row>
    <row r="374" spans="16:42" x14ac:dyDescent="0.4">
      <c r="P374" s="115"/>
      <c r="Q374" s="115"/>
      <c r="R374" s="115"/>
      <c r="S374" s="115"/>
      <c r="T374" s="115"/>
      <c r="U374" s="122"/>
      <c r="V374" s="122"/>
      <c r="W374" s="122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 t="s">
        <v>172</v>
      </c>
      <c r="AL374" s="17">
        <f>SUBTOTAL(3,AL373:AL373)</f>
        <v>1</v>
      </c>
      <c r="AM374" s="13">
        <f>SUBTOTAL(3,AM373:AM373)</f>
        <v>1</v>
      </c>
      <c r="AP374" s="114"/>
    </row>
    <row r="375" spans="16:42" x14ac:dyDescent="0.4">
      <c r="P375" s="115"/>
      <c r="Q375" s="115"/>
      <c r="R375" s="115"/>
      <c r="S375" s="115"/>
      <c r="T375" s="115"/>
      <c r="U375" s="122"/>
      <c r="V375" s="122"/>
      <c r="W375" s="122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26">
        <v>45299</v>
      </c>
      <c r="AM375" s="13" t="s">
        <v>164</v>
      </c>
      <c r="AP375" s="114"/>
    </row>
    <row r="376" spans="16:42" x14ac:dyDescent="0.4">
      <c r="P376" s="115"/>
      <c r="Q376" s="115"/>
      <c r="R376" s="115"/>
      <c r="S376" s="115"/>
      <c r="T376" s="115"/>
      <c r="U376" s="122"/>
      <c r="V376" s="122"/>
      <c r="W376" s="122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26">
        <v>45299</v>
      </c>
      <c r="AM376" s="13" t="s">
        <v>162</v>
      </c>
      <c r="AP376" s="114"/>
    </row>
    <row r="377" spans="16:42" x14ac:dyDescent="0.4">
      <c r="P377" s="115"/>
      <c r="Q377" s="115"/>
      <c r="R377" s="115"/>
      <c r="S377" s="115"/>
      <c r="T377" s="115"/>
      <c r="U377" s="122"/>
      <c r="V377" s="122"/>
      <c r="W377" s="122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26">
        <v>45299</v>
      </c>
      <c r="AM377" s="13" t="s">
        <v>162</v>
      </c>
      <c r="AP377" s="114"/>
    </row>
    <row r="378" spans="16:42" x14ac:dyDescent="0.4">
      <c r="P378" s="115"/>
      <c r="Q378" s="115"/>
      <c r="R378" s="115"/>
      <c r="S378" s="115"/>
      <c r="T378" s="115"/>
      <c r="U378" s="122"/>
      <c r="V378" s="122"/>
      <c r="W378" s="122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26">
        <v>45299</v>
      </c>
      <c r="AM378" s="15" t="s">
        <v>162</v>
      </c>
      <c r="AP378" s="114"/>
    </row>
    <row r="379" spans="16:42" x14ac:dyDescent="0.4">
      <c r="P379" s="115"/>
      <c r="Q379" s="115"/>
      <c r="R379" s="115"/>
      <c r="S379" s="115"/>
      <c r="T379" s="115"/>
      <c r="U379" s="122"/>
      <c r="V379" s="122"/>
      <c r="W379" s="122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 t="s">
        <v>173</v>
      </c>
      <c r="AL379" s="17">
        <f>SUBTOTAL(3,AL375:AL378)</f>
        <v>4</v>
      </c>
      <c r="AM379" s="13">
        <f>SUBTOTAL(3,AM375:AM378)</f>
        <v>4</v>
      </c>
      <c r="AP379" s="114"/>
    </row>
    <row r="380" spans="16:42" x14ac:dyDescent="0.4">
      <c r="P380" s="115"/>
      <c r="Q380" s="115"/>
      <c r="R380" s="115"/>
      <c r="S380" s="115"/>
      <c r="T380" s="115"/>
      <c r="U380" s="122"/>
      <c r="V380" s="122"/>
      <c r="W380" s="122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 t="s">
        <v>145</v>
      </c>
      <c r="AL380" s="17">
        <f>SUBTOTAL(3,AL2:AL378)</f>
        <v>136</v>
      </c>
      <c r="AM380" s="13">
        <f>SUBTOTAL(3,AM2:AM378)</f>
        <v>136</v>
      </c>
      <c r="AP380" s="114"/>
    </row>
    <row r="381" spans="16:42" x14ac:dyDescent="0.4">
      <c r="P381" s="115"/>
      <c r="Q381" s="115"/>
      <c r="R381" s="115"/>
      <c r="S381" s="115"/>
      <c r="T381" s="115"/>
      <c r="U381" s="122"/>
      <c r="V381" s="122"/>
      <c r="W381" s="122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 t="s">
        <v>145</v>
      </c>
      <c r="AJ381" s="115"/>
      <c r="AK381" s="115"/>
      <c r="AL381" s="26"/>
      <c r="AM381" s="13"/>
      <c r="AP381" s="114"/>
    </row>
    <row r="382" spans="16:42" x14ac:dyDescent="0.4">
      <c r="P382" s="115"/>
      <c r="Q382" s="115"/>
      <c r="R382" s="115"/>
      <c r="S382" s="115"/>
      <c r="T382" s="115"/>
      <c r="U382" s="122"/>
      <c r="V382" s="122"/>
      <c r="W382" s="122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7"/>
      <c r="AM382" s="13"/>
      <c r="AP382" s="114"/>
    </row>
    <row r="383" spans="16:42" x14ac:dyDescent="0.4">
      <c r="P383" s="115"/>
      <c r="Q383" s="115"/>
      <c r="R383" s="115"/>
      <c r="S383" s="115"/>
      <c r="T383" s="115"/>
      <c r="U383" s="122"/>
      <c r="V383" s="122"/>
      <c r="W383" s="122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26"/>
      <c r="AM383" s="13"/>
      <c r="AP383" s="114"/>
    </row>
    <row r="384" spans="16:42" x14ac:dyDescent="0.4">
      <c r="P384" s="115"/>
      <c r="Q384" s="115"/>
      <c r="R384" s="115"/>
      <c r="S384" s="115"/>
      <c r="T384" s="115"/>
      <c r="U384" s="122"/>
      <c r="V384" s="122"/>
      <c r="W384" s="122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7"/>
      <c r="AM384" s="13"/>
      <c r="AP384" s="114"/>
    </row>
    <row r="385" spans="16:42" x14ac:dyDescent="0.4">
      <c r="P385" s="115"/>
      <c r="Q385" s="115"/>
      <c r="R385" s="115"/>
      <c r="S385" s="115"/>
      <c r="T385" s="115"/>
      <c r="U385" s="122"/>
      <c r="V385" s="122"/>
      <c r="W385" s="122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26"/>
      <c r="AM385" s="13"/>
      <c r="AP385" s="114"/>
    </row>
    <row r="386" spans="16:42" x14ac:dyDescent="0.4">
      <c r="P386" s="115"/>
      <c r="Q386" s="115"/>
      <c r="R386" s="115"/>
      <c r="S386" s="115"/>
      <c r="T386" s="115"/>
      <c r="U386" s="122"/>
      <c r="V386" s="122"/>
      <c r="W386" s="122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26"/>
      <c r="AM386" s="13"/>
      <c r="AP386" s="114"/>
    </row>
    <row r="387" spans="16:42" x14ac:dyDescent="0.4">
      <c r="P387" s="115"/>
      <c r="Q387" s="115"/>
      <c r="R387" s="115"/>
      <c r="S387" s="115"/>
      <c r="T387" s="115"/>
      <c r="U387" s="122"/>
      <c r="V387" s="122"/>
      <c r="W387" s="122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26"/>
      <c r="AM387" s="13"/>
      <c r="AP387" s="114"/>
    </row>
    <row r="388" spans="16:42" x14ac:dyDescent="0.4">
      <c r="P388" s="115"/>
      <c r="Q388" s="115"/>
      <c r="R388" s="115"/>
      <c r="S388" s="115"/>
      <c r="T388" s="115"/>
      <c r="U388" s="122"/>
      <c r="V388" s="122"/>
      <c r="W388" s="122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7"/>
      <c r="AM388" s="13"/>
      <c r="AP388" s="114"/>
    </row>
    <row r="389" spans="16:42" x14ac:dyDescent="0.4">
      <c r="P389" s="115"/>
      <c r="Q389" s="115"/>
      <c r="R389" s="115"/>
      <c r="S389" s="115"/>
      <c r="T389" s="115"/>
      <c r="U389" s="122"/>
      <c r="V389" s="122"/>
      <c r="W389" s="122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26"/>
      <c r="AM389" s="13"/>
      <c r="AP389" s="114"/>
    </row>
    <row r="390" spans="16:42" x14ac:dyDescent="0.4">
      <c r="P390" s="115"/>
      <c r="Q390" s="115"/>
      <c r="R390" s="115"/>
      <c r="S390" s="115"/>
      <c r="T390" s="115"/>
      <c r="U390" s="122"/>
      <c r="V390" s="122"/>
      <c r="W390" s="122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7"/>
      <c r="AM390" s="13"/>
      <c r="AP390" s="114"/>
    </row>
    <row r="391" spans="16:42" x14ac:dyDescent="0.4">
      <c r="P391" s="115"/>
      <c r="Q391" s="115"/>
      <c r="R391" s="115"/>
      <c r="S391" s="115"/>
      <c r="T391" s="115"/>
      <c r="U391" s="122"/>
      <c r="V391" s="122"/>
      <c r="W391" s="122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26"/>
      <c r="AM391" s="13"/>
      <c r="AP391" s="114"/>
    </row>
    <row r="392" spans="16:42" x14ac:dyDescent="0.4">
      <c r="P392" s="115"/>
      <c r="Q392" s="115"/>
      <c r="R392" s="115"/>
      <c r="S392" s="115"/>
      <c r="T392" s="115"/>
      <c r="U392" s="122"/>
      <c r="V392" s="122"/>
      <c r="W392" s="122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7"/>
      <c r="AM392" s="13"/>
      <c r="AP392" s="114"/>
    </row>
    <row r="393" spans="16:42" x14ac:dyDescent="0.4">
      <c r="P393" s="115"/>
      <c r="Q393" s="115"/>
      <c r="R393" s="115"/>
      <c r="S393" s="115"/>
      <c r="T393" s="115"/>
      <c r="U393" s="122"/>
      <c r="V393" s="122"/>
      <c r="W393" s="122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7"/>
      <c r="AM393" s="13"/>
      <c r="AP393" s="114"/>
    </row>
    <row r="394" spans="16:42" x14ac:dyDescent="0.4">
      <c r="P394" s="115"/>
      <c r="Q394" s="115"/>
      <c r="R394" s="115"/>
      <c r="S394" s="115"/>
      <c r="T394" s="115"/>
      <c r="U394" s="122"/>
      <c r="V394" s="122"/>
      <c r="W394" s="122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7"/>
      <c r="AM394" s="13"/>
      <c r="AP394" s="114"/>
    </row>
    <row r="395" spans="16:42" x14ac:dyDescent="0.4">
      <c r="P395" s="115"/>
      <c r="Q395" s="115"/>
      <c r="R395" s="115"/>
      <c r="S395" s="115"/>
      <c r="T395" s="115"/>
      <c r="U395" s="122"/>
      <c r="V395" s="122"/>
      <c r="W395" s="122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26"/>
      <c r="AM395" s="13"/>
      <c r="AP395" s="114"/>
    </row>
    <row r="396" spans="16:42" x14ac:dyDescent="0.4">
      <c r="P396" s="115"/>
      <c r="Q396" s="115"/>
      <c r="R396" s="115"/>
      <c r="S396" s="115"/>
      <c r="T396" s="115"/>
      <c r="U396" s="122"/>
      <c r="V396" s="122"/>
      <c r="W396" s="122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7"/>
      <c r="AM396" s="13"/>
      <c r="AP396" s="114"/>
    </row>
    <row r="397" spans="16:42" x14ac:dyDescent="0.4">
      <c r="P397" s="115"/>
      <c r="Q397" s="115"/>
      <c r="R397" s="115"/>
      <c r="S397" s="115"/>
      <c r="T397" s="115"/>
      <c r="U397" s="122"/>
      <c r="V397" s="122"/>
      <c r="W397" s="122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26"/>
      <c r="AM397" s="13"/>
      <c r="AP397" s="114"/>
    </row>
    <row r="398" spans="16:42" x14ac:dyDescent="0.4">
      <c r="P398" s="115"/>
      <c r="Q398" s="115"/>
      <c r="R398" s="115"/>
      <c r="S398" s="115"/>
      <c r="T398" s="115"/>
      <c r="U398" s="122"/>
      <c r="V398" s="122"/>
      <c r="W398" s="122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7"/>
      <c r="AM398" s="13"/>
      <c r="AP398" s="114"/>
    </row>
    <row r="399" spans="16:42" x14ac:dyDescent="0.4">
      <c r="P399" s="115"/>
      <c r="Q399" s="115"/>
      <c r="R399" s="115"/>
      <c r="S399" s="115"/>
      <c r="T399" s="115"/>
      <c r="U399" s="122"/>
      <c r="V399" s="122"/>
      <c r="W399" s="122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26"/>
      <c r="AM399" s="25"/>
      <c r="AP399" s="114"/>
    </row>
    <row r="400" spans="16:42" x14ac:dyDescent="0.4">
      <c r="P400" s="115"/>
      <c r="Q400" s="115"/>
      <c r="R400" s="115"/>
      <c r="S400" s="115"/>
      <c r="T400" s="115"/>
      <c r="U400" s="122"/>
      <c r="V400" s="122"/>
      <c r="W400" s="122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7"/>
      <c r="AM400" s="13"/>
      <c r="AP400" s="114"/>
    </row>
    <row r="401" spans="16:42" x14ac:dyDescent="0.4">
      <c r="P401" s="115"/>
      <c r="Q401" s="115"/>
      <c r="R401" s="115"/>
      <c r="S401" s="115"/>
      <c r="T401" s="115"/>
      <c r="U401" s="122"/>
      <c r="V401" s="122"/>
      <c r="W401" s="122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7"/>
      <c r="AM401" s="13"/>
      <c r="AP401" s="114"/>
    </row>
    <row r="402" spans="16:42" x14ac:dyDescent="0.4">
      <c r="P402" s="115"/>
      <c r="Q402" s="115"/>
      <c r="R402" s="115"/>
      <c r="S402" s="115"/>
      <c r="T402" s="115"/>
      <c r="U402" s="122"/>
      <c r="V402" s="122"/>
      <c r="W402" s="122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26"/>
      <c r="AM402" s="15"/>
      <c r="AP402" s="114"/>
    </row>
    <row r="403" spans="16:42" x14ac:dyDescent="0.4">
      <c r="P403" s="115"/>
      <c r="Q403" s="115"/>
      <c r="R403" s="115"/>
      <c r="S403" s="115"/>
      <c r="T403" s="115"/>
      <c r="U403" s="122"/>
      <c r="V403" s="122"/>
      <c r="W403" s="122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26"/>
      <c r="AM403" s="15"/>
      <c r="AP403" s="114"/>
    </row>
    <row r="404" spans="16:42" x14ac:dyDescent="0.4">
      <c r="P404" s="115"/>
      <c r="Q404" s="115"/>
      <c r="R404" s="115"/>
      <c r="S404" s="115"/>
      <c r="T404" s="115"/>
      <c r="U404" s="122"/>
      <c r="V404" s="122"/>
      <c r="W404" s="122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26"/>
      <c r="AM404" s="15"/>
      <c r="AP404" s="114"/>
    </row>
    <row r="405" spans="16:42" x14ac:dyDescent="0.4">
      <c r="P405" s="115"/>
      <c r="Q405" s="115"/>
      <c r="R405" s="115"/>
      <c r="S405" s="115"/>
      <c r="T405" s="115"/>
      <c r="U405" s="122"/>
      <c r="V405" s="122"/>
      <c r="W405" s="122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26"/>
      <c r="AM405" s="15"/>
      <c r="AP405" s="114"/>
    </row>
    <row r="406" spans="16:42" x14ac:dyDescent="0.4">
      <c r="P406" s="115"/>
      <c r="Q406" s="115"/>
      <c r="R406" s="115"/>
      <c r="S406" s="115"/>
      <c r="T406" s="115"/>
      <c r="U406" s="122"/>
      <c r="V406" s="122"/>
      <c r="W406" s="122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26"/>
      <c r="AM406" s="15"/>
      <c r="AP406" s="114"/>
    </row>
    <row r="407" spans="16:42" x14ac:dyDescent="0.4">
      <c r="P407" s="115"/>
      <c r="Q407" s="115"/>
      <c r="R407" s="115"/>
      <c r="S407" s="115"/>
      <c r="T407" s="115"/>
      <c r="U407" s="122"/>
      <c r="V407" s="122"/>
      <c r="W407" s="122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26"/>
      <c r="AM407" s="15"/>
      <c r="AP407" s="114"/>
    </row>
    <row r="408" spans="16:42" x14ac:dyDescent="0.4">
      <c r="P408" s="115"/>
      <c r="Q408" s="115"/>
      <c r="R408" s="115"/>
      <c r="S408" s="115"/>
      <c r="T408" s="115"/>
      <c r="U408" s="122"/>
      <c r="V408" s="122"/>
      <c r="W408" s="122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26"/>
      <c r="AM408" s="15"/>
      <c r="AP408" s="114"/>
    </row>
    <row r="409" spans="16:42" x14ac:dyDescent="0.4">
      <c r="P409" s="115"/>
      <c r="Q409" s="115"/>
      <c r="R409" s="115"/>
      <c r="S409" s="115"/>
      <c r="T409" s="115"/>
      <c r="U409" s="122"/>
      <c r="V409" s="122"/>
      <c r="W409" s="122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26"/>
      <c r="AM409" s="15"/>
      <c r="AP409" s="114"/>
    </row>
    <row r="410" spans="16:42" x14ac:dyDescent="0.4">
      <c r="P410" s="115"/>
      <c r="Q410" s="115"/>
      <c r="R410" s="115"/>
      <c r="S410" s="115"/>
      <c r="T410" s="115"/>
      <c r="U410" s="122"/>
      <c r="V410" s="122"/>
      <c r="W410" s="122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7"/>
      <c r="AM410" s="15"/>
      <c r="AP410" s="114"/>
    </row>
    <row r="411" spans="16:42" x14ac:dyDescent="0.4">
      <c r="P411" s="115"/>
      <c r="Q411" s="115"/>
      <c r="R411" s="115"/>
      <c r="S411" s="115"/>
      <c r="T411" s="115"/>
      <c r="U411" s="122"/>
      <c r="V411" s="122"/>
      <c r="W411" s="122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26"/>
      <c r="AM411" s="15"/>
      <c r="AP411" s="114"/>
    </row>
    <row r="412" spans="16:42" x14ac:dyDescent="0.4">
      <c r="P412" s="115"/>
      <c r="Q412" s="115"/>
      <c r="R412" s="115"/>
      <c r="S412" s="115"/>
      <c r="T412" s="115"/>
      <c r="U412" s="122"/>
      <c r="V412" s="122"/>
      <c r="W412" s="122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26"/>
      <c r="AM412" s="13"/>
      <c r="AP412" s="114"/>
    </row>
    <row r="413" spans="16:42" x14ac:dyDescent="0.4">
      <c r="P413" s="115"/>
      <c r="Q413" s="115"/>
      <c r="R413" s="115"/>
      <c r="S413" s="115"/>
      <c r="T413" s="115"/>
      <c r="U413" s="122"/>
      <c r="V413" s="122"/>
      <c r="W413" s="122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26"/>
      <c r="AM413" s="13"/>
      <c r="AP413" s="114"/>
    </row>
    <row r="414" spans="16:42" x14ac:dyDescent="0.4">
      <c r="P414" s="115"/>
      <c r="Q414" s="115"/>
      <c r="R414" s="115"/>
      <c r="S414" s="115"/>
      <c r="T414" s="115"/>
      <c r="U414" s="122"/>
      <c r="V414" s="122"/>
      <c r="W414" s="122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26"/>
      <c r="AM414" s="13"/>
      <c r="AP414" s="114"/>
    </row>
    <row r="415" spans="16:42" x14ac:dyDescent="0.4">
      <c r="P415" s="115"/>
      <c r="Q415" s="115"/>
      <c r="R415" s="115"/>
      <c r="S415" s="115"/>
      <c r="T415" s="115"/>
      <c r="U415" s="122"/>
      <c r="V415" s="122"/>
      <c r="W415" s="122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26"/>
      <c r="AM415" s="13"/>
      <c r="AP415" s="114"/>
    </row>
    <row r="416" spans="16:42" x14ac:dyDescent="0.4">
      <c r="P416" s="115"/>
      <c r="Q416" s="115"/>
      <c r="R416" s="115"/>
      <c r="S416" s="115"/>
      <c r="T416" s="115"/>
      <c r="U416" s="122"/>
      <c r="V416" s="122"/>
      <c r="W416" s="122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26"/>
      <c r="AM416" s="13"/>
      <c r="AP416" s="114"/>
    </row>
    <row r="417" spans="16:42" x14ac:dyDescent="0.4">
      <c r="P417" s="115"/>
      <c r="Q417" s="115"/>
      <c r="R417" s="115"/>
      <c r="S417" s="115"/>
      <c r="T417" s="115"/>
      <c r="U417" s="122"/>
      <c r="V417" s="122"/>
      <c r="W417" s="122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26"/>
      <c r="AM417" s="13"/>
      <c r="AP417" s="114"/>
    </row>
    <row r="418" spans="16:42" x14ac:dyDescent="0.4">
      <c r="P418" s="115"/>
      <c r="Q418" s="115"/>
      <c r="R418" s="115"/>
      <c r="S418" s="115"/>
      <c r="T418" s="115"/>
      <c r="U418" s="122"/>
      <c r="V418" s="122"/>
      <c r="W418" s="122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26"/>
      <c r="AM418" s="13"/>
      <c r="AP418" s="114"/>
    </row>
    <row r="419" spans="16:42" x14ac:dyDescent="0.4">
      <c r="P419" s="115"/>
      <c r="Q419" s="115"/>
      <c r="R419" s="115"/>
      <c r="S419" s="115"/>
      <c r="T419" s="115"/>
      <c r="U419" s="122"/>
      <c r="V419" s="122"/>
      <c r="W419" s="122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26"/>
      <c r="AM419" s="13"/>
      <c r="AP419" s="114"/>
    </row>
    <row r="420" spans="16:42" x14ac:dyDescent="0.4">
      <c r="P420" s="115"/>
      <c r="Q420" s="115"/>
      <c r="R420" s="115"/>
      <c r="S420" s="115"/>
      <c r="T420" s="115"/>
      <c r="U420" s="122"/>
      <c r="V420" s="122"/>
      <c r="W420" s="122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26"/>
      <c r="AM420" s="13"/>
      <c r="AP420" s="114"/>
    </row>
    <row r="421" spans="16:42" x14ac:dyDescent="0.4">
      <c r="P421" s="115"/>
      <c r="Q421" s="115"/>
      <c r="R421" s="115"/>
      <c r="S421" s="115"/>
      <c r="T421" s="115"/>
      <c r="U421" s="122"/>
      <c r="V421" s="122"/>
      <c r="W421" s="122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26"/>
      <c r="AM421" s="13"/>
      <c r="AP421" s="114"/>
    </row>
    <row r="422" spans="16:42" x14ac:dyDescent="0.4">
      <c r="P422" s="115"/>
      <c r="Q422" s="115"/>
      <c r="R422" s="115"/>
      <c r="S422" s="115"/>
      <c r="T422" s="115"/>
      <c r="U422" s="122"/>
      <c r="V422" s="122"/>
      <c r="W422" s="122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26"/>
      <c r="AM422" s="13"/>
      <c r="AP422" s="114"/>
    </row>
    <row r="423" spans="16:42" x14ac:dyDescent="0.4">
      <c r="P423" s="115"/>
      <c r="Q423" s="115"/>
      <c r="R423" s="115"/>
      <c r="S423" s="115"/>
      <c r="T423" s="115"/>
      <c r="U423" s="122"/>
      <c r="V423" s="122"/>
      <c r="W423" s="122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7"/>
      <c r="AM423" s="13"/>
      <c r="AP423" s="114"/>
    </row>
    <row r="424" spans="16:42" x14ac:dyDescent="0.4">
      <c r="P424" s="115"/>
      <c r="Q424" s="115"/>
      <c r="R424" s="115"/>
      <c r="S424" s="115"/>
      <c r="T424" s="115"/>
      <c r="U424" s="122"/>
      <c r="V424" s="122"/>
      <c r="W424" s="122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26"/>
      <c r="AM424" s="13"/>
      <c r="AP424" s="114"/>
    </row>
    <row r="425" spans="16:42" x14ac:dyDescent="0.4">
      <c r="P425" s="115"/>
      <c r="Q425" s="115"/>
      <c r="R425" s="115"/>
      <c r="S425" s="115"/>
      <c r="T425" s="115"/>
      <c r="U425" s="122"/>
      <c r="V425" s="122"/>
      <c r="W425" s="122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26"/>
      <c r="AM425" s="13"/>
      <c r="AP425" s="114"/>
    </row>
    <row r="426" spans="16:42" x14ac:dyDescent="0.4">
      <c r="P426" s="115"/>
      <c r="Q426" s="115"/>
      <c r="R426" s="115"/>
      <c r="S426" s="115"/>
      <c r="T426" s="115"/>
      <c r="U426" s="122"/>
      <c r="V426" s="122"/>
      <c r="W426" s="122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26"/>
      <c r="AM426" s="13"/>
      <c r="AP426" s="114"/>
    </row>
    <row r="427" spans="16:42" x14ac:dyDescent="0.4">
      <c r="P427" s="115"/>
      <c r="Q427" s="115"/>
      <c r="R427" s="115"/>
      <c r="S427" s="115"/>
      <c r="T427" s="115"/>
      <c r="U427" s="122"/>
      <c r="V427" s="122"/>
      <c r="W427" s="122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7"/>
      <c r="AM427" s="13"/>
      <c r="AP427" s="114"/>
    </row>
    <row r="428" spans="16:42" x14ac:dyDescent="0.4">
      <c r="P428" s="115"/>
      <c r="Q428" s="115"/>
      <c r="R428" s="115"/>
      <c r="S428" s="115"/>
      <c r="T428" s="115"/>
      <c r="U428" s="122"/>
      <c r="V428" s="122"/>
      <c r="W428" s="122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26"/>
      <c r="AM428" s="13"/>
      <c r="AP428" s="114"/>
    </row>
    <row r="429" spans="16:42" x14ac:dyDescent="0.4">
      <c r="P429" s="115"/>
      <c r="Q429" s="115"/>
      <c r="R429" s="115"/>
      <c r="S429" s="115"/>
      <c r="T429" s="115"/>
      <c r="U429" s="122"/>
      <c r="V429" s="122"/>
      <c r="W429" s="122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7"/>
      <c r="AM429" s="13"/>
      <c r="AP429" s="114"/>
    </row>
    <row r="430" spans="16:42" x14ac:dyDescent="0.4">
      <c r="P430" s="115"/>
      <c r="Q430" s="115"/>
      <c r="R430" s="115"/>
      <c r="S430" s="115"/>
      <c r="T430" s="115"/>
      <c r="U430" s="122"/>
      <c r="V430" s="122"/>
      <c r="W430" s="122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26"/>
      <c r="AM430" s="13"/>
      <c r="AP430" s="114"/>
    </row>
    <row r="431" spans="16:42" x14ac:dyDescent="0.4">
      <c r="P431" s="115"/>
      <c r="Q431" s="115"/>
      <c r="R431" s="115"/>
      <c r="S431" s="115"/>
      <c r="T431" s="115"/>
      <c r="U431" s="122"/>
      <c r="V431" s="122"/>
      <c r="W431" s="122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26"/>
      <c r="AM431" s="15"/>
      <c r="AP431" s="114"/>
    </row>
    <row r="432" spans="16:42" x14ac:dyDescent="0.4">
      <c r="P432" s="115"/>
      <c r="Q432" s="115"/>
      <c r="R432" s="115"/>
      <c r="S432" s="115"/>
      <c r="T432" s="115"/>
      <c r="U432" s="122"/>
      <c r="V432" s="122"/>
      <c r="W432" s="122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7"/>
      <c r="AM432" s="15"/>
      <c r="AP432" s="114"/>
    </row>
    <row r="433" spans="15:42" x14ac:dyDescent="0.4">
      <c r="P433" s="115"/>
      <c r="Q433" s="115"/>
      <c r="R433" s="115"/>
      <c r="S433" s="115"/>
      <c r="T433" s="115"/>
      <c r="U433" s="122"/>
      <c r="V433" s="122"/>
      <c r="W433" s="122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7"/>
      <c r="AM433" s="15"/>
      <c r="AP433" s="114"/>
    </row>
    <row r="434" spans="15:42" x14ac:dyDescent="0.4">
      <c r="O434" s="115"/>
      <c r="P434" s="115"/>
      <c r="Q434" s="115"/>
      <c r="R434" s="115"/>
      <c r="S434" s="115"/>
      <c r="T434" s="115"/>
      <c r="U434" s="122"/>
      <c r="V434" s="122"/>
      <c r="W434" s="122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26"/>
      <c r="AM434" s="15"/>
      <c r="AP434" s="114"/>
    </row>
    <row r="435" spans="15:42" x14ac:dyDescent="0.4">
      <c r="O435" s="115"/>
      <c r="P435" s="115"/>
      <c r="Q435" s="115"/>
      <c r="R435" s="115"/>
      <c r="S435" s="115"/>
      <c r="T435" s="115"/>
      <c r="U435" s="122"/>
      <c r="V435" s="122"/>
      <c r="W435" s="122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7"/>
      <c r="AM435" s="15"/>
      <c r="AP435" s="114"/>
    </row>
    <row r="436" spans="15:42" x14ac:dyDescent="0.4">
      <c r="O436" s="115"/>
      <c r="P436" s="115"/>
      <c r="Q436" s="115"/>
      <c r="R436" s="115"/>
      <c r="S436" s="115"/>
      <c r="T436" s="115"/>
      <c r="U436" s="122"/>
      <c r="V436" s="122"/>
      <c r="W436" s="122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26"/>
      <c r="AM436" s="15"/>
      <c r="AP436" s="114"/>
    </row>
    <row r="437" spans="15:42" x14ac:dyDescent="0.4">
      <c r="O437" s="115"/>
      <c r="P437" s="115"/>
      <c r="Q437" s="115"/>
      <c r="R437" s="115"/>
      <c r="S437" s="115"/>
      <c r="T437" s="115"/>
      <c r="U437" s="122"/>
      <c r="V437" s="122"/>
      <c r="W437" s="122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26"/>
      <c r="AM437" s="15"/>
      <c r="AP437" s="114"/>
    </row>
    <row r="438" spans="15:42" x14ac:dyDescent="0.4">
      <c r="O438" s="115"/>
      <c r="P438" s="115"/>
      <c r="Q438" s="115"/>
      <c r="R438" s="115"/>
      <c r="S438" s="115"/>
      <c r="T438" s="115"/>
      <c r="U438" s="122"/>
      <c r="V438" s="122"/>
      <c r="W438" s="122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7"/>
      <c r="AM438" s="15"/>
      <c r="AP438" s="114"/>
    </row>
    <row r="439" spans="15:42" x14ac:dyDescent="0.4">
      <c r="O439" s="115"/>
      <c r="P439" s="115"/>
      <c r="Q439" s="115"/>
      <c r="R439" s="115"/>
      <c r="S439" s="115"/>
      <c r="T439" s="115"/>
      <c r="U439" s="122"/>
      <c r="V439" s="122"/>
      <c r="W439" s="122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26"/>
      <c r="AM439" s="15"/>
      <c r="AP439" s="114"/>
    </row>
    <row r="440" spans="15:42" x14ac:dyDescent="0.4">
      <c r="O440" s="115"/>
      <c r="P440" s="115"/>
      <c r="Q440" s="115"/>
      <c r="R440" s="115"/>
      <c r="S440" s="115"/>
      <c r="T440" s="115"/>
      <c r="U440" s="122"/>
      <c r="V440" s="122"/>
      <c r="W440" s="122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7"/>
      <c r="AM440" s="15"/>
      <c r="AP440" s="114"/>
    </row>
    <row r="441" spans="15:42" x14ac:dyDescent="0.4">
      <c r="O441" s="115"/>
      <c r="P441" s="115"/>
      <c r="Q441" s="115"/>
      <c r="R441" s="115"/>
      <c r="S441" s="115"/>
      <c r="T441" s="115"/>
      <c r="U441" s="122"/>
      <c r="V441" s="122"/>
      <c r="W441" s="122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7"/>
      <c r="AM441" s="15"/>
      <c r="AP441" s="114"/>
    </row>
    <row r="442" spans="15:42" x14ac:dyDescent="0.4">
      <c r="O442" s="115"/>
      <c r="P442" s="115"/>
      <c r="Q442" s="115"/>
      <c r="R442" s="115"/>
      <c r="S442" s="115"/>
      <c r="T442" s="115"/>
      <c r="U442" s="122"/>
      <c r="V442" s="122"/>
      <c r="W442" s="122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26"/>
      <c r="AM442" s="15"/>
      <c r="AP442" s="114"/>
    </row>
    <row r="443" spans="15:42" x14ac:dyDescent="0.4">
      <c r="O443" s="115"/>
      <c r="P443" s="115"/>
      <c r="Q443" s="115"/>
      <c r="R443" s="115"/>
      <c r="S443" s="115"/>
      <c r="T443" s="115"/>
      <c r="U443" s="122"/>
      <c r="V443" s="122"/>
      <c r="W443" s="122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26"/>
      <c r="AM443" s="15"/>
      <c r="AP443" s="114"/>
    </row>
    <row r="444" spans="15:42" x14ac:dyDescent="0.4">
      <c r="O444" s="115"/>
      <c r="P444" s="115"/>
      <c r="Q444" s="115"/>
      <c r="R444" s="115"/>
      <c r="S444" s="115"/>
      <c r="T444" s="115"/>
      <c r="U444" s="122"/>
      <c r="V444" s="122"/>
      <c r="W444" s="122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26"/>
      <c r="AM444" s="15"/>
      <c r="AP444" s="114"/>
    </row>
    <row r="445" spans="15:42" x14ac:dyDescent="0.4">
      <c r="O445" s="115"/>
      <c r="P445" s="115"/>
      <c r="Q445" s="115"/>
      <c r="R445" s="115"/>
      <c r="S445" s="115"/>
      <c r="T445" s="115"/>
      <c r="U445" s="122"/>
      <c r="V445" s="122"/>
      <c r="W445" s="122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26"/>
      <c r="AM445" s="15"/>
      <c r="AP445" s="114"/>
    </row>
    <row r="446" spans="15:42" x14ac:dyDescent="0.4">
      <c r="O446" s="115"/>
      <c r="P446" s="115"/>
      <c r="Q446" s="115"/>
      <c r="R446" s="115"/>
      <c r="S446" s="115"/>
      <c r="T446" s="115"/>
      <c r="U446" s="122"/>
      <c r="V446" s="122"/>
      <c r="W446" s="122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26"/>
      <c r="AM446" s="15"/>
      <c r="AP446" s="114"/>
    </row>
    <row r="447" spans="15:42" x14ac:dyDescent="0.4">
      <c r="O447" s="115"/>
      <c r="P447" s="115"/>
      <c r="Q447" s="115"/>
      <c r="R447" s="115"/>
      <c r="S447" s="115"/>
      <c r="T447" s="115"/>
      <c r="U447" s="122"/>
      <c r="V447" s="122"/>
      <c r="W447" s="122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26"/>
      <c r="AM447" s="15"/>
      <c r="AP447" s="114"/>
    </row>
    <row r="448" spans="15:42" x14ac:dyDescent="0.4">
      <c r="O448" s="115"/>
      <c r="P448" s="115"/>
      <c r="Q448" s="115"/>
      <c r="R448" s="115"/>
      <c r="S448" s="115"/>
      <c r="T448" s="115"/>
      <c r="U448" s="122"/>
      <c r="V448" s="122"/>
      <c r="W448" s="122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26"/>
      <c r="AM448" s="15"/>
      <c r="AP448" s="114"/>
    </row>
    <row r="449" spans="5:42" x14ac:dyDescent="0.4">
      <c r="O449" s="115"/>
      <c r="P449" s="115"/>
      <c r="Q449" s="115"/>
      <c r="R449" s="115"/>
      <c r="S449" s="115"/>
      <c r="T449" s="115"/>
      <c r="U449" s="122"/>
      <c r="V449" s="122"/>
      <c r="W449" s="122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7"/>
      <c r="AM449" s="15"/>
      <c r="AP449" s="114"/>
    </row>
    <row r="450" spans="5:42" x14ac:dyDescent="0.4">
      <c r="O450" s="115"/>
      <c r="P450" s="115"/>
      <c r="Q450" s="115"/>
      <c r="R450" s="115"/>
      <c r="S450" s="115"/>
      <c r="T450" s="115"/>
      <c r="U450" s="122"/>
      <c r="V450" s="122"/>
      <c r="W450" s="122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26"/>
      <c r="AM450" s="15"/>
      <c r="AP450" s="114"/>
    </row>
    <row r="451" spans="5:42" x14ac:dyDescent="0.4">
      <c r="O451" s="115"/>
      <c r="P451" s="115"/>
      <c r="Q451" s="115"/>
      <c r="R451" s="115"/>
      <c r="S451" s="115"/>
      <c r="T451" s="115"/>
      <c r="U451" s="122"/>
      <c r="V451" s="122"/>
      <c r="W451" s="122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26"/>
      <c r="AM451" s="15"/>
      <c r="AP451" s="114"/>
    </row>
    <row r="452" spans="5:42" x14ac:dyDescent="0.4">
      <c r="O452" s="115"/>
      <c r="P452" s="115"/>
      <c r="Q452" s="115"/>
      <c r="R452" s="115"/>
      <c r="S452" s="115"/>
      <c r="T452" s="115"/>
      <c r="U452" s="122"/>
      <c r="V452" s="122"/>
      <c r="W452" s="122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26"/>
      <c r="AM452" s="15"/>
      <c r="AP452" s="114"/>
    </row>
    <row r="453" spans="5:42" x14ac:dyDescent="0.4">
      <c r="O453" s="115"/>
      <c r="P453" s="115"/>
      <c r="Q453" s="115"/>
      <c r="R453" s="115"/>
      <c r="S453" s="115"/>
      <c r="T453" s="115"/>
      <c r="U453" s="122"/>
      <c r="V453" s="122"/>
      <c r="W453" s="122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26"/>
      <c r="AM453" s="13"/>
      <c r="AP453" s="114"/>
    </row>
    <row r="454" spans="5:42" x14ac:dyDescent="0.4">
      <c r="O454" s="115"/>
      <c r="P454" s="115"/>
      <c r="Q454" s="115"/>
      <c r="R454" s="115"/>
      <c r="S454" s="115"/>
      <c r="T454" s="115"/>
      <c r="U454" s="122"/>
      <c r="V454" s="122"/>
      <c r="W454" s="122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7"/>
      <c r="AM454" s="13"/>
      <c r="AP454" s="114"/>
    </row>
    <row r="455" spans="5:42" x14ac:dyDescent="0.4">
      <c r="O455" s="115"/>
      <c r="P455" s="115"/>
      <c r="Q455" s="115"/>
      <c r="R455" s="115"/>
      <c r="S455" s="115"/>
      <c r="T455" s="115"/>
      <c r="U455" s="122"/>
      <c r="V455" s="122"/>
      <c r="W455" s="122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26"/>
      <c r="AM455" s="13"/>
      <c r="AP455" s="114"/>
    </row>
    <row r="456" spans="5:42" x14ac:dyDescent="0.4">
      <c r="O456" s="115"/>
      <c r="P456" s="115"/>
      <c r="Q456" s="115"/>
      <c r="R456" s="115"/>
      <c r="S456" s="115"/>
      <c r="T456" s="115"/>
      <c r="U456" s="122"/>
      <c r="V456" s="122"/>
      <c r="W456" s="122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26"/>
      <c r="AM456" s="13"/>
      <c r="AP456" s="114"/>
    </row>
    <row r="457" spans="5:42" x14ac:dyDescent="0.4">
      <c r="O457" s="115"/>
      <c r="P457" s="115"/>
      <c r="Q457" s="115"/>
      <c r="R457" s="115"/>
      <c r="S457" s="115"/>
      <c r="T457" s="115"/>
      <c r="U457" s="122"/>
      <c r="V457" s="122"/>
      <c r="W457" s="122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26"/>
      <c r="AM457" s="13"/>
      <c r="AP457" s="114"/>
    </row>
    <row r="458" spans="5:42" x14ac:dyDescent="0.4">
      <c r="O458" s="115"/>
      <c r="P458" s="115"/>
      <c r="Q458" s="115"/>
      <c r="R458" s="115"/>
      <c r="S458" s="115"/>
      <c r="T458" s="115"/>
      <c r="U458" s="122"/>
      <c r="V458" s="122"/>
      <c r="W458" s="122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26"/>
      <c r="AM458" s="13"/>
      <c r="AP458" s="114"/>
    </row>
    <row r="459" spans="5:42" x14ac:dyDescent="0.4">
      <c r="O459" s="115"/>
      <c r="P459" s="115"/>
      <c r="Q459" s="115"/>
      <c r="R459" s="115"/>
      <c r="S459" s="115"/>
      <c r="T459" s="115"/>
      <c r="U459" s="122"/>
      <c r="V459" s="122"/>
      <c r="W459" s="122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26"/>
      <c r="AM459" s="13"/>
      <c r="AP459" s="114"/>
    </row>
    <row r="460" spans="5:42" x14ac:dyDescent="0.4">
      <c r="O460" s="115"/>
      <c r="P460" s="115"/>
      <c r="Q460" s="115"/>
      <c r="R460" s="115"/>
      <c r="S460" s="115"/>
      <c r="T460" s="115"/>
      <c r="U460" s="122"/>
      <c r="V460" s="122"/>
      <c r="W460" s="122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26"/>
      <c r="AM460" s="13"/>
      <c r="AP460" s="114"/>
    </row>
    <row r="461" spans="5:42" x14ac:dyDescent="0.4">
      <c r="O461" s="115"/>
      <c r="P461" s="115"/>
      <c r="Q461" s="115"/>
      <c r="R461" s="115"/>
      <c r="S461" s="115"/>
      <c r="T461" s="115"/>
      <c r="U461" s="122"/>
      <c r="V461" s="122"/>
      <c r="W461" s="122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7"/>
      <c r="AM461" s="13"/>
      <c r="AP461" s="114"/>
    </row>
    <row r="462" spans="5:42" x14ac:dyDescent="0.4">
      <c r="O462" s="115"/>
      <c r="P462" s="115"/>
      <c r="Q462" s="115"/>
      <c r="R462" s="115"/>
      <c r="S462" s="115"/>
      <c r="T462" s="115"/>
      <c r="U462" s="122"/>
      <c r="V462" s="122"/>
      <c r="W462" s="122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26"/>
      <c r="AM462" s="13"/>
      <c r="AP462" s="114"/>
    </row>
    <row r="463" spans="5:42" x14ac:dyDescent="0.4">
      <c r="O463" s="115"/>
      <c r="P463" s="115"/>
      <c r="Q463" s="115"/>
      <c r="R463" s="115"/>
      <c r="S463" s="115"/>
      <c r="T463" s="115"/>
      <c r="U463" s="122"/>
      <c r="V463" s="122"/>
      <c r="W463" s="122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26"/>
      <c r="AM463" s="13"/>
      <c r="AP463" s="114"/>
    </row>
    <row r="464" spans="5:42" x14ac:dyDescent="0.4"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22"/>
      <c r="V464" s="122"/>
      <c r="W464" s="122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26"/>
      <c r="AM464" s="13"/>
      <c r="AP464" s="114"/>
    </row>
    <row r="465" spans="5:42" x14ac:dyDescent="0.4"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22"/>
      <c r="V465" s="122"/>
      <c r="W465" s="122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26"/>
      <c r="AM465" s="13"/>
      <c r="AP465" s="114"/>
    </row>
    <row r="466" spans="5:42" x14ac:dyDescent="0.4"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22"/>
      <c r="V466" s="122"/>
      <c r="W466" s="122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26"/>
      <c r="AM466" s="13"/>
      <c r="AP466" s="114"/>
    </row>
    <row r="467" spans="5:42" x14ac:dyDescent="0.4"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22"/>
      <c r="V467" s="122"/>
      <c r="W467" s="122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26"/>
      <c r="AM467" s="13"/>
      <c r="AP467" s="114"/>
    </row>
    <row r="468" spans="5:42" x14ac:dyDescent="0.4"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22"/>
      <c r="V468" s="122"/>
      <c r="W468" s="122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26"/>
      <c r="AM468" s="13"/>
      <c r="AP468" s="114"/>
    </row>
    <row r="469" spans="5:42" x14ac:dyDescent="0.4"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22"/>
      <c r="V469" s="122"/>
      <c r="W469" s="122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26"/>
      <c r="AM469" s="13"/>
      <c r="AP469" s="114"/>
    </row>
    <row r="470" spans="5:42" x14ac:dyDescent="0.4"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22"/>
      <c r="V470" s="122"/>
      <c r="W470" s="122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26"/>
      <c r="AM470" s="13"/>
      <c r="AP470" s="114"/>
    </row>
    <row r="471" spans="5:42" x14ac:dyDescent="0.4"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22"/>
      <c r="V471" s="122"/>
      <c r="W471" s="122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26"/>
      <c r="AM471" s="13"/>
      <c r="AP471" s="114"/>
    </row>
    <row r="472" spans="5:42" x14ac:dyDescent="0.4"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22"/>
      <c r="V472" s="122"/>
      <c r="W472" s="122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26"/>
      <c r="AM472" s="13"/>
      <c r="AP472" s="114"/>
    </row>
    <row r="473" spans="5:42" x14ac:dyDescent="0.4"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22"/>
      <c r="V473" s="122"/>
      <c r="W473" s="122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26"/>
      <c r="AM473" s="13"/>
      <c r="AP473" s="114"/>
    </row>
    <row r="474" spans="5:42" x14ac:dyDescent="0.4"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22"/>
      <c r="V474" s="122"/>
      <c r="W474" s="122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26"/>
      <c r="AM474" s="13"/>
      <c r="AP474" s="114"/>
    </row>
    <row r="475" spans="5:42" x14ac:dyDescent="0.4"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22"/>
      <c r="V475" s="122"/>
      <c r="W475" s="122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26"/>
      <c r="AM475" s="13"/>
      <c r="AP475" s="114"/>
    </row>
    <row r="476" spans="5:42" x14ac:dyDescent="0.4"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22"/>
      <c r="V476" s="122"/>
      <c r="W476" s="122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26"/>
      <c r="AM476" s="13"/>
      <c r="AP476" s="114"/>
    </row>
    <row r="477" spans="5:42" x14ac:dyDescent="0.4"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22"/>
      <c r="V477" s="122"/>
      <c r="W477" s="122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26"/>
      <c r="AM477" s="13"/>
      <c r="AP477" s="114"/>
    </row>
    <row r="478" spans="5:42" x14ac:dyDescent="0.4"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22"/>
      <c r="V478" s="122"/>
      <c r="W478" s="122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26"/>
      <c r="AM478" s="13"/>
      <c r="AP478" s="114"/>
    </row>
    <row r="479" spans="5:42" x14ac:dyDescent="0.4"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22"/>
      <c r="V479" s="122"/>
      <c r="W479" s="122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26"/>
      <c r="AM479" s="13"/>
      <c r="AP479" s="114"/>
    </row>
    <row r="480" spans="5:42" x14ac:dyDescent="0.4"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22"/>
      <c r="V480" s="122"/>
      <c r="W480" s="122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7"/>
      <c r="AM480" s="13"/>
      <c r="AP480" s="114"/>
    </row>
    <row r="481" spans="3:42" x14ac:dyDescent="0.4"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22"/>
      <c r="V481" s="122"/>
      <c r="W481" s="122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26"/>
      <c r="AM481" s="13"/>
      <c r="AP481" s="114"/>
    </row>
    <row r="482" spans="3:42" x14ac:dyDescent="0.4"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22"/>
      <c r="V482" s="122"/>
      <c r="W482" s="122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26"/>
      <c r="AM482" s="13"/>
      <c r="AP482" s="114"/>
    </row>
    <row r="483" spans="3:42" x14ac:dyDescent="0.4"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22"/>
      <c r="V483" s="122"/>
      <c r="W483" s="122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26"/>
      <c r="AM483" s="13"/>
      <c r="AP483" s="114"/>
    </row>
    <row r="484" spans="3:42" x14ac:dyDescent="0.4"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22"/>
      <c r="V484" s="122"/>
      <c r="W484" s="122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26"/>
      <c r="AM484" s="15"/>
      <c r="AP484" s="114"/>
    </row>
    <row r="485" spans="3:42" x14ac:dyDescent="0.4"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22"/>
      <c r="V485" s="122"/>
      <c r="W485" s="122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26"/>
      <c r="AM485" s="15"/>
      <c r="AP485" s="114"/>
    </row>
    <row r="486" spans="3:42" x14ac:dyDescent="0.4"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22"/>
      <c r="V486" s="122"/>
      <c r="W486" s="122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26"/>
      <c r="AM486" s="15"/>
      <c r="AP486" s="114"/>
    </row>
    <row r="487" spans="3:42" x14ac:dyDescent="0.4"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22"/>
      <c r="V487" s="122"/>
      <c r="W487" s="122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26"/>
      <c r="AM487" s="13"/>
      <c r="AP487" s="114"/>
    </row>
    <row r="488" spans="3:42" x14ac:dyDescent="0.4"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22"/>
      <c r="V488" s="122"/>
      <c r="W488" s="122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26"/>
      <c r="AM488" s="13"/>
      <c r="AP488" s="114"/>
    </row>
    <row r="489" spans="3:42" x14ac:dyDescent="0.4"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22"/>
      <c r="V489" s="122"/>
      <c r="W489" s="122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26"/>
      <c r="AM489" s="13"/>
      <c r="AP489" s="114"/>
    </row>
    <row r="490" spans="3:42" x14ac:dyDescent="0.4"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22"/>
      <c r="V490" s="122"/>
      <c r="W490" s="122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7"/>
      <c r="AM490" s="13"/>
      <c r="AP490" s="114"/>
    </row>
    <row r="491" spans="3:42" x14ac:dyDescent="0.4"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22"/>
      <c r="V491" s="122"/>
      <c r="W491" s="122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26"/>
      <c r="AM491" s="13"/>
      <c r="AP491" s="114"/>
    </row>
    <row r="492" spans="3:42" x14ac:dyDescent="0.4"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22"/>
      <c r="V492" s="122"/>
      <c r="W492" s="122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26"/>
      <c r="AM492" s="25"/>
      <c r="AP492" s="114"/>
    </row>
    <row r="493" spans="3:42" x14ac:dyDescent="0.4"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22"/>
      <c r="V493" s="122"/>
      <c r="W493" s="122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26"/>
      <c r="AM493" s="13"/>
      <c r="AP493" s="114"/>
    </row>
    <row r="494" spans="3:42" x14ac:dyDescent="0.4"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22"/>
      <c r="V494" s="122"/>
      <c r="W494" s="122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26"/>
      <c r="AM494" s="13"/>
      <c r="AP494" s="114"/>
    </row>
    <row r="495" spans="3:42" x14ac:dyDescent="0.4"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22"/>
      <c r="V495" s="122"/>
      <c r="W495" s="122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26"/>
      <c r="AM495" s="13"/>
      <c r="AP495" s="114"/>
    </row>
    <row r="496" spans="3:42" x14ac:dyDescent="0.4"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22"/>
      <c r="V496" s="122"/>
      <c r="W496" s="122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26"/>
      <c r="AM496" s="13"/>
      <c r="AP496" s="114"/>
    </row>
    <row r="497" spans="1:42" x14ac:dyDescent="0.4"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22"/>
      <c r="V497" s="122"/>
      <c r="W497" s="122"/>
      <c r="X497" s="115"/>
      <c r="Y497" s="115"/>
      <c r="Z497" s="115"/>
      <c r="AA497" s="115"/>
      <c r="AL497" s="26"/>
      <c r="AM497" s="13"/>
      <c r="AP497" s="114"/>
    </row>
    <row r="498" spans="1:42" x14ac:dyDescent="0.4"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22"/>
      <c r="V498" s="122"/>
      <c r="W498" s="122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26"/>
      <c r="AM498" s="13"/>
      <c r="AP498" s="114"/>
    </row>
    <row r="499" spans="1:42" x14ac:dyDescent="0.4"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22"/>
      <c r="V499" s="122"/>
      <c r="W499" s="122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7"/>
      <c r="AM499" s="13"/>
      <c r="AP499" s="114"/>
    </row>
    <row r="500" spans="1:42" x14ac:dyDescent="0.4"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22"/>
      <c r="V500" s="122"/>
      <c r="W500" s="122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26"/>
      <c r="AM500" s="13"/>
      <c r="AP500" s="114"/>
    </row>
    <row r="501" spans="1:42" x14ac:dyDescent="0.4"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22"/>
      <c r="V501" s="122"/>
      <c r="W501" s="122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26"/>
      <c r="AM501" s="15"/>
      <c r="AP501" s="114"/>
    </row>
    <row r="502" spans="1:42" x14ac:dyDescent="0.4"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22"/>
      <c r="V502" s="122"/>
      <c r="W502" s="122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7"/>
      <c r="AM502" s="15"/>
      <c r="AP502" s="114"/>
    </row>
    <row r="503" spans="1:42" x14ac:dyDescent="0.4"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22"/>
      <c r="V503" s="122"/>
      <c r="W503" s="122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26"/>
      <c r="AM503" s="15"/>
      <c r="AP503" s="114"/>
    </row>
    <row r="504" spans="1:42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22"/>
      <c r="V504" s="122"/>
      <c r="W504" s="122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26"/>
      <c r="AM504" s="15"/>
      <c r="AP504" s="114"/>
    </row>
    <row r="505" spans="1:42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22"/>
      <c r="V505" s="122"/>
      <c r="W505" s="122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7"/>
      <c r="AM505" s="13"/>
      <c r="AP505" s="114"/>
    </row>
    <row r="506" spans="1:42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22"/>
      <c r="V506" s="122"/>
      <c r="W506" s="122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7"/>
      <c r="AM506" s="13"/>
      <c r="AP506" s="114"/>
    </row>
    <row r="507" spans="1:42" x14ac:dyDescent="0.4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22"/>
      <c r="V507" s="122"/>
      <c r="W507" s="122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26"/>
      <c r="AM507" s="13"/>
      <c r="AP507" s="114"/>
    </row>
    <row r="508" spans="1:42" x14ac:dyDescent="0.4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22"/>
      <c r="V508" s="122"/>
      <c r="W508" s="122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26"/>
      <c r="AM508" s="13"/>
      <c r="AP508" s="114"/>
    </row>
    <row r="509" spans="1:42" x14ac:dyDescent="0.4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22"/>
      <c r="V509" s="122"/>
      <c r="W509" s="122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7"/>
      <c r="AM509" s="13"/>
      <c r="AP509" s="114"/>
    </row>
    <row r="510" spans="1:42" x14ac:dyDescent="0.4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22"/>
      <c r="V510" s="122"/>
      <c r="W510" s="122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26"/>
      <c r="AM510" s="15"/>
      <c r="AP510" s="114"/>
    </row>
    <row r="511" spans="1:42" x14ac:dyDescent="0.4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22"/>
      <c r="V511" s="122"/>
      <c r="W511" s="122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26"/>
      <c r="AM511" s="15"/>
      <c r="AP511" s="114"/>
    </row>
    <row r="512" spans="1:42" x14ac:dyDescent="0.4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22"/>
      <c r="V512" s="122"/>
      <c r="W512" s="122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26"/>
      <c r="AM512" s="15"/>
      <c r="AP512" s="114"/>
    </row>
    <row r="513" spans="1:42" x14ac:dyDescent="0.4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22"/>
      <c r="V513" s="122"/>
      <c r="W513" s="122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26"/>
      <c r="AM513" s="13"/>
      <c r="AP513" s="114"/>
    </row>
    <row r="514" spans="1:42" x14ac:dyDescent="0.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22"/>
      <c r="V514" s="122"/>
      <c r="W514" s="122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26"/>
      <c r="AM514" s="25"/>
      <c r="AP514" s="114"/>
    </row>
    <row r="515" spans="1:42" x14ac:dyDescent="0.4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22"/>
      <c r="V515" s="122"/>
      <c r="W515" s="122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26"/>
      <c r="AM515" s="13"/>
      <c r="AP515" s="114"/>
    </row>
    <row r="516" spans="1:42" x14ac:dyDescent="0.4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22"/>
      <c r="V516" s="122"/>
      <c r="W516" s="122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26"/>
      <c r="AM516" s="13"/>
      <c r="AP516" s="114"/>
    </row>
    <row r="517" spans="1:42" x14ac:dyDescent="0.4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22"/>
      <c r="V517" s="122"/>
      <c r="W517" s="122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26"/>
      <c r="AM517" s="13"/>
      <c r="AP517" s="114"/>
    </row>
    <row r="518" spans="1:42" x14ac:dyDescent="0.4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22"/>
      <c r="V518" s="122"/>
      <c r="W518" s="122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26"/>
      <c r="AM518" s="13"/>
      <c r="AP518" s="114"/>
    </row>
    <row r="519" spans="1:42" x14ac:dyDescent="0.4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22"/>
      <c r="V519" s="122"/>
      <c r="W519" s="122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26"/>
      <c r="AM519" s="13"/>
      <c r="AP519" s="114"/>
    </row>
    <row r="520" spans="1:42" x14ac:dyDescent="0.4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22"/>
      <c r="V520" s="122"/>
      <c r="W520" s="122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26"/>
      <c r="AM520" s="13"/>
      <c r="AP520" s="114"/>
    </row>
    <row r="521" spans="1:42" x14ac:dyDescent="0.4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22"/>
      <c r="V521" s="122"/>
      <c r="W521" s="122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26"/>
      <c r="AM521" s="13"/>
      <c r="AP521" s="114"/>
    </row>
    <row r="522" spans="1:42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22"/>
      <c r="V522" s="122"/>
      <c r="W522" s="122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26"/>
      <c r="AM522" s="13"/>
      <c r="AP522" s="114"/>
    </row>
    <row r="523" spans="1:42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22"/>
      <c r="V523" s="122"/>
      <c r="W523" s="122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26"/>
      <c r="AM523" s="13"/>
      <c r="AP523" s="114"/>
    </row>
    <row r="524" spans="1:42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22"/>
      <c r="V524" s="122"/>
      <c r="W524" s="122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26"/>
      <c r="AM524" s="13"/>
      <c r="AP524" s="114"/>
    </row>
    <row r="525" spans="1:42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22"/>
      <c r="V525" s="122"/>
      <c r="W525" s="122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26"/>
      <c r="AM525" s="15"/>
      <c r="AP525" s="114"/>
    </row>
    <row r="526" spans="1:42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22"/>
      <c r="V526" s="122"/>
      <c r="W526" s="122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26"/>
      <c r="AM526" s="15"/>
      <c r="AP526" s="114"/>
    </row>
    <row r="527" spans="1:42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22"/>
      <c r="V527" s="122"/>
      <c r="W527" s="122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26"/>
      <c r="AM527" s="15"/>
      <c r="AP527" s="114"/>
    </row>
    <row r="528" spans="1:42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22"/>
      <c r="V528" s="122"/>
      <c r="W528" s="122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26"/>
      <c r="AM528" s="15"/>
      <c r="AP528" s="114"/>
    </row>
    <row r="529" spans="1:42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22"/>
      <c r="V529" s="122"/>
      <c r="W529" s="122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26"/>
      <c r="AM529" s="13"/>
      <c r="AP529" s="114"/>
    </row>
    <row r="530" spans="1:42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22"/>
      <c r="V530" s="122"/>
      <c r="W530" s="122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26"/>
      <c r="AM530" s="15"/>
      <c r="AP530" s="114"/>
    </row>
    <row r="531" spans="1:42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22"/>
      <c r="V531" s="122"/>
      <c r="W531" s="122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26"/>
      <c r="AM531" s="15"/>
      <c r="AP531" s="114"/>
    </row>
    <row r="532" spans="1:42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22"/>
      <c r="V532" s="122"/>
      <c r="W532" s="122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26"/>
      <c r="AM532" s="15"/>
      <c r="AP532" s="114"/>
    </row>
    <row r="533" spans="1:42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22"/>
      <c r="V533" s="122"/>
      <c r="W533" s="122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26"/>
      <c r="AM533" s="15"/>
      <c r="AP533" s="114"/>
    </row>
    <row r="534" spans="1:42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22"/>
      <c r="V534" s="122"/>
      <c r="W534" s="122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26"/>
      <c r="AM534" s="15"/>
      <c r="AP534" s="114"/>
    </row>
    <row r="535" spans="1:42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22"/>
      <c r="V535" s="122"/>
      <c r="W535" s="122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26"/>
      <c r="AM535" s="105"/>
      <c r="AP535" s="114"/>
    </row>
    <row r="536" spans="1:42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22"/>
      <c r="V536" s="122"/>
      <c r="W536" s="122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7"/>
      <c r="AM536" s="15"/>
      <c r="AP536" s="114"/>
    </row>
    <row r="537" spans="1:42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22"/>
      <c r="V537" s="122"/>
      <c r="W537" s="122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26"/>
      <c r="AM537" s="15"/>
      <c r="AP537" s="114"/>
    </row>
    <row r="538" spans="1:42" x14ac:dyDescent="0.4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22"/>
      <c r="V538" s="122"/>
      <c r="W538" s="122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26"/>
      <c r="AM538" s="15"/>
      <c r="AP538" s="114"/>
    </row>
    <row r="539" spans="1:42" x14ac:dyDescent="0.4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22"/>
      <c r="V539" s="122"/>
      <c r="W539" s="122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26"/>
      <c r="AM539" s="105"/>
      <c r="AP539" s="114"/>
    </row>
    <row r="540" spans="1:42" x14ac:dyDescent="0.4">
      <c r="AL540" s="26"/>
      <c r="AM540" s="15"/>
      <c r="AP540" s="114"/>
    </row>
    <row r="541" spans="1:42" x14ac:dyDescent="0.4">
      <c r="V541" s="122"/>
      <c r="W541" s="122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26"/>
      <c r="AM541" s="15"/>
      <c r="AP541" s="114"/>
    </row>
    <row r="542" spans="1:42" x14ac:dyDescent="0.4">
      <c r="R542" s="115"/>
      <c r="S542" s="115"/>
      <c r="T542" s="115"/>
      <c r="U542" s="122"/>
      <c r="V542" s="122"/>
      <c r="W542" s="122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26"/>
      <c r="AM542" s="15"/>
      <c r="AP542" s="114"/>
    </row>
    <row r="543" spans="1:42" x14ac:dyDescent="0.4"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22"/>
      <c r="V543" s="122"/>
      <c r="W543" s="122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26"/>
      <c r="AM543" s="15"/>
      <c r="AP543" s="114"/>
    </row>
    <row r="544" spans="1:42" x14ac:dyDescent="0.4"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22"/>
      <c r="V544" s="122"/>
      <c r="W544" s="122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7"/>
      <c r="AM544" s="15"/>
      <c r="AP544" s="114"/>
    </row>
    <row r="545" spans="2:42" x14ac:dyDescent="0.4"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22"/>
      <c r="V545" s="122"/>
      <c r="W545" s="122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26"/>
      <c r="AM545" s="15"/>
      <c r="AP545" s="114"/>
    </row>
    <row r="546" spans="2:42" x14ac:dyDescent="0.4"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22"/>
      <c r="V546" s="122"/>
      <c r="W546" s="122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26"/>
      <c r="AM546" s="15"/>
      <c r="AP546" s="114"/>
    </row>
    <row r="547" spans="2:42" x14ac:dyDescent="0.4"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22"/>
      <c r="V547" s="122"/>
      <c r="W547" s="122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26"/>
      <c r="AM547" s="15"/>
      <c r="AP547" s="114"/>
    </row>
    <row r="548" spans="2:42" x14ac:dyDescent="0.4"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22"/>
      <c r="V548" s="122"/>
      <c r="W548" s="122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26"/>
      <c r="AM548" s="15"/>
      <c r="AP548" s="114"/>
    </row>
    <row r="549" spans="2:42" x14ac:dyDescent="0.4"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22"/>
      <c r="V549" s="122"/>
      <c r="W549" s="122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26"/>
      <c r="AM549" s="15"/>
      <c r="AP549" s="114"/>
    </row>
    <row r="550" spans="2:42" x14ac:dyDescent="0.4"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22"/>
      <c r="V550" s="122"/>
      <c r="W550" s="122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26"/>
      <c r="AM550" s="15"/>
      <c r="AP550" s="114"/>
    </row>
    <row r="551" spans="2:42" x14ac:dyDescent="0.4"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22"/>
      <c r="V551" s="122"/>
      <c r="W551" s="122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26"/>
      <c r="AM551" s="15"/>
      <c r="AP551" s="114"/>
    </row>
    <row r="552" spans="2:42" x14ac:dyDescent="0.4"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22"/>
      <c r="V552" s="122"/>
      <c r="W552" s="122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7"/>
      <c r="AM552" s="15"/>
      <c r="AP552" s="114"/>
    </row>
    <row r="553" spans="2:42" x14ac:dyDescent="0.4"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22"/>
      <c r="V553" s="122"/>
      <c r="W553" s="122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26"/>
      <c r="AM553" s="15"/>
      <c r="AP553" s="114"/>
    </row>
    <row r="554" spans="2:42" x14ac:dyDescent="0.4"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22"/>
      <c r="V554" s="122"/>
      <c r="W554" s="122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26"/>
      <c r="AM554" s="15"/>
      <c r="AP554" s="114"/>
    </row>
    <row r="555" spans="2:42" x14ac:dyDescent="0.4"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22"/>
      <c r="V555" s="122"/>
      <c r="W555" s="122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26"/>
      <c r="AM555" s="15"/>
      <c r="AP555" s="114"/>
    </row>
    <row r="556" spans="2:42" x14ac:dyDescent="0.4"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22"/>
      <c r="V556" s="122"/>
      <c r="W556" s="122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26"/>
      <c r="AM556" s="15"/>
      <c r="AP556" s="114"/>
    </row>
    <row r="557" spans="2:42" x14ac:dyDescent="0.4"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22"/>
      <c r="V557" s="122"/>
      <c r="W557" s="122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26"/>
      <c r="AM557" s="15"/>
      <c r="AP557" s="114"/>
    </row>
    <row r="558" spans="2:42" x14ac:dyDescent="0.4"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22"/>
      <c r="V558" s="122"/>
      <c r="W558" s="122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26"/>
      <c r="AM558" s="15"/>
      <c r="AP558" s="114"/>
    </row>
    <row r="559" spans="2:42" x14ac:dyDescent="0.4"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22"/>
      <c r="V559" s="122"/>
      <c r="W559" s="122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26"/>
      <c r="AM559" s="15"/>
      <c r="AP559" s="114"/>
    </row>
    <row r="560" spans="2:42" x14ac:dyDescent="0.4"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22"/>
      <c r="V560" s="122"/>
      <c r="W560" s="122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7"/>
      <c r="AM560" s="15"/>
      <c r="AP560" s="114"/>
    </row>
    <row r="561" spans="2:42" x14ac:dyDescent="0.4"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22"/>
      <c r="V561" s="122"/>
      <c r="W561" s="122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26"/>
      <c r="AM561" s="15"/>
      <c r="AP561" s="114"/>
    </row>
    <row r="562" spans="2:42" x14ac:dyDescent="0.4"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22"/>
      <c r="V562" s="122"/>
      <c r="W562" s="122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26"/>
      <c r="AM562" s="15"/>
      <c r="AP562" s="114"/>
    </row>
    <row r="563" spans="2:42" x14ac:dyDescent="0.4"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22"/>
      <c r="V563" s="122"/>
      <c r="W563" s="122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26"/>
      <c r="AM563" s="15"/>
      <c r="AP563" s="114"/>
    </row>
    <row r="564" spans="2:42" x14ac:dyDescent="0.4"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22"/>
      <c r="V564" s="122"/>
      <c r="W564" s="122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26"/>
      <c r="AM564" s="15"/>
      <c r="AP564" s="114"/>
    </row>
    <row r="565" spans="2:42" x14ac:dyDescent="0.4"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22"/>
      <c r="V565" s="122"/>
      <c r="W565" s="122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26"/>
      <c r="AM565" s="15"/>
      <c r="AP565" s="114"/>
    </row>
    <row r="566" spans="2:42" x14ac:dyDescent="0.4"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22"/>
      <c r="V566" s="122"/>
      <c r="W566" s="122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26"/>
      <c r="AM566" s="15"/>
      <c r="AP566" s="114"/>
    </row>
    <row r="567" spans="2:42" x14ac:dyDescent="0.4"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22"/>
      <c r="V567" s="122"/>
      <c r="W567" s="122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26"/>
      <c r="AM567" s="15"/>
      <c r="AP567" s="114"/>
    </row>
    <row r="568" spans="2:42" x14ac:dyDescent="0.4"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22"/>
      <c r="V568" s="122"/>
      <c r="W568" s="122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26"/>
      <c r="AM568" s="15"/>
      <c r="AP568" s="114"/>
    </row>
    <row r="569" spans="2:42" x14ac:dyDescent="0.4"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22"/>
      <c r="V569" s="122"/>
      <c r="W569" s="122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7"/>
      <c r="AM569" s="15"/>
      <c r="AP569" s="114"/>
    </row>
    <row r="570" spans="2:42" x14ac:dyDescent="0.4"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22"/>
      <c r="V570" s="122"/>
      <c r="W570" s="122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26"/>
      <c r="AM570" s="15"/>
      <c r="AP570" s="114"/>
    </row>
    <row r="571" spans="2:42" x14ac:dyDescent="0.4"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22"/>
      <c r="V571" s="122"/>
      <c r="W571" s="122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7"/>
      <c r="AM571" s="15"/>
      <c r="AP571" s="114"/>
    </row>
    <row r="572" spans="2:42" x14ac:dyDescent="0.4"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22"/>
      <c r="V572" s="122"/>
      <c r="W572" s="122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26"/>
      <c r="AM572" s="15"/>
      <c r="AP572" s="114"/>
    </row>
    <row r="573" spans="2:42" x14ac:dyDescent="0.4"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22"/>
      <c r="V573" s="122"/>
      <c r="W573" s="122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7"/>
      <c r="AM573" s="15"/>
      <c r="AP573" s="114"/>
    </row>
    <row r="574" spans="2:42" x14ac:dyDescent="0.4"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22"/>
      <c r="V574" s="122"/>
      <c r="W574" s="122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26"/>
      <c r="AM574" s="15"/>
      <c r="AP574" s="114"/>
    </row>
    <row r="575" spans="2:42" x14ac:dyDescent="0.4"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22"/>
      <c r="V575" s="122"/>
      <c r="W575" s="122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26"/>
      <c r="AM575" s="15"/>
      <c r="AP575" s="114"/>
    </row>
    <row r="576" spans="2:42" x14ac:dyDescent="0.4"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22"/>
      <c r="V576" s="122"/>
      <c r="W576" s="122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7"/>
      <c r="AM576" s="15"/>
      <c r="AP576" s="114"/>
    </row>
    <row r="577" spans="1:42" x14ac:dyDescent="0.4"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22"/>
      <c r="V577" s="122"/>
      <c r="W577" s="122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26"/>
      <c r="AM577" s="15"/>
      <c r="AP577" s="114"/>
    </row>
    <row r="578" spans="1:42" x14ac:dyDescent="0.4"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22"/>
      <c r="V578" s="122"/>
      <c r="W578" s="122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26"/>
      <c r="AM578" s="15"/>
      <c r="AP578" s="114"/>
    </row>
    <row r="579" spans="1:42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22"/>
      <c r="V579" s="122"/>
      <c r="W579" s="122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26"/>
      <c r="AM579" s="105"/>
      <c r="AP579" s="114"/>
    </row>
    <row r="580" spans="1:42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22"/>
      <c r="V580" s="122"/>
      <c r="W580" s="122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7"/>
      <c r="AM580" s="15"/>
      <c r="AP580" s="114"/>
    </row>
    <row r="581" spans="1:42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22"/>
      <c r="V581" s="122"/>
      <c r="W581" s="122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7"/>
      <c r="AM581" s="15"/>
      <c r="AP581" s="114"/>
    </row>
    <row r="582" spans="1:42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22"/>
      <c r="V582" s="122"/>
      <c r="W582" s="122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26"/>
      <c r="AM582" s="15"/>
      <c r="AP582" s="114"/>
    </row>
    <row r="583" spans="1:42" x14ac:dyDescent="0.4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22"/>
      <c r="V583" s="122"/>
      <c r="W583" s="122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26"/>
      <c r="AM583" s="15"/>
      <c r="AP583" s="114"/>
    </row>
    <row r="584" spans="1:42" x14ac:dyDescent="0.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22"/>
      <c r="V584" s="122"/>
      <c r="W584" s="122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26"/>
      <c r="AM584" s="15"/>
      <c r="AP584" s="114"/>
    </row>
    <row r="585" spans="1:42" x14ac:dyDescent="0.4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22"/>
      <c r="V585" s="122"/>
      <c r="W585" s="122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26"/>
      <c r="AM585" s="15"/>
      <c r="AP585" s="114"/>
    </row>
    <row r="586" spans="1:42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22"/>
      <c r="V586" s="122"/>
      <c r="W586" s="122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26"/>
      <c r="AM586" s="15"/>
      <c r="AP586" s="114"/>
    </row>
    <row r="587" spans="1:42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22"/>
      <c r="V587" s="122"/>
      <c r="W587" s="122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26"/>
      <c r="AM587" s="15"/>
      <c r="AP587" s="114"/>
    </row>
    <row r="588" spans="1:42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22"/>
      <c r="V588" s="122"/>
      <c r="W588" s="122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26"/>
      <c r="AM588" s="15"/>
      <c r="AP588" s="114"/>
    </row>
    <row r="589" spans="1:42" x14ac:dyDescent="0.4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22"/>
      <c r="V589" s="122"/>
      <c r="W589" s="122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26"/>
      <c r="AM589" s="15"/>
      <c r="AP589" s="114"/>
    </row>
    <row r="590" spans="1:42" x14ac:dyDescent="0.4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22"/>
      <c r="V590" s="122"/>
      <c r="W590" s="122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26"/>
      <c r="AM590" s="105"/>
      <c r="AP590" s="114"/>
    </row>
    <row r="591" spans="1:42" x14ac:dyDescent="0.4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22"/>
      <c r="V591" s="122"/>
      <c r="W591" s="122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26"/>
      <c r="AM591" s="15"/>
      <c r="AP591" s="114"/>
    </row>
    <row r="592" spans="1:42" x14ac:dyDescent="0.4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22"/>
      <c r="V592" s="122"/>
      <c r="W592" s="122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26"/>
      <c r="AM592" s="15"/>
      <c r="AP592" s="114"/>
    </row>
    <row r="593" spans="1:42" x14ac:dyDescent="0.4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22"/>
      <c r="V593" s="122"/>
      <c r="W593" s="122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26"/>
      <c r="AM593" s="13"/>
      <c r="AP593" s="114"/>
    </row>
    <row r="594" spans="1:42" x14ac:dyDescent="0.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22"/>
      <c r="V594" s="122"/>
      <c r="W594" s="122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7"/>
      <c r="AM594" s="13"/>
      <c r="AP594" s="114"/>
    </row>
    <row r="595" spans="1:42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22"/>
      <c r="V595" s="122"/>
      <c r="W595" s="122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26"/>
      <c r="AM595" s="13"/>
      <c r="AP595" s="114"/>
    </row>
    <row r="596" spans="1:42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22"/>
      <c r="V596" s="122"/>
      <c r="W596" s="122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26"/>
      <c r="AM596" s="13"/>
      <c r="AP596" s="114"/>
    </row>
    <row r="597" spans="1:42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22"/>
      <c r="V597" s="122"/>
      <c r="W597" s="122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26"/>
      <c r="AM597" s="13"/>
      <c r="AP597" s="114"/>
    </row>
    <row r="598" spans="1:42" x14ac:dyDescent="0.4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22"/>
      <c r="V598" s="122"/>
      <c r="W598" s="122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26"/>
      <c r="AM598" s="13"/>
      <c r="AP598" s="114"/>
    </row>
    <row r="599" spans="1:42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22"/>
      <c r="V599" s="122"/>
      <c r="W599" s="122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26"/>
      <c r="AM599" s="13"/>
      <c r="AP599" s="114"/>
    </row>
    <row r="600" spans="1:42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22"/>
      <c r="V600" s="122"/>
      <c r="W600" s="122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26"/>
      <c r="AM600" s="13"/>
      <c r="AP600" s="114"/>
    </row>
    <row r="601" spans="1:42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22"/>
      <c r="V601" s="122"/>
      <c r="W601" s="122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7"/>
      <c r="AM601" s="13"/>
      <c r="AP601" s="114"/>
    </row>
    <row r="602" spans="1:42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22"/>
      <c r="V602" s="122"/>
      <c r="W602" s="122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26"/>
      <c r="AM602" s="13"/>
      <c r="AP602" s="114"/>
    </row>
    <row r="603" spans="1:42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22"/>
      <c r="V603" s="122"/>
      <c r="W603" s="122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26"/>
      <c r="AM603" s="13"/>
      <c r="AP603" s="114"/>
    </row>
    <row r="604" spans="1:42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22"/>
      <c r="V604" s="122"/>
      <c r="W604" s="122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26"/>
      <c r="AM604" s="13"/>
      <c r="AP604" s="114"/>
    </row>
    <row r="605" spans="1:42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22"/>
      <c r="V605" s="122"/>
      <c r="W605" s="122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26"/>
      <c r="AM605" s="13"/>
      <c r="AP605" s="114"/>
    </row>
    <row r="606" spans="1:42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22"/>
      <c r="V606" s="122"/>
      <c r="W606" s="122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26"/>
      <c r="AM606" s="25"/>
      <c r="AP606" s="114"/>
    </row>
    <row r="607" spans="1:42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22"/>
      <c r="V607" s="122"/>
      <c r="W607" s="122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7"/>
      <c r="AM607" s="13"/>
      <c r="AP607" s="114"/>
    </row>
    <row r="608" spans="1:42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22"/>
      <c r="V608" s="122"/>
      <c r="W608" s="122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26"/>
      <c r="AM608" s="15"/>
      <c r="AP608" s="114"/>
    </row>
    <row r="609" spans="1:42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22"/>
      <c r="V609" s="122"/>
      <c r="W609" s="122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26"/>
      <c r="AM609" s="15"/>
      <c r="AP609" s="114"/>
    </row>
    <row r="610" spans="1:42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22"/>
      <c r="V610" s="122"/>
      <c r="W610" s="122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7"/>
      <c r="AM610" s="15"/>
      <c r="AP610" s="114"/>
    </row>
    <row r="611" spans="1:42" x14ac:dyDescent="0.4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22"/>
      <c r="V611" s="122"/>
      <c r="W611" s="122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26"/>
      <c r="AM611" s="15"/>
      <c r="AP611" s="114"/>
    </row>
    <row r="612" spans="1:42" x14ac:dyDescent="0.4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22"/>
      <c r="V612" s="122"/>
      <c r="W612" s="122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26"/>
      <c r="AM612" s="15"/>
      <c r="AP612" s="114"/>
    </row>
    <row r="613" spans="1:42" x14ac:dyDescent="0.4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22"/>
      <c r="V613" s="122"/>
      <c r="W613" s="122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26"/>
      <c r="AM613" s="13"/>
      <c r="AP613" s="114"/>
    </row>
    <row r="614" spans="1:42" x14ac:dyDescent="0.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22"/>
      <c r="V614" s="122"/>
      <c r="W614" s="122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26"/>
      <c r="AM614" s="13"/>
      <c r="AP614" s="114"/>
    </row>
    <row r="615" spans="1:42" x14ac:dyDescent="0.4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22"/>
      <c r="V615" s="122"/>
      <c r="W615" s="122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26"/>
      <c r="AM615" s="13"/>
      <c r="AP615" s="114"/>
    </row>
    <row r="616" spans="1:42" x14ac:dyDescent="0.4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22"/>
      <c r="V616" s="122"/>
      <c r="W616" s="122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26"/>
      <c r="AM616" s="13"/>
      <c r="AP616" s="114"/>
    </row>
    <row r="617" spans="1:42" x14ac:dyDescent="0.4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22"/>
      <c r="V617" s="122"/>
      <c r="W617" s="122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26"/>
      <c r="AM617" s="13"/>
      <c r="AP617" s="114"/>
    </row>
    <row r="618" spans="1:42" x14ac:dyDescent="0.4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22"/>
      <c r="V618" s="122"/>
      <c r="W618" s="122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26"/>
      <c r="AM618" s="13"/>
      <c r="AP618" s="114"/>
    </row>
    <row r="619" spans="1:42" x14ac:dyDescent="0.4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22"/>
      <c r="V619" s="122"/>
      <c r="W619" s="122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26"/>
      <c r="AM619" s="13"/>
      <c r="AP619" s="114"/>
    </row>
    <row r="620" spans="1:42" x14ac:dyDescent="0.4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22"/>
      <c r="V620" s="122"/>
      <c r="W620" s="122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26"/>
      <c r="AM620" s="13"/>
      <c r="AP620" s="114"/>
    </row>
    <row r="621" spans="1:42" x14ac:dyDescent="0.4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22"/>
      <c r="V621" s="122"/>
      <c r="W621" s="122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7"/>
      <c r="AM621" s="13"/>
      <c r="AP621" s="114"/>
    </row>
    <row r="622" spans="1:42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22"/>
      <c r="V622" s="122"/>
      <c r="W622" s="122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26"/>
      <c r="AM622" s="13"/>
      <c r="AP622" s="114"/>
    </row>
    <row r="623" spans="1:42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22"/>
      <c r="V623" s="122"/>
      <c r="W623" s="122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7"/>
      <c r="AM623" s="13"/>
      <c r="AP623" s="114"/>
    </row>
    <row r="624" spans="1:42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22"/>
      <c r="V624" s="122"/>
      <c r="W624" s="122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26"/>
      <c r="AM624" s="13"/>
      <c r="AP624" s="114"/>
    </row>
    <row r="625" spans="1:43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22"/>
      <c r="V625" s="122"/>
      <c r="W625" s="122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26"/>
      <c r="AM625" s="13"/>
      <c r="AP625" s="114"/>
    </row>
    <row r="626" spans="1:43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22"/>
      <c r="V626" s="122"/>
      <c r="W626" s="122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26"/>
      <c r="AM626" s="13"/>
      <c r="AP626" s="114"/>
    </row>
    <row r="627" spans="1:43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22"/>
      <c r="V627" s="122"/>
      <c r="W627" s="122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26"/>
      <c r="AM627" s="15"/>
      <c r="AP627" s="114"/>
    </row>
    <row r="628" spans="1:43" x14ac:dyDescent="0.4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22"/>
      <c r="V628" s="122"/>
      <c r="W628" s="122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26"/>
      <c r="AM628" s="15"/>
      <c r="AP628" s="114"/>
    </row>
    <row r="629" spans="1:43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22"/>
      <c r="V629" s="122"/>
      <c r="W629" s="122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26"/>
      <c r="AM629" s="15"/>
      <c r="AP629" s="114"/>
    </row>
    <row r="630" spans="1:43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22"/>
      <c r="V630" s="122"/>
      <c r="W630" s="122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26"/>
      <c r="AM630" s="13"/>
      <c r="AP630" s="114"/>
    </row>
    <row r="631" spans="1:43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22"/>
      <c r="V631" s="122"/>
      <c r="W631" s="122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26"/>
      <c r="AM631" s="15"/>
      <c r="AP631" s="114"/>
    </row>
    <row r="632" spans="1:43" x14ac:dyDescent="0.4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22"/>
      <c r="V632" s="122"/>
      <c r="W632" s="122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26"/>
      <c r="AM632" s="15"/>
      <c r="AP632" s="114"/>
      <c r="AQ632" s="120"/>
    </row>
    <row r="633" spans="1:43" x14ac:dyDescent="0.4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22"/>
      <c r="V633" s="122"/>
      <c r="W633" s="122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26"/>
      <c r="AM633" s="15"/>
      <c r="AP633" s="114"/>
      <c r="AQ633" s="120"/>
    </row>
    <row r="634" spans="1:43" x14ac:dyDescent="0.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22"/>
      <c r="V634" s="122"/>
      <c r="W634" s="122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26"/>
      <c r="AM634" s="15"/>
      <c r="AP634" s="114"/>
      <c r="AQ634" s="120"/>
    </row>
    <row r="635" spans="1:43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22"/>
      <c r="V635" s="122"/>
      <c r="W635" s="122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26"/>
      <c r="AM635" s="15"/>
      <c r="AP635" s="114"/>
      <c r="AQ635" s="120"/>
    </row>
    <row r="636" spans="1:43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22"/>
      <c r="V636" s="122"/>
      <c r="W636" s="122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26"/>
      <c r="AM636" s="15"/>
      <c r="AP636" s="114"/>
      <c r="AQ636" s="120"/>
    </row>
    <row r="637" spans="1:43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22"/>
      <c r="V637" s="122"/>
      <c r="W637" s="122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26"/>
      <c r="AM637" s="15"/>
      <c r="AP637" s="114"/>
      <c r="AQ637" s="120"/>
    </row>
    <row r="638" spans="1:43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22"/>
      <c r="V638" s="122"/>
      <c r="W638" s="122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26"/>
      <c r="AM638" s="15"/>
      <c r="AP638" s="114"/>
      <c r="AQ638" s="120"/>
    </row>
    <row r="639" spans="1:43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22"/>
      <c r="V639" s="122"/>
      <c r="W639" s="122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7"/>
      <c r="AM639" s="15"/>
      <c r="AP639" s="114"/>
      <c r="AQ639" s="120"/>
    </row>
    <row r="640" spans="1:43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22"/>
      <c r="V640" s="122"/>
      <c r="W640" s="122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26"/>
      <c r="AM640" s="15"/>
      <c r="AP640" s="114"/>
      <c r="AQ640" s="120"/>
    </row>
    <row r="641" spans="1:46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22"/>
      <c r="V641" s="122"/>
      <c r="W641" s="122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26"/>
      <c r="AM641" s="15"/>
      <c r="AP641" s="114"/>
    </row>
    <row r="642" spans="1:46" x14ac:dyDescent="0.4">
      <c r="AL642" s="26"/>
      <c r="AM642" s="15"/>
      <c r="AP642" s="114"/>
    </row>
    <row r="643" spans="1:46" x14ac:dyDescent="0.4"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7"/>
      <c r="AM643" s="15"/>
      <c r="AP643" s="114"/>
    </row>
    <row r="644" spans="1:46" x14ac:dyDescent="0.4"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7"/>
      <c r="AM644" s="15"/>
      <c r="AP644" s="114"/>
    </row>
    <row r="645" spans="1:46" x14ac:dyDescent="0.4">
      <c r="W645" s="122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7"/>
      <c r="AM645" s="15"/>
      <c r="AP645" s="114"/>
    </row>
    <row r="646" spans="1:46" x14ac:dyDescent="0.4">
      <c r="R646" s="115"/>
      <c r="S646" s="115"/>
      <c r="T646" s="115"/>
      <c r="U646" s="122"/>
      <c r="V646" s="122"/>
      <c r="W646" s="122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26"/>
      <c r="AM646" s="15"/>
      <c r="AP646" s="114"/>
    </row>
    <row r="647" spans="1:46" x14ac:dyDescent="0.4">
      <c r="R647" s="115"/>
      <c r="S647" s="115"/>
      <c r="T647" s="115"/>
      <c r="U647" s="122"/>
      <c r="V647" s="122"/>
      <c r="W647" s="122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7"/>
      <c r="AM647" s="15"/>
      <c r="AP647" s="114"/>
    </row>
    <row r="648" spans="1:46" x14ac:dyDescent="0.4">
      <c r="Q648" s="115"/>
      <c r="R648" s="115"/>
      <c r="S648" s="115"/>
      <c r="T648" s="115"/>
      <c r="U648" s="122"/>
      <c r="V648" s="122"/>
      <c r="W648" s="122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26"/>
      <c r="AM648" s="15"/>
      <c r="AP648" s="114"/>
    </row>
    <row r="649" spans="1:46" x14ac:dyDescent="0.4">
      <c r="Q649" s="115"/>
      <c r="R649" s="115"/>
      <c r="S649" s="115"/>
      <c r="T649" s="115"/>
      <c r="U649" s="122"/>
      <c r="V649" s="122"/>
      <c r="W649" s="122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7"/>
      <c r="AM649" s="15"/>
      <c r="AP649" s="114"/>
    </row>
    <row r="650" spans="1:46" x14ac:dyDescent="0.4">
      <c r="Q650" s="115"/>
      <c r="R650" s="115"/>
      <c r="S650" s="115"/>
      <c r="T650" s="115"/>
      <c r="U650" s="122"/>
      <c r="V650" s="122"/>
      <c r="W650" s="122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7"/>
      <c r="AM650" s="15"/>
      <c r="AP650" s="114"/>
    </row>
    <row r="651" spans="1:46" x14ac:dyDescent="0.4">
      <c r="Q651" s="115"/>
      <c r="R651" s="115"/>
      <c r="S651" s="115"/>
      <c r="T651" s="115"/>
      <c r="U651" s="122"/>
      <c r="V651" s="122"/>
      <c r="W651" s="122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7"/>
      <c r="AM651" s="15"/>
      <c r="AP651" s="114"/>
    </row>
    <row r="652" spans="1:46" x14ac:dyDescent="0.4">
      <c r="Q652" s="115"/>
      <c r="R652" s="115"/>
      <c r="S652" s="115"/>
      <c r="T652" s="115"/>
      <c r="U652" s="122"/>
      <c r="V652" s="122"/>
      <c r="W652" s="122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26"/>
      <c r="AM652" s="15"/>
      <c r="AP652" s="114"/>
    </row>
    <row r="653" spans="1:46" x14ac:dyDescent="0.4">
      <c r="Q653" s="115"/>
      <c r="R653" s="115"/>
      <c r="S653" s="115"/>
      <c r="T653" s="115"/>
      <c r="U653" s="122"/>
      <c r="V653" s="122"/>
      <c r="W653" s="122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7"/>
      <c r="AM653" s="15"/>
      <c r="AP653" s="114"/>
    </row>
    <row r="654" spans="1:46" ht="19.5" x14ac:dyDescent="0.4">
      <c r="AL654" s="26"/>
      <c r="AM654" s="15"/>
      <c r="AQ654" s="116"/>
      <c r="AR654" s="116"/>
      <c r="AS654" s="116"/>
      <c r="AT654" s="116"/>
    </row>
    <row r="655" spans="1:46" ht="19.5" x14ac:dyDescent="0.4">
      <c r="V655" s="122"/>
      <c r="W655" s="122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7"/>
      <c r="AM655" s="15"/>
      <c r="AQ655" s="117"/>
      <c r="AR655" s="116"/>
      <c r="AS655" s="116"/>
      <c r="AT655" s="116"/>
    </row>
    <row r="656" spans="1:46" ht="19.5" x14ac:dyDescent="0.4">
      <c r="N656" s="115"/>
      <c r="O656" s="115"/>
      <c r="P656" s="115"/>
      <c r="Q656" s="115"/>
      <c r="R656" s="115"/>
      <c r="S656" s="115"/>
      <c r="T656" s="115"/>
      <c r="U656" s="122"/>
      <c r="V656" s="122"/>
      <c r="W656" s="122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26"/>
      <c r="AM656" s="15"/>
      <c r="AQ656" s="117"/>
      <c r="AR656" s="116"/>
      <c r="AS656" s="116"/>
      <c r="AT656" s="116"/>
    </row>
    <row r="657" spans="1:46" ht="19.5" x14ac:dyDescent="0.4"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22"/>
      <c r="V657" s="122"/>
      <c r="W657" s="122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26"/>
      <c r="AM657" s="13"/>
      <c r="AQ657" s="117"/>
      <c r="AR657" s="116"/>
      <c r="AS657" s="116"/>
      <c r="AT657" s="116"/>
    </row>
    <row r="658" spans="1:46" ht="19.5" x14ac:dyDescent="0.4"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22"/>
      <c r="V658" s="122"/>
      <c r="W658" s="122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26"/>
      <c r="AM658" s="15"/>
      <c r="AQ658" s="117"/>
      <c r="AR658" s="116"/>
      <c r="AS658" s="116"/>
      <c r="AT658" s="116"/>
    </row>
    <row r="659" spans="1:46" ht="19.5" x14ac:dyDescent="0.4"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22"/>
      <c r="V659" s="122"/>
      <c r="W659" s="122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7"/>
      <c r="AM659" s="15"/>
      <c r="AQ659" s="117"/>
      <c r="AR659" s="116"/>
      <c r="AS659" s="116"/>
      <c r="AT659" s="116"/>
    </row>
    <row r="660" spans="1:46" ht="19.5" x14ac:dyDescent="0.4"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22"/>
      <c r="V660" s="122"/>
      <c r="W660" s="122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26"/>
      <c r="AM660" s="15"/>
      <c r="AQ660" s="117"/>
      <c r="AR660" s="116"/>
      <c r="AS660" s="116"/>
      <c r="AT660" s="116"/>
    </row>
    <row r="661" spans="1:46" ht="19.5" x14ac:dyDescent="0.4"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22"/>
      <c r="V661" s="122"/>
      <c r="W661" s="122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26"/>
      <c r="AM661" s="15"/>
      <c r="AQ661" s="117"/>
      <c r="AR661" s="116"/>
      <c r="AS661" s="116"/>
      <c r="AT661" s="116"/>
    </row>
    <row r="662" spans="1:46" ht="19.5" x14ac:dyDescent="0.4"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22"/>
      <c r="V662" s="122"/>
      <c r="W662" s="122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7"/>
      <c r="AM662" s="15"/>
      <c r="AQ662" s="117"/>
      <c r="AR662" s="116"/>
      <c r="AS662" s="116"/>
      <c r="AT662" s="116"/>
    </row>
    <row r="663" spans="1:46" ht="19.5" x14ac:dyDescent="0.4"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22"/>
      <c r="V663" s="122"/>
      <c r="W663" s="122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26"/>
      <c r="AM663" s="15"/>
      <c r="AQ663" s="117"/>
      <c r="AR663" s="116"/>
      <c r="AS663" s="116"/>
      <c r="AT663" s="116"/>
    </row>
    <row r="664" spans="1:46" ht="19.5" x14ac:dyDescent="0.4">
      <c r="AL664" s="26"/>
      <c r="AM664" s="15"/>
      <c r="AQ664" s="117"/>
      <c r="AR664" s="116"/>
      <c r="AS664" s="116"/>
      <c r="AT664" s="116"/>
    </row>
    <row r="665" spans="1:46" ht="19.5" x14ac:dyDescent="0.4">
      <c r="V665" s="122"/>
      <c r="W665" s="122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7"/>
      <c r="AM665" s="15"/>
      <c r="AQ665" s="117"/>
      <c r="AR665" s="116"/>
      <c r="AS665" s="116"/>
      <c r="AT665" s="116"/>
    </row>
    <row r="666" spans="1:46" ht="19.5" x14ac:dyDescent="0.4">
      <c r="S666" s="115"/>
      <c r="T666" s="115"/>
      <c r="U666" s="122"/>
      <c r="V666" s="122"/>
      <c r="W666" s="122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26"/>
      <c r="AM666" s="15"/>
      <c r="AQ666" s="117"/>
      <c r="AR666" s="116"/>
      <c r="AS666" s="116"/>
      <c r="AT666" s="116"/>
    </row>
    <row r="667" spans="1:46" ht="19.5" x14ac:dyDescent="0.4">
      <c r="S667" s="115"/>
      <c r="T667" s="115"/>
      <c r="U667" s="122"/>
      <c r="V667" s="122"/>
      <c r="W667" s="122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7"/>
      <c r="AM667" s="15"/>
      <c r="AQ667" s="117"/>
      <c r="AR667" s="116"/>
      <c r="AS667" s="116"/>
      <c r="AT667" s="116"/>
    </row>
    <row r="668" spans="1:46" ht="19.5" x14ac:dyDescent="0.4">
      <c r="R668" s="115"/>
      <c r="S668" s="115"/>
      <c r="T668" s="115"/>
      <c r="U668" s="122"/>
      <c r="V668" s="122"/>
      <c r="W668" s="122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26"/>
      <c r="AM668" s="15"/>
      <c r="AQ668" s="117"/>
      <c r="AR668" s="116"/>
      <c r="AS668" s="116"/>
      <c r="AT668" s="116"/>
    </row>
    <row r="669" spans="1:46" ht="19.5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22"/>
      <c r="V669" s="122"/>
      <c r="W669" s="122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26"/>
      <c r="AM669" s="15"/>
      <c r="AQ669" s="117"/>
      <c r="AR669" s="116"/>
      <c r="AS669" s="116"/>
      <c r="AT669" s="116"/>
    </row>
    <row r="670" spans="1:46" ht="19.5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22"/>
      <c r="V670" s="122"/>
      <c r="W670" s="122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26"/>
      <c r="AM670" s="15"/>
      <c r="AQ670" s="117"/>
      <c r="AR670" s="116"/>
      <c r="AS670" s="116"/>
      <c r="AT670" s="116"/>
    </row>
    <row r="671" spans="1:46" ht="19.5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22"/>
      <c r="V671" s="122"/>
      <c r="W671" s="122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26"/>
      <c r="AM671" s="15"/>
      <c r="AQ671" s="117"/>
      <c r="AR671" s="116"/>
      <c r="AS671" s="116"/>
      <c r="AT671" s="116"/>
    </row>
    <row r="672" spans="1:46" ht="19.5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22"/>
      <c r="V672" s="122"/>
      <c r="W672" s="122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26"/>
      <c r="AM672" s="105"/>
      <c r="AQ672" s="117"/>
      <c r="AR672" s="116"/>
      <c r="AS672" s="116"/>
      <c r="AT672" s="116"/>
    </row>
    <row r="673" spans="1:46" ht="19.5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22"/>
      <c r="V673" s="122"/>
      <c r="W673" s="122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26"/>
      <c r="AM673" s="105"/>
      <c r="AQ673" s="117"/>
      <c r="AR673" s="116"/>
      <c r="AS673" s="116"/>
      <c r="AT673" s="116"/>
    </row>
    <row r="674" spans="1:46" ht="19.5" x14ac:dyDescent="0.4">
      <c r="AL674" s="26"/>
      <c r="AM674" s="13"/>
      <c r="AQ674" s="117"/>
      <c r="AR674" s="116"/>
      <c r="AS674" s="116"/>
      <c r="AT674" s="116"/>
    </row>
    <row r="675" spans="1:46" ht="19.5" x14ac:dyDescent="0.4">
      <c r="S675" s="115"/>
      <c r="T675" s="115"/>
      <c r="U675" s="122"/>
      <c r="V675" s="122"/>
      <c r="W675" s="122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26"/>
      <c r="AM675" s="13"/>
      <c r="AQ675" s="117"/>
      <c r="AR675" s="116"/>
      <c r="AS675" s="116"/>
      <c r="AT675" s="116"/>
    </row>
    <row r="676" spans="1:46" ht="19.5" x14ac:dyDescent="0.4">
      <c r="N676" s="115"/>
      <c r="O676" s="115"/>
      <c r="P676" s="115"/>
      <c r="Q676" s="115"/>
      <c r="R676" s="115"/>
      <c r="S676" s="115"/>
      <c r="T676" s="115"/>
      <c r="U676" s="122"/>
      <c r="V676" s="122"/>
      <c r="W676" s="122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26"/>
      <c r="AM676" s="13"/>
      <c r="AQ676" s="117"/>
      <c r="AR676" s="116"/>
      <c r="AS676" s="116"/>
      <c r="AT676" s="116"/>
    </row>
    <row r="677" spans="1:46" ht="19.5" x14ac:dyDescent="0.4">
      <c r="AL677" s="26"/>
      <c r="AM677" s="13"/>
      <c r="AQ677" s="117"/>
      <c r="AR677" s="116"/>
      <c r="AS677" s="116"/>
      <c r="AT677" s="116"/>
    </row>
    <row r="678" spans="1:46" ht="19.5" x14ac:dyDescent="0.4"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22"/>
      <c r="V678" s="122"/>
      <c r="W678" s="122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26"/>
      <c r="AM678" s="13"/>
      <c r="AQ678" s="117"/>
      <c r="AR678" s="116"/>
      <c r="AS678" s="116"/>
      <c r="AT678" s="116"/>
    </row>
    <row r="679" spans="1:46" ht="19.5" x14ac:dyDescent="0.4"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22"/>
      <c r="V679" s="122"/>
      <c r="W679" s="122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26"/>
      <c r="AM679" s="13"/>
      <c r="AQ679" s="117"/>
      <c r="AR679" s="116"/>
      <c r="AS679" s="116"/>
      <c r="AT679" s="116"/>
    </row>
    <row r="680" spans="1:46" ht="19.5" x14ac:dyDescent="0.4"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22"/>
      <c r="V680" s="122"/>
      <c r="W680" s="122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26"/>
      <c r="AM680" s="13"/>
      <c r="AQ680" s="117"/>
      <c r="AR680" s="116"/>
      <c r="AS680" s="116"/>
      <c r="AT680" s="116"/>
    </row>
    <row r="681" spans="1:46" ht="19.5" x14ac:dyDescent="0.4"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22"/>
      <c r="V681" s="122"/>
      <c r="W681" s="122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26"/>
      <c r="AM681" s="13"/>
      <c r="AQ681" s="117"/>
      <c r="AR681" s="116"/>
      <c r="AS681" s="116"/>
      <c r="AT681" s="116"/>
    </row>
    <row r="682" spans="1:46" ht="19.5" x14ac:dyDescent="0.4"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22"/>
      <c r="V682" s="122"/>
      <c r="W682" s="122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26"/>
      <c r="AM682" s="13"/>
      <c r="AQ682" s="117"/>
      <c r="AR682" s="116"/>
      <c r="AS682" s="116"/>
      <c r="AT682" s="116"/>
    </row>
    <row r="683" spans="1:46" ht="19.5" x14ac:dyDescent="0.4"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22"/>
      <c r="V683" s="122"/>
      <c r="W683" s="122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26"/>
      <c r="AM683" s="13"/>
      <c r="AQ683" s="117"/>
      <c r="AR683" s="116"/>
      <c r="AS683" s="116"/>
      <c r="AT683" s="116"/>
    </row>
    <row r="684" spans="1:46" ht="19.5" x14ac:dyDescent="0.4"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22"/>
      <c r="V684" s="122"/>
      <c r="W684" s="122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26"/>
      <c r="AM684" s="13"/>
      <c r="AQ684" s="117"/>
      <c r="AR684" s="116"/>
      <c r="AS684" s="116"/>
      <c r="AT684" s="116"/>
    </row>
    <row r="685" spans="1:46" ht="19.5" x14ac:dyDescent="0.4"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22"/>
      <c r="V685" s="122"/>
      <c r="W685" s="122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26"/>
      <c r="AM685" s="13"/>
      <c r="AQ685" s="117"/>
      <c r="AR685" s="116"/>
      <c r="AS685" s="116"/>
      <c r="AT685" s="116"/>
    </row>
    <row r="686" spans="1:46" ht="19.5" x14ac:dyDescent="0.4">
      <c r="AL686" s="26"/>
      <c r="AM686" s="15"/>
      <c r="AQ686" s="117"/>
      <c r="AR686" s="116"/>
      <c r="AS686" s="116"/>
      <c r="AT686" s="116"/>
    </row>
    <row r="687" spans="1:46" ht="19.5" x14ac:dyDescent="0.4"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22"/>
      <c r="V687" s="122"/>
      <c r="W687" s="122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26"/>
      <c r="AM687" s="15"/>
      <c r="AQ687" s="117"/>
      <c r="AR687" s="116"/>
      <c r="AS687" s="116"/>
      <c r="AT687" s="116"/>
    </row>
    <row r="688" spans="1:46" ht="19.5" x14ac:dyDescent="0.4"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22"/>
      <c r="V688" s="122"/>
      <c r="W688" s="122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7"/>
      <c r="AM688" s="15"/>
      <c r="AQ688" s="117"/>
      <c r="AR688" s="116"/>
      <c r="AS688" s="116"/>
      <c r="AT688" s="116"/>
    </row>
    <row r="689" spans="1:46" ht="19.5" x14ac:dyDescent="0.4">
      <c r="AL689" s="26"/>
      <c r="AM689" s="15"/>
      <c r="AQ689" s="117"/>
      <c r="AR689" s="116"/>
      <c r="AS689" s="116"/>
      <c r="AT689" s="116"/>
    </row>
    <row r="690" spans="1:46" ht="19.5" x14ac:dyDescent="0.4">
      <c r="AL690" s="26"/>
      <c r="AM690" s="13"/>
      <c r="AQ690" s="117"/>
      <c r="AR690" s="116"/>
      <c r="AS690" s="116"/>
      <c r="AT690" s="116"/>
    </row>
    <row r="691" spans="1:46" ht="19.5" x14ac:dyDescent="0.4">
      <c r="R691" s="115"/>
      <c r="S691" s="115"/>
      <c r="T691" s="115"/>
      <c r="U691" s="122"/>
      <c r="V691" s="122"/>
      <c r="W691" s="122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26"/>
      <c r="AM691" s="13"/>
      <c r="AQ691" s="117"/>
      <c r="AR691" s="116"/>
      <c r="AS691" s="116"/>
      <c r="AT691" s="116"/>
    </row>
    <row r="692" spans="1:46" ht="19.5" x14ac:dyDescent="0.4"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22"/>
      <c r="V692" s="122"/>
      <c r="W692" s="122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26"/>
      <c r="AM692" s="13"/>
      <c r="AQ692" s="117"/>
      <c r="AR692" s="116"/>
      <c r="AS692" s="116"/>
      <c r="AT692" s="116"/>
    </row>
    <row r="693" spans="1:46" ht="19.5" x14ac:dyDescent="0.4"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22"/>
      <c r="V693" s="122"/>
      <c r="W693" s="122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7"/>
      <c r="AM693" s="13"/>
      <c r="AQ693" s="117"/>
      <c r="AR693" s="116"/>
      <c r="AS693" s="116"/>
      <c r="AT693" s="116"/>
    </row>
    <row r="694" spans="1:46" ht="19.5" x14ac:dyDescent="0.4"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22"/>
      <c r="V694" s="122"/>
      <c r="W694" s="122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26"/>
      <c r="AM694" s="25"/>
      <c r="AQ694" s="117"/>
      <c r="AR694" s="116"/>
      <c r="AS694" s="116"/>
      <c r="AT694" s="116"/>
    </row>
    <row r="695" spans="1:46" ht="19.5" x14ac:dyDescent="0.4"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22"/>
      <c r="V695" s="122"/>
      <c r="W695" s="122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7"/>
      <c r="AM695" s="13"/>
      <c r="AQ695" s="117"/>
      <c r="AR695" s="116"/>
      <c r="AS695" s="116"/>
      <c r="AT695" s="116"/>
    </row>
    <row r="696" spans="1:46" ht="19.5" x14ac:dyDescent="0.4"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22"/>
      <c r="V696" s="122"/>
      <c r="W696" s="122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26"/>
      <c r="AM696" s="13"/>
      <c r="AQ696" s="117"/>
      <c r="AR696" s="116"/>
      <c r="AS696" s="116"/>
      <c r="AT696" s="116"/>
    </row>
    <row r="697" spans="1:46" ht="19.5" x14ac:dyDescent="0.4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22"/>
      <c r="V697" s="122"/>
      <c r="W697" s="122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26"/>
      <c r="AM697" s="13"/>
      <c r="AQ697" s="117"/>
      <c r="AR697" s="116"/>
      <c r="AS697" s="116"/>
      <c r="AT697" s="116"/>
    </row>
    <row r="698" spans="1:46" ht="19.5" x14ac:dyDescent="0.4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22"/>
      <c r="V698" s="122"/>
      <c r="W698" s="122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26"/>
      <c r="AM698" s="13"/>
      <c r="AQ698" s="117"/>
      <c r="AR698" s="116"/>
      <c r="AS698" s="116"/>
      <c r="AT698" s="116"/>
    </row>
    <row r="699" spans="1:46" ht="19.5" x14ac:dyDescent="0.4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22"/>
      <c r="V699" s="122"/>
      <c r="W699" s="122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26"/>
      <c r="AM699" s="13"/>
      <c r="AQ699" s="117"/>
      <c r="AR699" s="116"/>
      <c r="AS699" s="116"/>
      <c r="AT699" s="116"/>
    </row>
    <row r="700" spans="1:46" ht="19.5" x14ac:dyDescent="0.4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22"/>
      <c r="V700" s="122"/>
      <c r="W700" s="122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26"/>
      <c r="AM700" s="13"/>
      <c r="AQ700" s="117"/>
      <c r="AR700" s="116"/>
      <c r="AS700" s="116"/>
      <c r="AT700" s="116"/>
    </row>
    <row r="701" spans="1:46" ht="19.5" x14ac:dyDescent="0.4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22"/>
      <c r="V701" s="122"/>
      <c r="W701" s="122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26"/>
      <c r="AM701" s="13"/>
      <c r="AQ701" s="117"/>
      <c r="AR701" s="116"/>
      <c r="AS701" s="116"/>
      <c r="AT701" s="116"/>
    </row>
    <row r="702" spans="1:46" ht="19.5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22"/>
      <c r="V702" s="122"/>
      <c r="W702" s="122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26"/>
      <c r="AM702" s="13"/>
      <c r="AQ702" s="117"/>
      <c r="AR702" s="116"/>
      <c r="AS702" s="116"/>
      <c r="AT702" s="116"/>
    </row>
    <row r="703" spans="1:46" ht="19.5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22"/>
      <c r="V703" s="122"/>
      <c r="W703" s="122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26"/>
      <c r="AM703" s="13"/>
      <c r="AQ703" s="117"/>
      <c r="AR703" s="116"/>
      <c r="AS703" s="116"/>
      <c r="AT703" s="116"/>
    </row>
    <row r="704" spans="1:46" ht="19.5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22"/>
      <c r="V704" s="122"/>
      <c r="W704" s="122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26"/>
      <c r="AM704" s="15"/>
      <c r="AQ704" s="117"/>
      <c r="AR704" s="116"/>
      <c r="AS704" s="116"/>
      <c r="AT704" s="116"/>
    </row>
    <row r="705" spans="1:46" ht="19.5" x14ac:dyDescent="0.4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22"/>
      <c r="V705" s="122"/>
      <c r="W705" s="122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26"/>
      <c r="AM705" s="15"/>
      <c r="AQ705" s="117"/>
      <c r="AR705" s="116"/>
      <c r="AS705" s="116"/>
      <c r="AT705" s="116"/>
    </row>
    <row r="706" spans="1:46" ht="19.5" x14ac:dyDescent="0.4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22"/>
      <c r="V706" s="122"/>
      <c r="W706" s="122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26"/>
      <c r="AM706" s="15"/>
      <c r="AQ706" s="117"/>
      <c r="AR706" s="116"/>
      <c r="AS706" s="116"/>
      <c r="AT706" s="116"/>
    </row>
    <row r="707" spans="1:46" ht="19.5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22"/>
      <c r="V707" s="122"/>
      <c r="W707" s="122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26"/>
      <c r="AM707" s="15"/>
      <c r="AQ707" s="117"/>
      <c r="AR707" s="116"/>
      <c r="AS707" s="116"/>
      <c r="AT707" s="116"/>
    </row>
    <row r="708" spans="1:46" ht="19.5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22"/>
      <c r="V708" s="122"/>
      <c r="W708" s="122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26"/>
      <c r="AM708" s="25"/>
      <c r="AQ708" s="117"/>
      <c r="AR708" s="116"/>
      <c r="AS708" s="116"/>
      <c r="AT708" s="116"/>
    </row>
    <row r="709" spans="1:46" ht="19.5" x14ac:dyDescent="0.4">
      <c r="AL709" s="26"/>
      <c r="AM709" s="15"/>
      <c r="AQ709" s="117"/>
      <c r="AR709" s="116"/>
      <c r="AS709" s="116"/>
      <c r="AT709" s="116"/>
    </row>
    <row r="710" spans="1:46" ht="19.5" x14ac:dyDescent="0.4">
      <c r="T710" s="115"/>
      <c r="U710" s="122"/>
      <c r="V710" s="122"/>
      <c r="W710" s="122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26"/>
      <c r="AM710" s="15"/>
      <c r="AQ710" s="117"/>
      <c r="AR710" s="116"/>
      <c r="AS710" s="116"/>
      <c r="AT710" s="116"/>
    </row>
    <row r="711" spans="1:46" ht="19.5" x14ac:dyDescent="0.4">
      <c r="R711" s="115"/>
      <c r="S711" s="115"/>
      <c r="T711" s="115"/>
      <c r="U711" s="122"/>
      <c r="V711" s="122"/>
      <c r="W711" s="122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26"/>
      <c r="AM711" s="15"/>
      <c r="AQ711" s="117"/>
      <c r="AR711" s="116"/>
      <c r="AS711" s="116"/>
      <c r="AT711" s="116"/>
    </row>
    <row r="712" spans="1:46" ht="19.5" x14ac:dyDescent="0.4">
      <c r="R712" s="115"/>
      <c r="S712" s="115"/>
      <c r="T712" s="115"/>
      <c r="U712" s="122"/>
      <c r="V712" s="122"/>
      <c r="W712" s="122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7"/>
      <c r="AM712" s="15"/>
      <c r="AQ712" s="117"/>
      <c r="AR712" s="116"/>
      <c r="AS712" s="116"/>
      <c r="AT712" s="116"/>
    </row>
    <row r="713" spans="1:46" ht="19.5" x14ac:dyDescent="0.4">
      <c r="O713" s="115"/>
      <c r="P713" s="115"/>
      <c r="Q713" s="115"/>
      <c r="R713" s="115"/>
      <c r="S713" s="115"/>
      <c r="T713" s="115"/>
      <c r="U713" s="122"/>
      <c r="V713" s="122"/>
      <c r="W713" s="122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26"/>
      <c r="AM713" s="15"/>
      <c r="AQ713" s="117"/>
      <c r="AR713" s="116"/>
      <c r="AS713" s="116"/>
      <c r="AT713" s="116"/>
    </row>
    <row r="714" spans="1:46" ht="19.5" x14ac:dyDescent="0.4">
      <c r="O714" s="115"/>
      <c r="P714" s="115"/>
      <c r="Q714" s="115"/>
      <c r="R714" s="115"/>
      <c r="S714" s="115"/>
      <c r="T714" s="115"/>
      <c r="U714" s="122"/>
      <c r="V714" s="122"/>
      <c r="W714" s="122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7"/>
      <c r="AM714" s="15"/>
      <c r="AQ714" s="117"/>
      <c r="AR714" s="116"/>
      <c r="AS714" s="116"/>
      <c r="AT714" s="116"/>
    </row>
    <row r="715" spans="1:46" ht="19.5" x14ac:dyDescent="0.4">
      <c r="O715" s="115"/>
      <c r="P715" s="115"/>
      <c r="Q715" s="115"/>
      <c r="R715" s="115"/>
      <c r="S715" s="115"/>
      <c r="T715" s="115"/>
      <c r="U715" s="122"/>
      <c r="V715" s="122"/>
      <c r="W715" s="122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26"/>
      <c r="AM715" s="15"/>
      <c r="AQ715" s="117"/>
      <c r="AR715" s="116"/>
      <c r="AS715" s="116"/>
      <c r="AT715" s="116"/>
    </row>
    <row r="716" spans="1:46" ht="19.5" x14ac:dyDescent="0.4">
      <c r="O716" s="115"/>
      <c r="P716" s="115"/>
      <c r="Q716" s="115"/>
      <c r="R716" s="115"/>
      <c r="S716" s="115"/>
      <c r="T716" s="115"/>
      <c r="U716" s="122"/>
      <c r="V716" s="122"/>
      <c r="W716" s="122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7"/>
      <c r="AM716" s="13"/>
      <c r="AQ716" s="117"/>
      <c r="AR716" s="116"/>
      <c r="AS716" s="116"/>
      <c r="AT716" s="116"/>
    </row>
    <row r="717" spans="1:46" ht="19.5" x14ac:dyDescent="0.4">
      <c r="O717" s="115"/>
      <c r="P717" s="115"/>
      <c r="Q717" s="115"/>
      <c r="R717" s="115"/>
      <c r="S717" s="115"/>
      <c r="T717" s="115"/>
      <c r="U717" s="122"/>
      <c r="V717" s="122"/>
      <c r="W717" s="122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7"/>
      <c r="AM717" s="13"/>
      <c r="AQ717" s="117"/>
      <c r="AR717" s="116"/>
      <c r="AS717" s="116"/>
      <c r="AT717" s="116"/>
    </row>
    <row r="718" spans="1:46" ht="19.5" x14ac:dyDescent="0.4">
      <c r="AL718" s="26"/>
      <c r="AM718" s="13"/>
      <c r="AQ718" s="117"/>
      <c r="AR718" s="116"/>
      <c r="AS718" s="116"/>
      <c r="AT718" s="116"/>
    </row>
    <row r="719" spans="1:46" ht="19.5" x14ac:dyDescent="0.4">
      <c r="T719" s="115"/>
      <c r="U719" s="122"/>
      <c r="V719" s="122"/>
      <c r="W719" s="122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7"/>
      <c r="AM719" s="13"/>
      <c r="AQ719" s="117"/>
      <c r="AR719" s="116"/>
      <c r="AS719" s="116"/>
      <c r="AT719" s="116"/>
    </row>
    <row r="720" spans="1:46" ht="19.5" x14ac:dyDescent="0.4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22"/>
      <c r="V720" s="122"/>
      <c r="W720" s="122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26"/>
      <c r="AM720" s="13"/>
      <c r="AQ720" s="117"/>
      <c r="AR720" s="116"/>
      <c r="AS720" s="116"/>
      <c r="AT720" s="116"/>
    </row>
    <row r="721" spans="1:46" ht="19.5" x14ac:dyDescent="0.4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22"/>
      <c r="V721" s="122"/>
      <c r="W721" s="122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26"/>
      <c r="AM721" s="13"/>
      <c r="AQ721" s="117"/>
      <c r="AR721" s="116"/>
      <c r="AS721" s="116"/>
      <c r="AT721" s="116"/>
    </row>
    <row r="722" spans="1:46" ht="19.5" x14ac:dyDescent="0.4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22"/>
      <c r="V722" s="122"/>
      <c r="W722" s="122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26"/>
      <c r="AM722" s="13"/>
      <c r="AQ722" s="117"/>
      <c r="AR722" s="116"/>
      <c r="AS722" s="116"/>
      <c r="AT722" s="116"/>
    </row>
    <row r="723" spans="1:46" ht="19.5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22"/>
      <c r="V723" s="122"/>
      <c r="W723" s="122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26"/>
      <c r="AM723" s="13"/>
      <c r="AQ723" s="117"/>
      <c r="AR723" s="116"/>
      <c r="AS723" s="116"/>
      <c r="AT723" s="116"/>
    </row>
    <row r="724" spans="1:46" ht="19.5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22"/>
      <c r="V724" s="122"/>
      <c r="W724" s="122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7"/>
      <c r="AM724" s="13"/>
      <c r="AQ724" s="117"/>
      <c r="AR724" s="116"/>
      <c r="AS724" s="116"/>
      <c r="AT724" s="116"/>
    </row>
    <row r="725" spans="1:46" ht="19.5" x14ac:dyDescent="0.4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22"/>
      <c r="V725" s="122"/>
      <c r="W725" s="122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26"/>
      <c r="AM725" s="13"/>
      <c r="AQ725" s="117"/>
      <c r="AR725" s="116"/>
      <c r="AS725" s="116"/>
      <c r="AT725" s="116"/>
    </row>
    <row r="726" spans="1:46" ht="19.5" x14ac:dyDescent="0.4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22"/>
      <c r="V726" s="122"/>
      <c r="W726" s="122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26"/>
      <c r="AM726" s="15"/>
      <c r="AQ726" s="117"/>
      <c r="AR726" s="116"/>
      <c r="AS726" s="116"/>
      <c r="AT726" s="116"/>
    </row>
    <row r="727" spans="1:46" ht="19.5" x14ac:dyDescent="0.4">
      <c r="AL727" s="26"/>
      <c r="AM727" s="15"/>
      <c r="AQ727" s="117"/>
      <c r="AR727" s="116"/>
      <c r="AS727" s="116"/>
      <c r="AT727" s="116"/>
    </row>
    <row r="728" spans="1:46" ht="19.5" x14ac:dyDescent="0.4">
      <c r="S728" s="115"/>
      <c r="T728" s="115"/>
      <c r="U728" s="122"/>
      <c r="V728" s="122"/>
      <c r="W728" s="122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26"/>
      <c r="AM728" s="13"/>
      <c r="AQ728" s="117"/>
      <c r="AR728" s="116"/>
      <c r="AS728" s="116"/>
      <c r="AT728" s="116"/>
    </row>
    <row r="729" spans="1:46" ht="19.5" x14ac:dyDescent="0.4">
      <c r="Q729" s="115"/>
      <c r="R729" s="115"/>
      <c r="S729" s="115"/>
      <c r="T729" s="115"/>
      <c r="U729" s="122"/>
      <c r="V729" s="122"/>
      <c r="W729" s="122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26"/>
      <c r="AM729" s="15"/>
      <c r="AQ729" s="117"/>
      <c r="AR729" s="116"/>
      <c r="AS729" s="116"/>
      <c r="AT729" s="116"/>
    </row>
    <row r="730" spans="1:46" ht="19.5" x14ac:dyDescent="0.4">
      <c r="Q730" s="115"/>
      <c r="R730" s="115"/>
      <c r="S730" s="115"/>
      <c r="T730" s="115"/>
      <c r="U730" s="122"/>
      <c r="V730" s="122"/>
      <c r="W730" s="122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26"/>
      <c r="AM730" s="15"/>
      <c r="AQ730" s="117"/>
      <c r="AR730" s="116"/>
      <c r="AS730" s="116"/>
      <c r="AT730" s="116"/>
    </row>
    <row r="731" spans="1:46" ht="19.5" x14ac:dyDescent="0.4">
      <c r="Q731" s="115"/>
      <c r="R731" s="115"/>
      <c r="S731" s="115"/>
      <c r="T731" s="115"/>
      <c r="U731" s="122"/>
      <c r="V731" s="122"/>
      <c r="W731" s="122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7"/>
      <c r="AM731" s="15"/>
      <c r="AQ731" s="117"/>
      <c r="AR731" s="116"/>
      <c r="AS731" s="116"/>
      <c r="AT731" s="116"/>
    </row>
    <row r="732" spans="1:46" ht="19.5" x14ac:dyDescent="0.4">
      <c r="P732" s="115"/>
      <c r="Q732" s="115"/>
      <c r="R732" s="115"/>
      <c r="S732" s="115"/>
      <c r="T732" s="115"/>
      <c r="U732" s="122"/>
      <c r="V732" s="122"/>
      <c r="W732" s="122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26"/>
      <c r="AM732" s="15"/>
      <c r="AQ732" s="117"/>
      <c r="AR732" s="116"/>
      <c r="AS732" s="116"/>
      <c r="AT732" s="116"/>
    </row>
    <row r="733" spans="1:46" ht="19.5" x14ac:dyDescent="0.4">
      <c r="P733" s="115"/>
      <c r="Q733" s="115"/>
      <c r="R733" s="115"/>
      <c r="S733" s="115"/>
      <c r="T733" s="115"/>
      <c r="U733" s="122"/>
      <c r="V733" s="122"/>
      <c r="W733" s="122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26"/>
      <c r="AM733" s="15"/>
      <c r="AQ733" s="117"/>
      <c r="AR733" s="116"/>
      <c r="AS733" s="116"/>
      <c r="AT733" s="116"/>
    </row>
    <row r="734" spans="1:46" ht="19.5" x14ac:dyDescent="0.4">
      <c r="P734" s="115"/>
      <c r="Q734" s="115"/>
      <c r="R734" s="115"/>
      <c r="S734" s="115"/>
      <c r="T734" s="115"/>
      <c r="U734" s="122"/>
      <c r="V734" s="122"/>
      <c r="W734" s="122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26"/>
      <c r="AM734" s="105"/>
      <c r="AQ734" s="117"/>
      <c r="AR734" s="116"/>
      <c r="AS734" s="116"/>
      <c r="AT734" s="116"/>
    </row>
    <row r="735" spans="1:46" ht="19.5" x14ac:dyDescent="0.4">
      <c r="P735" s="115"/>
      <c r="Q735" s="115"/>
      <c r="R735" s="115"/>
      <c r="S735" s="115"/>
      <c r="T735" s="115"/>
      <c r="U735" s="122"/>
      <c r="V735" s="122"/>
      <c r="W735" s="122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7"/>
      <c r="AM735" s="15"/>
      <c r="AQ735" s="117"/>
      <c r="AR735" s="116"/>
      <c r="AS735" s="116"/>
      <c r="AT735" s="116"/>
    </row>
    <row r="736" spans="1:46" ht="19.5" x14ac:dyDescent="0.4">
      <c r="P736" s="115"/>
      <c r="Q736" s="115"/>
      <c r="R736" s="115"/>
      <c r="S736" s="115"/>
      <c r="T736" s="115"/>
      <c r="U736" s="122"/>
      <c r="V736" s="122"/>
      <c r="W736" s="122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26"/>
      <c r="AM736" s="15"/>
      <c r="AQ736" s="117"/>
      <c r="AR736" s="116"/>
      <c r="AS736" s="116"/>
      <c r="AT736" s="116"/>
    </row>
    <row r="737" spans="1:46" ht="19.5" x14ac:dyDescent="0.4">
      <c r="P737" s="115"/>
      <c r="Q737" s="115"/>
      <c r="R737" s="115"/>
      <c r="S737" s="115"/>
      <c r="T737" s="115"/>
      <c r="U737" s="122"/>
      <c r="V737" s="122"/>
      <c r="W737" s="122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7"/>
      <c r="AM737" s="15"/>
      <c r="AQ737" s="117"/>
      <c r="AR737" s="116"/>
      <c r="AS737" s="116"/>
      <c r="AT737" s="116"/>
    </row>
    <row r="738" spans="1:46" ht="19.5" x14ac:dyDescent="0.4"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22"/>
      <c r="V738" s="122"/>
      <c r="W738" s="122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26"/>
      <c r="AM738" s="15"/>
      <c r="AQ738" s="117"/>
      <c r="AR738" s="116"/>
      <c r="AS738" s="116"/>
      <c r="AT738" s="116"/>
    </row>
    <row r="739" spans="1:46" ht="19.5" x14ac:dyDescent="0.4"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22"/>
      <c r="V739" s="122"/>
      <c r="W739" s="122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7"/>
      <c r="AM739" s="15"/>
      <c r="AQ739" s="117"/>
      <c r="AR739" s="116"/>
      <c r="AS739" s="116"/>
      <c r="AT739" s="116"/>
    </row>
    <row r="740" spans="1:46" ht="19.5" x14ac:dyDescent="0.4"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22"/>
      <c r="V740" s="122"/>
      <c r="W740" s="122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26"/>
      <c r="AM740" s="15"/>
      <c r="AQ740" s="117"/>
      <c r="AR740" s="116"/>
      <c r="AS740" s="116"/>
      <c r="AT740" s="116"/>
    </row>
    <row r="741" spans="1:46" ht="19.5" x14ac:dyDescent="0.4"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22"/>
      <c r="V741" s="122"/>
      <c r="W741" s="122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7"/>
      <c r="AM741" s="15"/>
      <c r="AQ741" s="117"/>
      <c r="AR741" s="116"/>
      <c r="AS741" s="116"/>
      <c r="AT741" s="116"/>
    </row>
    <row r="742" spans="1:46" ht="19.5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22"/>
      <c r="V742" s="122"/>
      <c r="W742" s="122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26"/>
      <c r="AM742" s="15"/>
      <c r="AQ742" s="117"/>
      <c r="AR742" s="116"/>
      <c r="AS742" s="116"/>
      <c r="AT742" s="116"/>
    </row>
    <row r="743" spans="1:46" ht="19.5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22"/>
      <c r="V743" s="122"/>
      <c r="W743" s="122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26"/>
      <c r="AM743" s="15"/>
      <c r="AQ743" s="117"/>
      <c r="AR743" s="116"/>
      <c r="AS743" s="116"/>
      <c r="AT743" s="116"/>
    </row>
    <row r="744" spans="1:46" ht="19.5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22"/>
      <c r="V744" s="122"/>
      <c r="W744" s="122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26"/>
      <c r="AM744" s="15"/>
      <c r="AQ744" s="117"/>
      <c r="AR744" s="116"/>
      <c r="AS744" s="116"/>
      <c r="AT744" s="116"/>
    </row>
    <row r="745" spans="1:46" ht="19.5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22"/>
      <c r="V745" s="122"/>
      <c r="W745" s="122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26"/>
      <c r="AM745" s="15"/>
      <c r="AQ745" s="117"/>
      <c r="AR745" s="116"/>
      <c r="AS745" s="116"/>
      <c r="AT745" s="116"/>
    </row>
    <row r="746" spans="1:46" ht="19.5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22"/>
      <c r="V746" s="122"/>
      <c r="W746" s="122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26"/>
      <c r="AM746" s="15"/>
      <c r="AQ746" s="117"/>
      <c r="AR746" s="116"/>
      <c r="AS746" s="116"/>
      <c r="AT746" s="116"/>
    </row>
    <row r="747" spans="1:46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22"/>
      <c r="V747" s="122"/>
      <c r="W747" s="122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26"/>
      <c r="AM747" s="15"/>
      <c r="AQ747" s="117"/>
      <c r="AR747" s="116"/>
      <c r="AS747" s="116"/>
      <c r="AT747" s="116"/>
    </row>
    <row r="748" spans="1:46" ht="19.5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22"/>
      <c r="V748" s="122"/>
      <c r="W748" s="122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7"/>
      <c r="AM748" s="15"/>
      <c r="AQ748" s="117"/>
      <c r="AR748" s="116"/>
      <c r="AS748" s="116"/>
      <c r="AT748" s="116"/>
    </row>
    <row r="749" spans="1:46" ht="19.5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22"/>
      <c r="V749" s="122"/>
      <c r="W749" s="122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26"/>
      <c r="AM749" s="15"/>
      <c r="AQ749" s="117"/>
      <c r="AR749" s="116"/>
      <c r="AS749" s="116"/>
      <c r="AT749" s="116"/>
    </row>
    <row r="750" spans="1:46" ht="19.5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22"/>
      <c r="V750" s="122"/>
      <c r="W750" s="122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7"/>
      <c r="AM750" s="15"/>
      <c r="AQ750" s="117"/>
      <c r="AR750" s="116"/>
      <c r="AS750" s="116"/>
      <c r="AT750" s="116"/>
    </row>
    <row r="751" spans="1:46" ht="19.5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22"/>
      <c r="V751" s="122"/>
      <c r="W751" s="122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26"/>
      <c r="AM751" s="15"/>
      <c r="AQ751" s="117"/>
      <c r="AR751" s="116"/>
      <c r="AS751" s="116"/>
      <c r="AT751" s="116"/>
    </row>
    <row r="752" spans="1:46" ht="19.5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22"/>
      <c r="V752" s="122"/>
      <c r="W752" s="122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20"/>
      <c r="AM752" s="15"/>
      <c r="AQ752" s="117"/>
      <c r="AR752" s="116"/>
      <c r="AS752" s="116"/>
      <c r="AT752" s="116"/>
    </row>
    <row r="753" spans="1:46" ht="19.5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22"/>
      <c r="V753" s="122"/>
      <c r="W753" s="122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20"/>
      <c r="AM753" s="15"/>
      <c r="AQ753" s="117"/>
      <c r="AR753" s="116"/>
      <c r="AS753" s="116"/>
      <c r="AT753" s="116"/>
    </row>
    <row r="754" spans="1:46" ht="19.5" x14ac:dyDescent="0.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22"/>
      <c r="V754" s="122"/>
      <c r="W754" s="122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20"/>
      <c r="AM754" s="15"/>
      <c r="AQ754" s="117"/>
      <c r="AR754" s="116"/>
      <c r="AS754" s="116"/>
      <c r="AT754" s="116"/>
    </row>
    <row r="755" spans="1:46" ht="19.5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22"/>
      <c r="V755" s="122"/>
      <c r="W755" s="122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20"/>
      <c r="AM755" s="15"/>
      <c r="AQ755" s="117"/>
      <c r="AR755" s="116"/>
      <c r="AS755" s="116"/>
      <c r="AT755" s="116"/>
    </row>
    <row r="756" spans="1:46" ht="19.5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22"/>
      <c r="V756" s="122"/>
      <c r="W756" s="122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25"/>
      <c r="AM756" s="15"/>
      <c r="AQ756" s="117"/>
      <c r="AR756" s="116"/>
      <c r="AS756" s="116"/>
      <c r="AT756" s="116"/>
    </row>
    <row r="757" spans="1:46" ht="19.5" x14ac:dyDescent="0.4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22"/>
      <c r="V757" s="122"/>
      <c r="W757" s="122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3"/>
      <c r="AM757" s="15"/>
      <c r="AQ757" s="117"/>
      <c r="AR757" s="116"/>
      <c r="AS757" s="116"/>
      <c r="AT757" s="116"/>
    </row>
    <row r="758" spans="1:46" ht="19.5" x14ac:dyDescent="0.4">
      <c r="AL758" s="25"/>
      <c r="AM758" s="15"/>
      <c r="AQ758" s="117"/>
      <c r="AR758" s="116"/>
      <c r="AS758" s="116"/>
      <c r="AT758" s="116"/>
    </row>
    <row r="759" spans="1:46" ht="19.5" x14ac:dyDescent="0.4">
      <c r="R759" s="115"/>
      <c r="S759" s="115"/>
      <c r="T759" s="115"/>
      <c r="U759" s="122"/>
      <c r="V759" s="122"/>
      <c r="W759" s="122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3"/>
      <c r="AM759" s="15"/>
      <c r="AQ759" s="117"/>
      <c r="AR759" s="116"/>
      <c r="AS759" s="116"/>
      <c r="AT759" s="116"/>
    </row>
    <row r="760" spans="1:46" ht="19.5" x14ac:dyDescent="0.4"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22"/>
      <c r="V760" s="122"/>
      <c r="W760" s="122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25"/>
      <c r="AM760" s="15"/>
      <c r="AQ760" s="117"/>
      <c r="AR760" s="116"/>
      <c r="AS760" s="116"/>
      <c r="AT760" s="116"/>
    </row>
    <row r="761" spans="1:46" ht="19.5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22"/>
      <c r="V761" s="122"/>
      <c r="W761" s="122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25"/>
      <c r="AM761" s="15"/>
      <c r="AQ761" s="117"/>
      <c r="AR761" s="116"/>
      <c r="AS761" s="116"/>
      <c r="AT761" s="116"/>
    </row>
    <row r="762" spans="1:46" ht="19.5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22"/>
      <c r="V762" s="122"/>
      <c r="W762" s="122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3"/>
      <c r="AM762" s="15"/>
      <c r="AQ762" s="117"/>
      <c r="AR762" s="116"/>
      <c r="AS762" s="116"/>
      <c r="AT762" s="116"/>
    </row>
    <row r="763" spans="1:46" ht="19.5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22"/>
      <c r="V763" s="122"/>
      <c r="W763" s="122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25"/>
      <c r="AM763" s="15"/>
      <c r="AQ763" s="117"/>
      <c r="AR763" s="116"/>
      <c r="AS763" s="116"/>
      <c r="AT763" s="116"/>
    </row>
    <row r="764" spans="1:46" ht="19.5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22"/>
      <c r="V764" s="122"/>
      <c r="W764" s="122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3"/>
      <c r="AM764" s="15"/>
      <c r="AQ764" s="117"/>
      <c r="AR764" s="116"/>
      <c r="AS764" s="116"/>
      <c r="AT764" s="116"/>
    </row>
    <row r="765" spans="1:46" ht="19.5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22"/>
      <c r="V765" s="122"/>
      <c r="W765" s="122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25"/>
      <c r="AM765" s="15"/>
      <c r="AQ765" s="117"/>
      <c r="AR765" s="116"/>
      <c r="AS765" s="116"/>
      <c r="AT765" s="116"/>
    </row>
    <row r="766" spans="1:46" ht="19.5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22"/>
      <c r="V766" s="122"/>
      <c r="W766" s="122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26"/>
      <c r="AM766" s="15"/>
      <c r="AQ766" s="117"/>
      <c r="AR766" s="116"/>
      <c r="AS766" s="116"/>
      <c r="AT766" s="116"/>
    </row>
    <row r="767" spans="1:46" ht="19.5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22"/>
      <c r="V767" s="122"/>
      <c r="W767" s="122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7"/>
      <c r="AM767" s="13"/>
      <c r="AQ767" s="117"/>
      <c r="AR767" s="116"/>
      <c r="AS767" s="116"/>
      <c r="AT767" s="116"/>
    </row>
    <row r="768" spans="1:46" ht="19.5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22"/>
      <c r="V768" s="122"/>
      <c r="W768" s="122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26"/>
      <c r="AM768" s="13"/>
      <c r="AQ768" s="117"/>
      <c r="AR768" s="116"/>
      <c r="AS768" s="116"/>
      <c r="AT768" s="116"/>
    </row>
    <row r="769" spans="1:46" ht="19.5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22"/>
      <c r="V769" s="122"/>
      <c r="W769" s="122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7"/>
      <c r="AM769" s="13"/>
      <c r="AQ769" s="117"/>
      <c r="AR769" s="116"/>
      <c r="AS769" s="116"/>
      <c r="AT769" s="116"/>
    </row>
    <row r="770" spans="1:46" ht="19.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22"/>
      <c r="V770" s="122"/>
      <c r="W770" s="122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26"/>
      <c r="AM770" s="15"/>
      <c r="AQ770" s="117"/>
      <c r="AR770" s="116"/>
      <c r="AS770" s="116"/>
      <c r="AT770" s="116"/>
    </row>
    <row r="771" spans="1:46" ht="19.5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22"/>
      <c r="V771" s="122"/>
      <c r="W771" s="122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7"/>
      <c r="AM771" s="15"/>
      <c r="AQ771" s="117"/>
      <c r="AR771" s="116"/>
      <c r="AS771" s="116"/>
      <c r="AT771" s="116"/>
    </row>
    <row r="772" spans="1:46" ht="19.5" x14ac:dyDescent="0.4">
      <c r="AL772" s="26"/>
      <c r="AM772" s="105"/>
      <c r="AQ772" s="117"/>
      <c r="AR772" s="116"/>
      <c r="AS772" s="116"/>
      <c r="AT772" s="116"/>
    </row>
    <row r="773" spans="1:46" ht="19.5" x14ac:dyDescent="0.4">
      <c r="R773" s="115"/>
      <c r="S773" s="115"/>
      <c r="T773" s="115"/>
      <c r="U773" s="122"/>
      <c r="V773" s="122"/>
      <c r="W773" s="122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7"/>
      <c r="AM773" s="15"/>
      <c r="AQ773" s="117"/>
      <c r="AR773" s="116"/>
      <c r="AS773" s="116"/>
      <c r="AT773" s="116"/>
    </row>
    <row r="774" spans="1:46" ht="19.5" x14ac:dyDescent="0.4">
      <c r="O774" s="115"/>
      <c r="P774" s="115"/>
      <c r="Q774" s="115"/>
      <c r="R774" s="115"/>
      <c r="S774" s="115"/>
      <c r="T774" s="115"/>
      <c r="U774" s="122"/>
      <c r="V774" s="122"/>
      <c r="W774" s="122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26"/>
      <c r="AM774" s="15"/>
      <c r="AQ774" s="117"/>
      <c r="AR774" s="116"/>
      <c r="AS774" s="116"/>
      <c r="AT774" s="116"/>
    </row>
    <row r="775" spans="1:46" ht="19.5" x14ac:dyDescent="0.4">
      <c r="O775" s="115"/>
      <c r="P775" s="115"/>
      <c r="Q775" s="115"/>
      <c r="R775" s="115"/>
      <c r="S775" s="115"/>
      <c r="T775" s="115"/>
      <c r="U775" s="122"/>
      <c r="V775" s="122"/>
      <c r="W775" s="122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7"/>
      <c r="AM775" s="15"/>
      <c r="AQ775" s="117"/>
      <c r="AR775" s="116"/>
      <c r="AS775" s="116"/>
      <c r="AT775" s="116"/>
    </row>
    <row r="776" spans="1:46" ht="19.5" x14ac:dyDescent="0.4"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22"/>
      <c r="V776" s="122"/>
      <c r="W776" s="122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26"/>
      <c r="AM776" s="15"/>
      <c r="AQ776" s="117"/>
      <c r="AR776" s="116"/>
      <c r="AS776" s="116"/>
      <c r="AT776" s="116"/>
    </row>
    <row r="777" spans="1:46" ht="19.5" x14ac:dyDescent="0.4"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22"/>
      <c r="V777" s="122"/>
      <c r="W777" s="122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7"/>
      <c r="AM777" s="15"/>
      <c r="AQ777" s="117"/>
      <c r="AR777" s="116"/>
      <c r="AS777" s="116"/>
      <c r="AT777" s="116"/>
    </row>
    <row r="778" spans="1:46" ht="19.5" x14ac:dyDescent="0.4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22"/>
      <c r="V778" s="122"/>
      <c r="W778" s="122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26"/>
      <c r="AM778" s="15"/>
      <c r="AQ778" s="117"/>
      <c r="AR778" s="116"/>
      <c r="AS778" s="116"/>
      <c r="AT778" s="116"/>
    </row>
    <row r="779" spans="1:46" ht="19.5" x14ac:dyDescent="0.4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22"/>
      <c r="V779" s="122"/>
      <c r="W779" s="122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26"/>
      <c r="AM779" s="15"/>
      <c r="AQ779" s="117"/>
      <c r="AR779" s="116"/>
      <c r="AS779" s="116"/>
      <c r="AT779" s="116"/>
    </row>
    <row r="780" spans="1:46" ht="19.5" x14ac:dyDescent="0.4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22"/>
      <c r="V780" s="122"/>
      <c r="W780" s="122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7"/>
      <c r="AM780" s="15"/>
      <c r="AQ780" s="117"/>
      <c r="AR780" s="116"/>
      <c r="AS780" s="116"/>
      <c r="AT780" s="116"/>
    </row>
    <row r="781" spans="1:46" ht="19.5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22"/>
      <c r="V781" s="122"/>
      <c r="W781" s="122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26"/>
      <c r="AM781" s="15"/>
      <c r="AQ781" s="117"/>
      <c r="AR781" s="116"/>
      <c r="AS781" s="116"/>
      <c r="AT781" s="116"/>
    </row>
    <row r="782" spans="1:46" ht="19.5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22"/>
      <c r="V782" s="122"/>
      <c r="W782" s="122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7"/>
      <c r="AM782" s="15"/>
      <c r="AQ782" s="117"/>
      <c r="AR782" s="116"/>
      <c r="AS782" s="116"/>
      <c r="AT782" s="116"/>
    </row>
    <row r="783" spans="1:46" ht="19.5" x14ac:dyDescent="0.4">
      <c r="AL783" s="26"/>
      <c r="AM783" s="15"/>
      <c r="AQ783" s="117"/>
      <c r="AR783" s="116"/>
      <c r="AS783" s="116"/>
      <c r="AT783" s="116"/>
    </row>
    <row r="784" spans="1:46" ht="19.5" x14ac:dyDescent="0.4">
      <c r="R784" s="115"/>
      <c r="S784" s="115"/>
      <c r="T784" s="115"/>
      <c r="U784" s="122"/>
      <c r="V784" s="122"/>
      <c r="W784" s="122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7"/>
      <c r="AM784" s="15"/>
      <c r="AQ784" s="117"/>
      <c r="AR784" s="116"/>
      <c r="AS784" s="116"/>
      <c r="AT784" s="116"/>
    </row>
    <row r="785" spans="2:46" ht="19.5" x14ac:dyDescent="0.4">
      <c r="AL785" s="26"/>
      <c r="AM785" s="15"/>
      <c r="AQ785" s="117"/>
      <c r="AR785" s="116"/>
      <c r="AS785" s="116"/>
      <c r="AT785" s="116"/>
    </row>
    <row r="786" spans="2:46" ht="19.5" x14ac:dyDescent="0.4">
      <c r="R786" s="115"/>
      <c r="S786" s="115"/>
      <c r="T786" s="115"/>
      <c r="U786" s="122"/>
      <c r="V786" s="122"/>
      <c r="W786" s="122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7"/>
      <c r="AM786" s="15"/>
      <c r="AQ786" s="117"/>
      <c r="AR786" s="116"/>
      <c r="AS786" s="116"/>
      <c r="AT786" s="116"/>
    </row>
    <row r="787" spans="2:46" ht="19.5" x14ac:dyDescent="0.4">
      <c r="AL787" s="26"/>
      <c r="AM787" s="15"/>
      <c r="AQ787" s="117"/>
      <c r="AR787" s="116"/>
      <c r="AS787" s="116"/>
      <c r="AT787" s="116"/>
    </row>
    <row r="788" spans="2:46" ht="19.5" x14ac:dyDescent="0.4">
      <c r="R788" s="115"/>
      <c r="S788" s="115"/>
      <c r="T788" s="115"/>
      <c r="U788" s="122"/>
      <c r="V788" s="122"/>
      <c r="W788" s="122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7"/>
      <c r="AM788" s="15"/>
      <c r="AQ788" s="117"/>
      <c r="AR788" s="116"/>
      <c r="AS788" s="116"/>
      <c r="AT788" s="116"/>
    </row>
    <row r="789" spans="2:46" ht="19.5" x14ac:dyDescent="0.4"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22"/>
      <c r="V789" s="122"/>
      <c r="W789" s="122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26"/>
      <c r="AM789" s="15"/>
      <c r="AQ789" s="117"/>
      <c r="AR789" s="116"/>
      <c r="AS789" s="116"/>
      <c r="AT789" s="116"/>
    </row>
    <row r="790" spans="2:46" ht="19.5" x14ac:dyDescent="0.4"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22"/>
      <c r="V790" s="122"/>
      <c r="W790" s="122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7"/>
      <c r="AM790" s="15"/>
      <c r="AQ790" s="117"/>
      <c r="AR790" s="116"/>
      <c r="AS790" s="116"/>
      <c r="AT790" s="116"/>
    </row>
    <row r="791" spans="2:46" ht="19.5" x14ac:dyDescent="0.4"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22"/>
      <c r="V791" s="122"/>
      <c r="W791" s="122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26"/>
      <c r="AM791" s="15"/>
      <c r="AQ791" s="117"/>
      <c r="AR791" s="116"/>
      <c r="AS791" s="116"/>
      <c r="AT791" s="116"/>
    </row>
    <row r="792" spans="2:46" ht="19.5" x14ac:dyDescent="0.4">
      <c r="AL792" s="26"/>
      <c r="AM792" s="15"/>
      <c r="AQ792" s="117"/>
      <c r="AR792" s="116"/>
      <c r="AS792" s="116"/>
      <c r="AT792" s="116"/>
    </row>
    <row r="793" spans="2:46" ht="19.5" x14ac:dyDescent="0.4">
      <c r="R793" s="115"/>
      <c r="S793" s="115"/>
      <c r="T793" s="115"/>
      <c r="U793" s="122"/>
      <c r="V793" s="122"/>
      <c r="W793" s="122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7"/>
      <c r="AM793" s="15"/>
      <c r="AQ793" s="117"/>
      <c r="AR793" s="116"/>
      <c r="AS793" s="116"/>
      <c r="AT793" s="116"/>
    </row>
    <row r="794" spans="2:46" ht="19.5" x14ac:dyDescent="0.4">
      <c r="P794" s="115"/>
      <c r="Q794" s="115"/>
      <c r="R794" s="115"/>
      <c r="S794" s="115"/>
      <c r="T794" s="115"/>
      <c r="U794" s="122"/>
      <c r="V794" s="122"/>
      <c r="W794" s="122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26"/>
      <c r="AM794" s="15"/>
      <c r="AQ794" s="117"/>
      <c r="AR794" s="116"/>
      <c r="AS794" s="116"/>
      <c r="AT794" s="116"/>
    </row>
    <row r="795" spans="2:46" ht="19.5" x14ac:dyDescent="0.4">
      <c r="P795" s="115"/>
      <c r="Q795" s="115"/>
      <c r="R795" s="115"/>
      <c r="S795" s="115"/>
      <c r="T795" s="115"/>
      <c r="U795" s="122"/>
      <c r="V795" s="122"/>
      <c r="W795" s="122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7"/>
      <c r="AM795" s="13"/>
      <c r="AQ795" s="117"/>
      <c r="AR795" s="116"/>
      <c r="AS795" s="116"/>
      <c r="AT795" s="116"/>
    </row>
    <row r="796" spans="2:46" ht="19.5" x14ac:dyDescent="0.4">
      <c r="O796" s="115"/>
      <c r="P796" s="115"/>
      <c r="Q796" s="115"/>
      <c r="R796" s="115"/>
      <c r="S796" s="115"/>
      <c r="T796" s="115"/>
      <c r="U796" s="122"/>
      <c r="V796" s="122"/>
      <c r="W796" s="122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26"/>
      <c r="AM796" s="13"/>
      <c r="AQ796" s="117"/>
      <c r="AR796" s="116"/>
      <c r="AS796" s="116"/>
      <c r="AT796" s="116"/>
    </row>
    <row r="797" spans="2:46" ht="19.5" x14ac:dyDescent="0.4">
      <c r="O797" s="115"/>
      <c r="P797" s="115"/>
      <c r="Q797" s="115"/>
      <c r="R797" s="115"/>
      <c r="S797" s="115"/>
      <c r="T797" s="115"/>
      <c r="U797" s="122"/>
      <c r="V797" s="122"/>
      <c r="W797" s="122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7"/>
      <c r="AM797" s="13"/>
      <c r="AQ797" s="117"/>
      <c r="AR797" s="116"/>
      <c r="AS797" s="116"/>
      <c r="AT797" s="116"/>
    </row>
    <row r="798" spans="2:46" ht="19.5" x14ac:dyDescent="0.4"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22"/>
      <c r="V798" s="122"/>
      <c r="W798" s="122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26"/>
      <c r="AM798" s="15"/>
      <c r="AQ798" s="117"/>
      <c r="AR798" s="116"/>
      <c r="AS798" s="116"/>
      <c r="AT798" s="116"/>
    </row>
    <row r="799" spans="2:46" ht="19.5" x14ac:dyDescent="0.4"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22"/>
      <c r="V799" s="122"/>
      <c r="W799" s="122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7"/>
      <c r="AM799" s="15"/>
      <c r="AQ799" s="117"/>
      <c r="AR799" s="116"/>
      <c r="AS799" s="116"/>
      <c r="AT799" s="116"/>
    </row>
    <row r="800" spans="2:46" ht="19.5" x14ac:dyDescent="0.4"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22"/>
      <c r="V800" s="122"/>
      <c r="W800" s="122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26"/>
      <c r="AM800" s="105"/>
      <c r="AQ800" s="117"/>
      <c r="AR800" s="116"/>
      <c r="AS800" s="116"/>
      <c r="AT800" s="116"/>
    </row>
    <row r="801" spans="1:46" ht="19.5" x14ac:dyDescent="0.4"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22"/>
      <c r="V801" s="122"/>
      <c r="W801" s="122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7"/>
      <c r="AM801" s="15"/>
      <c r="AQ801" s="117"/>
      <c r="AR801" s="116"/>
      <c r="AS801" s="116"/>
      <c r="AT801" s="116"/>
    </row>
    <row r="802" spans="1:46" ht="19.5" x14ac:dyDescent="0.4"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22"/>
      <c r="V802" s="122"/>
      <c r="W802" s="122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26"/>
      <c r="AM802" s="15"/>
      <c r="AQ802" s="117"/>
      <c r="AR802" s="116"/>
      <c r="AS802" s="116"/>
      <c r="AT802" s="116"/>
    </row>
    <row r="803" spans="1:46" ht="19.5" x14ac:dyDescent="0.4"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22"/>
      <c r="V803" s="122"/>
      <c r="W803" s="122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26"/>
      <c r="AM803" s="15"/>
      <c r="AQ803" s="117"/>
      <c r="AR803" s="116"/>
      <c r="AS803" s="116"/>
      <c r="AT803" s="116"/>
    </row>
    <row r="804" spans="1:46" ht="19.5" x14ac:dyDescent="0.4">
      <c r="AL804" s="26"/>
      <c r="AM804" s="15"/>
      <c r="AQ804" s="117"/>
      <c r="AR804" s="116"/>
      <c r="AS804" s="116"/>
      <c r="AT804" s="116"/>
    </row>
    <row r="805" spans="1:46" ht="19.5" x14ac:dyDescent="0.4">
      <c r="Q805" s="115"/>
      <c r="R805" s="115"/>
      <c r="S805" s="115"/>
      <c r="T805" s="115"/>
      <c r="U805" s="122"/>
      <c r="V805" s="122"/>
      <c r="W805" s="122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26"/>
      <c r="AM805" s="15"/>
      <c r="AQ805" s="117"/>
      <c r="AR805" s="116"/>
      <c r="AS805" s="116"/>
      <c r="AT805" s="116"/>
    </row>
    <row r="806" spans="1:46" ht="19.5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22"/>
      <c r="V806" s="122"/>
      <c r="W806" s="122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26"/>
      <c r="AM806" s="15"/>
      <c r="AQ806" s="117"/>
      <c r="AR806" s="116"/>
      <c r="AS806" s="116"/>
      <c r="AT806" s="116"/>
    </row>
    <row r="807" spans="1:46" ht="19.5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22"/>
      <c r="V807" s="122"/>
      <c r="W807" s="122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26"/>
      <c r="AM807" s="15"/>
      <c r="AQ807" s="117"/>
      <c r="AR807" s="116"/>
      <c r="AS807" s="116"/>
      <c r="AT807" s="116"/>
    </row>
    <row r="808" spans="1:46" ht="19.5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22"/>
      <c r="V808" s="122"/>
      <c r="W808" s="122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7"/>
      <c r="AM808" s="15"/>
      <c r="AQ808" s="117"/>
      <c r="AR808" s="116"/>
      <c r="AS808" s="116"/>
      <c r="AT808" s="116"/>
    </row>
    <row r="809" spans="1:46" ht="19.5" x14ac:dyDescent="0.4">
      <c r="AL809" s="26"/>
      <c r="AM809" s="15"/>
      <c r="AQ809" s="117"/>
      <c r="AR809" s="116"/>
      <c r="AS809" s="116"/>
      <c r="AT809" s="116"/>
    </row>
    <row r="810" spans="1:46" ht="19.5" x14ac:dyDescent="0.4">
      <c r="R810" s="115"/>
      <c r="S810" s="115"/>
      <c r="T810" s="115"/>
      <c r="U810" s="122"/>
      <c r="V810" s="122"/>
      <c r="W810" s="122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7"/>
      <c r="AM810" s="15"/>
      <c r="AQ810" s="117"/>
      <c r="AR810" s="116"/>
      <c r="AS810" s="116"/>
      <c r="AT810" s="116"/>
    </row>
    <row r="811" spans="1:46" ht="19.5" x14ac:dyDescent="0.4">
      <c r="Q811" s="115"/>
      <c r="R811" s="115"/>
      <c r="S811" s="115"/>
      <c r="T811" s="115"/>
      <c r="U811" s="122"/>
      <c r="V811" s="122"/>
      <c r="W811" s="122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26"/>
      <c r="AM811" s="15"/>
      <c r="AQ811" s="117"/>
      <c r="AR811" s="116"/>
      <c r="AS811" s="116"/>
      <c r="AT811" s="116"/>
    </row>
    <row r="812" spans="1:46" ht="19.5" x14ac:dyDescent="0.4"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22"/>
      <c r="V812" s="122"/>
      <c r="W812" s="122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26"/>
      <c r="AM812" s="15"/>
      <c r="AQ812" s="117"/>
      <c r="AR812" s="116"/>
      <c r="AS812" s="116"/>
      <c r="AT812" s="116"/>
    </row>
    <row r="813" spans="1:46" ht="19.5" x14ac:dyDescent="0.4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22"/>
      <c r="V813" s="122"/>
      <c r="W813" s="122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26"/>
      <c r="AM813" s="15"/>
      <c r="AQ813" s="117"/>
      <c r="AR813" s="116"/>
      <c r="AS813" s="116"/>
      <c r="AT813" s="116"/>
    </row>
    <row r="814" spans="1:46" ht="19.5" x14ac:dyDescent="0.4"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22"/>
      <c r="V814" s="122"/>
      <c r="W814" s="122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26"/>
      <c r="AM814" s="15"/>
      <c r="AQ814" s="117"/>
      <c r="AR814" s="116"/>
      <c r="AS814" s="116"/>
      <c r="AT814" s="116"/>
    </row>
    <row r="815" spans="1:46" ht="19.5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22"/>
      <c r="V815" s="122"/>
      <c r="W815" s="122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26"/>
      <c r="AM815" s="15"/>
      <c r="AQ815" s="117"/>
      <c r="AR815" s="116"/>
      <c r="AS815" s="116"/>
      <c r="AT815" s="116"/>
    </row>
    <row r="816" spans="1:46" ht="19.5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22"/>
      <c r="V816" s="122"/>
      <c r="W816" s="122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26"/>
      <c r="AM816" s="15"/>
      <c r="AQ816" s="117"/>
      <c r="AR816" s="116"/>
      <c r="AS816" s="116"/>
      <c r="AT816" s="116"/>
    </row>
    <row r="817" spans="1:46" ht="19.5" x14ac:dyDescent="0.4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22"/>
      <c r="V817" s="122"/>
      <c r="W817" s="122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7"/>
      <c r="AM817" s="15"/>
      <c r="AQ817" s="117"/>
      <c r="AR817" s="116"/>
      <c r="AS817" s="116"/>
      <c r="AT817" s="116"/>
    </row>
    <row r="818" spans="1:46" ht="19.5" x14ac:dyDescent="0.4">
      <c r="AL818" s="26"/>
      <c r="AM818" s="15"/>
      <c r="AQ818" s="117"/>
      <c r="AR818" s="116"/>
      <c r="AS818" s="116"/>
      <c r="AT818" s="116"/>
    </row>
    <row r="819" spans="1:46" ht="19.5" x14ac:dyDescent="0.4">
      <c r="R819" s="115"/>
      <c r="S819" s="115"/>
      <c r="T819" s="115"/>
      <c r="U819" s="122"/>
      <c r="V819" s="122"/>
      <c r="W819" s="122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7"/>
      <c r="AM819" s="13"/>
      <c r="AQ819" s="117"/>
      <c r="AR819" s="116"/>
      <c r="AS819" s="116"/>
      <c r="AT819" s="116"/>
    </row>
    <row r="820" spans="1:46" ht="19.5" x14ac:dyDescent="0.4">
      <c r="R820" s="115"/>
      <c r="S820" s="115"/>
      <c r="T820" s="115"/>
      <c r="U820" s="122"/>
      <c r="V820" s="122"/>
      <c r="W820" s="122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7"/>
      <c r="AM820" s="13"/>
      <c r="AQ820" s="117"/>
      <c r="AR820" s="116"/>
      <c r="AS820" s="116"/>
      <c r="AT820" s="116"/>
    </row>
    <row r="821" spans="1:46" ht="19.5" x14ac:dyDescent="0.4">
      <c r="AL821" s="26"/>
      <c r="AM821" s="13"/>
      <c r="AQ821" s="117"/>
      <c r="AR821" s="116"/>
      <c r="AS821" s="116"/>
      <c r="AT821" s="116"/>
    </row>
    <row r="822" spans="1:46" ht="19.5" x14ac:dyDescent="0.4">
      <c r="AL822" s="26"/>
      <c r="AM822" s="13"/>
      <c r="AQ822" s="116"/>
      <c r="AR822" s="116"/>
      <c r="AS822" s="116"/>
      <c r="AT822" s="116"/>
    </row>
    <row r="823" spans="1:46" ht="19.5" x14ac:dyDescent="0.4"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22"/>
      <c r="V823" s="122"/>
      <c r="W823" s="122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26"/>
      <c r="AM823" s="13"/>
      <c r="AQ823" s="118"/>
      <c r="AR823" s="118"/>
      <c r="AS823" s="118"/>
      <c r="AT823" s="118"/>
    </row>
    <row r="824" spans="1:46" ht="19.5" x14ac:dyDescent="0.4"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22"/>
      <c r="V824" s="122"/>
      <c r="W824" s="122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26"/>
      <c r="AM824" s="13"/>
      <c r="AQ824" s="118"/>
      <c r="AR824" s="118"/>
      <c r="AS824" s="118"/>
      <c r="AT824" s="118"/>
    </row>
    <row r="825" spans="1:46" ht="19.5" x14ac:dyDescent="0.4"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22"/>
      <c r="V825" s="122"/>
      <c r="W825" s="122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26"/>
      <c r="AM825" s="13"/>
      <c r="AQ825" s="118"/>
      <c r="AR825" s="118"/>
      <c r="AS825" s="118"/>
      <c r="AT825" s="118"/>
    </row>
    <row r="826" spans="1:46" ht="19.5" x14ac:dyDescent="0.4"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22"/>
      <c r="V826" s="122"/>
      <c r="W826" s="122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26"/>
      <c r="AM826" s="15"/>
      <c r="AQ826" s="118"/>
      <c r="AR826" s="118"/>
      <c r="AS826" s="118"/>
      <c r="AT826" s="118"/>
    </row>
    <row r="827" spans="1:46" ht="19.5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22"/>
      <c r="V827" s="122"/>
      <c r="W827" s="122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26"/>
      <c r="AM827" s="15"/>
      <c r="AQ827" s="118"/>
      <c r="AR827" s="118"/>
      <c r="AS827" s="118"/>
      <c r="AT827" s="118"/>
    </row>
    <row r="828" spans="1:46" ht="19.5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22"/>
      <c r="V828" s="122"/>
      <c r="W828" s="122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26"/>
      <c r="AM828" s="15"/>
      <c r="AQ828" s="118"/>
      <c r="AR828" s="118"/>
      <c r="AS828" s="118"/>
      <c r="AT828" s="118"/>
    </row>
    <row r="829" spans="1:46" ht="19.5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22"/>
      <c r="V829" s="122"/>
      <c r="W829" s="122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26"/>
      <c r="AM829" s="15"/>
      <c r="AQ829" s="118"/>
      <c r="AR829" s="118"/>
      <c r="AS829" s="118"/>
      <c r="AT829" s="118"/>
    </row>
    <row r="830" spans="1:46" ht="20.25" customHeight="1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22"/>
      <c r="V830" s="122"/>
      <c r="W830" s="122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26"/>
      <c r="AM830" s="15"/>
      <c r="AQ830" s="118"/>
      <c r="AR830" s="118"/>
      <c r="AS830" s="118"/>
      <c r="AT830" s="118"/>
    </row>
    <row r="831" spans="1:46" x14ac:dyDescent="0.4">
      <c r="AL831" s="26"/>
      <c r="AM831" s="15"/>
    </row>
    <row r="832" spans="1:46" x14ac:dyDescent="0.4">
      <c r="AL832" s="26"/>
      <c r="AM832" s="13"/>
    </row>
    <row r="833" spans="3:39" x14ac:dyDescent="0.4">
      <c r="P833" s="115"/>
      <c r="Q833" s="115"/>
      <c r="R833" s="115"/>
      <c r="S833" s="115"/>
      <c r="T833" s="115"/>
      <c r="U833" s="122"/>
      <c r="V833" s="122"/>
      <c r="W833" s="122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26"/>
      <c r="AM833" s="13"/>
    </row>
    <row r="834" spans="3:39" x14ac:dyDescent="0.4">
      <c r="P834" s="115"/>
      <c r="Q834" s="115"/>
      <c r="R834" s="115"/>
      <c r="S834" s="115"/>
      <c r="T834" s="115"/>
      <c r="U834" s="122"/>
      <c r="V834" s="122"/>
      <c r="W834" s="122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7"/>
      <c r="AM834" s="13"/>
    </row>
    <row r="835" spans="3:39" x14ac:dyDescent="0.4"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22"/>
      <c r="V835" s="122"/>
      <c r="W835" s="122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26"/>
      <c r="AM835" s="13"/>
    </row>
    <row r="836" spans="3:39" x14ac:dyDescent="0.4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22"/>
      <c r="V836" s="122"/>
      <c r="W836" s="122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26"/>
      <c r="AM836" s="13"/>
    </row>
    <row r="837" spans="3:39" x14ac:dyDescent="0.4">
      <c r="AL837" s="26"/>
      <c r="AM837" s="13"/>
    </row>
    <row r="838" spans="3:39" x14ac:dyDescent="0.4"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22"/>
      <c r="V838" s="122"/>
      <c r="W838" s="122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26"/>
      <c r="AM838" s="13"/>
    </row>
    <row r="839" spans="3:39" x14ac:dyDescent="0.4"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22"/>
      <c r="V839" s="122"/>
      <c r="W839" s="122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26"/>
      <c r="AM839" s="13"/>
    </row>
    <row r="840" spans="3:39" x14ac:dyDescent="0.4">
      <c r="AL840" s="26"/>
      <c r="AM840" s="13"/>
    </row>
    <row r="841" spans="3:39" x14ac:dyDescent="0.4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22"/>
      <c r="V841" s="122"/>
      <c r="W841" s="122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26"/>
      <c r="AM841" s="13"/>
    </row>
    <row r="842" spans="3:39" x14ac:dyDescent="0.4">
      <c r="AL842" s="26"/>
      <c r="AM842" s="13"/>
    </row>
    <row r="843" spans="3:39" x14ac:dyDescent="0.4">
      <c r="O843" s="115"/>
      <c r="P843" s="115"/>
      <c r="Q843" s="115"/>
      <c r="R843" s="115"/>
      <c r="S843" s="115"/>
      <c r="T843" s="115"/>
      <c r="U843" s="122"/>
      <c r="V843" s="122"/>
      <c r="W843" s="122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26"/>
      <c r="AM843" s="13"/>
    </row>
    <row r="844" spans="3:39" x14ac:dyDescent="0.4">
      <c r="AL844" s="26"/>
      <c r="AM844" s="13"/>
    </row>
    <row r="845" spans="3:39" x14ac:dyDescent="0.4"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22"/>
      <c r="V845" s="122"/>
      <c r="W845" s="122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26"/>
      <c r="AM845" s="15"/>
    </row>
    <row r="846" spans="3:39" x14ac:dyDescent="0.4"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22"/>
      <c r="V846" s="122"/>
      <c r="W846" s="122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26"/>
      <c r="AM846" s="15"/>
    </row>
    <row r="847" spans="3:39" x14ac:dyDescent="0.4"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22"/>
      <c r="V847" s="122"/>
      <c r="W847" s="122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26"/>
      <c r="AM847" s="15"/>
    </row>
    <row r="848" spans="3:39" x14ac:dyDescent="0.4">
      <c r="AL848" s="26"/>
      <c r="AM848" s="13"/>
    </row>
    <row r="849" spans="1:39" x14ac:dyDescent="0.4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22"/>
      <c r="V849" s="122"/>
      <c r="W849" s="122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26"/>
      <c r="AM849" s="15"/>
    </row>
    <row r="850" spans="1:39" x14ac:dyDescent="0.4">
      <c r="AL850" s="26"/>
      <c r="AM850" s="15"/>
    </row>
    <row r="851" spans="1:39" x14ac:dyDescent="0.4">
      <c r="AL851" s="26"/>
      <c r="AM851" s="15"/>
    </row>
    <row r="852" spans="1:39" x14ac:dyDescent="0.4"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22"/>
      <c r="V852" s="122"/>
      <c r="W852" s="122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26"/>
      <c r="AM852" s="15"/>
    </row>
    <row r="853" spans="1:39" x14ac:dyDescent="0.4"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22"/>
      <c r="V853" s="122"/>
      <c r="W853" s="122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26"/>
      <c r="AM853" s="15"/>
    </row>
    <row r="854" spans="1:39" x14ac:dyDescent="0.4">
      <c r="AL854" s="26"/>
      <c r="AM854" s="15"/>
    </row>
    <row r="855" spans="1:39" x14ac:dyDescent="0.4">
      <c r="N855" s="115"/>
      <c r="O855" s="115"/>
      <c r="P855" s="115"/>
      <c r="Q855" s="115"/>
      <c r="R855" s="115"/>
      <c r="S855" s="115"/>
      <c r="T855" s="115"/>
      <c r="U855" s="122"/>
      <c r="V855" s="122"/>
      <c r="W855" s="122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26"/>
      <c r="AM855" s="15"/>
    </row>
    <row r="856" spans="1:39" x14ac:dyDescent="0.4"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22"/>
      <c r="V856" s="122"/>
      <c r="W856" s="122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26"/>
      <c r="AM856" s="15"/>
    </row>
    <row r="857" spans="1:39" x14ac:dyDescent="0.4"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22"/>
      <c r="V857" s="122"/>
      <c r="W857" s="122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26"/>
      <c r="AM857" s="15"/>
    </row>
    <row r="858" spans="1:39" x14ac:dyDescent="0.4"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22"/>
      <c r="V858" s="122"/>
      <c r="W858" s="122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26"/>
      <c r="AM858" s="15"/>
    </row>
    <row r="859" spans="1:39" x14ac:dyDescent="0.4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22"/>
      <c r="V859" s="122"/>
      <c r="W859" s="122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26"/>
      <c r="AM859" s="15"/>
    </row>
    <row r="860" spans="1:39" x14ac:dyDescent="0.4">
      <c r="AL860" s="26"/>
      <c r="AM860" s="15"/>
    </row>
    <row r="861" spans="1:39" x14ac:dyDescent="0.4">
      <c r="Q861" s="115"/>
      <c r="R861" s="115"/>
      <c r="S861" s="115"/>
      <c r="T861" s="115"/>
      <c r="U861" s="122"/>
      <c r="V861" s="122"/>
      <c r="W861" s="122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7"/>
      <c r="AM861" s="15"/>
    </row>
    <row r="862" spans="1:39" x14ac:dyDescent="0.4">
      <c r="AL862" s="26"/>
      <c r="AM862" s="15"/>
    </row>
    <row r="863" spans="1:39" x14ac:dyDescent="0.4">
      <c r="O863" s="115"/>
      <c r="P863" s="115"/>
      <c r="Q863" s="115"/>
      <c r="R863" s="115"/>
      <c r="S863" s="115"/>
      <c r="T863" s="115"/>
      <c r="U863" s="122"/>
      <c r="V863" s="122"/>
      <c r="W863" s="122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26"/>
      <c r="AM863" s="15"/>
    </row>
    <row r="864" spans="1:39" x14ac:dyDescent="0.4">
      <c r="AL864" s="26"/>
      <c r="AM864" s="15"/>
    </row>
    <row r="865" spans="1:39" x14ac:dyDescent="0.4">
      <c r="AL865" s="26"/>
      <c r="AM865" s="15"/>
    </row>
    <row r="866" spans="1:39" x14ac:dyDescent="0.4"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22"/>
      <c r="V866" s="122"/>
      <c r="W866" s="122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26"/>
      <c r="AM866" s="15"/>
    </row>
    <row r="867" spans="1:39" x14ac:dyDescent="0.4"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22"/>
      <c r="V867" s="122"/>
      <c r="W867" s="122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26"/>
      <c r="AM867" s="15"/>
    </row>
    <row r="868" spans="1:39" x14ac:dyDescent="0.4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22"/>
      <c r="V868" s="122"/>
      <c r="W868" s="122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26"/>
      <c r="AM868" s="15"/>
    </row>
    <row r="869" spans="1:39" x14ac:dyDescent="0.4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22"/>
      <c r="V869" s="122"/>
      <c r="W869" s="122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26"/>
      <c r="AM869" s="15"/>
    </row>
    <row r="870" spans="1:39" x14ac:dyDescent="0.4">
      <c r="AL870" s="26"/>
      <c r="AM870" s="15"/>
    </row>
    <row r="871" spans="1:39" x14ac:dyDescent="0.4">
      <c r="Q871" s="115"/>
      <c r="R871" s="115"/>
      <c r="S871" s="115"/>
      <c r="T871" s="115"/>
      <c r="U871" s="122"/>
      <c r="V871" s="122"/>
      <c r="W871" s="122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7"/>
      <c r="AM871" s="15"/>
    </row>
    <row r="872" spans="1:39" x14ac:dyDescent="0.4">
      <c r="AL872" s="26"/>
      <c r="AM872" s="15"/>
    </row>
    <row r="873" spans="1:39" x14ac:dyDescent="0.4"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22"/>
      <c r="V873" s="122"/>
      <c r="W873" s="122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26"/>
      <c r="AM873" s="15"/>
    </row>
    <row r="874" spans="1:39" x14ac:dyDescent="0.4"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22"/>
      <c r="V874" s="122"/>
      <c r="W874" s="122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26"/>
      <c r="AM874" s="15"/>
    </row>
    <row r="875" spans="1:39" x14ac:dyDescent="0.4"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22"/>
      <c r="V875" s="122"/>
      <c r="W875" s="122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7"/>
      <c r="AM875" s="15"/>
    </row>
    <row r="876" spans="1:39" x14ac:dyDescent="0.4">
      <c r="AL876" s="26"/>
      <c r="AM876" s="15"/>
    </row>
    <row r="877" spans="1:39" x14ac:dyDescent="0.4"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22"/>
      <c r="V877" s="122"/>
      <c r="W877" s="122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26"/>
      <c r="AM877" s="15"/>
    </row>
    <row r="878" spans="1:39" x14ac:dyDescent="0.4"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22"/>
      <c r="V878" s="122"/>
      <c r="W878" s="122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7"/>
      <c r="AM878" s="15"/>
    </row>
    <row r="879" spans="1:39" x14ac:dyDescent="0.4">
      <c r="AL879" s="26"/>
      <c r="AM879" s="15"/>
    </row>
    <row r="880" spans="1:39" x14ac:dyDescent="0.4">
      <c r="Q880" s="115"/>
      <c r="R880" s="115"/>
      <c r="S880" s="115"/>
      <c r="T880" s="115"/>
      <c r="U880" s="122"/>
      <c r="V880" s="122"/>
      <c r="W880" s="122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7"/>
      <c r="AM880" s="15"/>
    </row>
    <row r="881" spans="3:39" x14ac:dyDescent="0.4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22"/>
      <c r="V881" s="122"/>
      <c r="W881" s="122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26"/>
      <c r="AM881" s="15"/>
    </row>
    <row r="882" spans="3:39" x14ac:dyDescent="0.4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22"/>
      <c r="V882" s="122"/>
      <c r="W882" s="122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7"/>
      <c r="AM882" s="15"/>
    </row>
    <row r="883" spans="3:39" x14ac:dyDescent="0.4">
      <c r="AL883" s="26"/>
      <c r="AM883" s="15"/>
    </row>
    <row r="884" spans="3:39" x14ac:dyDescent="0.4">
      <c r="AL884" s="26"/>
      <c r="AM884" s="15"/>
    </row>
    <row r="885" spans="3:39" x14ac:dyDescent="0.4">
      <c r="P885" s="115"/>
      <c r="Q885" s="115"/>
      <c r="R885" s="115"/>
      <c r="S885" s="115"/>
      <c r="T885" s="115"/>
      <c r="U885" s="122"/>
      <c r="V885" s="122"/>
      <c r="W885" s="122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26"/>
      <c r="AM885" s="15"/>
    </row>
    <row r="886" spans="3:39" x14ac:dyDescent="0.4">
      <c r="N886" s="115"/>
      <c r="O886" s="115"/>
      <c r="P886" s="115"/>
      <c r="Q886" s="115"/>
      <c r="R886" s="115"/>
      <c r="S886" s="115"/>
      <c r="T886" s="115"/>
      <c r="U886" s="122"/>
      <c r="V886" s="122"/>
      <c r="W886" s="122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15"/>
      <c r="AL886" s="26"/>
      <c r="AM886" s="15"/>
    </row>
    <row r="887" spans="3:39" x14ac:dyDescent="0.4">
      <c r="N887" s="115"/>
      <c r="O887" s="115"/>
      <c r="P887" s="115"/>
      <c r="Q887" s="115"/>
      <c r="R887" s="115"/>
      <c r="S887" s="115"/>
      <c r="T887" s="115"/>
      <c r="U887" s="122"/>
      <c r="V887" s="122"/>
      <c r="W887" s="122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26"/>
      <c r="AM887" s="15"/>
    </row>
    <row r="888" spans="3:39" x14ac:dyDescent="0.4"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22"/>
      <c r="V888" s="122"/>
      <c r="W888" s="122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26"/>
      <c r="AM888" s="15"/>
    </row>
    <row r="889" spans="3:39" x14ac:dyDescent="0.4"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22"/>
      <c r="V889" s="122"/>
      <c r="W889" s="122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26"/>
      <c r="AM889" s="15"/>
    </row>
    <row r="890" spans="3:39" x14ac:dyDescent="0.4">
      <c r="AL890" s="26"/>
      <c r="AM890" s="15"/>
    </row>
    <row r="891" spans="3:39" x14ac:dyDescent="0.4">
      <c r="P891" s="115"/>
      <c r="Q891" s="115"/>
      <c r="R891" s="115"/>
      <c r="S891" s="115"/>
      <c r="T891" s="115"/>
      <c r="U891" s="122"/>
      <c r="V891" s="122"/>
      <c r="W891" s="122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26"/>
      <c r="AM891" s="15"/>
    </row>
    <row r="892" spans="3:39" x14ac:dyDescent="0.4">
      <c r="AL892" s="26"/>
      <c r="AM892" s="15"/>
    </row>
    <row r="893" spans="3:39" x14ac:dyDescent="0.4">
      <c r="Q893" s="115"/>
      <c r="R893" s="115"/>
      <c r="S893" s="115"/>
      <c r="T893" s="115"/>
      <c r="U893" s="122"/>
      <c r="V893" s="122"/>
      <c r="W893" s="122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7"/>
      <c r="AM893" s="15"/>
    </row>
    <row r="894" spans="3:39" x14ac:dyDescent="0.4">
      <c r="P894" s="115"/>
      <c r="Q894" s="115"/>
      <c r="R894" s="115"/>
      <c r="S894" s="115"/>
      <c r="T894" s="115"/>
      <c r="U894" s="122"/>
      <c r="V894" s="122"/>
      <c r="W894" s="122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26"/>
      <c r="AM894" s="15"/>
    </row>
    <row r="895" spans="3:39" x14ac:dyDescent="0.4"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22"/>
      <c r="V895" s="122"/>
      <c r="W895" s="122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26"/>
      <c r="AM895" s="15"/>
    </row>
    <row r="896" spans="3:39" x14ac:dyDescent="0.4"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22"/>
      <c r="V896" s="122"/>
      <c r="W896" s="122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7"/>
      <c r="AM896" s="15"/>
    </row>
    <row r="897" spans="4:39" x14ac:dyDescent="0.4">
      <c r="AL897" s="26"/>
      <c r="AM897" s="15"/>
    </row>
    <row r="898" spans="4:39" x14ac:dyDescent="0.4">
      <c r="Q898" s="115"/>
      <c r="R898" s="115"/>
      <c r="S898" s="115"/>
      <c r="T898" s="115"/>
      <c r="U898" s="122"/>
      <c r="V898" s="122"/>
      <c r="W898" s="122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7"/>
      <c r="AM898" s="15"/>
    </row>
    <row r="899" spans="4:39" x14ac:dyDescent="0.4">
      <c r="P899" s="115"/>
      <c r="Q899" s="115"/>
      <c r="R899" s="115"/>
      <c r="S899" s="115"/>
      <c r="T899" s="115"/>
      <c r="U899" s="122"/>
      <c r="V899" s="122"/>
      <c r="W899" s="122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26"/>
      <c r="AM899" s="15"/>
    </row>
    <row r="900" spans="4:39" x14ac:dyDescent="0.4">
      <c r="P900" s="115"/>
      <c r="Q900" s="115"/>
      <c r="R900" s="115"/>
      <c r="S900" s="115"/>
      <c r="T900" s="115"/>
      <c r="U900" s="122"/>
      <c r="V900" s="122"/>
      <c r="W900" s="122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7"/>
      <c r="AM900" s="15"/>
    </row>
    <row r="901" spans="4:39" x14ac:dyDescent="0.4">
      <c r="P901" s="115"/>
      <c r="Q901" s="115"/>
      <c r="R901" s="115"/>
      <c r="S901" s="115"/>
      <c r="T901" s="115"/>
      <c r="U901" s="122"/>
      <c r="V901" s="122"/>
      <c r="W901" s="122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7"/>
      <c r="AM901" s="15"/>
    </row>
    <row r="902" spans="4:39" x14ac:dyDescent="0.4"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22"/>
      <c r="V902" s="122"/>
      <c r="W902" s="122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26"/>
      <c r="AM902" s="15"/>
    </row>
    <row r="903" spans="4:39" x14ac:dyDescent="0.4"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22"/>
      <c r="V903" s="122"/>
      <c r="W903" s="122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26"/>
      <c r="AM903" s="15"/>
    </row>
    <row r="904" spans="4:39" x14ac:dyDescent="0.4"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22"/>
      <c r="V904" s="122"/>
      <c r="W904" s="122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26"/>
      <c r="AM904" s="15"/>
    </row>
    <row r="905" spans="4:39" x14ac:dyDescent="0.4"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22"/>
      <c r="V905" s="122"/>
      <c r="W905" s="122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26"/>
      <c r="AM905" s="15"/>
    </row>
    <row r="906" spans="4:39" x14ac:dyDescent="0.4"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22"/>
      <c r="V906" s="122"/>
      <c r="W906" s="122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26"/>
      <c r="AM906" s="15"/>
    </row>
    <row r="907" spans="4:39" x14ac:dyDescent="0.4"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22"/>
      <c r="V907" s="122"/>
      <c r="W907" s="122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7"/>
      <c r="AM907" s="15"/>
    </row>
    <row r="908" spans="4:39" x14ac:dyDescent="0.4">
      <c r="AL908" s="26"/>
      <c r="AM908" s="15"/>
    </row>
    <row r="909" spans="4:39" x14ac:dyDescent="0.4">
      <c r="P909" s="115"/>
      <c r="Q909" s="115"/>
      <c r="R909" s="115"/>
      <c r="S909" s="115"/>
      <c r="T909" s="115"/>
      <c r="U909" s="122"/>
      <c r="V909" s="122"/>
      <c r="W909" s="122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7"/>
      <c r="AM909" s="13"/>
    </row>
    <row r="910" spans="4:39" x14ac:dyDescent="0.4">
      <c r="P910" s="115"/>
      <c r="Q910" s="115"/>
      <c r="R910" s="115"/>
      <c r="S910" s="115"/>
      <c r="T910" s="115"/>
      <c r="U910" s="122"/>
      <c r="V910" s="122"/>
      <c r="W910" s="122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7"/>
      <c r="AM910" s="13"/>
    </row>
    <row r="911" spans="4:39" x14ac:dyDescent="0.4">
      <c r="N911" s="115"/>
      <c r="O911" s="115"/>
      <c r="P911" s="115"/>
      <c r="Q911" s="115"/>
      <c r="R911" s="115"/>
      <c r="S911" s="115"/>
      <c r="T911" s="115"/>
      <c r="U911" s="122"/>
      <c r="V911" s="122"/>
      <c r="W911" s="122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26"/>
      <c r="AM911" s="13"/>
    </row>
    <row r="912" spans="4:39" x14ac:dyDescent="0.4">
      <c r="N912" s="115"/>
      <c r="O912" s="115"/>
      <c r="P912" s="115"/>
      <c r="Q912" s="115"/>
      <c r="R912" s="115"/>
      <c r="S912" s="115"/>
      <c r="T912" s="115"/>
      <c r="U912" s="122"/>
      <c r="V912" s="122"/>
      <c r="W912" s="122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7"/>
      <c r="AM912" s="13"/>
    </row>
    <row r="913" spans="3:39" x14ac:dyDescent="0.4">
      <c r="AL913" s="26"/>
      <c r="AM913" s="13"/>
    </row>
    <row r="914" spans="3:39" x14ac:dyDescent="0.4">
      <c r="O914" s="115"/>
      <c r="P914" s="115"/>
      <c r="Q914" s="115"/>
      <c r="R914" s="115"/>
      <c r="S914" s="115"/>
      <c r="T914" s="115"/>
      <c r="U914" s="122"/>
      <c r="V914" s="122"/>
      <c r="W914" s="122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7"/>
      <c r="AM914" s="13"/>
    </row>
    <row r="915" spans="3:39" x14ac:dyDescent="0.4">
      <c r="AL915" s="26"/>
      <c r="AM915" s="13"/>
    </row>
    <row r="916" spans="3:39" x14ac:dyDescent="0.4">
      <c r="AL916" s="26"/>
      <c r="AM916" s="13"/>
    </row>
    <row r="917" spans="3:39" x14ac:dyDescent="0.4"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22"/>
      <c r="V917" s="122"/>
      <c r="W917" s="122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26"/>
      <c r="AM917" s="13"/>
    </row>
    <row r="918" spans="3:39" x14ac:dyDescent="0.4"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22"/>
      <c r="V918" s="122"/>
      <c r="W918" s="122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26"/>
      <c r="AM918" s="13"/>
    </row>
    <row r="919" spans="3:39" x14ac:dyDescent="0.4">
      <c r="AL919" s="26"/>
      <c r="AM919" s="13"/>
    </row>
    <row r="920" spans="3:39" x14ac:dyDescent="0.4">
      <c r="AL920" s="26"/>
      <c r="AM920" s="13"/>
    </row>
    <row r="921" spans="3:39" x14ac:dyDescent="0.4"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22"/>
      <c r="V921" s="122"/>
      <c r="W921" s="122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26"/>
      <c r="AM921" s="13"/>
    </row>
    <row r="922" spans="3:39" x14ac:dyDescent="0.4">
      <c r="AL922" s="26"/>
      <c r="AM922" s="105"/>
    </row>
    <row r="923" spans="3:39" x14ac:dyDescent="0.4"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22"/>
      <c r="V923" s="122"/>
      <c r="W923" s="122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26"/>
      <c r="AM923" s="15"/>
    </row>
    <row r="924" spans="3:39" x14ac:dyDescent="0.4"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22"/>
      <c r="V924" s="122"/>
      <c r="W924" s="122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7"/>
      <c r="AM924" s="15"/>
    </row>
    <row r="925" spans="3:39" x14ac:dyDescent="0.4">
      <c r="AL925" s="26"/>
      <c r="AM925" s="15"/>
    </row>
    <row r="926" spans="3:39" x14ac:dyDescent="0.4"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22"/>
      <c r="V926" s="122"/>
      <c r="W926" s="122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26"/>
      <c r="AM926" s="15"/>
    </row>
    <row r="927" spans="3:39" x14ac:dyDescent="0.4"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22"/>
      <c r="V927" s="122"/>
      <c r="W927" s="122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26"/>
      <c r="AM927" s="15"/>
    </row>
    <row r="928" spans="3:39" x14ac:dyDescent="0.4"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22"/>
      <c r="V928" s="122"/>
      <c r="W928" s="122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26"/>
      <c r="AM928" s="13"/>
    </row>
    <row r="929" spans="2:39" x14ac:dyDescent="0.4">
      <c r="AL929" s="26"/>
      <c r="AM929" s="15"/>
    </row>
    <row r="930" spans="2:39" x14ac:dyDescent="0.4"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22"/>
      <c r="V930" s="122"/>
      <c r="W930" s="122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26"/>
      <c r="AM930" s="15"/>
    </row>
    <row r="931" spans="2:39" x14ac:dyDescent="0.4"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22"/>
      <c r="V931" s="122"/>
      <c r="W931" s="122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26"/>
      <c r="AM931" s="15"/>
    </row>
    <row r="932" spans="2:39" x14ac:dyDescent="0.4"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22"/>
      <c r="V932" s="122"/>
      <c r="W932" s="122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26"/>
      <c r="AM932" s="15"/>
    </row>
    <row r="933" spans="2:39" x14ac:dyDescent="0.4"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22"/>
      <c r="V933" s="122"/>
      <c r="W933" s="122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26"/>
      <c r="AM933" s="15"/>
    </row>
    <row r="934" spans="2:39" x14ac:dyDescent="0.4"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22"/>
      <c r="V934" s="122"/>
      <c r="W934" s="122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26"/>
      <c r="AM934" s="15"/>
    </row>
    <row r="935" spans="2:39" x14ac:dyDescent="0.4"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22"/>
      <c r="V935" s="122"/>
      <c r="W935" s="122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26"/>
      <c r="AM935" s="15"/>
    </row>
    <row r="936" spans="2:39" ht="19.5" customHeight="1" x14ac:dyDescent="0.4"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22"/>
      <c r="V936" s="122"/>
      <c r="W936" s="122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26"/>
      <c r="AM936" s="15"/>
    </row>
    <row r="937" spans="2:39" ht="19.5" customHeight="1" x14ac:dyDescent="0.4"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22"/>
      <c r="V937" s="122"/>
      <c r="W937" s="122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26"/>
      <c r="AM937" s="15"/>
    </row>
    <row r="938" spans="2:39" x14ac:dyDescent="0.4">
      <c r="AL938" s="26"/>
      <c r="AM938" s="15"/>
    </row>
    <row r="939" spans="2:39" x14ac:dyDescent="0.4"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22"/>
      <c r="V939" s="122"/>
      <c r="W939" s="122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26"/>
      <c r="AM939" s="15"/>
    </row>
    <row r="940" spans="2:39" x14ac:dyDescent="0.4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22"/>
      <c r="V940" s="122"/>
      <c r="W940" s="122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26"/>
      <c r="AM940" s="15"/>
    </row>
    <row r="941" spans="2:39" x14ac:dyDescent="0.4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22"/>
      <c r="V941" s="122"/>
      <c r="W941" s="122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7"/>
      <c r="AM941" s="15"/>
    </row>
    <row r="942" spans="2:39" x14ac:dyDescent="0.4">
      <c r="AL942" s="26"/>
      <c r="AM942" s="15"/>
    </row>
    <row r="943" spans="2:39" x14ac:dyDescent="0.4">
      <c r="O943" s="115"/>
      <c r="P943" s="115"/>
      <c r="Q943" s="115"/>
      <c r="R943" s="115"/>
      <c r="S943" s="115"/>
      <c r="T943" s="115"/>
      <c r="U943" s="122"/>
      <c r="V943" s="122"/>
      <c r="W943" s="122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7"/>
      <c r="AM943" s="15"/>
    </row>
    <row r="944" spans="2:39" x14ac:dyDescent="0.4"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22"/>
      <c r="V944" s="122"/>
      <c r="W944" s="122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26"/>
      <c r="AM944" s="15"/>
    </row>
    <row r="945" spans="1:39" x14ac:dyDescent="0.4">
      <c r="AL945" s="26"/>
      <c r="AM945" s="15"/>
    </row>
    <row r="946" spans="1:39" x14ac:dyDescent="0.4">
      <c r="AL946" s="26"/>
      <c r="AM946" s="15"/>
    </row>
    <row r="947" spans="1:39" x14ac:dyDescent="0.4">
      <c r="N947" s="115"/>
      <c r="O947" s="115"/>
      <c r="P947" s="115"/>
      <c r="Q947" s="115"/>
      <c r="R947" s="115"/>
      <c r="S947" s="115"/>
      <c r="T947" s="115"/>
      <c r="U947" s="122"/>
      <c r="V947" s="122"/>
      <c r="W947" s="122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26"/>
      <c r="AM947" s="15"/>
    </row>
    <row r="948" spans="1:39" x14ac:dyDescent="0.4">
      <c r="AL948" s="26"/>
      <c r="AM948" s="15"/>
    </row>
    <row r="949" spans="1:39" x14ac:dyDescent="0.4">
      <c r="O949" s="115"/>
      <c r="P949" s="115"/>
      <c r="Q949" s="115"/>
      <c r="R949" s="115"/>
      <c r="S949" s="115"/>
      <c r="T949" s="115"/>
      <c r="U949" s="122"/>
      <c r="V949" s="122"/>
      <c r="W949" s="122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7"/>
      <c r="AM949" s="15"/>
    </row>
    <row r="950" spans="1:39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22"/>
      <c r="V950" s="122"/>
      <c r="W950" s="122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26"/>
      <c r="AM950" s="15"/>
    </row>
    <row r="951" spans="1:39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22"/>
      <c r="V951" s="122"/>
      <c r="W951" s="122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7"/>
      <c r="AM951" s="13"/>
    </row>
    <row r="952" spans="1:39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22"/>
      <c r="V952" s="122"/>
      <c r="W952" s="122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7"/>
      <c r="AM952" s="13"/>
    </row>
    <row r="953" spans="1:39" x14ac:dyDescent="0.4">
      <c r="AL953" s="26"/>
      <c r="AM953" s="13"/>
    </row>
    <row r="954" spans="1:39" x14ac:dyDescent="0.4"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22"/>
      <c r="V954" s="122"/>
      <c r="W954" s="122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26"/>
      <c r="AM954" s="15"/>
    </row>
    <row r="955" spans="1:39" x14ac:dyDescent="0.4"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22"/>
      <c r="V955" s="122"/>
      <c r="W955" s="122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26"/>
      <c r="AM955" s="15"/>
    </row>
    <row r="956" spans="1:39" x14ac:dyDescent="0.4">
      <c r="AL956" s="26"/>
      <c r="AM956" s="15"/>
    </row>
    <row r="957" spans="1:39" x14ac:dyDescent="0.4"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22"/>
      <c r="V957" s="122"/>
      <c r="W957" s="122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26"/>
      <c r="AM957" s="15"/>
    </row>
    <row r="958" spans="1:39" x14ac:dyDescent="0.4"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22"/>
      <c r="V958" s="122"/>
      <c r="W958" s="122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26"/>
      <c r="AM958" s="15"/>
    </row>
    <row r="959" spans="1:39" x14ac:dyDescent="0.4"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22"/>
      <c r="V959" s="122"/>
      <c r="W959" s="122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26"/>
      <c r="AM959" s="15"/>
    </row>
    <row r="960" spans="1:39" x14ac:dyDescent="0.4"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22"/>
      <c r="V960" s="122"/>
      <c r="W960" s="122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26"/>
      <c r="AM960" s="15"/>
    </row>
    <row r="961" spans="1:39" x14ac:dyDescent="0.4">
      <c r="AL961" s="26"/>
      <c r="AM961" s="15"/>
    </row>
    <row r="962" spans="1:39" x14ac:dyDescent="0.4"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22"/>
      <c r="V962" s="122"/>
      <c r="W962" s="122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26"/>
      <c r="AM962" s="15"/>
    </row>
    <row r="963" spans="1:39" x14ac:dyDescent="0.4">
      <c r="AL963" s="26"/>
      <c r="AM963" s="15"/>
    </row>
    <row r="964" spans="1:39" x14ac:dyDescent="0.4"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22"/>
      <c r="V964" s="122"/>
      <c r="W964" s="122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26"/>
      <c r="AM964" s="15"/>
    </row>
    <row r="965" spans="1:39" x14ac:dyDescent="0.4"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22"/>
      <c r="V965" s="122"/>
      <c r="W965" s="122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26"/>
      <c r="AM965" s="15"/>
    </row>
    <row r="966" spans="1:39" x14ac:dyDescent="0.4"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22"/>
      <c r="V966" s="122"/>
      <c r="W966" s="122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7"/>
      <c r="AM966" s="15"/>
    </row>
    <row r="967" spans="1:39" x14ac:dyDescent="0.4">
      <c r="AL967" s="26"/>
      <c r="AM967" s="15"/>
    </row>
    <row r="968" spans="1:39" x14ac:dyDescent="0.4">
      <c r="AL968" s="26"/>
      <c r="AM968" s="15"/>
    </row>
    <row r="969" spans="1:39" x14ac:dyDescent="0.4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22"/>
      <c r="V969" s="122"/>
      <c r="W969" s="122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26"/>
      <c r="AM969" s="15"/>
    </row>
    <row r="970" spans="1:39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22"/>
      <c r="V970" s="122"/>
      <c r="W970" s="122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7"/>
      <c r="AM970" s="15"/>
    </row>
    <row r="971" spans="1:39" x14ac:dyDescent="0.4">
      <c r="AL971" s="26"/>
      <c r="AM971" s="15"/>
    </row>
    <row r="972" spans="1:39" ht="17.25" customHeight="1" x14ac:dyDescent="0.4"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22"/>
      <c r="V972" s="122"/>
      <c r="W972" s="122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26"/>
      <c r="AM972" s="15"/>
    </row>
    <row r="973" spans="1:39" x14ac:dyDescent="0.4">
      <c r="AL973" s="26"/>
      <c r="AM973" s="15"/>
    </row>
    <row r="974" spans="1:39" x14ac:dyDescent="0.4">
      <c r="N974" s="115"/>
      <c r="O974" s="115"/>
      <c r="P974" s="115"/>
      <c r="Q974" s="115"/>
      <c r="R974" s="115"/>
      <c r="S974" s="115"/>
      <c r="T974" s="115"/>
      <c r="U974" s="122"/>
      <c r="V974" s="122"/>
      <c r="W974" s="122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7"/>
      <c r="AM974" s="15"/>
    </row>
    <row r="975" spans="1:39" ht="16.5" customHeight="1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22"/>
      <c r="V975" s="122"/>
      <c r="W975" s="122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26"/>
      <c r="AM975" s="15"/>
    </row>
    <row r="976" spans="1:39" ht="22.5" customHeight="1" x14ac:dyDescent="0.4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22"/>
      <c r="V976" s="122"/>
      <c r="W976" s="122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26"/>
      <c r="AM976" s="15"/>
    </row>
    <row r="977" spans="1:39" x14ac:dyDescent="0.4">
      <c r="AL977" s="26"/>
      <c r="AM977" s="15"/>
    </row>
    <row r="978" spans="1:39" x14ac:dyDescent="0.4">
      <c r="AL978" s="26"/>
      <c r="AM978" s="105"/>
    </row>
    <row r="979" spans="1:39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22"/>
      <c r="V979" s="122"/>
      <c r="W979" s="122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26"/>
      <c r="AM979" s="15"/>
    </row>
    <row r="980" spans="1:39" x14ac:dyDescent="0.4">
      <c r="AL980" s="26"/>
      <c r="AM980" s="15"/>
    </row>
    <row r="981" spans="1:39" x14ac:dyDescent="0.4">
      <c r="AL981" s="26"/>
      <c r="AM981" s="15"/>
    </row>
    <row r="982" spans="1:39" x14ac:dyDescent="0.4">
      <c r="AL982" s="26"/>
      <c r="AM982" s="15"/>
    </row>
    <row r="983" spans="1:39" x14ac:dyDescent="0.4">
      <c r="AL983" s="26"/>
      <c r="AM983" s="15"/>
    </row>
    <row r="984" spans="1:39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22"/>
      <c r="V984" s="122"/>
      <c r="W984" s="122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26"/>
      <c r="AM984" s="15"/>
    </row>
    <row r="985" spans="1:39" x14ac:dyDescent="0.4">
      <c r="AL985" s="26"/>
      <c r="AM985" s="15"/>
    </row>
    <row r="986" spans="1:39" x14ac:dyDescent="0.4">
      <c r="AL986" s="26"/>
      <c r="AM986" s="15"/>
    </row>
    <row r="987" spans="1:39" x14ac:dyDescent="0.4">
      <c r="AL987" s="26"/>
      <c r="AM987" s="15"/>
    </row>
    <row r="988" spans="1:39" x14ac:dyDescent="0.4">
      <c r="AL988" s="26"/>
      <c r="AM988" s="15"/>
    </row>
    <row r="989" spans="1:39" ht="18.75" customHeight="1" x14ac:dyDescent="0.4"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22"/>
      <c r="V989" s="122"/>
      <c r="W989" s="122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26"/>
      <c r="AM989" s="15"/>
    </row>
    <row r="990" spans="1:39" x14ac:dyDescent="0.4">
      <c r="AL990" s="26"/>
      <c r="AM990" s="15"/>
    </row>
    <row r="991" spans="1:39" x14ac:dyDescent="0.4">
      <c r="AL991" s="26"/>
      <c r="AM991" s="15"/>
    </row>
    <row r="992" spans="1:39" x14ac:dyDescent="0.4"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22"/>
      <c r="V992" s="122"/>
      <c r="W992" s="122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26"/>
      <c r="AM992" s="15"/>
    </row>
    <row r="993" spans="1:39" x14ac:dyDescent="0.4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22"/>
      <c r="V993" s="122"/>
      <c r="W993" s="122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26"/>
      <c r="AM993" s="15"/>
    </row>
    <row r="994" spans="1:39" x14ac:dyDescent="0.4">
      <c r="AL994" s="26"/>
      <c r="AM994" s="15"/>
    </row>
    <row r="995" spans="1:39" x14ac:dyDescent="0.4">
      <c r="N995" s="115"/>
      <c r="O995" s="115"/>
      <c r="P995" s="115"/>
      <c r="Q995" s="115"/>
      <c r="R995" s="115"/>
      <c r="S995" s="115"/>
      <c r="T995" s="115"/>
      <c r="U995" s="122"/>
      <c r="V995" s="122"/>
      <c r="W995" s="122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7"/>
      <c r="AM995" s="15"/>
    </row>
    <row r="996" spans="1:39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22"/>
      <c r="V996" s="122"/>
      <c r="W996" s="122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26"/>
      <c r="AM996" s="15"/>
    </row>
    <row r="997" spans="1:39" x14ac:dyDescent="0.4">
      <c r="AL997" s="26"/>
      <c r="AM997" s="15"/>
    </row>
    <row r="998" spans="1:39" x14ac:dyDescent="0.4">
      <c r="N998" s="115"/>
      <c r="O998" s="115"/>
      <c r="P998" s="115"/>
      <c r="Q998" s="115"/>
      <c r="R998" s="115"/>
      <c r="S998" s="115"/>
      <c r="T998" s="115"/>
      <c r="U998" s="122"/>
      <c r="V998" s="122"/>
      <c r="W998" s="122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7"/>
      <c r="AM998" s="15"/>
    </row>
    <row r="999" spans="1:39" x14ac:dyDescent="0.4">
      <c r="AL999" s="26"/>
      <c r="AM999" s="15"/>
    </row>
    <row r="1000" spans="1:39" x14ac:dyDescent="0.4"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22"/>
      <c r="V1000" s="122"/>
      <c r="W1000" s="122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26"/>
      <c r="AM1000" s="15"/>
    </row>
    <row r="1001" spans="1:39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22"/>
      <c r="V1001" s="122"/>
      <c r="W1001" s="122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26"/>
      <c r="AM1001" s="15"/>
    </row>
    <row r="1002" spans="1:39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22"/>
      <c r="V1002" s="122"/>
      <c r="W1002" s="122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26"/>
      <c r="AM1002" s="15"/>
    </row>
    <row r="1003" spans="1:39" x14ac:dyDescent="0.4">
      <c r="AL1003" s="26"/>
      <c r="AM1003" s="15"/>
    </row>
    <row r="1004" spans="1:39" x14ac:dyDescent="0.4"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22"/>
      <c r="V1004" s="122"/>
      <c r="W1004" s="122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26"/>
      <c r="AM1004" s="15"/>
    </row>
    <row r="1005" spans="1:39" x14ac:dyDescent="0.4">
      <c r="AL1005" s="26"/>
      <c r="AM1005" s="15"/>
    </row>
    <row r="1006" spans="1:39" x14ac:dyDescent="0.4"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22"/>
      <c r="V1006" s="122"/>
      <c r="W1006" s="122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26"/>
      <c r="AM1006" s="15"/>
    </row>
    <row r="1007" spans="1:39" x14ac:dyDescent="0.4">
      <c r="AL1007" s="26"/>
      <c r="AM1007" s="15"/>
    </row>
    <row r="1008" spans="1:39" x14ac:dyDescent="0.4">
      <c r="AL1008" s="26"/>
      <c r="AM1008" s="15"/>
    </row>
    <row r="1009" spans="1:39" x14ac:dyDescent="0.4">
      <c r="AL1009" s="26"/>
      <c r="AM1009" s="15"/>
    </row>
    <row r="1010" spans="1:39" x14ac:dyDescent="0.4">
      <c r="AL1010" s="26"/>
      <c r="AM1010" s="15"/>
    </row>
    <row r="1011" spans="1:39" x14ac:dyDescent="0.4">
      <c r="AL1011" s="26"/>
      <c r="AM1011" s="15"/>
    </row>
    <row r="1012" spans="1:39" x14ac:dyDescent="0.4">
      <c r="AL1012" s="26"/>
      <c r="AM1012" s="15"/>
    </row>
    <row r="1013" spans="1:39" x14ac:dyDescent="0.4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22"/>
      <c r="V1013" s="122"/>
      <c r="W1013" s="122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26"/>
      <c r="AM1013" s="15"/>
    </row>
    <row r="1014" spans="1:39" x14ac:dyDescent="0.4">
      <c r="AL1014" s="26"/>
      <c r="AM1014" s="15"/>
    </row>
    <row r="1015" spans="1:39" x14ac:dyDescent="0.4">
      <c r="AL1015" s="26"/>
      <c r="AM1015" s="15"/>
    </row>
    <row r="1016" spans="1:39" x14ac:dyDescent="0.4">
      <c r="AL1016" s="26"/>
      <c r="AM1016" s="15"/>
    </row>
    <row r="1017" spans="1:39" x14ac:dyDescent="0.4">
      <c r="AL1017" s="26"/>
      <c r="AM1017" s="15"/>
    </row>
    <row r="1018" spans="1:39" x14ac:dyDescent="0.4">
      <c r="AL1018" s="26"/>
      <c r="AM1018" s="15"/>
    </row>
    <row r="1019" spans="1:39" x14ac:dyDescent="0.4">
      <c r="N1019" s="115"/>
      <c r="O1019" s="115"/>
      <c r="P1019" s="115"/>
      <c r="Q1019" s="115"/>
      <c r="R1019" s="115"/>
      <c r="S1019" s="115"/>
      <c r="T1019" s="115"/>
      <c r="U1019" s="122"/>
      <c r="V1019" s="122"/>
      <c r="W1019" s="122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7"/>
      <c r="AM1019" s="15"/>
    </row>
    <row r="1020" spans="1:39" x14ac:dyDescent="0.4">
      <c r="N1020" s="115"/>
      <c r="O1020" s="115"/>
      <c r="P1020" s="115"/>
      <c r="Q1020" s="115"/>
      <c r="R1020" s="115"/>
      <c r="S1020" s="115"/>
      <c r="T1020" s="115"/>
      <c r="U1020" s="122"/>
      <c r="V1020" s="122"/>
      <c r="W1020" s="122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7"/>
      <c r="AM1020" s="15"/>
    </row>
    <row r="1021" spans="1:39" x14ac:dyDescent="0.4">
      <c r="AL1021" s="26"/>
      <c r="AM1021" s="15"/>
    </row>
    <row r="1022" spans="1:39" x14ac:dyDescent="0.4">
      <c r="AL1022" s="26"/>
      <c r="AM1022" s="15"/>
    </row>
    <row r="1023" spans="1:39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22"/>
      <c r="V1023" s="122"/>
      <c r="W1023" s="122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26"/>
      <c r="AM1023" s="15"/>
    </row>
    <row r="1024" spans="1:39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22"/>
      <c r="V1024" s="122"/>
      <c r="W1024" s="122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26"/>
      <c r="AM1024" s="13"/>
    </row>
    <row r="1025" spans="1:39" x14ac:dyDescent="0.4">
      <c r="AL1025" s="26"/>
      <c r="AM1025" s="15"/>
    </row>
    <row r="1026" spans="1:39" x14ac:dyDescent="0.4"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22"/>
      <c r="V1026" s="122"/>
      <c r="W1026" s="122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26"/>
      <c r="AM1026" s="15"/>
    </row>
    <row r="1027" spans="1:39" x14ac:dyDescent="0.4">
      <c r="AL1027" s="26"/>
      <c r="AM1027" s="15"/>
    </row>
    <row r="1028" spans="1:39" x14ac:dyDescent="0.4">
      <c r="AL1028" s="26"/>
      <c r="AM1028" s="15"/>
    </row>
    <row r="1029" spans="1:39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22"/>
      <c r="V1029" s="122"/>
      <c r="W1029" s="122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26"/>
      <c r="AM1029" s="15"/>
    </row>
    <row r="1030" spans="1:39" x14ac:dyDescent="0.4">
      <c r="AL1030" s="26"/>
      <c r="AM1030" s="13"/>
    </row>
    <row r="1031" spans="1:39" x14ac:dyDescent="0.4">
      <c r="AL1031" s="26"/>
      <c r="AM1031" s="13"/>
    </row>
    <row r="1032" spans="1:39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22"/>
      <c r="V1032" s="122"/>
      <c r="W1032" s="122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26"/>
      <c r="AM1032" s="13"/>
    </row>
    <row r="1033" spans="1:39" x14ac:dyDescent="0.4">
      <c r="AL1033" s="26"/>
      <c r="AM1033" s="13"/>
    </row>
    <row r="1034" spans="1:39" x14ac:dyDescent="0.4">
      <c r="AL1034" s="26"/>
      <c r="AM1034" s="13"/>
    </row>
    <row r="1035" spans="1:39" x14ac:dyDescent="0.4">
      <c r="AL1035" s="26"/>
      <c r="AM1035" s="13"/>
    </row>
    <row r="1036" spans="1:39" x14ac:dyDescent="0.4">
      <c r="AL1036" s="26"/>
      <c r="AM1036" s="13"/>
    </row>
    <row r="1037" spans="1:39" x14ac:dyDescent="0.4">
      <c r="AL1037" s="26"/>
      <c r="AM1037" s="13"/>
    </row>
    <row r="1038" spans="1:39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22"/>
      <c r="V1038" s="122"/>
      <c r="W1038" s="122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26"/>
      <c r="AM1038" s="25"/>
    </row>
    <row r="1039" spans="1:39" x14ac:dyDescent="0.4">
      <c r="AL1039" s="26"/>
      <c r="AM1039" s="13"/>
    </row>
    <row r="1040" spans="1:39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22"/>
      <c r="V1040" s="122"/>
      <c r="W1040" s="122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26"/>
      <c r="AM1040" s="13"/>
    </row>
    <row r="1041" spans="1:39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22"/>
      <c r="V1041" s="122"/>
      <c r="W1041" s="122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26"/>
      <c r="AM1041" s="13"/>
    </row>
    <row r="1042" spans="1:39" x14ac:dyDescent="0.4">
      <c r="AL1042" s="26"/>
      <c r="AM1042" s="15"/>
    </row>
    <row r="1043" spans="1:39" x14ac:dyDescent="0.4">
      <c r="AL1043" s="26"/>
      <c r="AM1043" s="15"/>
    </row>
    <row r="1044" spans="1:39" x14ac:dyDescent="0.4">
      <c r="AL1044" s="26"/>
      <c r="AM1044" s="15"/>
    </row>
    <row r="1045" spans="1:39" x14ac:dyDescent="0.4">
      <c r="AL1045" s="26"/>
      <c r="AM1045" s="13"/>
    </row>
    <row r="1046" spans="1:39" x14ac:dyDescent="0.4">
      <c r="AL1046" s="26"/>
      <c r="AM1046" s="15"/>
    </row>
    <row r="1047" spans="1:39" x14ac:dyDescent="0.4"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22"/>
      <c r="V1047" s="122"/>
      <c r="W1047" s="122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7"/>
      <c r="AM1047" s="15"/>
    </row>
    <row r="1048" spans="1:39" x14ac:dyDescent="0.4">
      <c r="AL1048" s="26"/>
      <c r="AM1048" s="15"/>
    </row>
    <row r="1049" spans="1:39" x14ac:dyDescent="0.4"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22"/>
      <c r="V1049" s="122"/>
      <c r="W1049" s="122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7"/>
      <c r="AM1049" s="15"/>
    </row>
    <row r="1050" spans="1:39" x14ac:dyDescent="0.4">
      <c r="AL1050" s="26"/>
      <c r="AM1050" s="15"/>
    </row>
    <row r="1051" spans="1:39" x14ac:dyDescent="0.4">
      <c r="AL1051" s="26"/>
      <c r="AM1051" s="15"/>
    </row>
    <row r="1052" spans="1:39" x14ac:dyDescent="0.4"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22"/>
      <c r="V1052" s="122"/>
      <c r="W1052" s="122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7"/>
      <c r="AM1052" s="15"/>
    </row>
    <row r="1053" spans="1:39" x14ac:dyDescent="0.4">
      <c r="AL1053" s="26"/>
      <c r="AM1053" s="15"/>
    </row>
    <row r="1054" spans="1:39" x14ac:dyDescent="0.4">
      <c r="AL1054" s="26"/>
      <c r="AM1054" s="15"/>
    </row>
    <row r="1055" spans="1:39" x14ac:dyDescent="0.4">
      <c r="AL1055" s="26"/>
      <c r="AM1055" s="105"/>
    </row>
    <row r="1056" spans="1:39" x14ac:dyDescent="0.4">
      <c r="AL1056" s="26"/>
      <c r="AM1056" s="15"/>
    </row>
    <row r="1057" spans="2:39" x14ac:dyDescent="0.4">
      <c r="AL1057" s="26"/>
      <c r="AM1057" s="15"/>
    </row>
    <row r="1058" spans="2:39" x14ac:dyDescent="0.4">
      <c r="AL1058" s="26"/>
      <c r="AM1058" s="15"/>
    </row>
    <row r="1059" spans="2:39" x14ac:dyDescent="0.4">
      <c r="AL1059" s="26"/>
      <c r="AM1059" s="15"/>
    </row>
    <row r="1060" spans="2:39" x14ac:dyDescent="0.4">
      <c r="AL1060" s="26"/>
      <c r="AM1060" s="15"/>
    </row>
    <row r="1061" spans="2:39" x14ac:dyDescent="0.4"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22"/>
      <c r="V1061" s="122"/>
      <c r="W1061" s="122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9"/>
      <c r="AM1061" s="119"/>
    </row>
    <row r="1062" spans="2:39" x14ac:dyDescent="0.4"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22"/>
      <c r="V1062" s="122"/>
      <c r="W1062" s="122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9"/>
      <c r="AM1062" s="119"/>
    </row>
  </sheetData>
  <sortState xmlns:xlrd2="http://schemas.microsoft.com/office/spreadsheetml/2017/richdata2" ref="N2:O138">
    <sortCondition ref="N2:N13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2024-11-21T06:08:15Z</cp:lastPrinted>
  <dcterms:created xsi:type="dcterms:W3CDTF">2020-05-08T06:29:04Z</dcterms:created>
  <dcterms:modified xsi:type="dcterms:W3CDTF">2024-11-22T00:28:04Z</dcterms:modified>
</cp:coreProperties>
</file>