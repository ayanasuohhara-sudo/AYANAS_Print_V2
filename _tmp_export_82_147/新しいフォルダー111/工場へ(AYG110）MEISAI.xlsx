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2BE68D16-F742-45D9-ABA8-DFD9C6C0F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3" i="3"/>
  <c r="C23" i="3"/>
  <c r="B23" i="3"/>
  <c r="S145" i="3"/>
  <c r="R145" i="3"/>
  <c r="S138" i="3"/>
  <c r="R138" i="3"/>
  <c r="S136" i="3"/>
  <c r="R136" i="3"/>
  <c r="S134" i="3"/>
  <c r="R134" i="3"/>
  <c r="S129" i="3"/>
  <c r="R129" i="3"/>
  <c r="S109" i="3"/>
  <c r="R109" i="3"/>
  <c r="S103" i="3"/>
  <c r="R103" i="3"/>
  <c r="S91" i="3"/>
  <c r="R91" i="3"/>
  <c r="S87" i="3"/>
  <c r="R87" i="3"/>
  <c r="S73" i="3"/>
  <c r="R73" i="3"/>
  <c r="S59" i="3"/>
  <c r="R59" i="3"/>
  <c r="S51" i="3"/>
  <c r="R51" i="3"/>
  <c r="S48" i="3"/>
  <c r="R48" i="3"/>
  <c r="S44" i="3"/>
  <c r="R44" i="3"/>
  <c r="S22" i="3"/>
  <c r="R22" i="3"/>
  <c r="S17" i="3"/>
  <c r="R17" i="3"/>
  <c r="S10" i="3"/>
  <c r="R10" i="3"/>
  <c r="S7" i="3"/>
  <c r="R7" i="3"/>
  <c r="S5" i="3"/>
  <c r="R5" i="3"/>
  <c r="S3" i="3"/>
  <c r="S146" i="3" s="1"/>
  <c r="R3" i="3"/>
  <c r="R146" i="3" s="1"/>
  <c r="A241" i="1"/>
  <c r="AD525" i="3"/>
  <c r="AB525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B807" i="3"/>
  <c r="BA807" i="3"/>
  <c r="BB802" i="3"/>
  <c r="BA802" i="3"/>
  <c r="BB800" i="3"/>
  <c r="BA800" i="3"/>
  <c r="BB786" i="3"/>
  <c r="BA786" i="3"/>
  <c r="BB768" i="3"/>
  <c r="BA768" i="3"/>
  <c r="BB757" i="3"/>
  <c r="BA757" i="3"/>
  <c r="BB723" i="3"/>
  <c r="BA723" i="3"/>
  <c r="BB710" i="3"/>
  <c r="BA710" i="3"/>
  <c r="BB672" i="3"/>
  <c r="BA672" i="3"/>
  <c r="BB663" i="3"/>
  <c r="BA663" i="3"/>
  <c r="BB649" i="3"/>
  <c r="BA649" i="3"/>
  <c r="BB616" i="3"/>
  <c r="BA616" i="3"/>
  <c r="BB563" i="3"/>
  <c r="BA563" i="3"/>
  <c r="BB551" i="3"/>
  <c r="BA551" i="3"/>
  <c r="BB528" i="3"/>
  <c r="BA528" i="3"/>
  <c r="BB513" i="3"/>
  <c r="BA513" i="3"/>
  <c r="BB489" i="3"/>
  <c r="BA489" i="3"/>
  <c r="BB471" i="3"/>
  <c r="BA471" i="3"/>
  <c r="BB451" i="3"/>
  <c r="BA451" i="3"/>
  <c r="BB437" i="3"/>
  <c r="BA437" i="3"/>
  <c r="BB428" i="3"/>
  <c r="BA428" i="3"/>
  <c r="BB354" i="3"/>
  <c r="BA354" i="3"/>
  <c r="B61" i="1"/>
  <c r="A151" i="1"/>
  <c r="AB43" i="1"/>
  <c r="BA808" i="3" l="1"/>
  <c r="BB808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<sst xmlns="http://schemas.openxmlformats.org/spreadsheetml/2006/main" count="2514" uniqueCount="353">
  <si>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</si>
  <si>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</si>
  <si>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</si>
  <si>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</si>
  <si>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</si>
  <si>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</si>
  <si>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</si>
  <si>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</si>
  <si>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</si>
  <si>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</si>
  <si>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</si>
  <si>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</si>
  <si>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</si>
  <si>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</si>
  <si>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</si>
  <si>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</si>
  <si>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</si>
  <si>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</si>
  <si>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</si>
  <si>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</si>
  <si>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</si>
  <si>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</si>
  <si>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</si>
  <si>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</si>
  <si>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</si>
  <si>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</si>
  <si>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</si>
  <si>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</si>
  <si>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</si>
  <si>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</si>
  <si>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</si>
  <si>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</si>
  <si>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</si>
  <si>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</si>
  <si>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</si>
  <si>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</si>
  <si>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</si>
  <si>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</si>
  <si>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</si>
  <si>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</si>
  <si>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</si>
  <si>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</si>
  <si>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</si>
  <si>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</si>
  <si>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</si>
  <si>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</si>
  <si>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</si>
  <si>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</si>
  <si>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</si>
  <si>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</si>
  <si>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</si>
  <si>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</si>
  <si>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</si>
  <si>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</si>
  <si>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</si>
  <si>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</si>
  <si>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</si>
  <si>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</si>
  <si>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</si>
  <si>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</si>
  <si>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</si>
  <si>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</si>
  <si>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</si>
  <si>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</si>
  <si>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</si>
  <si>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</si>
  <si>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</si>
  <si>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</si>
  <si>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</si>
  <si>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</si>
  <si>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</si>
  <si>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</si>
  <si>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</si>
  <si>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</si>
  <si>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</si>
  <si>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</si>
  <si>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</si>
  <si>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</si>
  <si>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</si>
  <si>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</si>
  <si>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</si>
  <si>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</si>
  <si>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</si>
  <si>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</si>
  <si>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</si>
  <si>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</si>
  <si>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</si>
  <si>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</si>
  <si>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</si>
  <si>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</si>
  <si>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</si>
  <si>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</si>
  <si>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</si>
  <si>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</si>
  <si>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</si>
  <si>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</si>
  <si>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</si>
  <si>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</si>
  <si>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</si>
  <si>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</si>
  <si>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</si>
  <si>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</si>
  <si>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</si>
  <si>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</si>
  <si>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</si>
  <si>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</si>
  <si>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</si>
  <si>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</si>
  <si>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</si>
  <si>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</si>
  <si>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</si>
  <si>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</si>
  <si>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</si>
  <si>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</si>
  <si>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</si>
  <si>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</si>
  <si>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</si>
  <si>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</si>
  <si>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</si>
  <si>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</si>
  <si>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</si>
  <si>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</si>
  <si>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</si>
  <si>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</si>
  <si>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</si>
  <si>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</si>
  <si>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</si>
  <si>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</si>
  <si>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</si>
  <si>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</si>
  <si>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</si>
  <si>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</si>
  <si>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</si>
  <si>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</si>
  <si>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</si>
  <si>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</si>
  <si>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</si>
  <si>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</si>
  <si>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</si>
  <si>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</si>
  <si>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</si>
  <si>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</si>
  <si>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</si>
  <si>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</si>
  <si>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</si>
  <si>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</si>
  <si>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</si>
  <si>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</si>
  <si>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</si>
  <si>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</si>
  <si>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</si>
  <si>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</si>
  <si>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</si>
  <si>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</si>
  <si>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</si>
  <si>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</si>
  <si>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</si>
  <si>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</si>
  <si>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</si>
  <si>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</si>
  <si>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</si>
  <si>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</si>
  <si>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</si>
  <si>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</si>
  <si>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</si>
  <si>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</si>
  <si>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</si>
  <si>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</si>
  <si>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</si>
  <si>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</si>
  <si>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</si>
  <si>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</si>
  <si>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</si>
  <si>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</si>
  <si>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</si>
  <si>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</si>
  <si>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</si>
  <si>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</si>
  <si>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2025/6/28 個数</t>
  </si>
  <si>
    <t>AYG108</t>
    <phoneticPr fontId="1"/>
  </si>
  <si>
    <t>M032</t>
    <phoneticPr fontId="1"/>
  </si>
  <si>
    <t>S</t>
    <phoneticPr fontId="1"/>
  </si>
  <si>
    <t>M070</t>
    <phoneticPr fontId="1"/>
  </si>
  <si>
    <t>A700</t>
    <phoneticPr fontId="1"/>
  </si>
  <si>
    <t>P</t>
    <phoneticPr fontId="1"/>
  </si>
  <si>
    <t>C</t>
    <phoneticPr fontId="1"/>
  </si>
  <si>
    <t>A732</t>
    <phoneticPr fontId="1"/>
  </si>
  <si>
    <t>A997</t>
    <phoneticPr fontId="1"/>
  </si>
  <si>
    <t>E</t>
    <phoneticPr fontId="1"/>
  </si>
  <si>
    <t>M025</t>
    <phoneticPr fontId="1"/>
  </si>
  <si>
    <t>A913</t>
    <phoneticPr fontId="1"/>
  </si>
  <si>
    <t>M074</t>
    <phoneticPr fontId="1"/>
  </si>
  <si>
    <t>A640</t>
    <phoneticPr fontId="1"/>
  </si>
  <si>
    <t>M078</t>
    <phoneticPr fontId="1"/>
  </si>
  <si>
    <t>A335</t>
    <phoneticPr fontId="1"/>
  </si>
  <si>
    <t>A545</t>
    <phoneticPr fontId="1"/>
  </si>
  <si>
    <t>A550</t>
    <phoneticPr fontId="1"/>
  </si>
  <si>
    <t>A318</t>
    <phoneticPr fontId="1"/>
  </si>
  <si>
    <t>2025/6/14 個数</t>
  </si>
  <si>
    <t>2025/6/15 個数</t>
  </si>
  <si>
    <t>2025/6/20 個数</t>
  </si>
  <si>
    <t>2025/6/22 個数</t>
  </si>
  <si>
    <t>2025/6/26 個数</t>
  </si>
  <si>
    <t>A850</t>
    <phoneticPr fontId="1"/>
  </si>
  <si>
    <t>2025/6/25 個数</t>
  </si>
  <si>
    <t>2025/6/30 個数</t>
  </si>
  <si>
    <t>2025/7/2 個数</t>
  </si>
  <si>
    <t>2025/7/5 個数</t>
  </si>
  <si>
    <t>2025/7/8 個数</t>
  </si>
  <si>
    <t>2025/7/27 個数</t>
  </si>
  <si>
    <t>AYG110</t>
    <phoneticPr fontId="1"/>
  </si>
  <si>
    <t>07050101</t>
    <phoneticPr fontId="1"/>
  </si>
  <si>
    <t>07050294</t>
    <phoneticPr fontId="1"/>
  </si>
  <si>
    <t>07050297</t>
    <phoneticPr fontId="1"/>
  </si>
  <si>
    <t>07050298</t>
    <phoneticPr fontId="1"/>
  </si>
  <si>
    <t>07050304</t>
    <phoneticPr fontId="1"/>
  </si>
  <si>
    <t>A755</t>
    <phoneticPr fontId="1"/>
  </si>
  <si>
    <t>07050305</t>
    <phoneticPr fontId="1"/>
  </si>
  <si>
    <t>07050343</t>
    <phoneticPr fontId="1"/>
  </si>
  <si>
    <t>M037</t>
    <phoneticPr fontId="1"/>
  </si>
  <si>
    <t>07050350</t>
    <phoneticPr fontId="1"/>
  </si>
  <si>
    <t>07050351</t>
    <phoneticPr fontId="1"/>
  </si>
  <si>
    <t>07050357</t>
    <phoneticPr fontId="1"/>
  </si>
  <si>
    <t>07050363</t>
    <phoneticPr fontId="1"/>
  </si>
  <si>
    <t>07040374</t>
    <phoneticPr fontId="1"/>
  </si>
  <si>
    <t>07050375</t>
    <phoneticPr fontId="1"/>
  </si>
  <si>
    <t>07050376</t>
    <phoneticPr fontId="1"/>
  </si>
  <si>
    <t>07050377</t>
    <phoneticPr fontId="1"/>
  </si>
  <si>
    <t>07050386</t>
    <phoneticPr fontId="1"/>
  </si>
  <si>
    <t>07050349</t>
    <phoneticPr fontId="1"/>
  </si>
  <si>
    <t>A505</t>
    <phoneticPr fontId="1"/>
  </si>
  <si>
    <t>07050382</t>
    <phoneticPr fontId="1"/>
  </si>
  <si>
    <t>07050387</t>
    <phoneticPr fontId="1"/>
  </si>
  <si>
    <t>07050388</t>
    <phoneticPr fontId="1"/>
  </si>
  <si>
    <t>07050440</t>
    <phoneticPr fontId="1"/>
  </si>
  <si>
    <t>A529</t>
    <phoneticPr fontId="1"/>
  </si>
  <si>
    <t>07050448</t>
    <phoneticPr fontId="1"/>
  </si>
  <si>
    <t>07050449</t>
    <phoneticPr fontId="1"/>
  </si>
  <si>
    <t>07050450</t>
    <phoneticPr fontId="1"/>
  </si>
  <si>
    <t>07050451</t>
    <phoneticPr fontId="1"/>
  </si>
  <si>
    <t>07050452</t>
    <phoneticPr fontId="1"/>
  </si>
  <si>
    <t>07050453</t>
    <phoneticPr fontId="1"/>
  </si>
  <si>
    <t>07050454</t>
    <phoneticPr fontId="1"/>
  </si>
  <si>
    <t>07050455</t>
    <phoneticPr fontId="1"/>
  </si>
  <si>
    <t>07050457</t>
    <phoneticPr fontId="1"/>
  </si>
  <si>
    <t>07050468</t>
    <phoneticPr fontId="1"/>
  </si>
  <si>
    <t>A120</t>
    <phoneticPr fontId="1"/>
  </si>
  <si>
    <t>A156</t>
    <phoneticPr fontId="1"/>
  </si>
  <si>
    <t>07050471</t>
    <phoneticPr fontId="1"/>
  </si>
  <si>
    <t>07050472</t>
    <phoneticPr fontId="1"/>
  </si>
  <si>
    <t>07050473</t>
    <phoneticPr fontId="1"/>
  </si>
  <si>
    <t>07050474</t>
    <phoneticPr fontId="1"/>
  </si>
  <si>
    <t>07050475</t>
    <phoneticPr fontId="1"/>
  </si>
  <si>
    <t>07050476</t>
    <phoneticPr fontId="1"/>
  </si>
  <si>
    <t>A123</t>
    <phoneticPr fontId="1"/>
  </si>
  <si>
    <t>A602</t>
    <phoneticPr fontId="1"/>
  </si>
  <si>
    <t>07050477</t>
    <phoneticPr fontId="1"/>
  </si>
  <si>
    <t>07050478</t>
    <phoneticPr fontId="1"/>
  </si>
  <si>
    <t>07050481</t>
    <phoneticPr fontId="1"/>
  </si>
  <si>
    <t>07050482</t>
    <phoneticPr fontId="1"/>
  </si>
  <si>
    <t>07050483</t>
    <phoneticPr fontId="1"/>
  </si>
  <si>
    <t>07050484</t>
    <phoneticPr fontId="1"/>
  </si>
  <si>
    <t>07050485</t>
    <phoneticPr fontId="1"/>
  </si>
  <si>
    <t>07050486</t>
    <phoneticPr fontId="1"/>
  </si>
  <si>
    <t>07050364</t>
    <phoneticPr fontId="1"/>
  </si>
  <si>
    <t>07050365</t>
    <phoneticPr fontId="1"/>
  </si>
  <si>
    <t>07050383</t>
    <phoneticPr fontId="1"/>
  </si>
  <si>
    <t>07050384</t>
    <phoneticPr fontId="1"/>
  </si>
  <si>
    <t>07050385</t>
    <phoneticPr fontId="1"/>
  </si>
  <si>
    <t>07050393</t>
    <phoneticPr fontId="1"/>
  </si>
  <si>
    <t>07050394</t>
    <phoneticPr fontId="1"/>
  </si>
  <si>
    <t>07050402</t>
    <phoneticPr fontId="1"/>
  </si>
  <si>
    <t>07050404</t>
    <phoneticPr fontId="1"/>
  </si>
  <si>
    <t>07050405</t>
    <phoneticPr fontId="1"/>
  </si>
  <si>
    <t>07050447</t>
    <phoneticPr fontId="1"/>
  </si>
  <si>
    <t>07050487</t>
    <phoneticPr fontId="1"/>
  </si>
  <si>
    <t>07050488</t>
    <phoneticPr fontId="1"/>
  </si>
  <si>
    <t>07050489</t>
    <phoneticPr fontId="1"/>
  </si>
  <si>
    <t>07050493</t>
    <phoneticPr fontId="1"/>
  </si>
  <si>
    <t>07050494</t>
    <phoneticPr fontId="1"/>
  </si>
  <si>
    <t>07050497</t>
    <phoneticPr fontId="1"/>
  </si>
  <si>
    <t>07050504</t>
    <phoneticPr fontId="1"/>
  </si>
  <si>
    <t>07050505</t>
    <phoneticPr fontId="1"/>
  </si>
  <si>
    <t>07050506</t>
    <phoneticPr fontId="1"/>
  </si>
  <si>
    <t>07050495</t>
    <phoneticPr fontId="1"/>
  </si>
  <si>
    <t>07050496</t>
    <phoneticPr fontId="1"/>
  </si>
  <si>
    <t>07050498</t>
    <phoneticPr fontId="1"/>
  </si>
  <si>
    <t>07050499</t>
    <phoneticPr fontId="1"/>
  </si>
  <si>
    <t>07050500</t>
    <phoneticPr fontId="1"/>
  </si>
  <si>
    <t>07050501</t>
    <phoneticPr fontId="1"/>
  </si>
  <si>
    <t>07050502</t>
    <phoneticPr fontId="1"/>
  </si>
  <si>
    <t>07050503</t>
    <phoneticPr fontId="1"/>
  </si>
  <si>
    <t>07060003</t>
    <phoneticPr fontId="1"/>
  </si>
  <si>
    <t>07060004</t>
    <phoneticPr fontId="1"/>
  </si>
  <si>
    <t>07060005</t>
    <phoneticPr fontId="1"/>
  </si>
  <si>
    <t>07060033</t>
    <phoneticPr fontId="1"/>
  </si>
  <si>
    <t>A623</t>
    <phoneticPr fontId="1"/>
  </si>
  <si>
    <t>07060034</t>
    <phoneticPr fontId="1"/>
  </si>
  <si>
    <t>07050062</t>
    <phoneticPr fontId="1"/>
  </si>
  <si>
    <t>07050063</t>
    <phoneticPr fontId="1"/>
  </si>
  <si>
    <t>07060006</t>
    <phoneticPr fontId="1"/>
  </si>
  <si>
    <t>07060007</t>
    <phoneticPr fontId="1"/>
  </si>
  <si>
    <t>07060010</t>
    <phoneticPr fontId="1"/>
  </si>
  <si>
    <t>07060011</t>
    <phoneticPr fontId="1"/>
  </si>
  <si>
    <t>07060012</t>
    <phoneticPr fontId="1"/>
  </si>
  <si>
    <t>A622</t>
    <phoneticPr fontId="1"/>
  </si>
  <si>
    <t>07060027</t>
    <phoneticPr fontId="1"/>
  </si>
  <si>
    <t>07060028</t>
    <phoneticPr fontId="1"/>
  </si>
  <si>
    <t>07060029</t>
    <phoneticPr fontId="1"/>
  </si>
  <si>
    <t>07060030</t>
    <phoneticPr fontId="1"/>
  </si>
  <si>
    <t>07060031</t>
    <phoneticPr fontId="1"/>
  </si>
  <si>
    <t>07060032</t>
    <phoneticPr fontId="1"/>
  </si>
  <si>
    <t>07060035</t>
    <phoneticPr fontId="1"/>
  </si>
  <si>
    <t>07060036</t>
    <phoneticPr fontId="1"/>
  </si>
  <si>
    <t>07060037</t>
    <phoneticPr fontId="1"/>
  </si>
  <si>
    <t>07060038</t>
    <phoneticPr fontId="1"/>
  </si>
  <si>
    <t>07050003</t>
    <phoneticPr fontId="1"/>
  </si>
  <si>
    <t>07050004</t>
    <phoneticPr fontId="1"/>
  </si>
  <si>
    <t>07050051</t>
    <phoneticPr fontId="1"/>
  </si>
  <si>
    <t>07050095</t>
    <phoneticPr fontId="1"/>
  </si>
  <si>
    <t>07060014</t>
    <phoneticPr fontId="1"/>
  </si>
  <si>
    <t>07060016</t>
    <phoneticPr fontId="1"/>
  </si>
  <si>
    <t>07060017</t>
    <phoneticPr fontId="1"/>
  </si>
  <si>
    <t>07060018</t>
    <phoneticPr fontId="1"/>
  </si>
  <si>
    <t>07060019</t>
    <phoneticPr fontId="1"/>
  </si>
  <si>
    <t>07060020</t>
    <phoneticPr fontId="1"/>
  </si>
  <si>
    <t>07060021</t>
    <phoneticPr fontId="1"/>
  </si>
  <si>
    <t>07060022</t>
    <phoneticPr fontId="1"/>
  </si>
  <si>
    <t>07060023</t>
    <phoneticPr fontId="1"/>
  </si>
  <si>
    <t>07060024</t>
    <phoneticPr fontId="1"/>
  </si>
  <si>
    <t>07060025</t>
    <phoneticPr fontId="1"/>
  </si>
  <si>
    <t>07060026</t>
    <phoneticPr fontId="1"/>
  </si>
  <si>
    <t>07050362</t>
    <phoneticPr fontId="1"/>
  </si>
  <si>
    <t>07050398</t>
    <phoneticPr fontId="1"/>
  </si>
  <si>
    <t>07050399</t>
    <phoneticPr fontId="1"/>
  </si>
  <si>
    <t>07050400</t>
    <phoneticPr fontId="1"/>
  </si>
  <si>
    <t>07050458</t>
    <phoneticPr fontId="1"/>
  </si>
  <si>
    <t>07050479</t>
    <phoneticPr fontId="1"/>
  </si>
  <si>
    <t>07060039</t>
    <phoneticPr fontId="1"/>
  </si>
  <si>
    <t>07060046</t>
    <phoneticPr fontId="1"/>
  </si>
  <si>
    <t>07060048</t>
    <phoneticPr fontId="1"/>
  </si>
  <si>
    <t>07060051</t>
    <phoneticPr fontId="1"/>
  </si>
  <si>
    <t>07060053</t>
    <phoneticPr fontId="1"/>
  </si>
  <si>
    <t>07060054</t>
    <phoneticPr fontId="1"/>
  </si>
  <si>
    <t>2025/7/3 個数</t>
  </si>
  <si>
    <t>2025/7/6 個数</t>
  </si>
  <si>
    <t>2025/7/7 個数</t>
  </si>
  <si>
    <t>2025/7/9 個数</t>
  </si>
  <si>
    <t>2025/7/12 個数</t>
  </si>
  <si>
    <t>2025/7/13 個数</t>
  </si>
  <si>
    <t>2025/7/16 個数</t>
  </si>
  <si>
    <t>2025/7/28 個数</t>
  </si>
  <si>
    <t>07060015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</si>
</sst>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169" zoomScale="106" zoomScaleNormal="106" workbookViewId="0">
      <selection activeCell="L229" sqref="L22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210</v>
      </c>
      <c r="B1" s="24">
        <v>45811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23.2</v>
      </c>
      <c r="C3" s="85" t="s">
        <v>211</v>
      </c>
      <c r="D3" s="109" t="s">
        <v>193</v>
      </c>
      <c r="E3" s="15" t="s">
        <v>38</v>
      </c>
      <c r="F3" s="14"/>
      <c r="G3" s="12" t="s">
        <v>181</v>
      </c>
      <c r="H3" s="13"/>
      <c r="I3" s="13"/>
      <c r="J3" s="13">
        <v>1</v>
      </c>
      <c r="K3" s="13">
        <v>1</v>
      </c>
      <c r="L3" s="13"/>
      <c r="M3" s="13"/>
      <c r="N3" s="13">
        <v>1</v>
      </c>
      <c r="O3" s="13"/>
      <c r="P3" s="13"/>
      <c r="Q3" s="13"/>
      <c r="R3" s="13"/>
      <c r="S3" s="13"/>
      <c r="T3" s="25">
        <v>45834</v>
      </c>
      <c r="U3" s="13" t="s">
        <v>147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212</v>
      </c>
      <c r="D4" s="109" t="s">
        <v>180</v>
      </c>
      <c r="E4" s="15" t="s">
        <v>37</v>
      </c>
      <c r="F4" s="16"/>
      <c r="G4" s="12" t="s">
        <v>181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45823</v>
      </c>
      <c r="U4" s="13" t="s">
        <v>147</v>
      </c>
      <c r="V4">
        <v>2</v>
      </c>
      <c r="X4" s="51" t="s">
        <v>107</v>
      </c>
      <c r="Y4" s="52">
        <f>COUNTIF(U3:U27,"R")</f>
        <v>10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213</v>
      </c>
      <c r="D5" s="109" t="s">
        <v>182</v>
      </c>
      <c r="E5" s="15" t="s">
        <v>75</v>
      </c>
      <c r="F5" s="16"/>
      <c r="G5" s="12" t="s">
        <v>181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/>
      <c r="T5" s="25">
        <v>45834</v>
      </c>
      <c r="U5" s="13" t="s">
        <v>147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214</v>
      </c>
      <c r="D6" s="109" t="s">
        <v>182</v>
      </c>
      <c r="E6" s="15" t="s">
        <v>58</v>
      </c>
      <c r="F6" s="16"/>
      <c r="G6" s="12" t="s">
        <v>181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45833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215</v>
      </c>
      <c r="D7" s="109" t="s">
        <v>216</v>
      </c>
      <c r="E7" s="15" t="s">
        <v>39</v>
      </c>
      <c r="F7" s="16"/>
      <c r="G7" s="12" t="s">
        <v>181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45843</v>
      </c>
      <c r="U7" s="13" t="s">
        <v>142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217</v>
      </c>
      <c r="D8" s="109" t="s">
        <v>216</v>
      </c>
      <c r="E8" s="15" t="s">
        <v>39</v>
      </c>
      <c r="F8" s="16"/>
      <c r="G8" s="12" t="s">
        <v>181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45843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218</v>
      </c>
      <c r="D9" s="109" t="s">
        <v>186</v>
      </c>
      <c r="E9" s="15" t="s">
        <v>38</v>
      </c>
      <c r="F9" s="16"/>
      <c r="G9" s="12" t="s">
        <v>181</v>
      </c>
      <c r="H9" s="15"/>
      <c r="I9" s="13"/>
      <c r="J9" s="15"/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45838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220</v>
      </c>
      <c r="D10" s="109" t="s">
        <v>219</v>
      </c>
      <c r="E10" s="15" t="s">
        <v>36</v>
      </c>
      <c r="F10" s="16"/>
      <c r="G10" s="12" t="s">
        <v>181</v>
      </c>
      <c r="H10" s="15"/>
      <c r="I10" s="13"/>
      <c r="J10" s="15"/>
      <c r="K10" s="15"/>
      <c r="L10" s="17"/>
      <c r="M10" s="17">
        <v>1</v>
      </c>
      <c r="N10" s="13">
        <v>1</v>
      </c>
      <c r="O10" s="17"/>
      <c r="P10" s="17"/>
      <c r="Q10" s="17">
        <v>1</v>
      </c>
      <c r="R10" s="17"/>
      <c r="S10" s="15"/>
      <c r="T10" s="25">
        <v>45836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221</v>
      </c>
      <c r="D11" s="109" t="s">
        <v>193</v>
      </c>
      <c r="E11" s="15" t="s">
        <v>37</v>
      </c>
      <c r="F11" s="16"/>
      <c r="G11" s="12" t="s">
        <v>181</v>
      </c>
      <c r="H11" s="15"/>
      <c r="I11" s="13"/>
      <c r="J11" s="15"/>
      <c r="K11" s="15"/>
      <c r="L11" s="17"/>
      <c r="M11" s="17">
        <v>1</v>
      </c>
      <c r="N11" s="13">
        <v>1</v>
      </c>
      <c r="O11" s="17"/>
      <c r="P11" s="17"/>
      <c r="Q11" s="17"/>
      <c r="R11" s="17"/>
      <c r="S11" s="15"/>
      <c r="T11" s="25">
        <v>45834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222</v>
      </c>
      <c r="D12" s="109" t="s">
        <v>195</v>
      </c>
      <c r="E12" s="15" t="s">
        <v>39</v>
      </c>
      <c r="F12" s="16"/>
      <c r="G12" s="12" t="s">
        <v>181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45836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 t="s">
        <v>223</v>
      </c>
      <c r="D13" s="109" t="s">
        <v>180</v>
      </c>
      <c r="E13" s="15" t="s">
        <v>75</v>
      </c>
      <c r="F13" s="16"/>
      <c r="G13" s="12" t="s">
        <v>181</v>
      </c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>
        <v>45830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 t="s">
        <v>224</v>
      </c>
      <c r="D14" s="109" t="s">
        <v>191</v>
      </c>
      <c r="E14" s="15" t="s">
        <v>38</v>
      </c>
      <c r="F14" s="16"/>
      <c r="G14" s="12" t="s">
        <v>181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45822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 t="s">
        <v>225</v>
      </c>
      <c r="D15" s="109" t="s">
        <v>194</v>
      </c>
      <c r="E15" s="15" t="s">
        <v>37</v>
      </c>
      <c r="F15" s="16"/>
      <c r="G15" s="12" t="s">
        <v>181</v>
      </c>
      <c r="H15" s="15"/>
      <c r="I15" s="15"/>
      <c r="J15" s="15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45836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 t="s">
        <v>226</v>
      </c>
      <c r="D16" s="109" t="s">
        <v>194</v>
      </c>
      <c r="E16" s="15" t="s">
        <v>37</v>
      </c>
      <c r="F16" s="16"/>
      <c r="G16" s="12" t="s">
        <v>181</v>
      </c>
      <c r="H16" s="15"/>
      <c r="I16" s="15"/>
      <c r="J16" s="15"/>
      <c r="K16" s="15">
        <v>1</v>
      </c>
      <c r="L16" s="17"/>
      <c r="M16" s="17"/>
      <c r="N16" s="17">
        <v>1</v>
      </c>
      <c r="O16" s="17"/>
      <c r="P16" s="17"/>
      <c r="Q16" s="17"/>
      <c r="R16" s="17"/>
      <c r="S16" s="15"/>
      <c r="T16" s="25">
        <v>45836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 t="s">
        <v>227</v>
      </c>
      <c r="D17" s="106" t="s">
        <v>194</v>
      </c>
      <c r="E17" s="15" t="s">
        <v>37</v>
      </c>
      <c r="F17" s="16"/>
      <c r="G17" s="15" t="s">
        <v>181</v>
      </c>
      <c r="H17" s="15"/>
      <c r="I17" s="15"/>
      <c r="J17" s="15"/>
      <c r="K17" s="15">
        <v>1</v>
      </c>
      <c r="L17" s="17"/>
      <c r="M17" s="17"/>
      <c r="N17" s="17">
        <v>1</v>
      </c>
      <c r="O17" s="17"/>
      <c r="P17" s="17"/>
      <c r="Q17" s="17"/>
      <c r="R17" s="17"/>
      <c r="S17" s="15"/>
      <c r="T17" s="25">
        <v>45836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 t="s">
        <v>228</v>
      </c>
      <c r="D18" s="110" t="s">
        <v>195</v>
      </c>
      <c r="E18" s="18" t="s">
        <v>40</v>
      </c>
      <c r="F18" s="16"/>
      <c r="G18" s="18" t="s">
        <v>181</v>
      </c>
      <c r="H18" s="15"/>
      <c r="I18" s="15"/>
      <c r="J18" s="18"/>
      <c r="K18" s="15"/>
      <c r="L18" s="19"/>
      <c r="M18" s="19"/>
      <c r="N18" s="19"/>
      <c r="O18" s="19"/>
      <c r="P18" s="19"/>
      <c r="Q18" s="19">
        <v>1</v>
      </c>
      <c r="R18" s="19"/>
      <c r="S18" s="15"/>
      <c r="T18" s="25">
        <v>45843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221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9</v>
      </c>
      <c r="L28" s="29">
        <f t="shared" si="0"/>
        <v>0</v>
      </c>
      <c r="M28" s="29">
        <f t="shared" si="0"/>
        <v>3</v>
      </c>
      <c r="N28" s="29">
        <f t="shared" si="0"/>
        <v>6</v>
      </c>
      <c r="O28" s="29">
        <f t="shared" si="0"/>
        <v>0</v>
      </c>
      <c r="P28" s="29">
        <f t="shared" si="0"/>
        <v>0</v>
      </c>
      <c r="Q28" s="29">
        <f t="shared" si="0"/>
        <v>3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27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AYG110</v>
      </c>
      <c r="B31" s="24">
        <f>B1</f>
        <v>45811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21.4</v>
      </c>
      <c r="C33" s="85" t="s">
        <v>229</v>
      </c>
      <c r="D33" s="109" t="s">
        <v>180</v>
      </c>
      <c r="E33" s="15" t="s">
        <v>37</v>
      </c>
      <c r="F33" s="14"/>
      <c r="G33" s="12" t="s">
        <v>181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45833</v>
      </c>
      <c r="U33" s="13" t="s">
        <v>147</v>
      </c>
      <c r="V33">
        <v>1</v>
      </c>
      <c r="X33" s="51" t="s">
        <v>106</v>
      </c>
      <c r="Y33" s="52">
        <f>COUNTIF(U33:U57,"K")</f>
        <v>6</v>
      </c>
      <c r="AA33" s="31" t="s">
        <v>46</v>
      </c>
      <c r="AB33" s="32">
        <f>J28+J178+J148+J118+J208+J238+J268+J298+J328+J358</f>
        <v>36</v>
      </c>
    </row>
    <row r="34" spans="1:29" x14ac:dyDescent="0.4">
      <c r="A34" s="146"/>
      <c r="B34" s="136"/>
      <c r="C34" s="85" t="s">
        <v>231</v>
      </c>
      <c r="D34" s="109" t="s">
        <v>230</v>
      </c>
      <c r="E34" s="15" t="s">
        <v>58</v>
      </c>
      <c r="F34" s="16"/>
      <c r="G34" s="12" t="s">
        <v>181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45836</v>
      </c>
      <c r="U34" s="13" t="s">
        <v>147</v>
      </c>
      <c r="V34">
        <v>2</v>
      </c>
      <c r="X34" s="51" t="s">
        <v>107</v>
      </c>
      <c r="Y34" s="52">
        <f>COUNTIF(U33:U57,"R")</f>
        <v>7</v>
      </c>
      <c r="AA34" s="31" t="s">
        <v>48</v>
      </c>
      <c r="AB34" s="32">
        <f>K28+K178+K148+K118+K208+K238+K268+K298+K328+K358</f>
        <v>30</v>
      </c>
    </row>
    <row r="35" spans="1:29" ht="19.5" thickBot="1" x14ac:dyDescent="0.45">
      <c r="A35" s="146"/>
      <c r="B35" s="136"/>
      <c r="C35" s="85" t="s">
        <v>232</v>
      </c>
      <c r="D35" s="109" t="s">
        <v>195</v>
      </c>
      <c r="E35" s="15" t="s">
        <v>44</v>
      </c>
      <c r="F35" s="16"/>
      <c r="G35" s="12" t="s">
        <v>181</v>
      </c>
      <c r="H35" s="13"/>
      <c r="I35" s="13"/>
      <c r="J35" s="15"/>
      <c r="K35" s="15"/>
      <c r="L35" s="17"/>
      <c r="M35" s="17">
        <v>1</v>
      </c>
      <c r="N35" s="13"/>
      <c r="O35" s="17"/>
      <c r="P35" s="17"/>
      <c r="Q35" s="17">
        <v>1</v>
      </c>
      <c r="R35" s="17"/>
      <c r="S35" s="15"/>
      <c r="T35" s="25">
        <v>45843</v>
      </c>
      <c r="U35" s="13" t="s">
        <v>147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1</v>
      </c>
    </row>
    <row r="36" spans="1:29" x14ac:dyDescent="0.4">
      <c r="A36" s="146"/>
      <c r="B36" s="136"/>
      <c r="C36" s="85" t="s">
        <v>233</v>
      </c>
      <c r="D36" s="109" t="s">
        <v>195</v>
      </c>
      <c r="E36" s="15" t="s">
        <v>44</v>
      </c>
      <c r="F36" s="16"/>
      <c r="G36" s="12" t="s">
        <v>181</v>
      </c>
      <c r="H36" s="15"/>
      <c r="I36" s="13"/>
      <c r="J36" s="13"/>
      <c r="K36" s="15"/>
      <c r="L36" s="17"/>
      <c r="M36" s="17">
        <v>1</v>
      </c>
      <c r="N36" s="13"/>
      <c r="O36" s="17"/>
      <c r="P36" s="17"/>
      <c r="Q36" s="17">
        <v>1</v>
      </c>
      <c r="R36" s="17"/>
      <c r="S36" s="15"/>
      <c r="T36" s="25">
        <v>45843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21</v>
      </c>
    </row>
    <row r="37" spans="1:29" x14ac:dyDescent="0.4">
      <c r="A37" s="146"/>
      <c r="B37" s="136"/>
      <c r="C37" s="85" t="s">
        <v>234</v>
      </c>
      <c r="D37" s="109" t="s">
        <v>183</v>
      </c>
      <c r="E37" s="15" t="s">
        <v>59</v>
      </c>
      <c r="F37" s="16"/>
      <c r="G37" s="12" t="s">
        <v>181</v>
      </c>
      <c r="H37" s="15" t="s">
        <v>188</v>
      </c>
      <c r="I37" s="13"/>
      <c r="J37" s="15">
        <v>2</v>
      </c>
      <c r="K37" s="15"/>
      <c r="L37" s="17"/>
      <c r="M37" s="17"/>
      <c r="N37" s="13"/>
      <c r="O37" s="17"/>
      <c r="P37" s="17"/>
      <c r="Q37" s="17"/>
      <c r="R37" s="17"/>
      <c r="S37" s="15"/>
      <c r="T37" s="25">
        <v>45844</v>
      </c>
      <c r="U37" s="13" t="s">
        <v>142</v>
      </c>
      <c r="V37">
        <v>5</v>
      </c>
      <c r="AA37" s="31" t="s">
        <v>51</v>
      </c>
      <c r="AB37" s="32">
        <f>N28+N178+N148+N118+N208+N238+N268+N298+N328+N358</f>
        <v>22</v>
      </c>
    </row>
    <row r="38" spans="1:29" x14ac:dyDescent="0.4">
      <c r="A38" s="146"/>
      <c r="B38" s="136"/>
      <c r="C38" s="85" t="s">
        <v>236</v>
      </c>
      <c r="D38" s="109" t="s">
        <v>235</v>
      </c>
      <c r="E38" s="15" t="s">
        <v>39</v>
      </c>
      <c r="F38" s="16"/>
      <c r="G38" s="12" t="s">
        <v>181</v>
      </c>
      <c r="H38" s="13"/>
      <c r="I38" s="13"/>
      <c r="J38" s="15">
        <v>1</v>
      </c>
      <c r="K38" s="15">
        <v>1</v>
      </c>
      <c r="L38" s="17"/>
      <c r="M38" s="17"/>
      <c r="N38" s="13"/>
      <c r="O38" s="17"/>
      <c r="P38" s="17"/>
      <c r="Q38" s="17"/>
      <c r="R38" s="17"/>
      <c r="S38" s="15"/>
      <c r="T38" s="25">
        <v>45843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13</v>
      </c>
    </row>
    <row r="39" spans="1:29" x14ac:dyDescent="0.4">
      <c r="A39" s="146"/>
      <c r="B39" s="136"/>
      <c r="C39" s="85" t="s">
        <v>237</v>
      </c>
      <c r="D39" s="109" t="s">
        <v>235</v>
      </c>
      <c r="E39" s="15" t="s">
        <v>39</v>
      </c>
      <c r="F39" s="16"/>
      <c r="G39" s="12" t="s">
        <v>181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45843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14</v>
      </c>
    </row>
    <row r="40" spans="1:29" x14ac:dyDescent="0.4">
      <c r="A40" s="146"/>
      <c r="B40" s="136"/>
      <c r="C40" s="85" t="s">
        <v>238</v>
      </c>
      <c r="D40" s="109" t="s">
        <v>235</v>
      </c>
      <c r="E40" s="15" t="s">
        <v>39</v>
      </c>
      <c r="F40" s="16"/>
      <c r="G40" s="12" t="s">
        <v>181</v>
      </c>
      <c r="H40" s="15"/>
      <c r="I40" s="13"/>
      <c r="J40" s="15">
        <v>1</v>
      </c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45843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29</v>
      </c>
    </row>
    <row r="41" spans="1:29" x14ac:dyDescent="0.4">
      <c r="A41" s="146"/>
      <c r="B41" s="136"/>
      <c r="C41" s="85" t="s">
        <v>239</v>
      </c>
      <c r="D41" s="109" t="s">
        <v>195</v>
      </c>
      <c r="E41" s="15" t="s">
        <v>60</v>
      </c>
      <c r="F41" s="16"/>
      <c r="G41" s="12" t="s">
        <v>181</v>
      </c>
      <c r="H41" s="15"/>
      <c r="I41" s="13"/>
      <c r="J41" s="15">
        <v>1</v>
      </c>
      <c r="K41" s="15"/>
      <c r="L41" s="17">
        <v>1</v>
      </c>
      <c r="M41" s="17"/>
      <c r="N41" s="13"/>
      <c r="O41" s="17"/>
      <c r="P41" s="17"/>
      <c r="Q41" s="17"/>
      <c r="R41" s="17"/>
      <c r="S41" s="15"/>
      <c r="T41" s="25">
        <v>45836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10</v>
      </c>
      <c r="AC41" t="s">
        <v>123</v>
      </c>
    </row>
    <row r="42" spans="1:29" ht="19.5" thickBot="1" x14ac:dyDescent="0.45">
      <c r="A42" s="146"/>
      <c r="B42" s="136"/>
      <c r="C42" s="85" t="s">
        <v>240</v>
      </c>
      <c r="D42" s="109" t="s">
        <v>195</v>
      </c>
      <c r="E42" s="15" t="s">
        <v>58</v>
      </c>
      <c r="F42" s="16"/>
      <c r="G42" s="12" t="s">
        <v>181</v>
      </c>
      <c r="H42" s="15" t="s">
        <v>147</v>
      </c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>
        <v>45846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178</v>
      </c>
    </row>
    <row r="43" spans="1:29" ht="19.5" thickBot="1" x14ac:dyDescent="0.45">
      <c r="A43" s="146"/>
      <c r="B43" s="136"/>
      <c r="C43" s="85" t="s">
        <v>241</v>
      </c>
      <c r="D43" s="109" t="s">
        <v>189</v>
      </c>
      <c r="E43" s="15" t="s">
        <v>41</v>
      </c>
      <c r="F43" s="16"/>
      <c r="G43" s="12" t="s">
        <v>181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45845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 t="s">
        <v>242</v>
      </c>
      <c r="D44" s="109" t="s">
        <v>189</v>
      </c>
      <c r="E44" s="15" t="s">
        <v>37</v>
      </c>
      <c r="F44" s="16"/>
      <c r="G44" s="12" t="s">
        <v>181</v>
      </c>
      <c r="H44" s="15"/>
      <c r="I44" s="15"/>
      <c r="J44" s="15"/>
      <c r="K44" s="15"/>
      <c r="L44" s="17"/>
      <c r="M44" s="17">
        <v>1</v>
      </c>
      <c r="N44" s="17">
        <v>1</v>
      </c>
      <c r="O44" s="17"/>
      <c r="P44" s="17"/>
      <c r="Q44" s="17"/>
      <c r="R44" s="17"/>
      <c r="S44" s="15"/>
      <c r="T44" s="25">
        <v>45845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46"/>
      <c r="B45" s="136"/>
      <c r="C45" s="85" t="s">
        <v>243</v>
      </c>
      <c r="D45" s="109" t="s">
        <v>189</v>
      </c>
      <c r="E45" s="15" t="s">
        <v>40</v>
      </c>
      <c r="F45" s="16"/>
      <c r="G45" s="12" t="s">
        <v>181</v>
      </c>
      <c r="H45" s="15"/>
      <c r="I45" s="15"/>
      <c r="J45" s="15"/>
      <c r="K45" s="15"/>
      <c r="L45" s="17"/>
      <c r="M45" s="17"/>
      <c r="N45" s="17"/>
      <c r="O45" s="17">
        <v>1</v>
      </c>
      <c r="P45" s="17">
        <v>1</v>
      </c>
      <c r="Q45" s="17"/>
      <c r="R45" s="17"/>
      <c r="S45" s="15"/>
      <c r="T45" s="25">
        <v>45845</v>
      </c>
      <c r="U45" s="13" t="s">
        <v>148</v>
      </c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46"/>
      <c r="B46" s="136"/>
      <c r="C46" s="85" t="s">
        <v>244</v>
      </c>
      <c r="D46" s="109" t="s">
        <v>180</v>
      </c>
      <c r="E46" s="15" t="s">
        <v>36</v>
      </c>
      <c r="F46" s="16"/>
      <c r="G46" s="12" t="s">
        <v>181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45846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109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1</v>
      </c>
      <c r="I58" s="29">
        <f>SUM(I33:I57)</f>
        <v>0</v>
      </c>
      <c r="J58" s="29">
        <f t="shared" ref="J58:S58" si="1">SUM(J33:J57)</f>
        <v>7</v>
      </c>
      <c r="K58" s="29">
        <f t="shared" si="1"/>
        <v>4</v>
      </c>
      <c r="L58" s="29">
        <f t="shared" si="1"/>
        <v>1</v>
      </c>
      <c r="M58" s="29">
        <f t="shared" si="1"/>
        <v>5</v>
      </c>
      <c r="N58" s="29">
        <f t="shared" si="1"/>
        <v>3</v>
      </c>
      <c r="O58" s="29">
        <f t="shared" si="1"/>
        <v>1</v>
      </c>
      <c r="P58" s="29">
        <f t="shared" si="1"/>
        <v>1</v>
      </c>
      <c r="Q58" s="29">
        <f t="shared" si="1"/>
        <v>4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26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AYG110</v>
      </c>
      <c r="B61" s="24">
        <f>B1</f>
        <v>45811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20</v>
      </c>
      <c r="C63" s="85" t="s">
        <v>245</v>
      </c>
      <c r="D63" s="109" t="s">
        <v>246</v>
      </c>
      <c r="E63" s="15" t="s">
        <v>58</v>
      </c>
      <c r="F63" s="14"/>
      <c r="G63" s="12" t="s">
        <v>181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25">
        <v>45846</v>
      </c>
      <c r="U63" s="13" t="s">
        <v>147</v>
      </c>
      <c r="V63">
        <v>1</v>
      </c>
      <c r="X63" s="51" t="s">
        <v>106</v>
      </c>
      <c r="Y63" s="52">
        <f>COUNTIF(U63:U87,"K")</f>
        <v>3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248</v>
      </c>
      <c r="D64" s="109" t="s">
        <v>247</v>
      </c>
      <c r="E64" s="15" t="s">
        <v>37</v>
      </c>
      <c r="F64" s="16"/>
      <c r="G64" s="12" t="s">
        <v>181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>
        <v>1</v>
      </c>
      <c r="R64" s="17"/>
      <c r="S64" s="15"/>
      <c r="T64" s="25">
        <v>45846</v>
      </c>
      <c r="U64" s="13" t="s">
        <v>147</v>
      </c>
      <c r="V64">
        <v>2</v>
      </c>
      <c r="X64" s="51" t="s">
        <v>107</v>
      </c>
      <c r="Y64" s="52">
        <f>COUNTIF(U63:U87,"R")</f>
        <v>12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249</v>
      </c>
      <c r="D65" s="109" t="s">
        <v>246</v>
      </c>
      <c r="E65" s="15" t="s">
        <v>37</v>
      </c>
      <c r="F65" s="16"/>
      <c r="G65" s="12" t="s">
        <v>181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45841</v>
      </c>
      <c r="U65" s="13" t="s">
        <v>142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250</v>
      </c>
      <c r="D66" s="109" t="s">
        <v>246</v>
      </c>
      <c r="E66" s="15" t="s">
        <v>38</v>
      </c>
      <c r="F66" s="16"/>
      <c r="G66" s="12" t="s">
        <v>181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45841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251</v>
      </c>
      <c r="D67" s="109" t="s">
        <v>246</v>
      </c>
      <c r="E67" s="15" t="s">
        <v>75</v>
      </c>
      <c r="F67" s="16"/>
      <c r="G67" s="12" t="s">
        <v>181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>
        <v>45841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252</v>
      </c>
      <c r="D68" s="109" t="s">
        <v>246</v>
      </c>
      <c r="E68" s="15" t="s">
        <v>36</v>
      </c>
      <c r="F68" s="16"/>
      <c r="G68" s="12" t="s">
        <v>181</v>
      </c>
      <c r="H68" s="15"/>
      <c r="I68" s="15"/>
      <c r="J68" s="13"/>
      <c r="K68" s="15">
        <v>1</v>
      </c>
      <c r="L68" s="13"/>
      <c r="M68" s="17">
        <v>1</v>
      </c>
      <c r="N68" s="17"/>
      <c r="O68" s="17"/>
      <c r="P68" s="17"/>
      <c r="Q68" s="17"/>
      <c r="R68" s="17"/>
      <c r="S68" s="15"/>
      <c r="T68" s="25">
        <v>45846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253</v>
      </c>
      <c r="D69" s="109" t="s">
        <v>254</v>
      </c>
      <c r="E69" s="15" t="s">
        <v>36</v>
      </c>
      <c r="F69" s="16"/>
      <c r="G69" s="12" t="s">
        <v>181</v>
      </c>
      <c r="H69" s="15"/>
      <c r="I69" s="15"/>
      <c r="J69" s="13"/>
      <c r="K69" s="15"/>
      <c r="L69" s="13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45846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 t="s">
        <v>256</v>
      </c>
      <c r="D70" s="109" t="s">
        <v>255</v>
      </c>
      <c r="E70" s="15" t="s">
        <v>36</v>
      </c>
      <c r="F70" s="16"/>
      <c r="G70" s="12" t="s">
        <v>181</v>
      </c>
      <c r="H70" s="15"/>
      <c r="I70" s="15"/>
      <c r="J70" s="13"/>
      <c r="K70" s="15"/>
      <c r="L70" s="13"/>
      <c r="M70" s="17">
        <v>1</v>
      </c>
      <c r="N70" s="17"/>
      <c r="O70" s="17"/>
      <c r="P70" s="17"/>
      <c r="Q70" s="17">
        <v>1</v>
      </c>
      <c r="R70" s="17"/>
      <c r="S70" s="15"/>
      <c r="T70" s="25">
        <v>45828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 t="s">
        <v>257</v>
      </c>
      <c r="D71" s="109" t="s">
        <v>255</v>
      </c>
      <c r="E71" s="15" t="s">
        <v>36</v>
      </c>
      <c r="F71" s="16"/>
      <c r="G71" s="12" t="s">
        <v>181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45834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 t="s">
        <v>258</v>
      </c>
      <c r="D72" s="109" t="s">
        <v>192</v>
      </c>
      <c r="E72" s="15" t="s">
        <v>37</v>
      </c>
      <c r="F72" s="16"/>
      <c r="G72" s="12" t="s">
        <v>181</v>
      </c>
      <c r="H72" s="15"/>
      <c r="I72" s="15"/>
      <c r="J72" s="13"/>
      <c r="K72" s="15"/>
      <c r="L72" s="13"/>
      <c r="M72" s="17"/>
      <c r="N72" s="17"/>
      <c r="O72" s="17"/>
      <c r="P72" s="17"/>
      <c r="Q72" s="17">
        <v>1</v>
      </c>
      <c r="R72" s="17"/>
      <c r="S72" s="15"/>
      <c r="T72" s="25">
        <v>45844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 t="s">
        <v>259</v>
      </c>
      <c r="D73" s="109" t="s">
        <v>192</v>
      </c>
      <c r="E73" s="15" t="s">
        <v>57</v>
      </c>
      <c r="F73" s="16"/>
      <c r="G73" s="15" t="s">
        <v>185</v>
      </c>
      <c r="H73" s="15"/>
      <c r="I73" s="15"/>
      <c r="J73" s="15"/>
      <c r="K73" s="15"/>
      <c r="L73" s="17"/>
      <c r="M73" s="17"/>
      <c r="N73" s="17"/>
      <c r="O73" s="17"/>
      <c r="P73" s="17"/>
      <c r="Q73" s="17">
        <v>1</v>
      </c>
      <c r="R73" s="17"/>
      <c r="S73" s="15"/>
      <c r="T73" s="25">
        <v>45844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 t="s">
        <v>260</v>
      </c>
      <c r="D74" s="109" t="s">
        <v>192</v>
      </c>
      <c r="E74" s="15" t="s">
        <v>57</v>
      </c>
      <c r="F74" s="16"/>
      <c r="G74" s="15" t="s">
        <v>185</v>
      </c>
      <c r="H74" s="15"/>
      <c r="I74" s="15"/>
      <c r="J74" s="15"/>
      <c r="K74" s="15"/>
      <c r="L74" s="17"/>
      <c r="M74" s="17"/>
      <c r="N74" s="17"/>
      <c r="O74" s="17"/>
      <c r="P74" s="17"/>
      <c r="Q74" s="17">
        <v>1</v>
      </c>
      <c r="R74" s="17"/>
      <c r="S74" s="15"/>
      <c r="T74" s="25">
        <v>45844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 t="s">
        <v>261</v>
      </c>
      <c r="D75" s="109" t="s">
        <v>192</v>
      </c>
      <c r="E75" s="15" t="s">
        <v>57</v>
      </c>
      <c r="F75" s="16"/>
      <c r="G75" s="15" t="s">
        <v>185</v>
      </c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>
        <v>45844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 t="s">
        <v>262</v>
      </c>
      <c r="D76" s="109" t="s">
        <v>192</v>
      </c>
      <c r="E76" s="15" t="s">
        <v>37</v>
      </c>
      <c r="F76" s="16"/>
      <c r="G76" s="15" t="s">
        <v>181</v>
      </c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>
        <v>45844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 t="s">
        <v>263</v>
      </c>
      <c r="D77" s="109" t="s">
        <v>192</v>
      </c>
      <c r="E77" s="15" t="s">
        <v>57</v>
      </c>
      <c r="F77" s="16"/>
      <c r="G77" s="15" t="s">
        <v>185</v>
      </c>
      <c r="H77" s="15"/>
      <c r="I77" s="15"/>
      <c r="J77" s="15"/>
      <c r="K77" s="15"/>
      <c r="L77" s="17"/>
      <c r="M77" s="17"/>
      <c r="N77" s="17"/>
      <c r="O77" s="17"/>
      <c r="P77" s="17"/>
      <c r="Q77" s="17">
        <v>1</v>
      </c>
      <c r="R77" s="17"/>
      <c r="S77" s="15"/>
      <c r="T77" s="25">
        <v>45844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11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4</v>
      </c>
      <c r="L88" s="29">
        <f t="shared" si="2"/>
        <v>0</v>
      </c>
      <c r="M88" s="29">
        <f t="shared" si="2"/>
        <v>4</v>
      </c>
      <c r="N88" s="29">
        <f t="shared" si="2"/>
        <v>2</v>
      </c>
      <c r="O88" s="29">
        <f t="shared" si="2"/>
        <v>0</v>
      </c>
      <c r="P88" s="29">
        <f t="shared" si="2"/>
        <v>0</v>
      </c>
      <c r="Q88" s="29">
        <f t="shared" si="2"/>
        <v>7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17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AYG110</v>
      </c>
      <c r="B91" s="24">
        <f>B1</f>
        <v>45811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20.2</v>
      </c>
      <c r="C93" s="85" t="s">
        <v>264</v>
      </c>
      <c r="D93" s="109" t="s">
        <v>219</v>
      </c>
      <c r="E93" s="15" t="s">
        <v>38</v>
      </c>
      <c r="F93" s="14"/>
      <c r="G93" s="12" t="s">
        <v>181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45836</v>
      </c>
      <c r="U93" s="13" t="s">
        <v>146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265</v>
      </c>
      <c r="D94" s="109" t="s">
        <v>219</v>
      </c>
      <c r="E94" s="15" t="s">
        <v>40</v>
      </c>
      <c r="F94" s="16"/>
      <c r="G94" s="12" t="s">
        <v>181</v>
      </c>
      <c r="H94" s="15"/>
      <c r="I94" s="15"/>
      <c r="J94" s="15"/>
      <c r="K94" s="15"/>
      <c r="L94" s="17"/>
      <c r="M94" s="17"/>
      <c r="N94" s="17"/>
      <c r="O94" s="17">
        <v>1</v>
      </c>
      <c r="P94" s="17">
        <v>1</v>
      </c>
      <c r="Q94" s="17">
        <v>1</v>
      </c>
      <c r="R94" s="17">
        <v>1</v>
      </c>
      <c r="S94" s="15"/>
      <c r="T94" s="25">
        <v>45836</v>
      </c>
      <c r="U94" s="13" t="s">
        <v>148</v>
      </c>
      <c r="V94">
        <v>2</v>
      </c>
      <c r="X94" s="51" t="s">
        <v>107</v>
      </c>
      <c r="Y94" s="52">
        <f>COUNTIF(U93:U117,"R")</f>
        <v>9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266</v>
      </c>
      <c r="D95" s="109" t="s">
        <v>230</v>
      </c>
      <c r="E95" s="15" t="s">
        <v>38</v>
      </c>
      <c r="F95" s="16"/>
      <c r="G95" s="12" t="s">
        <v>181</v>
      </c>
      <c r="H95" s="15" t="s">
        <v>147</v>
      </c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45841</v>
      </c>
      <c r="U95" s="13" t="s">
        <v>147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267</v>
      </c>
      <c r="D96" s="109" t="s">
        <v>190</v>
      </c>
      <c r="E96" s="15" t="s">
        <v>36</v>
      </c>
      <c r="F96" s="16"/>
      <c r="G96" s="12" t="s">
        <v>181</v>
      </c>
      <c r="H96" s="15"/>
      <c r="I96" s="15"/>
      <c r="J96" s="15"/>
      <c r="K96" s="15"/>
      <c r="L96" s="17"/>
      <c r="M96" s="17">
        <v>1</v>
      </c>
      <c r="N96" s="17">
        <v>1</v>
      </c>
      <c r="O96" s="17"/>
      <c r="P96" s="17"/>
      <c r="Q96" s="17">
        <v>1</v>
      </c>
      <c r="R96" s="17"/>
      <c r="S96" s="15"/>
      <c r="T96" s="25">
        <v>45843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268</v>
      </c>
      <c r="D97" s="109" t="s">
        <v>190</v>
      </c>
      <c r="E97" s="15" t="s">
        <v>38</v>
      </c>
      <c r="F97" s="16"/>
      <c r="G97" s="12" t="s">
        <v>181</v>
      </c>
      <c r="H97" s="15"/>
      <c r="I97" s="15"/>
      <c r="J97" s="15"/>
      <c r="K97" s="15"/>
      <c r="L97" s="17"/>
      <c r="M97" s="17">
        <v>1</v>
      </c>
      <c r="N97" s="17">
        <v>1</v>
      </c>
      <c r="O97" s="17"/>
      <c r="P97" s="17"/>
      <c r="Q97" s="17">
        <v>1</v>
      </c>
      <c r="R97" s="17"/>
      <c r="S97" s="15"/>
      <c r="T97" s="25">
        <v>45843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269</v>
      </c>
      <c r="D98" s="109" t="s">
        <v>180</v>
      </c>
      <c r="E98" s="15" t="s">
        <v>37</v>
      </c>
      <c r="F98" s="16"/>
      <c r="G98" s="12" t="s">
        <v>181</v>
      </c>
      <c r="H98" s="13"/>
      <c r="I98" s="15"/>
      <c r="J98" s="15"/>
      <c r="K98" s="15"/>
      <c r="L98" s="17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45836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270</v>
      </c>
      <c r="D99" s="109" t="s">
        <v>180</v>
      </c>
      <c r="E99" s="15" t="s">
        <v>40</v>
      </c>
      <c r="F99" s="16"/>
      <c r="G99" s="12" t="s">
        <v>181</v>
      </c>
      <c r="H99" s="15"/>
      <c r="I99" s="15"/>
      <c r="J99" s="15"/>
      <c r="K99" s="15"/>
      <c r="L99" s="17"/>
      <c r="M99" s="17"/>
      <c r="N99" s="17"/>
      <c r="O99" s="17">
        <v>1</v>
      </c>
      <c r="P99" s="17">
        <v>1</v>
      </c>
      <c r="Q99" s="17"/>
      <c r="R99" s="17"/>
      <c r="S99" s="15"/>
      <c r="T99" s="25">
        <v>45836</v>
      </c>
      <c r="U99" s="13" t="s">
        <v>148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271</v>
      </c>
      <c r="D100" s="109" t="s">
        <v>230</v>
      </c>
      <c r="E100" s="15" t="s">
        <v>38</v>
      </c>
      <c r="F100" s="16"/>
      <c r="G100" s="12" t="s">
        <v>181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45847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272</v>
      </c>
      <c r="D101" s="109" t="s">
        <v>230</v>
      </c>
      <c r="E101" s="15" t="s">
        <v>38</v>
      </c>
      <c r="F101" s="16"/>
      <c r="G101" s="12" t="s">
        <v>181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45843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273</v>
      </c>
      <c r="D102" s="109" t="s">
        <v>230</v>
      </c>
      <c r="E102" s="15" t="s">
        <v>40</v>
      </c>
      <c r="F102" s="16"/>
      <c r="G102" s="12" t="s">
        <v>184</v>
      </c>
      <c r="H102" s="15"/>
      <c r="I102" s="15"/>
      <c r="J102" s="15"/>
      <c r="K102" s="15"/>
      <c r="L102" s="17"/>
      <c r="M102" s="17"/>
      <c r="N102" s="17"/>
      <c r="O102" s="17">
        <v>1</v>
      </c>
      <c r="P102" s="17">
        <v>1</v>
      </c>
      <c r="Q102" s="17">
        <v>1</v>
      </c>
      <c r="R102" s="17"/>
      <c r="S102" s="15"/>
      <c r="T102" s="25">
        <v>45843</v>
      </c>
      <c r="U102" s="15" t="s">
        <v>148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274</v>
      </c>
      <c r="D103" s="109" t="s">
        <v>235</v>
      </c>
      <c r="E103" s="15" t="s">
        <v>39</v>
      </c>
      <c r="F103" s="16"/>
      <c r="G103" s="12" t="s">
        <v>181</v>
      </c>
      <c r="H103" s="15"/>
      <c r="I103" s="15"/>
      <c r="J103" s="15">
        <v>1</v>
      </c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45843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 t="s">
        <v>275</v>
      </c>
      <c r="D104" s="109" t="s">
        <v>186</v>
      </c>
      <c r="E104" s="15" t="s">
        <v>57</v>
      </c>
      <c r="F104" s="16"/>
      <c r="G104" s="12" t="s">
        <v>185</v>
      </c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>
        <v>45850</v>
      </c>
      <c r="U104" s="15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 t="s">
        <v>276</v>
      </c>
      <c r="D105" s="109" t="s">
        <v>186</v>
      </c>
      <c r="E105" s="15" t="s">
        <v>57</v>
      </c>
      <c r="F105" s="16"/>
      <c r="G105" s="12" t="s">
        <v>185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45850</v>
      </c>
      <c r="U105" s="132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 t="s">
        <v>277</v>
      </c>
      <c r="D106" s="109" t="s">
        <v>186</v>
      </c>
      <c r="E106" s="15" t="s">
        <v>38</v>
      </c>
      <c r="F106" s="16"/>
      <c r="G106" s="12" t="s">
        <v>181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45846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 t="s">
        <v>278</v>
      </c>
      <c r="D107" s="109" t="s">
        <v>180</v>
      </c>
      <c r="E107" s="15" t="s">
        <v>37</v>
      </c>
      <c r="F107" s="16"/>
      <c r="G107" s="15" t="s">
        <v>181</v>
      </c>
      <c r="H107" s="15"/>
      <c r="I107" s="15"/>
      <c r="J107" s="15"/>
      <c r="K107" s="15"/>
      <c r="L107" s="17"/>
      <c r="M107" s="17">
        <v>1</v>
      </c>
      <c r="N107" s="17">
        <v>1</v>
      </c>
      <c r="O107" s="17"/>
      <c r="P107" s="17"/>
      <c r="Q107" s="17">
        <v>1</v>
      </c>
      <c r="R107" s="17"/>
      <c r="S107" s="15"/>
      <c r="T107" s="25">
        <v>45833</v>
      </c>
      <c r="U107" s="15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 t="s">
        <v>279</v>
      </c>
      <c r="D108" s="109" t="s">
        <v>189</v>
      </c>
      <c r="E108" s="15" t="s">
        <v>41</v>
      </c>
      <c r="F108" s="16"/>
      <c r="G108" s="15" t="s">
        <v>181</v>
      </c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>
        <v>45847</v>
      </c>
      <c r="U108" s="15" t="s">
        <v>147</v>
      </c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13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4</v>
      </c>
      <c r="K118" s="29">
        <f t="shared" ref="K118" si="4">SUM(K93:K117)</f>
        <v>4</v>
      </c>
      <c r="L118" s="29">
        <f t="shared" ref="L118" si="5">SUM(L93:L117)</f>
        <v>0</v>
      </c>
      <c r="M118" s="29">
        <f t="shared" ref="M118" si="6">SUM(M93:M117)</f>
        <v>6</v>
      </c>
      <c r="N118" s="29">
        <f t="shared" ref="N118" si="7">SUM(N93:N117)</f>
        <v>6</v>
      </c>
      <c r="O118" s="29">
        <f t="shared" ref="O118" si="8">SUM(O93:O117)</f>
        <v>3</v>
      </c>
      <c r="P118" s="29">
        <f t="shared" ref="P118" si="9">SUM(P93:P117)</f>
        <v>3</v>
      </c>
      <c r="Q118" s="29">
        <f t="shared" ref="Q118" si="10">SUM(Q93:Q117)</f>
        <v>8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1</v>
      </c>
      <c r="H119" s="29">
        <f>COUNTIF(H93:H117,"R")</f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35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AYG110</v>
      </c>
      <c r="B121" s="24">
        <f>B1</f>
        <v>45811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19.2</v>
      </c>
      <c r="C123" s="85" t="s">
        <v>280</v>
      </c>
      <c r="D123" s="106" t="s">
        <v>183</v>
      </c>
      <c r="E123" s="15" t="s">
        <v>39</v>
      </c>
      <c r="F123" s="14"/>
      <c r="G123" s="12" t="s">
        <v>181</v>
      </c>
      <c r="H123" s="13"/>
      <c r="I123" s="13"/>
      <c r="J123" s="13">
        <v>1</v>
      </c>
      <c r="K123" s="13"/>
      <c r="L123" s="13">
        <v>1</v>
      </c>
      <c r="M123" s="13"/>
      <c r="N123" s="13"/>
      <c r="O123" s="13"/>
      <c r="P123" s="13"/>
      <c r="Q123" s="13"/>
      <c r="R123" s="13"/>
      <c r="S123" s="13"/>
      <c r="T123" s="25">
        <v>45846</v>
      </c>
      <c r="U123" s="13" t="s">
        <v>146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281</v>
      </c>
      <c r="D124" s="106" t="s">
        <v>183</v>
      </c>
      <c r="E124" s="15" t="s">
        <v>59</v>
      </c>
      <c r="F124" s="16"/>
      <c r="G124" s="12" t="s">
        <v>181</v>
      </c>
      <c r="H124" s="15" t="s">
        <v>188</v>
      </c>
      <c r="I124" s="15"/>
      <c r="J124" s="15">
        <v>2</v>
      </c>
      <c r="K124" s="15"/>
      <c r="L124" s="17"/>
      <c r="M124" s="17"/>
      <c r="N124" s="13"/>
      <c r="O124" s="17"/>
      <c r="P124" s="17"/>
      <c r="Q124" s="17"/>
      <c r="R124" s="17"/>
      <c r="S124" s="15"/>
      <c r="T124" s="25">
        <v>45847</v>
      </c>
      <c r="U124" s="13" t="s">
        <v>146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282</v>
      </c>
      <c r="D125" s="106" t="s">
        <v>183</v>
      </c>
      <c r="E125" s="15" t="s">
        <v>59</v>
      </c>
      <c r="F125" s="16"/>
      <c r="G125" s="12" t="s">
        <v>181</v>
      </c>
      <c r="H125" s="13" t="s">
        <v>188</v>
      </c>
      <c r="I125" s="15"/>
      <c r="J125" s="15">
        <v>2</v>
      </c>
      <c r="K125" s="15"/>
      <c r="L125" s="17"/>
      <c r="M125" s="17"/>
      <c r="N125" s="13"/>
      <c r="O125" s="17"/>
      <c r="P125" s="17"/>
      <c r="Q125" s="17"/>
      <c r="R125" s="17"/>
      <c r="S125" s="15"/>
      <c r="T125" s="25">
        <v>45850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283</v>
      </c>
      <c r="D126" s="106" t="s">
        <v>183</v>
      </c>
      <c r="E126" s="15" t="s">
        <v>59</v>
      </c>
      <c r="F126" s="16"/>
      <c r="G126" s="12" t="s">
        <v>181</v>
      </c>
      <c r="H126" s="15" t="s">
        <v>188</v>
      </c>
      <c r="I126" s="15"/>
      <c r="J126" s="15">
        <v>2</v>
      </c>
      <c r="K126" s="15"/>
      <c r="L126" s="17"/>
      <c r="M126" s="17"/>
      <c r="N126" s="13"/>
      <c r="O126" s="17"/>
      <c r="P126" s="17"/>
      <c r="Q126" s="17"/>
      <c r="R126" s="17"/>
      <c r="S126" s="15"/>
      <c r="T126" s="25">
        <v>45850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/>
      <c r="D127" s="106"/>
      <c r="E127" s="15"/>
      <c r="F127" s="16"/>
      <c r="G127" s="12"/>
      <c r="H127" s="15"/>
      <c r="I127" s="15"/>
      <c r="J127" s="15"/>
      <c r="K127" s="15"/>
      <c r="L127" s="17"/>
      <c r="M127" s="17"/>
      <c r="N127" s="13"/>
      <c r="O127" s="17"/>
      <c r="P127" s="17"/>
      <c r="Q127" s="17"/>
      <c r="R127" s="17"/>
      <c r="S127" s="15"/>
      <c r="T127" s="25"/>
      <c r="U127" s="13"/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/>
      <c r="D128" s="106"/>
      <c r="E128" s="15"/>
      <c r="F128" s="16"/>
      <c r="G128" s="12"/>
      <c r="H128" s="13"/>
      <c r="I128" s="15"/>
      <c r="J128" s="15"/>
      <c r="K128" s="15"/>
      <c r="L128" s="17"/>
      <c r="M128" s="17"/>
      <c r="N128" s="13"/>
      <c r="O128" s="17"/>
      <c r="P128" s="17"/>
      <c r="Q128" s="17"/>
      <c r="R128" s="17"/>
      <c r="S128" s="15"/>
      <c r="T128" s="25"/>
      <c r="U128" s="13"/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/>
      <c r="D129" s="106"/>
      <c r="E129" s="15"/>
      <c r="F129" s="16"/>
      <c r="G129" s="12"/>
      <c r="H129" s="15"/>
      <c r="I129" s="15"/>
      <c r="J129" s="15"/>
      <c r="K129" s="15"/>
      <c r="L129" s="17"/>
      <c r="M129" s="17"/>
      <c r="N129" s="13"/>
      <c r="O129" s="17"/>
      <c r="P129" s="17"/>
      <c r="Q129" s="17"/>
      <c r="R129" s="17"/>
      <c r="S129" s="15"/>
      <c r="T129" s="25"/>
      <c r="U129" s="13"/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/>
      <c r="D130" s="106"/>
      <c r="E130" s="15"/>
      <c r="F130" s="16"/>
      <c r="G130" s="12"/>
      <c r="H130" s="15"/>
      <c r="I130" s="15"/>
      <c r="J130" s="15"/>
      <c r="K130" s="15"/>
      <c r="L130" s="17"/>
      <c r="M130" s="17"/>
      <c r="N130" s="13"/>
      <c r="O130" s="17"/>
      <c r="P130" s="17"/>
      <c r="Q130" s="17"/>
      <c r="R130" s="17"/>
      <c r="S130" s="15"/>
      <c r="T130" s="25"/>
      <c r="U130" s="13"/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/>
      <c r="D131" s="106"/>
      <c r="E131" s="15"/>
      <c r="F131" s="16"/>
      <c r="G131" s="12"/>
      <c r="H131" s="15"/>
      <c r="I131" s="15"/>
      <c r="J131" s="15"/>
      <c r="K131" s="15"/>
      <c r="L131" s="17"/>
      <c r="M131" s="17"/>
      <c r="N131" s="13"/>
      <c r="O131" s="17"/>
      <c r="P131" s="17"/>
      <c r="Q131" s="17"/>
      <c r="R131" s="17"/>
      <c r="S131" s="86"/>
      <c r="T131" s="25"/>
      <c r="U131" s="13"/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/>
      <c r="D132" s="106"/>
      <c r="E132" s="15"/>
      <c r="F132" s="16"/>
      <c r="G132" s="12"/>
      <c r="H132" s="15"/>
      <c r="I132" s="15"/>
      <c r="J132" s="15"/>
      <c r="K132" s="15"/>
      <c r="L132" s="17"/>
      <c r="M132" s="17"/>
      <c r="N132" s="13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/>
      <c r="D133" s="106"/>
      <c r="E133" s="15"/>
      <c r="F133" s="16"/>
      <c r="G133" s="12"/>
      <c r="H133" s="15"/>
      <c r="I133" s="15"/>
      <c r="J133" s="15"/>
      <c r="K133" s="15"/>
      <c r="L133" s="17"/>
      <c r="M133" s="17"/>
      <c r="N133" s="13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/>
      <c r="D134" s="106"/>
      <c r="E134" s="15"/>
      <c r="F134" s="16"/>
      <c r="G134" s="12"/>
      <c r="H134" s="15"/>
      <c r="I134" s="15"/>
      <c r="J134" s="15"/>
      <c r="K134" s="15"/>
      <c r="L134" s="17"/>
      <c r="M134" s="17"/>
      <c r="N134" s="13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/>
      <c r="D135" s="106"/>
      <c r="E135" s="15"/>
      <c r="F135" s="16"/>
      <c r="G135" s="12"/>
      <c r="H135" s="15"/>
      <c r="I135" s="15"/>
      <c r="J135" s="15"/>
      <c r="K135" s="15"/>
      <c r="L135" s="17"/>
      <c r="M135" s="17"/>
      <c r="N135" s="13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/>
      <c r="D136" s="106"/>
      <c r="E136" s="15"/>
      <c r="F136" s="16"/>
      <c r="G136" s="12"/>
      <c r="H136" s="15"/>
      <c r="I136" s="15"/>
      <c r="J136" s="15"/>
      <c r="K136" s="15"/>
      <c r="L136" s="17"/>
      <c r="M136" s="17"/>
      <c r="N136" s="13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/>
      <c r="D137" s="106"/>
      <c r="E137" s="15"/>
      <c r="F137" s="16"/>
      <c r="G137" s="12"/>
      <c r="H137" s="15"/>
      <c r="I137" s="15"/>
      <c r="J137" s="15"/>
      <c r="K137" s="15"/>
      <c r="L137" s="17"/>
      <c r="M137" s="17"/>
      <c r="N137" s="13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4</v>
      </c>
      <c r="D148" s="112"/>
      <c r="E148" s="29"/>
      <c r="F148" s="29" t="s">
        <v>34</v>
      </c>
      <c r="G148" s="29">
        <f>COUNTIF(G123:G147,"S")</f>
        <v>4</v>
      </c>
      <c r="H148" s="29">
        <f>COUNTIF(H123:H147,"E")</f>
        <v>3</v>
      </c>
      <c r="I148" s="29">
        <f>SUM(I123:I147)</f>
        <v>0</v>
      </c>
      <c r="J148" s="29">
        <f t="shared" ref="J148" si="13">SUM(J123:J147)</f>
        <v>7</v>
      </c>
      <c r="K148" s="29">
        <f t="shared" ref="K148" si="14">SUM(K123:K147)</f>
        <v>0</v>
      </c>
      <c r="L148" s="29">
        <f t="shared" ref="L148" si="15">SUM(L123:L147)</f>
        <v>1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AYG110</v>
      </c>
      <c r="B151" s="24">
        <f>B1</f>
        <v>45811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21.6</v>
      </c>
      <c r="C153" s="85" t="s">
        <v>284</v>
      </c>
      <c r="D153" s="109" t="s">
        <v>187</v>
      </c>
      <c r="E153" s="13" t="s">
        <v>36</v>
      </c>
      <c r="F153" s="14"/>
      <c r="G153" s="12" t="s">
        <v>181</v>
      </c>
      <c r="H153" s="13"/>
      <c r="I153" s="13"/>
      <c r="J153" s="13"/>
      <c r="K153" s="13"/>
      <c r="L153" s="13"/>
      <c r="M153" s="13">
        <v>1</v>
      </c>
      <c r="N153" s="13">
        <v>1</v>
      </c>
      <c r="O153" s="13"/>
      <c r="P153" s="13"/>
      <c r="Q153" s="13">
        <v>1</v>
      </c>
      <c r="R153" s="13"/>
      <c r="S153" s="13"/>
      <c r="T153" s="26">
        <v>45847</v>
      </c>
      <c r="U153" s="13" t="s">
        <v>147</v>
      </c>
      <c r="V153">
        <v>1</v>
      </c>
      <c r="X153" s="51" t="s">
        <v>106</v>
      </c>
      <c r="Y153" s="52">
        <f>COUNTIF(U153:U177,"K")</f>
        <v>6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285</v>
      </c>
      <c r="D154" s="109" t="s">
        <v>187</v>
      </c>
      <c r="E154" s="13" t="s">
        <v>38</v>
      </c>
      <c r="F154" s="16"/>
      <c r="G154" s="12" t="s">
        <v>181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6">
        <v>45847</v>
      </c>
      <c r="U154" s="13" t="s">
        <v>147</v>
      </c>
      <c r="V154">
        <v>2</v>
      </c>
      <c r="X154" s="51" t="s">
        <v>107</v>
      </c>
      <c r="Y154" s="52">
        <f>COUNTIF(U153:U177,"R")</f>
        <v>5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286</v>
      </c>
      <c r="D155" s="106" t="s">
        <v>194</v>
      </c>
      <c r="E155" s="106" t="s">
        <v>75</v>
      </c>
      <c r="F155" s="16"/>
      <c r="G155" s="12" t="s">
        <v>181</v>
      </c>
      <c r="H155" s="13"/>
      <c r="I155" s="15"/>
      <c r="J155" s="13"/>
      <c r="K155" s="15"/>
      <c r="L155" s="13"/>
      <c r="M155" s="17"/>
      <c r="N155" s="17"/>
      <c r="O155" s="17"/>
      <c r="P155" s="17"/>
      <c r="Q155" s="17"/>
      <c r="R155" s="17"/>
      <c r="S155" s="15"/>
      <c r="T155" s="25">
        <v>45836</v>
      </c>
      <c r="U155" s="13" t="s">
        <v>147</v>
      </c>
      <c r="V155">
        <v>3</v>
      </c>
      <c r="X155" s="53" t="s">
        <v>108</v>
      </c>
      <c r="Y155" s="54">
        <f>COUNTIF(U153:U177,"J")</f>
        <v>4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287</v>
      </c>
      <c r="D156" s="106" t="s">
        <v>194</v>
      </c>
      <c r="E156" s="106" t="s">
        <v>36</v>
      </c>
      <c r="F156" s="16"/>
      <c r="G156" s="12" t="s">
        <v>181</v>
      </c>
      <c r="H156" s="15"/>
      <c r="I156" s="15"/>
      <c r="J156" s="13"/>
      <c r="K156" s="15"/>
      <c r="L156" s="13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5">
        <v>45836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288</v>
      </c>
      <c r="D157" s="106" t="s">
        <v>194</v>
      </c>
      <c r="E157" s="106" t="s">
        <v>43</v>
      </c>
      <c r="F157" s="16"/>
      <c r="G157" s="12" t="s">
        <v>181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45836</v>
      </c>
      <c r="U157" s="13" t="s">
        <v>142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289</v>
      </c>
      <c r="D158" s="106" t="s">
        <v>194</v>
      </c>
      <c r="E158" s="106" t="s">
        <v>44</v>
      </c>
      <c r="F158" s="16"/>
      <c r="G158" s="12" t="s">
        <v>181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5">
        <v>45836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290</v>
      </c>
      <c r="D159" s="106" t="s">
        <v>194</v>
      </c>
      <c r="E159" s="106" t="s">
        <v>38</v>
      </c>
      <c r="F159" s="16"/>
      <c r="G159" s="12" t="s">
        <v>181</v>
      </c>
      <c r="H159" s="15"/>
      <c r="I159" s="15"/>
      <c r="J159" s="13">
        <v>1</v>
      </c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5">
        <v>45836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291</v>
      </c>
      <c r="D160" s="106" t="s">
        <v>194</v>
      </c>
      <c r="E160" s="106" t="s">
        <v>39</v>
      </c>
      <c r="F160" s="16"/>
      <c r="G160" s="12" t="s">
        <v>181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5">
        <v>45836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292</v>
      </c>
      <c r="D161" s="106" t="s">
        <v>180</v>
      </c>
      <c r="E161" s="106" t="s">
        <v>40</v>
      </c>
      <c r="F161" s="16"/>
      <c r="G161" s="12" t="s">
        <v>181</v>
      </c>
      <c r="H161" s="15"/>
      <c r="I161" s="15"/>
      <c r="J161" s="13"/>
      <c r="K161" s="15"/>
      <c r="L161" s="13"/>
      <c r="M161" s="17"/>
      <c r="N161" s="17"/>
      <c r="O161" s="17"/>
      <c r="P161" s="17">
        <v>1</v>
      </c>
      <c r="Q161" s="17"/>
      <c r="R161" s="17">
        <v>1</v>
      </c>
      <c r="S161" s="15"/>
      <c r="T161" s="25">
        <v>45846</v>
      </c>
      <c r="U161" s="13" t="s">
        <v>148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293</v>
      </c>
      <c r="D162" s="106" t="s">
        <v>180</v>
      </c>
      <c r="E162" s="106" t="s">
        <v>37</v>
      </c>
      <c r="F162" s="106"/>
      <c r="G162" s="12" t="s">
        <v>181</v>
      </c>
      <c r="H162" s="15"/>
      <c r="I162" s="15"/>
      <c r="J162" s="13"/>
      <c r="K162" s="15"/>
      <c r="L162" s="13"/>
      <c r="M162" s="17">
        <v>1</v>
      </c>
      <c r="N162" s="17">
        <v>1</v>
      </c>
      <c r="O162" s="17"/>
      <c r="P162" s="17"/>
      <c r="Q162" s="17">
        <v>1</v>
      </c>
      <c r="R162" s="17"/>
      <c r="S162" s="15"/>
      <c r="T162" s="25">
        <v>45841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294</v>
      </c>
      <c r="D163" s="106" t="s">
        <v>180</v>
      </c>
      <c r="E163" s="106" t="s">
        <v>40</v>
      </c>
      <c r="F163" s="16"/>
      <c r="G163" s="12" t="s">
        <v>181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1</v>
      </c>
      <c r="Q163" s="17">
        <v>1</v>
      </c>
      <c r="R163" s="17">
        <v>1</v>
      </c>
      <c r="S163" s="15"/>
      <c r="T163" s="25">
        <v>45841</v>
      </c>
      <c r="U163" s="13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295</v>
      </c>
      <c r="D164" s="106" t="s">
        <v>296</v>
      </c>
      <c r="E164" s="106" t="s">
        <v>39</v>
      </c>
      <c r="F164" s="16"/>
      <c r="G164" s="12" t="s">
        <v>181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45850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297</v>
      </c>
      <c r="D165" s="106" t="s">
        <v>296</v>
      </c>
      <c r="E165" s="106" t="s">
        <v>133</v>
      </c>
      <c r="F165" s="16"/>
      <c r="G165" s="12" t="s">
        <v>181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>
        <v>1</v>
      </c>
      <c r="R165" s="17">
        <v>1</v>
      </c>
      <c r="S165" s="15"/>
      <c r="T165" s="25">
        <v>45850</v>
      </c>
      <c r="U165" s="13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 t="s">
        <v>298</v>
      </c>
      <c r="D166" s="106" t="s">
        <v>296</v>
      </c>
      <c r="E166" s="106" t="s">
        <v>39</v>
      </c>
      <c r="F166" s="16"/>
      <c r="G166" s="12" t="s">
        <v>181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5">
        <v>45850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 t="s">
        <v>299</v>
      </c>
      <c r="D167" s="106" t="s">
        <v>296</v>
      </c>
      <c r="E167" s="106" t="s">
        <v>133</v>
      </c>
      <c r="F167" s="16"/>
      <c r="G167" s="12" t="s">
        <v>181</v>
      </c>
      <c r="H167" s="15"/>
      <c r="I167" s="15"/>
      <c r="J167" s="15"/>
      <c r="K167" s="15"/>
      <c r="L167" s="17"/>
      <c r="M167" s="17"/>
      <c r="N167" s="17"/>
      <c r="O167" s="17">
        <v>1</v>
      </c>
      <c r="P167" s="17">
        <v>1</v>
      </c>
      <c r="Q167" s="17">
        <v>1</v>
      </c>
      <c r="R167" s="17">
        <v>1</v>
      </c>
      <c r="S167" s="15"/>
      <c r="T167" s="25">
        <v>45850</v>
      </c>
      <c r="U167" s="13" t="s">
        <v>148</v>
      </c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6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4</v>
      </c>
      <c r="O178" s="29">
        <f t="shared" ref="O178" si="28">SUM(O153:O177)</f>
        <v>3</v>
      </c>
      <c r="P178" s="29">
        <f t="shared" ref="P178" si="29">SUM(P153:P177)</f>
        <v>4</v>
      </c>
      <c r="Q178" s="29">
        <f t="shared" ref="Q178" si="30">SUM(Q153:Q177)</f>
        <v>7</v>
      </c>
      <c r="R178" s="29">
        <f t="shared" ref="R178" si="31">SUM(R153:R177)</f>
        <v>4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45789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21.2</v>
      </c>
      <c r="C183" s="85" t="s">
        <v>300</v>
      </c>
      <c r="D183" s="110" t="s">
        <v>182</v>
      </c>
      <c r="E183" s="18" t="s">
        <v>37</v>
      </c>
      <c r="F183" s="16"/>
      <c r="G183" s="18" t="s">
        <v>181</v>
      </c>
      <c r="H183" s="15"/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45833</v>
      </c>
      <c r="U183" s="15" t="s">
        <v>147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301</v>
      </c>
      <c r="D184" s="110" t="s">
        <v>182</v>
      </c>
      <c r="E184" s="15" t="s">
        <v>57</v>
      </c>
      <c r="F184" s="16"/>
      <c r="G184" s="18" t="s">
        <v>185</v>
      </c>
      <c r="H184" s="15"/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5"/>
      <c r="T184" s="25">
        <v>45833</v>
      </c>
      <c r="U184" s="15" t="s">
        <v>147</v>
      </c>
      <c r="V184">
        <v>2</v>
      </c>
      <c r="X184" s="51" t="s">
        <v>107</v>
      </c>
      <c r="Y184" s="52">
        <f>COUNTIF(U183:U207,"R")</f>
        <v>3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302</v>
      </c>
      <c r="D185" s="110" t="s">
        <v>203</v>
      </c>
      <c r="E185" s="15" t="s">
        <v>39</v>
      </c>
      <c r="F185" s="16"/>
      <c r="G185" s="18" t="s">
        <v>181</v>
      </c>
      <c r="H185" s="15"/>
      <c r="I185" s="15"/>
      <c r="J185" s="15">
        <v>1</v>
      </c>
      <c r="K185" s="15">
        <v>1</v>
      </c>
      <c r="L185" s="17"/>
      <c r="M185" s="17"/>
      <c r="N185" s="17"/>
      <c r="O185" s="17"/>
      <c r="P185" s="17"/>
      <c r="Q185" s="17"/>
      <c r="R185" s="17"/>
      <c r="S185" s="15"/>
      <c r="T185" s="25">
        <v>45854</v>
      </c>
      <c r="U185" s="15" t="s">
        <v>142</v>
      </c>
      <c r="V185">
        <v>3</v>
      </c>
      <c r="X185" s="53" t="s">
        <v>108</v>
      </c>
      <c r="Y185" s="54">
        <f>COUNTIF(U183:U207,"J")</f>
        <v>5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303</v>
      </c>
      <c r="D186" s="110" t="s">
        <v>197</v>
      </c>
      <c r="E186" s="15" t="s">
        <v>39</v>
      </c>
      <c r="F186" s="16"/>
      <c r="G186" s="18" t="s">
        <v>181</v>
      </c>
      <c r="H186" s="15"/>
      <c r="I186" s="15"/>
      <c r="J186" s="15">
        <v>1</v>
      </c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45866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304</v>
      </c>
      <c r="D187" s="106" t="s">
        <v>197</v>
      </c>
      <c r="E187" s="13" t="s">
        <v>133</v>
      </c>
      <c r="F187" s="16"/>
      <c r="G187" s="18" t="s">
        <v>181</v>
      </c>
      <c r="H187" s="15"/>
      <c r="I187" s="15"/>
      <c r="J187" s="15"/>
      <c r="K187" s="15"/>
      <c r="L187" s="17"/>
      <c r="M187" s="17"/>
      <c r="N187" s="17"/>
      <c r="O187" s="17">
        <v>1</v>
      </c>
      <c r="P187" s="17">
        <v>1</v>
      </c>
      <c r="Q187" s="17"/>
      <c r="R187" s="17">
        <v>1</v>
      </c>
      <c r="S187" s="15"/>
      <c r="T187" s="25">
        <v>45866</v>
      </c>
      <c r="U187" s="25" t="s">
        <v>148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306</v>
      </c>
      <c r="D188" s="106" t="s">
        <v>305</v>
      </c>
      <c r="E188" s="13" t="s">
        <v>40</v>
      </c>
      <c r="F188" s="16"/>
      <c r="G188" s="18" t="s">
        <v>181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>
        <v>1</v>
      </c>
      <c r="Q188" s="17">
        <v>1</v>
      </c>
      <c r="R188" s="17">
        <v>1</v>
      </c>
      <c r="S188" s="15"/>
      <c r="T188" s="25">
        <v>45850</v>
      </c>
      <c r="U188" s="2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307</v>
      </c>
      <c r="D189" s="106" t="s">
        <v>305</v>
      </c>
      <c r="E189" s="13" t="s">
        <v>36</v>
      </c>
      <c r="F189" s="16"/>
      <c r="G189" s="18" t="s">
        <v>181</v>
      </c>
      <c r="H189" s="15"/>
      <c r="I189" s="15"/>
      <c r="J189" s="15"/>
      <c r="K189" s="15"/>
      <c r="L189" s="17"/>
      <c r="M189" s="17">
        <v>1</v>
      </c>
      <c r="N189" s="17"/>
      <c r="O189" s="17"/>
      <c r="P189" s="17"/>
      <c r="Q189" s="17">
        <v>1</v>
      </c>
      <c r="R189" s="17"/>
      <c r="S189" s="15"/>
      <c r="T189" s="25">
        <v>45850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308</v>
      </c>
      <c r="D190" s="106" t="s">
        <v>296</v>
      </c>
      <c r="E190" s="13" t="s">
        <v>39</v>
      </c>
      <c r="F190" s="16"/>
      <c r="G190" s="18" t="s">
        <v>181</v>
      </c>
      <c r="H190" s="15"/>
      <c r="I190" s="15"/>
      <c r="J190" s="15">
        <v>1</v>
      </c>
      <c r="K190" s="15">
        <v>1</v>
      </c>
      <c r="L190" s="17"/>
      <c r="M190" s="17"/>
      <c r="N190" s="17"/>
      <c r="O190" s="17"/>
      <c r="P190" s="17"/>
      <c r="Q190" s="17"/>
      <c r="R190" s="17"/>
      <c r="S190" s="15"/>
      <c r="T190" s="25">
        <v>45850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 t="s">
        <v>309</v>
      </c>
      <c r="D191" s="106" t="s">
        <v>296</v>
      </c>
      <c r="E191" s="13" t="s">
        <v>133</v>
      </c>
      <c r="F191" s="16"/>
      <c r="G191" s="18" t="s">
        <v>181</v>
      </c>
      <c r="H191" s="15"/>
      <c r="I191" s="15"/>
      <c r="J191" s="15"/>
      <c r="K191" s="15"/>
      <c r="L191" s="17"/>
      <c r="M191" s="17"/>
      <c r="N191" s="17"/>
      <c r="O191" s="17">
        <v>1</v>
      </c>
      <c r="P191" s="17">
        <v>1</v>
      </c>
      <c r="Q191" s="17">
        <v>1</v>
      </c>
      <c r="R191" s="17">
        <v>1</v>
      </c>
      <c r="S191" s="15"/>
      <c r="T191" s="25">
        <v>45850</v>
      </c>
      <c r="U191" s="2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 t="s">
        <v>310</v>
      </c>
      <c r="D192" s="106" t="s">
        <v>296</v>
      </c>
      <c r="E192" s="13" t="s">
        <v>39</v>
      </c>
      <c r="F192" s="16"/>
      <c r="G192" s="18" t="s">
        <v>181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45850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 t="s">
        <v>311</v>
      </c>
      <c r="D193" s="106" t="s">
        <v>296</v>
      </c>
      <c r="E193" s="13" t="s">
        <v>133</v>
      </c>
      <c r="F193" s="16"/>
      <c r="G193" s="18" t="s">
        <v>181</v>
      </c>
      <c r="H193" s="15"/>
      <c r="I193" s="15"/>
      <c r="J193" s="15"/>
      <c r="K193" s="15"/>
      <c r="L193" s="17"/>
      <c r="M193" s="17"/>
      <c r="N193" s="17"/>
      <c r="O193" s="17">
        <v>1</v>
      </c>
      <c r="P193" s="17">
        <v>1</v>
      </c>
      <c r="Q193" s="17">
        <v>1</v>
      </c>
      <c r="R193" s="17">
        <v>1</v>
      </c>
      <c r="S193" s="15"/>
      <c r="T193" s="25">
        <v>45850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 t="s">
        <v>312</v>
      </c>
      <c r="D194" s="106" t="s">
        <v>296</v>
      </c>
      <c r="E194" s="13" t="s">
        <v>39</v>
      </c>
      <c r="F194" s="16"/>
      <c r="G194" s="18" t="s">
        <v>181</v>
      </c>
      <c r="H194" s="15"/>
      <c r="I194" s="15"/>
      <c r="J194" s="15">
        <v>1</v>
      </c>
      <c r="K194" s="15">
        <v>1</v>
      </c>
      <c r="L194" s="17"/>
      <c r="M194" s="17"/>
      <c r="N194" s="17"/>
      <c r="O194" s="17"/>
      <c r="P194" s="17"/>
      <c r="Q194" s="17"/>
      <c r="R194" s="17"/>
      <c r="S194" s="15"/>
      <c r="T194" s="25">
        <v>45850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 t="s">
        <v>313</v>
      </c>
      <c r="D195" s="106" t="s">
        <v>296</v>
      </c>
      <c r="E195" s="15" t="s">
        <v>133</v>
      </c>
      <c r="F195" s="16"/>
      <c r="G195" s="18" t="s">
        <v>181</v>
      </c>
      <c r="H195" s="15"/>
      <c r="I195" s="15"/>
      <c r="J195" s="15"/>
      <c r="K195" s="15"/>
      <c r="L195" s="17"/>
      <c r="M195" s="17"/>
      <c r="N195" s="17"/>
      <c r="O195" s="17">
        <v>1</v>
      </c>
      <c r="P195" s="17">
        <v>1</v>
      </c>
      <c r="Q195" s="17">
        <v>1</v>
      </c>
      <c r="R195" s="17">
        <v>1</v>
      </c>
      <c r="S195" s="15"/>
      <c r="T195" s="25">
        <v>45850</v>
      </c>
      <c r="U195" s="15" t="s">
        <v>148</v>
      </c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 t="s">
        <v>314</v>
      </c>
      <c r="D196" s="106" t="s">
        <v>296</v>
      </c>
      <c r="E196" s="15" t="s">
        <v>39</v>
      </c>
      <c r="F196" s="16"/>
      <c r="G196" s="18" t="s">
        <v>181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45850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 t="s">
        <v>315</v>
      </c>
      <c r="D197" s="106" t="s">
        <v>296</v>
      </c>
      <c r="E197" s="15" t="s">
        <v>39</v>
      </c>
      <c r="F197" s="16"/>
      <c r="G197" s="15" t="s">
        <v>181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45850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7</v>
      </c>
      <c r="L208" s="29">
        <f t="shared" ref="L208" si="35">SUM(L183:L207)</f>
        <v>0</v>
      </c>
      <c r="M208" s="29">
        <f t="shared" ref="M208" si="36">SUM(M183:M207)</f>
        <v>1</v>
      </c>
      <c r="N208" s="29">
        <f t="shared" ref="N208" si="37">SUM(N183:N207)</f>
        <v>0</v>
      </c>
      <c r="O208" s="29">
        <f t="shared" ref="O208" si="38">SUM(O183:O207)</f>
        <v>5</v>
      </c>
      <c r="P208" s="29">
        <f t="shared" ref="P208" si="39">SUM(P183:P207)</f>
        <v>5</v>
      </c>
      <c r="Q208" s="29">
        <f t="shared" ref="Q208" si="40">SUM(Q183:Q207)</f>
        <v>5</v>
      </c>
      <c r="R208" s="29">
        <f t="shared" ref="R208" si="41">SUM(R183:R207)</f>
        <v>5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35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AYG110</v>
      </c>
      <c r="B211" s="24">
        <f>B1</f>
        <v>45811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20</v>
      </c>
      <c r="C213" s="85" t="s">
        <v>316</v>
      </c>
      <c r="D213" s="106" t="s">
        <v>189</v>
      </c>
      <c r="E213" s="106" t="s">
        <v>41</v>
      </c>
      <c r="F213" s="14"/>
      <c r="G213" s="12" t="s">
        <v>181</v>
      </c>
      <c r="H213" s="13"/>
      <c r="I213" s="13"/>
      <c r="J213" s="13">
        <v>1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25">
        <v>45838</v>
      </c>
      <c r="U213" s="13" t="s">
        <v>146</v>
      </c>
      <c r="V213">
        <v>1</v>
      </c>
      <c r="X213" s="51" t="s">
        <v>106</v>
      </c>
      <c r="Y213" s="52">
        <f>COUNTIF(U213:U237,"K")</f>
        <v>6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317</v>
      </c>
      <c r="D214" s="106" t="s">
        <v>189</v>
      </c>
      <c r="E214" s="106" t="s">
        <v>42</v>
      </c>
      <c r="F214" s="16"/>
      <c r="G214" s="12" t="s">
        <v>181</v>
      </c>
      <c r="H214" s="15"/>
      <c r="I214" s="15"/>
      <c r="J214" s="13"/>
      <c r="K214" s="15"/>
      <c r="L214" s="13"/>
      <c r="M214" s="17"/>
      <c r="N214" s="17"/>
      <c r="O214" s="17"/>
      <c r="P214" s="17"/>
      <c r="Q214" s="17"/>
      <c r="R214" s="17"/>
      <c r="S214" s="15"/>
      <c r="T214" s="25">
        <v>45838</v>
      </c>
      <c r="U214" s="13" t="s">
        <v>146</v>
      </c>
      <c r="V214">
        <v>2</v>
      </c>
      <c r="X214" s="51" t="s">
        <v>107</v>
      </c>
      <c r="Y214" s="52">
        <f>COUNTIF(U213:U237,"R")</f>
        <v>9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318</v>
      </c>
      <c r="D215" s="106" t="s">
        <v>180</v>
      </c>
      <c r="E215" s="106" t="s">
        <v>36</v>
      </c>
      <c r="F215" s="16"/>
      <c r="G215" s="12" t="s">
        <v>181</v>
      </c>
      <c r="H215" s="13"/>
      <c r="I215" s="15"/>
      <c r="J215" s="13">
        <v>1</v>
      </c>
      <c r="K215" s="15">
        <v>1</v>
      </c>
      <c r="L215" s="13"/>
      <c r="M215" s="17"/>
      <c r="N215" s="17"/>
      <c r="O215" s="17"/>
      <c r="P215" s="17"/>
      <c r="Q215" s="17"/>
      <c r="R215" s="17"/>
      <c r="S215" s="15"/>
      <c r="T215" s="25">
        <v>45830</v>
      </c>
      <c r="U215" s="13" t="s">
        <v>146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319</v>
      </c>
      <c r="D216" s="106" t="s">
        <v>191</v>
      </c>
      <c r="E216" s="106" t="s">
        <v>44</v>
      </c>
      <c r="F216" s="16"/>
      <c r="G216" s="12" t="s">
        <v>181</v>
      </c>
      <c r="H216" s="15"/>
      <c r="I216" s="15"/>
      <c r="J216" s="13"/>
      <c r="K216" s="15"/>
      <c r="L216" s="13"/>
      <c r="M216" s="17"/>
      <c r="N216" s="17"/>
      <c r="O216" s="17"/>
      <c r="P216" s="17"/>
      <c r="Q216" s="17"/>
      <c r="R216" s="17"/>
      <c r="S216" s="15"/>
      <c r="T216" s="25">
        <v>45846</v>
      </c>
      <c r="U216" s="13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320</v>
      </c>
      <c r="D217" s="106" t="s">
        <v>197</v>
      </c>
      <c r="E217" s="106" t="s">
        <v>38</v>
      </c>
      <c r="F217" s="16"/>
      <c r="G217" s="12" t="s">
        <v>181</v>
      </c>
      <c r="H217" s="15"/>
      <c r="I217" s="15"/>
      <c r="J217" s="13">
        <v>1</v>
      </c>
      <c r="K217" s="15"/>
      <c r="L217" s="13"/>
      <c r="M217" s="17"/>
      <c r="N217" s="17"/>
      <c r="O217" s="17"/>
      <c r="P217" s="17"/>
      <c r="Q217" s="17"/>
      <c r="R217" s="17"/>
      <c r="S217" s="15"/>
      <c r="T217" s="25">
        <v>45866</v>
      </c>
      <c r="U217" s="13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352</v>
      </c>
      <c r="D218" s="106" t="s">
        <v>197</v>
      </c>
      <c r="E218" s="106" t="s">
        <v>37</v>
      </c>
      <c r="F218" s="16"/>
      <c r="G218" s="12" t="s">
        <v>181</v>
      </c>
      <c r="H218" s="13"/>
      <c r="I218" s="15"/>
      <c r="J218" s="13">
        <v>1</v>
      </c>
      <c r="K218" s="15">
        <v>1</v>
      </c>
      <c r="L218" s="13"/>
      <c r="M218" s="17"/>
      <c r="N218" s="17"/>
      <c r="O218" s="17"/>
      <c r="P218" s="17"/>
      <c r="Q218" s="17"/>
      <c r="R218" s="17"/>
      <c r="S218" s="15"/>
      <c r="T218" s="25">
        <v>45866</v>
      </c>
      <c r="U218" s="13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 t="s">
        <v>321</v>
      </c>
      <c r="D219" s="106" t="s">
        <v>197</v>
      </c>
      <c r="E219" s="106" t="s">
        <v>44</v>
      </c>
      <c r="F219" s="16"/>
      <c r="G219" s="12" t="s">
        <v>181</v>
      </c>
      <c r="H219" s="15"/>
      <c r="I219" s="15"/>
      <c r="J219" s="13">
        <v>1</v>
      </c>
      <c r="K219" s="15">
        <v>1</v>
      </c>
      <c r="L219" s="13"/>
      <c r="M219" s="17"/>
      <c r="N219" s="17"/>
      <c r="O219" s="17"/>
      <c r="P219" s="17"/>
      <c r="Q219" s="17"/>
      <c r="R219" s="17"/>
      <c r="S219" s="15"/>
      <c r="T219" s="25">
        <v>45866</v>
      </c>
      <c r="U219" s="13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322</v>
      </c>
      <c r="D220" s="106" t="s">
        <v>197</v>
      </c>
      <c r="E220" s="106" t="s">
        <v>40</v>
      </c>
      <c r="F220" s="16"/>
      <c r="G220" s="12" t="s">
        <v>181</v>
      </c>
      <c r="H220" s="15"/>
      <c r="I220" s="15"/>
      <c r="J220" s="13"/>
      <c r="K220" s="15"/>
      <c r="L220" s="13"/>
      <c r="M220" s="17"/>
      <c r="N220" s="17"/>
      <c r="O220" s="17">
        <v>1</v>
      </c>
      <c r="P220" s="17">
        <v>1</v>
      </c>
      <c r="Q220" s="17"/>
      <c r="R220" s="17"/>
      <c r="S220" s="15"/>
      <c r="T220" s="25">
        <v>45866</v>
      </c>
      <c r="U220" s="13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323</v>
      </c>
      <c r="D221" s="106" t="s">
        <v>196</v>
      </c>
      <c r="E221" s="106" t="s">
        <v>57</v>
      </c>
      <c r="F221" s="16"/>
      <c r="G221" s="12" t="s">
        <v>185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>
        <v>45844</v>
      </c>
      <c r="U221" s="13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324</v>
      </c>
      <c r="D222" s="106" t="s">
        <v>196</v>
      </c>
      <c r="E222" s="106" t="s">
        <v>44</v>
      </c>
      <c r="F222" s="106"/>
      <c r="G222" s="12" t="s">
        <v>181</v>
      </c>
      <c r="H222" s="15"/>
      <c r="I222" s="15"/>
      <c r="J222" s="13"/>
      <c r="K222" s="15"/>
      <c r="L222" s="13"/>
      <c r="M222" s="17">
        <v>1</v>
      </c>
      <c r="N222" s="17"/>
      <c r="O222" s="17"/>
      <c r="P222" s="17"/>
      <c r="Q222" s="17">
        <v>1</v>
      </c>
      <c r="R222" s="17"/>
      <c r="S222" s="15"/>
      <c r="T222" s="25">
        <v>45844</v>
      </c>
      <c r="U222" s="13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325</v>
      </c>
      <c r="D223" s="106" t="s">
        <v>196</v>
      </c>
      <c r="E223" s="106" t="s">
        <v>57</v>
      </c>
      <c r="F223" s="16"/>
      <c r="G223" s="12" t="s">
        <v>185</v>
      </c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45851</v>
      </c>
      <c r="U223" s="13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326</v>
      </c>
      <c r="D224" s="106" t="s">
        <v>196</v>
      </c>
      <c r="E224" s="106" t="s">
        <v>57</v>
      </c>
      <c r="F224" s="16"/>
      <c r="G224" s="12" t="s">
        <v>185</v>
      </c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45851</v>
      </c>
      <c r="U224" s="13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 t="s">
        <v>327</v>
      </c>
      <c r="D225" s="106" t="s">
        <v>196</v>
      </c>
      <c r="E225" s="106" t="s">
        <v>57</v>
      </c>
      <c r="F225" s="16"/>
      <c r="G225" s="12" t="s">
        <v>185</v>
      </c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45851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 t="s">
        <v>328</v>
      </c>
      <c r="D226" s="106" t="s">
        <v>196</v>
      </c>
      <c r="E226" s="106" t="s">
        <v>57</v>
      </c>
      <c r="F226" s="16"/>
      <c r="G226" s="12" t="s">
        <v>185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45851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 t="s">
        <v>329</v>
      </c>
      <c r="D227" s="106" t="s">
        <v>196</v>
      </c>
      <c r="E227" s="106" t="s">
        <v>41</v>
      </c>
      <c r="F227" s="16"/>
      <c r="G227" s="12" t="s">
        <v>181</v>
      </c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>
        <v>45844</v>
      </c>
      <c r="U227" s="13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 t="s">
        <v>330</v>
      </c>
      <c r="D228" s="106" t="s">
        <v>196</v>
      </c>
      <c r="E228" s="106" t="s">
        <v>40</v>
      </c>
      <c r="F228" s="16"/>
      <c r="G228" s="12" t="s">
        <v>184</v>
      </c>
      <c r="H228" s="15"/>
      <c r="I228" s="15"/>
      <c r="J228" s="18"/>
      <c r="K228" s="15"/>
      <c r="L228" s="19"/>
      <c r="M228" s="19"/>
      <c r="N228" s="19"/>
      <c r="O228" s="19"/>
      <c r="P228" s="19"/>
      <c r="Q228" s="19">
        <v>1</v>
      </c>
      <c r="R228" s="19"/>
      <c r="S228" s="15"/>
      <c r="T228" s="25">
        <v>45844</v>
      </c>
      <c r="U228" s="13" t="s">
        <v>148</v>
      </c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 t="s">
        <v>331</v>
      </c>
      <c r="D229" s="106" t="s">
        <v>196</v>
      </c>
      <c r="E229" s="106" t="s">
        <v>57</v>
      </c>
      <c r="F229" s="16"/>
      <c r="G229" s="12" t="s">
        <v>185</v>
      </c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>
        <v>45844</v>
      </c>
      <c r="U229" s="13" t="s">
        <v>147</v>
      </c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17</v>
      </c>
      <c r="D238" s="112"/>
      <c r="E238" s="29"/>
      <c r="F238" s="29" t="s">
        <v>34</v>
      </c>
      <c r="G238" s="29">
        <f>COUNTIF(G213:G237,"S")</f>
        <v>10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5</v>
      </c>
      <c r="K238" s="29">
        <f t="shared" ref="K238" si="44">SUM(K213:K237)</f>
        <v>3</v>
      </c>
      <c r="L238" s="29">
        <f t="shared" ref="L238" si="45">SUM(L213:L237)</f>
        <v>0</v>
      </c>
      <c r="M238" s="29">
        <f t="shared" ref="M238" si="46">SUM(M213:M237)</f>
        <v>1</v>
      </c>
      <c r="N238" s="29">
        <f t="shared" ref="N238" si="47">SUM(N213:N237)</f>
        <v>0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2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1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13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AYG110</v>
      </c>
      <c r="B241" s="24">
        <f>B1</f>
        <v>45811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16.8</v>
      </c>
      <c r="C243" s="85" t="s">
        <v>332</v>
      </c>
      <c r="D243" s="109" t="s">
        <v>219</v>
      </c>
      <c r="E243" s="13" t="s">
        <v>36</v>
      </c>
      <c r="F243" s="14"/>
      <c r="G243" s="12" t="s">
        <v>181</v>
      </c>
      <c r="H243" s="13"/>
      <c r="I243" s="13"/>
      <c r="J243" s="13"/>
      <c r="K243" s="13"/>
      <c r="L243" s="13"/>
      <c r="M243" s="13">
        <v>1</v>
      </c>
      <c r="N243" s="13">
        <v>1</v>
      </c>
      <c r="O243" s="13"/>
      <c r="P243" s="13"/>
      <c r="Q243" s="13">
        <v>1</v>
      </c>
      <c r="R243" s="13"/>
      <c r="S243" s="13"/>
      <c r="T243" s="26">
        <v>45836</v>
      </c>
      <c r="U243" s="13" t="s">
        <v>147</v>
      </c>
      <c r="V243">
        <v>1</v>
      </c>
      <c r="X243" t="s">
        <v>106</v>
      </c>
      <c r="Y243">
        <f>COUNTIF(U243:U267,"K")</f>
        <v>2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333</v>
      </c>
      <c r="D244" s="109" t="s">
        <v>180</v>
      </c>
      <c r="E244" s="13" t="s">
        <v>36</v>
      </c>
      <c r="F244" s="16"/>
      <c r="G244" s="12" t="s">
        <v>181</v>
      </c>
      <c r="H244" s="15"/>
      <c r="I244" s="15"/>
      <c r="J244" s="15"/>
      <c r="K244" s="15"/>
      <c r="L244" s="17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6">
        <v>45836</v>
      </c>
      <c r="U244" s="13" t="s">
        <v>147</v>
      </c>
      <c r="V244">
        <v>2</v>
      </c>
      <c r="X244" t="s">
        <v>107</v>
      </c>
      <c r="Y244">
        <f>COUNTIF(U243:U267,"R")</f>
        <v>9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334</v>
      </c>
      <c r="D245" s="109" t="s">
        <v>180</v>
      </c>
      <c r="E245" s="13" t="s">
        <v>36</v>
      </c>
      <c r="F245" s="16"/>
      <c r="G245" s="12" t="s">
        <v>181</v>
      </c>
      <c r="H245" s="15"/>
      <c r="I245" s="15"/>
      <c r="J245" s="15"/>
      <c r="K245" s="15"/>
      <c r="L245" s="17"/>
      <c r="M245" s="17">
        <v>1</v>
      </c>
      <c r="N245" s="17"/>
      <c r="O245" s="17"/>
      <c r="P245" s="17"/>
      <c r="Q245" s="17"/>
      <c r="R245" s="17"/>
      <c r="S245" s="15"/>
      <c r="T245" s="26">
        <v>45841</v>
      </c>
      <c r="U245" s="13" t="s">
        <v>147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335</v>
      </c>
      <c r="D246" s="109" t="s">
        <v>180</v>
      </c>
      <c r="E246" s="13" t="s">
        <v>36</v>
      </c>
      <c r="F246" s="16"/>
      <c r="G246" s="12" t="s">
        <v>181</v>
      </c>
      <c r="H246" s="15"/>
      <c r="I246" s="15"/>
      <c r="J246" s="15"/>
      <c r="K246" s="15"/>
      <c r="L246" s="17"/>
      <c r="M246" s="17">
        <v>1</v>
      </c>
      <c r="N246" s="17">
        <v>1</v>
      </c>
      <c r="O246" s="17"/>
      <c r="P246" s="17"/>
      <c r="Q246" s="17">
        <v>1</v>
      </c>
      <c r="R246" s="17"/>
      <c r="S246" s="15"/>
      <c r="T246" s="26">
        <v>45833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336</v>
      </c>
      <c r="D247" s="109" t="s">
        <v>180</v>
      </c>
      <c r="E247" s="13" t="s">
        <v>36</v>
      </c>
      <c r="F247" s="16"/>
      <c r="G247" s="12" t="s">
        <v>181</v>
      </c>
      <c r="H247" s="15"/>
      <c r="I247" s="15"/>
      <c r="J247" s="15"/>
      <c r="K247" s="15"/>
      <c r="L247" s="17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6">
        <v>45846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337</v>
      </c>
      <c r="D248" s="109" t="s">
        <v>193</v>
      </c>
      <c r="E248" s="13" t="s">
        <v>75</v>
      </c>
      <c r="F248" s="16"/>
      <c r="G248" s="12" t="s">
        <v>181</v>
      </c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>
        <v>45865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338</v>
      </c>
      <c r="D249" s="109" t="s">
        <v>187</v>
      </c>
      <c r="E249" s="13" t="s">
        <v>37</v>
      </c>
      <c r="F249" s="16"/>
      <c r="G249" s="12" t="s">
        <v>181</v>
      </c>
      <c r="H249" s="15"/>
      <c r="I249" s="15"/>
      <c r="J249" s="15">
        <v>1</v>
      </c>
      <c r="K249" s="15">
        <v>1</v>
      </c>
      <c r="L249" s="17"/>
      <c r="M249" s="17"/>
      <c r="N249" s="17"/>
      <c r="O249" s="17"/>
      <c r="P249" s="17"/>
      <c r="Q249" s="17"/>
      <c r="R249" s="17"/>
      <c r="S249" s="15"/>
      <c r="T249" s="26">
        <v>45850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339</v>
      </c>
      <c r="D250" s="109" t="s">
        <v>180</v>
      </c>
      <c r="E250" s="13" t="s">
        <v>37</v>
      </c>
      <c r="F250" s="16"/>
      <c r="G250" s="12" t="s">
        <v>181</v>
      </c>
      <c r="H250" s="15"/>
      <c r="I250" s="15"/>
      <c r="J250" s="15"/>
      <c r="K250" s="15"/>
      <c r="L250" s="17"/>
      <c r="M250" s="17">
        <v>1</v>
      </c>
      <c r="N250" s="17">
        <v>1</v>
      </c>
      <c r="O250" s="17"/>
      <c r="P250" s="17"/>
      <c r="Q250" s="17"/>
      <c r="R250" s="17"/>
      <c r="S250" s="15"/>
      <c r="T250" s="26">
        <v>45844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340</v>
      </c>
      <c r="D251" s="109" t="s">
        <v>182</v>
      </c>
      <c r="E251" s="13" t="s">
        <v>40</v>
      </c>
      <c r="F251" s="16"/>
      <c r="G251" s="12" t="s">
        <v>181</v>
      </c>
      <c r="H251" s="15"/>
      <c r="I251" s="15"/>
      <c r="J251" s="15"/>
      <c r="K251" s="15"/>
      <c r="L251" s="17"/>
      <c r="M251" s="17"/>
      <c r="N251" s="17"/>
      <c r="O251" s="17">
        <v>1</v>
      </c>
      <c r="P251" s="17">
        <v>1</v>
      </c>
      <c r="Q251" s="17"/>
      <c r="R251" s="17"/>
      <c r="S251" s="15"/>
      <c r="T251" s="26">
        <v>45836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341</v>
      </c>
      <c r="D252" s="109" t="s">
        <v>189</v>
      </c>
      <c r="E252" s="13" t="s">
        <v>41</v>
      </c>
      <c r="F252" s="16"/>
      <c r="G252" s="12" t="s">
        <v>181</v>
      </c>
      <c r="H252" s="15"/>
      <c r="I252" s="15"/>
      <c r="J252" s="15"/>
      <c r="K252" s="15"/>
      <c r="L252" s="17"/>
      <c r="M252" s="17"/>
      <c r="N252" s="17">
        <v>1</v>
      </c>
      <c r="O252" s="17"/>
      <c r="P252" s="17"/>
      <c r="Q252" s="17"/>
      <c r="R252" s="17"/>
      <c r="S252" s="15"/>
      <c r="T252" s="26">
        <v>45836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 t="s">
        <v>342</v>
      </c>
      <c r="D253" s="109" t="s">
        <v>196</v>
      </c>
      <c r="E253" s="13" t="s">
        <v>58</v>
      </c>
      <c r="F253" s="16"/>
      <c r="G253" s="12" t="s">
        <v>181</v>
      </c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>
        <v>1</v>
      </c>
      <c r="T253" s="26">
        <v>45840</v>
      </c>
      <c r="U253" s="13" t="s">
        <v>142</v>
      </c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 t="s">
        <v>343</v>
      </c>
      <c r="D254" s="109" t="s">
        <v>196</v>
      </c>
      <c r="E254" s="13" t="s">
        <v>75</v>
      </c>
      <c r="F254" s="16"/>
      <c r="G254" s="12" t="s">
        <v>181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>
        <v>1</v>
      </c>
      <c r="T254" s="26">
        <v>45840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12</v>
      </c>
      <c r="D268" s="112"/>
      <c r="E268" s="29"/>
      <c r="F268" s="29" t="s">
        <v>34</v>
      </c>
      <c r="G268" s="29">
        <f>COUNTIF(G243:G267,"S")</f>
        <v>12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</v>
      </c>
      <c r="K268" s="29">
        <f t="shared" ref="K268" si="54">SUM(K243:K267)</f>
        <v>1</v>
      </c>
      <c r="L268" s="29">
        <f t="shared" ref="L268" si="55">SUM(L243:L267)</f>
        <v>0</v>
      </c>
      <c r="M268" s="29">
        <f t="shared" ref="M268" si="56">SUM(M243:M267)</f>
        <v>6</v>
      </c>
      <c r="N268" s="29">
        <f t="shared" ref="N268" si="57">SUM(N243:N267)</f>
        <v>6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4</v>
      </c>
      <c r="R268" s="29">
        <f t="shared" ref="R268" si="61">SUM(R243:R267)</f>
        <v>0</v>
      </c>
      <c r="S268" s="29">
        <f t="shared" ref="S268" si="62">SUM(S243:S267)</f>
        <v>2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22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AYG110</v>
      </c>
      <c r="B271" s="24">
        <f>B1</f>
        <v>45811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AYG110</v>
      </c>
      <c r="B301" s="24">
        <f>B1</f>
        <v>45811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AYG110</v>
      </c>
      <c r="B331" s="24">
        <f>B151</f>
        <v>45811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179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I1490"/>
  <sheetViews>
    <sheetView zoomScaleNormal="100" workbookViewId="0">
      <selection sqref="A1:D24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4" width="16.625" customWidth="1"/>
    <col min="35" max="35" width="11" customWidth="1"/>
    <col min="36" max="36" width="10.5" style="121" customWidth="1"/>
    <col min="37" max="37" width="10.25" style="121" customWidth="1"/>
    <col min="38" max="38" width="10.875" style="121" customWidth="1"/>
    <col min="39" max="52" width="16.625" customWidth="1"/>
    <col min="53" max="53" width="20.5" customWidth="1"/>
    <col min="58" max="58" width="12.375" customWidth="1"/>
    <col min="59" max="59" width="11.25" customWidth="1"/>
    <col min="60" max="60" width="10.5" customWidth="1"/>
    <col min="61" max="61" width="10.25" customWidth="1"/>
  </cols>
  <sheetData>
    <row r="1" spans="1:57" x14ac:dyDescent="0.4">
      <c r="A1" s="120" t="s">
        <v>210</v>
      </c>
      <c r="B1" s="121"/>
      <c r="C1" s="121"/>
      <c r="D1" s="121"/>
      <c r="R1" t="s">
        <v>143</v>
      </c>
      <c r="S1" t="s">
        <v>144</v>
      </c>
      <c r="AC1" t="s">
        <v>143</v>
      </c>
      <c r="AD1" t="s">
        <v>144</v>
      </c>
      <c r="AI1" s="120"/>
      <c r="BA1" t="s">
        <v>143</v>
      </c>
      <c r="BB1" t="s">
        <v>144</v>
      </c>
    </row>
    <row r="2" spans="1:57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R2" s="25">
        <v>45822</v>
      </c>
      <c r="S2" s="13" t="s">
        <v>147</v>
      </c>
      <c r="AC2" s="25">
        <v>45669</v>
      </c>
      <c r="AD2" s="13" t="s">
        <v>147</v>
      </c>
      <c r="AI2" s="116"/>
      <c r="AJ2" s="123"/>
      <c r="AK2" s="123"/>
      <c r="AL2" s="123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25">
        <v>45258</v>
      </c>
      <c r="BB2" s="13" t="s">
        <v>162</v>
      </c>
      <c r="BE2" s="114"/>
    </row>
    <row r="3" spans="1:57" ht="20.100000000000001" customHeight="1" x14ac:dyDescent="0.4">
      <c r="A3" s="117">
        <v>45822</v>
      </c>
      <c r="B3" s="123"/>
      <c r="C3" s="123">
        <v>1</v>
      </c>
      <c r="D3" s="123"/>
      <c r="Q3" s="115" t="s">
        <v>198</v>
      </c>
      <c r="R3" s="13">
        <f>SUBTOTAL(3,R2:R2)</f>
        <v>1</v>
      </c>
      <c r="S3" s="13">
        <f>SUBTOTAL(3,S2:S2)</f>
        <v>1</v>
      </c>
      <c r="AC3" s="25"/>
      <c r="AD3" s="13"/>
      <c r="AI3" s="116"/>
      <c r="AJ3" s="123"/>
      <c r="AK3" s="123"/>
      <c r="AL3" s="123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25"/>
      <c r="BB3" s="13"/>
      <c r="BE3" s="114"/>
    </row>
    <row r="4" spans="1:57" ht="20.100000000000001" customHeight="1" x14ac:dyDescent="0.4">
      <c r="A4" s="117">
        <v>45823</v>
      </c>
      <c r="B4" s="123"/>
      <c r="C4" s="123">
        <v>1</v>
      </c>
      <c r="D4" s="123"/>
      <c r="P4" s="115"/>
      <c r="Q4" s="115"/>
      <c r="R4" s="25">
        <v>45823</v>
      </c>
      <c r="S4" s="13" t="s">
        <v>147</v>
      </c>
      <c r="AC4" s="25"/>
      <c r="AD4" s="13"/>
      <c r="AI4" s="116"/>
      <c r="AJ4" s="123"/>
      <c r="AK4" s="123"/>
      <c r="AL4" s="123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25"/>
      <c r="BB4" s="13"/>
      <c r="BE4" s="114"/>
    </row>
    <row r="5" spans="1:57" ht="20.100000000000001" customHeight="1" x14ac:dyDescent="0.4">
      <c r="A5" s="117">
        <v>45828</v>
      </c>
      <c r="B5" s="123"/>
      <c r="C5" s="123">
        <v>1</v>
      </c>
      <c r="D5" s="123"/>
      <c r="P5" s="115"/>
      <c r="Q5" s="115" t="s">
        <v>199</v>
      </c>
      <c r="R5" s="13">
        <f>SUBTOTAL(3,R4:R4)</f>
        <v>1</v>
      </c>
      <c r="S5" s="13">
        <f>SUBTOTAL(3,S4:S4)</f>
        <v>1</v>
      </c>
      <c r="AC5" s="25"/>
      <c r="AD5" s="13"/>
      <c r="AI5" s="116"/>
      <c r="AJ5" s="123"/>
      <c r="AK5" s="123"/>
      <c r="AL5" s="123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25"/>
      <c r="BB5" s="13"/>
      <c r="BE5" s="114"/>
    </row>
    <row r="6" spans="1:57" ht="20.100000000000001" customHeight="1" x14ac:dyDescent="0.4">
      <c r="A6" s="117">
        <v>45830</v>
      </c>
      <c r="B6" s="123">
        <v>1</v>
      </c>
      <c r="C6" s="123">
        <v>1</v>
      </c>
      <c r="D6" s="123"/>
      <c r="N6" s="115"/>
      <c r="O6" s="115"/>
      <c r="P6" s="115"/>
      <c r="Q6" s="115"/>
      <c r="R6" s="25">
        <v>45828</v>
      </c>
      <c r="S6" s="13" t="s">
        <v>147</v>
      </c>
      <c r="AC6" s="25"/>
      <c r="AD6" s="13"/>
      <c r="AI6" s="116"/>
      <c r="AJ6" s="123"/>
      <c r="AK6" s="123"/>
      <c r="AL6" s="123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25"/>
      <c r="BB6" s="13"/>
      <c r="BE6" s="114"/>
    </row>
    <row r="7" spans="1:57" ht="20.100000000000001" customHeight="1" x14ac:dyDescent="0.4">
      <c r="A7" s="117">
        <v>45833</v>
      </c>
      <c r="B7" s="123"/>
      <c r="C7" s="123">
        <v>6</v>
      </c>
      <c r="D7" s="123"/>
      <c r="N7" s="115"/>
      <c r="O7" s="115"/>
      <c r="P7" s="115"/>
      <c r="Q7" s="115" t="s">
        <v>200</v>
      </c>
      <c r="R7" s="13">
        <f>SUBTOTAL(3,R6:R6)</f>
        <v>1</v>
      </c>
      <c r="S7" s="13">
        <f>SUBTOTAL(3,S6:S6)</f>
        <v>1</v>
      </c>
      <c r="AC7" s="25"/>
      <c r="AD7" s="13"/>
      <c r="AI7" s="116"/>
      <c r="AJ7" s="123"/>
      <c r="AK7" s="123"/>
      <c r="AL7" s="123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25"/>
      <c r="BB7" s="13"/>
      <c r="BE7" s="114"/>
    </row>
    <row r="8" spans="1:57" ht="20.100000000000001" customHeight="1" x14ac:dyDescent="0.4">
      <c r="A8" s="117">
        <v>45834</v>
      </c>
      <c r="B8" s="123">
        <v>1</v>
      </c>
      <c r="C8" s="123">
        <v>3</v>
      </c>
      <c r="D8" s="123"/>
      <c r="N8" s="115"/>
      <c r="O8" s="115"/>
      <c r="P8" s="115"/>
      <c r="Q8" s="115"/>
      <c r="R8" s="25">
        <v>45830</v>
      </c>
      <c r="S8" s="13" t="s">
        <v>147</v>
      </c>
      <c r="AC8" s="25"/>
      <c r="AD8" s="13"/>
      <c r="AI8" s="116"/>
      <c r="AJ8" s="123"/>
      <c r="AK8" s="123"/>
      <c r="AL8" s="123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25"/>
      <c r="BB8" s="13"/>
      <c r="BE8" s="114"/>
    </row>
    <row r="9" spans="1:57" ht="20.100000000000001" customHeight="1" x14ac:dyDescent="0.4">
      <c r="A9" s="117">
        <v>45836</v>
      </c>
      <c r="B9" s="123">
        <v>8</v>
      </c>
      <c r="C9" s="123">
        <v>10</v>
      </c>
      <c r="D9" s="123">
        <v>3</v>
      </c>
      <c r="N9" s="115"/>
      <c r="O9" s="115"/>
      <c r="P9" s="115"/>
      <c r="Q9" s="115"/>
      <c r="R9" s="25">
        <v>45830</v>
      </c>
      <c r="S9" s="13" t="s">
        <v>146</v>
      </c>
      <c r="AC9" s="25"/>
      <c r="AD9" s="13"/>
      <c r="AI9" s="116"/>
      <c r="AJ9" s="123"/>
      <c r="AK9" s="123"/>
      <c r="AL9" s="123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25"/>
      <c r="BB9" s="13"/>
      <c r="BE9" s="114"/>
    </row>
    <row r="10" spans="1:57" ht="20.100000000000001" customHeight="1" x14ac:dyDescent="0.4">
      <c r="A10" s="117">
        <v>45838</v>
      </c>
      <c r="B10" s="123">
        <v>3</v>
      </c>
      <c r="C10" s="123"/>
      <c r="D10" s="123"/>
      <c r="N10" s="115"/>
      <c r="O10" s="115"/>
      <c r="P10" s="115"/>
      <c r="Q10" s="115" t="s">
        <v>201</v>
      </c>
      <c r="R10" s="13">
        <f>SUBTOTAL(3,R8:R9)</f>
        <v>2</v>
      </c>
      <c r="S10" s="13">
        <f>SUBTOTAL(3,S8:S9)</f>
        <v>2</v>
      </c>
      <c r="AC10" s="25"/>
      <c r="AD10" s="13"/>
      <c r="AI10" s="116"/>
      <c r="AJ10" s="123"/>
      <c r="AK10" s="123"/>
      <c r="AL10" s="123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25"/>
      <c r="BB10" s="13"/>
      <c r="BE10" s="114"/>
    </row>
    <row r="11" spans="1:57" ht="20.100000000000001" customHeight="1" x14ac:dyDescent="0.4">
      <c r="A11" s="117">
        <v>45840</v>
      </c>
      <c r="B11" s="123">
        <v>2</v>
      </c>
      <c r="C11" s="123"/>
      <c r="D11" s="123"/>
      <c r="N11" s="115"/>
      <c r="O11" s="115"/>
      <c r="P11" s="115"/>
      <c r="Q11" s="115"/>
      <c r="R11" s="25">
        <v>45833</v>
      </c>
      <c r="S11" s="13" t="s">
        <v>147</v>
      </c>
      <c r="AC11" s="25"/>
      <c r="AD11" s="13"/>
      <c r="AI11" s="116"/>
      <c r="AJ11" s="123"/>
      <c r="AK11" s="123"/>
      <c r="AL11" s="123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25"/>
      <c r="BB11" s="13"/>
      <c r="BE11" s="114"/>
    </row>
    <row r="12" spans="1:57" ht="20.100000000000001" customHeight="1" x14ac:dyDescent="0.4">
      <c r="A12" s="117">
        <v>45841</v>
      </c>
      <c r="B12" s="123">
        <v>2</v>
      </c>
      <c r="C12" s="123">
        <v>4</v>
      </c>
      <c r="D12" s="123">
        <v>1</v>
      </c>
      <c r="K12" s="115"/>
      <c r="L12" s="115"/>
      <c r="M12" s="115"/>
      <c r="N12" s="115"/>
      <c r="O12" s="115"/>
      <c r="P12" s="115"/>
      <c r="Q12" s="115"/>
      <c r="R12" s="25">
        <v>45833</v>
      </c>
      <c r="S12" s="13" t="s">
        <v>147</v>
      </c>
      <c r="AC12" s="25"/>
      <c r="AD12" s="13"/>
      <c r="AI12" s="116"/>
      <c r="AJ12" s="123"/>
      <c r="AK12" s="123"/>
      <c r="AL12" s="123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25"/>
      <c r="BB12" s="13"/>
      <c r="BE12" s="114"/>
    </row>
    <row r="13" spans="1:57" ht="20.100000000000001" customHeight="1" x14ac:dyDescent="0.4">
      <c r="A13" s="117">
        <v>45843</v>
      </c>
      <c r="B13" s="123">
        <v>6</v>
      </c>
      <c r="C13" s="123">
        <v>5</v>
      </c>
      <c r="D13" s="123">
        <v>2</v>
      </c>
      <c r="K13" s="115"/>
      <c r="L13" s="115"/>
      <c r="M13" s="115"/>
      <c r="N13" s="115"/>
      <c r="O13" s="115"/>
      <c r="P13" s="115"/>
      <c r="Q13" s="115"/>
      <c r="R13" s="25">
        <v>45833</v>
      </c>
      <c r="S13" s="13" t="s">
        <v>147</v>
      </c>
      <c r="AC13" s="25"/>
      <c r="AD13" s="13"/>
      <c r="AI13" s="116"/>
      <c r="AJ13" s="123"/>
      <c r="AK13" s="123"/>
      <c r="AL13" s="123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25"/>
      <c r="BB13" s="13"/>
      <c r="BE13" s="114"/>
    </row>
    <row r="14" spans="1:57" ht="20.100000000000001" customHeight="1" x14ac:dyDescent="0.4">
      <c r="A14" s="117">
        <v>45844</v>
      </c>
      <c r="B14" s="123">
        <v>1</v>
      </c>
      <c r="C14" s="123">
        <v>11</v>
      </c>
      <c r="D14" s="123">
        <v>1</v>
      </c>
      <c r="K14" s="115"/>
      <c r="L14" s="115"/>
      <c r="M14" s="115"/>
      <c r="N14" s="115"/>
      <c r="O14" s="115"/>
      <c r="P14" s="115"/>
      <c r="Q14" s="115"/>
      <c r="R14" s="25">
        <v>45833</v>
      </c>
      <c r="S14" s="13" t="s">
        <v>147</v>
      </c>
      <c r="AC14" s="25"/>
      <c r="AD14" s="13"/>
      <c r="AI14" s="116"/>
      <c r="AJ14" s="123"/>
      <c r="AK14" s="123"/>
      <c r="AL14" s="123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25"/>
      <c r="BB14" s="13"/>
      <c r="BE14" s="114"/>
    </row>
    <row r="15" spans="1:57" ht="20.100000000000001" customHeight="1" x14ac:dyDescent="0.4">
      <c r="A15" s="117">
        <v>45845</v>
      </c>
      <c r="B15" s="123">
        <v>1</v>
      </c>
      <c r="C15" s="123">
        <v>1</v>
      </c>
      <c r="D15" s="123">
        <v>1</v>
      </c>
      <c r="K15" s="115"/>
      <c r="L15" s="115"/>
      <c r="M15" s="115"/>
      <c r="N15" s="115"/>
      <c r="O15" s="115"/>
      <c r="P15" s="115"/>
      <c r="Q15" s="115"/>
      <c r="R15" s="25">
        <v>45833</v>
      </c>
      <c r="S15" s="13" t="s">
        <v>147</v>
      </c>
      <c r="AC15" s="25"/>
      <c r="AD15" s="13"/>
      <c r="AI15" s="116"/>
      <c r="AJ15" s="123"/>
      <c r="AK15" s="123"/>
      <c r="AL15" s="123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25"/>
      <c r="BB15" s="13"/>
      <c r="BE15" s="114"/>
    </row>
    <row r="16" spans="1:57" ht="20.100000000000001" customHeight="1" x14ac:dyDescent="0.4">
      <c r="A16" s="117">
        <v>45846</v>
      </c>
      <c r="B16" s="123">
        <v>2</v>
      </c>
      <c r="C16" s="123">
        <v>8</v>
      </c>
      <c r="D16" s="123">
        <v>1</v>
      </c>
      <c r="J16" s="115"/>
      <c r="K16" s="115"/>
      <c r="L16" s="115"/>
      <c r="M16" s="115"/>
      <c r="N16" s="115"/>
      <c r="O16" s="115"/>
      <c r="P16" s="115"/>
      <c r="Q16" s="115"/>
      <c r="R16" s="25">
        <v>45833</v>
      </c>
      <c r="S16" s="13" t="s">
        <v>147</v>
      </c>
      <c r="AC16" s="25"/>
      <c r="AD16" s="13"/>
      <c r="AI16" s="116"/>
      <c r="AJ16" s="123"/>
      <c r="AK16" s="123"/>
      <c r="AL16" s="123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25"/>
      <c r="BB16" s="13"/>
      <c r="BE16" s="114"/>
    </row>
    <row r="17" spans="1:57" ht="20.100000000000001" customHeight="1" x14ac:dyDescent="0.4">
      <c r="A17" s="117">
        <v>45847</v>
      </c>
      <c r="B17" s="123">
        <v>2</v>
      </c>
      <c r="C17" s="123">
        <v>3</v>
      </c>
      <c r="D17" s="123"/>
      <c r="J17" s="115"/>
      <c r="K17" s="115"/>
      <c r="L17" s="115"/>
      <c r="M17" s="115"/>
      <c r="N17" s="115"/>
      <c r="O17" s="115"/>
      <c r="P17" s="115"/>
      <c r="Q17" s="115" t="s">
        <v>204</v>
      </c>
      <c r="R17" s="13">
        <f>SUBTOTAL(3,R11:R16)</f>
        <v>6</v>
      </c>
      <c r="S17" s="13">
        <f>SUBTOTAL(3,S11:S16)</f>
        <v>6</v>
      </c>
      <c r="AC17" s="25"/>
      <c r="AD17" s="13"/>
      <c r="AI17" s="116"/>
      <c r="AJ17" s="123"/>
      <c r="AK17" s="123"/>
      <c r="AL17" s="123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25"/>
      <c r="BB17" s="13"/>
      <c r="BE17" s="114"/>
    </row>
    <row r="18" spans="1:57" ht="20.100000000000001" customHeight="1" x14ac:dyDescent="0.4">
      <c r="A18" s="117">
        <v>45850</v>
      </c>
      <c r="B18" s="123">
        <v>9</v>
      </c>
      <c r="C18" s="123">
        <v>4</v>
      </c>
      <c r="D18" s="123">
        <v>6</v>
      </c>
      <c r="J18" s="115"/>
      <c r="K18" s="115"/>
      <c r="L18" s="115"/>
      <c r="M18" s="115"/>
      <c r="N18" s="115"/>
      <c r="O18" s="115"/>
      <c r="P18" s="115"/>
      <c r="Q18" s="115"/>
      <c r="R18" s="25">
        <v>45834</v>
      </c>
      <c r="S18" s="13" t="s">
        <v>147</v>
      </c>
      <c r="AC18" s="25"/>
      <c r="AD18" s="13"/>
      <c r="AI18" s="116"/>
      <c r="AJ18" s="123"/>
      <c r="AK18" s="123"/>
      <c r="AL18" s="123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25"/>
      <c r="BB18" s="13"/>
      <c r="BE18" s="114"/>
    </row>
    <row r="19" spans="1:57" ht="20.100000000000001" customHeight="1" x14ac:dyDescent="0.4">
      <c r="A19" s="117">
        <v>45851</v>
      </c>
      <c r="B19" s="123"/>
      <c r="C19" s="123">
        <v>4</v>
      </c>
      <c r="D19" s="123"/>
      <c r="J19" s="115"/>
      <c r="K19" s="115"/>
      <c r="L19" s="115"/>
      <c r="M19" s="115"/>
      <c r="N19" s="115"/>
      <c r="O19" s="115"/>
      <c r="P19" s="115"/>
      <c r="Q19" s="115"/>
      <c r="R19" s="25">
        <v>45834</v>
      </c>
      <c r="S19" s="13" t="s">
        <v>147</v>
      </c>
      <c r="AC19" s="25"/>
      <c r="AD19" s="13"/>
      <c r="AI19" s="116"/>
      <c r="AJ19" s="123"/>
      <c r="AK19" s="123"/>
      <c r="AL19" s="123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25"/>
      <c r="BB19" s="13"/>
      <c r="BE19" s="114"/>
    </row>
    <row r="20" spans="1:57" ht="20.100000000000001" customHeight="1" x14ac:dyDescent="0.4">
      <c r="A20" s="117">
        <v>45854</v>
      </c>
      <c r="B20" s="123">
        <v>1</v>
      </c>
      <c r="C20" s="123"/>
      <c r="D20" s="123"/>
      <c r="R20" s="25">
        <v>45834</v>
      </c>
      <c r="S20" s="13" t="s">
        <v>147</v>
      </c>
      <c r="AC20" s="25"/>
      <c r="AD20" s="13"/>
      <c r="AI20" s="116"/>
      <c r="AJ20" s="123"/>
      <c r="AK20" s="123"/>
      <c r="AL20" s="123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25"/>
      <c r="BB20" s="13"/>
      <c r="BE20" s="114"/>
    </row>
    <row r="21" spans="1:57" ht="20.100000000000001" customHeight="1" x14ac:dyDescent="0.4">
      <c r="A21" s="117">
        <v>45865</v>
      </c>
      <c r="B21" s="123"/>
      <c r="C21" s="123">
        <v>1</v>
      </c>
      <c r="D21" s="123"/>
      <c r="O21" s="115"/>
      <c r="P21" s="115"/>
      <c r="Q21" s="115"/>
      <c r="R21" s="25">
        <v>45834</v>
      </c>
      <c r="S21" s="15" t="s">
        <v>146</v>
      </c>
      <c r="AC21" s="25"/>
      <c r="AD21" s="13"/>
      <c r="AI21" s="116"/>
      <c r="AJ21" s="123"/>
      <c r="AK21" s="123"/>
      <c r="AL21" s="123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25"/>
      <c r="BB21" s="13"/>
      <c r="BE21" s="114"/>
    </row>
    <row r="22" spans="1:57" ht="20.100000000000001" customHeight="1" x14ac:dyDescent="0.4">
      <c r="A22" s="117">
        <v>45866</v>
      </c>
      <c r="B22" s="123">
        <v>4</v>
      </c>
      <c r="C22" s="123"/>
      <c r="D22" s="123">
        <v>2</v>
      </c>
      <c r="O22" s="115"/>
      <c r="P22" s="115"/>
      <c r="Q22" s="115" t="s">
        <v>202</v>
      </c>
      <c r="R22" s="13">
        <f>SUBTOTAL(3,R18:R21)</f>
        <v>4</v>
      </c>
      <c r="S22" s="15">
        <f>SUBTOTAL(3,S18:S21)</f>
        <v>4</v>
      </c>
      <c r="AC22" s="25"/>
      <c r="AD22" s="13"/>
      <c r="AI22" s="116"/>
      <c r="AJ22" s="123"/>
      <c r="AK22" s="123"/>
      <c r="AL22" s="123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25"/>
      <c r="BB22" s="13"/>
      <c r="BE22" s="114"/>
    </row>
    <row r="23" spans="1:57" ht="20.100000000000001" customHeight="1" x14ac:dyDescent="0.4">
      <c r="A23" s="117"/>
      <c r="B23" s="123">
        <f>SUM(B3:B22)</f>
        <v>43</v>
      </c>
      <c r="C23" s="123">
        <f>SUM(C3:C22)</f>
        <v>64</v>
      </c>
      <c r="D23" s="123">
        <f>SUM(D3:D22)</f>
        <v>17</v>
      </c>
      <c r="N23" s="115"/>
      <c r="O23" s="115"/>
      <c r="P23" s="115"/>
      <c r="Q23" s="115"/>
      <c r="R23" s="25">
        <v>45836</v>
      </c>
      <c r="S23" s="15" t="s">
        <v>147</v>
      </c>
      <c r="AC23" s="25"/>
      <c r="AD23" s="13"/>
      <c r="AI23" s="116"/>
      <c r="AJ23" s="123"/>
      <c r="AK23" s="123"/>
      <c r="AL23" s="123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25"/>
      <c r="BB23" s="13"/>
      <c r="BE23" s="114"/>
    </row>
    <row r="24" spans="1:57" ht="20.100000000000001" customHeight="1" x14ac:dyDescent="0.4">
      <c r="A24" s="117"/>
      <c r="B24" s="123"/>
      <c r="C24" s="123"/>
      <c r="D24" s="123">
        <f>SUM(B23:D23)</f>
        <v>124</v>
      </c>
      <c r="N24" s="115"/>
      <c r="O24" s="115"/>
      <c r="P24" s="115"/>
      <c r="Q24" s="115"/>
      <c r="R24" s="25">
        <v>45836</v>
      </c>
      <c r="S24" s="13" t="s">
        <v>146</v>
      </c>
      <c r="AC24" s="25"/>
      <c r="AD24" s="13"/>
      <c r="AI24" s="116"/>
      <c r="AJ24" s="123"/>
      <c r="AK24" s="123"/>
      <c r="AL24" s="123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25"/>
      <c r="BB24" s="13"/>
      <c r="BE24" s="114"/>
    </row>
    <row r="25" spans="1:57" ht="20.100000000000001" customHeight="1" x14ac:dyDescent="0.4">
      <c r="A25" s="117"/>
      <c r="B25" s="123"/>
      <c r="C25" s="123"/>
      <c r="D25" s="123"/>
      <c r="M25" s="115"/>
      <c r="N25" s="115"/>
      <c r="O25" s="115"/>
      <c r="P25" s="115"/>
      <c r="Q25" s="115"/>
      <c r="R25" s="25">
        <v>45836</v>
      </c>
      <c r="S25" s="13" t="s">
        <v>146</v>
      </c>
      <c r="AC25" s="25"/>
      <c r="AD25" s="13"/>
      <c r="AI25" s="116"/>
      <c r="AJ25" s="123"/>
      <c r="AK25" s="123"/>
      <c r="AL25" s="123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25"/>
      <c r="BB25" s="13"/>
      <c r="BE25" s="114"/>
    </row>
    <row r="26" spans="1:57" ht="20.100000000000001" customHeight="1" x14ac:dyDescent="0.4">
      <c r="A26" s="117"/>
      <c r="B26" s="123"/>
      <c r="C26" s="123"/>
      <c r="D26" s="123"/>
      <c r="M26" s="115"/>
      <c r="N26" s="115"/>
      <c r="O26" s="115"/>
      <c r="P26" s="115"/>
      <c r="Q26" s="115"/>
      <c r="R26" s="25">
        <v>45836</v>
      </c>
      <c r="S26" s="13" t="s">
        <v>147</v>
      </c>
      <c r="AC26" s="25"/>
      <c r="AD26" s="13"/>
      <c r="AI26" s="116"/>
      <c r="AJ26" s="123"/>
      <c r="AK26" s="123"/>
      <c r="AL26" s="123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25"/>
      <c r="BB26" s="13"/>
      <c r="BE26" s="114"/>
    </row>
    <row r="27" spans="1:57" ht="20.100000000000001" customHeight="1" x14ac:dyDescent="0.4">
      <c r="A27" s="117"/>
      <c r="B27" s="123"/>
      <c r="C27" s="123"/>
      <c r="D27" s="123"/>
      <c r="M27" s="115"/>
      <c r="N27" s="115"/>
      <c r="O27" s="115"/>
      <c r="P27" s="115"/>
      <c r="Q27" s="115"/>
      <c r="R27" s="25">
        <v>45836</v>
      </c>
      <c r="S27" s="13" t="s">
        <v>147</v>
      </c>
      <c r="AC27" s="25"/>
      <c r="AD27" s="13"/>
      <c r="AI27" s="116"/>
      <c r="AJ27" s="123"/>
      <c r="AK27" s="123"/>
      <c r="AL27" s="123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25"/>
      <c r="BB27" s="13"/>
      <c r="BE27" s="114"/>
    </row>
    <row r="28" spans="1:57" ht="20.100000000000001" customHeight="1" x14ac:dyDescent="0.4">
      <c r="A28" s="117"/>
      <c r="B28" s="123"/>
      <c r="C28" s="123"/>
      <c r="D28" s="123"/>
      <c r="M28" s="115"/>
      <c r="N28" s="115"/>
      <c r="O28" s="115"/>
      <c r="P28" s="115"/>
      <c r="Q28" s="115"/>
      <c r="R28" s="25">
        <v>45836</v>
      </c>
      <c r="S28" s="13" t="s">
        <v>147</v>
      </c>
      <c r="AC28" s="25"/>
      <c r="AD28" s="13"/>
      <c r="AI28" s="116"/>
      <c r="AJ28" s="123"/>
      <c r="AK28" s="123"/>
      <c r="AL28" s="123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25"/>
      <c r="BB28" s="13"/>
      <c r="BE28" s="114"/>
    </row>
    <row r="29" spans="1:57" ht="20.100000000000001" customHeight="1" x14ac:dyDescent="0.4">
      <c r="A29" s="117"/>
      <c r="B29" s="123"/>
      <c r="C29" s="123"/>
      <c r="D29" s="123"/>
      <c r="L29" s="115"/>
      <c r="M29" s="115"/>
      <c r="N29" s="115"/>
      <c r="O29" s="115"/>
      <c r="P29" s="115"/>
      <c r="Q29" s="115"/>
      <c r="R29" s="25">
        <v>45836</v>
      </c>
      <c r="S29" s="13" t="s">
        <v>146</v>
      </c>
      <c r="AC29" s="25"/>
      <c r="AD29" s="13"/>
      <c r="AI29" s="116"/>
      <c r="AJ29" s="123"/>
      <c r="AK29" s="123"/>
      <c r="AL29" s="123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25"/>
      <c r="BB29" s="13"/>
      <c r="BE29" s="114"/>
    </row>
    <row r="30" spans="1:57" ht="20.100000000000001" customHeight="1" x14ac:dyDescent="0.4">
      <c r="A30" s="117"/>
      <c r="B30" s="123"/>
      <c r="C30" s="123"/>
      <c r="D30" s="123"/>
      <c r="L30" s="115"/>
      <c r="M30" s="115"/>
      <c r="N30" s="115"/>
      <c r="O30" s="115"/>
      <c r="P30" s="115"/>
      <c r="Q30" s="115"/>
      <c r="R30" s="25">
        <v>45836</v>
      </c>
      <c r="S30" s="13" t="s">
        <v>146</v>
      </c>
      <c r="AC30" s="25"/>
      <c r="AD30" s="13"/>
      <c r="AI30" s="116"/>
      <c r="AJ30" s="123"/>
      <c r="AK30" s="123"/>
      <c r="AL30" s="123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25"/>
      <c r="BB30" s="13"/>
      <c r="BE30" s="114"/>
    </row>
    <row r="31" spans="1:57" ht="20.100000000000001" customHeight="1" x14ac:dyDescent="0.4">
      <c r="A31" s="117"/>
      <c r="B31" s="123"/>
      <c r="C31" s="123"/>
      <c r="D31" s="123"/>
      <c r="L31" s="115"/>
      <c r="M31" s="115"/>
      <c r="N31" s="115"/>
      <c r="O31" s="115"/>
      <c r="P31" s="115"/>
      <c r="Q31" s="115"/>
      <c r="R31" s="25">
        <v>45836</v>
      </c>
      <c r="S31" s="13" t="s">
        <v>148</v>
      </c>
      <c r="AC31" s="25"/>
      <c r="AD31" s="13"/>
      <c r="AI31" s="116"/>
      <c r="AJ31" s="123"/>
      <c r="AK31" s="123"/>
      <c r="AL31" s="123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25"/>
      <c r="BB31" s="13"/>
      <c r="BE31" s="114"/>
    </row>
    <row r="32" spans="1:57" ht="20.100000000000001" customHeight="1" x14ac:dyDescent="0.4">
      <c r="A32" s="117"/>
      <c r="B32" s="123"/>
      <c r="C32" s="123"/>
      <c r="D32" s="123"/>
      <c r="L32" s="115"/>
      <c r="M32" s="115"/>
      <c r="N32" s="115"/>
      <c r="O32" s="115"/>
      <c r="P32" s="115"/>
      <c r="Q32" s="115"/>
      <c r="R32" s="25">
        <v>45836</v>
      </c>
      <c r="S32" s="13" t="s">
        <v>147</v>
      </c>
      <c r="AC32" s="25"/>
      <c r="AD32" s="13"/>
      <c r="AI32" s="116"/>
      <c r="AJ32" s="123"/>
      <c r="AK32" s="123"/>
      <c r="AL32" s="123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25"/>
      <c r="BB32" s="13"/>
      <c r="BE32" s="114"/>
    </row>
    <row r="33" spans="1:57" ht="20.100000000000001" customHeight="1" x14ac:dyDescent="0.4">
      <c r="A33" s="117"/>
      <c r="B33" s="123"/>
      <c r="C33" s="123"/>
      <c r="D33" s="123"/>
      <c r="L33" s="115"/>
      <c r="M33" s="115"/>
      <c r="N33" s="115"/>
      <c r="O33" s="115"/>
      <c r="P33" s="115"/>
      <c r="Q33" s="115"/>
      <c r="R33" s="25">
        <v>45836</v>
      </c>
      <c r="S33" s="13" t="s">
        <v>148</v>
      </c>
      <c r="AC33" s="25"/>
      <c r="AD33" s="13"/>
      <c r="AI33" s="116"/>
      <c r="AJ33" s="123"/>
      <c r="AK33" s="123"/>
      <c r="AL33" s="123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25"/>
      <c r="BB33" s="13"/>
      <c r="BE33" s="114"/>
    </row>
    <row r="34" spans="1:57" ht="20.100000000000001" customHeight="1" x14ac:dyDescent="0.4">
      <c r="A34" s="117"/>
      <c r="B34" s="123"/>
      <c r="C34" s="123"/>
      <c r="D34" s="123"/>
      <c r="L34" s="115"/>
      <c r="M34" s="115"/>
      <c r="N34" s="115"/>
      <c r="O34" s="115"/>
      <c r="P34" s="115"/>
      <c r="Q34" s="115"/>
      <c r="R34" s="25">
        <v>45836</v>
      </c>
      <c r="S34" s="13" t="s">
        <v>147</v>
      </c>
      <c r="AC34" s="25"/>
      <c r="AD34" s="13"/>
      <c r="AI34" s="116"/>
      <c r="AJ34" s="123"/>
      <c r="AK34" s="123"/>
      <c r="AL34" s="123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25"/>
      <c r="BB34" s="13"/>
      <c r="BE34" s="114"/>
    </row>
    <row r="35" spans="1:57" ht="20.100000000000001" customHeight="1" x14ac:dyDescent="0.4">
      <c r="A35" s="117"/>
      <c r="B35" s="123"/>
      <c r="C35" s="123"/>
      <c r="D35" s="123"/>
      <c r="R35" s="25">
        <v>45836</v>
      </c>
      <c r="S35" s="13" t="s">
        <v>147</v>
      </c>
      <c r="AC35" s="25"/>
      <c r="AD35" s="13"/>
      <c r="AI35" s="116"/>
      <c r="AJ35" s="123"/>
      <c r="AK35" s="123"/>
      <c r="AL35" s="123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25"/>
      <c r="BB35" s="13"/>
      <c r="BE35" s="114"/>
    </row>
    <row r="36" spans="1:57" ht="20.100000000000001" customHeight="1" x14ac:dyDescent="0.4">
      <c r="A36" s="117"/>
      <c r="B36" s="123"/>
      <c r="C36" s="123"/>
      <c r="D36" s="123"/>
      <c r="P36" s="115"/>
      <c r="Q36" s="115"/>
      <c r="R36" s="25">
        <v>45836</v>
      </c>
      <c r="S36" s="13" t="s">
        <v>142</v>
      </c>
      <c r="AC36" s="25"/>
      <c r="AD36" s="13"/>
      <c r="AI36" s="116"/>
      <c r="AJ36" s="123"/>
      <c r="AK36" s="123"/>
      <c r="AL36" s="123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25"/>
      <c r="BB36" s="13"/>
      <c r="BE36" s="114"/>
    </row>
    <row r="37" spans="1:57" ht="20.100000000000001" customHeight="1" x14ac:dyDescent="0.4">
      <c r="A37" s="117"/>
      <c r="B37" s="123"/>
      <c r="C37" s="123"/>
      <c r="D37" s="123"/>
      <c r="N37" s="115"/>
      <c r="O37" s="115"/>
      <c r="P37" s="115"/>
      <c r="Q37" s="115"/>
      <c r="R37" s="25">
        <v>45836</v>
      </c>
      <c r="S37" s="13" t="s">
        <v>146</v>
      </c>
      <c r="AC37" s="25"/>
      <c r="AD37" s="13"/>
      <c r="AI37" s="116"/>
      <c r="AJ37" s="123"/>
      <c r="AK37" s="123"/>
      <c r="AL37" s="123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25"/>
      <c r="BB37" s="13"/>
      <c r="BE37" s="114"/>
    </row>
    <row r="38" spans="1:57" ht="20.100000000000001" customHeight="1" x14ac:dyDescent="0.4">
      <c r="A38" s="117"/>
      <c r="B38" s="123"/>
      <c r="C38" s="123"/>
      <c r="D38" s="123"/>
      <c r="N38" s="115"/>
      <c r="O38" s="115"/>
      <c r="P38" s="115"/>
      <c r="Q38" s="115"/>
      <c r="R38" s="25">
        <v>45836</v>
      </c>
      <c r="S38" s="13" t="s">
        <v>146</v>
      </c>
      <c r="AC38" s="25"/>
      <c r="AD38" s="13"/>
      <c r="AI38" s="116"/>
      <c r="AJ38" s="123"/>
      <c r="AK38" s="123"/>
      <c r="AL38" s="123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25"/>
      <c r="BB38" s="13"/>
      <c r="BE38" s="114"/>
    </row>
    <row r="39" spans="1:57" ht="20.100000000000001" customHeight="1" x14ac:dyDescent="0.4">
      <c r="A39" s="117"/>
      <c r="B39" s="123"/>
      <c r="C39" s="123"/>
      <c r="D39" s="123"/>
      <c r="N39" s="115"/>
      <c r="O39" s="115"/>
      <c r="P39" s="115"/>
      <c r="Q39" s="115"/>
      <c r="R39" s="25">
        <v>45836</v>
      </c>
      <c r="S39" s="13" t="s">
        <v>146</v>
      </c>
      <c r="AC39" s="25"/>
      <c r="AD39" s="13"/>
      <c r="AI39" s="116"/>
      <c r="AJ39" s="123"/>
      <c r="AK39" s="123"/>
      <c r="AL39" s="123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25"/>
      <c r="BB39" s="13"/>
      <c r="BE39" s="114"/>
    </row>
    <row r="40" spans="1:57" ht="20.100000000000001" customHeight="1" x14ac:dyDescent="0.4">
      <c r="A40" s="117"/>
      <c r="B40" s="123"/>
      <c r="C40" s="123"/>
      <c r="D40" s="123"/>
      <c r="L40" s="115"/>
      <c r="M40" s="115"/>
      <c r="N40" s="115"/>
      <c r="O40" s="115"/>
      <c r="P40" s="115"/>
      <c r="Q40" s="115"/>
      <c r="R40" s="25">
        <v>45836</v>
      </c>
      <c r="S40" s="13" t="s">
        <v>147</v>
      </c>
      <c r="AC40" s="25"/>
      <c r="AD40" s="13"/>
      <c r="AI40" s="116"/>
      <c r="AJ40" s="123"/>
      <c r="AK40" s="123"/>
      <c r="AL40" s="123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25"/>
      <c r="BB40" s="13"/>
      <c r="BE40" s="114"/>
    </row>
    <row r="41" spans="1:57" ht="20.100000000000001" customHeight="1" x14ac:dyDescent="0.4">
      <c r="A41" s="117"/>
      <c r="B41" s="123"/>
      <c r="C41" s="123"/>
      <c r="D41" s="123"/>
      <c r="L41" s="115"/>
      <c r="M41" s="115"/>
      <c r="N41" s="115"/>
      <c r="O41" s="115"/>
      <c r="P41" s="115"/>
      <c r="Q41" s="115"/>
      <c r="R41" s="25">
        <v>45836</v>
      </c>
      <c r="S41" s="13" t="s">
        <v>147</v>
      </c>
      <c r="AC41" s="25"/>
      <c r="AD41" s="13"/>
      <c r="AI41" s="116"/>
      <c r="AJ41" s="123"/>
      <c r="AK41" s="123"/>
      <c r="AL41" s="123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25"/>
      <c r="BB41" s="13"/>
      <c r="BE41" s="114"/>
    </row>
    <row r="42" spans="1:57" ht="20.100000000000001" customHeight="1" x14ac:dyDescent="0.4">
      <c r="A42" s="117"/>
      <c r="B42" s="123"/>
      <c r="C42" s="123"/>
      <c r="D42" s="123"/>
      <c r="L42" s="115"/>
      <c r="M42" s="115"/>
      <c r="N42" s="115"/>
      <c r="O42" s="115"/>
      <c r="P42" s="115"/>
      <c r="Q42" s="115"/>
      <c r="R42" s="25">
        <v>45836</v>
      </c>
      <c r="S42" s="13" t="s">
        <v>148</v>
      </c>
      <c r="AC42" s="25"/>
      <c r="AD42" s="13"/>
      <c r="AI42" s="116"/>
      <c r="AJ42" s="123"/>
      <c r="AK42" s="123"/>
      <c r="AL42" s="123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25"/>
      <c r="BB42" s="13"/>
      <c r="BE42" s="114"/>
    </row>
    <row r="43" spans="1:57" ht="20.100000000000001" customHeight="1" x14ac:dyDescent="0.4">
      <c r="A43" s="117"/>
      <c r="B43" s="123"/>
      <c r="C43" s="123"/>
      <c r="D43" s="123"/>
      <c r="K43" s="115"/>
      <c r="L43" s="115"/>
      <c r="M43" s="115"/>
      <c r="N43" s="115"/>
      <c r="O43" s="115"/>
      <c r="P43" s="115"/>
      <c r="Q43" s="115"/>
      <c r="R43" s="25">
        <v>45836</v>
      </c>
      <c r="S43" s="13" t="s">
        <v>147</v>
      </c>
      <c r="AC43" s="25"/>
      <c r="AD43" s="13"/>
      <c r="AI43" s="116"/>
      <c r="AJ43" s="123"/>
      <c r="AK43" s="123"/>
      <c r="AL43" s="123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25"/>
      <c r="BB43" s="13"/>
      <c r="BE43" s="114"/>
    </row>
    <row r="44" spans="1:57" ht="20.100000000000001" customHeight="1" x14ac:dyDescent="0.4">
      <c r="A44" s="117"/>
      <c r="B44" s="123"/>
      <c r="C44" s="123"/>
      <c r="D44" s="123"/>
      <c r="K44" s="115"/>
      <c r="L44" s="115"/>
      <c r="M44" s="115"/>
      <c r="N44" s="115"/>
      <c r="O44" s="115"/>
      <c r="P44" s="115"/>
      <c r="Q44" s="115" t="s">
        <v>178</v>
      </c>
      <c r="R44" s="13">
        <f>SUBTOTAL(3,R23:R43)</f>
        <v>21</v>
      </c>
      <c r="S44" s="13">
        <f>SUBTOTAL(3,S23:S43)</f>
        <v>21</v>
      </c>
      <c r="AC44" s="25"/>
      <c r="AD44" s="13"/>
      <c r="AI44" s="116"/>
      <c r="AJ44" s="123"/>
      <c r="AK44" s="123"/>
      <c r="AL44" s="123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25"/>
      <c r="BB44" s="13"/>
      <c r="BE44" s="114"/>
    </row>
    <row r="45" spans="1:57" ht="20.100000000000001" customHeight="1" x14ac:dyDescent="0.4">
      <c r="A45" s="117"/>
      <c r="B45" s="123"/>
      <c r="C45" s="123"/>
      <c r="D45" s="123"/>
      <c r="K45" s="115"/>
      <c r="L45" s="115"/>
      <c r="M45" s="115"/>
      <c r="N45" s="115"/>
      <c r="O45" s="115"/>
      <c r="P45" s="115"/>
      <c r="Q45" s="115"/>
      <c r="R45" s="25">
        <v>45838</v>
      </c>
      <c r="S45" s="13" t="s">
        <v>146</v>
      </c>
      <c r="AC45" s="25"/>
      <c r="AD45" s="13"/>
      <c r="AI45" s="116"/>
      <c r="AJ45" s="123"/>
      <c r="AK45" s="123"/>
      <c r="AL45" s="123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25"/>
      <c r="BB45" s="13"/>
      <c r="BE45" s="114"/>
    </row>
    <row r="46" spans="1:57" ht="20.100000000000001" customHeight="1" x14ac:dyDescent="0.4">
      <c r="A46" s="117"/>
      <c r="B46" s="123"/>
      <c r="C46" s="123"/>
      <c r="D46" s="123"/>
      <c r="K46" s="115"/>
      <c r="L46" s="115"/>
      <c r="M46" s="115"/>
      <c r="N46" s="115"/>
      <c r="O46" s="115"/>
      <c r="P46" s="115"/>
      <c r="Q46" s="115"/>
      <c r="R46" s="25">
        <v>45838</v>
      </c>
      <c r="S46" s="13" t="s">
        <v>146</v>
      </c>
      <c r="AC46" s="25"/>
      <c r="AD46" s="13"/>
      <c r="AI46" s="116"/>
      <c r="AJ46" s="123"/>
      <c r="AK46" s="123"/>
      <c r="AL46" s="123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25"/>
      <c r="BB46" s="13"/>
      <c r="BE46" s="114"/>
    </row>
    <row r="47" spans="1:57" ht="20.100000000000001" customHeight="1" x14ac:dyDescent="0.4">
      <c r="A47" s="117"/>
      <c r="B47" s="123"/>
      <c r="C47" s="123"/>
      <c r="D47" s="123"/>
      <c r="K47" s="115"/>
      <c r="L47" s="115"/>
      <c r="M47" s="115"/>
      <c r="N47" s="115"/>
      <c r="O47" s="115"/>
      <c r="P47" s="115"/>
      <c r="Q47" s="115"/>
      <c r="R47" s="25">
        <v>45838</v>
      </c>
      <c r="S47" s="13" t="s">
        <v>146</v>
      </c>
      <c r="AC47" s="25"/>
      <c r="AD47" s="13"/>
      <c r="AI47" s="116"/>
      <c r="AJ47" s="123"/>
      <c r="AK47" s="123"/>
      <c r="AL47" s="123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25"/>
      <c r="BB47" s="13"/>
      <c r="BE47" s="114"/>
    </row>
    <row r="48" spans="1:57" ht="20.100000000000001" customHeight="1" x14ac:dyDescent="0.4">
      <c r="A48" s="117"/>
      <c r="B48" s="123"/>
      <c r="C48" s="123"/>
      <c r="D48" s="123"/>
      <c r="K48" s="115"/>
      <c r="L48" s="115"/>
      <c r="M48" s="115"/>
      <c r="N48" s="115"/>
      <c r="O48" s="115"/>
      <c r="P48" s="115"/>
      <c r="Q48" s="115" t="s">
        <v>205</v>
      </c>
      <c r="R48" s="13">
        <f>SUBTOTAL(3,R45:R47)</f>
        <v>3</v>
      </c>
      <c r="S48" s="13">
        <f>SUBTOTAL(3,S45:S47)</f>
        <v>3</v>
      </c>
      <c r="AC48" s="25"/>
      <c r="AD48" s="13"/>
      <c r="AI48" s="116"/>
      <c r="AJ48" s="123"/>
      <c r="AK48" s="123"/>
      <c r="AL48" s="123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25"/>
      <c r="BB48" s="13"/>
      <c r="BE48" s="114"/>
    </row>
    <row r="49" spans="1:57" ht="20.100000000000001" customHeight="1" x14ac:dyDescent="0.4">
      <c r="A49" s="117"/>
      <c r="B49" s="123"/>
      <c r="C49" s="123"/>
      <c r="D49" s="123"/>
      <c r="F49" s="125"/>
      <c r="R49" s="25">
        <v>45840</v>
      </c>
      <c r="S49" s="13" t="s">
        <v>142</v>
      </c>
      <c r="AC49" s="25"/>
      <c r="AD49" s="13"/>
      <c r="AI49" s="116"/>
      <c r="AJ49" s="123"/>
      <c r="AK49" s="123"/>
      <c r="AL49" s="123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25"/>
      <c r="BB49" s="13"/>
      <c r="BE49" s="114"/>
    </row>
    <row r="50" spans="1:57" ht="20.100000000000001" customHeight="1" x14ac:dyDescent="0.4">
      <c r="A50" s="117"/>
      <c r="B50" s="123"/>
      <c r="C50" s="123"/>
      <c r="D50" s="123"/>
      <c r="F50" s="117"/>
      <c r="J50" s="115"/>
      <c r="K50" s="115"/>
      <c r="L50" s="115"/>
      <c r="M50" s="115"/>
      <c r="N50" s="115"/>
      <c r="O50" s="115"/>
      <c r="P50" s="115"/>
      <c r="Q50" s="115"/>
      <c r="R50" s="25">
        <v>45840</v>
      </c>
      <c r="S50" s="15" t="s">
        <v>146</v>
      </c>
      <c r="AC50" s="25"/>
      <c r="AD50" s="13"/>
      <c r="AI50" s="116"/>
      <c r="AJ50" s="123"/>
      <c r="AK50" s="123"/>
      <c r="AL50" s="123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25"/>
      <c r="BB50" s="13"/>
      <c r="BE50" s="114"/>
    </row>
    <row r="51" spans="1:57" ht="20.100000000000001" customHeight="1" x14ac:dyDescent="0.4">
      <c r="A51" s="117"/>
      <c r="B51" s="123"/>
      <c r="C51" s="123"/>
      <c r="D51" s="123"/>
      <c r="F51" s="117"/>
      <c r="J51" s="115"/>
      <c r="K51" s="115"/>
      <c r="L51" s="115"/>
      <c r="M51" s="115"/>
      <c r="N51" s="115"/>
      <c r="O51" s="115"/>
      <c r="P51" s="115"/>
      <c r="Q51" s="115" t="s">
        <v>206</v>
      </c>
      <c r="R51" s="13">
        <f>SUBTOTAL(3,R49:R50)</f>
        <v>2</v>
      </c>
      <c r="S51" s="15">
        <f>SUBTOTAL(3,S49:S50)</f>
        <v>2</v>
      </c>
      <c r="AC51" s="25"/>
      <c r="AD51" s="13"/>
      <c r="AI51" s="116"/>
      <c r="AJ51" s="123"/>
      <c r="AK51" s="123"/>
      <c r="AL51" s="123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25"/>
      <c r="BB51" s="13"/>
      <c r="BE51" s="114"/>
    </row>
    <row r="52" spans="1:57" ht="20.100000000000001" customHeight="1" x14ac:dyDescent="0.4">
      <c r="A52" s="117"/>
      <c r="B52" s="123"/>
      <c r="C52" s="123"/>
      <c r="D52" s="123"/>
      <c r="F52" s="117"/>
      <c r="J52" s="115"/>
      <c r="K52" s="115"/>
      <c r="L52" s="115"/>
      <c r="M52" s="115"/>
      <c r="N52" s="115"/>
      <c r="O52" s="115"/>
      <c r="P52" s="115"/>
      <c r="Q52" s="115"/>
      <c r="R52" s="25">
        <v>45841</v>
      </c>
      <c r="S52" s="15" t="s">
        <v>142</v>
      </c>
      <c r="AC52" s="25"/>
      <c r="AD52" s="13"/>
      <c r="AI52" s="116"/>
      <c r="AJ52" s="123"/>
      <c r="AK52" s="123"/>
      <c r="AL52" s="123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25"/>
      <c r="BB52" s="13"/>
      <c r="BE52" s="114"/>
    </row>
    <row r="53" spans="1:57" ht="20.100000000000001" customHeight="1" x14ac:dyDescent="0.4">
      <c r="A53" s="117"/>
      <c r="B53" s="123"/>
      <c r="C53" s="123"/>
      <c r="D53" s="123"/>
      <c r="F53" s="117"/>
      <c r="J53" s="115"/>
      <c r="K53" s="115"/>
      <c r="L53" s="115"/>
      <c r="M53" s="115"/>
      <c r="N53" s="115"/>
      <c r="O53" s="115"/>
      <c r="P53" s="115"/>
      <c r="Q53" s="115"/>
      <c r="R53" s="25">
        <v>45841</v>
      </c>
      <c r="S53" s="15" t="s">
        <v>146</v>
      </c>
      <c r="AC53" s="25"/>
      <c r="AD53" s="13"/>
      <c r="AI53" s="116"/>
      <c r="AJ53" s="123"/>
      <c r="AK53" s="123"/>
      <c r="AL53" s="123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25"/>
      <c r="BB53" s="13"/>
      <c r="BE53" s="114"/>
    </row>
    <row r="54" spans="1:57" ht="20.100000000000001" customHeight="1" x14ac:dyDescent="0.4">
      <c r="A54" s="117"/>
      <c r="B54" s="123"/>
      <c r="C54" s="123"/>
      <c r="D54" s="123"/>
      <c r="F54" s="117"/>
      <c r="J54" s="115"/>
      <c r="K54" s="115"/>
      <c r="L54" s="115"/>
      <c r="M54" s="115"/>
      <c r="N54" s="115"/>
      <c r="O54" s="115"/>
      <c r="P54" s="115"/>
      <c r="Q54" s="115"/>
      <c r="R54" s="25">
        <v>45841</v>
      </c>
      <c r="S54" s="15" t="s">
        <v>147</v>
      </c>
      <c r="AC54" s="25"/>
      <c r="AD54" s="13"/>
      <c r="AI54" s="116"/>
      <c r="AJ54" s="123"/>
      <c r="AK54" s="123"/>
      <c r="AL54" s="123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25"/>
      <c r="BB54" s="13"/>
      <c r="BE54" s="114"/>
    </row>
    <row r="55" spans="1:57" ht="20.100000000000001" customHeight="1" x14ac:dyDescent="0.4">
      <c r="A55" s="117"/>
      <c r="B55" s="123"/>
      <c r="C55" s="123"/>
      <c r="D55" s="123"/>
      <c r="F55" s="117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25">
        <v>45841</v>
      </c>
      <c r="S55" s="15" t="s">
        <v>147</v>
      </c>
      <c r="AC55" s="25"/>
      <c r="AD55" s="13"/>
      <c r="AI55" s="116"/>
      <c r="AJ55" s="123"/>
      <c r="AK55" s="123"/>
      <c r="AL55" s="123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25"/>
      <c r="BB55" s="13"/>
      <c r="BE55" s="114"/>
    </row>
    <row r="56" spans="1:57" ht="20.100000000000001" customHeight="1" x14ac:dyDescent="0.4">
      <c r="A56" s="117"/>
      <c r="B56" s="123"/>
      <c r="C56" s="123"/>
      <c r="D56" s="123"/>
      <c r="F56" s="117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25">
        <v>45841</v>
      </c>
      <c r="S56" s="13" t="s">
        <v>147</v>
      </c>
      <c r="AC56" s="25"/>
      <c r="AD56" s="13"/>
      <c r="AI56" s="116"/>
      <c r="AJ56" s="123"/>
      <c r="AK56" s="123"/>
      <c r="AL56" s="123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25"/>
      <c r="BB56" s="13"/>
      <c r="BE56" s="114"/>
    </row>
    <row r="57" spans="1:57" ht="20.100000000000001" customHeight="1" x14ac:dyDescent="0.4">
      <c r="A57" s="117"/>
      <c r="B57" s="123"/>
      <c r="C57" s="123"/>
      <c r="D57" s="123"/>
      <c r="F57" s="117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25">
        <v>45841</v>
      </c>
      <c r="S57" s="13" t="s">
        <v>148</v>
      </c>
      <c r="AC57" s="25"/>
      <c r="AD57" s="13"/>
      <c r="AI57" s="116"/>
      <c r="AJ57" s="123"/>
      <c r="AK57" s="123"/>
      <c r="AL57" s="123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25"/>
      <c r="BB57" s="13"/>
      <c r="BE57" s="114"/>
    </row>
    <row r="58" spans="1:57" ht="20.100000000000001" customHeight="1" x14ac:dyDescent="0.4">
      <c r="A58" s="117"/>
      <c r="B58" s="123"/>
      <c r="C58" s="123"/>
      <c r="D58" s="123"/>
      <c r="F58" s="117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25">
        <v>45841</v>
      </c>
      <c r="S58" s="13" t="s">
        <v>147</v>
      </c>
      <c r="AC58" s="25"/>
      <c r="AD58" s="13"/>
      <c r="AI58" s="116"/>
      <c r="AJ58" s="123"/>
      <c r="AK58" s="123"/>
      <c r="AL58" s="123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25"/>
      <c r="BB58" s="13"/>
      <c r="BE58" s="114"/>
    </row>
    <row r="59" spans="1:57" ht="20.100000000000001" customHeight="1" x14ac:dyDescent="0.4">
      <c r="A59" s="117"/>
      <c r="B59" s="123"/>
      <c r="C59" s="123"/>
      <c r="D59" s="123"/>
      <c r="F59" s="117"/>
      <c r="H59" s="115"/>
      <c r="I59" s="115"/>
      <c r="J59" s="115"/>
      <c r="K59" s="115"/>
      <c r="L59" s="115"/>
      <c r="M59" s="115"/>
      <c r="N59" s="115"/>
      <c r="O59" s="115"/>
      <c r="P59" s="115"/>
      <c r="Q59" s="115" t="s">
        <v>344</v>
      </c>
      <c r="R59" s="13">
        <f>SUBTOTAL(3,R52:R58)</f>
        <v>7</v>
      </c>
      <c r="S59" s="13">
        <f>SUBTOTAL(3,S52:S58)</f>
        <v>7</v>
      </c>
      <c r="AC59" s="25"/>
      <c r="AD59" s="13"/>
      <c r="AI59" s="116"/>
      <c r="AJ59" s="123"/>
      <c r="AK59" s="123"/>
      <c r="AL59" s="123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25"/>
      <c r="BB59" s="13"/>
      <c r="BE59" s="114"/>
    </row>
    <row r="60" spans="1:57" ht="20.100000000000001" customHeight="1" x14ac:dyDescent="0.4">
      <c r="A60" s="117"/>
      <c r="B60" s="123"/>
      <c r="C60" s="123"/>
      <c r="D60" s="123"/>
      <c r="F60" s="117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25">
        <v>45843</v>
      </c>
      <c r="S60" s="13" t="s">
        <v>142</v>
      </c>
      <c r="AC60" s="25"/>
      <c r="AD60" s="13"/>
      <c r="AI60" s="116"/>
      <c r="AJ60" s="123"/>
      <c r="AK60" s="123"/>
      <c r="AL60" s="123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25"/>
      <c r="BB60" s="13"/>
      <c r="BE60" s="114"/>
    </row>
    <row r="61" spans="1:57" ht="20.100000000000001" customHeight="1" x14ac:dyDescent="0.4">
      <c r="A61" s="117"/>
      <c r="B61" s="123"/>
      <c r="C61" s="123"/>
      <c r="D61" s="123"/>
      <c r="F61" s="117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25">
        <v>45843</v>
      </c>
      <c r="S61" s="13" t="s">
        <v>146</v>
      </c>
      <c r="AC61" s="25"/>
      <c r="AD61" s="13"/>
      <c r="AI61" s="116"/>
      <c r="AJ61" s="123"/>
      <c r="AK61" s="123"/>
      <c r="AL61" s="123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  <c r="BA61" s="25"/>
      <c r="BB61" s="13"/>
      <c r="BE61" s="114"/>
    </row>
    <row r="62" spans="1:57" ht="20.100000000000001" customHeight="1" x14ac:dyDescent="0.4">
      <c r="A62" s="117"/>
      <c r="B62" s="123"/>
      <c r="C62" s="123"/>
      <c r="D62" s="123"/>
      <c r="F62" s="117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25">
        <v>45843</v>
      </c>
      <c r="S62" s="13" t="s">
        <v>148</v>
      </c>
      <c r="AC62" s="25"/>
      <c r="AD62" s="13"/>
      <c r="AI62" s="116"/>
      <c r="AJ62" s="123"/>
      <c r="AK62" s="123"/>
      <c r="AL62" s="123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25"/>
      <c r="BB62" s="13"/>
      <c r="BE62" s="114"/>
    </row>
    <row r="63" spans="1:57" ht="20.100000000000001" customHeight="1" x14ac:dyDescent="0.4">
      <c r="A63" s="117"/>
      <c r="B63" s="123"/>
      <c r="C63" s="123"/>
      <c r="D63" s="123"/>
      <c r="F63" s="117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25">
        <v>45843</v>
      </c>
      <c r="S63" s="13" t="s">
        <v>147</v>
      </c>
      <c r="AC63" s="25"/>
      <c r="AD63" s="13"/>
      <c r="AI63" s="116"/>
      <c r="AJ63" s="123"/>
      <c r="AK63" s="123"/>
      <c r="AL63" s="123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25"/>
      <c r="BB63" s="13"/>
      <c r="BE63" s="114"/>
    </row>
    <row r="64" spans="1:57" ht="20.100000000000001" customHeight="1" x14ac:dyDescent="0.4">
      <c r="A64" s="117"/>
      <c r="B64" s="123"/>
      <c r="C64" s="123"/>
      <c r="D64" s="123"/>
      <c r="F64" s="117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25">
        <v>45843</v>
      </c>
      <c r="S64" s="15" t="s">
        <v>147</v>
      </c>
      <c r="AC64" s="25"/>
      <c r="AD64" s="13"/>
      <c r="AI64" s="116"/>
      <c r="AJ64" s="123"/>
      <c r="AK64" s="123"/>
      <c r="AL64" s="123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25"/>
      <c r="BB64" s="13"/>
      <c r="BE64" s="114"/>
    </row>
    <row r="65" spans="1:57" ht="20.100000000000001" customHeight="1" x14ac:dyDescent="0.4">
      <c r="A65" s="117"/>
      <c r="B65" s="123"/>
      <c r="C65" s="123"/>
      <c r="D65" s="123"/>
      <c r="F65" s="12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25">
        <v>45843</v>
      </c>
      <c r="S65" s="15" t="s">
        <v>146</v>
      </c>
      <c r="AC65" s="25"/>
      <c r="AD65" s="13"/>
      <c r="AI65" s="116"/>
      <c r="AJ65" s="123"/>
      <c r="AK65" s="123"/>
      <c r="AL65" s="123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25"/>
      <c r="BB65" s="13"/>
      <c r="BE65" s="114"/>
    </row>
    <row r="66" spans="1:57" ht="20.100000000000001" customHeight="1" x14ac:dyDescent="0.4">
      <c r="A66" s="117"/>
      <c r="B66" s="123"/>
      <c r="C66" s="123"/>
      <c r="D66" s="123"/>
      <c r="F66" s="12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25">
        <v>45843</v>
      </c>
      <c r="S66" s="15" t="s">
        <v>146</v>
      </c>
      <c r="AC66" s="25"/>
      <c r="AD66" s="13"/>
      <c r="AI66" s="116"/>
      <c r="AJ66" s="123"/>
      <c r="AK66" s="123"/>
      <c r="AL66" s="123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25"/>
      <c r="BB66" s="13"/>
      <c r="BE66" s="114"/>
    </row>
    <row r="67" spans="1:57" ht="20.100000000000001" customHeight="1" x14ac:dyDescent="0.4">
      <c r="A67" s="117"/>
      <c r="B67" s="123"/>
      <c r="C67" s="123"/>
      <c r="D67" s="123"/>
      <c r="F67" s="12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25">
        <v>45843</v>
      </c>
      <c r="S67" s="15" t="s">
        <v>146</v>
      </c>
      <c r="AC67" s="25"/>
      <c r="AD67" s="13"/>
      <c r="AI67" s="116"/>
      <c r="AJ67" s="123"/>
      <c r="AK67" s="123"/>
      <c r="AL67" s="123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25"/>
      <c r="BB67" s="13"/>
      <c r="BE67" s="114"/>
    </row>
    <row r="68" spans="1:57" ht="20.100000000000001" customHeight="1" x14ac:dyDescent="0.4">
      <c r="A68" s="117"/>
      <c r="B68" s="123"/>
      <c r="C68" s="123"/>
      <c r="D68" s="123"/>
      <c r="F68" s="12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25">
        <v>45843</v>
      </c>
      <c r="S68" s="15" t="s">
        <v>147</v>
      </c>
      <c r="AC68" s="25"/>
      <c r="AD68" s="13"/>
      <c r="AI68" s="116"/>
      <c r="AJ68" s="123"/>
      <c r="AK68" s="123"/>
      <c r="AL68" s="123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25"/>
      <c r="BB68" s="13"/>
      <c r="BE68" s="114"/>
    </row>
    <row r="69" spans="1:57" ht="20.100000000000001" customHeight="1" x14ac:dyDescent="0.4">
      <c r="A69" s="117"/>
      <c r="B69" s="123"/>
      <c r="C69" s="123"/>
      <c r="D69" s="123"/>
      <c r="F69" s="12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25">
        <v>45843</v>
      </c>
      <c r="S69" s="15" t="s">
        <v>147</v>
      </c>
      <c r="AC69" s="25"/>
      <c r="AD69" s="13"/>
      <c r="AI69" s="116"/>
      <c r="AJ69" s="123"/>
      <c r="AK69" s="123"/>
      <c r="AL69" s="123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25"/>
      <c r="BB69" s="13"/>
      <c r="BE69" s="114"/>
    </row>
    <row r="70" spans="1:57" ht="20.100000000000001" customHeight="1" x14ac:dyDescent="0.4">
      <c r="A70" s="117"/>
      <c r="B70" s="123"/>
      <c r="C70" s="123"/>
      <c r="D70" s="123"/>
      <c r="F70" s="12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25">
        <v>45843</v>
      </c>
      <c r="S70" s="15" t="s">
        <v>147</v>
      </c>
      <c r="AC70" s="25"/>
      <c r="AD70" s="13"/>
      <c r="AI70" s="116"/>
      <c r="AJ70" s="123"/>
      <c r="AK70" s="123"/>
      <c r="AL70" s="123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25"/>
      <c r="BB70" s="13"/>
      <c r="BE70" s="114"/>
    </row>
    <row r="71" spans="1:57" ht="20.100000000000001" customHeight="1" x14ac:dyDescent="0.4">
      <c r="A71" s="117"/>
      <c r="B71" s="123"/>
      <c r="C71" s="123"/>
      <c r="D71" s="123"/>
      <c r="F71" s="12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25">
        <v>45843</v>
      </c>
      <c r="S71" s="15" t="s">
        <v>148</v>
      </c>
      <c r="AC71" s="25"/>
      <c r="AD71" s="13"/>
      <c r="AI71" s="116"/>
      <c r="AJ71" s="123"/>
      <c r="AK71" s="123"/>
      <c r="AL71" s="123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25"/>
      <c r="BB71" s="13"/>
      <c r="BE71" s="114"/>
    </row>
    <row r="72" spans="1:57" ht="20.100000000000001" customHeight="1" x14ac:dyDescent="0.4">
      <c r="A72" s="117"/>
      <c r="B72" s="123"/>
      <c r="C72" s="123"/>
      <c r="D72" s="123"/>
      <c r="F72" s="12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25">
        <v>45843</v>
      </c>
      <c r="S72" s="15" t="s">
        <v>146</v>
      </c>
      <c r="AC72" s="25"/>
      <c r="AD72" s="13"/>
      <c r="AI72" s="116"/>
      <c r="AJ72" s="123"/>
      <c r="AK72" s="123"/>
      <c r="AL72" s="123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25"/>
      <c r="BB72" s="13"/>
      <c r="BE72" s="114"/>
    </row>
    <row r="73" spans="1:57" ht="20.100000000000001" customHeight="1" x14ac:dyDescent="0.4">
      <c r="A73" s="117"/>
      <c r="B73" s="123"/>
      <c r="C73" s="123"/>
      <c r="D73" s="123"/>
      <c r="F73" s="125"/>
      <c r="H73" s="115"/>
      <c r="I73" s="115"/>
      <c r="J73" s="115"/>
      <c r="K73" s="115"/>
      <c r="L73" s="115"/>
      <c r="M73" s="115"/>
      <c r="N73" s="115"/>
      <c r="O73" s="115"/>
      <c r="P73" s="115"/>
      <c r="Q73" s="115" t="s">
        <v>207</v>
      </c>
      <c r="R73" s="13">
        <f>SUBTOTAL(3,R60:R72)</f>
        <v>13</v>
      </c>
      <c r="S73" s="13">
        <f>SUBTOTAL(3,S60:S72)</f>
        <v>13</v>
      </c>
      <c r="AC73" s="25"/>
      <c r="AD73" s="13"/>
      <c r="AI73" s="116"/>
      <c r="AJ73" s="123"/>
      <c r="AK73" s="123"/>
      <c r="AL73" s="123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25"/>
      <c r="BB73" s="13"/>
      <c r="BE73" s="114"/>
    </row>
    <row r="74" spans="1:57" ht="20.100000000000001" customHeight="1" x14ac:dyDescent="0.4">
      <c r="A74" s="117"/>
      <c r="B74" s="123"/>
      <c r="C74" s="123"/>
      <c r="D74" s="123"/>
      <c r="F74" s="12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25">
        <v>45844</v>
      </c>
      <c r="S74" s="13" t="s">
        <v>142</v>
      </c>
      <c r="AC74" s="25"/>
      <c r="AD74" s="13"/>
      <c r="AI74" s="116"/>
      <c r="AJ74" s="123"/>
      <c r="AK74" s="123"/>
      <c r="AL74" s="123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25"/>
      <c r="BB74" s="13"/>
      <c r="BE74" s="114"/>
    </row>
    <row r="75" spans="1:57" ht="20.100000000000001" customHeight="1" x14ac:dyDescent="0.4">
      <c r="A75" s="117"/>
      <c r="B75" s="123"/>
      <c r="C75" s="123"/>
      <c r="D75" s="123"/>
      <c r="F75" s="12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25">
        <v>45844</v>
      </c>
      <c r="S75" s="13" t="s">
        <v>147</v>
      </c>
      <c r="AC75" s="25"/>
      <c r="AD75" s="13"/>
      <c r="AI75" s="116"/>
      <c r="AJ75" s="123"/>
      <c r="AK75" s="123"/>
      <c r="AL75" s="123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25"/>
      <c r="BB75" s="13"/>
      <c r="BE75" s="114"/>
    </row>
    <row r="76" spans="1:57" ht="20.100000000000001" customHeight="1" x14ac:dyDescent="0.4">
      <c r="A76" s="117"/>
      <c r="B76" s="123"/>
      <c r="C76" s="123"/>
      <c r="D76" s="123"/>
      <c r="F76" s="12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25">
        <v>45844</v>
      </c>
      <c r="S76" s="13" t="s">
        <v>147</v>
      </c>
      <c r="AC76" s="25"/>
      <c r="AD76" s="13"/>
      <c r="AI76" s="116"/>
      <c r="AJ76" s="123"/>
      <c r="AK76" s="123"/>
      <c r="AL76" s="123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25"/>
      <c r="BB76" s="13"/>
      <c r="BE76" s="114"/>
    </row>
    <row r="77" spans="1:57" ht="20.100000000000001" customHeight="1" x14ac:dyDescent="0.4">
      <c r="A77" s="117"/>
      <c r="B77" s="123"/>
      <c r="C77" s="123"/>
      <c r="D77" s="123"/>
      <c r="F77" s="12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25">
        <v>45844</v>
      </c>
      <c r="S77" s="13" t="s">
        <v>147</v>
      </c>
      <c r="AC77" s="25"/>
      <c r="AD77" s="13"/>
      <c r="AI77" s="116"/>
      <c r="AJ77" s="123"/>
      <c r="AK77" s="123"/>
      <c r="AL77" s="123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25"/>
      <c r="BB77" s="13"/>
      <c r="BE77" s="114"/>
    </row>
    <row r="78" spans="1:57" ht="20.100000000000001" customHeight="1" x14ac:dyDescent="0.4">
      <c r="A78" s="117"/>
      <c r="B78" s="123"/>
      <c r="C78" s="123"/>
      <c r="D78" s="123"/>
      <c r="F78" s="12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26">
        <v>45844</v>
      </c>
      <c r="S78" s="13" t="s">
        <v>147</v>
      </c>
      <c r="AC78" s="25"/>
      <c r="AD78" s="13"/>
      <c r="AI78" s="116"/>
      <c r="AJ78" s="123"/>
      <c r="AK78" s="123"/>
      <c r="AL78" s="123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25"/>
      <c r="BB78" s="13"/>
      <c r="BE78" s="114"/>
    </row>
    <row r="79" spans="1:57" ht="20.100000000000001" customHeight="1" x14ac:dyDescent="0.4">
      <c r="A79" s="117"/>
      <c r="B79" s="123"/>
      <c r="C79" s="123"/>
      <c r="D79" s="123"/>
      <c r="F79" s="12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26">
        <v>45844</v>
      </c>
      <c r="S79" s="13" t="s">
        <v>147</v>
      </c>
      <c r="AC79" s="25"/>
      <c r="AD79" s="13"/>
      <c r="AI79" s="116"/>
      <c r="AJ79" s="123"/>
      <c r="AK79" s="123"/>
      <c r="AL79" s="123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25"/>
      <c r="BB79" s="13"/>
      <c r="BE79" s="114"/>
    </row>
    <row r="80" spans="1:57" ht="20.100000000000001" customHeight="1" x14ac:dyDescent="0.4">
      <c r="A80" s="117"/>
      <c r="B80" s="123"/>
      <c r="C80" s="123"/>
      <c r="D80" s="123"/>
      <c r="F80" s="12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25">
        <v>45844</v>
      </c>
      <c r="S80" s="13" t="s">
        <v>147</v>
      </c>
      <c r="AC80" s="25"/>
      <c r="AD80" s="13"/>
      <c r="AI80" s="116"/>
      <c r="AJ80" s="123"/>
      <c r="AK80" s="123"/>
      <c r="AL80" s="123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25"/>
      <c r="BB80" s="13"/>
      <c r="BE80" s="114"/>
    </row>
    <row r="81" spans="1:57" ht="20.100000000000001" customHeight="1" x14ac:dyDescent="0.4">
      <c r="A81" s="117"/>
      <c r="B81" s="123"/>
      <c r="C81" s="123"/>
      <c r="D81" s="123"/>
      <c r="F81" s="12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25">
        <v>45844</v>
      </c>
      <c r="S81" s="13" t="s">
        <v>147</v>
      </c>
      <c r="AC81" s="25"/>
      <c r="AD81" s="13"/>
      <c r="AI81" s="116"/>
      <c r="AJ81" s="123"/>
      <c r="AK81" s="123"/>
      <c r="AL81" s="123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25"/>
      <c r="BB81" s="13"/>
      <c r="BE81" s="114"/>
    </row>
    <row r="82" spans="1:57" ht="20.100000000000001" customHeight="1" x14ac:dyDescent="0.4">
      <c r="A82" s="117"/>
      <c r="B82" s="123"/>
      <c r="C82" s="123"/>
      <c r="D82" s="123"/>
      <c r="F82" s="12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25">
        <v>45844</v>
      </c>
      <c r="S82" s="13" t="s">
        <v>147</v>
      </c>
      <c r="AC82" s="25"/>
      <c r="AD82" s="13"/>
      <c r="AI82" s="116"/>
      <c r="AJ82" s="123"/>
      <c r="AK82" s="123"/>
      <c r="AL82" s="123"/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  <c r="BA82" s="25"/>
      <c r="BB82" s="13"/>
      <c r="BE82" s="114"/>
    </row>
    <row r="83" spans="1:57" ht="20.100000000000001" customHeight="1" x14ac:dyDescent="0.4">
      <c r="A83" s="117"/>
      <c r="B83" s="123"/>
      <c r="C83" s="123"/>
      <c r="D83" s="123"/>
      <c r="F83" s="125"/>
      <c r="R83" s="25">
        <v>45844</v>
      </c>
      <c r="S83" s="13" t="s">
        <v>147</v>
      </c>
      <c r="Y83" s="115"/>
      <c r="Z83" s="115"/>
      <c r="AA83" s="115"/>
      <c r="AB83" s="115"/>
      <c r="AC83" s="25">
        <v>45669</v>
      </c>
      <c r="AD83" s="13" t="s">
        <v>147</v>
      </c>
      <c r="AI83" s="116"/>
      <c r="AJ83" s="123"/>
      <c r="AK83" s="123"/>
      <c r="AL83" s="123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  <c r="BA83" s="25"/>
      <c r="BB83" s="13"/>
      <c r="BE83" s="114"/>
    </row>
    <row r="84" spans="1:57" ht="20.100000000000001" customHeight="1" x14ac:dyDescent="0.4">
      <c r="A84" s="117"/>
      <c r="B84" s="123"/>
      <c r="C84" s="123"/>
      <c r="D84" s="123"/>
      <c r="F84" s="125"/>
      <c r="N84" s="115"/>
      <c r="O84" s="115"/>
      <c r="P84" s="115"/>
      <c r="Q84" s="115"/>
      <c r="R84" s="25">
        <v>45844</v>
      </c>
      <c r="S84" s="13" t="s">
        <v>148</v>
      </c>
      <c r="Y84" s="115"/>
      <c r="Z84" s="115"/>
      <c r="AA84" s="115"/>
      <c r="AB84" s="115"/>
      <c r="AC84" s="25"/>
      <c r="AD84" s="13"/>
      <c r="AI84" s="116"/>
      <c r="AJ84" s="123"/>
      <c r="AK84" s="123"/>
      <c r="AL84" s="123"/>
      <c r="AQ84" s="115"/>
      <c r="AR84" s="115"/>
      <c r="AS84" s="115"/>
      <c r="AT84" s="115"/>
      <c r="AU84" s="115"/>
      <c r="AV84" s="115"/>
      <c r="AW84" s="115"/>
      <c r="AX84" s="115"/>
      <c r="AY84" s="115"/>
      <c r="AZ84" s="115"/>
      <c r="BA84" s="25"/>
      <c r="BB84" s="13"/>
      <c r="BE84" s="114"/>
    </row>
    <row r="85" spans="1:57" ht="20.100000000000001" customHeight="1" x14ac:dyDescent="0.4">
      <c r="A85" s="117"/>
      <c r="B85" s="123"/>
      <c r="C85" s="123"/>
      <c r="D85" s="123"/>
      <c r="F85" s="125"/>
      <c r="R85" s="25">
        <v>45844</v>
      </c>
      <c r="S85" s="13" t="s">
        <v>147</v>
      </c>
      <c r="Y85" s="115"/>
      <c r="Z85" s="115"/>
      <c r="AA85" s="115"/>
      <c r="AB85" s="115"/>
      <c r="AC85" s="25"/>
      <c r="AD85" s="13"/>
      <c r="AI85" s="116"/>
      <c r="AJ85" s="123"/>
      <c r="AK85" s="123"/>
      <c r="AL85" s="123"/>
      <c r="AQ85" s="115"/>
      <c r="AR85" s="115"/>
      <c r="AS85" s="115"/>
      <c r="AT85" s="115"/>
      <c r="AU85" s="115"/>
      <c r="AV85" s="115"/>
      <c r="AW85" s="115"/>
      <c r="AX85" s="115"/>
      <c r="AY85" s="115"/>
      <c r="AZ85" s="115"/>
      <c r="BA85" s="25"/>
      <c r="BB85" s="13"/>
      <c r="BE85" s="114"/>
    </row>
    <row r="86" spans="1:57" ht="20.100000000000001" customHeight="1" x14ac:dyDescent="0.4">
      <c r="A86" s="117"/>
      <c r="B86" s="123"/>
      <c r="C86" s="123"/>
      <c r="D86" s="123"/>
      <c r="F86" s="125"/>
      <c r="I86" s="115"/>
      <c r="J86" s="115"/>
      <c r="K86" s="115"/>
      <c r="L86" s="115"/>
      <c r="M86" s="115"/>
      <c r="N86" s="115"/>
      <c r="O86" s="115"/>
      <c r="P86" s="115"/>
      <c r="Q86" s="115"/>
      <c r="R86" s="25">
        <v>45844</v>
      </c>
      <c r="S86" s="13" t="s">
        <v>147</v>
      </c>
      <c r="Y86" s="115"/>
      <c r="Z86" s="115"/>
      <c r="AA86" s="115"/>
      <c r="AB86" s="115"/>
      <c r="AC86" s="25"/>
      <c r="AD86" s="13"/>
      <c r="AI86" s="116"/>
      <c r="AJ86" s="123"/>
      <c r="AK86" s="123"/>
      <c r="AL86" s="123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25"/>
      <c r="BB86" s="13"/>
      <c r="BE86" s="114"/>
    </row>
    <row r="87" spans="1:57" ht="20.100000000000001" customHeight="1" x14ac:dyDescent="0.4">
      <c r="A87" s="117"/>
      <c r="B87" s="123"/>
      <c r="C87" s="123"/>
      <c r="D87" s="123"/>
      <c r="F87" s="125"/>
      <c r="I87" s="115"/>
      <c r="J87" s="115"/>
      <c r="K87" s="115"/>
      <c r="L87" s="115"/>
      <c r="M87" s="115"/>
      <c r="N87" s="115"/>
      <c r="O87" s="115"/>
      <c r="P87" s="115"/>
      <c r="Q87" s="115" t="s">
        <v>345</v>
      </c>
      <c r="R87" s="13">
        <f>SUBTOTAL(3,R74:R86)</f>
        <v>13</v>
      </c>
      <c r="S87" s="13">
        <f>SUBTOTAL(3,S74:S86)</f>
        <v>13</v>
      </c>
      <c r="Y87" s="115"/>
      <c r="Z87" s="115"/>
      <c r="AA87" s="115"/>
      <c r="AB87" s="115"/>
      <c r="AC87" s="25"/>
      <c r="AD87" s="13"/>
      <c r="AI87" s="116"/>
      <c r="AJ87" s="123"/>
      <c r="AK87" s="123"/>
      <c r="AL87" s="123"/>
      <c r="AQ87" s="115"/>
      <c r="AR87" s="115"/>
      <c r="AS87" s="115"/>
      <c r="AT87" s="115"/>
      <c r="AU87" s="115"/>
      <c r="AV87" s="115"/>
      <c r="AW87" s="115"/>
      <c r="AX87" s="115"/>
      <c r="AY87" s="115"/>
      <c r="AZ87" s="115"/>
      <c r="BA87" s="25"/>
      <c r="BB87" s="13"/>
      <c r="BE87" s="114"/>
    </row>
    <row r="88" spans="1:57" ht="20.100000000000001" customHeight="1" x14ac:dyDescent="0.4">
      <c r="A88" s="117"/>
      <c r="B88" s="123"/>
      <c r="C88" s="123"/>
      <c r="D88" s="123"/>
      <c r="F88" s="12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25">
        <v>45845</v>
      </c>
      <c r="S88" s="13" t="s">
        <v>146</v>
      </c>
      <c r="Y88" s="115"/>
      <c r="Z88" s="115"/>
      <c r="AA88" s="115"/>
      <c r="AB88" s="115"/>
      <c r="AC88" s="25"/>
      <c r="AD88" s="13"/>
      <c r="AI88" s="116"/>
      <c r="AJ88" s="123"/>
      <c r="AK88" s="123"/>
      <c r="AL88" s="123"/>
      <c r="AQ88" s="115"/>
      <c r="AR88" s="115"/>
      <c r="AS88" s="115"/>
      <c r="AT88" s="115"/>
      <c r="AU88" s="115"/>
      <c r="AV88" s="115"/>
      <c r="AW88" s="115"/>
      <c r="AX88" s="115"/>
      <c r="AY88" s="115"/>
      <c r="AZ88" s="115"/>
      <c r="BA88" s="25"/>
      <c r="BB88" s="13"/>
      <c r="BE88" s="114"/>
    </row>
    <row r="89" spans="1:57" ht="20.100000000000001" customHeight="1" x14ac:dyDescent="0.4">
      <c r="A89" s="117"/>
      <c r="B89" s="123"/>
      <c r="C89" s="123"/>
      <c r="D89" s="123"/>
      <c r="F89" s="12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25">
        <v>45845</v>
      </c>
      <c r="S89" s="13" t="s">
        <v>147</v>
      </c>
      <c r="Y89" s="115"/>
      <c r="Z89" s="115"/>
      <c r="AA89" s="115"/>
      <c r="AB89" s="115"/>
      <c r="AC89" s="25"/>
      <c r="AD89" s="13"/>
      <c r="AI89" s="116"/>
      <c r="AJ89" s="123"/>
      <c r="AK89" s="123"/>
      <c r="AL89" s="123"/>
      <c r="AQ89" s="115"/>
      <c r="AR89" s="115"/>
      <c r="AS89" s="115"/>
      <c r="AT89" s="115"/>
      <c r="AU89" s="115"/>
      <c r="AV89" s="115"/>
      <c r="AW89" s="115"/>
      <c r="AX89" s="115"/>
      <c r="AY89" s="115"/>
      <c r="AZ89" s="115"/>
      <c r="BA89" s="25"/>
      <c r="BB89" s="13"/>
      <c r="BE89" s="114"/>
    </row>
    <row r="90" spans="1:57" ht="20.100000000000001" customHeight="1" x14ac:dyDescent="0.4">
      <c r="A90" s="117"/>
      <c r="B90" s="123"/>
      <c r="C90" s="123"/>
      <c r="D90" s="123"/>
      <c r="F90" s="12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25">
        <v>45845</v>
      </c>
      <c r="S90" s="13" t="s">
        <v>148</v>
      </c>
      <c r="Y90" s="115"/>
      <c r="Z90" s="115"/>
      <c r="AA90" s="115"/>
      <c r="AB90" s="115"/>
      <c r="AC90" s="25"/>
      <c r="AD90" s="13"/>
      <c r="AI90" s="116"/>
      <c r="AJ90" s="123"/>
      <c r="AK90" s="123"/>
      <c r="AL90" s="123"/>
      <c r="AQ90" s="115"/>
      <c r="AR90" s="115"/>
      <c r="AS90" s="115"/>
      <c r="AT90" s="115"/>
      <c r="AU90" s="115"/>
      <c r="AV90" s="115"/>
      <c r="AW90" s="115"/>
      <c r="AX90" s="115"/>
      <c r="AY90" s="115"/>
      <c r="AZ90" s="115"/>
      <c r="BA90" s="25"/>
      <c r="BB90" s="13"/>
      <c r="BE90" s="114"/>
    </row>
    <row r="91" spans="1:57" ht="20.100000000000001" customHeight="1" x14ac:dyDescent="0.4">
      <c r="A91" s="117"/>
      <c r="B91" s="123"/>
      <c r="C91" s="123"/>
      <c r="D91" s="123"/>
      <c r="F91" s="125"/>
      <c r="H91" s="115"/>
      <c r="I91" s="115"/>
      <c r="J91" s="115"/>
      <c r="K91" s="115"/>
      <c r="L91" s="115"/>
      <c r="M91" s="115"/>
      <c r="N91" s="115"/>
      <c r="O91" s="115"/>
      <c r="P91" s="115"/>
      <c r="Q91" s="115" t="s">
        <v>346</v>
      </c>
      <c r="R91" s="13">
        <f>SUBTOTAL(3,R88:R90)</f>
        <v>3</v>
      </c>
      <c r="S91" s="13">
        <f>SUBTOTAL(3,S88:S90)</f>
        <v>3</v>
      </c>
      <c r="Y91" s="115"/>
      <c r="Z91" s="115"/>
      <c r="AA91" s="115"/>
      <c r="AB91" s="115"/>
      <c r="AC91" s="25"/>
      <c r="AD91" s="13"/>
      <c r="AI91" s="116"/>
      <c r="AJ91" s="123"/>
      <c r="AK91" s="123"/>
      <c r="AL91" s="123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25"/>
      <c r="BB91" s="13"/>
      <c r="BE91" s="114"/>
    </row>
    <row r="92" spans="1:57" ht="20.100000000000001" customHeight="1" x14ac:dyDescent="0.4">
      <c r="A92" s="117"/>
      <c r="B92" s="123"/>
      <c r="C92" s="123"/>
      <c r="D92" s="123"/>
      <c r="F92" s="12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25">
        <v>45846</v>
      </c>
      <c r="S92" s="13" t="s">
        <v>147</v>
      </c>
      <c r="Y92" s="115"/>
      <c r="Z92" s="115"/>
      <c r="AA92" s="115"/>
      <c r="AB92" s="115"/>
      <c r="AC92" s="25"/>
      <c r="AD92" s="13"/>
      <c r="AI92" s="116"/>
      <c r="AJ92" s="123"/>
      <c r="AK92" s="123"/>
      <c r="AL92" s="123"/>
      <c r="AQ92" s="115"/>
      <c r="AR92" s="115"/>
      <c r="AS92" s="115"/>
      <c r="AT92" s="115"/>
      <c r="AU92" s="115"/>
      <c r="AV92" s="115"/>
      <c r="AW92" s="115"/>
      <c r="AX92" s="115"/>
      <c r="AY92" s="115"/>
      <c r="AZ92" s="115"/>
      <c r="BA92" s="25"/>
      <c r="BB92" s="13"/>
      <c r="BE92" s="114"/>
    </row>
    <row r="93" spans="1:57" ht="20.100000000000001" customHeight="1" x14ac:dyDescent="0.4">
      <c r="A93" s="117"/>
      <c r="B93" s="123"/>
      <c r="C93" s="123"/>
      <c r="D93" s="123"/>
      <c r="F93" s="12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25">
        <v>45846</v>
      </c>
      <c r="S93" s="13" t="s">
        <v>147</v>
      </c>
      <c r="Y93" s="115"/>
      <c r="Z93" s="115"/>
      <c r="AA93" s="115"/>
      <c r="AB93" s="115"/>
      <c r="AC93" s="25"/>
      <c r="AD93" s="13"/>
      <c r="AI93" s="116"/>
      <c r="AJ93" s="123"/>
      <c r="AK93" s="123"/>
      <c r="AL93" s="123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25"/>
      <c r="BB93" s="13"/>
      <c r="BE93" s="114"/>
    </row>
    <row r="94" spans="1:57" ht="20.100000000000001" customHeight="1" x14ac:dyDescent="0.4">
      <c r="A94" s="117"/>
      <c r="B94" s="123"/>
      <c r="C94" s="123"/>
      <c r="D94" s="123"/>
      <c r="F94" s="12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25">
        <v>45846</v>
      </c>
      <c r="S94" s="13" t="s">
        <v>147</v>
      </c>
      <c r="Y94" s="115"/>
      <c r="Z94" s="115"/>
      <c r="AA94" s="115"/>
      <c r="AB94" s="115"/>
      <c r="AC94" s="25"/>
      <c r="AD94" s="13"/>
      <c r="AI94" s="116"/>
      <c r="AJ94" s="123"/>
      <c r="AK94" s="123"/>
      <c r="AL94" s="123"/>
      <c r="AQ94" s="115"/>
      <c r="AR94" s="115"/>
      <c r="AS94" s="115"/>
      <c r="AT94" s="115"/>
      <c r="AU94" s="115"/>
      <c r="AV94" s="115"/>
      <c r="AW94" s="115"/>
      <c r="AX94" s="115"/>
      <c r="AY94" s="115"/>
      <c r="AZ94" s="115"/>
      <c r="BA94" s="25"/>
      <c r="BB94" s="13"/>
      <c r="BE94" s="114"/>
    </row>
    <row r="95" spans="1:57" ht="20.100000000000001" customHeight="1" x14ac:dyDescent="0.4">
      <c r="A95" s="117"/>
      <c r="B95" s="123"/>
      <c r="C95" s="123"/>
      <c r="D95" s="123"/>
      <c r="F95" s="12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25">
        <v>45846</v>
      </c>
      <c r="S95" s="15" t="s">
        <v>147</v>
      </c>
      <c r="Y95" s="115"/>
      <c r="Z95" s="115"/>
      <c r="AA95" s="115"/>
      <c r="AB95" s="115"/>
      <c r="AC95" s="25"/>
      <c r="AD95" s="13"/>
      <c r="AI95" s="116"/>
      <c r="AJ95" s="123"/>
      <c r="AK95" s="123"/>
      <c r="AL95" s="123"/>
      <c r="AQ95" s="115"/>
      <c r="AR95" s="115"/>
      <c r="AS95" s="115"/>
      <c r="AT95" s="115"/>
      <c r="AU95" s="115"/>
      <c r="AV95" s="115"/>
      <c r="AW95" s="115"/>
      <c r="AX95" s="115"/>
      <c r="AY95" s="115"/>
      <c r="AZ95" s="115"/>
      <c r="BA95" s="25"/>
      <c r="BB95" s="13"/>
      <c r="BE95" s="114"/>
    </row>
    <row r="96" spans="1:57" ht="20.100000000000001" customHeight="1" x14ac:dyDescent="0.4">
      <c r="A96" s="117"/>
      <c r="B96" s="123"/>
      <c r="C96" s="123"/>
      <c r="D96" s="123"/>
      <c r="F96" s="12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25">
        <v>45846</v>
      </c>
      <c r="S96" s="15" t="s">
        <v>147</v>
      </c>
      <c r="Y96" s="115"/>
      <c r="Z96" s="115"/>
      <c r="AA96" s="115"/>
      <c r="AB96" s="115"/>
      <c r="AC96" s="25"/>
      <c r="AD96" s="13"/>
      <c r="AI96" s="116"/>
      <c r="AJ96" s="123"/>
      <c r="AK96" s="123"/>
      <c r="AL96" s="123"/>
      <c r="AQ96" s="115"/>
      <c r="AR96" s="115"/>
      <c r="AS96" s="115"/>
      <c r="AT96" s="115"/>
      <c r="AU96" s="115"/>
      <c r="AV96" s="115"/>
      <c r="AW96" s="115"/>
      <c r="AX96" s="115"/>
      <c r="AY96" s="115"/>
      <c r="AZ96" s="115"/>
      <c r="BA96" s="25"/>
      <c r="BB96" s="13"/>
      <c r="BE96" s="114"/>
    </row>
    <row r="97" spans="1:57" ht="20.100000000000001" customHeight="1" x14ac:dyDescent="0.4">
      <c r="A97" s="117"/>
      <c r="B97" s="123"/>
      <c r="C97" s="123"/>
      <c r="D97" s="123"/>
      <c r="F97" s="12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25">
        <v>45846</v>
      </c>
      <c r="S97" s="15" t="s">
        <v>147</v>
      </c>
      <c r="Y97" s="115"/>
      <c r="Z97" s="115"/>
      <c r="AA97" s="115"/>
      <c r="AB97" s="115"/>
      <c r="AC97" s="25"/>
      <c r="AD97" s="13"/>
      <c r="AI97" s="116"/>
      <c r="AJ97" s="123"/>
      <c r="AK97" s="123"/>
      <c r="AL97" s="123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25"/>
      <c r="BB97" s="13"/>
      <c r="BE97" s="114"/>
    </row>
    <row r="98" spans="1:57" ht="20.100000000000001" customHeight="1" x14ac:dyDescent="0.4">
      <c r="A98" s="117"/>
      <c r="B98" s="123"/>
      <c r="C98" s="123"/>
      <c r="D98" s="123"/>
      <c r="F98" s="12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25">
        <v>45846</v>
      </c>
      <c r="S98" s="13" t="s">
        <v>146</v>
      </c>
      <c r="Y98" s="115"/>
      <c r="Z98" s="115"/>
      <c r="AA98" s="115"/>
      <c r="AB98" s="115"/>
      <c r="AC98" s="25"/>
      <c r="AD98" s="13"/>
      <c r="AI98" s="116"/>
      <c r="AJ98" s="123"/>
      <c r="AK98" s="123"/>
      <c r="AL98" s="123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25"/>
      <c r="BB98" s="13"/>
      <c r="BE98" s="114"/>
    </row>
    <row r="99" spans="1:57" ht="20.100000000000001" customHeight="1" x14ac:dyDescent="0.4">
      <c r="A99" s="117"/>
      <c r="B99" s="123"/>
      <c r="C99" s="123"/>
      <c r="D99" s="123"/>
      <c r="F99" s="125"/>
      <c r="R99" s="25">
        <v>45846</v>
      </c>
      <c r="S99" s="13" t="s">
        <v>146</v>
      </c>
      <c r="Y99" s="115"/>
      <c r="Z99" s="115"/>
      <c r="AA99" s="115"/>
      <c r="AB99" s="115"/>
      <c r="AC99" s="25">
        <v>45671</v>
      </c>
      <c r="AD99" s="13" t="s">
        <v>146</v>
      </c>
      <c r="AI99" s="116"/>
      <c r="AJ99" s="123"/>
      <c r="AK99" s="123"/>
      <c r="AL99" s="123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25"/>
      <c r="BB99" s="13"/>
      <c r="BE99" s="114"/>
    </row>
    <row r="100" spans="1:57" ht="20.100000000000001" customHeight="1" x14ac:dyDescent="0.4">
      <c r="A100" s="117"/>
      <c r="B100" s="123"/>
      <c r="C100" s="123"/>
      <c r="D100" s="123"/>
      <c r="F100" s="125"/>
      <c r="J100" s="115"/>
      <c r="K100" s="115"/>
      <c r="L100" s="115"/>
      <c r="M100" s="115"/>
      <c r="N100" s="115"/>
      <c r="O100" s="115"/>
      <c r="P100" s="115"/>
      <c r="Q100" s="115"/>
      <c r="R100" s="25">
        <v>45846</v>
      </c>
      <c r="S100" s="13" t="s">
        <v>148</v>
      </c>
      <c r="Y100" s="115"/>
      <c r="Z100" s="115"/>
      <c r="AA100" s="115"/>
      <c r="AB100" s="115"/>
      <c r="AC100" s="25"/>
      <c r="AD100" s="13"/>
      <c r="AI100" s="116"/>
      <c r="AJ100" s="123"/>
      <c r="AK100" s="123"/>
      <c r="AL100" s="123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115"/>
      <c r="BA100" s="25"/>
      <c r="BB100" s="13"/>
      <c r="BE100" s="114"/>
    </row>
    <row r="101" spans="1:57" ht="20.100000000000001" customHeight="1" x14ac:dyDescent="0.4">
      <c r="A101" s="117"/>
      <c r="B101" s="123"/>
      <c r="C101" s="123"/>
      <c r="D101" s="123"/>
      <c r="F101" s="125"/>
      <c r="J101" s="115"/>
      <c r="K101" s="115"/>
      <c r="L101" s="115"/>
      <c r="M101" s="115"/>
      <c r="N101" s="115"/>
      <c r="O101" s="115"/>
      <c r="P101" s="115"/>
      <c r="Q101" s="115"/>
      <c r="R101" s="25">
        <v>45846</v>
      </c>
      <c r="S101" s="13" t="s">
        <v>147</v>
      </c>
      <c r="Y101" s="115"/>
      <c r="Z101" s="115"/>
      <c r="AA101" s="115"/>
      <c r="AB101" s="115"/>
      <c r="AC101" s="25"/>
      <c r="AD101" s="13"/>
      <c r="AI101" s="116"/>
      <c r="AJ101" s="123"/>
      <c r="AK101" s="123"/>
      <c r="AL101" s="123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25"/>
      <c r="BB101" s="13"/>
      <c r="BE101" s="114"/>
    </row>
    <row r="102" spans="1:57" ht="20.100000000000001" customHeight="1" x14ac:dyDescent="0.4">
      <c r="A102" s="117"/>
      <c r="B102" s="123"/>
      <c r="C102" s="123"/>
      <c r="D102" s="123"/>
      <c r="F102" s="125"/>
      <c r="R102" s="25">
        <v>45846</v>
      </c>
      <c r="S102" s="13" t="s">
        <v>147</v>
      </c>
      <c r="W102" s="115"/>
      <c r="X102" s="115"/>
      <c r="Y102" s="115"/>
      <c r="Z102" s="115"/>
      <c r="AA102" s="115"/>
      <c r="AB102" s="115"/>
      <c r="AC102" s="25">
        <v>45671</v>
      </c>
      <c r="AD102" s="13" t="s">
        <v>148</v>
      </c>
      <c r="AI102" s="116"/>
      <c r="AJ102" s="123"/>
      <c r="AK102" s="123"/>
      <c r="AL102" s="123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25"/>
      <c r="BB102" s="13"/>
      <c r="BE102" s="114"/>
    </row>
    <row r="103" spans="1:57" ht="20.100000000000001" customHeight="1" x14ac:dyDescent="0.4">
      <c r="A103" s="117"/>
      <c r="B103" s="123"/>
      <c r="C103" s="123"/>
      <c r="D103" s="123"/>
      <c r="F103" s="125"/>
      <c r="Q103" s="115" t="s">
        <v>208</v>
      </c>
      <c r="R103" s="13">
        <f>SUBTOTAL(3,R92:R102)</f>
        <v>11</v>
      </c>
      <c r="S103" s="13">
        <f>SUBTOTAL(3,S92:S102)</f>
        <v>11</v>
      </c>
      <c r="W103" s="115"/>
      <c r="X103" s="115"/>
      <c r="Y103" s="115"/>
      <c r="Z103" s="115"/>
      <c r="AA103" s="115"/>
      <c r="AB103" s="115"/>
      <c r="AC103" s="25"/>
      <c r="AD103" s="13"/>
      <c r="AI103" s="116"/>
      <c r="AJ103" s="123"/>
      <c r="AK103" s="123"/>
      <c r="AL103" s="123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25"/>
      <c r="BB103" s="13"/>
      <c r="BE103" s="114"/>
    </row>
    <row r="104" spans="1:57" ht="20.100000000000001" customHeight="1" x14ac:dyDescent="0.4">
      <c r="A104" s="117"/>
      <c r="B104" s="123"/>
      <c r="C104" s="123"/>
      <c r="D104" s="123"/>
      <c r="F104" s="125"/>
      <c r="P104" s="115"/>
      <c r="Q104" s="115"/>
      <c r="R104" s="25">
        <v>45847</v>
      </c>
      <c r="S104" s="13" t="s">
        <v>146</v>
      </c>
      <c r="W104" s="115"/>
      <c r="X104" s="115"/>
      <c r="Y104" s="115"/>
      <c r="Z104" s="115"/>
      <c r="AA104" s="115"/>
      <c r="AB104" s="115"/>
      <c r="AC104" s="25"/>
      <c r="AD104" s="13"/>
      <c r="AI104" s="116"/>
      <c r="AJ104" s="123"/>
      <c r="AK104" s="123"/>
      <c r="AL104" s="123"/>
      <c r="AQ104" s="115"/>
      <c r="AR104" s="115"/>
      <c r="AS104" s="115"/>
      <c r="AT104" s="115"/>
      <c r="AU104" s="115"/>
      <c r="AV104" s="115"/>
      <c r="AW104" s="115"/>
      <c r="AX104" s="115"/>
      <c r="AY104" s="115"/>
      <c r="AZ104" s="115"/>
      <c r="BA104" s="25"/>
      <c r="BB104" s="13"/>
      <c r="BE104" s="114"/>
    </row>
    <row r="105" spans="1:57" ht="20.100000000000001" customHeight="1" x14ac:dyDescent="0.4">
      <c r="A105" s="117"/>
      <c r="B105" s="123"/>
      <c r="C105" s="123"/>
      <c r="D105" s="123"/>
      <c r="R105" s="25">
        <v>45847</v>
      </c>
      <c r="S105" s="15" t="s">
        <v>147</v>
      </c>
      <c r="W105" s="115"/>
      <c r="X105" s="115"/>
      <c r="Y105" s="115"/>
      <c r="Z105" s="115"/>
      <c r="AA105" s="115"/>
      <c r="AB105" s="115"/>
      <c r="AC105" s="25"/>
      <c r="AD105" s="13"/>
      <c r="AI105" s="116"/>
      <c r="AJ105" s="123"/>
      <c r="AK105" s="123"/>
      <c r="AL105" s="123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25"/>
      <c r="BB105" s="13"/>
      <c r="BE105" s="114"/>
    </row>
    <row r="106" spans="1:57" ht="20.100000000000001" customHeight="1" x14ac:dyDescent="0.4">
      <c r="A106" s="117"/>
      <c r="B106" s="123"/>
      <c r="C106" s="123"/>
      <c r="D106" s="123"/>
      <c r="N106" s="115"/>
      <c r="O106" s="115"/>
      <c r="P106" s="115"/>
      <c r="Q106" s="115"/>
      <c r="R106" s="25">
        <v>45847</v>
      </c>
      <c r="S106" s="15" t="s">
        <v>146</v>
      </c>
      <c r="W106" s="115"/>
      <c r="X106" s="115"/>
      <c r="Y106" s="115"/>
      <c r="Z106" s="115"/>
      <c r="AA106" s="115"/>
      <c r="AB106" s="115"/>
      <c r="AC106" s="25"/>
      <c r="AD106" s="13"/>
      <c r="AI106" s="116"/>
      <c r="AJ106" s="123"/>
      <c r="AK106" s="123"/>
      <c r="AL106" s="123"/>
      <c r="AQ106" s="115"/>
      <c r="AR106" s="115"/>
      <c r="AS106" s="115"/>
      <c r="AT106" s="115"/>
      <c r="AU106" s="115"/>
      <c r="AV106" s="115"/>
      <c r="AW106" s="115"/>
      <c r="AX106" s="115"/>
      <c r="AY106" s="115"/>
      <c r="AZ106" s="115"/>
      <c r="BA106" s="25"/>
      <c r="BB106" s="13"/>
      <c r="BE106" s="114"/>
    </row>
    <row r="107" spans="1:57" ht="20.100000000000001" customHeight="1" x14ac:dyDescent="0.4">
      <c r="A107" s="117"/>
      <c r="B107" s="123"/>
      <c r="C107" s="123"/>
      <c r="D107" s="123"/>
      <c r="N107" s="115"/>
      <c r="O107" s="115"/>
      <c r="P107" s="115"/>
      <c r="Q107" s="115"/>
      <c r="R107" s="25">
        <v>45847</v>
      </c>
      <c r="S107" s="15" t="s">
        <v>147</v>
      </c>
      <c r="W107" s="115"/>
      <c r="X107" s="115"/>
      <c r="Y107" s="115"/>
      <c r="Z107" s="115"/>
      <c r="AA107" s="115"/>
      <c r="AB107" s="115"/>
      <c r="AC107" s="25"/>
      <c r="AD107" s="13"/>
      <c r="AI107" s="116"/>
      <c r="AJ107" s="123"/>
      <c r="AK107" s="123"/>
      <c r="AL107" s="123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25"/>
      <c r="BB107" s="13"/>
      <c r="BE107" s="114"/>
    </row>
    <row r="108" spans="1:57" ht="20.100000000000001" customHeight="1" x14ac:dyDescent="0.4">
      <c r="A108" s="117"/>
      <c r="B108" s="123"/>
      <c r="C108" s="123"/>
      <c r="D108" s="123"/>
      <c r="N108" s="115"/>
      <c r="O108" s="115"/>
      <c r="P108" s="115"/>
      <c r="Q108" s="115"/>
      <c r="R108" s="25">
        <v>45847</v>
      </c>
      <c r="S108" s="15" t="s">
        <v>147</v>
      </c>
      <c r="W108" s="115"/>
      <c r="X108" s="115"/>
      <c r="Y108" s="115"/>
      <c r="Z108" s="115"/>
      <c r="AA108" s="115"/>
      <c r="AB108" s="115"/>
      <c r="AC108" s="25"/>
      <c r="AD108" s="13"/>
      <c r="AI108" s="116"/>
      <c r="AJ108" s="123"/>
      <c r="AK108" s="123"/>
      <c r="AL108" s="123"/>
      <c r="AQ108" s="115"/>
      <c r="AR108" s="115"/>
      <c r="AS108" s="115"/>
      <c r="AT108" s="115"/>
      <c r="AU108" s="115"/>
      <c r="AV108" s="115"/>
      <c r="AW108" s="115"/>
      <c r="AX108" s="115"/>
      <c r="AY108" s="115"/>
      <c r="AZ108" s="115"/>
      <c r="BA108" s="25"/>
      <c r="BB108" s="13"/>
      <c r="BE108" s="114"/>
    </row>
    <row r="109" spans="1:57" ht="20.100000000000001" customHeight="1" x14ac:dyDescent="0.4">
      <c r="A109" s="117"/>
      <c r="B109" s="123"/>
      <c r="C109" s="123"/>
      <c r="D109" s="123"/>
      <c r="N109" s="115"/>
      <c r="O109" s="115"/>
      <c r="P109" s="115"/>
      <c r="Q109" s="115" t="s">
        <v>347</v>
      </c>
      <c r="R109" s="13">
        <f>SUBTOTAL(3,R104:R108)</f>
        <v>5</v>
      </c>
      <c r="S109" s="15">
        <f>SUBTOTAL(3,S104:S108)</f>
        <v>5</v>
      </c>
      <c r="W109" s="115"/>
      <c r="X109" s="115"/>
      <c r="Y109" s="115"/>
      <c r="Z109" s="115"/>
      <c r="AA109" s="115"/>
      <c r="AB109" s="115"/>
      <c r="AC109" s="25"/>
      <c r="AD109" s="13"/>
      <c r="AI109" s="116"/>
      <c r="AJ109" s="123"/>
      <c r="AK109" s="123"/>
      <c r="AL109" s="123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25"/>
      <c r="BB109" s="13"/>
      <c r="BE109" s="114"/>
    </row>
    <row r="110" spans="1:57" ht="20.100000000000001" customHeight="1" x14ac:dyDescent="0.4">
      <c r="A110" s="117"/>
      <c r="B110" s="123"/>
      <c r="C110" s="123"/>
      <c r="D110" s="123"/>
      <c r="R110" s="25">
        <v>45850</v>
      </c>
      <c r="S110" s="15" t="s">
        <v>147</v>
      </c>
      <c r="W110" s="115"/>
      <c r="X110" s="115"/>
      <c r="Y110" s="115"/>
      <c r="Z110" s="115"/>
      <c r="AA110" s="115"/>
      <c r="AB110" s="115"/>
      <c r="AC110" s="25"/>
      <c r="AD110" s="13"/>
      <c r="AI110" s="116"/>
      <c r="AJ110" s="123"/>
      <c r="AK110" s="123"/>
      <c r="AL110" s="123"/>
      <c r="AQ110" s="115"/>
      <c r="AR110" s="115"/>
      <c r="AS110" s="115"/>
      <c r="AT110" s="115"/>
      <c r="AU110" s="115"/>
      <c r="AV110" s="115"/>
      <c r="AW110" s="115"/>
      <c r="AX110" s="115"/>
      <c r="AY110" s="115"/>
      <c r="AZ110" s="115"/>
      <c r="BA110" s="25"/>
      <c r="BB110" s="13"/>
      <c r="BE110" s="114"/>
    </row>
    <row r="111" spans="1:57" ht="20.100000000000001" customHeight="1" x14ac:dyDescent="0.4">
      <c r="A111" s="117"/>
      <c r="B111" s="123"/>
      <c r="C111" s="123"/>
      <c r="D111" s="123"/>
      <c r="M111" s="115"/>
      <c r="N111" s="115"/>
      <c r="O111" s="115"/>
      <c r="P111" s="115"/>
      <c r="Q111" s="115"/>
      <c r="R111" s="25">
        <v>45850</v>
      </c>
      <c r="S111" s="132" t="s">
        <v>147</v>
      </c>
      <c r="W111" s="115"/>
      <c r="X111" s="115"/>
      <c r="Y111" s="115"/>
      <c r="Z111" s="115"/>
      <c r="AA111" s="115"/>
      <c r="AB111" s="115"/>
      <c r="AC111" s="25"/>
      <c r="AD111" s="13"/>
      <c r="AI111" s="116"/>
      <c r="AJ111" s="123"/>
      <c r="AK111" s="123"/>
      <c r="AL111" s="123"/>
      <c r="AQ111" s="115"/>
      <c r="AR111" s="115"/>
      <c r="AS111" s="115"/>
      <c r="AT111" s="115"/>
      <c r="AU111" s="115"/>
      <c r="AV111" s="115"/>
      <c r="AW111" s="115"/>
      <c r="AX111" s="115"/>
      <c r="AY111" s="115"/>
      <c r="AZ111" s="115"/>
      <c r="BA111" s="25"/>
      <c r="BB111" s="13"/>
      <c r="BE111" s="114"/>
    </row>
    <row r="112" spans="1:57" ht="20.100000000000001" customHeight="1" x14ac:dyDescent="0.4">
      <c r="A112" s="117"/>
      <c r="B112" s="123"/>
      <c r="C112" s="123"/>
      <c r="D112" s="123"/>
      <c r="M112" s="115"/>
      <c r="N112" s="115"/>
      <c r="O112" s="115"/>
      <c r="P112" s="115"/>
      <c r="Q112" s="115"/>
      <c r="R112" s="25">
        <v>45850</v>
      </c>
      <c r="S112" s="13" t="s">
        <v>146</v>
      </c>
      <c r="W112" s="115"/>
      <c r="X112" s="115"/>
      <c r="Y112" s="115"/>
      <c r="Z112" s="115"/>
      <c r="AA112" s="115"/>
      <c r="AB112" s="115"/>
      <c r="AC112" s="25"/>
      <c r="AD112" s="13"/>
      <c r="AI112" s="116"/>
      <c r="AJ112" s="123"/>
      <c r="AK112" s="123"/>
      <c r="AL112" s="123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25"/>
      <c r="BB112" s="13"/>
      <c r="BE112" s="114"/>
    </row>
    <row r="113" spans="1:57" ht="20.100000000000001" customHeight="1" x14ac:dyDescent="0.4">
      <c r="A113" s="117"/>
      <c r="B113" s="123"/>
      <c r="C113" s="123"/>
      <c r="D113" s="123"/>
      <c r="R113" s="25">
        <v>45850</v>
      </c>
      <c r="S113" s="13" t="s">
        <v>146</v>
      </c>
      <c r="W113" s="115"/>
      <c r="X113" s="115"/>
      <c r="Y113" s="115"/>
      <c r="Z113" s="115"/>
      <c r="AA113" s="115"/>
      <c r="AB113" s="115"/>
      <c r="AC113" s="25"/>
      <c r="AD113" s="13"/>
      <c r="AI113" s="116"/>
      <c r="AJ113" s="123"/>
      <c r="AK113" s="123"/>
      <c r="AL113" s="123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25"/>
      <c r="BB113" s="13"/>
      <c r="BE113" s="114"/>
    </row>
    <row r="114" spans="1:57" ht="20.100000000000001" customHeight="1" x14ac:dyDescent="0.4">
      <c r="A114" s="117"/>
      <c r="B114" s="123"/>
      <c r="C114" s="123"/>
      <c r="D114" s="123"/>
      <c r="K114" s="115"/>
      <c r="L114" s="115"/>
      <c r="M114" s="115"/>
      <c r="N114" s="115"/>
      <c r="O114" s="115"/>
      <c r="P114" s="115"/>
      <c r="Q114" s="115"/>
      <c r="R114" s="25">
        <v>45850</v>
      </c>
      <c r="S114" s="13" t="s">
        <v>146</v>
      </c>
      <c r="W114" s="115"/>
      <c r="X114" s="115"/>
      <c r="Y114" s="115"/>
      <c r="Z114" s="115"/>
      <c r="AA114" s="115"/>
      <c r="AB114" s="115"/>
      <c r="AC114" s="25"/>
      <c r="AD114" s="13"/>
      <c r="AI114" s="116"/>
      <c r="AJ114" s="123"/>
      <c r="AK114" s="123"/>
      <c r="AL114" s="123"/>
      <c r="AQ114" s="115"/>
      <c r="AR114" s="115"/>
      <c r="AS114" s="115"/>
      <c r="AT114" s="115"/>
      <c r="AU114" s="115"/>
      <c r="AV114" s="115"/>
      <c r="AW114" s="115"/>
      <c r="AX114" s="115"/>
      <c r="AY114" s="115"/>
      <c r="AZ114" s="115"/>
      <c r="BA114" s="25"/>
      <c r="BB114" s="13"/>
      <c r="BE114" s="114"/>
    </row>
    <row r="115" spans="1:57" ht="20.100000000000001" customHeight="1" x14ac:dyDescent="0.4">
      <c r="A115" s="117"/>
      <c r="B115" s="123"/>
      <c r="C115" s="123"/>
      <c r="D115" s="123"/>
      <c r="J115" s="115"/>
      <c r="K115" s="115"/>
      <c r="L115" s="115"/>
      <c r="M115" s="115"/>
      <c r="N115" s="115"/>
      <c r="O115" s="115"/>
      <c r="P115" s="115"/>
      <c r="Q115" s="115"/>
      <c r="R115" s="25">
        <v>45850</v>
      </c>
      <c r="S115" s="13" t="s">
        <v>148</v>
      </c>
      <c r="W115" s="115"/>
      <c r="X115" s="115"/>
      <c r="Y115" s="115"/>
      <c r="Z115" s="115"/>
      <c r="AA115" s="115"/>
      <c r="AB115" s="115"/>
      <c r="AC115" s="25"/>
      <c r="AD115" s="13"/>
      <c r="AI115" s="116"/>
      <c r="AJ115" s="123"/>
      <c r="AK115" s="123"/>
      <c r="AL115" s="123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25"/>
      <c r="BB115" s="13"/>
      <c r="BE115" s="114"/>
    </row>
    <row r="116" spans="1:57" ht="20.100000000000001" customHeight="1" x14ac:dyDescent="0.4">
      <c r="A116" s="117"/>
      <c r="B116" s="123"/>
      <c r="C116" s="123"/>
      <c r="D116" s="123"/>
      <c r="J116" s="115"/>
      <c r="K116" s="115"/>
      <c r="L116" s="115"/>
      <c r="M116" s="115"/>
      <c r="N116" s="115"/>
      <c r="O116" s="115"/>
      <c r="P116" s="115"/>
      <c r="Q116" s="115"/>
      <c r="R116" s="25">
        <v>45850</v>
      </c>
      <c r="S116" s="13" t="s">
        <v>146</v>
      </c>
      <c r="W116" s="115"/>
      <c r="X116" s="115"/>
      <c r="Y116" s="115"/>
      <c r="Z116" s="115"/>
      <c r="AA116" s="115"/>
      <c r="AB116" s="115"/>
      <c r="AC116" s="25"/>
      <c r="AD116" s="13"/>
      <c r="AI116" s="116"/>
      <c r="AJ116" s="123"/>
      <c r="AK116" s="123"/>
      <c r="AL116" s="123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25"/>
      <c r="BB116" s="13"/>
      <c r="BE116" s="114"/>
    </row>
    <row r="117" spans="1:57" ht="20.100000000000001" customHeight="1" x14ac:dyDescent="0.4">
      <c r="A117" s="117"/>
      <c r="B117" s="123"/>
      <c r="C117" s="123"/>
      <c r="D117" s="123"/>
      <c r="I117" s="115"/>
      <c r="J117" s="115"/>
      <c r="K117" s="115"/>
      <c r="L117" s="115"/>
      <c r="M117" s="115"/>
      <c r="N117" s="115"/>
      <c r="O117" s="115"/>
      <c r="P117" s="115"/>
      <c r="Q117" s="115"/>
      <c r="R117" s="25">
        <v>45850</v>
      </c>
      <c r="S117" s="13" t="s">
        <v>148</v>
      </c>
      <c r="W117" s="115"/>
      <c r="X117" s="115"/>
      <c r="Y117" s="115"/>
      <c r="Z117" s="115"/>
      <c r="AA117" s="115"/>
      <c r="AB117" s="115"/>
      <c r="AC117" s="25"/>
      <c r="AD117" s="13"/>
      <c r="AI117" s="116"/>
      <c r="AJ117" s="123"/>
      <c r="AK117" s="123"/>
      <c r="AL117" s="123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25"/>
      <c r="BB117" s="13"/>
      <c r="BE117" s="114"/>
    </row>
    <row r="118" spans="1:57" ht="20.100000000000001" customHeight="1" x14ac:dyDescent="0.4">
      <c r="A118" s="117"/>
      <c r="B118" s="123"/>
      <c r="C118" s="123"/>
      <c r="D118" s="123"/>
      <c r="I118" s="115"/>
      <c r="J118" s="115"/>
      <c r="K118" s="115"/>
      <c r="L118" s="115"/>
      <c r="M118" s="115"/>
      <c r="N118" s="115"/>
      <c r="O118" s="115"/>
      <c r="P118" s="115"/>
      <c r="Q118" s="115"/>
      <c r="R118" s="25">
        <v>45850</v>
      </c>
      <c r="S118" s="25" t="s">
        <v>148</v>
      </c>
      <c r="W118" s="115"/>
      <c r="X118" s="115"/>
      <c r="Y118" s="115"/>
      <c r="Z118" s="115"/>
      <c r="AA118" s="115"/>
      <c r="AB118" s="115"/>
      <c r="AC118" s="25"/>
      <c r="AD118" s="13"/>
      <c r="AI118" s="116"/>
      <c r="AJ118" s="123"/>
      <c r="AK118" s="123"/>
      <c r="AL118" s="123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25"/>
      <c r="BB118" s="13"/>
      <c r="BE118" s="114"/>
    </row>
    <row r="119" spans="1:57" ht="20.100000000000001" customHeight="1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25">
        <v>45850</v>
      </c>
      <c r="S119" s="25" t="s">
        <v>147</v>
      </c>
      <c r="W119" s="115"/>
      <c r="X119" s="115"/>
      <c r="Y119" s="115"/>
      <c r="Z119" s="115"/>
      <c r="AA119" s="115"/>
      <c r="AB119" s="115"/>
      <c r="AC119" s="25"/>
      <c r="AD119" s="13"/>
      <c r="AI119" s="116"/>
      <c r="AJ119" s="123"/>
      <c r="AK119" s="123"/>
      <c r="AL119" s="123"/>
      <c r="AQ119" s="115"/>
      <c r="AR119" s="115"/>
      <c r="AS119" s="115"/>
      <c r="AT119" s="115"/>
      <c r="AU119" s="115"/>
      <c r="AV119" s="115"/>
      <c r="AW119" s="115"/>
      <c r="AX119" s="115"/>
      <c r="AY119" s="115"/>
      <c r="AZ119" s="115"/>
      <c r="BA119" s="25"/>
      <c r="BB119" s="13"/>
      <c r="BE119" s="114"/>
    </row>
    <row r="120" spans="1:57" ht="20.100000000000001" customHeight="1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25">
        <v>45850</v>
      </c>
      <c r="S120" s="25" t="s">
        <v>146</v>
      </c>
      <c r="W120" s="115"/>
      <c r="X120" s="115"/>
      <c r="Y120" s="115"/>
      <c r="Z120" s="115"/>
      <c r="AA120" s="115"/>
      <c r="AB120" s="115"/>
      <c r="AC120" s="25"/>
      <c r="AD120" s="13"/>
      <c r="AI120" s="116"/>
      <c r="AJ120" s="123"/>
      <c r="AK120" s="123"/>
      <c r="AL120" s="123"/>
      <c r="AQ120" s="115"/>
      <c r="AR120" s="115"/>
      <c r="AS120" s="115"/>
      <c r="AT120" s="115"/>
      <c r="AU120" s="115"/>
      <c r="AV120" s="115"/>
      <c r="AW120" s="115"/>
      <c r="AX120" s="115"/>
      <c r="AY120" s="115"/>
      <c r="AZ120" s="115"/>
      <c r="BA120" s="25"/>
      <c r="BB120" s="13"/>
      <c r="BE120" s="114"/>
    </row>
    <row r="121" spans="1:57" ht="20.100000000000001" customHeight="1" x14ac:dyDescent="0.4">
      <c r="A121" s="117"/>
      <c r="B121" s="123"/>
      <c r="C121" s="123"/>
      <c r="D121" s="123"/>
      <c r="R121" s="25">
        <v>45850</v>
      </c>
      <c r="S121" s="25" t="s">
        <v>148</v>
      </c>
      <c r="W121" s="115"/>
      <c r="X121" s="115"/>
      <c r="Y121" s="115"/>
      <c r="Z121" s="115"/>
      <c r="AA121" s="115"/>
      <c r="AB121" s="115"/>
      <c r="AC121" s="25">
        <v>45672</v>
      </c>
      <c r="AD121" s="13" t="s">
        <v>146</v>
      </c>
      <c r="AI121" s="116"/>
      <c r="AJ121" s="123"/>
      <c r="AK121" s="123"/>
      <c r="AL121" s="123"/>
      <c r="AQ121" s="115"/>
      <c r="AR121" s="115"/>
      <c r="AS121" s="115"/>
      <c r="AT121" s="115"/>
      <c r="AU121" s="115"/>
      <c r="AV121" s="115"/>
      <c r="AW121" s="115"/>
      <c r="AX121" s="115"/>
      <c r="AY121" s="115"/>
      <c r="AZ121" s="115"/>
      <c r="BA121" s="25"/>
      <c r="BB121" s="13"/>
      <c r="BE121" s="114"/>
    </row>
    <row r="122" spans="1:57" ht="20.100000000000001" customHeight="1" x14ac:dyDescent="0.4">
      <c r="A122" s="117"/>
      <c r="B122" s="123"/>
      <c r="C122" s="123"/>
      <c r="D122" s="123"/>
      <c r="O122" s="115"/>
      <c r="P122" s="115"/>
      <c r="Q122" s="115"/>
      <c r="R122" s="25">
        <v>45850</v>
      </c>
      <c r="S122" s="13" t="s">
        <v>146</v>
      </c>
      <c r="W122" s="115"/>
      <c r="X122" s="115"/>
      <c r="Y122" s="115"/>
      <c r="Z122" s="115"/>
      <c r="AA122" s="115"/>
      <c r="AB122" s="115"/>
      <c r="AC122" s="25"/>
      <c r="AD122" s="13"/>
      <c r="AI122" s="116"/>
      <c r="AJ122" s="123"/>
      <c r="AK122" s="123"/>
      <c r="AL122" s="123"/>
      <c r="AQ122" s="115"/>
      <c r="AR122" s="115"/>
      <c r="AS122" s="115"/>
      <c r="AT122" s="115"/>
      <c r="AU122" s="115"/>
      <c r="AV122" s="115"/>
      <c r="AW122" s="115"/>
      <c r="AX122" s="115"/>
      <c r="AY122" s="115"/>
      <c r="AZ122" s="115"/>
      <c r="BA122" s="25"/>
      <c r="BB122" s="13"/>
      <c r="BE122" s="114"/>
    </row>
    <row r="123" spans="1:57" ht="20.100000000000001" customHeight="1" x14ac:dyDescent="0.4">
      <c r="A123" s="117"/>
      <c r="B123" s="123"/>
      <c r="C123" s="123"/>
      <c r="D123" s="123"/>
      <c r="N123" s="115"/>
      <c r="O123" s="115"/>
      <c r="P123" s="115"/>
      <c r="Q123" s="115"/>
      <c r="R123" s="25">
        <v>45850</v>
      </c>
      <c r="S123" s="13" t="s">
        <v>148</v>
      </c>
      <c r="W123" s="115"/>
      <c r="X123" s="115"/>
      <c r="Y123" s="115"/>
      <c r="Z123" s="115"/>
      <c r="AA123" s="115"/>
      <c r="AB123" s="115"/>
      <c r="AC123" s="25"/>
      <c r="AD123" s="13"/>
      <c r="AI123" s="116"/>
      <c r="AJ123" s="123"/>
      <c r="AK123" s="123"/>
      <c r="AL123" s="123"/>
      <c r="AQ123" s="115"/>
      <c r="AR123" s="115"/>
      <c r="AS123" s="115"/>
      <c r="AT123" s="115"/>
      <c r="AU123" s="115"/>
      <c r="AV123" s="115"/>
      <c r="AW123" s="115"/>
      <c r="AX123" s="115"/>
      <c r="AY123" s="115"/>
      <c r="AZ123" s="115"/>
      <c r="BA123" s="25"/>
      <c r="BB123" s="13"/>
      <c r="BE123" s="114"/>
    </row>
    <row r="124" spans="1:57" ht="20.100000000000001" customHeight="1" x14ac:dyDescent="0.4">
      <c r="A124" s="117"/>
      <c r="B124" s="123"/>
      <c r="C124" s="123"/>
      <c r="D124" s="123"/>
      <c r="R124" s="25">
        <v>45850</v>
      </c>
      <c r="S124" s="13" t="s">
        <v>146</v>
      </c>
      <c r="W124" s="115"/>
      <c r="X124" s="115"/>
      <c r="Y124" s="115"/>
      <c r="Z124" s="115"/>
      <c r="AA124" s="115"/>
      <c r="AB124" s="115"/>
      <c r="AC124" s="25">
        <v>45672</v>
      </c>
      <c r="AD124" s="13" t="s">
        <v>146</v>
      </c>
      <c r="AI124" s="116"/>
      <c r="AJ124" s="123"/>
      <c r="AK124" s="123"/>
      <c r="AL124" s="123"/>
      <c r="AQ124" s="115"/>
      <c r="AR124" s="115"/>
      <c r="AS124" s="115"/>
      <c r="AT124" s="115"/>
      <c r="AU124" s="115"/>
      <c r="AV124" s="115"/>
      <c r="AW124" s="115"/>
      <c r="AX124" s="115"/>
      <c r="AY124" s="115"/>
      <c r="AZ124" s="115"/>
      <c r="BA124" s="25"/>
      <c r="BB124" s="13"/>
      <c r="BE124" s="114"/>
    </row>
    <row r="125" spans="1:57" ht="20.100000000000001" customHeight="1" x14ac:dyDescent="0.4">
      <c r="A125" s="117"/>
      <c r="B125" s="123"/>
      <c r="C125" s="123"/>
      <c r="D125" s="123"/>
      <c r="R125" s="25">
        <v>45850</v>
      </c>
      <c r="S125" s="13" t="s">
        <v>148</v>
      </c>
      <c r="W125" s="115"/>
      <c r="X125" s="115"/>
      <c r="Y125" s="115"/>
      <c r="Z125" s="115"/>
      <c r="AA125" s="115"/>
      <c r="AB125" s="115"/>
      <c r="AC125" s="25"/>
      <c r="AD125" s="13"/>
      <c r="AI125" s="116"/>
      <c r="AJ125" s="123"/>
      <c r="AK125" s="123"/>
      <c r="AL125" s="123"/>
      <c r="AQ125" s="115"/>
      <c r="AR125" s="115"/>
      <c r="AS125" s="115"/>
      <c r="AT125" s="115"/>
      <c r="AU125" s="115"/>
      <c r="AV125" s="115"/>
      <c r="AW125" s="115"/>
      <c r="AX125" s="115"/>
      <c r="AY125" s="115"/>
      <c r="AZ125" s="115"/>
      <c r="BA125" s="25"/>
      <c r="BB125" s="13"/>
      <c r="BE125" s="114"/>
    </row>
    <row r="126" spans="1:57" ht="20.100000000000001" customHeight="1" x14ac:dyDescent="0.4">
      <c r="A126" s="117"/>
      <c r="B126" s="123"/>
      <c r="C126" s="123"/>
      <c r="D126" s="123"/>
      <c r="R126" s="25">
        <v>45850</v>
      </c>
      <c r="S126" s="13" t="s">
        <v>146</v>
      </c>
      <c r="W126" s="115"/>
      <c r="X126" s="115"/>
      <c r="Y126" s="115"/>
      <c r="Z126" s="115"/>
      <c r="AA126" s="115"/>
      <c r="AB126" s="115"/>
      <c r="AC126" s="25">
        <v>45672</v>
      </c>
      <c r="AD126" s="25" t="s">
        <v>147</v>
      </c>
      <c r="AI126" s="116"/>
      <c r="AJ126" s="123"/>
      <c r="AK126" s="123"/>
      <c r="AL126" s="123"/>
      <c r="AQ126" s="115"/>
      <c r="AR126" s="115"/>
      <c r="AS126" s="115"/>
      <c r="AT126" s="115"/>
      <c r="AU126" s="115"/>
      <c r="AV126" s="115"/>
      <c r="AW126" s="115"/>
      <c r="AX126" s="115"/>
      <c r="AY126" s="115"/>
      <c r="AZ126" s="115"/>
      <c r="BA126" s="25"/>
      <c r="BB126" s="13"/>
      <c r="BE126" s="114"/>
    </row>
    <row r="127" spans="1:57" ht="20.100000000000001" customHeight="1" x14ac:dyDescent="0.4">
      <c r="A127" s="117"/>
      <c r="B127" s="123"/>
      <c r="C127" s="123"/>
      <c r="D127" s="123"/>
      <c r="R127" s="25">
        <v>45850</v>
      </c>
      <c r="S127" s="13" t="s">
        <v>146</v>
      </c>
      <c r="W127" s="115"/>
      <c r="X127" s="115"/>
      <c r="Y127" s="115"/>
      <c r="Z127" s="115"/>
      <c r="AA127" s="115"/>
      <c r="AB127" s="115"/>
      <c r="AC127" s="25"/>
      <c r="AD127" s="25"/>
      <c r="AI127" s="116"/>
      <c r="AJ127" s="123"/>
      <c r="AK127" s="123"/>
      <c r="AL127" s="123"/>
      <c r="AQ127" s="115"/>
      <c r="AR127" s="115"/>
      <c r="AS127" s="115"/>
      <c r="AT127" s="115"/>
      <c r="AU127" s="115"/>
      <c r="AV127" s="115"/>
      <c r="AW127" s="115"/>
      <c r="AX127" s="115"/>
      <c r="AY127" s="115"/>
      <c r="AZ127" s="115"/>
      <c r="BA127" s="25"/>
      <c r="BB127" s="13"/>
      <c r="BE127" s="114"/>
    </row>
    <row r="128" spans="1:57" ht="20.100000000000001" customHeight="1" x14ac:dyDescent="0.4">
      <c r="A128" s="117"/>
      <c r="B128" s="123"/>
      <c r="C128" s="123"/>
      <c r="D128" s="123"/>
      <c r="O128" s="115"/>
      <c r="P128" s="115"/>
      <c r="Q128" s="115"/>
      <c r="R128" s="25">
        <v>45850</v>
      </c>
      <c r="S128" s="13" t="s">
        <v>147</v>
      </c>
      <c r="W128" s="115"/>
      <c r="X128" s="115"/>
      <c r="Y128" s="115"/>
      <c r="Z128" s="115"/>
      <c r="AA128" s="115"/>
      <c r="AB128" s="115"/>
      <c r="AC128" s="25"/>
      <c r="AD128" s="25"/>
      <c r="AI128" s="116"/>
      <c r="AJ128" s="123"/>
      <c r="AK128" s="123"/>
      <c r="AL128" s="123"/>
      <c r="AQ128" s="115"/>
      <c r="AR128" s="115"/>
      <c r="AS128" s="115"/>
      <c r="AT128" s="115"/>
      <c r="AU128" s="115"/>
      <c r="AV128" s="115"/>
      <c r="AW128" s="115"/>
      <c r="AX128" s="115"/>
      <c r="AY128" s="115"/>
      <c r="AZ128" s="115"/>
      <c r="BA128" s="25"/>
      <c r="BB128" s="13"/>
      <c r="BE128" s="114"/>
    </row>
    <row r="129" spans="1:57" ht="20.100000000000001" customHeight="1" x14ac:dyDescent="0.4">
      <c r="A129" s="117"/>
      <c r="B129" s="123"/>
      <c r="C129" s="123"/>
      <c r="D129" s="123"/>
      <c r="O129" s="115"/>
      <c r="P129" s="115"/>
      <c r="Q129" s="115" t="s">
        <v>348</v>
      </c>
      <c r="R129" s="20">
        <f>SUBTOTAL(3,R110:R128)</f>
        <v>19</v>
      </c>
      <c r="S129" s="13">
        <f>SUBTOTAL(3,S110:S128)</f>
        <v>19</v>
      </c>
      <c r="W129" s="115"/>
      <c r="X129" s="115"/>
      <c r="Y129" s="115"/>
      <c r="Z129" s="115"/>
      <c r="AA129" s="115"/>
      <c r="AB129" s="115"/>
      <c r="AC129" s="25"/>
      <c r="AD129" s="25"/>
      <c r="AI129" s="116"/>
      <c r="AJ129" s="123"/>
      <c r="AK129" s="123"/>
      <c r="AL129" s="123"/>
      <c r="AQ129" s="115"/>
      <c r="AR129" s="115"/>
      <c r="AS129" s="115"/>
      <c r="AT129" s="115"/>
      <c r="AU129" s="115"/>
      <c r="AV129" s="115"/>
      <c r="AW129" s="115"/>
      <c r="AX129" s="115"/>
      <c r="AY129" s="115"/>
      <c r="AZ129" s="115"/>
      <c r="BA129" s="25"/>
      <c r="BB129" s="13"/>
      <c r="BE129" s="114"/>
    </row>
    <row r="130" spans="1:57" ht="20.100000000000001" customHeight="1" x14ac:dyDescent="0.4">
      <c r="A130" s="117"/>
      <c r="B130" s="123"/>
      <c r="C130" s="123"/>
      <c r="D130" s="123"/>
      <c r="N130" s="115"/>
      <c r="O130" s="115"/>
      <c r="P130" s="115"/>
      <c r="Q130" s="115"/>
      <c r="R130" s="26">
        <v>45851</v>
      </c>
      <c r="S130" s="13" t="s">
        <v>147</v>
      </c>
      <c r="W130" s="115"/>
      <c r="X130" s="115"/>
      <c r="Y130" s="115"/>
      <c r="Z130" s="115"/>
      <c r="AA130" s="115"/>
      <c r="AB130" s="115"/>
      <c r="AC130" s="25"/>
      <c r="AD130" s="25"/>
      <c r="AI130" s="116"/>
      <c r="AJ130" s="123"/>
      <c r="AK130" s="123"/>
      <c r="AL130" s="123"/>
      <c r="AQ130" s="115"/>
      <c r="AR130" s="115"/>
      <c r="AS130" s="115"/>
      <c r="AT130" s="115"/>
      <c r="AU130" s="115"/>
      <c r="AV130" s="115"/>
      <c r="AW130" s="115"/>
      <c r="AX130" s="115"/>
      <c r="AY130" s="115"/>
      <c r="AZ130" s="115"/>
      <c r="BA130" s="25"/>
      <c r="BB130" s="13"/>
      <c r="BE130" s="114"/>
    </row>
    <row r="131" spans="1:57" ht="20.100000000000001" customHeight="1" x14ac:dyDescent="0.4">
      <c r="A131" s="117"/>
      <c r="B131" s="123"/>
      <c r="C131" s="123"/>
      <c r="D131" s="123"/>
      <c r="R131" s="26">
        <v>45851</v>
      </c>
      <c r="S131" s="13" t="s">
        <v>147</v>
      </c>
      <c r="W131" s="115"/>
      <c r="X131" s="115"/>
      <c r="Y131" s="115"/>
      <c r="Z131" s="115"/>
      <c r="AA131" s="115"/>
      <c r="AB131" s="115"/>
      <c r="AC131" s="25">
        <v>45673</v>
      </c>
      <c r="AD131" s="13" t="s">
        <v>147</v>
      </c>
      <c r="AI131" s="116"/>
      <c r="AJ131" s="123"/>
      <c r="AK131" s="123"/>
      <c r="AL131" s="123"/>
      <c r="AQ131" s="115"/>
      <c r="AR131" s="115"/>
      <c r="AS131" s="115"/>
      <c r="AT131" s="115"/>
      <c r="AU131" s="115"/>
      <c r="AV131" s="115"/>
      <c r="AW131" s="115"/>
      <c r="AX131" s="115"/>
      <c r="AY131" s="115"/>
      <c r="AZ131" s="115"/>
      <c r="BA131" s="25"/>
      <c r="BB131" s="13"/>
      <c r="BE131" s="114"/>
    </row>
    <row r="132" spans="1:57" ht="20.100000000000001" customHeight="1" x14ac:dyDescent="0.4">
      <c r="A132" s="117"/>
      <c r="B132" s="123"/>
      <c r="C132" s="123"/>
      <c r="D132" s="123"/>
      <c r="P132" s="115"/>
      <c r="Q132" s="115"/>
      <c r="R132" s="26">
        <v>45851</v>
      </c>
      <c r="S132" s="13" t="s">
        <v>147</v>
      </c>
      <c r="W132" s="115"/>
      <c r="X132" s="115"/>
      <c r="Y132" s="115"/>
      <c r="Z132" s="115"/>
      <c r="AA132" s="115"/>
      <c r="AB132" s="115"/>
      <c r="AC132" s="25"/>
      <c r="AD132" s="13"/>
      <c r="AI132" s="116"/>
      <c r="AJ132" s="123"/>
      <c r="AK132" s="123"/>
      <c r="AL132" s="123"/>
      <c r="AQ132" s="115"/>
      <c r="AR132" s="115"/>
      <c r="AS132" s="115"/>
      <c r="AT132" s="115"/>
      <c r="AU132" s="115"/>
      <c r="AV132" s="115"/>
      <c r="AW132" s="115"/>
      <c r="AX132" s="115"/>
      <c r="AY132" s="115"/>
      <c r="AZ132" s="115"/>
      <c r="BA132" s="25"/>
      <c r="BB132" s="13"/>
      <c r="BE132" s="114"/>
    </row>
    <row r="133" spans="1:57" ht="20.100000000000001" customHeight="1" x14ac:dyDescent="0.4">
      <c r="A133" s="117"/>
      <c r="B133" s="123"/>
      <c r="C133" s="123"/>
      <c r="D133" s="123"/>
      <c r="L133" s="115"/>
      <c r="M133" s="115"/>
      <c r="N133" s="115"/>
      <c r="O133" s="115"/>
      <c r="P133" s="115"/>
      <c r="Q133" s="115"/>
      <c r="R133" s="26">
        <v>45851</v>
      </c>
      <c r="S133" s="13" t="s">
        <v>147</v>
      </c>
      <c r="W133" s="115"/>
      <c r="X133" s="115"/>
      <c r="Y133" s="115"/>
      <c r="Z133" s="115"/>
      <c r="AA133" s="115"/>
      <c r="AB133" s="115"/>
      <c r="AC133" s="25"/>
      <c r="AD133" s="13"/>
      <c r="AI133" s="116"/>
      <c r="AJ133" s="123"/>
      <c r="AK133" s="123"/>
      <c r="AL133" s="123"/>
      <c r="AQ133" s="115"/>
      <c r="AR133" s="115"/>
      <c r="AS133" s="115"/>
      <c r="AT133" s="115"/>
      <c r="AU133" s="115"/>
      <c r="AV133" s="115"/>
      <c r="AW133" s="115"/>
      <c r="AX133" s="115"/>
      <c r="AY133" s="115"/>
      <c r="AZ133" s="115"/>
      <c r="BA133" s="25"/>
      <c r="BB133" s="13"/>
      <c r="BE133" s="114"/>
    </row>
    <row r="134" spans="1:57" ht="20.100000000000001" customHeight="1" x14ac:dyDescent="0.4">
      <c r="A134" s="117"/>
      <c r="B134" s="123"/>
      <c r="C134" s="123"/>
      <c r="D134" s="123"/>
      <c r="L134" s="115"/>
      <c r="M134" s="115"/>
      <c r="N134" s="115"/>
      <c r="O134" s="115"/>
      <c r="P134" s="115"/>
      <c r="Q134" s="115" t="s">
        <v>349</v>
      </c>
      <c r="R134" s="17">
        <f>SUBTOTAL(3,R130:R133)</f>
        <v>4</v>
      </c>
      <c r="S134" s="13">
        <f>SUBTOTAL(3,S130:S133)</f>
        <v>4</v>
      </c>
      <c r="W134" s="115"/>
      <c r="X134" s="115"/>
      <c r="Y134" s="115"/>
      <c r="Z134" s="115"/>
      <c r="AA134" s="115"/>
      <c r="AB134" s="115"/>
      <c r="AC134" s="25"/>
      <c r="AD134" s="13"/>
      <c r="AI134" s="116"/>
      <c r="AJ134" s="123"/>
      <c r="AK134" s="123"/>
      <c r="AL134" s="123"/>
      <c r="AQ134" s="115"/>
      <c r="AR134" s="115"/>
      <c r="AS134" s="115"/>
      <c r="AT134" s="115"/>
      <c r="AU134" s="115"/>
      <c r="AV134" s="115"/>
      <c r="AW134" s="115"/>
      <c r="AX134" s="115"/>
      <c r="AY134" s="115"/>
      <c r="AZ134" s="115"/>
      <c r="BA134" s="25"/>
      <c r="BB134" s="13"/>
      <c r="BE134" s="114"/>
    </row>
    <row r="135" spans="1:57" ht="20.100000000000001" customHeight="1" x14ac:dyDescent="0.4">
      <c r="A135" s="117"/>
      <c r="B135" s="123"/>
      <c r="C135" s="123"/>
      <c r="D135" s="123"/>
      <c r="I135" s="115"/>
      <c r="J135" s="115"/>
      <c r="K135" s="115"/>
      <c r="L135" s="115"/>
      <c r="M135" s="115"/>
      <c r="N135" s="115"/>
      <c r="O135" s="115"/>
      <c r="P135" s="115"/>
      <c r="Q135" s="115"/>
      <c r="R135" s="26">
        <v>45854</v>
      </c>
      <c r="S135" s="13" t="s">
        <v>142</v>
      </c>
      <c r="W135" s="115"/>
      <c r="X135" s="115"/>
      <c r="Y135" s="115"/>
      <c r="Z135" s="115"/>
      <c r="AA135" s="115"/>
      <c r="AB135" s="115"/>
      <c r="AC135" s="25"/>
      <c r="AD135" s="13"/>
      <c r="AI135" s="116"/>
      <c r="AJ135" s="123"/>
      <c r="AK135" s="123"/>
      <c r="AL135" s="123"/>
      <c r="AQ135" s="115"/>
      <c r="AR135" s="115"/>
      <c r="AS135" s="115"/>
      <c r="AT135" s="115"/>
      <c r="AU135" s="115"/>
      <c r="AV135" s="115"/>
      <c r="AW135" s="115"/>
      <c r="AX135" s="115"/>
      <c r="AY135" s="115"/>
      <c r="AZ135" s="115"/>
      <c r="BA135" s="25"/>
      <c r="BB135" s="13"/>
      <c r="BE135" s="114"/>
    </row>
    <row r="136" spans="1:57" ht="20.100000000000001" customHeight="1" x14ac:dyDescent="0.4">
      <c r="A136" s="117"/>
      <c r="B136" s="123"/>
      <c r="C136" s="123"/>
      <c r="D136" s="123"/>
      <c r="I136" s="115"/>
      <c r="J136" s="115"/>
      <c r="K136" s="115"/>
      <c r="L136" s="115"/>
      <c r="M136" s="115"/>
      <c r="N136" s="115"/>
      <c r="O136" s="115"/>
      <c r="P136" s="115"/>
      <c r="Q136" s="115" t="s">
        <v>350</v>
      </c>
      <c r="R136" s="17">
        <f>SUBTOTAL(3,R135:R135)</f>
        <v>1</v>
      </c>
      <c r="S136" s="13">
        <f>SUBTOTAL(3,S135:S135)</f>
        <v>1</v>
      </c>
      <c r="W136" s="115"/>
      <c r="X136" s="115"/>
      <c r="Y136" s="115"/>
      <c r="Z136" s="115"/>
      <c r="AA136" s="115"/>
      <c r="AB136" s="115"/>
      <c r="AC136" s="25"/>
      <c r="AD136" s="13"/>
      <c r="AI136" s="116"/>
      <c r="AJ136" s="123"/>
      <c r="AK136" s="123"/>
      <c r="AL136" s="123"/>
      <c r="AQ136" s="115"/>
      <c r="AR136" s="115"/>
      <c r="AS136" s="115"/>
      <c r="AT136" s="115"/>
      <c r="AU136" s="115"/>
      <c r="AV136" s="115"/>
      <c r="AW136" s="115"/>
      <c r="AX136" s="115"/>
      <c r="AY136" s="115"/>
      <c r="AZ136" s="115"/>
      <c r="BA136" s="25"/>
      <c r="BB136" s="13"/>
      <c r="BE136" s="114"/>
    </row>
    <row r="137" spans="1:57" ht="20.100000000000001" customHeight="1" x14ac:dyDescent="0.4">
      <c r="A137" s="117"/>
      <c r="B137" s="123"/>
      <c r="C137" s="123"/>
      <c r="D137" s="123"/>
      <c r="I137" s="115"/>
      <c r="J137" s="115"/>
      <c r="K137" s="115"/>
      <c r="L137" s="115"/>
      <c r="M137" s="115"/>
      <c r="N137" s="115"/>
      <c r="O137" s="115"/>
      <c r="P137" s="115"/>
      <c r="Q137" s="115"/>
      <c r="R137" s="26">
        <v>45865</v>
      </c>
      <c r="S137" s="13" t="s">
        <v>147</v>
      </c>
      <c r="W137" s="115"/>
      <c r="X137" s="115"/>
      <c r="Y137" s="115"/>
      <c r="Z137" s="115"/>
      <c r="AA137" s="115"/>
      <c r="AB137" s="115"/>
      <c r="AC137" s="25"/>
      <c r="AD137" s="13"/>
      <c r="AI137" s="116"/>
      <c r="AJ137" s="123"/>
      <c r="AK137" s="123"/>
      <c r="AL137" s="123"/>
      <c r="AQ137" s="115"/>
      <c r="AR137" s="115"/>
      <c r="AS137" s="115"/>
      <c r="AT137" s="115"/>
      <c r="AU137" s="115"/>
      <c r="AV137" s="115"/>
      <c r="AW137" s="115"/>
      <c r="AX137" s="115"/>
      <c r="AY137" s="115"/>
      <c r="AZ137" s="115"/>
      <c r="BA137" s="25"/>
      <c r="BB137" s="13"/>
      <c r="BE137" s="114"/>
    </row>
    <row r="138" spans="1:57" ht="20.100000000000001" customHeight="1" x14ac:dyDescent="0.4">
      <c r="A138" s="117"/>
      <c r="B138" s="123"/>
      <c r="C138" s="123"/>
      <c r="D138" s="123"/>
      <c r="I138" s="115"/>
      <c r="J138" s="115"/>
      <c r="K138" s="115"/>
      <c r="L138" s="115"/>
      <c r="M138" s="115"/>
      <c r="N138" s="115"/>
      <c r="O138" s="115"/>
      <c r="P138" s="115"/>
      <c r="Q138" s="115" t="s">
        <v>209</v>
      </c>
      <c r="R138" s="17">
        <f>SUBTOTAL(3,R137:R137)</f>
        <v>1</v>
      </c>
      <c r="S138" s="13">
        <f>SUBTOTAL(3,S137:S137)</f>
        <v>1</v>
      </c>
      <c r="W138" s="115"/>
      <c r="X138" s="115"/>
      <c r="Y138" s="115"/>
      <c r="Z138" s="115"/>
      <c r="AA138" s="115"/>
      <c r="AB138" s="115"/>
      <c r="AC138" s="25"/>
      <c r="AD138" s="13"/>
      <c r="AI138" s="116"/>
      <c r="AJ138" s="123"/>
      <c r="AK138" s="123"/>
      <c r="AL138" s="123"/>
      <c r="AQ138" s="115"/>
      <c r="AR138" s="115"/>
      <c r="AS138" s="115"/>
      <c r="AT138" s="115"/>
      <c r="AU138" s="115"/>
      <c r="AV138" s="115"/>
      <c r="AW138" s="115"/>
      <c r="AX138" s="115"/>
      <c r="AY138" s="115"/>
      <c r="AZ138" s="115"/>
      <c r="BA138" s="25"/>
      <c r="BB138" s="13"/>
      <c r="BE138" s="114"/>
    </row>
    <row r="139" spans="1:57" ht="20.100000000000001" customHeight="1" x14ac:dyDescent="0.4">
      <c r="A139" s="117"/>
      <c r="B139" s="123"/>
      <c r="C139" s="123"/>
      <c r="D139" s="123"/>
      <c r="I139" s="115"/>
      <c r="J139" s="115"/>
      <c r="K139" s="115"/>
      <c r="L139" s="115"/>
      <c r="M139" s="115"/>
      <c r="N139" s="115"/>
      <c r="O139" s="115"/>
      <c r="P139" s="115"/>
      <c r="Q139" s="115"/>
      <c r="R139" s="26">
        <v>45866</v>
      </c>
      <c r="S139" s="25" t="s">
        <v>146</v>
      </c>
      <c r="W139" s="115"/>
      <c r="X139" s="115"/>
      <c r="Y139" s="115"/>
      <c r="Z139" s="115"/>
      <c r="AA139" s="115"/>
      <c r="AB139" s="115"/>
      <c r="AC139" s="25"/>
      <c r="AD139" s="13"/>
      <c r="AI139" s="116"/>
      <c r="AJ139" s="123"/>
      <c r="AK139" s="123"/>
      <c r="AL139" s="123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25"/>
      <c r="BB139" s="13"/>
      <c r="BE139" s="114"/>
    </row>
    <row r="140" spans="1:57" ht="20.100000000000001" customHeight="1" x14ac:dyDescent="0.4">
      <c r="A140" s="117"/>
      <c r="B140" s="123"/>
      <c r="C140" s="123"/>
      <c r="D140" s="123"/>
      <c r="R140" s="26">
        <v>45866</v>
      </c>
      <c r="S140" s="25" t="s">
        <v>148</v>
      </c>
      <c r="W140" s="115"/>
      <c r="X140" s="115"/>
      <c r="Y140" s="115"/>
      <c r="Z140" s="115"/>
      <c r="AA140" s="115"/>
      <c r="AB140" s="115"/>
      <c r="AC140" s="25">
        <v>45673</v>
      </c>
      <c r="AD140" s="13" t="s">
        <v>147</v>
      </c>
      <c r="AI140" s="116"/>
      <c r="AJ140" s="123"/>
      <c r="AK140" s="123"/>
      <c r="AL140" s="123"/>
      <c r="AQ140" s="115"/>
      <c r="AR140" s="115"/>
      <c r="AS140" s="115"/>
      <c r="AT140" s="115"/>
      <c r="AU140" s="115"/>
      <c r="AV140" s="115"/>
      <c r="AW140" s="115"/>
      <c r="AX140" s="115"/>
      <c r="AY140" s="115"/>
      <c r="AZ140" s="115"/>
      <c r="BA140" s="25"/>
      <c r="BB140" s="13"/>
      <c r="BE140" s="114"/>
    </row>
    <row r="141" spans="1:57" ht="20.100000000000001" customHeight="1" x14ac:dyDescent="0.4">
      <c r="A141" s="117"/>
      <c r="B141" s="123"/>
      <c r="C141" s="123"/>
      <c r="D141" s="123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26">
        <v>45866</v>
      </c>
      <c r="S141" s="13" t="s">
        <v>146</v>
      </c>
      <c r="W141" s="115"/>
      <c r="X141" s="115"/>
      <c r="Y141" s="115"/>
      <c r="Z141" s="115"/>
      <c r="AA141" s="115"/>
      <c r="AB141" s="115"/>
      <c r="AC141" s="25"/>
      <c r="AD141" s="13"/>
      <c r="AI141" s="116"/>
      <c r="AJ141" s="123"/>
      <c r="AK141" s="123"/>
      <c r="AL141" s="123"/>
      <c r="AQ141" s="115"/>
      <c r="AR141" s="115"/>
      <c r="AS141" s="115"/>
      <c r="AT141" s="115"/>
      <c r="AU141" s="115"/>
      <c r="AV141" s="115"/>
      <c r="AW141" s="115"/>
      <c r="AX141" s="115"/>
      <c r="AY141" s="115"/>
      <c r="AZ141" s="115"/>
      <c r="BA141" s="25"/>
      <c r="BB141" s="13"/>
      <c r="BE141" s="114"/>
    </row>
    <row r="142" spans="1:57" ht="20.100000000000001" customHeight="1" x14ac:dyDescent="0.4">
      <c r="A142" s="117"/>
      <c r="B142" s="123"/>
      <c r="C142" s="123"/>
      <c r="D142" s="123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26">
        <v>45866</v>
      </c>
      <c r="S142" s="13" t="s">
        <v>146</v>
      </c>
      <c r="W142" s="115"/>
      <c r="X142" s="115"/>
      <c r="Y142" s="115"/>
      <c r="Z142" s="115"/>
      <c r="AA142" s="115"/>
      <c r="AB142" s="115"/>
      <c r="AC142" s="25"/>
      <c r="AD142" s="13"/>
      <c r="AI142" s="116"/>
      <c r="AJ142" s="123"/>
      <c r="AK142" s="123"/>
      <c r="AL142" s="123"/>
      <c r="AQ142" s="115"/>
      <c r="AR142" s="115"/>
      <c r="AS142" s="115"/>
      <c r="AT142" s="115"/>
      <c r="AU142" s="115"/>
      <c r="AV142" s="115"/>
      <c r="AW142" s="115"/>
      <c r="AX142" s="115"/>
      <c r="AY142" s="115"/>
      <c r="AZ142" s="115"/>
      <c r="BA142" s="25"/>
      <c r="BB142" s="13"/>
      <c r="BE142" s="114"/>
    </row>
    <row r="143" spans="1:57" ht="20.100000000000001" customHeight="1" x14ac:dyDescent="0.4">
      <c r="A143" s="117"/>
      <c r="B143" s="123"/>
      <c r="C143" s="123"/>
      <c r="D143" s="123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26">
        <v>45866</v>
      </c>
      <c r="S143" s="13" t="s">
        <v>146</v>
      </c>
      <c r="W143" s="115"/>
      <c r="X143" s="115"/>
      <c r="Y143" s="115"/>
      <c r="Z143" s="115"/>
      <c r="AA143" s="115"/>
      <c r="AB143" s="115"/>
      <c r="AC143" s="25"/>
      <c r="AD143" s="13"/>
      <c r="AI143" s="116"/>
      <c r="AJ143" s="123"/>
      <c r="AK143" s="123"/>
      <c r="AL143" s="123"/>
      <c r="AQ143" s="115"/>
      <c r="AR143" s="115"/>
      <c r="AS143" s="115"/>
      <c r="AT143" s="115"/>
      <c r="AU143" s="115"/>
      <c r="AV143" s="115"/>
      <c r="AW143" s="115"/>
      <c r="AX143" s="115"/>
      <c r="AY143" s="115"/>
      <c r="AZ143" s="115"/>
      <c r="BA143" s="25"/>
      <c r="BB143" s="13"/>
      <c r="BE143" s="114"/>
    </row>
    <row r="144" spans="1:57" ht="20.100000000000001" customHeight="1" x14ac:dyDescent="0.4">
      <c r="A144" s="117"/>
      <c r="B144" s="123"/>
      <c r="C144" s="123"/>
      <c r="D144" s="123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26">
        <v>45866</v>
      </c>
      <c r="S144" s="13" t="s">
        <v>148</v>
      </c>
      <c r="W144" s="115"/>
      <c r="X144" s="115"/>
      <c r="Y144" s="115"/>
      <c r="Z144" s="115"/>
      <c r="AA144" s="115"/>
      <c r="AB144" s="115"/>
      <c r="AC144" s="25"/>
      <c r="AD144" s="13"/>
      <c r="AI144" s="116"/>
      <c r="AJ144" s="123"/>
      <c r="AK144" s="123"/>
      <c r="AL144" s="123"/>
      <c r="AQ144" s="115"/>
      <c r="AR144" s="115"/>
      <c r="AS144" s="115"/>
      <c r="AT144" s="115"/>
      <c r="AU144" s="115"/>
      <c r="AV144" s="115"/>
      <c r="AW144" s="115"/>
      <c r="AX144" s="115"/>
      <c r="AY144" s="115"/>
      <c r="AZ144" s="115"/>
      <c r="BA144" s="25"/>
      <c r="BB144" s="13"/>
      <c r="BE144" s="114"/>
    </row>
    <row r="145" spans="1:57" ht="20.100000000000001" customHeight="1" x14ac:dyDescent="0.4">
      <c r="A145" s="117"/>
      <c r="B145" s="123"/>
      <c r="C145" s="123"/>
      <c r="D145" s="123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 t="s">
        <v>351</v>
      </c>
      <c r="R145" s="17">
        <f>SUBTOTAL(3,R139:R144)</f>
        <v>6</v>
      </c>
      <c r="S145" s="13">
        <f>SUBTOTAL(3,S139:S144)</f>
        <v>6</v>
      </c>
      <c r="W145" s="115"/>
      <c r="X145" s="115"/>
      <c r="Y145" s="115"/>
      <c r="Z145" s="115"/>
      <c r="AA145" s="115"/>
      <c r="AB145" s="115"/>
      <c r="AC145" s="25"/>
      <c r="AD145" s="13"/>
      <c r="AI145" s="116"/>
      <c r="AJ145" s="123"/>
      <c r="AK145" s="123"/>
      <c r="AL145" s="123"/>
      <c r="AQ145" s="115"/>
      <c r="AR145" s="115"/>
      <c r="AS145" s="115"/>
      <c r="AT145" s="115"/>
      <c r="AU145" s="115"/>
      <c r="AV145" s="115"/>
      <c r="AW145" s="115"/>
      <c r="AX145" s="115"/>
      <c r="AY145" s="115"/>
      <c r="AZ145" s="115"/>
      <c r="BA145" s="25"/>
      <c r="BB145" s="13"/>
      <c r="BE145" s="114"/>
    </row>
    <row r="146" spans="1:57" ht="20.100000000000001" customHeight="1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 t="s">
        <v>145</v>
      </c>
      <c r="R146" s="17">
        <f>SUBTOTAL(3,R2:R144)</f>
        <v>124</v>
      </c>
      <c r="S146" s="13">
        <f>SUBTOTAL(3,S2:S144)</f>
        <v>124</v>
      </c>
      <c r="W146" s="115"/>
      <c r="X146" s="115"/>
      <c r="Y146" s="115"/>
      <c r="Z146" s="115"/>
      <c r="AA146" s="115"/>
      <c r="AB146" s="115"/>
      <c r="AC146" s="25"/>
      <c r="AD146" s="13"/>
      <c r="AI146" s="116"/>
      <c r="AJ146" s="123"/>
      <c r="AK146" s="123"/>
      <c r="AL146" s="123"/>
      <c r="AQ146" s="115"/>
      <c r="AR146" s="115"/>
      <c r="AS146" s="115"/>
      <c r="AT146" s="115"/>
      <c r="AU146" s="115"/>
      <c r="AV146" s="115"/>
      <c r="AW146" s="115"/>
      <c r="AX146" s="115"/>
      <c r="AY146" s="115"/>
      <c r="AZ146" s="115"/>
      <c r="BA146" s="25"/>
      <c r="BB146" s="13"/>
      <c r="BE146" s="114"/>
    </row>
    <row r="147" spans="1:57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26"/>
      <c r="S147" s="13"/>
      <c r="W147" s="115"/>
      <c r="X147" s="115"/>
      <c r="Y147" s="115"/>
      <c r="Z147" s="115"/>
      <c r="AA147" s="115"/>
      <c r="AB147" s="115"/>
      <c r="AC147" s="25"/>
      <c r="AD147" s="13"/>
      <c r="AI147" s="116"/>
      <c r="AJ147" s="123"/>
      <c r="AK147" s="123"/>
      <c r="AL147" s="123"/>
      <c r="AQ147" s="115"/>
      <c r="AR147" s="115"/>
      <c r="AS147" s="115"/>
      <c r="AT147" s="115"/>
      <c r="AU147" s="115"/>
      <c r="AV147" s="115"/>
      <c r="AW147" s="115"/>
      <c r="AX147" s="115"/>
      <c r="AY147" s="115"/>
      <c r="AZ147" s="115"/>
      <c r="BA147" s="25"/>
      <c r="BB147" s="13"/>
      <c r="BE147" s="114"/>
    </row>
    <row r="148" spans="1:57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26"/>
      <c r="S148" s="13"/>
      <c r="W148" s="115"/>
      <c r="X148" s="115"/>
      <c r="Y148" s="115"/>
      <c r="Z148" s="115"/>
      <c r="AA148" s="115"/>
      <c r="AB148" s="115"/>
      <c r="AC148" s="25"/>
      <c r="AD148" s="13"/>
      <c r="AI148" s="116"/>
      <c r="AJ148" s="123"/>
      <c r="AK148" s="123"/>
      <c r="AL148" s="123"/>
      <c r="AQ148" s="115"/>
      <c r="AR148" s="115"/>
      <c r="AS148" s="115"/>
      <c r="AT148" s="115"/>
      <c r="AU148" s="115"/>
      <c r="AV148" s="115"/>
      <c r="AW148" s="115"/>
      <c r="AX148" s="115"/>
      <c r="AY148" s="115"/>
      <c r="AZ148" s="115"/>
      <c r="BA148" s="25"/>
      <c r="BB148" s="13"/>
      <c r="BE148" s="114"/>
    </row>
    <row r="149" spans="1:57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26"/>
      <c r="S149" s="13"/>
      <c r="W149" s="115"/>
      <c r="X149" s="115"/>
      <c r="Y149" s="115"/>
      <c r="Z149" s="115"/>
      <c r="AA149" s="115"/>
      <c r="AB149" s="115"/>
      <c r="AC149" s="25"/>
      <c r="AD149" s="13"/>
      <c r="AI149" s="116"/>
      <c r="AJ149" s="123"/>
      <c r="AK149" s="123"/>
      <c r="AL149" s="123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115"/>
      <c r="BA149" s="25"/>
      <c r="BB149" s="13"/>
      <c r="BE149" s="114"/>
    </row>
    <row r="150" spans="1:57" ht="20.100000000000001" customHeight="1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26"/>
      <c r="S150" s="13"/>
      <c r="W150" s="115"/>
      <c r="X150" s="115"/>
      <c r="Y150" s="115"/>
      <c r="Z150" s="115"/>
      <c r="AA150" s="115"/>
      <c r="AB150" s="115"/>
      <c r="AC150" s="25"/>
      <c r="AD150" s="13"/>
      <c r="AI150" s="116"/>
      <c r="AJ150" s="123"/>
      <c r="AK150" s="123"/>
      <c r="AL150" s="123"/>
      <c r="AQ150" s="115"/>
      <c r="AR150" s="115"/>
      <c r="AS150" s="115"/>
      <c r="AT150" s="115"/>
      <c r="AU150" s="115"/>
      <c r="AV150" s="115"/>
      <c r="AW150" s="115"/>
      <c r="AX150" s="115"/>
      <c r="AY150" s="115"/>
      <c r="AZ150" s="115"/>
      <c r="BA150" s="25"/>
      <c r="BB150" s="13"/>
      <c r="BE150" s="114"/>
    </row>
    <row r="151" spans="1:57" ht="20.100000000000001" customHeight="1" x14ac:dyDescent="0.4">
      <c r="A151" s="117"/>
      <c r="B151" s="123"/>
      <c r="C151" s="123"/>
      <c r="D151" s="123"/>
      <c r="R151" s="26"/>
      <c r="S151" s="13"/>
      <c r="U151" s="115"/>
      <c r="V151" s="115"/>
      <c r="W151" s="115"/>
      <c r="X151" s="115"/>
      <c r="Y151" s="115"/>
      <c r="Z151" s="115"/>
      <c r="AA151" s="115"/>
      <c r="AB151" s="115"/>
      <c r="AC151" s="25">
        <v>45673</v>
      </c>
      <c r="AD151" s="13" t="s">
        <v>148</v>
      </c>
      <c r="AI151" s="116"/>
      <c r="AJ151" s="123"/>
      <c r="AK151" s="123"/>
      <c r="AL151" s="123"/>
      <c r="AQ151" s="115"/>
      <c r="AR151" s="115"/>
      <c r="AS151" s="115"/>
      <c r="AT151" s="115"/>
      <c r="AU151" s="115"/>
      <c r="AV151" s="115"/>
      <c r="AW151" s="115"/>
      <c r="AX151" s="115"/>
      <c r="AY151" s="115"/>
      <c r="AZ151" s="115"/>
      <c r="BA151" s="25"/>
      <c r="BB151" s="13"/>
      <c r="BE151" s="114"/>
    </row>
    <row r="152" spans="1:57" ht="20.100000000000001" customHeight="1" x14ac:dyDescent="0.4">
      <c r="A152" s="117"/>
      <c r="B152" s="123"/>
      <c r="C152" s="123"/>
      <c r="D152" s="123"/>
      <c r="P152" s="115"/>
      <c r="Q152" s="115"/>
      <c r="R152" s="17"/>
      <c r="S152" s="13"/>
      <c r="U152" s="115"/>
      <c r="V152" s="115"/>
      <c r="W152" s="115"/>
      <c r="X152" s="115"/>
      <c r="Y152" s="115"/>
      <c r="Z152" s="115"/>
      <c r="AA152" s="115"/>
      <c r="AB152" s="115"/>
      <c r="AC152" s="25"/>
      <c r="AD152" s="13"/>
      <c r="AI152" s="116"/>
      <c r="AJ152" s="123"/>
      <c r="AK152" s="123"/>
      <c r="AL152" s="123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25"/>
      <c r="BB152" s="13"/>
      <c r="BE152" s="114"/>
    </row>
    <row r="153" spans="1:57" ht="20.100000000000001" customHeight="1" x14ac:dyDescent="0.4">
      <c r="A153" s="117"/>
      <c r="B153" s="123"/>
      <c r="C153" s="123"/>
      <c r="D153" s="123"/>
      <c r="K153" s="115"/>
      <c r="L153" s="115"/>
      <c r="M153" s="115"/>
      <c r="N153" s="115"/>
      <c r="O153" s="115"/>
      <c r="P153" s="115"/>
      <c r="Q153" s="115"/>
      <c r="R153" s="26"/>
      <c r="S153" s="13"/>
      <c r="U153" s="115"/>
      <c r="V153" s="115"/>
      <c r="W153" s="115"/>
      <c r="X153" s="115"/>
      <c r="Y153" s="115"/>
      <c r="Z153" s="115"/>
      <c r="AA153" s="115"/>
      <c r="AB153" s="115"/>
      <c r="AC153" s="25"/>
      <c r="AD153" s="13"/>
      <c r="AI153" s="116"/>
      <c r="AJ153" s="123"/>
      <c r="AK153" s="123"/>
      <c r="AL153" s="123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25"/>
      <c r="BB153" s="13"/>
      <c r="BE153" s="114"/>
    </row>
    <row r="154" spans="1:57" ht="20.100000000000001" customHeight="1" x14ac:dyDescent="0.4">
      <c r="A154" s="117"/>
      <c r="B154" s="123"/>
      <c r="C154" s="123"/>
      <c r="D154" s="123"/>
      <c r="I154" s="115"/>
      <c r="J154" s="115"/>
      <c r="K154" s="115"/>
      <c r="L154" s="115"/>
      <c r="M154" s="115"/>
      <c r="N154" s="115"/>
      <c r="O154" s="115"/>
      <c r="P154" s="115"/>
      <c r="Q154" s="115"/>
      <c r="R154" s="26"/>
      <c r="S154" s="13"/>
      <c r="U154" s="115"/>
      <c r="V154" s="115"/>
      <c r="W154" s="115"/>
      <c r="X154" s="115"/>
      <c r="Y154" s="115"/>
      <c r="Z154" s="115"/>
      <c r="AA154" s="115"/>
      <c r="AB154" s="115"/>
      <c r="AC154" s="25"/>
      <c r="AD154" s="13"/>
      <c r="AI154" s="116"/>
      <c r="AJ154" s="123"/>
      <c r="AK154" s="123"/>
      <c r="AL154" s="123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25"/>
      <c r="BB154" s="13"/>
      <c r="BE154" s="114"/>
    </row>
    <row r="155" spans="1:57" ht="20.100000000000001" customHeight="1" x14ac:dyDescent="0.4">
      <c r="A155" s="117"/>
      <c r="B155" s="123"/>
      <c r="C155" s="123"/>
      <c r="D155" s="123"/>
      <c r="I155" s="115"/>
      <c r="J155" s="115"/>
      <c r="K155" s="115"/>
      <c r="L155" s="115"/>
      <c r="M155" s="115"/>
      <c r="N155" s="115"/>
      <c r="O155" s="115"/>
      <c r="P155" s="115"/>
      <c r="Q155" s="115"/>
      <c r="R155" s="26"/>
      <c r="S155" s="13"/>
      <c r="U155" s="115"/>
      <c r="V155" s="115"/>
      <c r="W155" s="115"/>
      <c r="X155" s="115"/>
      <c r="Y155" s="115"/>
      <c r="Z155" s="115"/>
      <c r="AA155" s="115"/>
      <c r="AB155" s="115"/>
      <c r="AC155" s="25"/>
      <c r="AD155" s="13"/>
      <c r="AI155" s="116"/>
      <c r="AJ155" s="123"/>
      <c r="AK155" s="123"/>
      <c r="AL155" s="123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25"/>
      <c r="BB155" s="13"/>
      <c r="BE155" s="114"/>
    </row>
    <row r="156" spans="1:57" ht="20.100000000000001" customHeight="1" x14ac:dyDescent="0.4">
      <c r="A156" s="117"/>
      <c r="B156" s="123"/>
      <c r="C156" s="123"/>
      <c r="D156" s="123"/>
      <c r="I156" s="115"/>
      <c r="J156" s="115"/>
      <c r="K156" s="115"/>
      <c r="L156" s="115"/>
      <c r="M156" s="115"/>
      <c r="N156" s="115"/>
      <c r="O156" s="115"/>
      <c r="P156" s="115"/>
      <c r="Q156" s="115"/>
      <c r="R156" s="26"/>
      <c r="S156" s="13"/>
      <c r="U156" s="115"/>
      <c r="V156" s="115"/>
      <c r="W156" s="115"/>
      <c r="X156" s="115"/>
      <c r="Y156" s="115"/>
      <c r="Z156" s="115"/>
      <c r="AA156" s="115"/>
      <c r="AB156" s="115"/>
      <c r="AC156" s="25"/>
      <c r="AD156" s="13"/>
      <c r="AI156" s="116"/>
      <c r="AJ156" s="123"/>
      <c r="AK156" s="123"/>
      <c r="AL156" s="123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25"/>
      <c r="BB156" s="13"/>
      <c r="BE156" s="114"/>
    </row>
    <row r="157" spans="1:57" ht="20.100000000000001" customHeight="1" x14ac:dyDescent="0.4">
      <c r="A157" s="117"/>
      <c r="B157" s="123"/>
      <c r="C157" s="123"/>
      <c r="D157" s="123"/>
      <c r="I157" s="115"/>
      <c r="J157" s="115"/>
      <c r="K157" s="115"/>
      <c r="L157" s="115"/>
      <c r="M157" s="115"/>
      <c r="N157" s="115"/>
      <c r="O157" s="115"/>
      <c r="P157" s="115"/>
      <c r="Q157" s="115"/>
      <c r="R157" s="17"/>
      <c r="S157" s="13"/>
      <c r="U157" s="115"/>
      <c r="V157" s="115"/>
      <c r="W157" s="115"/>
      <c r="X157" s="115"/>
      <c r="Y157" s="115"/>
      <c r="Z157" s="115"/>
      <c r="AA157" s="115"/>
      <c r="AB157" s="115"/>
      <c r="AC157" s="25"/>
      <c r="AD157" s="13"/>
      <c r="AI157" s="116"/>
      <c r="AJ157" s="123"/>
      <c r="AK157" s="123"/>
      <c r="AL157" s="123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25"/>
      <c r="BB157" s="13"/>
      <c r="BE157" s="114"/>
    </row>
    <row r="158" spans="1:57" ht="20.100000000000001" customHeight="1" x14ac:dyDescent="0.4">
      <c r="A158" s="117"/>
      <c r="B158" s="123"/>
      <c r="C158" s="123"/>
      <c r="D158" s="123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26"/>
      <c r="S158" s="13"/>
      <c r="U158" s="115"/>
      <c r="V158" s="115"/>
      <c r="W158" s="115"/>
      <c r="X158" s="115"/>
      <c r="Y158" s="115"/>
      <c r="Z158" s="115"/>
      <c r="AA158" s="115"/>
      <c r="AB158" s="115"/>
      <c r="AC158" s="25"/>
      <c r="AD158" s="13"/>
      <c r="AI158" s="116"/>
      <c r="AJ158" s="123"/>
      <c r="AK158" s="123"/>
      <c r="AL158" s="123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25"/>
      <c r="BB158" s="13"/>
      <c r="BE158" s="114"/>
    </row>
    <row r="159" spans="1:57" ht="20.100000000000001" customHeight="1" x14ac:dyDescent="0.4">
      <c r="A159" s="117"/>
      <c r="B159" s="123"/>
      <c r="C159" s="123"/>
      <c r="D159" s="123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26"/>
      <c r="S159" s="15"/>
      <c r="U159" s="115"/>
      <c r="V159" s="115"/>
      <c r="W159" s="115"/>
      <c r="X159" s="115"/>
      <c r="Y159" s="115"/>
      <c r="Z159" s="115"/>
      <c r="AA159" s="115"/>
      <c r="AB159" s="115"/>
      <c r="AC159" s="25"/>
      <c r="AD159" s="13"/>
      <c r="AI159" s="116"/>
      <c r="AJ159" s="123"/>
      <c r="AK159" s="123"/>
      <c r="AL159" s="123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25"/>
      <c r="BB159" s="13"/>
      <c r="BE159" s="114"/>
    </row>
    <row r="160" spans="1:57" ht="20.100000000000001" customHeight="1" x14ac:dyDescent="0.4">
      <c r="A160" s="117"/>
      <c r="B160" s="123"/>
      <c r="C160" s="123"/>
      <c r="D160" s="123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26"/>
      <c r="S160" s="15"/>
      <c r="U160" s="115"/>
      <c r="V160" s="115"/>
      <c r="W160" s="115"/>
      <c r="X160" s="115"/>
      <c r="Y160" s="115"/>
      <c r="Z160" s="115"/>
      <c r="AA160" s="115"/>
      <c r="AB160" s="115"/>
      <c r="AC160" s="25"/>
      <c r="AD160" s="13"/>
      <c r="AI160" s="116"/>
      <c r="AJ160" s="123"/>
      <c r="AK160" s="123"/>
      <c r="AL160" s="123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25"/>
      <c r="BB160" s="13"/>
      <c r="BE160" s="114"/>
    </row>
    <row r="161" spans="1:57" ht="20.100000000000001" customHeight="1" x14ac:dyDescent="0.4">
      <c r="A161" s="117"/>
      <c r="B161" s="123"/>
      <c r="C161" s="123"/>
      <c r="D161" s="123"/>
      <c r="R161" s="26"/>
      <c r="S161" s="15"/>
      <c r="U161" s="115"/>
      <c r="V161" s="115"/>
      <c r="W161" s="115"/>
      <c r="X161" s="115"/>
      <c r="Y161" s="115"/>
      <c r="Z161" s="115"/>
      <c r="AA161" s="115"/>
      <c r="AB161" s="115"/>
      <c r="AC161" s="25">
        <v>45673</v>
      </c>
      <c r="AD161" s="13" t="s">
        <v>147</v>
      </c>
      <c r="AI161" s="116"/>
      <c r="AJ161" s="123"/>
      <c r="AK161" s="123"/>
      <c r="AL161" s="123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25"/>
      <c r="BB161" s="13"/>
      <c r="BE161" s="114"/>
    </row>
    <row r="162" spans="1:57" ht="20.100000000000001" customHeight="1" x14ac:dyDescent="0.4">
      <c r="A162" s="117"/>
      <c r="B162" s="123"/>
      <c r="C162" s="123"/>
      <c r="D162" s="123"/>
      <c r="P162" s="115"/>
      <c r="Q162" s="115"/>
      <c r="R162" s="17"/>
      <c r="S162" s="15"/>
      <c r="U162" s="115"/>
      <c r="V162" s="115"/>
      <c r="W162" s="115"/>
      <c r="X162" s="115"/>
      <c r="Y162" s="115"/>
      <c r="Z162" s="115"/>
      <c r="AA162" s="115"/>
      <c r="AB162" s="115"/>
      <c r="AC162" s="25"/>
      <c r="AD162" s="13"/>
      <c r="AI162" s="116"/>
      <c r="AJ162" s="123"/>
      <c r="AK162" s="123"/>
      <c r="AL162" s="123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25"/>
      <c r="BB162" s="13"/>
      <c r="BE162" s="114"/>
    </row>
    <row r="163" spans="1:57" ht="20.100000000000001" customHeight="1" x14ac:dyDescent="0.4">
      <c r="A163" s="117"/>
      <c r="B163" s="123"/>
      <c r="C163" s="123"/>
      <c r="D163" s="123"/>
      <c r="R163" s="26"/>
      <c r="S163" s="15"/>
      <c r="U163" s="115"/>
      <c r="V163" s="115"/>
      <c r="W163" s="115"/>
      <c r="X163" s="115"/>
      <c r="Y163" s="115"/>
      <c r="Z163" s="115"/>
      <c r="AA163" s="115"/>
      <c r="AB163" s="115"/>
      <c r="AC163" s="25"/>
      <c r="AD163" s="13"/>
      <c r="AI163" s="116"/>
      <c r="AJ163" s="123"/>
      <c r="AK163" s="123"/>
      <c r="AL163" s="123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25"/>
      <c r="BB163" s="13"/>
      <c r="BE163" s="114"/>
    </row>
    <row r="164" spans="1:57" ht="20.100000000000001" customHeight="1" x14ac:dyDescent="0.4">
      <c r="A164" s="117"/>
      <c r="B164" s="123"/>
      <c r="C164" s="123"/>
      <c r="D164" s="123"/>
      <c r="P164" s="115"/>
      <c r="Q164" s="115"/>
      <c r="R164" s="17"/>
      <c r="S164" s="15"/>
      <c r="U164" s="115"/>
      <c r="V164" s="115"/>
      <c r="W164" s="115"/>
      <c r="X164" s="115"/>
      <c r="Y164" s="115"/>
      <c r="Z164" s="115"/>
      <c r="AA164" s="115"/>
      <c r="AB164" s="115"/>
      <c r="AC164" s="25"/>
      <c r="AD164" s="13"/>
      <c r="AI164" s="116"/>
      <c r="AJ164" s="123"/>
      <c r="AK164" s="123"/>
      <c r="AL164" s="123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25"/>
      <c r="BB164" s="13"/>
      <c r="BE164" s="114"/>
    </row>
    <row r="165" spans="1:57" ht="20.100000000000001" customHeight="1" x14ac:dyDescent="0.4">
      <c r="A165" s="117"/>
      <c r="B165" s="123"/>
      <c r="C165" s="123"/>
      <c r="D165" s="123"/>
      <c r="K165" s="115"/>
      <c r="L165" s="115"/>
      <c r="M165" s="115"/>
      <c r="N165" s="115"/>
      <c r="O165" s="115"/>
      <c r="P165" s="115"/>
      <c r="Q165" s="115"/>
      <c r="R165" s="26"/>
      <c r="S165" s="15"/>
      <c r="U165" s="115"/>
      <c r="V165" s="115"/>
      <c r="W165" s="115"/>
      <c r="X165" s="115"/>
      <c r="Y165" s="115"/>
      <c r="Z165" s="115"/>
      <c r="AA165" s="115"/>
      <c r="AB165" s="115"/>
      <c r="AC165" s="25"/>
      <c r="AD165" s="13"/>
      <c r="AI165" s="116"/>
      <c r="AJ165" s="123"/>
      <c r="AK165" s="123"/>
      <c r="AL165" s="123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25"/>
      <c r="BB165" s="13"/>
      <c r="BE165" s="114"/>
    </row>
    <row r="166" spans="1:57" ht="20.100000000000001" customHeight="1" x14ac:dyDescent="0.4">
      <c r="A166" s="117"/>
      <c r="B166" s="123"/>
      <c r="C166" s="123"/>
      <c r="D166" s="123"/>
      <c r="K166" s="115"/>
      <c r="L166" s="115"/>
      <c r="M166" s="115"/>
      <c r="N166" s="115"/>
      <c r="O166" s="115"/>
      <c r="P166" s="115"/>
      <c r="Q166" s="115"/>
      <c r="R166" s="20"/>
      <c r="S166" s="13"/>
      <c r="U166" s="115"/>
      <c r="V166" s="115"/>
      <c r="W166" s="115"/>
      <c r="X166" s="115"/>
      <c r="Y166" s="115"/>
      <c r="Z166" s="115"/>
      <c r="AA166" s="115"/>
      <c r="AB166" s="115"/>
      <c r="AC166" s="25"/>
      <c r="AD166" s="13"/>
      <c r="AI166" s="116"/>
      <c r="AJ166" s="123"/>
      <c r="AK166" s="123"/>
      <c r="AL166" s="123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25"/>
      <c r="BB166" s="13"/>
      <c r="BE166" s="114"/>
    </row>
    <row r="167" spans="1:57" ht="20.100000000000001" customHeight="1" x14ac:dyDescent="0.4">
      <c r="A167" s="117"/>
      <c r="B167" s="123"/>
      <c r="C167" s="123"/>
      <c r="D167" s="123"/>
      <c r="K167" s="115"/>
      <c r="L167" s="115"/>
      <c r="M167" s="115"/>
      <c r="N167" s="115"/>
      <c r="O167" s="115"/>
      <c r="P167" s="115"/>
      <c r="Q167" s="115"/>
      <c r="R167" s="20"/>
      <c r="S167" s="13"/>
      <c r="U167" s="115"/>
      <c r="V167" s="115"/>
      <c r="W167" s="115"/>
      <c r="X167" s="115"/>
      <c r="Y167" s="115"/>
      <c r="Z167" s="115"/>
      <c r="AA167" s="115"/>
      <c r="AB167" s="115"/>
      <c r="AC167" s="25"/>
      <c r="AD167" s="13"/>
      <c r="AI167" s="116"/>
      <c r="AJ167" s="123"/>
      <c r="AK167" s="123"/>
      <c r="AL167" s="123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25"/>
      <c r="BB167" s="13"/>
      <c r="BE167" s="114"/>
    </row>
    <row r="168" spans="1:57" ht="20.100000000000001" customHeight="1" x14ac:dyDescent="0.4">
      <c r="A168" s="117"/>
      <c r="B168" s="123"/>
      <c r="C168" s="123"/>
      <c r="D168" s="123"/>
      <c r="K168" s="115"/>
      <c r="L168" s="115"/>
      <c r="M168" s="115"/>
      <c r="N168" s="115"/>
      <c r="O168" s="115"/>
      <c r="P168" s="115"/>
      <c r="Q168" s="115"/>
      <c r="R168" s="13"/>
      <c r="S168" s="13"/>
      <c r="U168" s="115"/>
      <c r="V168" s="115"/>
      <c r="W168" s="115"/>
      <c r="X168" s="115"/>
      <c r="Y168" s="115"/>
      <c r="Z168" s="115"/>
      <c r="AA168" s="115"/>
      <c r="AB168" s="115"/>
      <c r="AC168" s="25"/>
      <c r="AD168" s="13"/>
      <c r="AI168" s="116"/>
      <c r="AJ168" s="123"/>
      <c r="AK168" s="123"/>
      <c r="AL168" s="123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25"/>
      <c r="BB168" s="13"/>
      <c r="BE168" s="114"/>
    </row>
    <row r="169" spans="1:57" ht="20.100000000000001" customHeight="1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25"/>
      <c r="S169" s="13"/>
      <c r="U169" s="115"/>
      <c r="V169" s="115"/>
      <c r="W169" s="115"/>
      <c r="X169" s="115"/>
      <c r="Y169" s="115"/>
      <c r="Z169" s="115"/>
      <c r="AA169" s="115"/>
      <c r="AB169" s="115"/>
      <c r="AC169" s="25"/>
      <c r="AD169" s="13"/>
      <c r="AI169" s="116"/>
      <c r="AJ169" s="123"/>
      <c r="AK169" s="123"/>
      <c r="AL169" s="123"/>
      <c r="AQ169" s="115"/>
      <c r="AR169" s="115"/>
      <c r="AS169" s="115"/>
      <c r="AT169" s="115"/>
      <c r="AU169" s="115"/>
      <c r="AV169" s="115"/>
      <c r="AW169" s="115"/>
      <c r="AX169" s="115"/>
      <c r="AY169" s="115"/>
      <c r="AZ169" s="115"/>
      <c r="BA169" s="25"/>
      <c r="BB169" s="13"/>
      <c r="BE169" s="114"/>
    </row>
    <row r="170" spans="1:57" ht="20.100000000000001" customHeight="1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3"/>
      <c r="S170" s="13"/>
      <c r="U170" s="115"/>
      <c r="V170" s="115"/>
      <c r="W170" s="115"/>
      <c r="X170" s="115"/>
      <c r="Y170" s="115"/>
      <c r="Z170" s="115"/>
      <c r="AA170" s="115"/>
      <c r="AB170" s="115"/>
      <c r="AC170" s="25"/>
      <c r="AD170" s="13"/>
      <c r="AI170" s="116"/>
      <c r="AJ170" s="123"/>
      <c r="AK170" s="123"/>
      <c r="AL170" s="123"/>
      <c r="AQ170" s="115"/>
      <c r="AR170" s="115"/>
      <c r="AS170" s="115"/>
      <c r="AT170" s="115"/>
      <c r="AU170" s="115"/>
      <c r="AV170" s="115"/>
      <c r="AW170" s="115"/>
      <c r="AX170" s="115"/>
      <c r="AY170" s="115"/>
      <c r="AZ170" s="115"/>
      <c r="BA170" s="25"/>
      <c r="BB170" s="13"/>
      <c r="BE170" s="114"/>
    </row>
    <row r="171" spans="1:57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25"/>
      <c r="S171" s="13"/>
      <c r="U171" s="115"/>
      <c r="V171" s="115"/>
      <c r="W171" s="115"/>
      <c r="X171" s="115"/>
      <c r="Y171" s="115"/>
      <c r="Z171" s="115"/>
      <c r="AA171" s="115"/>
      <c r="AB171" s="115"/>
      <c r="AC171" s="25"/>
      <c r="AD171" s="13"/>
      <c r="AI171" s="116"/>
      <c r="AJ171" s="123"/>
      <c r="AK171" s="123"/>
      <c r="AL171" s="123"/>
      <c r="AQ171" s="115"/>
      <c r="AR171" s="115"/>
      <c r="AS171" s="115"/>
      <c r="AT171" s="115"/>
      <c r="AU171" s="115"/>
      <c r="AV171" s="115"/>
      <c r="AW171" s="115"/>
      <c r="AX171" s="115"/>
      <c r="AY171" s="115"/>
      <c r="AZ171" s="115"/>
      <c r="BA171" s="25"/>
      <c r="BB171" s="13"/>
      <c r="BE171" s="114"/>
    </row>
    <row r="172" spans="1:57" ht="20.100000000000001" customHeight="1" x14ac:dyDescent="0.4">
      <c r="A172" s="117"/>
      <c r="B172" s="123"/>
      <c r="C172" s="123"/>
      <c r="D172" s="123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25"/>
      <c r="S172" s="13"/>
      <c r="U172" s="115"/>
      <c r="V172" s="115"/>
      <c r="W172" s="115"/>
      <c r="X172" s="115"/>
      <c r="Y172" s="115"/>
      <c r="Z172" s="115"/>
      <c r="AA172" s="115"/>
      <c r="AB172" s="115"/>
      <c r="AC172" s="25"/>
      <c r="AD172" s="13"/>
      <c r="AI172" s="116"/>
      <c r="AJ172" s="123"/>
      <c r="AK172" s="123"/>
      <c r="AL172" s="123"/>
      <c r="AQ172" s="115"/>
      <c r="AR172" s="115"/>
      <c r="AS172" s="115"/>
      <c r="AT172" s="115"/>
      <c r="AU172" s="115"/>
      <c r="AV172" s="115"/>
      <c r="AW172" s="115"/>
      <c r="AX172" s="115"/>
      <c r="AY172" s="115"/>
      <c r="AZ172" s="115"/>
      <c r="BA172" s="25"/>
      <c r="BB172" s="13"/>
      <c r="BE172" s="114"/>
    </row>
    <row r="173" spans="1:57" ht="20.100000000000001" customHeight="1" x14ac:dyDescent="0.4">
      <c r="A173" s="117"/>
      <c r="B173" s="123"/>
      <c r="C173" s="123"/>
      <c r="D173" s="123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25"/>
      <c r="S173" s="13"/>
      <c r="U173" s="115"/>
      <c r="V173" s="115"/>
      <c r="W173" s="115"/>
      <c r="X173" s="115"/>
      <c r="Y173" s="115"/>
      <c r="Z173" s="115"/>
      <c r="AA173" s="115"/>
      <c r="AB173" s="115"/>
      <c r="AC173" s="25"/>
      <c r="AD173" s="13"/>
      <c r="AI173" s="116"/>
      <c r="AJ173" s="123"/>
      <c r="AK173" s="123"/>
      <c r="AL173" s="123"/>
      <c r="AQ173" s="115"/>
      <c r="AR173" s="115"/>
      <c r="AS173" s="115"/>
      <c r="AT173" s="115"/>
      <c r="AU173" s="115"/>
      <c r="AV173" s="115"/>
      <c r="AW173" s="115"/>
      <c r="AX173" s="115"/>
      <c r="AY173" s="115"/>
      <c r="AZ173" s="115"/>
      <c r="BA173" s="25"/>
      <c r="BB173" s="13"/>
      <c r="BE173" s="114"/>
    </row>
    <row r="174" spans="1:57" ht="20.100000000000001" customHeight="1" x14ac:dyDescent="0.4">
      <c r="A174" s="117"/>
      <c r="B174" s="123"/>
      <c r="C174" s="123"/>
      <c r="D174" s="123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25"/>
      <c r="S174" s="13"/>
      <c r="U174" s="115"/>
      <c r="V174" s="115"/>
      <c r="W174" s="115"/>
      <c r="X174" s="115"/>
      <c r="Y174" s="115"/>
      <c r="Z174" s="115"/>
      <c r="AA174" s="115"/>
      <c r="AB174" s="115"/>
      <c r="AC174" s="25"/>
      <c r="AD174" s="13"/>
      <c r="AI174" s="116"/>
      <c r="AJ174" s="123"/>
      <c r="AK174" s="123"/>
      <c r="AL174" s="123"/>
      <c r="AQ174" s="115"/>
      <c r="AR174" s="115"/>
      <c r="AS174" s="115"/>
      <c r="AT174" s="115"/>
      <c r="AU174" s="115"/>
      <c r="AV174" s="115"/>
      <c r="AW174" s="115"/>
      <c r="AX174" s="115"/>
      <c r="AY174" s="115"/>
      <c r="AZ174" s="115"/>
      <c r="BA174" s="25"/>
      <c r="BB174" s="13"/>
      <c r="BE174" s="114"/>
    </row>
    <row r="175" spans="1:57" ht="20.100000000000001" customHeight="1" x14ac:dyDescent="0.4">
      <c r="A175" s="117"/>
      <c r="B175" s="123"/>
      <c r="C175" s="123"/>
      <c r="D175" s="123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25"/>
      <c r="S175" s="13"/>
      <c r="U175" s="115"/>
      <c r="V175" s="115"/>
      <c r="W175" s="115"/>
      <c r="X175" s="115"/>
      <c r="Y175" s="115"/>
      <c r="Z175" s="115"/>
      <c r="AA175" s="115"/>
      <c r="AB175" s="115"/>
      <c r="AC175" s="25"/>
      <c r="AD175" s="13"/>
      <c r="AI175" s="116"/>
      <c r="AJ175" s="123"/>
      <c r="AK175" s="123"/>
      <c r="AL175" s="123"/>
      <c r="AQ175" s="115"/>
      <c r="AR175" s="115"/>
      <c r="AS175" s="115"/>
      <c r="AT175" s="115"/>
      <c r="AU175" s="115"/>
      <c r="AV175" s="115"/>
      <c r="AW175" s="115"/>
      <c r="AX175" s="115"/>
      <c r="AY175" s="115"/>
      <c r="AZ175" s="115"/>
      <c r="BA175" s="25"/>
      <c r="BB175" s="13"/>
      <c r="BE175" s="114"/>
    </row>
    <row r="176" spans="1:57" ht="20.100000000000001" customHeight="1" x14ac:dyDescent="0.4">
      <c r="A176" s="117"/>
      <c r="B176" s="123"/>
      <c r="C176" s="123"/>
      <c r="D176" s="123"/>
      <c r="R176" s="25"/>
      <c r="S176" s="13"/>
      <c r="U176" s="115"/>
      <c r="V176" s="115"/>
      <c r="W176" s="115"/>
      <c r="X176" s="115"/>
      <c r="Y176" s="115"/>
      <c r="Z176" s="115"/>
      <c r="AA176" s="115"/>
      <c r="AB176" s="115"/>
      <c r="AC176" s="25">
        <v>45673</v>
      </c>
      <c r="AD176" s="13" t="s">
        <v>147</v>
      </c>
      <c r="AI176" s="116"/>
      <c r="AJ176" s="123"/>
      <c r="AK176" s="123"/>
      <c r="AL176" s="123"/>
      <c r="AQ176" s="115"/>
      <c r="AR176" s="115"/>
      <c r="AS176" s="115"/>
      <c r="AT176" s="115"/>
      <c r="AU176" s="115"/>
      <c r="AV176" s="115"/>
      <c r="AW176" s="115"/>
      <c r="AX176" s="115"/>
      <c r="AY176" s="115"/>
      <c r="AZ176" s="115"/>
      <c r="BA176" s="25"/>
      <c r="BB176" s="13"/>
      <c r="BE176" s="114"/>
    </row>
    <row r="177" spans="1:57" ht="20.100000000000001" customHeight="1" x14ac:dyDescent="0.4">
      <c r="A177" s="117"/>
      <c r="B177" s="123"/>
      <c r="C177" s="123"/>
      <c r="D177" s="123"/>
      <c r="R177" s="25"/>
      <c r="S177" s="13"/>
      <c r="U177" s="115"/>
      <c r="V177" s="115"/>
      <c r="W177" s="115"/>
      <c r="X177" s="115"/>
      <c r="Y177" s="115"/>
      <c r="Z177" s="115"/>
      <c r="AA177" s="115"/>
      <c r="AB177" s="115"/>
      <c r="AC177" s="25">
        <v>45673</v>
      </c>
      <c r="AD177" s="13" t="s">
        <v>147</v>
      </c>
      <c r="AI177" s="116"/>
      <c r="AJ177" s="123"/>
      <c r="AK177" s="123"/>
      <c r="AL177" s="123"/>
      <c r="AQ177" s="115"/>
      <c r="AR177" s="115"/>
      <c r="AS177" s="115"/>
      <c r="AT177" s="115"/>
      <c r="AU177" s="115"/>
      <c r="AV177" s="115"/>
      <c r="AW177" s="115"/>
      <c r="AX177" s="115"/>
      <c r="AY177" s="115"/>
      <c r="AZ177" s="115"/>
      <c r="BA177" s="25"/>
      <c r="BB177" s="13"/>
      <c r="BE177" s="114"/>
    </row>
    <row r="178" spans="1:57" ht="20.100000000000001" customHeight="1" x14ac:dyDescent="0.4">
      <c r="A178" s="117"/>
      <c r="B178" s="123"/>
      <c r="C178" s="123"/>
      <c r="D178" s="123"/>
      <c r="R178" s="25"/>
      <c r="S178" s="13"/>
      <c r="U178" s="115"/>
      <c r="V178" s="115"/>
      <c r="W178" s="115"/>
      <c r="X178" s="115"/>
      <c r="Y178" s="115"/>
      <c r="Z178" s="115"/>
      <c r="AA178" s="115"/>
      <c r="AB178" s="115"/>
      <c r="AC178" s="25">
        <v>45675</v>
      </c>
      <c r="AD178" s="13" t="s">
        <v>147</v>
      </c>
      <c r="AI178" s="116"/>
      <c r="AJ178" s="123"/>
      <c r="AK178" s="123"/>
      <c r="AL178" s="123"/>
      <c r="AQ178" s="115"/>
      <c r="AR178" s="115"/>
      <c r="AS178" s="115"/>
      <c r="AT178" s="115"/>
      <c r="AU178" s="115"/>
      <c r="AV178" s="115"/>
      <c r="AW178" s="115"/>
      <c r="AX178" s="115"/>
      <c r="AY178" s="115"/>
      <c r="AZ178" s="115"/>
      <c r="BA178" s="25"/>
      <c r="BB178" s="13"/>
      <c r="BE178" s="114"/>
    </row>
    <row r="179" spans="1:57" ht="20.100000000000001" customHeight="1" x14ac:dyDescent="0.4">
      <c r="A179" s="117"/>
      <c r="B179" s="123"/>
      <c r="C179" s="123"/>
      <c r="D179" s="123"/>
      <c r="R179" s="25"/>
      <c r="S179" s="13"/>
      <c r="U179" s="115"/>
      <c r="V179" s="115"/>
      <c r="W179" s="115"/>
      <c r="X179" s="115"/>
      <c r="Y179" s="115"/>
      <c r="Z179" s="115"/>
      <c r="AA179" s="115"/>
      <c r="AB179" s="115"/>
      <c r="AC179" s="25"/>
      <c r="AD179" s="13"/>
      <c r="AI179" s="116"/>
      <c r="AJ179" s="123"/>
      <c r="AK179" s="123"/>
      <c r="AL179" s="123"/>
      <c r="AQ179" s="115"/>
      <c r="AR179" s="115"/>
      <c r="AS179" s="115"/>
      <c r="AT179" s="115"/>
      <c r="AU179" s="115"/>
      <c r="AV179" s="115"/>
      <c r="AW179" s="115"/>
      <c r="AX179" s="115"/>
      <c r="AY179" s="115"/>
      <c r="AZ179" s="115"/>
      <c r="BA179" s="25"/>
      <c r="BB179" s="13"/>
      <c r="BE179" s="114"/>
    </row>
    <row r="180" spans="1:57" ht="20.100000000000001" customHeight="1" x14ac:dyDescent="0.4">
      <c r="A180" s="117"/>
      <c r="B180" s="123"/>
      <c r="C180" s="123"/>
      <c r="D180" s="123"/>
      <c r="N180" s="115"/>
      <c r="O180" s="115"/>
      <c r="P180" s="115"/>
      <c r="Q180" s="115"/>
      <c r="R180" s="25"/>
      <c r="S180" s="13"/>
      <c r="U180" s="115"/>
      <c r="V180" s="115"/>
      <c r="W180" s="115"/>
      <c r="X180" s="115"/>
      <c r="Y180" s="115"/>
      <c r="Z180" s="115"/>
      <c r="AA180" s="115"/>
      <c r="AB180" s="115"/>
      <c r="AC180" s="25"/>
      <c r="AD180" s="13"/>
      <c r="AI180" s="116"/>
      <c r="AJ180" s="123"/>
      <c r="AK180" s="123"/>
      <c r="AL180" s="123"/>
      <c r="AQ180" s="115"/>
      <c r="AR180" s="115"/>
      <c r="AS180" s="115"/>
      <c r="AT180" s="115"/>
      <c r="AU180" s="115"/>
      <c r="AV180" s="115"/>
      <c r="AW180" s="115"/>
      <c r="AX180" s="115"/>
      <c r="AY180" s="115"/>
      <c r="AZ180" s="115"/>
      <c r="BA180" s="25"/>
      <c r="BB180" s="13"/>
      <c r="BE180" s="114"/>
    </row>
    <row r="181" spans="1:57" ht="20.100000000000001" customHeight="1" x14ac:dyDescent="0.4">
      <c r="A181" s="117"/>
      <c r="B181" s="123"/>
      <c r="C181" s="123"/>
      <c r="D181" s="123"/>
      <c r="R181" s="25"/>
      <c r="S181" s="13"/>
      <c r="U181" s="115"/>
      <c r="V181" s="115"/>
      <c r="W181" s="115"/>
      <c r="X181" s="115"/>
      <c r="Y181" s="115"/>
      <c r="Z181" s="115"/>
      <c r="AA181" s="115"/>
      <c r="AB181" s="115"/>
      <c r="AC181" s="25">
        <v>45675</v>
      </c>
      <c r="AD181" s="15" t="s">
        <v>147</v>
      </c>
      <c r="AI181" s="116"/>
      <c r="AJ181" s="123"/>
      <c r="AK181" s="123"/>
      <c r="AL181" s="123"/>
      <c r="AQ181" s="115"/>
      <c r="AR181" s="115"/>
      <c r="AS181" s="115"/>
      <c r="AT181" s="115"/>
      <c r="AU181" s="115"/>
      <c r="AV181" s="115"/>
      <c r="AW181" s="115"/>
      <c r="AX181" s="115"/>
      <c r="AY181" s="115"/>
      <c r="AZ181" s="115"/>
      <c r="BA181" s="25"/>
      <c r="BB181" s="13"/>
      <c r="BE181" s="114"/>
    </row>
    <row r="182" spans="1:57" ht="20.100000000000001" customHeight="1" x14ac:dyDescent="0.4">
      <c r="A182" s="117"/>
      <c r="B182" s="123"/>
      <c r="C182" s="123"/>
      <c r="D182" s="123"/>
      <c r="R182" s="26"/>
      <c r="S182" s="13"/>
      <c r="U182" s="115"/>
      <c r="V182" s="115"/>
      <c r="W182" s="115"/>
      <c r="X182" s="115"/>
      <c r="Y182" s="115"/>
      <c r="Z182" s="115"/>
      <c r="AA182" s="115"/>
      <c r="AB182" s="115"/>
      <c r="AC182" s="25"/>
      <c r="AD182" s="13"/>
      <c r="AI182" s="116"/>
      <c r="AJ182" s="123"/>
      <c r="AK182" s="123"/>
      <c r="AL182" s="123"/>
      <c r="AQ182" s="115"/>
      <c r="AR182" s="115"/>
      <c r="AS182" s="115"/>
      <c r="AT182" s="115"/>
      <c r="AU182" s="115"/>
      <c r="AV182" s="115"/>
      <c r="AW182" s="115"/>
      <c r="AX182" s="115"/>
      <c r="AY182" s="115"/>
      <c r="AZ182" s="115"/>
      <c r="BA182" s="25"/>
      <c r="BB182" s="13"/>
      <c r="BE182" s="114"/>
    </row>
    <row r="183" spans="1:57" ht="20.100000000000001" customHeight="1" x14ac:dyDescent="0.4">
      <c r="A183" s="117"/>
      <c r="B183" s="123"/>
      <c r="C183" s="123"/>
      <c r="D183" s="123"/>
      <c r="R183" s="26"/>
      <c r="S183" s="13"/>
      <c r="U183" s="115"/>
      <c r="V183" s="115"/>
      <c r="W183" s="115"/>
      <c r="X183" s="115"/>
      <c r="Y183" s="115"/>
      <c r="Z183" s="115"/>
      <c r="AA183" s="115"/>
      <c r="AB183" s="115"/>
      <c r="AC183" s="25">
        <v>45675</v>
      </c>
      <c r="AD183" s="13" t="s">
        <v>147</v>
      </c>
      <c r="AI183" s="116"/>
      <c r="AJ183" s="123"/>
      <c r="AK183" s="123"/>
      <c r="AL183" s="123"/>
      <c r="AQ183" s="115"/>
      <c r="AR183" s="115"/>
      <c r="AS183" s="115"/>
      <c r="AT183" s="115"/>
      <c r="AU183" s="115"/>
      <c r="AV183" s="115"/>
      <c r="AW183" s="115"/>
      <c r="AX183" s="115"/>
      <c r="AY183" s="115"/>
      <c r="AZ183" s="115"/>
      <c r="BA183" s="25"/>
      <c r="BB183" s="13"/>
      <c r="BE183" s="114"/>
    </row>
    <row r="184" spans="1:57" ht="20.100000000000001" customHeight="1" x14ac:dyDescent="0.4">
      <c r="A184" s="117"/>
      <c r="B184" s="123"/>
      <c r="C184" s="123"/>
      <c r="D184" s="123"/>
      <c r="K184" s="115"/>
      <c r="L184" s="115"/>
      <c r="M184" s="115"/>
      <c r="N184" s="115"/>
      <c r="O184" s="115"/>
      <c r="P184" s="115"/>
      <c r="Q184" s="115"/>
      <c r="R184" s="26"/>
      <c r="S184" s="13"/>
      <c r="U184" s="115"/>
      <c r="V184" s="115"/>
      <c r="W184" s="115"/>
      <c r="X184" s="115"/>
      <c r="Y184" s="115"/>
      <c r="Z184" s="115"/>
      <c r="AA184" s="115"/>
      <c r="AB184" s="115"/>
      <c r="AC184" s="25"/>
      <c r="AD184" s="13"/>
      <c r="AI184" s="116"/>
      <c r="AJ184" s="123"/>
      <c r="AK184" s="123"/>
      <c r="AL184" s="123"/>
      <c r="AQ184" s="115"/>
      <c r="AR184" s="115"/>
      <c r="AS184" s="115"/>
      <c r="AT184" s="115"/>
      <c r="AU184" s="115"/>
      <c r="AV184" s="115"/>
      <c r="AW184" s="115"/>
      <c r="AX184" s="115"/>
      <c r="AY184" s="115"/>
      <c r="AZ184" s="115"/>
      <c r="BA184" s="25"/>
      <c r="BB184" s="13"/>
      <c r="BE184" s="114"/>
    </row>
    <row r="185" spans="1:57" ht="20.100000000000001" customHeight="1" x14ac:dyDescent="0.4">
      <c r="A185" s="117"/>
      <c r="B185" s="123"/>
      <c r="C185" s="123"/>
      <c r="D185" s="123"/>
      <c r="R185" s="26"/>
      <c r="S185" s="13"/>
      <c r="U185" s="115"/>
      <c r="V185" s="115"/>
      <c r="W185" s="115"/>
      <c r="X185" s="115"/>
      <c r="Y185" s="115"/>
      <c r="Z185" s="115"/>
      <c r="AA185" s="115"/>
      <c r="AB185" s="115"/>
      <c r="AC185" s="25"/>
      <c r="AD185" s="13"/>
      <c r="AI185" s="116"/>
      <c r="AJ185" s="123"/>
      <c r="AK185" s="123"/>
      <c r="AL185" s="123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25"/>
      <c r="BB185" s="13"/>
      <c r="BE185" s="114"/>
    </row>
    <row r="186" spans="1:57" ht="20.100000000000001" customHeight="1" x14ac:dyDescent="0.4">
      <c r="A186" s="117"/>
      <c r="B186" s="123"/>
      <c r="C186" s="123"/>
      <c r="D186" s="123"/>
      <c r="M186" s="115"/>
      <c r="N186" s="115"/>
      <c r="O186" s="115"/>
      <c r="P186" s="115"/>
      <c r="Q186" s="115"/>
      <c r="R186" s="26"/>
      <c r="S186" s="13"/>
      <c r="U186" s="115"/>
      <c r="V186" s="115"/>
      <c r="W186" s="115"/>
      <c r="X186" s="115"/>
      <c r="Y186" s="115"/>
      <c r="Z186" s="115"/>
      <c r="AA186" s="115"/>
      <c r="AB186" s="115"/>
      <c r="AC186" s="25"/>
      <c r="AD186" s="13"/>
      <c r="AI186" s="116"/>
      <c r="AJ186" s="123"/>
      <c r="AK186" s="123"/>
      <c r="AL186" s="123"/>
      <c r="AQ186" s="115"/>
      <c r="AR186" s="115"/>
      <c r="AS186" s="115"/>
      <c r="AT186" s="115"/>
      <c r="AU186" s="115"/>
      <c r="AV186" s="115"/>
      <c r="AW186" s="115"/>
      <c r="AX186" s="115"/>
      <c r="AY186" s="115"/>
      <c r="AZ186" s="115"/>
      <c r="BA186" s="25"/>
      <c r="BB186" s="13"/>
      <c r="BE186" s="114"/>
    </row>
    <row r="187" spans="1:57" ht="20.100000000000001" customHeight="1" x14ac:dyDescent="0.4">
      <c r="A187" s="117"/>
      <c r="B187" s="123"/>
      <c r="C187" s="123"/>
      <c r="D187" s="123"/>
      <c r="M187" s="115"/>
      <c r="N187" s="115"/>
      <c r="O187" s="115"/>
      <c r="P187" s="115"/>
      <c r="Q187" s="115"/>
      <c r="R187" s="17"/>
      <c r="S187" s="13"/>
      <c r="U187" s="115"/>
      <c r="V187" s="115"/>
      <c r="W187" s="115"/>
      <c r="X187" s="115"/>
      <c r="Y187" s="115"/>
      <c r="Z187" s="115"/>
      <c r="AA187" s="115"/>
      <c r="AB187" s="115"/>
      <c r="AC187" s="25"/>
      <c r="AD187" s="13"/>
      <c r="AI187" s="116"/>
      <c r="AJ187" s="123"/>
      <c r="AK187" s="123"/>
      <c r="AL187" s="123"/>
      <c r="AQ187" s="115"/>
      <c r="AR187" s="115"/>
      <c r="AS187" s="115"/>
      <c r="AT187" s="115"/>
      <c r="AU187" s="115"/>
      <c r="AV187" s="115"/>
      <c r="AW187" s="115"/>
      <c r="AX187" s="115"/>
      <c r="AY187" s="115"/>
      <c r="AZ187" s="115"/>
      <c r="BA187" s="25"/>
      <c r="BB187" s="13"/>
      <c r="BE187" s="114"/>
    </row>
    <row r="188" spans="1:57" ht="20.100000000000001" customHeight="1" x14ac:dyDescent="0.4">
      <c r="A188" s="117"/>
      <c r="B188" s="123"/>
      <c r="C188" s="123"/>
      <c r="D188" s="123"/>
      <c r="L188" s="115"/>
      <c r="M188" s="115"/>
      <c r="N188" s="115"/>
      <c r="O188" s="115"/>
      <c r="P188" s="115"/>
      <c r="Q188" s="115"/>
      <c r="R188" s="26"/>
      <c r="S188" s="25"/>
      <c r="U188" s="115"/>
      <c r="V188" s="115"/>
      <c r="W188" s="115"/>
      <c r="X188" s="115"/>
      <c r="Y188" s="115"/>
      <c r="Z188" s="115"/>
      <c r="AA188" s="115"/>
      <c r="AB188" s="115"/>
      <c r="AC188" s="25"/>
      <c r="AD188" s="13"/>
      <c r="AI188" s="116"/>
      <c r="AJ188" s="123"/>
      <c r="AK188" s="123"/>
      <c r="AL188" s="123"/>
      <c r="AQ188" s="115"/>
      <c r="AR188" s="115"/>
      <c r="AS188" s="115"/>
      <c r="AT188" s="115"/>
      <c r="AU188" s="115"/>
      <c r="AV188" s="115"/>
      <c r="AW188" s="115"/>
      <c r="AX188" s="115"/>
      <c r="AY188" s="115"/>
      <c r="AZ188" s="115"/>
      <c r="BA188" s="25"/>
      <c r="BB188" s="13"/>
      <c r="BE188" s="114"/>
    </row>
    <row r="189" spans="1:57" ht="20.100000000000001" customHeight="1" x14ac:dyDescent="0.4">
      <c r="A189" s="117"/>
      <c r="B189" s="123"/>
      <c r="C189" s="123"/>
      <c r="D189" s="123"/>
      <c r="R189" s="26"/>
      <c r="S189" s="25"/>
      <c r="U189" s="115"/>
      <c r="V189" s="115"/>
      <c r="W189" s="115"/>
      <c r="X189" s="115"/>
      <c r="Y189" s="115"/>
      <c r="Z189" s="115"/>
      <c r="AA189" s="115"/>
      <c r="AB189" s="115"/>
      <c r="AC189" s="25"/>
      <c r="AD189" s="13"/>
      <c r="AI189" s="116"/>
      <c r="AJ189" s="123"/>
      <c r="AK189" s="123"/>
      <c r="AL189" s="123"/>
      <c r="AQ189" s="115"/>
      <c r="AR189" s="115"/>
      <c r="AS189" s="115"/>
      <c r="AT189" s="115"/>
      <c r="AU189" s="115"/>
      <c r="AV189" s="115"/>
      <c r="AW189" s="115"/>
      <c r="AX189" s="115"/>
      <c r="AY189" s="115"/>
      <c r="AZ189" s="115"/>
      <c r="BA189" s="25"/>
      <c r="BB189" s="13"/>
      <c r="BE189" s="114"/>
    </row>
    <row r="190" spans="1:57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26"/>
      <c r="S190" s="25"/>
      <c r="U190" s="115"/>
      <c r="V190" s="115"/>
      <c r="W190" s="115"/>
      <c r="X190" s="115"/>
      <c r="Y190" s="115"/>
      <c r="Z190" s="115"/>
      <c r="AA190" s="115"/>
      <c r="AB190" s="115"/>
      <c r="AC190" s="25"/>
      <c r="AD190" s="13"/>
      <c r="AI190" s="116"/>
      <c r="AJ190" s="123"/>
      <c r="AK190" s="123"/>
      <c r="AL190" s="123"/>
      <c r="AQ190" s="115"/>
      <c r="AR190" s="115"/>
      <c r="AS190" s="115"/>
      <c r="AT190" s="115"/>
      <c r="AU190" s="115"/>
      <c r="AV190" s="115"/>
      <c r="AW190" s="115"/>
      <c r="AX190" s="115"/>
      <c r="AY190" s="115"/>
      <c r="AZ190" s="115"/>
      <c r="BA190" s="25"/>
      <c r="BB190" s="13"/>
      <c r="BE190" s="114"/>
    </row>
    <row r="191" spans="1:57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26"/>
      <c r="S191" s="13"/>
      <c r="U191" s="115"/>
      <c r="V191" s="115"/>
      <c r="W191" s="115"/>
      <c r="X191" s="115"/>
      <c r="Y191" s="115"/>
      <c r="Z191" s="115"/>
      <c r="AA191" s="115"/>
      <c r="AB191" s="115"/>
      <c r="AC191" s="25"/>
      <c r="AD191" s="13"/>
      <c r="AI191" s="116"/>
      <c r="AJ191" s="123"/>
      <c r="AK191" s="123"/>
      <c r="AL191" s="123"/>
      <c r="AQ191" s="115"/>
      <c r="AR191" s="115"/>
      <c r="AS191" s="115"/>
      <c r="AT191" s="115"/>
      <c r="AU191" s="115"/>
      <c r="AV191" s="115"/>
      <c r="AW191" s="115"/>
      <c r="AX191" s="115"/>
      <c r="AY191" s="115"/>
      <c r="AZ191" s="115"/>
      <c r="BA191" s="25"/>
      <c r="BB191" s="13"/>
      <c r="BE191" s="114"/>
    </row>
    <row r="192" spans="1:57" ht="20.100000000000001" customHeight="1" x14ac:dyDescent="0.4">
      <c r="A192" s="117"/>
      <c r="B192" s="123"/>
      <c r="C192" s="123"/>
      <c r="D192" s="123"/>
      <c r="R192" s="26"/>
      <c r="S192" s="13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25">
        <v>45675</v>
      </c>
      <c r="AD192" s="13" t="s">
        <v>146</v>
      </c>
      <c r="AI192" s="116"/>
      <c r="AJ192" s="123"/>
      <c r="AK192" s="123"/>
      <c r="AL192" s="123"/>
      <c r="AQ192" s="115"/>
      <c r="AR192" s="115"/>
      <c r="AS192" s="115"/>
      <c r="AT192" s="115"/>
      <c r="AU192" s="115"/>
      <c r="AV192" s="115"/>
      <c r="AW192" s="115"/>
      <c r="AX192" s="115"/>
      <c r="AY192" s="115"/>
      <c r="AZ192" s="115"/>
      <c r="BA192" s="25"/>
      <c r="BB192" s="13"/>
      <c r="BE192" s="114"/>
    </row>
    <row r="193" spans="1:57" ht="20.100000000000001" customHeight="1" x14ac:dyDescent="0.4">
      <c r="A193" s="117"/>
      <c r="B193" s="123"/>
      <c r="C193" s="123"/>
      <c r="D193" s="123"/>
      <c r="O193" s="115"/>
      <c r="P193" s="115"/>
      <c r="Q193" s="115"/>
      <c r="R193" s="17"/>
      <c r="S193" s="13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25"/>
      <c r="AD193" s="13"/>
      <c r="AI193" s="116"/>
      <c r="AJ193" s="123"/>
      <c r="AK193" s="123"/>
      <c r="AL193" s="123"/>
      <c r="AQ193" s="115"/>
      <c r="AR193" s="115"/>
      <c r="AS193" s="115"/>
      <c r="AT193" s="115"/>
      <c r="AU193" s="115"/>
      <c r="AV193" s="115"/>
      <c r="AW193" s="115"/>
      <c r="AX193" s="115"/>
      <c r="AY193" s="115"/>
      <c r="AZ193" s="115"/>
      <c r="BA193" s="25"/>
      <c r="BB193" s="13"/>
      <c r="BE193" s="114"/>
    </row>
    <row r="194" spans="1:57" ht="20.100000000000001" customHeight="1" x14ac:dyDescent="0.4">
      <c r="A194" s="117"/>
      <c r="B194" s="123"/>
      <c r="C194" s="123"/>
      <c r="D194" s="123"/>
      <c r="R194" s="26"/>
      <c r="S194" s="13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25">
        <v>45676</v>
      </c>
      <c r="AD194" s="13" t="s">
        <v>148</v>
      </c>
      <c r="AI194" s="116"/>
      <c r="AJ194" s="123"/>
      <c r="AK194" s="123"/>
      <c r="AL194" s="123"/>
      <c r="AQ194" s="115"/>
      <c r="AR194" s="115"/>
      <c r="AS194" s="115"/>
      <c r="AT194" s="115"/>
      <c r="AU194" s="115"/>
      <c r="AV194" s="115"/>
      <c r="AW194" s="115"/>
      <c r="AX194" s="115"/>
      <c r="AY194" s="115"/>
      <c r="AZ194" s="115"/>
      <c r="BA194" s="25"/>
      <c r="BB194" s="13"/>
      <c r="BE194" s="114"/>
    </row>
    <row r="195" spans="1:57" ht="20.100000000000001" customHeight="1" x14ac:dyDescent="0.4">
      <c r="A195" s="117"/>
      <c r="B195" s="123"/>
      <c r="C195" s="123"/>
      <c r="D195" s="123"/>
      <c r="O195" s="115"/>
      <c r="P195" s="115"/>
      <c r="Q195" s="115"/>
      <c r="R195" s="17"/>
      <c r="S195" s="13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25"/>
      <c r="AD195" s="13"/>
      <c r="AI195" s="116"/>
      <c r="AJ195" s="123"/>
      <c r="AK195" s="123"/>
      <c r="AL195" s="123"/>
      <c r="AQ195" s="115"/>
      <c r="AR195" s="115"/>
      <c r="AS195" s="115"/>
      <c r="AT195" s="115"/>
      <c r="AU195" s="115"/>
      <c r="AV195" s="115"/>
      <c r="AW195" s="115"/>
      <c r="AX195" s="115"/>
      <c r="AY195" s="115"/>
      <c r="AZ195" s="115"/>
      <c r="BA195" s="25"/>
      <c r="BB195" s="13"/>
      <c r="BE195" s="114"/>
    </row>
    <row r="196" spans="1:57" ht="20.100000000000001" customHeight="1" x14ac:dyDescent="0.4">
      <c r="A196" s="117"/>
      <c r="B196" s="123"/>
      <c r="C196" s="123"/>
      <c r="D196" s="123"/>
      <c r="N196" s="115"/>
      <c r="O196" s="115"/>
      <c r="P196" s="115"/>
      <c r="Q196" s="115"/>
      <c r="R196" s="26"/>
      <c r="S196" s="13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25"/>
      <c r="AD196" s="13"/>
      <c r="AI196" s="116"/>
      <c r="AJ196" s="123"/>
      <c r="AK196" s="123"/>
      <c r="AL196" s="123"/>
      <c r="AQ196" s="115"/>
      <c r="AR196" s="115"/>
      <c r="AS196" s="115"/>
      <c r="AT196" s="115"/>
      <c r="AU196" s="115"/>
      <c r="AV196" s="115"/>
      <c r="AW196" s="115"/>
      <c r="AX196" s="115"/>
      <c r="AY196" s="115"/>
      <c r="AZ196" s="115"/>
      <c r="BA196" s="25"/>
      <c r="BB196" s="13"/>
      <c r="BE196" s="114"/>
    </row>
    <row r="197" spans="1:57" ht="20.100000000000001" customHeight="1" x14ac:dyDescent="0.4">
      <c r="A197" s="117"/>
      <c r="B197" s="123"/>
      <c r="C197" s="123"/>
      <c r="D197" s="123"/>
      <c r="N197" s="115"/>
      <c r="O197" s="115"/>
      <c r="P197" s="115"/>
      <c r="Q197" s="115"/>
      <c r="R197" s="17"/>
      <c r="S197" s="13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25"/>
      <c r="AD197" s="13"/>
      <c r="AI197" s="116"/>
      <c r="AJ197" s="123"/>
      <c r="AK197" s="123"/>
      <c r="AL197" s="123"/>
      <c r="AQ197" s="115"/>
      <c r="AR197" s="115"/>
      <c r="AS197" s="115"/>
      <c r="AT197" s="115"/>
      <c r="AU197" s="115"/>
      <c r="AV197" s="115"/>
      <c r="AW197" s="115"/>
      <c r="AX197" s="115"/>
      <c r="AY197" s="115"/>
      <c r="AZ197" s="115"/>
      <c r="BA197" s="25"/>
      <c r="BB197" s="13"/>
      <c r="BE197" s="114"/>
    </row>
    <row r="198" spans="1:57" ht="20.100000000000001" customHeight="1" x14ac:dyDescent="0.4">
      <c r="A198" s="117"/>
      <c r="B198" s="123"/>
      <c r="C198" s="123"/>
      <c r="D198" s="123"/>
      <c r="J198" s="115"/>
      <c r="K198" s="115"/>
      <c r="L198" s="115"/>
      <c r="M198" s="115"/>
      <c r="N198" s="115"/>
      <c r="O198" s="115"/>
      <c r="P198" s="115"/>
      <c r="Q198" s="115"/>
      <c r="R198" s="26"/>
      <c r="S198" s="13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25"/>
      <c r="AD198" s="13"/>
      <c r="AI198" s="116"/>
      <c r="AJ198" s="123"/>
      <c r="AK198" s="123"/>
      <c r="AL198" s="123"/>
      <c r="AQ198" s="115"/>
      <c r="AR198" s="115"/>
      <c r="AS198" s="115"/>
      <c r="AT198" s="115"/>
      <c r="AU198" s="115"/>
      <c r="AV198" s="115"/>
      <c r="AW198" s="115"/>
      <c r="AX198" s="115"/>
      <c r="AY198" s="115"/>
      <c r="AZ198" s="115"/>
      <c r="BA198" s="25"/>
      <c r="BB198" s="13"/>
      <c r="BE198" s="114"/>
    </row>
    <row r="199" spans="1:57" ht="20.100000000000001" customHeight="1" x14ac:dyDescent="0.4">
      <c r="A199" s="117"/>
      <c r="B199" s="123"/>
      <c r="C199" s="123"/>
      <c r="D199" s="123"/>
      <c r="J199" s="115"/>
      <c r="K199" s="115"/>
      <c r="L199" s="115"/>
      <c r="M199" s="115"/>
      <c r="N199" s="115"/>
      <c r="O199" s="115"/>
      <c r="P199" s="115"/>
      <c r="Q199" s="115"/>
      <c r="R199" s="26"/>
      <c r="S199" s="13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25"/>
      <c r="AD199" s="13"/>
      <c r="AI199" s="116"/>
      <c r="AJ199" s="123"/>
      <c r="AK199" s="123"/>
      <c r="AL199" s="123"/>
      <c r="AQ199" s="115"/>
      <c r="AR199" s="115"/>
      <c r="AS199" s="115"/>
      <c r="AT199" s="115"/>
      <c r="AU199" s="115"/>
      <c r="AV199" s="115"/>
      <c r="AW199" s="115"/>
      <c r="AX199" s="115"/>
      <c r="AY199" s="115"/>
      <c r="AZ199" s="115"/>
      <c r="BA199" s="25"/>
      <c r="BB199" s="13"/>
      <c r="BE199" s="114"/>
    </row>
    <row r="200" spans="1:57" ht="20.100000000000001" customHeight="1" x14ac:dyDescent="0.4">
      <c r="A200" s="117"/>
      <c r="B200" s="123"/>
      <c r="C200" s="123"/>
      <c r="D200" s="123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26"/>
      <c r="S200" s="13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25"/>
      <c r="AD200" s="13"/>
      <c r="AI200" s="116"/>
      <c r="AJ200" s="123"/>
      <c r="AK200" s="123"/>
      <c r="AL200" s="123"/>
      <c r="AQ200" s="115"/>
      <c r="AR200" s="115"/>
      <c r="AS200" s="115"/>
      <c r="AT200" s="115"/>
      <c r="AU200" s="115"/>
      <c r="AV200" s="115"/>
      <c r="AW200" s="115"/>
      <c r="AX200" s="115"/>
      <c r="AY200" s="115"/>
      <c r="AZ200" s="115"/>
      <c r="BA200" s="25"/>
      <c r="BB200" s="13"/>
      <c r="BE200" s="114"/>
    </row>
    <row r="201" spans="1:57" ht="20.100000000000001" customHeight="1" x14ac:dyDescent="0.4">
      <c r="A201" s="117"/>
      <c r="B201" s="123"/>
      <c r="C201" s="123"/>
      <c r="D201" s="123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26"/>
      <c r="S201" s="13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25"/>
      <c r="AD201" s="13"/>
      <c r="AI201" s="116"/>
      <c r="AJ201" s="123"/>
      <c r="AK201" s="123"/>
      <c r="AL201" s="123"/>
      <c r="AQ201" s="115"/>
      <c r="AR201" s="115"/>
      <c r="AS201" s="115"/>
      <c r="AT201" s="115"/>
      <c r="AU201" s="115"/>
      <c r="AV201" s="115"/>
      <c r="AW201" s="115"/>
      <c r="AX201" s="115"/>
      <c r="AY201" s="115"/>
      <c r="AZ201" s="115"/>
      <c r="BA201" s="25"/>
      <c r="BB201" s="13"/>
      <c r="BE201" s="114"/>
    </row>
    <row r="202" spans="1:57" ht="20.100000000000001" customHeight="1" x14ac:dyDescent="0.4">
      <c r="A202" s="117"/>
      <c r="B202" s="123"/>
      <c r="C202" s="123"/>
      <c r="D202" s="123"/>
      <c r="R202" s="26"/>
      <c r="S202" s="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25">
        <v>45677</v>
      </c>
      <c r="AD202" s="13" t="s">
        <v>146</v>
      </c>
      <c r="AI202" s="116"/>
      <c r="AJ202" s="123"/>
      <c r="AK202" s="123"/>
      <c r="AL202" s="123"/>
      <c r="AQ202" s="115"/>
      <c r="AR202" s="115"/>
      <c r="AS202" s="115"/>
      <c r="AT202" s="115"/>
      <c r="AU202" s="115"/>
      <c r="AV202" s="115"/>
      <c r="AW202" s="115"/>
      <c r="AX202" s="115"/>
      <c r="AY202" s="115"/>
      <c r="AZ202" s="115"/>
      <c r="BA202" s="25"/>
      <c r="BB202" s="13"/>
      <c r="BE202" s="114"/>
    </row>
    <row r="203" spans="1:57" ht="20.100000000000001" customHeight="1" x14ac:dyDescent="0.4">
      <c r="A203" s="117"/>
      <c r="B203" s="123"/>
      <c r="C203" s="123"/>
      <c r="D203" s="123"/>
      <c r="I203" s="115"/>
      <c r="J203" s="115"/>
      <c r="K203" s="115"/>
      <c r="L203" s="115"/>
      <c r="M203" s="115"/>
      <c r="N203" s="115"/>
      <c r="O203" s="115"/>
      <c r="P203" s="115"/>
      <c r="Q203" s="115"/>
      <c r="R203" s="26"/>
      <c r="S203" s="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25"/>
      <c r="AD203" s="13"/>
      <c r="AI203" s="116"/>
      <c r="AJ203" s="123"/>
      <c r="AK203" s="123"/>
      <c r="AL203" s="123"/>
      <c r="AQ203" s="115"/>
      <c r="AR203" s="115"/>
      <c r="AS203" s="115"/>
      <c r="AT203" s="115"/>
      <c r="AU203" s="115"/>
      <c r="AV203" s="115"/>
      <c r="AW203" s="115"/>
      <c r="AX203" s="115"/>
      <c r="AY203" s="115"/>
      <c r="AZ203" s="115"/>
      <c r="BA203" s="25"/>
      <c r="BB203" s="13"/>
      <c r="BE203" s="114"/>
    </row>
    <row r="204" spans="1:57" ht="20.100000000000001" customHeight="1" x14ac:dyDescent="0.4">
      <c r="A204" s="117"/>
      <c r="B204" s="123"/>
      <c r="C204" s="123"/>
      <c r="D204" s="123"/>
      <c r="R204" s="26"/>
      <c r="S204" s="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25"/>
      <c r="AD204" s="13"/>
      <c r="AI204" s="116"/>
      <c r="AJ204" s="123"/>
      <c r="AK204" s="123"/>
      <c r="AL204" s="123"/>
      <c r="AQ204" s="115"/>
      <c r="AR204" s="115"/>
      <c r="AS204" s="115"/>
      <c r="AT204" s="115"/>
      <c r="AU204" s="115"/>
      <c r="AV204" s="115"/>
      <c r="AW204" s="115"/>
      <c r="AX204" s="115"/>
      <c r="AY204" s="115"/>
      <c r="AZ204" s="115"/>
      <c r="BA204" s="25"/>
      <c r="BB204" s="13"/>
      <c r="BE204" s="114"/>
    </row>
    <row r="205" spans="1:57" ht="20.100000000000001" customHeight="1" x14ac:dyDescent="0.4">
      <c r="A205" s="117"/>
      <c r="B205" s="123"/>
      <c r="C205" s="123"/>
      <c r="D205" s="123"/>
      <c r="K205" s="115"/>
      <c r="L205" s="115"/>
      <c r="M205" s="115"/>
      <c r="N205" s="115"/>
      <c r="O205" s="115"/>
      <c r="P205" s="115"/>
      <c r="Q205" s="115"/>
      <c r="R205" s="26"/>
      <c r="S205" s="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25"/>
      <c r="AD205" s="13"/>
      <c r="AI205" s="116"/>
      <c r="AJ205" s="123"/>
      <c r="AK205" s="123"/>
      <c r="AL205" s="123"/>
      <c r="AQ205" s="115"/>
      <c r="AR205" s="115"/>
      <c r="AS205" s="115"/>
      <c r="AT205" s="115"/>
      <c r="AU205" s="115"/>
      <c r="AV205" s="115"/>
      <c r="AW205" s="115"/>
      <c r="AX205" s="115"/>
      <c r="AY205" s="115"/>
      <c r="AZ205" s="115"/>
      <c r="BA205" s="25"/>
      <c r="BB205" s="13"/>
      <c r="BE205" s="114"/>
    </row>
    <row r="206" spans="1:57" ht="20.100000000000001" customHeight="1" x14ac:dyDescent="0.4">
      <c r="A206" s="117"/>
      <c r="B206" s="123"/>
      <c r="C206" s="123"/>
      <c r="D206" s="123"/>
      <c r="K206" s="115"/>
      <c r="L206" s="115"/>
      <c r="M206" s="115"/>
      <c r="N206" s="115"/>
      <c r="O206" s="115"/>
      <c r="P206" s="115"/>
      <c r="Q206" s="115"/>
      <c r="R206" s="26"/>
      <c r="S206" s="13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25"/>
      <c r="AD206" s="13"/>
      <c r="AI206" s="116"/>
      <c r="AJ206" s="123"/>
      <c r="AK206" s="123"/>
      <c r="AL206" s="123"/>
      <c r="AQ206" s="115"/>
      <c r="AR206" s="115"/>
      <c r="AS206" s="115"/>
      <c r="AT206" s="115"/>
      <c r="AU206" s="115"/>
      <c r="AV206" s="115"/>
      <c r="AW206" s="115"/>
      <c r="AX206" s="115"/>
      <c r="AY206" s="115"/>
      <c r="AZ206" s="115"/>
      <c r="BA206" s="25"/>
      <c r="BB206" s="13"/>
      <c r="BE206" s="114"/>
    </row>
    <row r="207" spans="1:57" ht="20.100000000000001" customHeight="1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26"/>
      <c r="S207" s="13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25"/>
      <c r="AD207" s="13"/>
      <c r="AI207" s="116"/>
      <c r="AJ207" s="123"/>
      <c r="AK207" s="123"/>
      <c r="AL207" s="123"/>
      <c r="AQ207" s="115"/>
      <c r="AR207" s="115"/>
      <c r="AS207" s="115"/>
      <c r="AT207" s="115"/>
      <c r="AU207" s="115"/>
      <c r="AV207" s="115"/>
      <c r="AW207" s="115"/>
      <c r="AX207" s="115"/>
      <c r="AY207" s="115"/>
      <c r="AZ207" s="115"/>
      <c r="BA207" s="25"/>
      <c r="BB207" s="13"/>
      <c r="BE207" s="114"/>
    </row>
    <row r="208" spans="1:57" ht="20.100000000000001" customHeight="1" x14ac:dyDescent="0.4">
      <c r="A208" s="117"/>
      <c r="B208" s="123"/>
      <c r="C208" s="123"/>
      <c r="D208" s="123"/>
      <c r="R208" s="26"/>
      <c r="S208" s="13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25">
        <v>45677</v>
      </c>
      <c r="AD208" s="13" t="s">
        <v>146</v>
      </c>
      <c r="AI208" s="116"/>
      <c r="AJ208" s="123"/>
      <c r="AK208" s="123"/>
      <c r="AL208" s="123"/>
      <c r="AQ208" s="115"/>
      <c r="AR208" s="115"/>
      <c r="AS208" s="115"/>
      <c r="AT208" s="115"/>
      <c r="AU208" s="115"/>
      <c r="AV208" s="115"/>
      <c r="AW208" s="115"/>
      <c r="AX208" s="115"/>
      <c r="AY208" s="115"/>
      <c r="AZ208" s="115"/>
      <c r="BA208" s="25"/>
      <c r="BB208" s="13"/>
      <c r="BE208" s="114"/>
    </row>
    <row r="209" spans="1:57" ht="20.100000000000001" customHeight="1" x14ac:dyDescent="0.4">
      <c r="A209" s="117"/>
      <c r="B209" s="123"/>
      <c r="C209" s="123"/>
      <c r="D209" s="123"/>
      <c r="N209" s="115"/>
      <c r="O209" s="115"/>
      <c r="P209" s="115"/>
      <c r="Q209" s="115"/>
      <c r="R209" s="26"/>
      <c r="S209" s="13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25"/>
      <c r="AD209" s="13"/>
      <c r="AI209" s="116"/>
      <c r="AJ209" s="123"/>
      <c r="AK209" s="123"/>
      <c r="AL209" s="123"/>
      <c r="AQ209" s="115"/>
      <c r="AR209" s="115"/>
      <c r="AS209" s="115"/>
      <c r="AT209" s="115"/>
      <c r="AU209" s="115"/>
      <c r="AV209" s="115"/>
      <c r="AW209" s="115"/>
      <c r="AX209" s="115"/>
      <c r="AY209" s="115"/>
      <c r="AZ209" s="115"/>
      <c r="BA209" s="25"/>
      <c r="BB209" s="13"/>
      <c r="BE209" s="114"/>
    </row>
    <row r="210" spans="1:57" ht="20.100000000000001" customHeight="1" x14ac:dyDescent="0.4">
      <c r="A210" s="117"/>
      <c r="B210" s="123"/>
      <c r="C210" s="123"/>
      <c r="D210" s="123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26"/>
      <c r="S210" s="13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25"/>
      <c r="AD210" s="13"/>
      <c r="AI210" s="116"/>
      <c r="AJ210" s="123"/>
      <c r="AK210" s="123"/>
      <c r="AL210" s="123"/>
      <c r="AQ210" s="115"/>
      <c r="AR210" s="115"/>
      <c r="AS210" s="115"/>
      <c r="AT210" s="115"/>
      <c r="AU210" s="115"/>
      <c r="AV210" s="115"/>
      <c r="AW210" s="115"/>
      <c r="AX210" s="115"/>
      <c r="AY210" s="115"/>
      <c r="AZ210" s="115"/>
      <c r="BA210" s="25"/>
      <c r="BB210" s="13"/>
      <c r="BE210" s="114"/>
    </row>
    <row r="211" spans="1:57" ht="20.100000000000001" customHeight="1" x14ac:dyDescent="0.4">
      <c r="A211" s="117"/>
      <c r="B211" s="123"/>
      <c r="C211" s="123"/>
      <c r="D211" s="123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7"/>
      <c r="S211" s="13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25"/>
      <c r="AD211" s="13"/>
      <c r="AI211" s="116"/>
      <c r="AJ211" s="123"/>
      <c r="AK211" s="123"/>
      <c r="AL211" s="123"/>
      <c r="AQ211" s="115"/>
      <c r="AR211" s="115"/>
      <c r="AS211" s="115"/>
      <c r="AT211" s="115"/>
      <c r="AU211" s="115"/>
      <c r="AV211" s="115"/>
      <c r="AW211" s="115"/>
      <c r="AX211" s="115"/>
      <c r="AY211" s="115"/>
      <c r="AZ211" s="115"/>
      <c r="BA211" s="25"/>
      <c r="BB211" s="13"/>
      <c r="BE211" s="114"/>
    </row>
    <row r="212" spans="1:57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26"/>
      <c r="S212" s="13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25"/>
      <c r="AD212" s="13"/>
      <c r="AI212" s="116"/>
      <c r="AJ212" s="123"/>
      <c r="AK212" s="123"/>
      <c r="AL212" s="123"/>
      <c r="AQ212" s="115"/>
      <c r="AR212" s="115"/>
      <c r="AS212" s="115"/>
      <c r="AT212" s="115"/>
      <c r="AU212" s="115"/>
      <c r="AV212" s="115"/>
      <c r="AW212" s="115"/>
      <c r="AX212" s="115"/>
      <c r="AY212" s="115"/>
      <c r="AZ212" s="115"/>
      <c r="BA212" s="25"/>
      <c r="BB212" s="13"/>
      <c r="BE212" s="114"/>
    </row>
    <row r="213" spans="1:57" ht="20.100000000000001" customHeight="1" x14ac:dyDescent="0.4">
      <c r="A213" s="117"/>
      <c r="B213" s="123"/>
      <c r="C213" s="123"/>
      <c r="D213" s="123"/>
      <c r="R213" s="26"/>
      <c r="S213" s="13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25">
        <v>45677</v>
      </c>
      <c r="AD213" s="13" t="s">
        <v>148</v>
      </c>
      <c r="AI213" s="116"/>
      <c r="AJ213" s="123"/>
      <c r="AK213" s="123"/>
      <c r="AL213" s="123"/>
      <c r="AQ213" s="115"/>
      <c r="AR213" s="115"/>
      <c r="AS213" s="115"/>
      <c r="AT213" s="115"/>
      <c r="AU213" s="115"/>
      <c r="AV213" s="115"/>
      <c r="AW213" s="115"/>
      <c r="AX213" s="115"/>
      <c r="AY213" s="115"/>
      <c r="AZ213" s="115"/>
      <c r="BA213" s="25"/>
      <c r="BB213" s="13"/>
      <c r="BE213" s="114"/>
    </row>
    <row r="214" spans="1:57" ht="19.5" x14ac:dyDescent="0.4">
      <c r="A214" s="117"/>
      <c r="B214" s="123"/>
      <c r="C214" s="123"/>
      <c r="D214" s="123"/>
      <c r="R214" s="26"/>
      <c r="S214" s="13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25"/>
      <c r="AD214" s="13"/>
      <c r="AI214" s="116"/>
      <c r="AJ214" s="123"/>
      <c r="AK214" s="123"/>
      <c r="AL214" s="123"/>
      <c r="AQ214" s="115"/>
      <c r="AR214" s="115"/>
      <c r="AS214" s="115"/>
      <c r="AT214" s="115"/>
      <c r="AU214" s="115"/>
      <c r="AV214" s="115"/>
      <c r="AW214" s="115"/>
      <c r="AX214" s="115"/>
      <c r="AY214" s="115"/>
      <c r="AZ214" s="115"/>
      <c r="BA214" s="25"/>
      <c r="BB214" s="13"/>
      <c r="BE214" s="114"/>
    </row>
    <row r="215" spans="1:57" ht="19.5" x14ac:dyDescent="0.4">
      <c r="A215" s="117"/>
      <c r="B215" s="123"/>
      <c r="C215" s="123"/>
      <c r="D215" s="123"/>
      <c r="O215" s="115"/>
      <c r="P215" s="115"/>
      <c r="Q215" s="115"/>
      <c r="R215" s="17"/>
      <c r="S215" s="13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25"/>
      <c r="AD215" s="13"/>
      <c r="AI215" s="116"/>
      <c r="AJ215" s="123"/>
      <c r="AK215" s="123"/>
      <c r="AL215" s="123"/>
      <c r="AQ215" s="115"/>
      <c r="AR215" s="115"/>
      <c r="AS215" s="115"/>
      <c r="AT215" s="115"/>
      <c r="AU215" s="115"/>
      <c r="AV215" s="115"/>
      <c r="AW215" s="115"/>
      <c r="AX215" s="115"/>
      <c r="AY215" s="115"/>
      <c r="AZ215" s="115"/>
      <c r="BA215" s="25"/>
      <c r="BB215" s="13"/>
      <c r="BE215" s="114"/>
    </row>
    <row r="216" spans="1:57" ht="19.5" x14ac:dyDescent="0.4">
      <c r="A216" s="117"/>
      <c r="B216" s="123"/>
      <c r="C216" s="123"/>
      <c r="D216" s="123"/>
      <c r="M216" s="115"/>
      <c r="N216" s="115"/>
      <c r="O216" s="115"/>
      <c r="P216" s="115"/>
      <c r="Q216" s="115"/>
      <c r="R216" s="26"/>
      <c r="S216" s="13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25"/>
      <c r="AD216" s="13"/>
      <c r="AI216" s="116"/>
      <c r="AJ216" s="123"/>
      <c r="AK216" s="123"/>
      <c r="AL216" s="123"/>
      <c r="AQ216" s="115"/>
      <c r="AR216" s="115"/>
      <c r="AS216" s="115"/>
      <c r="AT216" s="115"/>
      <c r="AU216" s="115"/>
      <c r="AV216" s="115"/>
      <c r="AW216" s="115"/>
      <c r="AX216" s="115"/>
      <c r="AY216" s="115"/>
      <c r="AZ216" s="115"/>
      <c r="BA216" s="25"/>
      <c r="BB216" s="13"/>
      <c r="BE216" s="114"/>
    </row>
    <row r="217" spans="1:57" ht="19.5" x14ac:dyDescent="0.4">
      <c r="A217" s="117"/>
      <c r="B217" s="123"/>
      <c r="C217" s="123"/>
      <c r="D217" s="123"/>
      <c r="M217" s="115"/>
      <c r="N217" s="115"/>
      <c r="O217" s="115"/>
      <c r="P217" s="115"/>
      <c r="Q217" s="115"/>
      <c r="R217" s="17"/>
      <c r="S217" s="13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25"/>
      <c r="AD217" s="13"/>
      <c r="AI217" s="116"/>
      <c r="AJ217" s="123"/>
      <c r="AK217" s="123"/>
      <c r="AL217" s="123"/>
      <c r="AQ217" s="115"/>
      <c r="AR217" s="115"/>
      <c r="AS217" s="115"/>
      <c r="AT217" s="115"/>
      <c r="AU217" s="115"/>
      <c r="AV217" s="115"/>
      <c r="AW217" s="115"/>
      <c r="AX217" s="115"/>
      <c r="AY217" s="115"/>
      <c r="AZ217" s="115"/>
      <c r="BA217" s="25"/>
      <c r="BB217" s="13"/>
      <c r="BE217" s="114"/>
    </row>
    <row r="218" spans="1:57" ht="19.5" x14ac:dyDescent="0.4">
      <c r="A218" s="117"/>
      <c r="B218" s="123"/>
      <c r="C218" s="123"/>
      <c r="D218" s="123"/>
      <c r="K218" s="115"/>
      <c r="L218" s="115"/>
      <c r="M218" s="115"/>
      <c r="N218" s="115"/>
      <c r="O218" s="115"/>
      <c r="P218" s="115"/>
      <c r="Q218" s="115"/>
      <c r="R218" s="26"/>
      <c r="S218" s="13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25"/>
      <c r="AD218" s="13"/>
      <c r="AI218" s="116"/>
      <c r="AJ218" s="123"/>
      <c r="AK218" s="123"/>
      <c r="AL218" s="123"/>
      <c r="AQ218" s="115"/>
      <c r="AR218" s="115"/>
      <c r="AS218" s="115"/>
      <c r="AT218" s="115"/>
      <c r="AU218" s="115"/>
      <c r="AV218" s="115"/>
      <c r="AW218" s="115"/>
      <c r="AX218" s="115"/>
      <c r="AY218" s="115"/>
      <c r="AZ218" s="115"/>
      <c r="BA218" s="25"/>
      <c r="BB218" s="13"/>
      <c r="BE218" s="114"/>
    </row>
    <row r="219" spans="1:57" ht="19.5" x14ac:dyDescent="0.4">
      <c r="A219" s="117"/>
      <c r="B219" s="123"/>
      <c r="C219" s="123"/>
      <c r="D219" s="123"/>
      <c r="K219" s="115"/>
      <c r="L219" s="115"/>
      <c r="M219" s="115"/>
      <c r="N219" s="115"/>
      <c r="O219" s="115"/>
      <c r="P219" s="115"/>
      <c r="Q219" s="115"/>
      <c r="R219" s="17"/>
      <c r="S219" s="13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25"/>
      <c r="AD219" s="13"/>
      <c r="AI219" s="116"/>
      <c r="AJ219" s="123"/>
      <c r="AK219" s="123"/>
      <c r="AL219" s="123"/>
      <c r="AQ219" s="115"/>
      <c r="AR219" s="115"/>
      <c r="AS219" s="115"/>
      <c r="AT219" s="115"/>
      <c r="AU219" s="115"/>
      <c r="AV219" s="115"/>
      <c r="AW219" s="115"/>
      <c r="AX219" s="115"/>
      <c r="AY219" s="115"/>
      <c r="AZ219" s="115"/>
      <c r="BA219" s="25"/>
      <c r="BB219" s="13"/>
      <c r="BE219" s="114"/>
    </row>
    <row r="220" spans="1:57" ht="19.5" x14ac:dyDescent="0.4">
      <c r="A220" s="117"/>
      <c r="B220" s="123"/>
      <c r="C220" s="123"/>
      <c r="D220" s="123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26"/>
      <c r="S220" s="13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25"/>
      <c r="AD220" s="13"/>
      <c r="AI220" s="116"/>
      <c r="AJ220" s="123"/>
      <c r="AK220" s="123"/>
      <c r="AL220" s="123"/>
      <c r="AQ220" s="115"/>
      <c r="AR220" s="115"/>
      <c r="AS220" s="115"/>
      <c r="AT220" s="115"/>
      <c r="AU220" s="115"/>
      <c r="AV220" s="115"/>
      <c r="AW220" s="115"/>
      <c r="AX220" s="115"/>
      <c r="AY220" s="115"/>
      <c r="AZ220" s="115"/>
      <c r="BA220" s="25"/>
      <c r="BB220" s="13"/>
      <c r="BE220" s="114"/>
    </row>
    <row r="221" spans="1:57" ht="19.5" x14ac:dyDescent="0.4">
      <c r="A221" s="117"/>
      <c r="B221" s="123"/>
      <c r="C221" s="123"/>
      <c r="D221" s="123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26"/>
      <c r="S221" s="13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25"/>
      <c r="AD221" s="13"/>
      <c r="AI221" s="116"/>
      <c r="AJ221" s="123"/>
      <c r="AK221" s="123"/>
      <c r="AL221" s="123"/>
      <c r="AQ221" s="115"/>
      <c r="AR221" s="115"/>
      <c r="AS221" s="115"/>
      <c r="AT221" s="115"/>
      <c r="AU221" s="115"/>
      <c r="AV221" s="115"/>
      <c r="AW221" s="115"/>
      <c r="AX221" s="115"/>
      <c r="AY221" s="115"/>
      <c r="AZ221" s="115"/>
      <c r="BA221" s="25"/>
      <c r="BB221" s="13"/>
      <c r="BE221" s="114"/>
    </row>
    <row r="222" spans="1:57" ht="19.5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26"/>
      <c r="S222" s="13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25"/>
      <c r="AD222" s="13"/>
      <c r="AI222" s="116"/>
      <c r="AJ222" s="123"/>
      <c r="AK222" s="123"/>
      <c r="AL222" s="123"/>
      <c r="AQ222" s="115"/>
      <c r="AR222" s="115"/>
      <c r="AS222" s="115"/>
      <c r="AT222" s="115"/>
      <c r="AU222" s="115"/>
      <c r="AV222" s="115"/>
      <c r="AW222" s="115"/>
      <c r="AX222" s="115"/>
      <c r="AY222" s="115"/>
      <c r="AZ222" s="115"/>
      <c r="BA222" s="25"/>
      <c r="BB222" s="13"/>
      <c r="BE222" s="114"/>
    </row>
    <row r="223" spans="1:57" ht="19.5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7"/>
      <c r="S223" s="13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25"/>
      <c r="AD223" s="13"/>
      <c r="AI223" s="116"/>
      <c r="AJ223" s="123"/>
      <c r="AK223" s="123"/>
      <c r="AL223" s="123"/>
      <c r="AQ223" s="115"/>
      <c r="AR223" s="115"/>
      <c r="AS223" s="115"/>
      <c r="AT223" s="115"/>
      <c r="AU223" s="115"/>
      <c r="AV223" s="115"/>
      <c r="AW223" s="115"/>
      <c r="AX223" s="115"/>
      <c r="AY223" s="115"/>
      <c r="AZ223" s="115"/>
      <c r="BA223" s="25"/>
      <c r="BB223" s="13"/>
      <c r="BE223" s="114"/>
    </row>
    <row r="224" spans="1:57" ht="19.5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26"/>
      <c r="S224" s="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25"/>
      <c r="AD224" s="13"/>
      <c r="AI224" s="116"/>
      <c r="AJ224" s="123"/>
      <c r="AK224" s="123"/>
      <c r="AL224" s="123"/>
      <c r="AQ224" s="115"/>
      <c r="AR224" s="115"/>
      <c r="AS224" s="115"/>
      <c r="AT224" s="115"/>
      <c r="AU224" s="115"/>
      <c r="AV224" s="115"/>
      <c r="AW224" s="115"/>
      <c r="AX224" s="115"/>
      <c r="AY224" s="115"/>
      <c r="AZ224" s="115"/>
      <c r="BA224" s="25"/>
      <c r="BB224" s="13"/>
      <c r="BE224" s="114"/>
    </row>
    <row r="225" spans="1:57" ht="19.5" x14ac:dyDescent="0.4">
      <c r="A225" s="117"/>
      <c r="B225" s="123"/>
      <c r="C225" s="123"/>
      <c r="D225" s="123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7"/>
      <c r="S225" s="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25"/>
      <c r="AD225" s="13"/>
      <c r="AI225" s="116"/>
      <c r="AJ225" s="123"/>
      <c r="AK225" s="123"/>
      <c r="AL225" s="123"/>
      <c r="AQ225" s="115"/>
      <c r="AR225" s="115"/>
      <c r="AS225" s="115"/>
      <c r="AT225" s="115"/>
      <c r="AU225" s="115"/>
      <c r="AV225" s="115"/>
      <c r="AW225" s="115"/>
      <c r="AX225" s="115"/>
      <c r="AY225" s="115"/>
      <c r="AZ225" s="115"/>
      <c r="BA225" s="25"/>
      <c r="BB225" s="13"/>
      <c r="BE225" s="114"/>
    </row>
    <row r="226" spans="1:57" ht="19.5" x14ac:dyDescent="0.4">
      <c r="A226" s="117"/>
      <c r="B226" s="123"/>
      <c r="C226" s="123"/>
      <c r="D226" s="123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26"/>
      <c r="S226" s="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25"/>
      <c r="AD226" s="13"/>
      <c r="AI226" s="116"/>
      <c r="AJ226" s="123"/>
      <c r="AK226" s="123"/>
      <c r="AL226" s="123"/>
      <c r="AQ226" s="115"/>
      <c r="AR226" s="115"/>
      <c r="AS226" s="115"/>
      <c r="AT226" s="115"/>
      <c r="AU226" s="115"/>
      <c r="AV226" s="115"/>
      <c r="AW226" s="115"/>
      <c r="AX226" s="115"/>
      <c r="AY226" s="115"/>
      <c r="AZ226" s="115"/>
      <c r="BA226" s="25"/>
      <c r="BB226" s="13"/>
      <c r="BE226" s="114"/>
    </row>
    <row r="227" spans="1:57" ht="19.5" x14ac:dyDescent="0.4">
      <c r="A227" s="117"/>
      <c r="B227" s="123"/>
      <c r="C227" s="123"/>
      <c r="D227" s="123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7"/>
      <c r="S227" s="13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25"/>
      <c r="AD227" s="13"/>
      <c r="AI227" s="116"/>
      <c r="AJ227" s="123"/>
      <c r="AK227" s="123"/>
      <c r="AL227" s="123"/>
      <c r="AQ227" s="115"/>
      <c r="AR227" s="115"/>
      <c r="AS227" s="115"/>
      <c r="AT227" s="115"/>
      <c r="AU227" s="115"/>
      <c r="AV227" s="115"/>
      <c r="AW227" s="115"/>
      <c r="AX227" s="115"/>
      <c r="AY227" s="115"/>
      <c r="AZ227" s="115"/>
      <c r="BA227" s="25"/>
      <c r="BB227" s="13"/>
      <c r="BE227" s="114"/>
    </row>
    <row r="228" spans="1:57" ht="19.5" x14ac:dyDescent="0.4">
      <c r="A228" s="117"/>
      <c r="B228" s="123"/>
      <c r="C228" s="123"/>
      <c r="D228" s="123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7"/>
      <c r="S228" s="13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25"/>
      <c r="AD228" s="13"/>
      <c r="AI228" s="116"/>
      <c r="AJ228" s="123"/>
      <c r="AK228" s="123"/>
      <c r="AL228" s="123"/>
      <c r="AQ228" s="115"/>
      <c r="AR228" s="115"/>
      <c r="AS228" s="115"/>
      <c r="AT228" s="115"/>
      <c r="AU228" s="115"/>
      <c r="AV228" s="115"/>
      <c r="AW228" s="115"/>
      <c r="AX228" s="115"/>
      <c r="AY228" s="115"/>
      <c r="AZ228" s="115"/>
      <c r="BA228" s="25"/>
      <c r="BB228" s="13"/>
      <c r="BE228" s="114"/>
    </row>
    <row r="229" spans="1:57" ht="19.5" x14ac:dyDescent="0.4">
      <c r="A229" s="117"/>
      <c r="B229" s="123"/>
      <c r="C229" s="123"/>
      <c r="D229" s="123"/>
      <c r="R229" s="26"/>
      <c r="S229" s="13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25">
        <v>45677</v>
      </c>
      <c r="AD229" s="13" t="s">
        <v>146</v>
      </c>
      <c r="AI229" s="116"/>
      <c r="AJ229" s="123"/>
      <c r="AK229" s="123"/>
      <c r="AL229" s="123"/>
      <c r="AQ229" s="115"/>
      <c r="AR229" s="115"/>
      <c r="AS229" s="115"/>
      <c r="AT229" s="115"/>
      <c r="AU229" s="115"/>
      <c r="AV229" s="115"/>
      <c r="AW229" s="115"/>
      <c r="AX229" s="115"/>
      <c r="AY229" s="115"/>
      <c r="AZ229" s="115"/>
      <c r="BA229" s="25"/>
      <c r="BB229" s="13"/>
      <c r="BE229" s="114"/>
    </row>
    <row r="230" spans="1:57" ht="19.5" x14ac:dyDescent="0.4">
      <c r="A230" s="117"/>
      <c r="B230" s="123"/>
      <c r="C230" s="123"/>
      <c r="D230" s="123"/>
      <c r="K230" s="115"/>
      <c r="L230" s="115"/>
      <c r="M230" s="115"/>
      <c r="N230" s="115"/>
      <c r="O230" s="115"/>
      <c r="P230" s="115"/>
      <c r="Q230" s="115"/>
      <c r="R230" s="26"/>
      <c r="S230" s="13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25"/>
      <c r="AD230" s="13"/>
      <c r="AI230" s="116"/>
      <c r="AJ230" s="123"/>
      <c r="AK230" s="123"/>
      <c r="AL230" s="123"/>
      <c r="AQ230" s="115"/>
      <c r="AR230" s="115"/>
      <c r="AS230" s="115"/>
      <c r="AT230" s="115"/>
      <c r="AU230" s="115"/>
      <c r="AV230" s="115"/>
      <c r="AW230" s="115"/>
      <c r="AX230" s="115"/>
      <c r="AY230" s="115"/>
      <c r="AZ230" s="115"/>
      <c r="BA230" s="25"/>
      <c r="BB230" s="13"/>
      <c r="BE230" s="114"/>
    </row>
    <row r="231" spans="1:57" ht="19.5" x14ac:dyDescent="0.4">
      <c r="A231" s="117"/>
      <c r="B231" s="123"/>
      <c r="C231" s="123"/>
      <c r="D231" s="123"/>
      <c r="R231" s="26"/>
      <c r="S231" s="13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25"/>
      <c r="AD231" s="13"/>
      <c r="AI231" s="116"/>
      <c r="AJ231" s="123"/>
      <c r="AK231" s="123"/>
      <c r="AL231" s="123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25"/>
      <c r="BB231" s="13"/>
      <c r="BE231" s="114"/>
    </row>
    <row r="232" spans="1:57" ht="19.5" x14ac:dyDescent="0.4">
      <c r="A232" s="117"/>
      <c r="B232" s="123"/>
      <c r="C232" s="123"/>
      <c r="D232" s="123"/>
      <c r="K232" s="115"/>
      <c r="L232" s="115"/>
      <c r="M232" s="115"/>
      <c r="N232" s="115"/>
      <c r="O232" s="115"/>
      <c r="P232" s="115"/>
      <c r="Q232" s="115"/>
      <c r="R232" s="26"/>
      <c r="S232" s="13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25"/>
      <c r="AD232" s="13"/>
      <c r="AI232" s="116"/>
      <c r="AJ232" s="123"/>
      <c r="AK232" s="123"/>
      <c r="AL232" s="123"/>
      <c r="AQ232" s="115"/>
      <c r="AR232" s="115"/>
      <c r="AS232" s="115"/>
      <c r="AT232" s="115"/>
      <c r="AU232" s="115"/>
      <c r="AV232" s="115"/>
      <c r="AW232" s="115"/>
      <c r="AX232" s="115"/>
      <c r="AY232" s="115"/>
      <c r="AZ232" s="115"/>
      <c r="BA232" s="25"/>
      <c r="BB232" s="13"/>
      <c r="BE232" s="114"/>
    </row>
    <row r="233" spans="1:57" ht="19.5" x14ac:dyDescent="0.4">
      <c r="A233" s="117"/>
      <c r="B233" s="123"/>
      <c r="C233" s="123"/>
      <c r="D233" s="123"/>
      <c r="K233" s="115"/>
      <c r="L233" s="115"/>
      <c r="M233" s="115"/>
      <c r="N233" s="115"/>
      <c r="O233" s="115"/>
      <c r="P233" s="115"/>
      <c r="Q233" s="115"/>
      <c r="R233" s="26"/>
      <c r="S233" s="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25"/>
      <c r="AD233" s="13"/>
      <c r="AI233" s="116"/>
      <c r="AJ233" s="123"/>
      <c r="AK233" s="123"/>
      <c r="AL233" s="123"/>
      <c r="AQ233" s="115"/>
      <c r="AR233" s="115"/>
      <c r="AS233" s="115"/>
      <c r="AT233" s="115"/>
      <c r="AU233" s="115"/>
      <c r="AV233" s="115"/>
      <c r="AW233" s="115"/>
      <c r="AX233" s="115"/>
      <c r="AY233" s="115"/>
      <c r="AZ233" s="115"/>
      <c r="BA233" s="25"/>
      <c r="BB233" s="13"/>
      <c r="BE233" s="114"/>
    </row>
    <row r="234" spans="1:57" ht="19.5" x14ac:dyDescent="0.4">
      <c r="A234" s="117"/>
      <c r="B234" s="123"/>
      <c r="C234" s="123"/>
      <c r="D234" s="123"/>
      <c r="R234" s="26"/>
      <c r="S234" s="13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25"/>
      <c r="AD234" s="13"/>
      <c r="AI234" s="116"/>
      <c r="AJ234" s="123"/>
      <c r="AK234" s="123"/>
      <c r="AL234" s="123"/>
      <c r="AQ234" s="115"/>
      <c r="AR234" s="115"/>
      <c r="AS234" s="115"/>
      <c r="AT234" s="115"/>
      <c r="AU234" s="115"/>
      <c r="AV234" s="115"/>
      <c r="AW234" s="115"/>
      <c r="AX234" s="115"/>
      <c r="AY234" s="115"/>
      <c r="AZ234" s="115"/>
      <c r="BA234" s="25"/>
      <c r="BB234" s="13"/>
      <c r="BE234" s="114"/>
    </row>
    <row r="235" spans="1:57" ht="19.5" x14ac:dyDescent="0.4">
      <c r="A235" s="117"/>
      <c r="B235" s="123"/>
      <c r="C235" s="123"/>
      <c r="D235" s="123"/>
      <c r="M235" s="115"/>
      <c r="N235" s="115"/>
      <c r="O235" s="115"/>
      <c r="P235" s="115"/>
      <c r="Q235" s="115"/>
      <c r="R235" s="26"/>
      <c r="S235" s="13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25"/>
      <c r="AD235" s="13"/>
      <c r="AI235" s="116"/>
      <c r="AJ235" s="123"/>
      <c r="AK235" s="123"/>
      <c r="AL235" s="123"/>
      <c r="AQ235" s="115"/>
      <c r="AR235" s="115"/>
      <c r="AS235" s="115"/>
      <c r="AT235" s="115"/>
      <c r="AU235" s="115"/>
      <c r="AV235" s="115"/>
      <c r="AW235" s="115"/>
      <c r="AX235" s="115"/>
      <c r="AY235" s="115"/>
      <c r="AZ235" s="115"/>
      <c r="BA235" s="25"/>
      <c r="BB235" s="13"/>
      <c r="BE235" s="114"/>
    </row>
    <row r="236" spans="1:57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26"/>
      <c r="S236" s="13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25"/>
      <c r="AD236" s="13"/>
      <c r="AI236" s="116"/>
      <c r="AJ236" s="123"/>
      <c r="AK236" s="123"/>
      <c r="AL236" s="123"/>
      <c r="AQ236" s="115"/>
      <c r="AR236" s="115"/>
      <c r="AS236" s="115"/>
      <c r="AT236" s="115"/>
      <c r="AU236" s="115"/>
      <c r="AV236" s="115"/>
      <c r="AW236" s="115"/>
      <c r="AX236" s="115"/>
      <c r="AY236" s="115"/>
      <c r="AZ236" s="115"/>
      <c r="BA236" s="25"/>
      <c r="BB236" s="13"/>
      <c r="BE236" s="114"/>
    </row>
    <row r="237" spans="1:57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26"/>
      <c r="S237" s="13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25"/>
      <c r="AD237" s="13"/>
      <c r="AI237" s="116"/>
      <c r="AJ237" s="123"/>
      <c r="AK237" s="123"/>
      <c r="AL237" s="123"/>
      <c r="AQ237" s="115"/>
      <c r="AR237" s="115"/>
      <c r="AS237" s="115"/>
      <c r="AT237" s="115"/>
      <c r="AU237" s="115"/>
      <c r="AV237" s="115"/>
      <c r="AW237" s="115"/>
      <c r="AX237" s="115"/>
      <c r="AY237" s="115"/>
      <c r="AZ237" s="115"/>
      <c r="BA237" s="25"/>
      <c r="BB237" s="13"/>
      <c r="BE237" s="114"/>
    </row>
    <row r="238" spans="1:57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7"/>
      <c r="S238" s="13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25"/>
      <c r="AD238" s="13"/>
      <c r="AI238" s="116"/>
      <c r="AJ238" s="123"/>
      <c r="AK238" s="123"/>
      <c r="AL238" s="123"/>
      <c r="AQ238" s="115"/>
      <c r="AR238" s="115"/>
      <c r="AS238" s="115"/>
      <c r="AT238" s="115"/>
      <c r="AU238" s="115"/>
      <c r="AV238" s="115"/>
      <c r="AW238" s="115"/>
      <c r="AX238" s="115"/>
      <c r="AY238" s="115"/>
      <c r="AZ238" s="115"/>
      <c r="BA238" s="25"/>
      <c r="BB238" s="13"/>
      <c r="BE238" s="114"/>
    </row>
    <row r="239" spans="1:57" ht="19.5" x14ac:dyDescent="0.4">
      <c r="A239" s="117"/>
      <c r="B239" s="123"/>
      <c r="C239" s="123"/>
      <c r="D239" s="123"/>
      <c r="R239" s="26"/>
      <c r="S239" s="13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25">
        <v>45677</v>
      </c>
      <c r="AD239" s="13" t="s">
        <v>147</v>
      </c>
      <c r="AI239" s="116"/>
      <c r="AJ239" s="123"/>
      <c r="AK239" s="123"/>
      <c r="AL239" s="123"/>
      <c r="AQ239" s="115"/>
      <c r="AR239" s="115"/>
      <c r="AS239" s="115"/>
      <c r="AT239" s="115"/>
      <c r="AU239" s="115"/>
      <c r="AV239" s="115"/>
      <c r="AW239" s="115"/>
      <c r="AX239" s="115"/>
      <c r="AY239" s="115"/>
      <c r="AZ239" s="115"/>
      <c r="BA239" s="25"/>
      <c r="BB239" s="13"/>
      <c r="BE239" s="114"/>
    </row>
    <row r="240" spans="1:57" ht="19.5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26"/>
      <c r="S240" s="13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25"/>
      <c r="AD240" s="13"/>
      <c r="AI240" s="116"/>
      <c r="AJ240" s="123"/>
      <c r="AK240" s="123"/>
      <c r="AL240" s="123"/>
      <c r="AQ240" s="115"/>
      <c r="AR240" s="115"/>
      <c r="AS240" s="115"/>
      <c r="AT240" s="115"/>
      <c r="AU240" s="115"/>
      <c r="AV240" s="115"/>
      <c r="AW240" s="115"/>
      <c r="AX240" s="115"/>
      <c r="AY240" s="115"/>
      <c r="AZ240" s="115"/>
      <c r="BA240" s="25"/>
      <c r="BB240" s="13"/>
      <c r="BE240" s="114"/>
    </row>
    <row r="241" spans="1:57" ht="19.5" x14ac:dyDescent="0.4">
      <c r="A241" s="117"/>
      <c r="B241" s="123"/>
      <c r="C241" s="123"/>
      <c r="D241" s="123"/>
      <c r="R241" s="26"/>
      <c r="S241" s="13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25">
        <v>45677</v>
      </c>
      <c r="AD241" s="25" t="s">
        <v>147</v>
      </c>
      <c r="AI241" s="116"/>
      <c r="AJ241" s="123"/>
      <c r="AK241" s="123"/>
      <c r="AL241" s="123"/>
      <c r="AQ241" s="115"/>
      <c r="AR241" s="115"/>
      <c r="AS241" s="115"/>
      <c r="AT241" s="115"/>
      <c r="AU241" s="115"/>
      <c r="AV241" s="115"/>
      <c r="AW241" s="115"/>
      <c r="AX241" s="115"/>
      <c r="AY241" s="115"/>
      <c r="AZ241" s="115"/>
      <c r="BA241" s="25"/>
      <c r="BB241" s="13"/>
      <c r="BE241" s="114"/>
    </row>
    <row r="242" spans="1:57" ht="19.5" x14ac:dyDescent="0.4">
      <c r="A242" s="117"/>
      <c r="B242" s="123"/>
      <c r="C242" s="123"/>
      <c r="D242" s="123"/>
      <c r="R242" s="26"/>
      <c r="S242" s="13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25"/>
      <c r="AD242" s="25"/>
      <c r="AI242" s="116"/>
      <c r="AJ242" s="123"/>
      <c r="AK242" s="123"/>
      <c r="AL242" s="123"/>
      <c r="AQ242" s="115"/>
      <c r="AR242" s="115"/>
      <c r="AS242" s="115"/>
      <c r="AT242" s="115"/>
      <c r="AU242" s="115"/>
      <c r="AV242" s="115"/>
      <c r="AW242" s="115"/>
      <c r="AX242" s="115"/>
      <c r="AY242" s="115"/>
      <c r="AZ242" s="115"/>
      <c r="BA242" s="25"/>
      <c r="BB242" s="13"/>
      <c r="BE242" s="114"/>
    </row>
    <row r="243" spans="1:57" ht="19.5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26"/>
      <c r="S243" s="13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25"/>
      <c r="AD243" s="25"/>
      <c r="AI243" s="116"/>
      <c r="AJ243" s="123"/>
      <c r="AK243" s="123"/>
      <c r="AL243" s="123"/>
      <c r="AQ243" s="115"/>
      <c r="AR243" s="115"/>
      <c r="AS243" s="115"/>
      <c r="AT243" s="115"/>
      <c r="AU243" s="115"/>
      <c r="AV243" s="115"/>
      <c r="AW243" s="115"/>
      <c r="AX243" s="115"/>
      <c r="AY243" s="115"/>
      <c r="AZ243" s="115"/>
      <c r="BA243" s="25"/>
      <c r="BB243" s="13"/>
      <c r="BE243" s="114"/>
    </row>
    <row r="244" spans="1:57" ht="19.5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26"/>
      <c r="S244" s="13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25"/>
      <c r="AD244" s="25"/>
      <c r="AI244" s="116"/>
      <c r="AJ244" s="123"/>
      <c r="AK244" s="123"/>
      <c r="AL244" s="123"/>
      <c r="AQ244" s="115"/>
      <c r="AR244" s="115"/>
      <c r="AS244" s="115"/>
      <c r="AT244" s="115"/>
      <c r="AU244" s="115"/>
      <c r="AV244" s="115"/>
      <c r="AW244" s="115"/>
      <c r="AX244" s="115"/>
      <c r="AY244" s="115"/>
      <c r="AZ244" s="115"/>
      <c r="BA244" s="25"/>
      <c r="BB244" s="13"/>
      <c r="BE244" s="114"/>
    </row>
    <row r="245" spans="1:57" ht="19.5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26"/>
      <c r="S245" s="13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25"/>
      <c r="AD245" s="25"/>
      <c r="AI245" s="116"/>
      <c r="AJ245" s="123"/>
      <c r="AK245" s="123"/>
      <c r="AL245" s="123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25"/>
      <c r="BB245" s="13"/>
      <c r="BE245" s="114"/>
    </row>
    <row r="246" spans="1:57" ht="19.5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7"/>
      <c r="S246" s="13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25"/>
      <c r="AD246" s="25"/>
      <c r="AI246" s="116"/>
      <c r="AJ246" s="123"/>
      <c r="AK246" s="123"/>
      <c r="AL246" s="123"/>
      <c r="AQ246" s="115"/>
      <c r="AR246" s="115"/>
      <c r="AS246" s="115"/>
      <c r="AT246" s="115"/>
      <c r="AU246" s="115"/>
      <c r="AV246" s="115"/>
      <c r="AW246" s="115"/>
      <c r="AX246" s="115"/>
      <c r="AY246" s="115"/>
      <c r="AZ246" s="115"/>
      <c r="BA246" s="25"/>
      <c r="BB246" s="13"/>
      <c r="BE246" s="114"/>
    </row>
    <row r="247" spans="1:57" ht="19.5" x14ac:dyDescent="0.4">
      <c r="A247" s="117"/>
      <c r="B247" s="123"/>
      <c r="C247" s="123"/>
      <c r="D247" s="123"/>
      <c r="R247" s="26"/>
      <c r="S247" s="13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25">
        <v>45678</v>
      </c>
      <c r="AD247" s="13" t="s">
        <v>147</v>
      </c>
      <c r="AI247" s="116"/>
      <c r="AJ247" s="123"/>
      <c r="AK247" s="123"/>
      <c r="AL247" s="123"/>
      <c r="AQ247" s="115"/>
      <c r="AR247" s="115"/>
      <c r="AS247" s="115"/>
      <c r="AT247" s="115"/>
      <c r="AU247" s="115"/>
      <c r="AV247" s="115"/>
      <c r="AW247" s="115"/>
      <c r="AX247" s="115"/>
      <c r="AY247" s="115"/>
      <c r="AZ247" s="115"/>
      <c r="BA247" s="25"/>
      <c r="BB247" s="13"/>
      <c r="BE247" s="114"/>
    </row>
    <row r="248" spans="1:57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26"/>
      <c r="S248" s="13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25"/>
      <c r="AD248" s="13"/>
      <c r="AI248" s="116"/>
      <c r="AJ248" s="123"/>
      <c r="AK248" s="123"/>
      <c r="AL248" s="123"/>
      <c r="AQ248" s="115"/>
      <c r="AR248" s="115"/>
      <c r="AS248" s="115"/>
      <c r="AT248" s="115"/>
      <c r="AU248" s="115"/>
      <c r="AV248" s="115"/>
      <c r="AW248" s="115"/>
      <c r="AX248" s="115"/>
      <c r="AY248" s="115"/>
      <c r="AZ248" s="115"/>
      <c r="BA248" s="25"/>
      <c r="BB248" s="13"/>
      <c r="BE248" s="114"/>
    </row>
    <row r="249" spans="1:57" ht="19.5" x14ac:dyDescent="0.4">
      <c r="A249" s="117"/>
      <c r="B249" s="123"/>
      <c r="C249" s="123"/>
      <c r="D249" s="123"/>
      <c r="R249" s="26"/>
      <c r="S249" s="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25">
        <v>45678</v>
      </c>
      <c r="AD249" s="13" t="s">
        <v>146</v>
      </c>
      <c r="AI249" s="116"/>
      <c r="AJ249" s="123"/>
      <c r="AK249" s="123"/>
      <c r="AL249" s="123"/>
      <c r="AQ249" s="115"/>
      <c r="AR249" s="115"/>
      <c r="AS249" s="115"/>
      <c r="AT249" s="115"/>
      <c r="AU249" s="115"/>
      <c r="AV249" s="115"/>
      <c r="AW249" s="115"/>
      <c r="AX249" s="115"/>
      <c r="AY249" s="115"/>
      <c r="AZ249" s="115"/>
      <c r="BA249" s="25"/>
      <c r="BB249" s="13"/>
      <c r="BE249" s="114"/>
    </row>
    <row r="250" spans="1:57" ht="19.5" x14ac:dyDescent="0.4">
      <c r="A250" s="117"/>
      <c r="B250" s="123"/>
      <c r="C250" s="123"/>
      <c r="D250" s="123"/>
      <c r="I250" s="115"/>
      <c r="J250" s="115"/>
      <c r="K250" s="115"/>
      <c r="L250" s="115"/>
      <c r="M250" s="115"/>
      <c r="N250" s="115"/>
      <c r="O250" s="115"/>
      <c r="P250" s="115"/>
      <c r="Q250" s="115"/>
      <c r="R250" s="26"/>
      <c r="S250" s="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25"/>
      <c r="AD250" s="13"/>
      <c r="AI250" s="116"/>
      <c r="AJ250" s="123"/>
      <c r="AK250" s="123"/>
      <c r="AL250" s="123"/>
      <c r="AQ250" s="115"/>
      <c r="AR250" s="115"/>
      <c r="AS250" s="115"/>
      <c r="AT250" s="115"/>
      <c r="AU250" s="115"/>
      <c r="AV250" s="115"/>
      <c r="AW250" s="115"/>
      <c r="AX250" s="115"/>
      <c r="AY250" s="115"/>
      <c r="AZ250" s="115"/>
      <c r="BA250" s="25"/>
      <c r="BB250" s="13"/>
      <c r="BE250" s="114"/>
    </row>
    <row r="251" spans="1:57" ht="19.5" x14ac:dyDescent="0.4">
      <c r="A251" s="117"/>
      <c r="B251" s="123"/>
      <c r="C251" s="123"/>
      <c r="D251" s="123"/>
      <c r="I251" s="115"/>
      <c r="J251" s="115"/>
      <c r="K251" s="115"/>
      <c r="L251" s="115"/>
      <c r="M251" s="115"/>
      <c r="N251" s="115"/>
      <c r="O251" s="115"/>
      <c r="P251" s="115"/>
      <c r="Q251" s="115"/>
      <c r="R251" s="26"/>
      <c r="S251" s="13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25"/>
      <c r="AD251" s="13"/>
      <c r="AI251" s="116"/>
      <c r="AJ251" s="123"/>
      <c r="AK251" s="123"/>
      <c r="AL251" s="123"/>
      <c r="AQ251" s="115"/>
      <c r="AR251" s="115"/>
      <c r="AS251" s="115"/>
      <c r="AT251" s="115"/>
      <c r="AU251" s="115"/>
      <c r="AV251" s="115"/>
      <c r="AW251" s="115"/>
      <c r="AX251" s="115"/>
      <c r="AY251" s="115"/>
      <c r="AZ251" s="115"/>
      <c r="BA251" s="25"/>
      <c r="BB251" s="13"/>
      <c r="BE251" s="114"/>
    </row>
    <row r="252" spans="1:57" ht="19.5" x14ac:dyDescent="0.4">
      <c r="A252" s="117"/>
      <c r="B252" s="123"/>
      <c r="C252" s="123"/>
      <c r="D252" s="123"/>
      <c r="I252" s="115"/>
      <c r="J252" s="115"/>
      <c r="K252" s="115"/>
      <c r="L252" s="115"/>
      <c r="M252" s="115"/>
      <c r="N252" s="115"/>
      <c r="O252" s="115"/>
      <c r="P252" s="115"/>
      <c r="Q252" s="115"/>
      <c r="R252" s="26"/>
      <c r="S252" s="13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25"/>
      <c r="AD252" s="13"/>
      <c r="AI252" s="116"/>
      <c r="AJ252" s="123"/>
      <c r="AK252" s="123"/>
      <c r="AL252" s="123"/>
      <c r="AQ252" s="115"/>
      <c r="AR252" s="115"/>
      <c r="AS252" s="115"/>
      <c r="AT252" s="115"/>
      <c r="AU252" s="115"/>
      <c r="AV252" s="115"/>
      <c r="AW252" s="115"/>
      <c r="AX252" s="115"/>
      <c r="AY252" s="115"/>
      <c r="AZ252" s="115"/>
      <c r="BA252" s="25"/>
      <c r="BB252" s="13"/>
      <c r="BE252" s="114"/>
    </row>
    <row r="253" spans="1:57" ht="19.5" x14ac:dyDescent="0.4">
      <c r="A253" s="117"/>
      <c r="B253" s="123"/>
      <c r="C253" s="123"/>
      <c r="D253" s="123"/>
      <c r="I253" s="115"/>
      <c r="J253" s="115"/>
      <c r="K253" s="115"/>
      <c r="L253" s="115"/>
      <c r="M253" s="115"/>
      <c r="N253" s="115"/>
      <c r="O253" s="115"/>
      <c r="P253" s="115"/>
      <c r="Q253" s="115"/>
      <c r="R253" s="26"/>
      <c r="S253" s="13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25"/>
      <c r="AD253" s="13"/>
      <c r="AI253" s="116"/>
      <c r="AJ253" s="123"/>
      <c r="AK253" s="123"/>
      <c r="AL253" s="123"/>
      <c r="AQ253" s="115"/>
      <c r="AR253" s="115"/>
      <c r="AS253" s="115"/>
      <c r="AT253" s="115"/>
      <c r="AU253" s="115"/>
      <c r="AV253" s="115"/>
      <c r="AW253" s="115"/>
      <c r="AX253" s="115"/>
      <c r="AY253" s="115"/>
      <c r="AZ253" s="115"/>
      <c r="BA253" s="25"/>
      <c r="BB253" s="13"/>
      <c r="BE253" s="114"/>
    </row>
    <row r="254" spans="1:57" ht="19.5" x14ac:dyDescent="0.4">
      <c r="A254" s="117"/>
      <c r="B254" s="123"/>
      <c r="C254" s="123"/>
      <c r="D254" s="123"/>
      <c r="R254" s="26"/>
      <c r="S254" s="13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25">
        <v>45678</v>
      </c>
      <c r="AD254" s="13" t="s">
        <v>148</v>
      </c>
      <c r="AI254" s="116"/>
      <c r="AJ254" s="123"/>
      <c r="AK254" s="123"/>
      <c r="AL254" s="123"/>
      <c r="AQ254" s="115"/>
      <c r="AR254" s="115"/>
      <c r="AS254" s="115"/>
      <c r="AT254" s="115"/>
      <c r="AU254" s="115"/>
      <c r="AV254" s="115"/>
      <c r="AW254" s="115"/>
      <c r="AX254" s="115"/>
      <c r="AY254" s="115"/>
      <c r="AZ254" s="115"/>
      <c r="BA254" s="25"/>
      <c r="BB254" s="13"/>
      <c r="BE254" s="114"/>
    </row>
    <row r="255" spans="1:57" ht="19.5" x14ac:dyDescent="0.4">
      <c r="A255" s="117"/>
      <c r="B255" s="123"/>
      <c r="C255" s="123"/>
      <c r="D255" s="123"/>
      <c r="K255" s="115"/>
      <c r="L255" s="115"/>
      <c r="M255" s="115"/>
      <c r="N255" s="115"/>
      <c r="O255" s="115"/>
      <c r="P255" s="115"/>
      <c r="Q255" s="115"/>
      <c r="R255" s="26"/>
      <c r="S255" s="13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25"/>
      <c r="AD255" s="13"/>
      <c r="AI255" s="116"/>
      <c r="AJ255" s="123"/>
      <c r="AK255" s="123"/>
      <c r="AL255" s="123"/>
      <c r="AQ255" s="115"/>
      <c r="AR255" s="115"/>
      <c r="AS255" s="115"/>
      <c r="AT255" s="115"/>
      <c r="AU255" s="115"/>
      <c r="AV255" s="115"/>
      <c r="AW255" s="115"/>
      <c r="AX255" s="115"/>
      <c r="AY255" s="115"/>
      <c r="AZ255" s="115"/>
      <c r="BA255" s="25"/>
      <c r="BB255" s="13"/>
      <c r="BE255" s="114"/>
    </row>
    <row r="256" spans="1:57" ht="19.5" x14ac:dyDescent="0.4">
      <c r="A256" s="117"/>
      <c r="B256" s="123"/>
      <c r="C256" s="123"/>
      <c r="D256" s="123"/>
      <c r="K256" s="115"/>
      <c r="L256" s="115"/>
      <c r="M256" s="115"/>
      <c r="N256" s="115"/>
      <c r="O256" s="115"/>
      <c r="P256" s="115"/>
      <c r="Q256" s="115"/>
      <c r="R256" s="17"/>
      <c r="S256" s="13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25"/>
      <c r="AD256" s="13"/>
      <c r="AI256" s="116"/>
      <c r="AJ256" s="123"/>
      <c r="AK256" s="123"/>
      <c r="AL256" s="123"/>
      <c r="AQ256" s="115"/>
      <c r="AR256" s="115"/>
      <c r="AS256" s="115"/>
      <c r="AT256" s="115"/>
      <c r="AU256" s="115"/>
      <c r="AV256" s="115"/>
      <c r="AW256" s="115"/>
      <c r="AX256" s="115"/>
      <c r="AY256" s="115"/>
      <c r="AZ256" s="115"/>
      <c r="BA256" s="25"/>
      <c r="BB256" s="13"/>
      <c r="BE256" s="114"/>
    </row>
    <row r="257" spans="1:57" ht="19.5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26"/>
      <c r="S257" s="134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25"/>
      <c r="AD257" s="13"/>
      <c r="AI257" s="116"/>
      <c r="AJ257" s="123"/>
      <c r="AK257" s="123"/>
      <c r="AL257" s="123"/>
      <c r="AQ257" s="115"/>
      <c r="AR257" s="115"/>
      <c r="AS257" s="115"/>
      <c r="AT257" s="115"/>
      <c r="AU257" s="115"/>
      <c r="AV257" s="115"/>
      <c r="AW257" s="115"/>
      <c r="AX257" s="115"/>
      <c r="AY257" s="115"/>
      <c r="AZ257" s="115"/>
      <c r="BA257" s="25"/>
      <c r="BB257" s="13"/>
      <c r="BE257" s="114"/>
    </row>
    <row r="258" spans="1:57" ht="19.5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26"/>
      <c r="S258" s="13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25"/>
      <c r="AD258" s="13"/>
      <c r="AI258" s="116"/>
      <c r="AJ258" s="123"/>
      <c r="AK258" s="123"/>
      <c r="AL258" s="123"/>
      <c r="AQ258" s="115"/>
      <c r="AR258" s="115"/>
      <c r="AS258" s="115"/>
      <c r="AT258" s="115"/>
      <c r="AU258" s="115"/>
      <c r="AV258" s="115"/>
      <c r="AW258" s="115"/>
      <c r="AX258" s="115"/>
      <c r="AY258" s="115"/>
      <c r="AZ258" s="115"/>
      <c r="BA258" s="25"/>
      <c r="BB258" s="13"/>
      <c r="BE258" s="114"/>
    </row>
    <row r="259" spans="1:57" ht="19.5" x14ac:dyDescent="0.4">
      <c r="A259" s="117"/>
      <c r="B259" s="123"/>
      <c r="C259" s="123"/>
      <c r="D259" s="123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26"/>
      <c r="S259" s="13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25"/>
      <c r="AD259" s="13"/>
      <c r="AI259" s="116"/>
      <c r="AJ259" s="123"/>
      <c r="AK259" s="123"/>
      <c r="AL259" s="123"/>
      <c r="AQ259" s="115"/>
      <c r="AR259" s="115"/>
      <c r="AS259" s="115"/>
      <c r="AT259" s="115"/>
      <c r="AU259" s="115"/>
      <c r="AV259" s="115"/>
      <c r="AW259" s="115"/>
      <c r="AX259" s="115"/>
      <c r="AY259" s="115"/>
      <c r="AZ259" s="115"/>
      <c r="BA259" s="25"/>
      <c r="BB259" s="13"/>
      <c r="BE259" s="114"/>
    </row>
    <row r="260" spans="1:57" ht="19.5" x14ac:dyDescent="0.4">
      <c r="A260" s="117"/>
      <c r="B260" s="123"/>
      <c r="C260" s="123"/>
      <c r="D260" s="123"/>
      <c r="R260" s="26"/>
      <c r="S260" s="13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25">
        <v>45678</v>
      </c>
      <c r="AD260" s="13" t="s">
        <v>148</v>
      </c>
      <c r="AI260" s="116"/>
      <c r="AJ260" s="123"/>
      <c r="AK260" s="123"/>
      <c r="AL260" s="123"/>
      <c r="AQ260" s="115"/>
      <c r="AR260" s="115"/>
      <c r="AS260" s="115"/>
      <c r="AT260" s="115"/>
      <c r="AU260" s="115"/>
      <c r="AV260" s="115"/>
      <c r="AW260" s="115"/>
      <c r="AX260" s="115"/>
      <c r="AY260" s="115"/>
      <c r="AZ260" s="115"/>
      <c r="BA260" s="25"/>
      <c r="BB260" s="13"/>
      <c r="BE260" s="114"/>
    </row>
    <row r="261" spans="1:57" ht="19.5" x14ac:dyDescent="0.4">
      <c r="A261" s="117"/>
      <c r="B261" s="123"/>
      <c r="C261" s="123"/>
      <c r="D261" s="123"/>
      <c r="R261" s="26"/>
      <c r="S261" s="13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25">
        <v>45678</v>
      </c>
      <c r="AD261" s="13" t="s">
        <v>148</v>
      </c>
      <c r="AI261" s="116"/>
      <c r="AJ261" s="123"/>
      <c r="AK261" s="123"/>
      <c r="AL261" s="123"/>
      <c r="AQ261" s="115"/>
      <c r="AR261" s="115"/>
      <c r="AS261" s="115"/>
      <c r="AT261" s="115"/>
      <c r="AU261" s="115"/>
      <c r="AV261" s="115"/>
      <c r="AW261" s="115"/>
      <c r="AX261" s="115"/>
      <c r="AY261" s="115"/>
      <c r="AZ261" s="115"/>
      <c r="BA261" s="25"/>
      <c r="BB261" s="13"/>
      <c r="BE261" s="114"/>
    </row>
    <row r="262" spans="1:57" ht="19.5" x14ac:dyDescent="0.4">
      <c r="A262" s="117"/>
      <c r="B262" s="123"/>
      <c r="C262" s="123"/>
      <c r="D262" s="123"/>
      <c r="L262" s="115"/>
      <c r="M262" s="115"/>
      <c r="N262" s="115"/>
      <c r="O262" s="115"/>
      <c r="P262" s="115"/>
      <c r="Q262" s="115"/>
      <c r="R262" s="26"/>
      <c r="S262" s="13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25"/>
      <c r="AD262" s="13"/>
      <c r="AI262" s="116"/>
      <c r="AJ262" s="123"/>
      <c r="AK262" s="123"/>
      <c r="AL262" s="123"/>
      <c r="AQ262" s="115"/>
      <c r="AR262" s="115"/>
      <c r="AS262" s="115"/>
      <c r="AT262" s="115"/>
      <c r="AU262" s="115"/>
      <c r="AV262" s="115"/>
      <c r="AW262" s="115"/>
      <c r="AX262" s="115"/>
      <c r="AY262" s="115"/>
      <c r="AZ262" s="115"/>
      <c r="BA262" s="25"/>
      <c r="BB262" s="13"/>
      <c r="BE262" s="114"/>
    </row>
    <row r="263" spans="1:57" ht="19.5" x14ac:dyDescent="0.4">
      <c r="A263" s="117"/>
      <c r="B263" s="123"/>
      <c r="C263" s="123"/>
      <c r="D263" s="123"/>
      <c r="L263" s="115"/>
      <c r="M263" s="115"/>
      <c r="N263" s="115"/>
      <c r="O263" s="115"/>
      <c r="P263" s="115"/>
      <c r="Q263" s="115"/>
      <c r="R263" s="26"/>
      <c r="S263" s="13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25"/>
      <c r="AD263" s="13"/>
      <c r="AI263" s="116"/>
      <c r="AJ263" s="123"/>
      <c r="AK263" s="123"/>
      <c r="AL263" s="123"/>
      <c r="AQ263" s="115"/>
      <c r="AR263" s="115"/>
      <c r="AS263" s="115"/>
      <c r="AT263" s="115"/>
      <c r="AU263" s="115"/>
      <c r="AV263" s="115"/>
      <c r="AW263" s="115"/>
      <c r="AX263" s="115"/>
      <c r="AY263" s="115"/>
      <c r="AZ263" s="115"/>
      <c r="BA263" s="25"/>
      <c r="BB263" s="13"/>
      <c r="BE263" s="114"/>
    </row>
    <row r="264" spans="1:57" ht="19.5" x14ac:dyDescent="0.4">
      <c r="A264" s="117"/>
      <c r="B264" s="123"/>
      <c r="C264" s="123"/>
      <c r="D264" s="123"/>
      <c r="J264" s="115"/>
      <c r="K264" s="115"/>
      <c r="L264" s="115"/>
      <c r="M264" s="115"/>
      <c r="N264" s="115"/>
      <c r="O264" s="115"/>
      <c r="P264" s="115"/>
      <c r="Q264" s="115"/>
      <c r="R264" s="26"/>
      <c r="S264" s="13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25"/>
      <c r="AD264" s="13"/>
      <c r="AI264" s="116"/>
      <c r="AJ264" s="123"/>
      <c r="AK264" s="123"/>
      <c r="AL264" s="123"/>
      <c r="AQ264" s="115"/>
      <c r="AR264" s="115"/>
      <c r="AS264" s="115"/>
      <c r="AT264" s="115"/>
      <c r="AU264" s="115"/>
      <c r="AV264" s="115"/>
      <c r="AW264" s="115"/>
      <c r="AX264" s="115"/>
      <c r="AY264" s="115"/>
      <c r="AZ264" s="115"/>
      <c r="BA264" s="25"/>
      <c r="BB264" s="13"/>
      <c r="BE264" s="114"/>
    </row>
    <row r="265" spans="1:57" ht="19.5" x14ac:dyDescent="0.4">
      <c r="A265" s="117"/>
      <c r="B265" s="123"/>
      <c r="C265" s="123"/>
      <c r="D265" s="123"/>
      <c r="J265" s="115"/>
      <c r="K265" s="115"/>
      <c r="L265" s="115"/>
      <c r="M265" s="115"/>
      <c r="N265" s="115"/>
      <c r="O265" s="115"/>
      <c r="P265" s="115"/>
      <c r="Q265" s="115"/>
      <c r="R265" s="26"/>
      <c r="S265" s="13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25"/>
      <c r="AD265" s="13"/>
      <c r="AI265" s="116"/>
      <c r="AJ265" s="123"/>
      <c r="AK265" s="123"/>
      <c r="AL265" s="123"/>
      <c r="AQ265" s="115"/>
      <c r="AR265" s="115"/>
      <c r="AS265" s="115"/>
      <c r="AT265" s="115"/>
      <c r="AU265" s="115"/>
      <c r="AV265" s="115"/>
      <c r="AW265" s="115"/>
      <c r="AX265" s="115"/>
      <c r="AY265" s="115"/>
      <c r="AZ265" s="115"/>
      <c r="BA265" s="25"/>
      <c r="BB265" s="13"/>
      <c r="BE265" s="114"/>
    </row>
    <row r="266" spans="1:57" ht="19.5" x14ac:dyDescent="0.4">
      <c r="A266" s="117"/>
      <c r="B266" s="123"/>
      <c r="C266" s="123"/>
      <c r="D266" s="123"/>
      <c r="R266" s="26"/>
      <c r="S266" s="13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25">
        <v>45679</v>
      </c>
      <c r="AD266" s="15" t="s">
        <v>146</v>
      </c>
      <c r="AI266" s="116"/>
      <c r="AJ266" s="123"/>
      <c r="AK266" s="123"/>
      <c r="AL266" s="123"/>
      <c r="AQ266" s="115"/>
      <c r="AR266" s="115"/>
      <c r="AS266" s="115"/>
      <c r="AT266" s="115"/>
      <c r="AU266" s="115"/>
      <c r="AV266" s="115"/>
      <c r="AW266" s="115"/>
      <c r="AX266" s="115"/>
      <c r="AY266" s="115"/>
      <c r="AZ266" s="115"/>
      <c r="BA266" s="25"/>
      <c r="BB266" s="13"/>
      <c r="BE266" s="114"/>
    </row>
    <row r="267" spans="1:57" ht="19.5" x14ac:dyDescent="0.4">
      <c r="A267" s="117"/>
      <c r="B267" s="123"/>
      <c r="C267" s="123"/>
      <c r="D267" s="123"/>
      <c r="M267" s="115"/>
      <c r="N267" s="115"/>
      <c r="O267" s="115"/>
      <c r="P267" s="115"/>
      <c r="Q267" s="115"/>
      <c r="R267" s="26"/>
      <c r="S267" s="13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25"/>
      <c r="AD267" s="15"/>
      <c r="AI267" s="116"/>
      <c r="AJ267" s="123"/>
      <c r="AK267" s="123"/>
      <c r="AL267" s="123"/>
      <c r="AQ267" s="115"/>
      <c r="AR267" s="115"/>
      <c r="AS267" s="115"/>
      <c r="AT267" s="115"/>
      <c r="AU267" s="115"/>
      <c r="AV267" s="115"/>
      <c r="AW267" s="115"/>
      <c r="AX267" s="115"/>
      <c r="AY267" s="115"/>
      <c r="AZ267" s="115"/>
      <c r="BA267" s="25"/>
      <c r="BB267" s="13"/>
      <c r="BE267" s="114"/>
    </row>
    <row r="268" spans="1:57" ht="19.5" x14ac:dyDescent="0.4">
      <c r="A268" s="117"/>
      <c r="B268" s="123"/>
      <c r="C268" s="123"/>
      <c r="D268" s="123"/>
      <c r="M268" s="115"/>
      <c r="N268" s="115"/>
      <c r="O268" s="115"/>
      <c r="P268" s="115"/>
      <c r="Q268" s="115"/>
      <c r="R268" s="17"/>
      <c r="S268" s="13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25"/>
      <c r="AD268" s="15"/>
      <c r="AI268" s="116"/>
      <c r="AJ268" s="123"/>
      <c r="AK268" s="123"/>
      <c r="AL268" s="123"/>
      <c r="AQ268" s="115"/>
      <c r="AR268" s="115"/>
      <c r="AS268" s="115"/>
      <c r="AT268" s="115"/>
      <c r="AU268" s="115"/>
      <c r="AV268" s="115"/>
      <c r="AW268" s="115"/>
      <c r="AX268" s="115"/>
      <c r="AY268" s="115"/>
      <c r="AZ268" s="115"/>
      <c r="BA268" s="25"/>
      <c r="BB268" s="13"/>
      <c r="BE268" s="114"/>
    </row>
    <row r="269" spans="1:57" ht="19.5" x14ac:dyDescent="0.4">
      <c r="A269" s="117"/>
      <c r="B269" s="123"/>
      <c r="C269" s="123"/>
      <c r="D269" s="123"/>
      <c r="R269" s="26"/>
      <c r="S269" s="13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25"/>
      <c r="AD269" s="15"/>
      <c r="AI269" s="116"/>
      <c r="AJ269" s="123"/>
      <c r="AK269" s="123"/>
      <c r="AL269" s="123"/>
      <c r="AQ269" s="115"/>
      <c r="AR269" s="115"/>
      <c r="AS269" s="115"/>
      <c r="AT269" s="115"/>
      <c r="AU269" s="115"/>
      <c r="AV269" s="115"/>
      <c r="AW269" s="115"/>
      <c r="AX269" s="115"/>
      <c r="AY269" s="115"/>
      <c r="AZ269" s="115"/>
      <c r="BA269" s="25"/>
      <c r="BB269" s="13"/>
      <c r="BE269" s="114"/>
    </row>
    <row r="270" spans="1:57" ht="19.5" x14ac:dyDescent="0.4">
      <c r="A270" s="117"/>
      <c r="B270" s="123"/>
      <c r="C270" s="123"/>
      <c r="D270" s="123"/>
      <c r="M270" s="115"/>
      <c r="N270" s="115"/>
      <c r="O270" s="115"/>
      <c r="P270" s="115"/>
      <c r="Q270" s="115"/>
      <c r="R270" s="26"/>
      <c r="S270" s="13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25"/>
      <c r="AD270" s="15"/>
      <c r="AI270" s="116"/>
      <c r="AJ270" s="123"/>
      <c r="AK270" s="123"/>
      <c r="AL270" s="123"/>
      <c r="AQ270" s="115"/>
      <c r="AR270" s="115"/>
      <c r="AS270" s="115"/>
      <c r="AT270" s="115"/>
      <c r="AU270" s="115"/>
      <c r="AV270" s="115"/>
      <c r="AW270" s="115"/>
      <c r="AX270" s="115"/>
      <c r="AY270" s="115"/>
      <c r="AZ270" s="115"/>
      <c r="BA270" s="25"/>
      <c r="BB270" s="13"/>
      <c r="BE270" s="114"/>
    </row>
    <row r="271" spans="1:57" ht="19.5" x14ac:dyDescent="0.4">
      <c r="A271" s="117"/>
      <c r="B271" s="123"/>
      <c r="C271" s="123"/>
      <c r="D271" s="123"/>
      <c r="M271" s="115"/>
      <c r="N271" s="115"/>
      <c r="O271" s="115"/>
      <c r="P271" s="115"/>
      <c r="Q271" s="115"/>
      <c r="R271" s="17"/>
      <c r="S271" s="13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25"/>
      <c r="AD271" s="15"/>
      <c r="AI271" s="116"/>
      <c r="AJ271" s="123"/>
      <c r="AK271" s="123"/>
      <c r="AL271" s="123"/>
      <c r="AQ271" s="115"/>
      <c r="AR271" s="115"/>
      <c r="AS271" s="115"/>
      <c r="AT271" s="115"/>
      <c r="AU271" s="115"/>
      <c r="AV271" s="115"/>
      <c r="AW271" s="115"/>
      <c r="AX271" s="115"/>
      <c r="AY271" s="115"/>
      <c r="AZ271" s="115"/>
      <c r="BA271" s="25"/>
      <c r="BB271" s="13"/>
      <c r="BE271" s="114"/>
    </row>
    <row r="272" spans="1:57" ht="19.5" x14ac:dyDescent="0.4">
      <c r="A272" s="117"/>
      <c r="B272" s="123"/>
      <c r="C272" s="123"/>
      <c r="D272" s="123"/>
      <c r="L272" s="115"/>
      <c r="M272" s="115"/>
      <c r="N272" s="115"/>
      <c r="O272" s="115"/>
      <c r="P272" s="115"/>
      <c r="Q272" s="115"/>
      <c r="R272" s="26"/>
      <c r="S272" s="13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25"/>
      <c r="AD272" s="15"/>
      <c r="AI272" s="116"/>
      <c r="AJ272" s="123"/>
      <c r="AK272" s="123"/>
      <c r="AL272" s="123"/>
      <c r="AQ272" s="115"/>
      <c r="AR272" s="115"/>
      <c r="AS272" s="115"/>
      <c r="AT272" s="115"/>
      <c r="AU272" s="115"/>
      <c r="AV272" s="115"/>
      <c r="AW272" s="115"/>
      <c r="AX272" s="115"/>
      <c r="AY272" s="115"/>
      <c r="AZ272" s="115"/>
      <c r="BA272" s="25"/>
      <c r="BB272" s="13"/>
      <c r="BE272" s="114"/>
    </row>
    <row r="273" spans="1:57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26"/>
      <c r="S273" s="13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25"/>
      <c r="AD273" s="15"/>
      <c r="AI273" s="116"/>
      <c r="AJ273" s="123"/>
      <c r="AK273" s="123"/>
      <c r="AL273" s="123"/>
      <c r="AQ273" s="115"/>
      <c r="AR273" s="115"/>
      <c r="AS273" s="115"/>
      <c r="AT273" s="115"/>
      <c r="AU273" s="115"/>
      <c r="AV273" s="115"/>
      <c r="AW273" s="115"/>
      <c r="AX273" s="115"/>
      <c r="AY273" s="115"/>
      <c r="AZ273" s="115"/>
      <c r="BA273" s="25"/>
      <c r="BB273" s="13"/>
      <c r="BE273" s="114"/>
    </row>
    <row r="274" spans="1:57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26"/>
      <c r="S274" s="13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25"/>
      <c r="AD274" s="15"/>
      <c r="AI274" s="116"/>
      <c r="AJ274" s="123"/>
      <c r="AK274" s="123"/>
      <c r="AL274" s="123"/>
      <c r="AQ274" s="115"/>
      <c r="AR274" s="115"/>
      <c r="AS274" s="115"/>
      <c r="AT274" s="115"/>
      <c r="AU274" s="115"/>
      <c r="AV274" s="115"/>
      <c r="AW274" s="115"/>
      <c r="AX274" s="115"/>
      <c r="AY274" s="115"/>
      <c r="AZ274" s="115"/>
      <c r="BA274" s="25"/>
      <c r="BB274" s="13"/>
      <c r="BE274" s="114"/>
    </row>
    <row r="275" spans="1:57" ht="19.5" x14ac:dyDescent="0.4">
      <c r="A275" s="117"/>
      <c r="B275" s="123"/>
      <c r="C275" s="123"/>
      <c r="D275" s="123"/>
      <c r="R275" s="26"/>
      <c r="S275" s="13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25">
        <v>45679</v>
      </c>
      <c r="AD275" s="15" t="s">
        <v>148</v>
      </c>
      <c r="AI275" s="116"/>
      <c r="AJ275" s="123"/>
      <c r="AK275" s="123"/>
      <c r="AL275" s="123"/>
      <c r="AQ275" s="115"/>
      <c r="AR275" s="115"/>
      <c r="AS275" s="115"/>
      <c r="AT275" s="115"/>
      <c r="AU275" s="115"/>
      <c r="AV275" s="115"/>
      <c r="AW275" s="115"/>
      <c r="AX275" s="115"/>
      <c r="AY275" s="115"/>
      <c r="AZ275" s="115"/>
      <c r="BA275" s="25"/>
      <c r="BB275" s="13"/>
      <c r="BE275" s="114"/>
    </row>
    <row r="276" spans="1:57" ht="19.5" x14ac:dyDescent="0.4">
      <c r="A276" s="117"/>
      <c r="B276" s="123"/>
      <c r="C276" s="123"/>
      <c r="D276" s="123"/>
      <c r="M276" s="115"/>
      <c r="N276" s="115"/>
      <c r="O276" s="115"/>
      <c r="P276" s="115"/>
      <c r="Q276" s="115"/>
      <c r="R276" s="26"/>
      <c r="S276" s="13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25"/>
      <c r="AD276" s="13"/>
      <c r="AI276" s="116"/>
      <c r="AJ276" s="123"/>
      <c r="AK276" s="123"/>
      <c r="AL276" s="123"/>
      <c r="AQ276" s="115"/>
      <c r="AR276" s="115"/>
      <c r="AS276" s="115"/>
      <c r="AT276" s="115"/>
      <c r="AU276" s="115"/>
      <c r="AV276" s="115"/>
      <c r="AW276" s="115"/>
      <c r="AX276" s="115"/>
      <c r="AY276" s="115"/>
      <c r="AZ276" s="115"/>
      <c r="BA276" s="25"/>
      <c r="BB276" s="13"/>
      <c r="BE276" s="114"/>
    </row>
    <row r="277" spans="1:57" ht="19.5" x14ac:dyDescent="0.4">
      <c r="A277" s="117"/>
      <c r="B277" s="123"/>
      <c r="C277" s="123"/>
      <c r="D277" s="123"/>
      <c r="L277" s="115"/>
      <c r="M277" s="115"/>
      <c r="N277" s="115"/>
      <c r="O277" s="115"/>
      <c r="P277" s="115"/>
      <c r="Q277" s="115"/>
      <c r="R277" s="26"/>
      <c r="S277" s="13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25"/>
      <c r="AD277" s="13"/>
      <c r="AI277" s="116"/>
      <c r="AJ277" s="123"/>
      <c r="AK277" s="123"/>
      <c r="AL277" s="123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25"/>
      <c r="BB277" s="13"/>
      <c r="BE277" s="114"/>
    </row>
    <row r="278" spans="1:57" ht="19.5" x14ac:dyDescent="0.4">
      <c r="A278" s="117"/>
      <c r="B278" s="123"/>
      <c r="C278" s="123"/>
      <c r="D278" s="123"/>
      <c r="L278" s="115"/>
      <c r="M278" s="115"/>
      <c r="N278" s="115"/>
      <c r="O278" s="115"/>
      <c r="P278" s="115"/>
      <c r="Q278" s="115"/>
      <c r="R278" s="26"/>
      <c r="S278" s="13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25"/>
      <c r="AD278" s="13"/>
      <c r="AI278" s="116"/>
      <c r="AJ278" s="123"/>
      <c r="AK278" s="123"/>
      <c r="AL278" s="123"/>
      <c r="AQ278" s="115"/>
      <c r="AR278" s="115"/>
      <c r="AS278" s="115"/>
      <c r="AT278" s="115"/>
      <c r="AU278" s="115"/>
      <c r="AV278" s="115"/>
      <c r="AW278" s="115"/>
      <c r="AX278" s="115"/>
      <c r="AY278" s="115"/>
      <c r="AZ278" s="115"/>
      <c r="BA278" s="25"/>
      <c r="BB278" s="13"/>
      <c r="BE278" s="114"/>
    </row>
    <row r="279" spans="1:57" ht="19.5" x14ac:dyDescent="0.4">
      <c r="A279" s="117"/>
      <c r="B279" s="123"/>
      <c r="C279" s="123"/>
      <c r="D279" s="123"/>
      <c r="L279" s="115"/>
      <c r="M279" s="115"/>
      <c r="N279" s="115"/>
      <c r="O279" s="115"/>
      <c r="P279" s="115"/>
      <c r="Q279" s="115"/>
      <c r="R279" s="17"/>
      <c r="S279" s="13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25"/>
      <c r="AD279" s="13"/>
      <c r="AI279" s="116"/>
      <c r="AJ279" s="123"/>
      <c r="AK279" s="123"/>
      <c r="AL279" s="123"/>
      <c r="AQ279" s="115"/>
      <c r="AR279" s="115"/>
      <c r="AS279" s="115"/>
      <c r="AT279" s="115"/>
      <c r="AU279" s="115"/>
      <c r="AV279" s="115"/>
      <c r="AW279" s="115"/>
      <c r="AX279" s="115"/>
      <c r="AY279" s="115"/>
      <c r="AZ279" s="115"/>
      <c r="BA279" s="25"/>
      <c r="BB279" s="13"/>
      <c r="BE279" s="114"/>
    </row>
    <row r="280" spans="1:57" ht="19.5" x14ac:dyDescent="0.4">
      <c r="A280" s="117"/>
      <c r="B280" s="123"/>
      <c r="C280" s="123"/>
      <c r="D280" s="123"/>
      <c r="K280" s="115"/>
      <c r="L280" s="115"/>
      <c r="M280" s="115"/>
      <c r="N280" s="115"/>
      <c r="O280" s="115"/>
      <c r="P280" s="115"/>
      <c r="Q280" s="115"/>
      <c r="R280" s="26"/>
      <c r="S280" s="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25"/>
      <c r="AD280" s="13"/>
      <c r="AI280" s="116"/>
      <c r="AJ280" s="123"/>
      <c r="AK280" s="123"/>
      <c r="AL280" s="123"/>
      <c r="AQ280" s="115"/>
      <c r="AR280" s="115"/>
      <c r="AS280" s="115"/>
      <c r="AT280" s="115"/>
      <c r="AU280" s="115"/>
      <c r="AV280" s="115"/>
      <c r="AW280" s="115"/>
      <c r="AX280" s="115"/>
      <c r="AY280" s="115"/>
      <c r="AZ280" s="115"/>
      <c r="BA280" s="25"/>
      <c r="BB280" s="13"/>
      <c r="BE280" s="114"/>
    </row>
    <row r="281" spans="1:57" ht="19.5" x14ac:dyDescent="0.4">
      <c r="A281" s="117"/>
      <c r="B281" s="123"/>
      <c r="C281" s="123"/>
      <c r="D281" s="123"/>
      <c r="K281" s="115"/>
      <c r="L281" s="115"/>
      <c r="M281" s="115"/>
      <c r="N281" s="115"/>
      <c r="O281" s="115"/>
      <c r="P281" s="115"/>
      <c r="Q281" s="115"/>
      <c r="R281" s="17"/>
      <c r="S281" s="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25"/>
      <c r="AD281" s="13"/>
      <c r="AI281" s="116"/>
      <c r="AJ281" s="123"/>
      <c r="AK281" s="123"/>
      <c r="AL281" s="123"/>
      <c r="AQ281" s="115"/>
      <c r="AR281" s="115"/>
      <c r="AS281" s="115"/>
      <c r="AT281" s="115"/>
      <c r="AU281" s="115"/>
      <c r="AV281" s="115"/>
      <c r="AW281" s="115"/>
      <c r="AX281" s="115"/>
      <c r="AY281" s="115"/>
      <c r="AZ281" s="115"/>
      <c r="BA281" s="25"/>
      <c r="BB281" s="13"/>
      <c r="BE281" s="114"/>
    </row>
    <row r="282" spans="1:57" ht="19.5" x14ac:dyDescent="0.4">
      <c r="A282" s="117"/>
      <c r="B282" s="123"/>
      <c r="C282" s="123"/>
      <c r="D282" s="123"/>
      <c r="K282" s="115"/>
      <c r="L282" s="115"/>
      <c r="M282" s="115"/>
      <c r="N282" s="115"/>
      <c r="O282" s="115"/>
      <c r="P282" s="115"/>
      <c r="Q282" s="115"/>
      <c r="R282" s="26"/>
      <c r="S282" s="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25"/>
      <c r="AD282" s="13"/>
      <c r="AI282" s="116"/>
      <c r="AJ282" s="123"/>
      <c r="AK282" s="123"/>
      <c r="AL282" s="123"/>
      <c r="AQ282" s="115"/>
      <c r="AR282" s="115"/>
      <c r="AS282" s="115"/>
      <c r="AT282" s="115"/>
      <c r="AU282" s="115"/>
      <c r="AV282" s="115"/>
      <c r="AW282" s="115"/>
      <c r="AX282" s="115"/>
      <c r="AY282" s="115"/>
      <c r="AZ282" s="115"/>
      <c r="BA282" s="25"/>
      <c r="BB282" s="13"/>
      <c r="BE282" s="114"/>
    </row>
    <row r="283" spans="1:57" ht="19.5" x14ac:dyDescent="0.4">
      <c r="A283" s="117"/>
      <c r="B283" s="123"/>
      <c r="C283" s="123"/>
      <c r="D283" s="123"/>
      <c r="K283" s="115"/>
      <c r="L283" s="115"/>
      <c r="M283" s="115"/>
      <c r="N283" s="115"/>
      <c r="O283" s="115"/>
      <c r="P283" s="115"/>
      <c r="Q283" s="115"/>
      <c r="R283" s="17"/>
      <c r="S283" s="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25"/>
      <c r="AD283" s="13"/>
      <c r="AI283" s="116"/>
      <c r="AJ283" s="123"/>
      <c r="AK283" s="123"/>
      <c r="AL283" s="123"/>
      <c r="AQ283" s="115"/>
      <c r="AR283" s="115"/>
      <c r="AS283" s="115"/>
      <c r="AT283" s="115"/>
      <c r="AU283" s="115"/>
      <c r="AV283" s="115"/>
      <c r="AW283" s="115"/>
      <c r="AX283" s="115"/>
      <c r="AY283" s="115"/>
      <c r="AZ283" s="115"/>
      <c r="BA283" s="25"/>
      <c r="BB283" s="13"/>
      <c r="BE283" s="114"/>
    </row>
    <row r="284" spans="1:57" ht="19.5" x14ac:dyDescent="0.4">
      <c r="A284" s="117"/>
      <c r="B284" s="123"/>
      <c r="C284" s="123"/>
      <c r="D284" s="123"/>
      <c r="K284" s="115"/>
      <c r="L284" s="115"/>
      <c r="M284" s="115"/>
      <c r="N284" s="115"/>
      <c r="O284" s="115"/>
      <c r="P284" s="115"/>
      <c r="Q284" s="115"/>
      <c r="R284" s="26"/>
      <c r="S284" s="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25"/>
      <c r="AD284" s="13"/>
      <c r="AI284" s="116"/>
      <c r="AJ284" s="123"/>
      <c r="AK284" s="123"/>
      <c r="AL284" s="123"/>
      <c r="AQ284" s="115"/>
      <c r="AR284" s="115"/>
      <c r="AS284" s="115"/>
      <c r="AT284" s="115"/>
      <c r="AU284" s="115"/>
      <c r="AV284" s="115"/>
      <c r="AW284" s="115"/>
      <c r="AX284" s="115"/>
      <c r="AY284" s="115"/>
      <c r="AZ284" s="115"/>
      <c r="BA284" s="25"/>
      <c r="BB284" s="13"/>
      <c r="BE284" s="114"/>
    </row>
    <row r="285" spans="1:57" ht="19.5" x14ac:dyDescent="0.4">
      <c r="A285" s="117"/>
      <c r="B285" s="123"/>
      <c r="C285" s="123"/>
      <c r="D285" s="123"/>
      <c r="R285" s="26"/>
      <c r="S285" s="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25">
        <v>45679</v>
      </c>
      <c r="AD285" s="13" t="s">
        <v>147</v>
      </c>
      <c r="AI285" s="116"/>
      <c r="AJ285" s="123"/>
      <c r="AK285" s="123"/>
      <c r="AL285" s="123"/>
      <c r="AQ285" s="115"/>
      <c r="AR285" s="115"/>
      <c r="AS285" s="115"/>
      <c r="AT285" s="115"/>
      <c r="AU285" s="115"/>
      <c r="AV285" s="115"/>
      <c r="AW285" s="115"/>
      <c r="AX285" s="115"/>
      <c r="AY285" s="115"/>
      <c r="AZ285" s="115"/>
      <c r="BA285" s="25"/>
      <c r="BB285" s="13"/>
      <c r="BE285" s="114"/>
    </row>
    <row r="286" spans="1:57" ht="19.5" x14ac:dyDescent="0.4">
      <c r="A286" s="117"/>
      <c r="B286" s="123"/>
      <c r="C286" s="123"/>
      <c r="D286" s="123"/>
      <c r="N286" s="115"/>
      <c r="O286" s="115"/>
      <c r="P286" s="115"/>
      <c r="Q286" s="115"/>
      <c r="R286" s="17"/>
      <c r="S286" s="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25"/>
      <c r="AD286" s="13"/>
      <c r="AI286" s="116"/>
      <c r="AJ286" s="123"/>
      <c r="AK286" s="123"/>
      <c r="AL286" s="123"/>
      <c r="AQ286" s="115"/>
      <c r="AR286" s="115"/>
      <c r="AS286" s="115"/>
      <c r="AT286" s="115"/>
      <c r="AU286" s="115"/>
      <c r="AV286" s="115"/>
      <c r="AW286" s="115"/>
      <c r="AX286" s="115"/>
      <c r="AY286" s="115"/>
      <c r="AZ286" s="115"/>
      <c r="BA286" s="25"/>
      <c r="BB286" s="13"/>
      <c r="BE286" s="114"/>
    </row>
    <row r="287" spans="1:57" ht="19.5" x14ac:dyDescent="0.4">
      <c r="A287" s="117"/>
      <c r="B287" s="123"/>
      <c r="C287" s="123"/>
      <c r="D287" s="123"/>
      <c r="K287" s="115"/>
      <c r="L287" s="115"/>
      <c r="M287" s="115"/>
      <c r="N287" s="115"/>
      <c r="O287" s="115"/>
      <c r="P287" s="115"/>
      <c r="Q287" s="115"/>
      <c r="R287" s="26"/>
      <c r="S287" s="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25"/>
      <c r="AD287" s="13"/>
      <c r="AI287" s="116"/>
      <c r="AJ287" s="123"/>
      <c r="AK287" s="123"/>
      <c r="AL287" s="123"/>
      <c r="AQ287" s="115"/>
      <c r="AR287" s="115"/>
      <c r="AS287" s="115"/>
      <c r="AT287" s="115"/>
      <c r="AU287" s="115"/>
      <c r="AV287" s="115"/>
      <c r="AW287" s="115"/>
      <c r="AX287" s="115"/>
      <c r="AY287" s="115"/>
      <c r="AZ287" s="115"/>
      <c r="BA287" s="25"/>
      <c r="BB287" s="13"/>
      <c r="BE287" s="114"/>
    </row>
    <row r="288" spans="1:57" ht="19.5" x14ac:dyDescent="0.4">
      <c r="A288" s="117"/>
      <c r="B288" s="123"/>
      <c r="C288" s="123"/>
      <c r="D288" s="123"/>
      <c r="K288" s="115"/>
      <c r="L288" s="115"/>
      <c r="M288" s="115"/>
      <c r="N288" s="115"/>
      <c r="O288" s="115"/>
      <c r="P288" s="115"/>
      <c r="Q288" s="115"/>
      <c r="R288" s="26"/>
      <c r="S288" s="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25"/>
      <c r="AD288" s="13"/>
      <c r="AI288" s="116"/>
      <c r="AJ288" s="123"/>
      <c r="AK288" s="123"/>
      <c r="AL288" s="123"/>
      <c r="AQ288" s="115"/>
      <c r="AR288" s="115"/>
      <c r="AS288" s="115"/>
      <c r="AT288" s="115"/>
      <c r="AU288" s="115"/>
      <c r="AV288" s="115"/>
      <c r="AW288" s="115"/>
      <c r="AX288" s="115"/>
      <c r="AY288" s="115"/>
      <c r="AZ288" s="115"/>
      <c r="BA288" s="25"/>
      <c r="BB288" s="13"/>
      <c r="BE288" s="114"/>
    </row>
    <row r="289" spans="1:57" ht="19.5" x14ac:dyDescent="0.4">
      <c r="A289" s="117"/>
      <c r="B289" s="123"/>
      <c r="C289" s="123"/>
      <c r="D289" s="123"/>
      <c r="K289" s="115"/>
      <c r="L289" s="115"/>
      <c r="M289" s="115"/>
      <c r="N289" s="115"/>
      <c r="O289" s="115"/>
      <c r="P289" s="115"/>
      <c r="Q289" s="115"/>
      <c r="R289" s="17"/>
      <c r="S289" s="13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25"/>
      <c r="AD289" s="13"/>
      <c r="AI289" s="116"/>
      <c r="AJ289" s="123"/>
      <c r="AK289" s="123"/>
      <c r="AL289" s="123"/>
      <c r="AQ289" s="115"/>
      <c r="AR289" s="115"/>
      <c r="AS289" s="115"/>
      <c r="AT289" s="115"/>
      <c r="AU289" s="115"/>
      <c r="AV289" s="115"/>
      <c r="AW289" s="115"/>
      <c r="AX289" s="115"/>
      <c r="AY289" s="115"/>
      <c r="AZ289" s="115"/>
      <c r="BA289" s="25"/>
      <c r="BB289" s="13"/>
      <c r="BE289" s="114"/>
    </row>
    <row r="290" spans="1:57" ht="19.5" x14ac:dyDescent="0.4">
      <c r="A290" s="117"/>
      <c r="B290" s="123"/>
      <c r="C290" s="123"/>
      <c r="D290" s="123"/>
      <c r="K290" s="115"/>
      <c r="L290" s="115"/>
      <c r="M290" s="115"/>
      <c r="N290" s="115"/>
      <c r="O290" s="115"/>
      <c r="P290" s="115"/>
      <c r="Q290" s="115"/>
      <c r="R290" s="17"/>
      <c r="S290" s="13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25"/>
      <c r="AD290" s="13"/>
      <c r="AI290" s="116"/>
      <c r="AJ290" s="123"/>
      <c r="AK290" s="123"/>
      <c r="AL290" s="123"/>
      <c r="AQ290" s="115"/>
      <c r="AR290" s="115"/>
      <c r="AS290" s="115"/>
      <c r="AT290" s="115"/>
      <c r="AU290" s="115"/>
      <c r="AV290" s="115"/>
      <c r="AW290" s="115"/>
      <c r="AX290" s="115"/>
      <c r="AY290" s="115"/>
      <c r="AZ290" s="115"/>
      <c r="BA290" s="25"/>
      <c r="BB290" s="13"/>
      <c r="BE290" s="114"/>
    </row>
    <row r="291" spans="1:57" ht="19.5" x14ac:dyDescent="0.4">
      <c r="A291" s="117"/>
      <c r="B291" s="123"/>
      <c r="C291" s="123"/>
      <c r="D291" s="123"/>
      <c r="K291" s="115"/>
      <c r="L291" s="115"/>
      <c r="M291" s="115"/>
      <c r="N291" s="115"/>
      <c r="O291" s="115"/>
      <c r="P291" s="115"/>
      <c r="Q291" s="115"/>
      <c r="R291" s="26"/>
      <c r="S291" s="13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25"/>
      <c r="AD291" s="13"/>
      <c r="AI291" s="116"/>
      <c r="AJ291" s="123"/>
      <c r="AK291" s="123"/>
      <c r="AL291" s="123"/>
      <c r="AQ291" s="115"/>
      <c r="AR291" s="115"/>
      <c r="AS291" s="115"/>
      <c r="AT291" s="115"/>
      <c r="AU291" s="115"/>
      <c r="AV291" s="115"/>
      <c r="AW291" s="115"/>
      <c r="AX291" s="115"/>
      <c r="AY291" s="115"/>
      <c r="AZ291" s="115"/>
      <c r="BA291" s="25"/>
      <c r="BB291" s="13"/>
      <c r="BE291" s="114"/>
    </row>
    <row r="292" spans="1:57" ht="19.5" x14ac:dyDescent="0.4">
      <c r="A292" s="117"/>
      <c r="B292" s="123"/>
      <c r="C292" s="123"/>
      <c r="D292" s="123"/>
      <c r="K292" s="115"/>
      <c r="L292" s="115"/>
      <c r="M292" s="115"/>
      <c r="N292" s="115"/>
      <c r="O292" s="115"/>
      <c r="P292" s="115"/>
      <c r="Q292" s="115"/>
      <c r="R292" s="17"/>
      <c r="S292" s="13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25"/>
      <c r="AD292" s="13"/>
      <c r="AI292" s="116"/>
      <c r="AJ292" s="123"/>
      <c r="AK292" s="123"/>
      <c r="AL292" s="123"/>
      <c r="AQ292" s="115"/>
      <c r="AR292" s="115"/>
      <c r="AS292" s="115"/>
      <c r="AT292" s="115"/>
      <c r="AU292" s="115"/>
      <c r="AV292" s="115"/>
      <c r="AW292" s="115"/>
      <c r="AX292" s="115"/>
      <c r="AY292" s="115"/>
      <c r="AZ292" s="115"/>
      <c r="BA292" s="25"/>
      <c r="BB292" s="13"/>
      <c r="BE292" s="114"/>
    </row>
    <row r="293" spans="1:57" ht="19.5" x14ac:dyDescent="0.4">
      <c r="A293" s="117"/>
      <c r="B293" s="123"/>
      <c r="C293" s="123"/>
      <c r="D293" s="123"/>
      <c r="J293" s="115"/>
      <c r="K293" s="115"/>
      <c r="L293" s="115"/>
      <c r="M293" s="115"/>
      <c r="N293" s="115"/>
      <c r="O293" s="115"/>
      <c r="P293" s="115"/>
      <c r="Q293" s="115"/>
      <c r="R293" s="26"/>
      <c r="S293" s="13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25"/>
      <c r="AD293" s="13"/>
      <c r="AI293" s="116"/>
      <c r="AJ293" s="123"/>
      <c r="AK293" s="123"/>
      <c r="AL293" s="123"/>
      <c r="AQ293" s="115"/>
      <c r="AR293" s="115"/>
      <c r="AS293" s="115"/>
      <c r="AT293" s="115"/>
      <c r="AU293" s="115"/>
      <c r="AV293" s="115"/>
      <c r="AW293" s="115"/>
      <c r="AX293" s="115"/>
      <c r="AY293" s="115"/>
      <c r="AZ293" s="115"/>
      <c r="BA293" s="25"/>
      <c r="BB293" s="13"/>
      <c r="BE293" s="114"/>
    </row>
    <row r="294" spans="1:57" ht="19.5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26"/>
      <c r="S294" s="13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25"/>
      <c r="AD294" s="13"/>
      <c r="AI294" s="116"/>
      <c r="AJ294" s="123"/>
      <c r="AK294" s="123"/>
      <c r="AL294" s="123"/>
      <c r="AQ294" s="115"/>
      <c r="AR294" s="115"/>
      <c r="AS294" s="115"/>
      <c r="AT294" s="115"/>
      <c r="AU294" s="115"/>
      <c r="AV294" s="115"/>
      <c r="AW294" s="115"/>
      <c r="AX294" s="115"/>
      <c r="AY294" s="115"/>
      <c r="AZ294" s="115"/>
      <c r="BA294" s="25"/>
      <c r="BB294" s="13"/>
      <c r="BE294" s="114"/>
    </row>
    <row r="295" spans="1:57" ht="19.5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26"/>
      <c r="S295" s="13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25"/>
      <c r="AD295" s="13"/>
      <c r="AI295" s="116"/>
      <c r="AJ295" s="123"/>
      <c r="AK295" s="123"/>
      <c r="AL295" s="123"/>
      <c r="AQ295" s="115"/>
      <c r="AR295" s="115"/>
      <c r="AS295" s="115"/>
      <c r="AT295" s="115"/>
      <c r="AU295" s="115"/>
      <c r="AV295" s="115"/>
      <c r="AW295" s="115"/>
      <c r="AX295" s="115"/>
      <c r="AY295" s="115"/>
      <c r="AZ295" s="115"/>
      <c r="BA295" s="25"/>
      <c r="BB295" s="13"/>
      <c r="BE295" s="114"/>
    </row>
    <row r="296" spans="1:57" ht="19.5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26"/>
      <c r="S296" s="13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25"/>
      <c r="AD296" s="13"/>
      <c r="AI296" s="116"/>
      <c r="AJ296" s="123"/>
      <c r="AK296" s="123"/>
      <c r="AL296" s="123"/>
      <c r="AQ296" s="115"/>
      <c r="AR296" s="115"/>
      <c r="AS296" s="115"/>
      <c r="AT296" s="115"/>
      <c r="AU296" s="115"/>
      <c r="AV296" s="115"/>
      <c r="AW296" s="115"/>
      <c r="AX296" s="115"/>
      <c r="AY296" s="115"/>
      <c r="AZ296" s="115"/>
      <c r="BA296" s="25"/>
      <c r="BB296" s="13"/>
      <c r="BE296" s="114"/>
    </row>
    <row r="297" spans="1:57" ht="19.5" x14ac:dyDescent="0.4">
      <c r="A297" s="117"/>
      <c r="B297" s="123"/>
      <c r="C297" s="123"/>
      <c r="D297" s="123"/>
      <c r="R297" s="26"/>
      <c r="S297" s="13"/>
      <c r="AC297" s="25">
        <v>45679</v>
      </c>
      <c r="AD297" s="13" t="s">
        <v>147</v>
      </c>
      <c r="AI297" s="116"/>
      <c r="AJ297" s="123"/>
      <c r="AK297" s="123"/>
      <c r="AL297" s="123"/>
      <c r="AQ297" s="115"/>
      <c r="AR297" s="115"/>
      <c r="AS297" s="115"/>
      <c r="AT297" s="115"/>
      <c r="AU297" s="115"/>
      <c r="AV297" s="115"/>
      <c r="AW297" s="115"/>
      <c r="AX297" s="115"/>
      <c r="AY297" s="115"/>
      <c r="AZ297" s="115"/>
      <c r="BA297" s="25"/>
      <c r="BB297" s="13"/>
      <c r="BE297" s="114"/>
    </row>
    <row r="298" spans="1:57" ht="19.5" x14ac:dyDescent="0.4">
      <c r="A298" s="117"/>
      <c r="B298" s="123"/>
      <c r="C298" s="123"/>
      <c r="D298" s="123"/>
      <c r="K298" s="115"/>
      <c r="L298" s="115"/>
      <c r="M298" s="115"/>
      <c r="N298" s="115"/>
      <c r="O298" s="115"/>
      <c r="P298" s="115"/>
      <c r="Q298" s="115"/>
      <c r="R298" s="26"/>
      <c r="S298" s="13"/>
      <c r="AC298" s="25"/>
      <c r="AD298" s="13"/>
      <c r="AI298" s="116"/>
      <c r="AJ298" s="123"/>
      <c r="AK298" s="123"/>
      <c r="AL298" s="123"/>
      <c r="AQ298" s="115"/>
      <c r="AR298" s="115"/>
      <c r="AS298" s="115"/>
      <c r="AT298" s="115"/>
      <c r="AU298" s="115"/>
      <c r="AV298" s="115"/>
      <c r="AW298" s="115"/>
      <c r="AX298" s="115"/>
      <c r="AY298" s="115"/>
      <c r="AZ298" s="115"/>
      <c r="BA298" s="25"/>
      <c r="BB298" s="13"/>
      <c r="BE298" s="114"/>
    </row>
    <row r="299" spans="1:57" ht="19.5" x14ac:dyDescent="0.4">
      <c r="A299" s="117"/>
      <c r="B299" s="123"/>
      <c r="C299" s="123"/>
      <c r="D299" s="123"/>
      <c r="R299" s="26"/>
      <c r="S299" s="13"/>
      <c r="AC299" s="25"/>
      <c r="AD299" s="13"/>
      <c r="AI299" s="116"/>
      <c r="AJ299" s="123"/>
      <c r="AK299" s="123"/>
      <c r="AL299" s="123"/>
      <c r="AQ299" s="115"/>
      <c r="AR299" s="115"/>
      <c r="AS299" s="115"/>
      <c r="AT299" s="115"/>
      <c r="AU299" s="115"/>
      <c r="AV299" s="115"/>
      <c r="AW299" s="115"/>
      <c r="AX299" s="115"/>
      <c r="AY299" s="115"/>
      <c r="AZ299" s="115"/>
      <c r="BA299" s="25"/>
      <c r="BB299" s="13"/>
      <c r="BE299" s="114"/>
    </row>
    <row r="300" spans="1:57" ht="19.5" x14ac:dyDescent="0.4">
      <c r="A300" s="117"/>
      <c r="B300" s="123"/>
      <c r="C300" s="123"/>
      <c r="D300" s="123"/>
      <c r="K300" s="115"/>
      <c r="L300" s="115"/>
      <c r="M300" s="115"/>
      <c r="N300" s="115"/>
      <c r="O300" s="115"/>
      <c r="P300" s="115"/>
      <c r="Q300" s="115"/>
      <c r="R300" s="26"/>
      <c r="S300" s="13"/>
      <c r="AC300" s="25"/>
      <c r="AD300" s="13"/>
      <c r="AI300" s="116"/>
      <c r="AJ300" s="123"/>
      <c r="AK300" s="123"/>
      <c r="AL300" s="123"/>
      <c r="AQ300" s="115"/>
      <c r="AR300" s="115"/>
      <c r="AS300" s="115"/>
      <c r="AT300" s="115"/>
      <c r="AU300" s="115"/>
      <c r="AV300" s="115"/>
      <c r="AW300" s="115"/>
      <c r="AX300" s="115"/>
      <c r="AY300" s="115"/>
      <c r="AZ300" s="115"/>
      <c r="BA300" s="25"/>
      <c r="BB300" s="13"/>
      <c r="BE300" s="114"/>
    </row>
    <row r="301" spans="1:57" ht="19.5" x14ac:dyDescent="0.4">
      <c r="A301" s="117"/>
      <c r="B301" s="123"/>
      <c r="C301" s="123"/>
      <c r="D301" s="123"/>
      <c r="K301" s="115"/>
      <c r="L301" s="115"/>
      <c r="M301" s="115"/>
      <c r="N301" s="115"/>
      <c r="O301" s="115"/>
      <c r="P301" s="115"/>
      <c r="Q301" s="115"/>
      <c r="R301" s="17"/>
      <c r="S301" s="13"/>
      <c r="AC301" s="25"/>
      <c r="AD301" s="13"/>
      <c r="AI301" s="116"/>
      <c r="AJ301" s="123"/>
      <c r="AK301" s="123"/>
      <c r="AL301" s="123"/>
      <c r="AQ301" s="115"/>
      <c r="AR301" s="115"/>
      <c r="AS301" s="115"/>
      <c r="AT301" s="115"/>
      <c r="AU301" s="115"/>
      <c r="AV301" s="115"/>
      <c r="AW301" s="115"/>
      <c r="AX301" s="115"/>
      <c r="AY301" s="115"/>
      <c r="AZ301" s="115"/>
      <c r="BA301" s="25"/>
      <c r="BB301" s="13"/>
      <c r="BE301" s="114"/>
    </row>
    <row r="302" spans="1:57" ht="19.5" x14ac:dyDescent="0.4">
      <c r="A302" s="117"/>
      <c r="B302" s="123"/>
      <c r="C302" s="123"/>
      <c r="D302" s="123"/>
      <c r="R302" s="26"/>
      <c r="S302" s="13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25">
        <v>45679</v>
      </c>
      <c r="AD302" s="13" t="s">
        <v>146</v>
      </c>
      <c r="AI302" s="116"/>
      <c r="AJ302" s="123"/>
      <c r="AK302" s="123"/>
      <c r="AL302" s="123"/>
      <c r="AQ302" s="115"/>
      <c r="AR302" s="115"/>
      <c r="AS302" s="115"/>
      <c r="AT302" s="115"/>
      <c r="AU302" s="115"/>
      <c r="AV302" s="115"/>
      <c r="AW302" s="115"/>
      <c r="AX302" s="115"/>
      <c r="AY302" s="115"/>
      <c r="AZ302" s="115"/>
      <c r="BA302" s="25"/>
      <c r="BB302" s="13"/>
      <c r="BE302" s="114"/>
    </row>
    <row r="303" spans="1:57" ht="19.5" x14ac:dyDescent="0.4">
      <c r="A303" s="117"/>
      <c r="B303" s="123"/>
      <c r="C303" s="123"/>
      <c r="D303" s="123"/>
      <c r="K303" s="115"/>
      <c r="L303" s="115"/>
      <c r="M303" s="115"/>
      <c r="N303" s="115"/>
      <c r="O303" s="115"/>
      <c r="P303" s="115"/>
      <c r="Q303" s="115"/>
      <c r="R303" s="26"/>
      <c r="S303" s="13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25"/>
      <c r="AD303" s="13"/>
      <c r="AI303" s="116"/>
      <c r="AJ303" s="123"/>
      <c r="AK303" s="123"/>
      <c r="AL303" s="123"/>
      <c r="AQ303" s="115"/>
      <c r="AR303" s="115"/>
      <c r="AS303" s="115"/>
      <c r="AT303" s="115"/>
      <c r="AU303" s="115"/>
      <c r="AV303" s="115"/>
      <c r="AW303" s="115"/>
      <c r="AX303" s="115"/>
      <c r="AY303" s="115"/>
      <c r="AZ303" s="115"/>
      <c r="BA303" s="25"/>
      <c r="BB303" s="13"/>
      <c r="BE303" s="114"/>
    </row>
    <row r="304" spans="1:57" ht="19.5" x14ac:dyDescent="0.4">
      <c r="A304" s="117"/>
      <c r="B304" s="123"/>
      <c r="C304" s="123"/>
      <c r="D304" s="123"/>
      <c r="R304" s="26"/>
      <c r="S304" s="13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25"/>
      <c r="AD304" s="13"/>
      <c r="AI304" s="116"/>
      <c r="AJ304" s="123"/>
      <c r="AK304" s="123"/>
      <c r="AL304" s="123"/>
      <c r="AQ304" s="115"/>
      <c r="AR304" s="115"/>
      <c r="AS304" s="115"/>
      <c r="AT304" s="115"/>
      <c r="AU304" s="115"/>
      <c r="AV304" s="115"/>
      <c r="AW304" s="115"/>
      <c r="AX304" s="115"/>
      <c r="AY304" s="115"/>
      <c r="AZ304" s="115"/>
      <c r="BA304" s="25"/>
      <c r="BB304" s="13"/>
      <c r="BE304" s="114"/>
    </row>
    <row r="305" spans="1:57" ht="19.5" x14ac:dyDescent="0.4">
      <c r="A305" s="117"/>
      <c r="B305" s="123"/>
      <c r="C305" s="123"/>
      <c r="D305" s="123"/>
      <c r="K305" s="115"/>
      <c r="L305" s="115"/>
      <c r="M305" s="115"/>
      <c r="N305" s="115"/>
      <c r="O305" s="115"/>
      <c r="P305" s="115"/>
      <c r="Q305" s="115"/>
      <c r="R305" s="26"/>
      <c r="S305" s="13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25"/>
      <c r="AD305" s="13"/>
      <c r="AI305" s="116"/>
      <c r="AJ305" s="123"/>
      <c r="AK305" s="123"/>
      <c r="AL305" s="123"/>
      <c r="AQ305" s="115"/>
      <c r="AR305" s="115"/>
      <c r="AS305" s="115"/>
      <c r="AT305" s="115"/>
      <c r="AU305" s="115"/>
      <c r="AV305" s="115"/>
      <c r="AW305" s="115"/>
      <c r="AX305" s="115"/>
      <c r="AY305" s="115"/>
      <c r="AZ305" s="115"/>
      <c r="BA305" s="25"/>
      <c r="BB305" s="13"/>
      <c r="BE305" s="114"/>
    </row>
    <row r="306" spans="1:57" ht="19.5" x14ac:dyDescent="0.4">
      <c r="A306" s="117"/>
      <c r="B306" s="123"/>
      <c r="C306" s="123"/>
      <c r="D306" s="123"/>
      <c r="K306" s="115"/>
      <c r="L306" s="115"/>
      <c r="M306" s="115"/>
      <c r="N306" s="115"/>
      <c r="O306" s="115"/>
      <c r="P306" s="115"/>
      <c r="Q306" s="115"/>
      <c r="R306" s="26"/>
      <c r="S306" s="13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25"/>
      <c r="AD306" s="13"/>
      <c r="AI306" s="116"/>
      <c r="AJ306" s="123"/>
      <c r="AK306" s="123"/>
      <c r="AL306" s="123"/>
      <c r="AQ306" s="115"/>
      <c r="AR306" s="115"/>
      <c r="AS306" s="115"/>
      <c r="AT306" s="115"/>
      <c r="AU306" s="115"/>
      <c r="AV306" s="115"/>
      <c r="AW306" s="115"/>
      <c r="AX306" s="115"/>
      <c r="AY306" s="115"/>
      <c r="AZ306" s="115"/>
      <c r="BA306" s="25"/>
      <c r="BB306" s="13"/>
      <c r="BE306" s="114"/>
    </row>
    <row r="307" spans="1:57" ht="19.5" x14ac:dyDescent="0.4">
      <c r="A307" s="117"/>
      <c r="B307" s="123"/>
      <c r="C307" s="123"/>
      <c r="D307" s="123"/>
      <c r="R307" s="26"/>
      <c r="S307" s="13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25">
        <v>45679</v>
      </c>
      <c r="AD307" s="13" t="s">
        <v>147</v>
      </c>
      <c r="AI307" s="116"/>
      <c r="AJ307" s="123"/>
      <c r="AK307" s="123"/>
      <c r="AL307" s="123"/>
      <c r="AQ307" s="115"/>
      <c r="AR307" s="115"/>
      <c r="AS307" s="115"/>
      <c r="AT307" s="115"/>
      <c r="AU307" s="115"/>
      <c r="AV307" s="115"/>
      <c r="AW307" s="115"/>
      <c r="AX307" s="115"/>
      <c r="AY307" s="115"/>
      <c r="AZ307" s="115"/>
      <c r="BA307" s="25"/>
      <c r="BB307" s="13"/>
      <c r="BE307" s="114"/>
    </row>
    <row r="308" spans="1:57" ht="19.5" x14ac:dyDescent="0.4">
      <c r="A308" s="117"/>
      <c r="B308" s="123"/>
      <c r="C308" s="123"/>
      <c r="D308" s="123"/>
      <c r="R308" s="26"/>
      <c r="S308" s="13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25">
        <v>45680</v>
      </c>
      <c r="AD308" s="13" t="s">
        <v>148</v>
      </c>
      <c r="AI308" s="116"/>
      <c r="AJ308" s="123"/>
      <c r="AK308" s="123"/>
      <c r="AL308" s="123"/>
      <c r="AQ308" s="115"/>
      <c r="AR308" s="115"/>
      <c r="AS308" s="115"/>
      <c r="AT308" s="115"/>
      <c r="AU308" s="115"/>
      <c r="AV308" s="115"/>
      <c r="AW308" s="115"/>
      <c r="AX308" s="115"/>
      <c r="AY308" s="115"/>
      <c r="AZ308" s="115"/>
      <c r="BA308" s="25"/>
      <c r="BB308" s="13"/>
      <c r="BE308" s="114"/>
    </row>
    <row r="309" spans="1:57" ht="19.5" x14ac:dyDescent="0.4">
      <c r="A309" s="117"/>
      <c r="B309" s="123"/>
      <c r="C309" s="123"/>
      <c r="D309" s="123"/>
      <c r="M309" s="115"/>
      <c r="N309" s="115"/>
      <c r="O309" s="115"/>
      <c r="P309" s="115"/>
      <c r="Q309" s="115"/>
      <c r="R309" s="17"/>
      <c r="S309" s="13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25"/>
      <c r="AD309" s="13"/>
      <c r="AI309" s="116"/>
      <c r="AJ309" s="123"/>
      <c r="AK309" s="123"/>
      <c r="AL309" s="123"/>
      <c r="AQ309" s="115"/>
      <c r="AR309" s="115"/>
      <c r="AS309" s="115"/>
      <c r="AT309" s="115"/>
      <c r="AU309" s="115"/>
      <c r="AV309" s="115"/>
      <c r="AW309" s="115"/>
      <c r="AX309" s="115"/>
      <c r="AY309" s="115"/>
      <c r="AZ309" s="115"/>
      <c r="BA309" s="25"/>
      <c r="BB309" s="13"/>
      <c r="BE309" s="114"/>
    </row>
    <row r="310" spans="1:57" ht="19.5" x14ac:dyDescent="0.4">
      <c r="A310" s="117"/>
      <c r="B310" s="123"/>
      <c r="C310" s="123"/>
      <c r="D310" s="123"/>
      <c r="I310" s="115"/>
      <c r="J310" s="115"/>
      <c r="K310" s="115"/>
      <c r="L310" s="115"/>
      <c r="M310" s="115"/>
      <c r="N310" s="115"/>
      <c r="O310" s="115"/>
      <c r="P310" s="115"/>
      <c r="Q310" s="115"/>
      <c r="R310" s="26"/>
      <c r="S310" s="13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25"/>
      <c r="AD310" s="13"/>
      <c r="AI310" s="116"/>
      <c r="AJ310" s="123"/>
      <c r="AK310" s="123"/>
      <c r="AL310" s="123"/>
      <c r="AQ310" s="115"/>
      <c r="AR310" s="115"/>
      <c r="AS310" s="115"/>
      <c r="AT310" s="115"/>
      <c r="AU310" s="115"/>
      <c r="AV310" s="115"/>
      <c r="AW310" s="115"/>
      <c r="AX310" s="115"/>
      <c r="AY310" s="115"/>
      <c r="AZ310" s="115"/>
      <c r="BA310" s="25"/>
      <c r="BB310" s="13"/>
      <c r="BE310" s="114"/>
    </row>
    <row r="311" spans="1:57" ht="19.5" x14ac:dyDescent="0.4">
      <c r="A311" s="117"/>
      <c r="B311" s="123"/>
      <c r="C311" s="123"/>
      <c r="D311" s="123"/>
      <c r="R311" s="26"/>
      <c r="S311" s="13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25">
        <v>45680</v>
      </c>
      <c r="AD311" s="13" t="s">
        <v>147</v>
      </c>
      <c r="AI311" s="116"/>
      <c r="AJ311" s="123"/>
      <c r="AK311" s="123"/>
      <c r="AL311" s="123"/>
      <c r="AQ311" s="115"/>
      <c r="AR311" s="115"/>
      <c r="AS311" s="115"/>
      <c r="AT311" s="115"/>
      <c r="AU311" s="115"/>
      <c r="AV311" s="115"/>
      <c r="AW311" s="115"/>
      <c r="AX311" s="115"/>
      <c r="AY311" s="115"/>
      <c r="AZ311" s="115"/>
      <c r="BA311" s="25"/>
      <c r="BB311" s="13"/>
      <c r="BE311" s="114"/>
    </row>
    <row r="312" spans="1:57" ht="19.5" x14ac:dyDescent="0.4">
      <c r="A312" s="117"/>
      <c r="B312" s="123"/>
      <c r="C312" s="123"/>
      <c r="D312" s="123"/>
      <c r="I312" s="115"/>
      <c r="J312" s="115"/>
      <c r="K312" s="115"/>
      <c r="L312" s="115"/>
      <c r="M312" s="115"/>
      <c r="N312" s="115"/>
      <c r="O312" s="115"/>
      <c r="P312" s="115"/>
      <c r="Q312" s="115"/>
      <c r="R312" s="26"/>
      <c r="S312" s="13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25"/>
      <c r="AD312" s="13"/>
      <c r="AI312" s="116"/>
      <c r="AJ312" s="123"/>
      <c r="AK312" s="123"/>
      <c r="AL312" s="123"/>
      <c r="AQ312" s="115"/>
      <c r="AR312" s="115"/>
      <c r="AS312" s="115"/>
      <c r="AT312" s="115"/>
      <c r="AU312" s="115"/>
      <c r="AV312" s="115"/>
      <c r="AW312" s="115"/>
      <c r="AX312" s="115"/>
      <c r="AY312" s="115"/>
      <c r="AZ312" s="115"/>
      <c r="BA312" s="25"/>
      <c r="BB312" s="13"/>
      <c r="BE312" s="114"/>
    </row>
    <row r="313" spans="1:57" ht="19.5" x14ac:dyDescent="0.4">
      <c r="A313" s="117"/>
      <c r="B313" s="123"/>
      <c r="C313" s="123"/>
      <c r="D313" s="123"/>
      <c r="I313" s="115"/>
      <c r="J313" s="115"/>
      <c r="K313" s="115"/>
      <c r="L313" s="115"/>
      <c r="M313" s="115"/>
      <c r="N313" s="115"/>
      <c r="O313" s="115"/>
      <c r="P313" s="115"/>
      <c r="Q313" s="115"/>
      <c r="R313" s="26"/>
      <c r="S313" s="13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25"/>
      <c r="AD313" s="13"/>
      <c r="AI313" s="116"/>
      <c r="AJ313" s="123"/>
      <c r="AK313" s="123"/>
      <c r="AL313" s="123"/>
      <c r="AQ313" s="115"/>
      <c r="AR313" s="115"/>
      <c r="AS313" s="115"/>
      <c r="AT313" s="115"/>
      <c r="AU313" s="115"/>
      <c r="AV313" s="115"/>
      <c r="AW313" s="115"/>
      <c r="AX313" s="115"/>
      <c r="AY313" s="115"/>
      <c r="AZ313" s="115"/>
      <c r="BA313" s="25"/>
      <c r="BB313" s="13"/>
      <c r="BE313" s="114"/>
    </row>
    <row r="314" spans="1:57" ht="19.5" x14ac:dyDescent="0.4">
      <c r="A314" s="117"/>
      <c r="B314" s="123"/>
      <c r="C314" s="123"/>
      <c r="D314" s="123"/>
      <c r="R314" s="26"/>
      <c r="S314" s="13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25">
        <v>45680</v>
      </c>
      <c r="AD314" s="13" t="s">
        <v>147</v>
      </c>
      <c r="AI314" s="116"/>
      <c r="AJ314" s="123"/>
      <c r="AK314" s="123"/>
      <c r="AL314" s="123"/>
      <c r="AQ314" s="115"/>
      <c r="AR314" s="115"/>
      <c r="AS314" s="115"/>
      <c r="AT314" s="115"/>
      <c r="AU314" s="115"/>
      <c r="AV314" s="115"/>
      <c r="AW314" s="115"/>
      <c r="AX314" s="115"/>
      <c r="AY314" s="115"/>
      <c r="AZ314" s="115"/>
      <c r="BA314" s="25"/>
      <c r="BB314" s="13"/>
      <c r="BE314" s="114"/>
    </row>
    <row r="315" spans="1:57" ht="19.5" x14ac:dyDescent="0.4">
      <c r="A315" s="117"/>
      <c r="B315" s="123"/>
      <c r="C315" s="123"/>
      <c r="D315" s="123"/>
      <c r="R315" s="26"/>
      <c r="S315" s="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25"/>
      <c r="AD315" s="13"/>
      <c r="AI315" s="116"/>
      <c r="AJ315" s="123"/>
      <c r="AK315" s="123"/>
      <c r="AL315" s="123"/>
      <c r="AQ315" s="115"/>
      <c r="AR315" s="115"/>
      <c r="AS315" s="115"/>
      <c r="AT315" s="115"/>
      <c r="AU315" s="115"/>
      <c r="AV315" s="115"/>
      <c r="AW315" s="115"/>
      <c r="AX315" s="115"/>
      <c r="AY315" s="115"/>
      <c r="AZ315" s="115"/>
      <c r="BA315" s="25"/>
      <c r="BB315" s="13"/>
      <c r="BE315" s="114"/>
    </row>
    <row r="316" spans="1:57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26"/>
      <c r="S316" s="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25"/>
      <c r="AD316" s="13"/>
      <c r="AI316" s="116"/>
      <c r="AJ316" s="123"/>
      <c r="AK316" s="123"/>
      <c r="AL316" s="123"/>
      <c r="AQ316" s="115"/>
      <c r="AR316" s="115"/>
      <c r="AS316" s="115"/>
      <c r="AT316" s="115"/>
      <c r="AU316" s="115"/>
      <c r="AV316" s="115"/>
      <c r="AW316" s="115"/>
      <c r="AX316" s="115"/>
      <c r="AY316" s="115"/>
      <c r="AZ316" s="115"/>
      <c r="BA316" s="25"/>
      <c r="BB316" s="13"/>
      <c r="BE316" s="114"/>
    </row>
    <row r="317" spans="1:57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26"/>
      <c r="S317" s="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25"/>
      <c r="AD317" s="13"/>
      <c r="AI317" s="116"/>
      <c r="AJ317" s="123"/>
      <c r="AK317" s="123"/>
      <c r="AL317" s="123"/>
      <c r="AQ317" s="115"/>
      <c r="AR317" s="115"/>
      <c r="AS317" s="115"/>
      <c r="AT317" s="115"/>
      <c r="AU317" s="115"/>
      <c r="AV317" s="115"/>
      <c r="AW317" s="115"/>
      <c r="AX317" s="115"/>
      <c r="AY317" s="115"/>
      <c r="AZ317" s="115"/>
      <c r="BA317" s="25"/>
      <c r="BB317" s="13"/>
      <c r="BE317" s="114"/>
    </row>
    <row r="318" spans="1:57" ht="19.5" x14ac:dyDescent="0.4">
      <c r="A318" s="117"/>
      <c r="B318" s="123"/>
      <c r="C318" s="123"/>
      <c r="D318" s="123"/>
      <c r="R318" s="26"/>
      <c r="S318" s="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25">
        <v>45680</v>
      </c>
      <c r="AD318" s="13" t="s">
        <v>146</v>
      </c>
      <c r="AI318" s="116"/>
      <c r="AJ318" s="123"/>
      <c r="AK318" s="123"/>
      <c r="AL318" s="123"/>
      <c r="AQ318" s="115"/>
      <c r="AR318" s="115"/>
      <c r="AS318" s="115"/>
      <c r="AT318" s="115"/>
      <c r="AU318" s="115"/>
      <c r="AV318" s="115"/>
      <c r="AW318" s="115"/>
      <c r="AX318" s="115"/>
      <c r="AY318" s="115"/>
      <c r="AZ318" s="115"/>
      <c r="BA318" s="25"/>
      <c r="BB318" s="13"/>
      <c r="BE318" s="114"/>
    </row>
    <row r="319" spans="1:57" ht="19.5" x14ac:dyDescent="0.4">
      <c r="A319" s="117"/>
      <c r="B319" s="123"/>
      <c r="C319" s="123"/>
      <c r="D319" s="123"/>
      <c r="R319" s="26"/>
      <c r="S319" s="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25">
        <v>45680</v>
      </c>
      <c r="AD319" s="13" t="s">
        <v>146</v>
      </c>
      <c r="AI319" s="116"/>
      <c r="AJ319" s="123"/>
      <c r="AK319" s="123"/>
      <c r="AL319" s="123"/>
      <c r="AQ319" s="115"/>
      <c r="AR319" s="115"/>
      <c r="AS319" s="115"/>
      <c r="AT319" s="115"/>
      <c r="AU319" s="115"/>
      <c r="AV319" s="115"/>
      <c r="AW319" s="115"/>
      <c r="AX319" s="115"/>
      <c r="AY319" s="115"/>
      <c r="AZ319" s="115"/>
      <c r="BA319" s="25"/>
      <c r="BB319" s="13"/>
      <c r="BE319" s="114"/>
    </row>
    <row r="320" spans="1:57" ht="19.5" x14ac:dyDescent="0.4">
      <c r="A320" s="117"/>
      <c r="B320" s="123"/>
      <c r="C320" s="123"/>
      <c r="D320" s="123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26"/>
      <c r="S320" s="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25">
        <v>45680</v>
      </c>
      <c r="AD320" s="13" t="s">
        <v>147</v>
      </c>
      <c r="AI320" s="116"/>
      <c r="AJ320" s="123"/>
      <c r="AK320" s="123"/>
      <c r="AL320" s="123"/>
      <c r="AQ320" s="115"/>
      <c r="AR320" s="115"/>
      <c r="AS320" s="115"/>
      <c r="AT320" s="115"/>
      <c r="AU320" s="115"/>
      <c r="AV320" s="115"/>
      <c r="AW320" s="115"/>
      <c r="AX320" s="115"/>
      <c r="AY320" s="115"/>
      <c r="AZ320" s="115"/>
      <c r="BA320" s="25"/>
      <c r="BB320" s="13"/>
      <c r="BE320" s="114"/>
    </row>
    <row r="321" spans="1:57" ht="19.5" x14ac:dyDescent="0.4">
      <c r="A321" s="117"/>
      <c r="B321" s="123"/>
      <c r="C321" s="123"/>
      <c r="D321" s="123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26"/>
      <c r="S321" s="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25"/>
      <c r="AD321" s="13"/>
      <c r="AI321" s="116"/>
      <c r="AJ321" s="123"/>
      <c r="AK321" s="123"/>
      <c r="AL321" s="123"/>
      <c r="AQ321" s="115"/>
      <c r="AR321" s="115"/>
      <c r="AS321" s="115"/>
      <c r="AT321" s="115"/>
      <c r="AU321" s="115"/>
      <c r="AV321" s="115"/>
      <c r="AW321" s="115"/>
      <c r="AX321" s="115"/>
      <c r="AY321" s="115"/>
      <c r="AZ321" s="115"/>
      <c r="BA321" s="25"/>
      <c r="BB321" s="13"/>
      <c r="BE321" s="114"/>
    </row>
    <row r="322" spans="1:57" ht="19.5" x14ac:dyDescent="0.4">
      <c r="A322" s="117"/>
      <c r="B322" s="123"/>
      <c r="C322" s="123"/>
      <c r="D322" s="123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7"/>
      <c r="S322" s="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25"/>
      <c r="AD322" s="13"/>
      <c r="AI322" s="116"/>
      <c r="AJ322" s="123"/>
      <c r="AK322" s="123"/>
      <c r="AL322" s="123"/>
      <c r="AQ322" s="115"/>
      <c r="AR322" s="115"/>
      <c r="AS322" s="115"/>
      <c r="AT322" s="115"/>
      <c r="AU322" s="115"/>
      <c r="AV322" s="115"/>
      <c r="AW322" s="115"/>
      <c r="AX322" s="115"/>
      <c r="AY322" s="115"/>
      <c r="AZ322" s="115"/>
      <c r="BA322" s="25"/>
      <c r="BB322" s="13"/>
      <c r="BE322" s="114"/>
    </row>
    <row r="323" spans="1:57" ht="19.5" x14ac:dyDescent="0.4">
      <c r="A323" s="117"/>
      <c r="B323" s="123"/>
      <c r="C323" s="123"/>
      <c r="D323" s="123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26"/>
      <c r="S323" s="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25"/>
      <c r="AD323" s="13"/>
      <c r="AI323" s="116"/>
      <c r="AJ323" s="123"/>
      <c r="AK323" s="123"/>
      <c r="AL323" s="123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25"/>
      <c r="BB323" s="13"/>
      <c r="BE323" s="114"/>
    </row>
    <row r="324" spans="1:57" ht="19.5" x14ac:dyDescent="0.4">
      <c r="A324" s="117"/>
      <c r="B324" s="123"/>
      <c r="C324" s="123"/>
      <c r="D324" s="123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7"/>
      <c r="S324" s="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25"/>
      <c r="AD324" s="13"/>
      <c r="AI324" s="116"/>
      <c r="AJ324" s="123"/>
      <c r="AK324" s="123"/>
      <c r="AL324" s="123"/>
      <c r="AQ324" s="115"/>
      <c r="AR324" s="115"/>
      <c r="AS324" s="115"/>
      <c r="AT324" s="115"/>
      <c r="AU324" s="115"/>
      <c r="AV324" s="115"/>
      <c r="AW324" s="115"/>
      <c r="AX324" s="115"/>
      <c r="AY324" s="115"/>
      <c r="AZ324" s="115"/>
      <c r="BA324" s="25"/>
      <c r="BB324" s="13"/>
      <c r="BE324" s="114"/>
    </row>
    <row r="325" spans="1:57" ht="19.5" x14ac:dyDescent="0.4">
      <c r="A325" s="117"/>
      <c r="B325" s="123"/>
      <c r="C325" s="123"/>
      <c r="D325" s="123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26"/>
      <c r="S325" s="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25">
        <v>45680</v>
      </c>
      <c r="AD325" s="15" t="s">
        <v>142</v>
      </c>
      <c r="AI325" s="116"/>
      <c r="AJ325" s="123"/>
      <c r="AK325" s="123"/>
      <c r="AL325" s="123"/>
      <c r="AQ325" s="115"/>
      <c r="AR325" s="115"/>
      <c r="AS325" s="115"/>
      <c r="AT325" s="115"/>
      <c r="AU325" s="115"/>
      <c r="AV325" s="115"/>
      <c r="AW325" s="115"/>
      <c r="AX325" s="115"/>
      <c r="AY325" s="115"/>
      <c r="AZ325" s="115"/>
      <c r="BA325" s="25"/>
      <c r="BB325" s="13"/>
      <c r="BE325" s="114"/>
    </row>
    <row r="326" spans="1:57" ht="19.5" x14ac:dyDescent="0.4">
      <c r="A326" s="117"/>
      <c r="B326" s="123"/>
      <c r="C326" s="123"/>
      <c r="D326" s="123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7"/>
      <c r="S326" s="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25"/>
      <c r="AD326" s="15"/>
      <c r="AI326" s="116"/>
      <c r="AJ326" s="123"/>
      <c r="AK326" s="123"/>
      <c r="AL326" s="123"/>
      <c r="AQ326" s="115"/>
      <c r="AR326" s="115"/>
      <c r="AS326" s="115"/>
      <c r="AT326" s="115"/>
      <c r="AU326" s="115"/>
      <c r="AV326" s="115"/>
      <c r="AW326" s="115"/>
      <c r="AX326" s="115"/>
      <c r="AY326" s="115"/>
      <c r="AZ326" s="115"/>
      <c r="BA326" s="25"/>
      <c r="BB326" s="13"/>
      <c r="BE326" s="114"/>
    </row>
    <row r="327" spans="1:57" ht="19.5" x14ac:dyDescent="0.4">
      <c r="A327" s="117"/>
      <c r="B327" s="123"/>
      <c r="C327" s="123"/>
      <c r="D327" s="123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26"/>
      <c r="S327" s="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25"/>
      <c r="AD327" s="15"/>
      <c r="AI327" s="116"/>
      <c r="AJ327" s="123"/>
      <c r="AK327" s="123"/>
      <c r="AL327" s="123"/>
      <c r="AQ327" s="115"/>
      <c r="AR327" s="115"/>
      <c r="AS327" s="115"/>
      <c r="AT327" s="115"/>
      <c r="AU327" s="115"/>
      <c r="AV327" s="115"/>
      <c r="AW327" s="115"/>
      <c r="AX327" s="115"/>
      <c r="AY327" s="115"/>
      <c r="AZ327" s="115"/>
      <c r="BA327" s="25"/>
      <c r="BB327" s="13"/>
      <c r="BE327" s="114"/>
    </row>
    <row r="328" spans="1:57" ht="19.5" x14ac:dyDescent="0.4">
      <c r="A328" s="117"/>
      <c r="B328" s="123"/>
      <c r="C328" s="123"/>
      <c r="D328" s="123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26"/>
      <c r="S328" s="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25">
        <v>45680</v>
      </c>
      <c r="AD328" s="15" t="s">
        <v>146</v>
      </c>
      <c r="AI328" s="116"/>
      <c r="AJ328" s="123"/>
      <c r="AK328" s="123"/>
      <c r="AL328" s="123"/>
      <c r="AQ328" s="115"/>
      <c r="AR328" s="115"/>
      <c r="AS328" s="115"/>
      <c r="AT328" s="115"/>
      <c r="AU328" s="115"/>
      <c r="AV328" s="115"/>
      <c r="AW328" s="115"/>
      <c r="AX328" s="115"/>
      <c r="AY328" s="115"/>
      <c r="AZ328" s="115"/>
      <c r="BA328" s="25"/>
      <c r="BB328" s="13"/>
      <c r="BE328" s="114"/>
    </row>
    <row r="329" spans="1:57" ht="19.5" x14ac:dyDescent="0.4">
      <c r="A329" s="117"/>
      <c r="B329" s="123"/>
      <c r="C329" s="123"/>
      <c r="D329" s="123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26"/>
      <c r="S329" s="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25"/>
      <c r="AD329" s="15"/>
      <c r="AI329" s="116"/>
      <c r="AJ329" s="123"/>
      <c r="AK329" s="123"/>
      <c r="AL329" s="123"/>
      <c r="AQ329" s="115"/>
      <c r="AR329" s="115"/>
      <c r="AS329" s="115"/>
      <c r="AT329" s="115"/>
      <c r="AU329" s="115"/>
      <c r="AV329" s="115"/>
      <c r="AW329" s="115"/>
      <c r="AX329" s="115"/>
      <c r="AY329" s="115"/>
      <c r="AZ329" s="115"/>
      <c r="BA329" s="25"/>
      <c r="BB329" s="13"/>
      <c r="BE329" s="114"/>
    </row>
    <row r="330" spans="1:57" ht="19.5" x14ac:dyDescent="0.4">
      <c r="A330" s="117"/>
      <c r="B330" s="123"/>
      <c r="C330" s="123"/>
      <c r="D330" s="123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26"/>
      <c r="S330" s="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25">
        <v>45680</v>
      </c>
      <c r="AD330" s="15" t="s">
        <v>146</v>
      </c>
      <c r="AI330" s="116"/>
      <c r="AJ330" s="123"/>
      <c r="AK330" s="123"/>
      <c r="AL330" s="123"/>
      <c r="AQ330" s="115"/>
      <c r="AR330" s="115"/>
      <c r="AS330" s="115"/>
      <c r="AT330" s="115"/>
      <c r="AU330" s="115"/>
      <c r="AV330" s="115"/>
      <c r="AW330" s="115"/>
      <c r="AX330" s="115"/>
      <c r="AY330" s="115"/>
      <c r="AZ330" s="115"/>
      <c r="BA330" s="25"/>
      <c r="BB330" s="13"/>
      <c r="BE330" s="114"/>
    </row>
    <row r="331" spans="1:57" ht="19.5" x14ac:dyDescent="0.4">
      <c r="A331" s="117"/>
      <c r="B331" s="123"/>
      <c r="C331" s="123"/>
      <c r="D331" s="123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26"/>
      <c r="S331" s="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25"/>
      <c r="AD331" s="15"/>
      <c r="AI331" s="116"/>
      <c r="AJ331" s="123"/>
      <c r="AK331" s="123"/>
      <c r="AL331" s="123"/>
      <c r="AQ331" s="115"/>
      <c r="AR331" s="115"/>
      <c r="AS331" s="115"/>
      <c r="AT331" s="115"/>
      <c r="AU331" s="115"/>
      <c r="AV331" s="115"/>
      <c r="AW331" s="115"/>
      <c r="AX331" s="115"/>
      <c r="AY331" s="115"/>
      <c r="AZ331" s="115"/>
      <c r="BA331" s="25"/>
      <c r="BB331" s="13"/>
      <c r="BE331" s="114"/>
    </row>
    <row r="332" spans="1:57" ht="19.5" x14ac:dyDescent="0.4">
      <c r="A332" s="117"/>
      <c r="B332" s="123"/>
      <c r="C332" s="123"/>
      <c r="D332" s="123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26"/>
      <c r="S332" s="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25"/>
      <c r="AD332" s="15"/>
      <c r="AI332" s="116"/>
      <c r="AJ332" s="123"/>
      <c r="AK332" s="123"/>
      <c r="AL332" s="123"/>
      <c r="AQ332" s="115"/>
      <c r="AR332" s="115"/>
      <c r="AS332" s="115"/>
      <c r="AT332" s="115"/>
      <c r="AU332" s="115"/>
      <c r="AV332" s="115"/>
      <c r="AW332" s="115"/>
      <c r="AX332" s="115"/>
      <c r="AY332" s="115"/>
      <c r="AZ332" s="115"/>
      <c r="BA332" s="25"/>
      <c r="BB332" s="13"/>
      <c r="BE332" s="114"/>
    </row>
    <row r="333" spans="1:57" ht="19.5" x14ac:dyDescent="0.4">
      <c r="A333" s="117"/>
      <c r="B333" s="123"/>
      <c r="C333" s="123"/>
      <c r="D333" s="123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26"/>
      <c r="S333" s="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25"/>
      <c r="AD333" s="15"/>
      <c r="AI333" s="116"/>
      <c r="AJ333" s="123"/>
      <c r="AK333" s="123"/>
      <c r="AL333" s="123"/>
      <c r="AQ333" s="115"/>
      <c r="AR333" s="115"/>
      <c r="AS333" s="115"/>
      <c r="AT333" s="115"/>
      <c r="AU333" s="115"/>
      <c r="AV333" s="115"/>
      <c r="AW333" s="115"/>
      <c r="AX333" s="115"/>
      <c r="AY333" s="115"/>
      <c r="AZ333" s="115"/>
      <c r="BA333" s="25"/>
      <c r="BB333" s="13"/>
      <c r="BE333" s="114"/>
    </row>
    <row r="334" spans="1:57" ht="19.5" x14ac:dyDescent="0.4">
      <c r="A334" s="117"/>
      <c r="B334" s="123"/>
      <c r="C334" s="123"/>
      <c r="D334" s="123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26"/>
      <c r="S334" s="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25">
        <v>45680</v>
      </c>
      <c r="AD334" s="15" t="s">
        <v>146</v>
      </c>
      <c r="AI334" s="116"/>
      <c r="AJ334" s="123"/>
      <c r="AK334" s="123"/>
      <c r="AL334" s="123"/>
      <c r="AQ334" s="115"/>
      <c r="AR334" s="115"/>
      <c r="AS334" s="115"/>
      <c r="AT334" s="115"/>
      <c r="AU334" s="115"/>
      <c r="AV334" s="115"/>
      <c r="AW334" s="115"/>
      <c r="AX334" s="115"/>
      <c r="AY334" s="115"/>
      <c r="AZ334" s="115"/>
      <c r="BA334" s="25"/>
      <c r="BB334" s="13"/>
      <c r="BE334" s="114"/>
    </row>
    <row r="335" spans="1:57" ht="19.5" x14ac:dyDescent="0.4">
      <c r="A335" s="117"/>
      <c r="B335" s="123"/>
      <c r="C335" s="123"/>
      <c r="D335" s="123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26"/>
      <c r="S335" s="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25"/>
      <c r="AD335" s="15"/>
      <c r="AI335" s="116"/>
      <c r="AJ335" s="123"/>
      <c r="AK335" s="123"/>
      <c r="AL335" s="123"/>
      <c r="AQ335" s="115"/>
      <c r="AR335" s="115"/>
      <c r="AS335" s="115"/>
      <c r="AT335" s="115"/>
      <c r="AU335" s="115"/>
      <c r="AV335" s="115"/>
      <c r="AW335" s="115"/>
      <c r="AX335" s="115"/>
      <c r="AY335" s="115"/>
      <c r="AZ335" s="115"/>
      <c r="BA335" s="25"/>
      <c r="BB335" s="13"/>
      <c r="BE335" s="114"/>
    </row>
    <row r="336" spans="1:57" ht="19.5" x14ac:dyDescent="0.4">
      <c r="A336" s="117"/>
      <c r="B336" s="123"/>
      <c r="C336" s="123"/>
      <c r="D336" s="123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7"/>
      <c r="S336" s="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25"/>
      <c r="AD336" s="15"/>
      <c r="AI336" s="116"/>
      <c r="AJ336" s="123"/>
      <c r="AK336" s="123"/>
      <c r="AL336" s="123"/>
      <c r="AQ336" s="115"/>
      <c r="AR336" s="115"/>
      <c r="AS336" s="115"/>
      <c r="AT336" s="115"/>
      <c r="AU336" s="115"/>
      <c r="AV336" s="115"/>
      <c r="AW336" s="115"/>
      <c r="AX336" s="115"/>
      <c r="AY336" s="115"/>
      <c r="AZ336" s="115"/>
      <c r="BA336" s="25"/>
      <c r="BB336" s="13"/>
      <c r="BE336" s="114"/>
    </row>
    <row r="337" spans="1:57" ht="19.5" x14ac:dyDescent="0.4">
      <c r="A337" s="117"/>
      <c r="B337" s="123"/>
      <c r="C337" s="123"/>
      <c r="D337" s="123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26"/>
      <c r="S337" s="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25">
        <v>45680</v>
      </c>
      <c r="AD337" s="15" t="s">
        <v>147</v>
      </c>
      <c r="AI337" s="116"/>
      <c r="AJ337" s="123"/>
      <c r="AK337" s="123"/>
      <c r="AL337" s="123"/>
      <c r="AQ337" s="115"/>
      <c r="AR337" s="115"/>
      <c r="AS337" s="115"/>
      <c r="AT337" s="115"/>
      <c r="AU337" s="115"/>
      <c r="AV337" s="115"/>
      <c r="AW337" s="115"/>
      <c r="AX337" s="115"/>
      <c r="AY337" s="115"/>
      <c r="AZ337" s="115"/>
      <c r="BA337" s="25"/>
      <c r="BB337" s="13"/>
      <c r="BE337" s="114"/>
    </row>
    <row r="338" spans="1:57" ht="19.5" x14ac:dyDescent="0.4">
      <c r="A338" s="117"/>
      <c r="B338" s="123"/>
      <c r="C338" s="123"/>
      <c r="D338" s="123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7"/>
      <c r="S338" s="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25"/>
      <c r="AD338" s="13"/>
      <c r="AI338" s="116"/>
      <c r="AJ338" s="123"/>
      <c r="AK338" s="123"/>
      <c r="AL338" s="123"/>
      <c r="AQ338" s="115"/>
      <c r="AR338" s="115"/>
      <c r="AS338" s="115"/>
      <c r="AT338" s="115"/>
      <c r="AU338" s="115"/>
      <c r="AV338" s="115"/>
      <c r="AW338" s="115"/>
      <c r="AX338" s="115"/>
      <c r="AY338" s="115"/>
      <c r="AZ338" s="115"/>
      <c r="BA338" s="25"/>
      <c r="BB338" s="13"/>
      <c r="BE338" s="114"/>
    </row>
    <row r="339" spans="1:57" ht="19.5" x14ac:dyDescent="0.4">
      <c r="A339" s="117"/>
      <c r="B339" s="123"/>
      <c r="C339" s="123"/>
      <c r="D339" s="123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26"/>
      <c r="S339" s="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25"/>
      <c r="AD339" s="13"/>
      <c r="AI339" s="116"/>
      <c r="AJ339" s="123"/>
      <c r="AK339" s="123"/>
      <c r="AL339" s="123"/>
      <c r="AQ339" s="115"/>
      <c r="AR339" s="115"/>
      <c r="AS339" s="115"/>
      <c r="AT339" s="115"/>
      <c r="AU339" s="115"/>
      <c r="AV339" s="115"/>
      <c r="AW339" s="115"/>
      <c r="AX339" s="115"/>
      <c r="AY339" s="115"/>
      <c r="AZ339" s="115"/>
      <c r="BA339" s="25"/>
      <c r="BB339" s="13"/>
      <c r="BE339" s="114"/>
    </row>
    <row r="340" spans="1:57" ht="19.5" x14ac:dyDescent="0.4">
      <c r="A340" s="117"/>
      <c r="B340" s="123"/>
      <c r="C340" s="123"/>
      <c r="D340" s="123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26"/>
      <c r="S340" s="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25"/>
      <c r="AD340" s="13"/>
      <c r="AI340" s="116"/>
      <c r="AJ340" s="123"/>
      <c r="AK340" s="123"/>
      <c r="AL340" s="123"/>
      <c r="AQ340" s="115"/>
      <c r="AR340" s="115"/>
      <c r="AS340" s="115"/>
      <c r="AT340" s="115"/>
      <c r="AU340" s="115"/>
      <c r="AV340" s="115"/>
      <c r="AW340" s="115"/>
      <c r="AX340" s="115"/>
      <c r="AY340" s="115"/>
      <c r="AZ340" s="115"/>
      <c r="BA340" s="25"/>
      <c r="BB340" s="13"/>
      <c r="BE340" s="114"/>
    </row>
    <row r="341" spans="1:57" ht="19.5" x14ac:dyDescent="0.4">
      <c r="A341" s="117"/>
      <c r="B341" s="123"/>
      <c r="C341" s="123"/>
      <c r="D341" s="123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7"/>
      <c r="S341" s="13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25"/>
      <c r="AD341" s="13"/>
      <c r="AI341" s="116"/>
      <c r="AJ341" s="123"/>
      <c r="AK341" s="123"/>
      <c r="AL341" s="123"/>
      <c r="AQ341" s="115"/>
      <c r="AR341" s="115"/>
      <c r="AS341" s="115"/>
      <c r="AT341" s="115"/>
      <c r="AU341" s="115"/>
      <c r="AV341" s="115"/>
      <c r="AW341" s="115"/>
      <c r="AX341" s="115"/>
      <c r="AY341" s="115"/>
      <c r="AZ341" s="115"/>
      <c r="BA341" s="25"/>
      <c r="BB341" s="13"/>
      <c r="BE341" s="114"/>
    </row>
    <row r="342" spans="1:57" ht="19.5" x14ac:dyDescent="0.4">
      <c r="A342" s="117"/>
      <c r="B342" s="123"/>
      <c r="C342" s="123"/>
      <c r="D342" s="123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7"/>
      <c r="S342" s="13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25"/>
      <c r="AD342" s="13"/>
      <c r="AI342" s="116"/>
      <c r="AJ342" s="123"/>
      <c r="AK342" s="123"/>
      <c r="AL342" s="123"/>
      <c r="AQ342" s="115"/>
      <c r="AR342" s="115"/>
      <c r="AS342" s="115"/>
      <c r="AT342" s="115"/>
      <c r="AU342" s="115"/>
      <c r="AV342" s="115"/>
      <c r="AW342" s="115"/>
      <c r="AX342" s="115"/>
      <c r="AY342" s="115"/>
      <c r="AZ342" s="115"/>
      <c r="BA342" s="25"/>
      <c r="BB342" s="13"/>
      <c r="BE342" s="114"/>
    </row>
    <row r="343" spans="1:57" ht="19.5" x14ac:dyDescent="0.4">
      <c r="A343" s="117"/>
      <c r="B343" s="123"/>
      <c r="C343" s="123"/>
      <c r="D343" s="123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26"/>
      <c r="S343" s="13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25"/>
      <c r="AD343" s="13"/>
      <c r="AI343" s="116"/>
      <c r="AJ343" s="123"/>
      <c r="AK343" s="123"/>
      <c r="AL343" s="123"/>
      <c r="AQ343" s="115"/>
      <c r="AR343" s="115"/>
      <c r="AS343" s="115"/>
      <c r="AT343" s="115"/>
      <c r="AU343" s="115"/>
      <c r="AV343" s="115"/>
      <c r="AW343" s="115"/>
      <c r="AX343" s="115"/>
      <c r="AY343" s="115"/>
      <c r="AZ343" s="115"/>
      <c r="BA343" s="25"/>
      <c r="BB343" s="13"/>
      <c r="BE343" s="114"/>
    </row>
    <row r="344" spans="1:57" ht="19.5" x14ac:dyDescent="0.4">
      <c r="A344" s="117"/>
      <c r="B344" s="123"/>
      <c r="C344" s="123"/>
      <c r="D344" s="123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26"/>
      <c r="S344" s="13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25"/>
      <c r="AD344" s="13"/>
      <c r="AI344" s="116"/>
      <c r="AJ344" s="123"/>
      <c r="AK344" s="123"/>
      <c r="AL344" s="123"/>
      <c r="AQ344" s="115"/>
      <c r="AR344" s="115"/>
      <c r="AS344" s="115"/>
      <c r="AT344" s="115"/>
      <c r="AU344" s="115"/>
      <c r="AV344" s="115"/>
      <c r="AW344" s="115"/>
      <c r="AX344" s="115"/>
      <c r="AY344" s="115"/>
      <c r="AZ344" s="115"/>
      <c r="BA344" s="25"/>
      <c r="BB344" s="13"/>
      <c r="BE344" s="114"/>
    </row>
    <row r="345" spans="1:57" ht="19.5" x14ac:dyDescent="0.4">
      <c r="A345" s="117"/>
      <c r="B345" s="123"/>
      <c r="C345" s="123"/>
      <c r="D345" s="123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26"/>
      <c r="S345" s="13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25"/>
      <c r="AD345" s="13"/>
      <c r="AI345" s="116"/>
      <c r="AJ345" s="123"/>
      <c r="AK345" s="123"/>
      <c r="AL345" s="123"/>
      <c r="AQ345" s="115"/>
      <c r="AR345" s="115"/>
      <c r="AS345" s="115"/>
      <c r="AT345" s="115"/>
      <c r="AU345" s="115"/>
      <c r="AV345" s="115"/>
      <c r="AW345" s="115"/>
      <c r="AX345" s="115"/>
      <c r="AY345" s="115"/>
      <c r="AZ345" s="115"/>
      <c r="BA345" s="25"/>
      <c r="BB345" s="13"/>
      <c r="BE345" s="114"/>
    </row>
    <row r="346" spans="1:57" ht="19.5" x14ac:dyDescent="0.4">
      <c r="A346" s="117"/>
      <c r="B346" s="123"/>
      <c r="C346" s="123"/>
      <c r="D346" s="123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26"/>
      <c r="S346" s="13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25"/>
      <c r="AD346" s="13"/>
      <c r="AI346" s="116"/>
      <c r="AJ346" s="123"/>
      <c r="AK346" s="123"/>
      <c r="AL346" s="123"/>
      <c r="AQ346" s="115"/>
      <c r="AR346" s="115"/>
      <c r="AS346" s="115"/>
      <c r="AT346" s="115"/>
      <c r="AU346" s="115"/>
      <c r="AV346" s="115"/>
      <c r="AW346" s="115"/>
      <c r="AX346" s="115"/>
      <c r="AY346" s="115"/>
      <c r="AZ346" s="115"/>
      <c r="BA346" s="25"/>
      <c r="BB346" s="13"/>
      <c r="BE346" s="114"/>
    </row>
    <row r="347" spans="1:57" ht="19.5" x14ac:dyDescent="0.4">
      <c r="A347" s="117"/>
      <c r="B347" s="123"/>
      <c r="C347" s="123"/>
      <c r="D347" s="123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26"/>
      <c r="S347" s="13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25">
        <v>45680</v>
      </c>
      <c r="AD347" s="13" t="s">
        <v>146</v>
      </c>
      <c r="AI347" s="116"/>
      <c r="AJ347" s="123"/>
      <c r="AK347" s="123"/>
      <c r="AL347" s="123"/>
      <c r="AQ347" s="115"/>
      <c r="AR347" s="115"/>
      <c r="AS347" s="115"/>
      <c r="AT347" s="115"/>
      <c r="AU347" s="115"/>
      <c r="AV347" s="115"/>
      <c r="AW347" s="115"/>
      <c r="AX347" s="115"/>
      <c r="AY347" s="115"/>
      <c r="AZ347" s="115"/>
      <c r="BA347" s="25"/>
      <c r="BB347" s="13"/>
      <c r="BE347" s="114"/>
    </row>
    <row r="348" spans="1:57" ht="19.5" x14ac:dyDescent="0.4">
      <c r="A348" s="117"/>
      <c r="B348" s="123"/>
      <c r="C348" s="123"/>
      <c r="D348" s="123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7"/>
      <c r="S348" s="13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25"/>
      <c r="AD348" s="13"/>
      <c r="AI348" s="116"/>
      <c r="AJ348" s="123"/>
      <c r="AK348" s="123"/>
      <c r="AL348" s="123"/>
      <c r="AQ348" s="115"/>
      <c r="AR348" s="115"/>
      <c r="AS348" s="115"/>
      <c r="AT348" s="115"/>
      <c r="AU348" s="115"/>
      <c r="AV348" s="115"/>
      <c r="AW348" s="115"/>
      <c r="AX348" s="115"/>
      <c r="AY348" s="115"/>
      <c r="AZ348" s="115"/>
      <c r="BA348" s="25"/>
      <c r="BB348" s="13"/>
      <c r="BE348" s="114"/>
    </row>
    <row r="349" spans="1:57" ht="19.5" x14ac:dyDescent="0.4">
      <c r="A349" s="117"/>
      <c r="B349" s="123"/>
      <c r="C349" s="123"/>
      <c r="D349" s="123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26"/>
      <c r="S349" s="13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25">
        <v>45680</v>
      </c>
      <c r="AD349" s="13" t="s">
        <v>147</v>
      </c>
      <c r="AI349" s="116"/>
      <c r="AJ349" s="123"/>
      <c r="AK349" s="123"/>
      <c r="AL349" s="123"/>
      <c r="AQ349" s="115"/>
      <c r="AR349" s="115"/>
      <c r="AS349" s="115"/>
      <c r="AT349" s="115"/>
      <c r="AU349" s="115"/>
      <c r="AV349" s="115"/>
      <c r="AW349" s="115"/>
      <c r="AX349" s="115"/>
      <c r="AY349" s="115"/>
      <c r="AZ349" s="115"/>
      <c r="BA349" s="25"/>
      <c r="BB349" s="13"/>
      <c r="BE349" s="114"/>
    </row>
    <row r="350" spans="1:57" ht="19.5" x14ac:dyDescent="0.4">
      <c r="A350" s="117"/>
      <c r="B350" s="123"/>
      <c r="C350" s="123"/>
      <c r="D350" s="123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26"/>
      <c r="S350" s="13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25">
        <v>45680</v>
      </c>
      <c r="AD350" s="13" t="s">
        <v>146</v>
      </c>
      <c r="AI350" s="116"/>
      <c r="AJ350" s="123"/>
      <c r="AK350" s="123"/>
      <c r="AL350" s="123"/>
      <c r="AQ350" s="115"/>
      <c r="AR350" s="115"/>
      <c r="AS350" s="115"/>
      <c r="AT350" s="115"/>
      <c r="AU350" s="115"/>
      <c r="AV350" s="115"/>
      <c r="AW350" s="115"/>
      <c r="AX350" s="115"/>
      <c r="AY350" s="115"/>
      <c r="AZ350" s="115"/>
      <c r="BA350" s="25"/>
      <c r="BB350" s="13"/>
      <c r="BE350" s="114"/>
    </row>
    <row r="351" spans="1:57" ht="19.5" x14ac:dyDescent="0.4">
      <c r="A351" s="117"/>
      <c r="B351" s="123"/>
      <c r="C351" s="123"/>
      <c r="D351" s="123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7"/>
      <c r="S351" s="13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25"/>
      <c r="AD351" s="13"/>
      <c r="AI351" s="116"/>
      <c r="AJ351" s="123"/>
      <c r="AK351" s="123"/>
      <c r="AL351" s="123"/>
      <c r="AQ351" s="115"/>
      <c r="AR351" s="115"/>
      <c r="AS351" s="115"/>
      <c r="AT351" s="115"/>
      <c r="AU351" s="115"/>
      <c r="AV351" s="115"/>
      <c r="AW351" s="115"/>
      <c r="AX351" s="115"/>
      <c r="AY351" s="115"/>
      <c r="AZ351" s="115"/>
      <c r="BA351" s="25"/>
      <c r="BB351" s="13"/>
      <c r="BE351" s="114"/>
    </row>
    <row r="352" spans="1:57" ht="19.5" x14ac:dyDescent="0.4">
      <c r="A352" s="117"/>
      <c r="B352" s="123"/>
      <c r="C352" s="123"/>
      <c r="D352" s="123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26"/>
      <c r="S352" s="13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25"/>
      <c r="AD352" s="13"/>
      <c r="AI352" s="116"/>
      <c r="AJ352" s="123"/>
      <c r="AK352" s="123"/>
      <c r="AL352" s="123"/>
      <c r="AQ352" s="115"/>
      <c r="AR352" s="115"/>
      <c r="AS352" s="115"/>
      <c r="AT352" s="115"/>
      <c r="AU352" s="115"/>
      <c r="AV352" s="115"/>
      <c r="AW352" s="115"/>
      <c r="AX352" s="115"/>
      <c r="AY352" s="115"/>
      <c r="AZ352" s="115"/>
      <c r="BA352" s="25"/>
      <c r="BB352" s="13"/>
      <c r="BE352" s="114"/>
    </row>
    <row r="353" spans="1:57" ht="19.5" x14ac:dyDescent="0.4">
      <c r="A353" s="117"/>
      <c r="B353" s="123"/>
      <c r="C353" s="123"/>
      <c r="D353" s="123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7"/>
      <c r="S353" s="13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25"/>
      <c r="AD353" s="13"/>
      <c r="AI353" s="116"/>
      <c r="AJ353" s="123"/>
      <c r="AK353" s="123"/>
      <c r="AL353" s="123"/>
      <c r="AQ353" s="115"/>
      <c r="AR353" s="115"/>
      <c r="AS353" s="115"/>
      <c r="AT353" s="115"/>
      <c r="AU353" s="115"/>
      <c r="AV353" s="115"/>
      <c r="AW353" s="115"/>
      <c r="AX353" s="115"/>
      <c r="AY353" s="115"/>
      <c r="AZ353" s="115"/>
      <c r="BA353" s="25"/>
      <c r="BB353" s="13"/>
      <c r="BE353" s="114"/>
    </row>
    <row r="354" spans="1:57" ht="19.5" x14ac:dyDescent="0.4">
      <c r="A354" s="117"/>
      <c r="B354" s="123"/>
      <c r="C354" s="123"/>
      <c r="D354" s="123"/>
      <c r="R354" s="26"/>
      <c r="S354" s="13"/>
      <c r="AC354" s="25">
        <v>45680</v>
      </c>
      <c r="AD354" s="13" t="s">
        <v>146</v>
      </c>
      <c r="AI354" s="117"/>
      <c r="AJ354" s="123"/>
      <c r="AK354" s="123"/>
      <c r="AL354" s="123"/>
      <c r="AQ354" s="115"/>
      <c r="AR354" s="115"/>
      <c r="AS354" s="115"/>
      <c r="AT354" s="115"/>
      <c r="AU354" s="115"/>
      <c r="AV354" s="115"/>
      <c r="AW354" s="115"/>
      <c r="AX354" s="115"/>
      <c r="AY354" s="115"/>
      <c r="AZ354" s="115" t="s">
        <v>149</v>
      </c>
      <c r="BA354" s="13">
        <f>SUBTOTAL(3,BA2:BA2)</f>
        <v>1</v>
      </c>
      <c r="BB354" s="13">
        <f>SUBTOTAL(3,BB2:BB2)</f>
        <v>1</v>
      </c>
      <c r="BE354" s="114"/>
    </row>
    <row r="355" spans="1:57" ht="19.5" x14ac:dyDescent="0.4">
      <c r="A355" s="117"/>
      <c r="B355" s="123"/>
      <c r="C355" s="123"/>
      <c r="D355" s="123"/>
      <c r="J355" s="115"/>
      <c r="K355" s="115"/>
      <c r="L355" s="115"/>
      <c r="M355" s="115"/>
      <c r="N355" s="115"/>
      <c r="O355" s="115"/>
      <c r="P355" s="115"/>
      <c r="Q355" s="115"/>
      <c r="R355" s="17"/>
      <c r="S355" s="13"/>
      <c r="AC355" s="25"/>
      <c r="AD355" s="13"/>
      <c r="AI355" s="117"/>
      <c r="AJ355" s="123"/>
      <c r="AK355" s="123"/>
      <c r="AL355" s="123"/>
      <c r="AQ355" s="115"/>
      <c r="AR355" s="115"/>
      <c r="AS355" s="115"/>
      <c r="AT355" s="115"/>
      <c r="AU355" s="115"/>
      <c r="AV355" s="115"/>
      <c r="AW355" s="115"/>
      <c r="AX355" s="115"/>
      <c r="AY355" s="115"/>
      <c r="AZ355" s="115"/>
      <c r="BA355" s="13"/>
      <c r="BB355" s="13"/>
      <c r="BE355" s="114"/>
    </row>
    <row r="356" spans="1:57" ht="19.5" x14ac:dyDescent="0.4">
      <c r="A356" s="117"/>
      <c r="B356" s="123"/>
      <c r="C356" s="123"/>
      <c r="D356" s="123"/>
      <c r="R356" s="26"/>
      <c r="S356" s="13"/>
      <c r="AC356" s="25"/>
      <c r="AD356" s="13"/>
      <c r="AI356" s="117"/>
      <c r="AJ356" s="123"/>
      <c r="AK356" s="123"/>
      <c r="AL356" s="123"/>
      <c r="AQ356" s="115"/>
      <c r="AR356" s="115"/>
      <c r="AS356" s="115"/>
      <c r="AT356" s="115"/>
      <c r="AU356" s="115"/>
      <c r="AV356" s="115"/>
      <c r="AW356" s="115"/>
      <c r="AX356" s="115"/>
      <c r="AY356" s="115"/>
      <c r="AZ356" s="115"/>
      <c r="BA356" s="13"/>
      <c r="BB356" s="13"/>
      <c r="BE356" s="114"/>
    </row>
    <row r="357" spans="1:57" ht="19.5" x14ac:dyDescent="0.4">
      <c r="A357" s="117"/>
      <c r="B357" s="123"/>
      <c r="C357" s="123"/>
      <c r="D357" s="123"/>
      <c r="R357" s="26"/>
      <c r="S357" s="13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25">
        <v>45682</v>
      </c>
      <c r="AD357" s="13" t="s">
        <v>147</v>
      </c>
      <c r="AI357" s="117"/>
      <c r="AJ357" s="123"/>
      <c r="AK357" s="123"/>
      <c r="AL357" s="123"/>
      <c r="AQ357" s="115"/>
      <c r="AR357" s="115"/>
      <c r="AS357" s="115"/>
      <c r="AT357" s="115"/>
      <c r="AU357" s="115"/>
      <c r="AV357" s="115"/>
      <c r="AW357" s="115"/>
      <c r="AX357" s="115"/>
      <c r="AY357" s="115"/>
      <c r="AZ357" s="115"/>
      <c r="BA357" s="13"/>
      <c r="BB357" s="13"/>
      <c r="BE357" s="114"/>
    </row>
    <row r="358" spans="1:57" ht="19.5" x14ac:dyDescent="0.4">
      <c r="A358" s="117"/>
      <c r="B358" s="123"/>
      <c r="C358" s="123"/>
      <c r="D358" s="123"/>
      <c r="R358" s="26"/>
      <c r="S358" s="13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25">
        <v>45682</v>
      </c>
      <c r="AD358" s="13" t="s">
        <v>146</v>
      </c>
      <c r="AI358" s="117"/>
      <c r="AJ358" s="123"/>
      <c r="AK358" s="123"/>
      <c r="AL358" s="123"/>
      <c r="AQ358" s="115"/>
      <c r="AR358" s="115"/>
      <c r="AS358" s="115"/>
      <c r="AT358" s="115"/>
      <c r="AU358" s="115"/>
      <c r="AV358" s="115"/>
      <c r="AW358" s="115"/>
      <c r="AX358" s="115"/>
      <c r="AY358" s="115"/>
      <c r="AZ358" s="115"/>
      <c r="BA358" s="13"/>
      <c r="BB358" s="13"/>
      <c r="BE358" s="114"/>
    </row>
    <row r="359" spans="1:57" ht="19.5" x14ac:dyDescent="0.4">
      <c r="A359" s="117"/>
      <c r="B359" s="123"/>
      <c r="C359" s="123"/>
      <c r="D359" s="123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26"/>
      <c r="S359" s="13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25"/>
      <c r="AD359" s="13"/>
      <c r="AI359" s="117"/>
      <c r="AJ359" s="123"/>
      <c r="AK359" s="123"/>
      <c r="AL359" s="123"/>
      <c r="AQ359" s="115"/>
      <c r="AR359" s="115"/>
      <c r="AS359" s="115"/>
      <c r="AT359" s="115"/>
      <c r="AU359" s="115"/>
      <c r="AV359" s="115"/>
      <c r="AW359" s="115"/>
      <c r="AX359" s="115"/>
      <c r="AY359" s="115"/>
      <c r="AZ359" s="115"/>
      <c r="BA359" s="13"/>
      <c r="BB359" s="13"/>
      <c r="BE359" s="114"/>
    </row>
    <row r="360" spans="1:57" ht="19.5" x14ac:dyDescent="0.4">
      <c r="A360" s="117"/>
      <c r="B360" s="123"/>
      <c r="C360" s="123"/>
      <c r="D360" s="123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26"/>
      <c r="S360" s="13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25"/>
      <c r="AD360" s="13"/>
      <c r="AI360" s="117"/>
      <c r="AJ360" s="123"/>
      <c r="AK360" s="123"/>
      <c r="AL360" s="123"/>
      <c r="AQ360" s="115"/>
      <c r="AR360" s="115"/>
      <c r="AS360" s="115"/>
      <c r="AT360" s="115"/>
      <c r="AU360" s="115"/>
      <c r="AV360" s="115"/>
      <c r="AW360" s="115"/>
      <c r="AX360" s="115"/>
      <c r="AY360" s="115"/>
      <c r="AZ360" s="115"/>
      <c r="BA360" s="13"/>
      <c r="BB360" s="13"/>
      <c r="BE360" s="114"/>
    </row>
    <row r="361" spans="1:57" ht="19.5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7"/>
      <c r="S361" s="13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25"/>
      <c r="AD361" s="13"/>
      <c r="AI361" s="117"/>
      <c r="AJ361" s="123"/>
      <c r="AK361" s="123"/>
      <c r="AL361" s="123"/>
      <c r="AQ361" s="115"/>
      <c r="AR361" s="115"/>
      <c r="AS361" s="115"/>
      <c r="AT361" s="115"/>
      <c r="AU361" s="115"/>
      <c r="AV361" s="115"/>
      <c r="AW361" s="115"/>
      <c r="AX361" s="115"/>
      <c r="AY361" s="115"/>
      <c r="AZ361" s="115"/>
      <c r="BA361" s="13"/>
      <c r="BB361" s="13"/>
      <c r="BE361" s="114"/>
    </row>
    <row r="362" spans="1:57" ht="19.5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26"/>
      <c r="S362" s="13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25"/>
      <c r="AD362" s="13"/>
      <c r="AI362" s="117"/>
      <c r="AJ362" s="123"/>
      <c r="AK362" s="123"/>
      <c r="AL362" s="123"/>
      <c r="AQ362" s="115"/>
      <c r="AR362" s="115"/>
      <c r="AS362" s="115"/>
      <c r="AT362" s="115"/>
      <c r="AU362" s="115"/>
      <c r="AV362" s="115"/>
      <c r="AW362" s="115"/>
      <c r="AX362" s="115"/>
      <c r="AY362" s="115"/>
      <c r="AZ362" s="115"/>
      <c r="BA362" s="13"/>
      <c r="BB362" s="13"/>
      <c r="BE362" s="114"/>
    </row>
    <row r="363" spans="1:57" ht="19.5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7"/>
      <c r="S363" s="13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25"/>
      <c r="AD363" s="13"/>
      <c r="AI363" s="117"/>
      <c r="AJ363" s="123"/>
      <c r="AK363" s="123"/>
      <c r="AL363" s="123"/>
      <c r="AQ363" s="115"/>
      <c r="AR363" s="115"/>
      <c r="AS363" s="115"/>
      <c r="AT363" s="115"/>
      <c r="AU363" s="115"/>
      <c r="AV363" s="115"/>
      <c r="AW363" s="115"/>
      <c r="AX363" s="115"/>
      <c r="AY363" s="115"/>
      <c r="AZ363" s="115"/>
      <c r="BA363" s="13"/>
      <c r="BB363" s="13"/>
      <c r="BE363" s="114"/>
    </row>
    <row r="364" spans="1:57" ht="19.5" x14ac:dyDescent="0.4">
      <c r="A364" s="117"/>
      <c r="B364" s="123"/>
      <c r="C364" s="123"/>
      <c r="D364" s="123"/>
      <c r="R364" s="26"/>
      <c r="S364" s="13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25">
        <v>45682</v>
      </c>
      <c r="AD364" s="13" t="s">
        <v>147</v>
      </c>
      <c r="AI364" s="117"/>
      <c r="AJ364" s="123"/>
      <c r="AK364" s="123"/>
      <c r="AL364" s="123"/>
      <c r="AQ364" s="115"/>
      <c r="AR364" s="115"/>
      <c r="AS364" s="115"/>
      <c r="AT364" s="115"/>
      <c r="AU364" s="115"/>
      <c r="AV364" s="115"/>
      <c r="AW364" s="115"/>
      <c r="AX364" s="115"/>
      <c r="AY364" s="115"/>
      <c r="AZ364" s="115"/>
      <c r="BA364" s="13"/>
      <c r="BB364" s="13"/>
      <c r="BE364" s="114"/>
    </row>
    <row r="365" spans="1:57" ht="19.5" x14ac:dyDescent="0.4">
      <c r="A365" s="117"/>
      <c r="B365" s="123"/>
      <c r="C365" s="123"/>
      <c r="D365" s="123"/>
      <c r="J365" s="115"/>
      <c r="K365" s="115"/>
      <c r="L365" s="115"/>
      <c r="M365" s="115"/>
      <c r="N365" s="115"/>
      <c r="O365" s="115"/>
      <c r="P365" s="115"/>
      <c r="Q365" s="115"/>
      <c r="R365" s="17"/>
      <c r="S365" s="13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25"/>
      <c r="AD365" s="13"/>
      <c r="AI365" s="117"/>
      <c r="AJ365" s="123"/>
      <c r="AK365" s="123"/>
      <c r="AL365" s="123"/>
      <c r="AQ365" s="115"/>
      <c r="AR365" s="115"/>
      <c r="AS365" s="115"/>
      <c r="AT365" s="115"/>
      <c r="AU365" s="115"/>
      <c r="AV365" s="115"/>
      <c r="AW365" s="115"/>
      <c r="AX365" s="115"/>
      <c r="AY365" s="115"/>
      <c r="AZ365" s="115"/>
      <c r="BA365" s="13"/>
      <c r="BB365" s="13"/>
      <c r="BE365" s="114"/>
    </row>
    <row r="366" spans="1:57" ht="19.5" x14ac:dyDescent="0.4">
      <c r="A366" s="117"/>
      <c r="B366" s="123"/>
      <c r="C366" s="123"/>
      <c r="D366" s="123"/>
      <c r="J366" s="115"/>
      <c r="K366" s="115"/>
      <c r="L366" s="115"/>
      <c r="M366" s="115"/>
      <c r="N366" s="115"/>
      <c r="O366" s="115"/>
      <c r="P366" s="115"/>
      <c r="Q366" s="115"/>
      <c r="R366" s="17"/>
      <c r="S366" s="13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25"/>
      <c r="AD366" s="13"/>
      <c r="AI366" s="117"/>
      <c r="AJ366" s="123"/>
      <c r="AK366" s="123"/>
      <c r="AL366" s="123"/>
      <c r="AQ366" s="115"/>
      <c r="AR366" s="115"/>
      <c r="AS366" s="115"/>
      <c r="AT366" s="115"/>
      <c r="AU366" s="115"/>
      <c r="AV366" s="115"/>
      <c r="AW366" s="115"/>
      <c r="AX366" s="115"/>
      <c r="AY366" s="115"/>
      <c r="AZ366" s="115"/>
      <c r="BA366" s="13"/>
      <c r="BB366" s="13"/>
      <c r="BE366" s="114"/>
    </row>
    <row r="367" spans="1:57" ht="19.5" x14ac:dyDescent="0.4">
      <c r="A367" s="117"/>
      <c r="B367" s="123"/>
      <c r="C367" s="123"/>
      <c r="D367" s="123"/>
      <c r="R367" s="129"/>
      <c r="S367" s="13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25"/>
      <c r="AD367" s="13"/>
      <c r="AI367" s="117"/>
      <c r="AJ367" s="123"/>
      <c r="AK367" s="123"/>
      <c r="AL367" s="123"/>
      <c r="AQ367" s="115"/>
      <c r="AR367" s="115"/>
      <c r="AS367" s="115"/>
      <c r="AT367" s="115"/>
      <c r="AU367" s="115"/>
      <c r="AV367" s="115"/>
      <c r="AW367" s="115"/>
      <c r="AX367" s="115"/>
      <c r="AY367" s="115"/>
      <c r="AZ367" s="115"/>
      <c r="BA367" s="13"/>
      <c r="BB367" s="13"/>
      <c r="BE367" s="114"/>
    </row>
    <row r="368" spans="1:57" ht="19.5" x14ac:dyDescent="0.4">
      <c r="A368" s="117"/>
      <c r="B368" s="123"/>
      <c r="C368" s="123"/>
      <c r="D368" s="123"/>
      <c r="R368" s="26"/>
      <c r="S368" s="13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25"/>
      <c r="AD368" s="13"/>
      <c r="AI368" s="117"/>
      <c r="AJ368" s="123"/>
      <c r="AK368" s="123"/>
      <c r="AL368" s="123"/>
      <c r="AQ368" s="115"/>
      <c r="AR368" s="115"/>
      <c r="AS368" s="115"/>
      <c r="AT368" s="115"/>
      <c r="AU368" s="115"/>
      <c r="AV368" s="115"/>
      <c r="AW368" s="115"/>
      <c r="AX368" s="115"/>
      <c r="AY368" s="115"/>
      <c r="AZ368" s="115"/>
      <c r="BA368" s="13"/>
      <c r="BB368" s="13"/>
      <c r="BE368" s="114"/>
    </row>
    <row r="369" spans="1:57" ht="19.5" x14ac:dyDescent="0.4">
      <c r="A369" s="117"/>
      <c r="B369" s="123"/>
      <c r="C369" s="123"/>
      <c r="D369" s="123"/>
      <c r="R369" s="26"/>
      <c r="S369" s="13"/>
      <c r="AC369" s="25">
        <v>45682</v>
      </c>
      <c r="AD369" s="15" t="s">
        <v>146</v>
      </c>
      <c r="AI369" s="117"/>
      <c r="AJ369" s="123"/>
      <c r="AK369" s="123"/>
      <c r="AL369" s="123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3"/>
      <c r="BB369" s="13"/>
      <c r="BE369" s="114"/>
    </row>
    <row r="370" spans="1:57" ht="19.5" x14ac:dyDescent="0.4">
      <c r="A370" s="117"/>
      <c r="B370" s="123"/>
      <c r="C370" s="123"/>
      <c r="D370" s="123"/>
      <c r="R370" s="129"/>
      <c r="S370" s="13"/>
      <c r="AC370" s="25"/>
      <c r="AD370" s="15"/>
      <c r="AI370" s="117"/>
      <c r="AJ370" s="123"/>
      <c r="AK370" s="123"/>
      <c r="AL370" s="123"/>
      <c r="AQ370" s="115"/>
      <c r="AR370" s="115"/>
      <c r="AS370" s="115"/>
      <c r="AT370" s="115"/>
      <c r="AU370" s="115"/>
      <c r="AV370" s="115"/>
      <c r="AW370" s="115"/>
      <c r="AX370" s="115"/>
      <c r="AY370" s="115"/>
      <c r="AZ370" s="115"/>
      <c r="BA370" s="13"/>
      <c r="BB370" s="13"/>
      <c r="BE370" s="114"/>
    </row>
    <row r="371" spans="1:57" ht="19.5" x14ac:dyDescent="0.4">
      <c r="A371" s="117"/>
      <c r="B371" s="123"/>
      <c r="C371" s="123"/>
      <c r="D371" s="123"/>
      <c r="R371" s="26"/>
      <c r="S371" s="13"/>
      <c r="AC371" s="25"/>
      <c r="AD371" s="15"/>
      <c r="AI371" s="117"/>
      <c r="AJ371" s="123"/>
      <c r="AK371" s="123"/>
      <c r="AL371" s="123"/>
      <c r="AQ371" s="115"/>
      <c r="AR371" s="115"/>
      <c r="AS371" s="115"/>
      <c r="AT371" s="115"/>
      <c r="AU371" s="115"/>
      <c r="AV371" s="115"/>
      <c r="AW371" s="115"/>
      <c r="AX371" s="115"/>
      <c r="AY371" s="115"/>
      <c r="AZ371" s="115"/>
      <c r="BA371" s="13"/>
      <c r="BB371" s="13"/>
      <c r="BE371" s="114"/>
    </row>
    <row r="372" spans="1:57" ht="19.5" x14ac:dyDescent="0.4">
      <c r="A372" s="117"/>
      <c r="B372" s="123"/>
      <c r="C372" s="123"/>
      <c r="D372" s="123"/>
      <c r="I372" s="115"/>
      <c r="J372" s="115"/>
      <c r="K372" s="115"/>
      <c r="L372" s="115"/>
      <c r="M372" s="115"/>
      <c r="N372" s="115"/>
      <c r="O372" s="115"/>
      <c r="P372" s="115"/>
      <c r="Q372" s="115"/>
      <c r="R372" s="26"/>
      <c r="S372" s="13"/>
      <c r="AC372" s="25"/>
      <c r="AD372" s="15"/>
      <c r="AI372" s="117"/>
      <c r="AJ372" s="123"/>
      <c r="AK372" s="123"/>
      <c r="AL372" s="123"/>
      <c r="AQ372" s="115"/>
      <c r="AR372" s="115"/>
      <c r="AS372" s="115"/>
      <c r="AT372" s="115"/>
      <c r="AU372" s="115"/>
      <c r="AV372" s="115"/>
      <c r="AW372" s="115"/>
      <c r="AX372" s="115"/>
      <c r="AY372" s="115"/>
      <c r="AZ372" s="115"/>
      <c r="BA372" s="13"/>
      <c r="BB372" s="13"/>
      <c r="BE372" s="114"/>
    </row>
    <row r="373" spans="1:57" ht="19.5" x14ac:dyDescent="0.4">
      <c r="A373" s="117"/>
      <c r="B373" s="123"/>
      <c r="C373" s="123"/>
      <c r="D373" s="123"/>
      <c r="R373" s="26"/>
      <c r="S373" s="13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25">
        <v>45682</v>
      </c>
      <c r="AD373" s="15" t="s">
        <v>146</v>
      </c>
      <c r="AI373" s="117"/>
      <c r="AJ373" s="123"/>
      <c r="AK373" s="123"/>
      <c r="AL373" s="123"/>
      <c r="AQ373" s="115"/>
      <c r="AR373" s="115"/>
      <c r="AS373" s="115"/>
      <c r="AT373" s="115"/>
      <c r="AU373" s="115"/>
      <c r="AV373" s="115"/>
      <c r="AW373" s="115"/>
      <c r="AX373" s="115"/>
      <c r="AY373" s="115"/>
      <c r="AZ373" s="115"/>
      <c r="BA373" s="13"/>
      <c r="BB373" s="13"/>
      <c r="BE373" s="114"/>
    </row>
    <row r="374" spans="1:57" ht="19.5" x14ac:dyDescent="0.4">
      <c r="A374" s="117"/>
      <c r="B374" s="123"/>
      <c r="C374" s="123"/>
      <c r="D374" s="123"/>
      <c r="R374" s="129"/>
      <c r="S374" s="13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25"/>
      <c r="AD374" s="15"/>
      <c r="AI374" s="117"/>
      <c r="AJ374" s="123"/>
      <c r="AK374" s="123"/>
      <c r="AL374" s="123"/>
      <c r="AQ374" s="115"/>
      <c r="AR374" s="115"/>
      <c r="AS374" s="115"/>
      <c r="AT374" s="115"/>
      <c r="AU374" s="115"/>
      <c r="AV374" s="115"/>
      <c r="AW374" s="115"/>
      <c r="AX374" s="115"/>
      <c r="AY374" s="115"/>
      <c r="AZ374" s="115"/>
      <c r="BA374" s="13"/>
      <c r="BB374" s="13"/>
      <c r="BE374" s="114"/>
    </row>
    <row r="375" spans="1:57" ht="19.5" x14ac:dyDescent="0.4">
      <c r="A375" s="117"/>
      <c r="B375" s="123"/>
      <c r="C375" s="123"/>
      <c r="D375" s="123"/>
      <c r="R375" s="26"/>
      <c r="S375" s="13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25">
        <v>45682</v>
      </c>
      <c r="AD375" s="15" t="s">
        <v>148</v>
      </c>
      <c r="AI375" s="117"/>
      <c r="AJ375" s="123"/>
      <c r="AK375" s="123"/>
      <c r="AL375" s="123"/>
      <c r="AQ375" s="115"/>
      <c r="AR375" s="115"/>
      <c r="AS375" s="115"/>
      <c r="AT375" s="115"/>
      <c r="AU375" s="115"/>
      <c r="AV375" s="115"/>
      <c r="AW375" s="115"/>
      <c r="AX375" s="115"/>
      <c r="AY375" s="115"/>
      <c r="AZ375" s="115"/>
      <c r="BA375" s="13"/>
      <c r="BB375" s="13"/>
      <c r="BE375" s="114"/>
    </row>
    <row r="376" spans="1:57" ht="19.5" x14ac:dyDescent="0.4">
      <c r="A376" s="117"/>
      <c r="B376" s="123"/>
      <c r="C376" s="123"/>
      <c r="D376" s="123"/>
      <c r="R376" s="26"/>
      <c r="S376" s="13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25">
        <v>45682</v>
      </c>
      <c r="AD376" s="15" t="s">
        <v>146</v>
      </c>
      <c r="AI376" s="117"/>
      <c r="AJ376" s="123"/>
      <c r="AK376" s="123"/>
      <c r="AL376" s="123"/>
      <c r="AQ376" s="115"/>
      <c r="AR376" s="115"/>
      <c r="AS376" s="115"/>
      <c r="AT376" s="115"/>
      <c r="AU376" s="115"/>
      <c r="AV376" s="115"/>
      <c r="AW376" s="115"/>
      <c r="AX376" s="115"/>
      <c r="AY376" s="115"/>
      <c r="AZ376" s="115"/>
      <c r="BA376" s="13"/>
      <c r="BB376" s="13"/>
      <c r="BE376" s="114"/>
    </row>
    <row r="377" spans="1:57" ht="19.5" x14ac:dyDescent="0.4">
      <c r="A377" s="117"/>
      <c r="B377" s="123"/>
      <c r="C377" s="123"/>
      <c r="D377" s="123"/>
      <c r="R377" s="26"/>
      <c r="S377" s="13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25">
        <v>45682</v>
      </c>
      <c r="AD377" s="15" t="s">
        <v>148</v>
      </c>
      <c r="AI377" s="117"/>
      <c r="AJ377" s="123"/>
      <c r="AK377" s="123"/>
      <c r="AL377" s="123"/>
      <c r="AQ377" s="115"/>
      <c r="AR377" s="115"/>
      <c r="AS377" s="115"/>
      <c r="AT377" s="115"/>
      <c r="AU377" s="115"/>
      <c r="AV377" s="115"/>
      <c r="AW377" s="115"/>
      <c r="AX377" s="115"/>
      <c r="AY377" s="115"/>
      <c r="AZ377" s="115"/>
      <c r="BA377" s="13"/>
      <c r="BB377" s="13"/>
      <c r="BE377" s="114"/>
    </row>
    <row r="378" spans="1:57" ht="19.5" x14ac:dyDescent="0.4">
      <c r="A378" s="117"/>
      <c r="B378" s="123"/>
      <c r="C378" s="123"/>
      <c r="D378" s="123"/>
      <c r="I378" s="115"/>
      <c r="J378" s="115"/>
      <c r="K378" s="115"/>
      <c r="L378" s="115"/>
      <c r="M378" s="115"/>
      <c r="N378" s="115"/>
      <c r="O378" s="115"/>
      <c r="P378" s="115"/>
      <c r="Q378" s="115"/>
      <c r="R378" s="26"/>
      <c r="S378" s="13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25"/>
      <c r="AD378" s="15"/>
      <c r="AI378" s="117"/>
      <c r="AJ378" s="123"/>
      <c r="AK378" s="123"/>
      <c r="AL378" s="123"/>
      <c r="AQ378" s="115"/>
      <c r="AR378" s="115"/>
      <c r="AS378" s="115"/>
      <c r="AT378" s="115"/>
      <c r="AU378" s="115"/>
      <c r="AV378" s="115"/>
      <c r="AW378" s="115"/>
      <c r="AX378" s="115"/>
      <c r="AY378" s="115"/>
      <c r="AZ378" s="115"/>
      <c r="BA378" s="13"/>
      <c r="BB378" s="13"/>
      <c r="BE378" s="114"/>
    </row>
    <row r="379" spans="1:57" ht="19.5" x14ac:dyDescent="0.4">
      <c r="A379" s="117"/>
      <c r="B379" s="123"/>
      <c r="C379" s="123"/>
      <c r="D379" s="123"/>
      <c r="R379" s="26"/>
      <c r="S379" s="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25">
        <v>45682</v>
      </c>
      <c r="AD379" s="15" t="s">
        <v>148</v>
      </c>
      <c r="AI379" s="117"/>
      <c r="AJ379" s="123"/>
      <c r="AK379" s="123"/>
      <c r="AL379" s="123"/>
      <c r="AQ379" s="115"/>
      <c r="AR379" s="115"/>
      <c r="AS379" s="115"/>
      <c r="AT379" s="115"/>
      <c r="AU379" s="115"/>
      <c r="AV379" s="115"/>
      <c r="AW379" s="115"/>
      <c r="AX379" s="115"/>
      <c r="AY379" s="115"/>
      <c r="AZ379" s="115"/>
      <c r="BA379" s="13"/>
      <c r="BB379" s="13"/>
      <c r="BE379" s="114"/>
    </row>
    <row r="380" spans="1:57" ht="19.5" x14ac:dyDescent="0.4">
      <c r="A380" s="117"/>
      <c r="B380" s="123"/>
      <c r="C380" s="123"/>
      <c r="D380" s="123"/>
      <c r="R380" s="26"/>
      <c r="S380" s="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25">
        <v>45682</v>
      </c>
      <c r="AD380" s="105" t="s">
        <v>148</v>
      </c>
      <c r="AI380" s="117"/>
      <c r="AJ380" s="123"/>
      <c r="AK380" s="123"/>
      <c r="AL380" s="123"/>
      <c r="AQ380" s="115"/>
      <c r="AR380" s="115"/>
      <c r="AS380" s="115"/>
      <c r="AT380" s="115"/>
      <c r="AU380" s="115"/>
      <c r="AV380" s="115"/>
      <c r="AW380" s="115"/>
      <c r="AX380" s="115"/>
      <c r="AY380" s="115"/>
      <c r="AZ380" s="115"/>
      <c r="BA380" s="13"/>
      <c r="BB380" s="13"/>
      <c r="BE380" s="114"/>
    </row>
    <row r="381" spans="1:57" ht="19.5" x14ac:dyDescent="0.4">
      <c r="A381" s="117"/>
      <c r="B381" s="123"/>
      <c r="C381" s="123"/>
      <c r="D381" s="123"/>
      <c r="R381" s="26"/>
      <c r="S381" s="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25">
        <v>45682</v>
      </c>
      <c r="AD381" s="105" t="s">
        <v>146</v>
      </c>
      <c r="AI381" s="117"/>
      <c r="AJ381" s="123"/>
      <c r="AK381" s="123"/>
      <c r="AL381" s="123"/>
      <c r="AQ381" s="115"/>
      <c r="AR381" s="115"/>
      <c r="AS381" s="115"/>
      <c r="AT381" s="115"/>
      <c r="AU381" s="115"/>
      <c r="AV381" s="115"/>
      <c r="AW381" s="115"/>
      <c r="AX381" s="115"/>
      <c r="AY381" s="115"/>
      <c r="AZ381" s="115"/>
      <c r="BA381" s="13"/>
      <c r="BB381" s="13"/>
      <c r="BE381" s="114"/>
    </row>
    <row r="382" spans="1:57" ht="19.5" x14ac:dyDescent="0.4">
      <c r="A382" s="117"/>
      <c r="B382" s="123"/>
      <c r="C382" s="123"/>
      <c r="D382" s="123"/>
      <c r="R382" s="129"/>
      <c r="S382" s="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25"/>
      <c r="AD382" s="105"/>
      <c r="AI382" s="117"/>
      <c r="AJ382" s="123"/>
      <c r="AK382" s="123"/>
      <c r="AL382" s="123"/>
      <c r="AQ382" s="115"/>
      <c r="AR382" s="115"/>
      <c r="AS382" s="115"/>
      <c r="AT382" s="115"/>
      <c r="AU382" s="115"/>
      <c r="AV382" s="115"/>
      <c r="AW382" s="115"/>
      <c r="AX382" s="115"/>
      <c r="AY382" s="115"/>
      <c r="AZ382" s="115"/>
      <c r="BA382" s="13"/>
      <c r="BB382" s="13"/>
      <c r="BE382" s="114"/>
    </row>
    <row r="383" spans="1:57" ht="19.5" x14ac:dyDescent="0.4">
      <c r="A383" s="117"/>
      <c r="B383" s="123"/>
      <c r="C383" s="123"/>
      <c r="D383" s="123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26"/>
      <c r="S383" s="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25">
        <v>45682</v>
      </c>
      <c r="AD383" s="15" t="s">
        <v>146</v>
      </c>
      <c r="AI383" s="117"/>
      <c r="AJ383" s="123"/>
      <c r="AK383" s="123"/>
      <c r="AL383" s="123"/>
      <c r="AQ383" s="115"/>
      <c r="AR383" s="115"/>
      <c r="AS383" s="115"/>
      <c r="AT383" s="115"/>
      <c r="AU383" s="115"/>
      <c r="AV383" s="115"/>
      <c r="AW383" s="115"/>
      <c r="AX383" s="115"/>
      <c r="AY383" s="115"/>
      <c r="AZ383" s="115"/>
      <c r="BA383" s="13"/>
      <c r="BB383" s="13"/>
      <c r="BE383" s="114"/>
    </row>
    <row r="384" spans="1:57" ht="19.5" x14ac:dyDescent="0.4">
      <c r="A384" s="117"/>
      <c r="B384" s="123"/>
      <c r="C384" s="123"/>
      <c r="D384" s="123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26"/>
      <c r="S384" s="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25">
        <v>45683</v>
      </c>
      <c r="AD384" s="13" t="s">
        <v>147</v>
      </c>
      <c r="AI384" s="117"/>
      <c r="AJ384" s="123"/>
      <c r="AK384" s="123"/>
      <c r="AL384" s="123"/>
      <c r="AQ384" s="115"/>
      <c r="AR384" s="115"/>
      <c r="AS384" s="115"/>
      <c r="AT384" s="115"/>
      <c r="AU384" s="115"/>
      <c r="AV384" s="115"/>
      <c r="AW384" s="115"/>
      <c r="AX384" s="115"/>
      <c r="AY384" s="115"/>
      <c r="AZ384" s="115"/>
      <c r="BA384" s="13"/>
      <c r="BB384" s="13"/>
      <c r="BE384" s="114"/>
    </row>
    <row r="385" spans="1:57" ht="19.5" x14ac:dyDescent="0.4">
      <c r="A385" s="117"/>
      <c r="B385" s="123"/>
      <c r="C385" s="123"/>
      <c r="D385" s="123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26"/>
      <c r="S385" s="13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25">
        <v>45683</v>
      </c>
      <c r="AD385" s="13" t="s">
        <v>147</v>
      </c>
      <c r="AI385" s="117"/>
      <c r="AJ385" s="123"/>
      <c r="AK385" s="123"/>
      <c r="AL385" s="123"/>
      <c r="AQ385" s="115"/>
      <c r="AR385" s="115"/>
      <c r="AS385" s="115"/>
      <c r="AT385" s="115"/>
      <c r="AU385" s="115"/>
      <c r="AV385" s="115"/>
      <c r="AW385" s="115"/>
      <c r="AX385" s="115"/>
      <c r="AY385" s="115"/>
      <c r="AZ385" s="115"/>
      <c r="BA385" s="13"/>
      <c r="BB385" s="13"/>
      <c r="BE385" s="114"/>
    </row>
    <row r="386" spans="1:57" ht="19.5" x14ac:dyDescent="0.4">
      <c r="A386" s="117"/>
      <c r="B386" s="123"/>
      <c r="C386" s="123"/>
      <c r="D386" s="123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26"/>
      <c r="S386" s="13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25"/>
      <c r="AD386" s="13"/>
      <c r="AI386" s="117"/>
      <c r="AJ386" s="123"/>
      <c r="AK386" s="123"/>
      <c r="AL386" s="123"/>
      <c r="AQ386" s="115"/>
      <c r="AR386" s="115"/>
      <c r="AS386" s="115"/>
      <c r="AT386" s="115"/>
      <c r="AU386" s="115"/>
      <c r="AV386" s="115"/>
      <c r="AW386" s="115"/>
      <c r="AX386" s="115"/>
      <c r="AY386" s="115"/>
      <c r="AZ386" s="115"/>
      <c r="BA386" s="13"/>
      <c r="BB386" s="13"/>
      <c r="BE386" s="114"/>
    </row>
    <row r="387" spans="1:57" ht="19.5" x14ac:dyDescent="0.4">
      <c r="A387" s="117"/>
      <c r="B387" s="123"/>
      <c r="C387" s="123"/>
      <c r="D387" s="123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26"/>
      <c r="S387" s="13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25">
        <v>45684</v>
      </c>
      <c r="AD387" s="13" t="s">
        <v>146</v>
      </c>
      <c r="AI387" s="117"/>
      <c r="AJ387" s="123"/>
      <c r="AK387" s="123"/>
      <c r="AL387" s="123"/>
      <c r="AQ387" s="115"/>
      <c r="AR387" s="115"/>
      <c r="AS387" s="115"/>
      <c r="AT387" s="115"/>
      <c r="AU387" s="115"/>
      <c r="AV387" s="115"/>
      <c r="AW387" s="115"/>
      <c r="AX387" s="115"/>
      <c r="AY387" s="115"/>
      <c r="AZ387" s="115"/>
      <c r="BA387" s="13"/>
      <c r="BB387" s="13"/>
      <c r="BE387" s="114"/>
    </row>
    <row r="388" spans="1:57" ht="19.5" x14ac:dyDescent="0.4">
      <c r="A388" s="117"/>
      <c r="B388" s="123"/>
      <c r="C388" s="123"/>
      <c r="D388" s="123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26"/>
      <c r="S388" s="13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25"/>
      <c r="AD388" s="13"/>
      <c r="AI388" s="117"/>
      <c r="AJ388" s="123"/>
      <c r="AK388" s="123"/>
      <c r="AL388" s="123"/>
      <c r="AQ388" s="115"/>
      <c r="AR388" s="115"/>
      <c r="AS388" s="115"/>
      <c r="AT388" s="115"/>
      <c r="AU388" s="115"/>
      <c r="AV388" s="115"/>
      <c r="AW388" s="115"/>
      <c r="AX388" s="115"/>
      <c r="AY388" s="115"/>
      <c r="AZ388" s="115"/>
      <c r="BA388" s="13"/>
      <c r="BB388" s="13"/>
      <c r="BE388" s="114"/>
    </row>
    <row r="389" spans="1:57" ht="19.5" x14ac:dyDescent="0.4">
      <c r="A389" s="117"/>
      <c r="B389" s="123"/>
      <c r="C389" s="123"/>
      <c r="D389" s="123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29"/>
      <c r="S389" s="13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25"/>
      <c r="AD389" s="13"/>
      <c r="AI389" s="117"/>
      <c r="AJ389" s="123"/>
      <c r="AK389" s="123"/>
      <c r="AL389" s="123"/>
      <c r="AQ389" s="115"/>
      <c r="AR389" s="115"/>
      <c r="AS389" s="115"/>
      <c r="AT389" s="115"/>
      <c r="AU389" s="115"/>
      <c r="AV389" s="115"/>
      <c r="AW389" s="115"/>
      <c r="AX389" s="115"/>
      <c r="AY389" s="115"/>
      <c r="AZ389" s="115"/>
      <c r="BA389" s="13"/>
      <c r="BB389" s="13"/>
      <c r="BE389" s="114"/>
    </row>
    <row r="390" spans="1:57" ht="19.5" x14ac:dyDescent="0.4">
      <c r="A390" s="117"/>
      <c r="B390" s="123"/>
      <c r="C390" s="123"/>
      <c r="D390" s="123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26"/>
      <c r="S390" s="13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25">
        <v>45684</v>
      </c>
      <c r="AD390" s="13" t="s">
        <v>148</v>
      </c>
      <c r="AI390" s="117"/>
      <c r="AJ390" s="123"/>
      <c r="AK390" s="123"/>
      <c r="AL390" s="123"/>
      <c r="AQ390" s="115"/>
      <c r="AR390" s="115"/>
      <c r="AS390" s="115"/>
      <c r="AT390" s="115"/>
      <c r="AU390" s="115"/>
      <c r="AV390" s="115"/>
      <c r="AW390" s="115"/>
      <c r="AX390" s="115"/>
      <c r="AY390" s="115"/>
      <c r="AZ390" s="115"/>
      <c r="BA390" s="13"/>
      <c r="BB390" s="13"/>
      <c r="BE390" s="114"/>
    </row>
    <row r="391" spans="1:57" ht="19.5" x14ac:dyDescent="0.4">
      <c r="A391" s="117"/>
      <c r="B391" s="123"/>
      <c r="C391" s="123"/>
      <c r="D391" s="123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26"/>
      <c r="S391" s="13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25"/>
      <c r="AD391" s="13"/>
      <c r="AI391" s="117"/>
      <c r="AJ391" s="123"/>
      <c r="AK391" s="123"/>
      <c r="AL391" s="123"/>
      <c r="AQ391" s="115"/>
      <c r="AR391" s="115"/>
      <c r="AS391" s="115"/>
      <c r="AT391" s="115"/>
      <c r="AU391" s="115"/>
      <c r="AV391" s="115"/>
      <c r="AW391" s="115"/>
      <c r="AX391" s="115"/>
      <c r="AY391" s="115"/>
      <c r="AZ391" s="115"/>
      <c r="BA391" s="13"/>
      <c r="BB391" s="13"/>
      <c r="BE391" s="114"/>
    </row>
    <row r="392" spans="1:57" ht="19.5" x14ac:dyDescent="0.4">
      <c r="A392" s="117"/>
      <c r="B392" s="123"/>
      <c r="C392" s="123"/>
      <c r="D392" s="123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26"/>
      <c r="S392" s="13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25"/>
      <c r="AD392" s="13"/>
      <c r="AI392" s="117"/>
      <c r="AJ392" s="123"/>
      <c r="AK392" s="123"/>
      <c r="AL392" s="123"/>
      <c r="AQ392" s="115"/>
      <c r="AR392" s="115"/>
      <c r="AS392" s="115"/>
      <c r="AT392" s="115"/>
      <c r="AU392" s="115"/>
      <c r="AV392" s="115"/>
      <c r="AW392" s="115"/>
      <c r="AX392" s="115"/>
      <c r="AY392" s="115"/>
      <c r="AZ392" s="115"/>
      <c r="BA392" s="13"/>
      <c r="BB392" s="13"/>
      <c r="BE392" s="114"/>
    </row>
    <row r="393" spans="1:57" ht="19.5" x14ac:dyDescent="0.4">
      <c r="A393" s="117"/>
      <c r="B393" s="123"/>
      <c r="C393" s="123"/>
      <c r="D393" s="123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29"/>
      <c r="S393" s="13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25"/>
      <c r="AD393" s="13"/>
      <c r="AI393" s="117"/>
      <c r="AJ393" s="123"/>
      <c r="AK393" s="123"/>
      <c r="AL393" s="123"/>
      <c r="AQ393" s="115"/>
      <c r="AR393" s="115"/>
      <c r="AS393" s="115"/>
      <c r="AT393" s="115"/>
      <c r="AU393" s="115"/>
      <c r="AV393" s="115"/>
      <c r="AW393" s="115"/>
      <c r="AX393" s="115"/>
      <c r="AY393" s="115"/>
      <c r="AZ393" s="115"/>
      <c r="BA393" s="13"/>
      <c r="BB393" s="13"/>
      <c r="BE393" s="114"/>
    </row>
    <row r="394" spans="1:57" ht="19.5" x14ac:dyDescent="0.4">
      <c r="A394" s="117"/>
      <c r="B394" s="123"/>
      <c r="C394" s="123"/>
      <c r="D394" s="123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26"/>
      <c r="S394" s="2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25"/>
      <c r="AD394" s="13"/>
      <c r="AI394" s="117"/>
      <c r="AJ394" s="123"/>
      <c r="AK394" s="123"/>
      <c r="AL394" s="123"/>
      <c r="AQ394" s="115"/>
      <c r="AR394" s="115"/>
      <c r="AS394" s="115"/>
      <c r="AT394" s="115"/>
      <c r="AU394" s="115"/>
      <c r="AV394" s="115"/>
      <c r="AW394" s="115"/>
      <c r="AX394" s="115"/>
      <c r="AY394" s="115"/>
      <c r="AZ394" s="115"/>
      <c r="BA394" s="13"/>
      <c r="BB394" s="13"/>
      <c r="BE394" s="114"/>
    </row>
    <row r="395" spans="1:57" ht="19.5" x14ac:dyDescent="0.4">
      <c r="A395" s="117"/>
      <c r="B395" s="123"/>
      <c r="C395" s="123"/>
      <c r="D395" s="123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26"/>
      <c r="S395" s="13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25"/>
      <c r="AD395" s="13"/>
      <c r="AI395" s="117"/>
      <c r="AJ395" s="123"/>
      <c r="AK395" s="123"/>
      <c r="AL395" s="123"/>
      <c r="AQ395" s="115"/>
      <c r="AR395" s="115"/>
      <c r="AS395" s="115"/>
      <c r="AT395" s="115"/>
      <c r="AU395" s="115"/>
      <c r="AV395" s="115"/>
      <c r="AW395" s="115"/>
      <c r="AX395" s="115"/>
      <c r="AY395" s="115"/>
      <c r="AZ395" s="115"/>
      <c r="BA395" s="13"/>
      <c r="BB395" s="13"/>
      <c r="BE395" s="114"/>
    </row>
    <row r="396" spans="1:57" ht="19.5" x14ac:dyDescent="0.4">
      <c r="A396" s="117"/>
      <c r="B396" s="123"/>
      <c r="C396" s="123"/>
      <c r="D396" s="123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26"/>
      <c r="S396" s="13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25"/>
      <c r="AD396" s="13"/>
      <c r="AI396" s="117"/>
      <c r="AJ396" s="123"/>
      <c r="AK396" s="123"/>
      <c r="AL396" s="123"/>
      <c r="AQ396" s="115"/>
      <c r="AR396" s="115"/>
      <c r="AS396" s="115"/>
      <c r="AT396" s="115"/>
      <c r="AU396" s="115"/>
      <c r="AV396" s="115"/>
      <c r="AW396" s="115"/>
      <c r="AX396" s="115"/>
      <c r="AY396" s="115"/>
      <c r="AZ396" s="115"/>
      <c r="BA396" s="13"/>
      <c r="BB396" s="13"/>
      <c r="BE396" s="114"/>
    </row>
    <row r="397" spans="1:57" ht="19.5" x14ac:dyDescent="0.4">
      <c r="A397" s="117"/>
      <c r="B397" s="123"/>
      <c r="C397" s="123"/>
      <c r="D397" s="123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29"/>
      <c r="S397" s="13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25"/>
      <c r="AD397" s="13"/>
      <c r="AI397" s="117"/>
      <c r="AJ397" s="123"/>
      <c r="AK397" s="123"/>
      <c r="AL397" s="123"/>
      <c r="AQ397" s="115"/>
      <c r="AR397" s="115"/>
      <c r="AS397" s="115"/>
      <c r="AT397" s="115"/>
      <c r="AU397" s="115"/>
      <c r="AV397" s="115"/>
      <c r="AW397" s="115"/>
      <c r="AX397" s="115"/>
      <c r="AY397" s="115"/>
      <c r="AZ397" s="115"/>
      <c r="BA397" s="13"/>
      <c r="BB397" s="13"/>
      <c r="BE397" s="114"/>
    </row>
    <row r="398" spans="1:57" ht="19.5" x14ac:dyDescent="0.4">
      <c r="A398" s="117"/>
      <c r="B398" s="123"/>
      <c r="C398" s="123"/>
      <c r="D398" s="123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26"/>
      <c r="S398" s="134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25"/>
      <c r="AD398" s="13"/>
      <c r="AI398" s="117"/>
      <c r="AJ398" s="123"/>
      <c r="AK398" s="123"/>
      <c r="AL398" s="123"/>
      <c r="AQ398" s="115"/>
      <c r="AR398" s="115"/>
      <c r="AS398" s="115"/>
      <c r="AT398" s="115"/>
      <c r="AU398" s="115"/>
      <c r="AV398" s="115"/>
      <c r="AW398" s="115"/>
      <c r="AX398" s="115"/>
      <c r="AY398" s="115"/>
      <c r="AZ398" s="115"/>
      <c r="BA398" s="13"/>
      <c r="BB398" s="13"/>
      <c r="BE398" s="114"/>
    </row>
    <row r="399" spans="1:57" ht="19.5" x14ac:dyDescent="0.4">
      <c r="A399" s="117"/>
      <c r="B399" s="123"/>
      <c r="C399" s="123"/>
      <c r="D399" s="123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26"/>
      <c r="S399" s="13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25">
        <v>45684</v>
      </c>
      <c r="AD399" s="13" t="s">
        <v>147</v>
      </c>
      <c r="AI399" s="117"/>
      <c r="AJ399" s="123"/>
      <c r="AK399" s="123"/>
      <c r="AL399" s="123"/>
      <c r="AQ399" s="115"/>
      <c r="AR399" s="115"/>
      <c r="AS399" s="115"/>
      <c r="AT399" s="115"/>
      <c r="AU399" s="115"/>
      <c r="AV399" s="115"/>
      <c r="AW399" s="115"/>
      <c r="AX399" s="115"/>
      <c r="AY399" s="115"/>
      <c r="AZ399" s="115"/>
      <c r="BA399" s="13"/>
      <c r="BB399" s="13"/>
      <c r="BE399" s="114"/>
    </row>
    <row r="400" spans="1:57" ht="19.5" x14ac:dyDescent="0.4">
      <c r="A400" s="117"/>
      <c r="B400" s="123"/>
      <c r="C400" s="123"/>
      <c r="D400" s="123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29"/>
      <c r="S400" s="13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25"/>
      <c r="AD400" s="13"/>
      <c r="AI400" s="117"/>
      <c r="AJ400" s="123"/>
      <c r="AK400" s="123"/>
      <c r="AL400" s="123"/>
      <c r="AQ400" s="115"/>
      <c r="AR400" s="115"/>
      <c r="AS400" s="115"/>
      <c r="AT400" s="115"/>
      <c r="AU400" s="115"/>
      <c r="AV400" s="115"/>
      <c r="AW400" s="115"/>
      <c r="AX400" s="115"/>
      <c r="AY400" s="115"/>
      <c r="AZ400" s="115"/>
      <c r="BA400" s="13"/>
      <c r="BB400" s="13"/>
      <c r="BE400" s="114"/>
    </row>
    <row r="401" spans="1:57" ht="19.5" x14ac:dyDescent="0.4">
      <c r="A401" s="117"/>
      <c r="B401" s="123"/>
      <c r="C401" s="123"/>
      <c r="D401" s="123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26"/>
      <c r="S401" s="13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25"/>
      <c r="AD401" s="13"/>
      <c r="AI401" s="117"/>
      <c r="AJ401" s="123"/>
      <c r="AK401" s="123"/>
      <c r="AL401" s="123"/>
      <c r="AQ401" s="115"/>
      <c r="AR401" s="115"/>
      <c r="AS401" s="115"/>
      <c r="AT401" s="115"/>
      <c r="AU401" s="115"/>
      <c r="AV401" s="115"/>
      <c r="AW401" s="115"/>
      <c r="AX401" s="115"/>
      <c r="AY401" s="115"/>
      <c r="AZ401" s="115"/>
      <c r="BA401" s="13"/>
      <c r="BB401" s="13"/>
      <c r="BE401" s="114"/>
    </row>
    <row r="402" spans="1:57" ht="19.5" x14ac:dyDescent="0.4">
      <c r="A402" s="117"/>
      <c r="B402" s="123"/>
      <c r="C402" s="123"/>
      <c r="D402" s="123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26"/>
      <c r="S402" s="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25">
        <v>45684</v>
      </c>
      <c r="AD402" s="13" t="s">
        <v>146</v>
      </c>
      <c r="AI402" s="117"/>
      <c r="AJ402" s="123"/>
      <c r="AK402" s="123"/>
      <c r="AL402" s="123"/>
      <c r="AQ402" s="115"/>
      <c r="AR402" s="115"/>
      <c r="AS402" s="115"/>
      <c r="AT402" s="115"/>
      <c r="AU402" s="115"/>
      <c r="AV402" s="115"/>
      <c r="AW402" s="115"/>
      <c r="AX402" s="115"/>
      <c r="AY402" s="115"/>
      <c r="AZ402" s="115"/>
      <c r="BA402" s="13"/>
      <c r="BB402" s="13"/>
      <c r="BE402" s="114"/>
    </row>
    <row r="403" spans="1:57" ht="19.5" x14ac:dyDescent="0.4">
      <c r="A403" s="117"/>
      <c r="B403" s="123"/>
      <c r="C403" s="123"/>
      <c r="D403" s="123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29"/>
      <c r="S403" s="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25"/>
      <c r="AD403" s="13"/>
      <c r="AI403" s="117"/>
      <c r="AJ403" s="123"/>
      <c r="AK403" s="123"/>
      <c r="AL403" s="123"/>
      <c r="AQ403" s="115"/>
      <c r="AR403" s="115"/>
      <c r="AS403" s="115"/>
      <c r="AT403" s="115"/>
      <c r="AU403" s="115"/>
      <c r="AV403" s="115"/>
      <c r="AW403" s="115"/>
      <c r="AX403" s="115"/>
      <c r="AY403" s="115"/>
      <c r="AZ403" s="115"/>
      <c r="BA403" s="13"/>
      <c r="BB403" s="13"/>
      <c r="BE403" s="114"/>
    </row>
    <row r="404" spans="1:57" ht="19.5" x14ac:dyDescent="0.4">
      <c r="A404" s="117"/>
      <c r="B404" s="123"/>
      <c r="C404" s="123"/>
      <c r="D404" s="123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26"/>
      <c r="S404" s="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25"/>
      <c r="AD404" s="13"/>
      <c r="AI404" s="117"/>
      <c r="AJ404" s="123"/>
      <c r="AK404" s="123"/>
      <c r="AL404" s="123"/>
      <c r="AQ404" s="115"/>
      <c r="AR404" s="115"/>
      <c r="AS404" s="115"/>
      <c r="AT404" s="115"/>
      <c r="AU404" s="115"/>
      <c r="AV404" s="115"/>
      <c r="AW404" s="115"/>
      <c r="AX404" s="115"/>
      <c r="AY404" s="115"/>
      <c r="AZ404" s="115"/>
      <c r="BA404" s="13"/>
      <c r="BB404" s="13"/>
      <c r="BE404" s="114"/>
    </row>
    <row r="405" spans="1:57" ht="19.5" x14ac:dyDescent="0.4">
      <c r="A405" s="117"/>
      <c r="B405" s="123"/>
      <c r="C405" s="123"/>
      <c r="D405" s="123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29"/>
      <c r="S405" s="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25"/>
      <c r="AD405" s="13"/>
      <c r="AI405" s="117"/>
      <c r="AJ405" s="123"/>
      <c r="AK405" s="123"/>
      <c r="AL405" s="123"/>
      <c r="AQ405" s="115"/>
      <c r="AR405" s="115"/>
      <c r="AS405" s="115"/>
      <c r="AT405" s="115"/>
      <c r="AU405" s="115"/>
      <c r="AV405" s="115"/>
      <c r="AW405" s="115"/>
      <c r="AX405" s="115"/>
      <c r="AY405" s="115"/>
      <c r="AZ405" s="115"/>
      <c r="BA405" s="13"/>
      <c r="BB405" s="13"/>
      <c r="BE405" s="114"/>
    </row>
    <row r="406" spans="1:57" ht="19.5" x14ac:dyDescent="0.4">
      <c r="A406" s="117"/>
      <c r="B406" s="123"/>
      <c r="C406" s="123"/>
      <c r="D406" s="123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26"/>
      <c r="S406" s="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25"/>
      <c r="AD406" s="13"/>
      <c r="AI406" s="117"/>
      <c r="AJ406" s="123"/>
      <c r="AK406" s="123"/>
      <c r="AL406" s="123"/>
      <c r="AQ406" s="115"/>
      <c r="AR406" s="115"/>
      <c r="AS406" s="115"/>
      <c r="AT406" s="115"/>
      <c r="AU406" s="115"/>
      <c r="AV406" s="115"/>
      <c r="AW406" s="115"/>
      <c r="AX406" s="115"/>
      <c r="AY406" s="115"/>
      <c r="AZ406" s="115"/>
      <c r="BA406" s="13"/>
      <c r="BB406" s="13"/>
      <c r="BE406" s="114"/>
    </row>
    <row r="407" spans="1:57" ht="19.5" x14ac:dyDescent="0.4">
      <c r="A407" s="117"/>
      <c r="B407" s="123"/>
      <c r="C407" s="123"/>
      <c r="D407" s="123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29"/>
      <c r="S407" s="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25"/>
      <c r="AD407" s="13"/>
      <c r="AI407" s="117"/>
      <c r="AJ407" s="123"/>
      <c r="AK407" s="123"/>
      <c r="AL407" s="123"/>
      <c r="AQ407" s="115"/>
      <c r="AR407" s="115"/>
      <c r="AS407" s="115"/>
      <c r="AT407" s="115"/>
      <c r="AU407" s="115"/>
      <c r="AV407" s="115"/>
      <c r="AW407" s="115"/>
      <c r="AX407" s="115"/>
      <c r="AY407" s="115"/>
      <c r="AZ407" s="115"/>
      <c r="BA407" s="13"/>
      <c r="BB407" s="13"/>
      <c r="BE407" s="114"/>
    </row>
    <row r="408" spans="1:57" ht="19.5" x14ac:dyDescent="0.4">
      <c r="A408" s="117"/>
      <c r="B408" s="123"/>
      <c r="C408" s="123"/>
      <c r="D408" s="123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29"/>
      <c r="S408" s="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25"/>
      <c r="AD408" s="13"/>
      <c r="AI408" s="117"/>
      <c r="AJ408" s="123"/>
      <c r="AK408" s="123"/>
      <c r="AL408" s="123"/>
      <c r="AQ408" s="115"/>
      <c r="AR408" s="115"/>
      <c r="AS408" s="115"/>
      <c r="AT408" s="115"/>
      <c r="AU408" s="115"/>
      <c r="AV408" s="115"/>
      <c r="AW408" s="115"/>
      <c r="AX408" s="115"/>
      <c r="AY408" s="115"/>
      <c r="AZ408" s="115"/>
      <c r="BA408" s="13"/>
      <c r="BB408" s="13"/>
      <c r="BE408" s="114"/>
    </row>
    <row r="409" spans="1:57" ht="19.5" x14ac:dyDescent="0.4">
      <c r="A409" s="117"/>
      <c r="B409" s="123"/>
      <c r="C409" s="123"/>
      <c r="D409" s="123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26"/>
      <c r="S409" s="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25">
        <v>45684</v>
      </c>
      <c r="AD409" s="13" t="s">
        <v>147</v>
      </c>
      <c r="AI409" s="117"/>
      <c r="AJ409" s="123"/>
      <c r="AK409" s="123"/>
      <c r="AL409" s="123"/>
      <c r="AQ409" s="115"/>
      <c r="AR409" s="115"/>
      <c r="AS409" s="115"/>
      <c r="AT409" s="115"/>
      <c r="AU409" s="115"/>
      <c r="AV409" s="115"/>
      <c r="AW409" s="115"/>
      <c r="AX409" s="115"/>
      <c r="AY409" s="115"/>
      <c r="AZ409" s="115"/>
      <c r="BA409" s="13"/>
      <c r="BB409" s="13"/>
      <c r="BE409" s="114"/>
    </row>
    <row r="410" spans="1:57" ht="19.5" x14ac:dyDescent="0.4">
      <c r="A410" s="117"/>
      <c r="B410" s="123"/>
      <c r="C410" s="123"/>
      <c r="D410" s="123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26"/>
      <c r="S410" s="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25">
        <v>45684</v>
      </c>
      <c r="AD410" s="13" t="s">
        <v>146</v>
      </c>
      <c r="AI410" s="117"/>
      <c r="AJ410" s="123"/>
      <c r="AK410" s="123"/>
      <c r="AL410" s="123"/>
      <c r="AQ410" s="115"/>
      <c r="AR410" s="115"/>
      <c r="AS410" s="115"/>
      <c r="AT410" s="115"/>
      <c r="AU410" s="115"/>
      <c r="AV410" s="115"/>
      <c r="AW410" s="115"/>
      <c r="AX410" s="115"/>
      <c r="AY410" s="115"/>
      <c r="AZ410" s="115"/>
      <c r="BA410" s="13"/>
      <c r="BB410" s="13"/>
      <c r="BE410" s="114"/>
    </row>
    <row r="411" spans="1:57" ht="19.5" x14ac:dyDescent="0.4">
      <c r="A411" s="117"/>
      <c r="B411" s="123"/>
      <c r="C411" s="123"/>
      <c r="D411" s="123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26"/>
      <c r="S411" s="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25">
        <v>45684</v>
      </c>
      <c r="AD411" s="13" t="s">
        <v>146</v>
      </c>
      <c r="AI411" s="117"/>
      <c r="AJ411" s="123"/>
      <c r="AK411" s="123"/>
      <c r="AL411" s="123"/>
      <c r="AQ411" s="115"/>
      <c r="AR411" s="115"/>
      <c r="AS411" s="115"/>
      <c r="AT411" s="115"/>
      <c r="AU411" s="115"/>
      <c r="AV411" s="115"/>
      <c r="AW411" s="115"/>
      <c r="AX411" s="115"/>
      <c r="AY411" s="115"/>
      <c r="AZ411" s="115"/>
      <c r="BA411" s="13"/>
      <c r="BB411" s="13"/>
      <c r="BE411" s="114"/>
    </row>
    <row r="412" spans="1:57" ht="19.5" x14ac:dyDescent="0.4">
      <c r="A412" s="117"/>
      <c r="B412" s="123"/>
      <c r="C412" s="123"/>
      <c r="D412" s="123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20"/>
      <c r="S412" s="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25"/>
      <c r="AD412" s="13"/>
      <c r="AI412" s="117"/>
      <c r="AJ412" s="123"/>
      <c r="AK412" s="123"/>
      <c r="AL412" s="123"/>
      <c r="AQ412" s="115"/>
      <c r="AR412" s="115"/>
      <c r="AS412" s="115"/>
      <c r="AT412" s="115"/>
      <c r="AU412" s="115"/>
      <c r="AV412" s="115"/>
      <c r="AW412" s="115"/>
      <c r="AX412" s="115"/>
      <c r="AY412" s="115"/>
      <c r="AZ412" s="115"/>
      <c r="BA412" s="13"/>
      <c r="BB412" s="13"/>
      <c r="BE412" s="114"/>
    </row>
    <row r="413" spans="1:57" ht="19.5" x14ac:dyDescent="0.4">
      <c r="A413" s="117"/>
      <c r="B413" s="123"/>
      <c r="C413" s="123"/>
      <c r="D413" s="123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20"/>
      <c r="S413" s="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25"/>
      <c r="AD413" s="13"/>
      <c r="AI413" s="117"/>
      <c r="AJ413" s="123"/>
      <c r="AK413" s="123"/>
      <c r="AL413" s="123"/>
      <c r="AQ413" s="115"/>
      <c r="AR413" s="115"/>
      <c r="AS413" s="115"/>
      <c r="AT413" s="115"/>
      <c r="AU413" s="115"/>
      <c r="AV413" s="115"/>
      <c r="AW413" s="115"/>
      <c r="AX413" s="115"/>
      <c r="AY413" s="115"/>
      <c r="AZ413" s="115"/>
      <c r="BA413" s="13"/>
      <c r="BB413" s="13"/>
      <c r="BE413" s="114"/>
    </row>
    <row r="414" spans="1:57" ht="19.5" x14ac:dyDescent="0.4">
      <c r="A414" s="117"/>
      <c r="B414" s="123"/>
      <c r="C414" s="123"/>
      <c r="D414" s="123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25"/>
      <c r="S414" s="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25">
        <v>45684</v>
      </c>
      <c r="AD414" s="13" t="s">
        <v>147</v>
      </c>
      <c r="AI414" s="117"/>
      <c r="AJ414" s="123"/>
      <c r="AK414" s="123"/>
      <c r="AL414" s="123"/>
      <c r="AQ414" s="115"/>
      <c r="AR414" s="115"/>
      <c r="AS414" s="115"/>
      <c r="AT414" s="115"/>
      <c r="AU414" s="115"/>
      <c r="AV414" s="115"/>
      <c r="AW414" s="115"/>
      <c r="AX414" s="115"/>
      <c r="AY414" s="115"/>
      <c r="AZ414" s="115"/>
      <c r="BA414" s="13"/>
      <c r="BB414" s="13"/>
      <c r="BE414" s="114"/>
    </row>
    <row r="415" spans="1:57" ht="19.5" x14ac:dyDescent="0.4">
      <c r="A415" s="117"/>
      <c r="B415" s="123"/>
      <c r="C415" s="123"/>
      <c r="D415" s="123"/>
      <c r="R415" s="25"/>
      <c r="S415" s="15"/>
      <c r="AC415" s="25">
        <v>45685</v>
      </c>
      <c r="AD415" s="13" t="s">
        <v>146</v>
      </c>
      <c r="AI415" s="117"/>
      <c r="AJ415" s="123"/>
      <c r="AK415" s="123"/>
      <c r="AL415" s="123"/>
      <c r="AQ415" s="115"/>
      <c r="AR415" s="115"/>
      <c r="AS415" s="115"/>
      <c r="AT415" s="115"/>
      <c r="AU415" s="115"/>
      <c r="AV415" s="115"/>
      <c r="AW415" s="115"/>
      <c r="AX415" s="115"/>
      <c r="AY415" s="115"/>
      <c r="AZ415" s="115"/>
      <c r="BA415" s="25">
        <v>45263</v>
      </c>
      <c r="BB415" s="13" t="s">
        <v>162</v>
      </c>
      <c r="BE415" s="114"/>
    </row>
    <row r="416" spans="1:57" ht="19.5" x14ac:dyDescent="0.4">
      <c r="A416" s="117"/>
      <c r="B416" s="123"/>
      <c r="C416" s="123"/>
      <c r="D416" s="123"/>
      <c r="R416" s="25"/>
      <c r="S416" s="15"/>
      <c r="Z416" s="115"/>
      <c r="AA416" s="115"/>
      <c r="AB416" s="115"/>
      <c r="AC416" s="25">
        <v>45685</v>
      </c>
      <c r="AD416" s="13" t="s">
        <v>147</v>
      </c>
      <c r="AI416" s="117"/>
      <c r="AJ416" s="123"/>
      <c r="AK416" s="123"/>
      <c r="AL416" s="123"/>
      <c r="AQ416" s="115"/>
      <c r="AR416" s="115"/>
      <c r="AS416" s="115"/>
      <c r="AT416" s="115"/>
      <c r="AU416" s="115"/>
      <c r="AV416" s="115"/>
      <c r="AW416" s="115"/>
      <c r="AX416" s="115"/>
      <c r="AY416" s="115"/>
      <c r="AZ416" s="115"/>
      <c r="BA416" s="25"/>
      <c r="BB416" s="13"/>
      <c r="BE416" s="114"/>
    </row>
    <row r="417" spans="1:57" ht="19.5" x14ac:dyDescent="0.4">
      <c r="A417" s="117"/>
      <c r="B417" s="123"/>
      <c r="C417" s="123"/>
      <c r="D417" s="123"/>
      <c r="R417" s="133"/>
      <c r="S417" s="15"/>
      <c r="Z417" s="115"/>
      <c r="AA417" s="115"/>
      <c r="AB417" s="115"/>
      <c r="AC417" s="25"/>
      <c r="AD417" s="13"/>
      <c r="AI417" s="117"/>
      <c r="AJ417" s="123"/>
      <c r="AK417" s="123"/>
      <c r="AL417" s="123"/>
      <c r="AQ417" s="115"/>
      <c r="AR417" s="115"/>
      <c r="AS417" s="115"/>
      <c r="AT417" s="115"/>
      <c r="AU417" s="115"/>
      <c r="AV417" s="115"/>
      <c r="AW417" s="115"/>
      <c r="AX417" s="115"/>
      <c r="AY417" s="115"/>
      <c r="AZ417" s="115"/>
      <c r="BA417" s="25"/>
      <c r="BB417" s="13"/>
      <c r="BE417" s="114"/>
    </row>
    <row r="418" spans="1:57" ht="19.5" x14ac:dyDescent="0.4">
      <c r="A418" s="117"/>
      <c r="B418" s="123"/>
      <c r="C418" s="123"/>
      <c r="D418" s="123"/>
      <c r="R418" s="25"/>
      <c r="S418" s="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25">
        <v>45685</v>
      </c>
      <c r="AD418" s="13" t="s">
        <v>147</v>
      </c>
      <c r="AI418" s="117"/>
      <c r="AJ418" s="123"/>
      <c r="AK418" s="123"/>
      <c r="AL418" s="123"/>
      <c r="AQ418" s="115"/>
      <c r="AR418" s="115"/>
      <c r="AS418" s="115"/>
      <c r="AT418" s="115"/>
      <c r="AU418" s="115"/>
      <c r="AV418" s="115"/>
      <c r="AW418" s="115"/>
      <c r="AX418" s="115"/>
      <c r="AY418" s="115"/>
      <c r="AZ418" s="115"/>
      <c r="BA418" s="25"/>
      <c r="BB418" s="13"/>
      <c r="BE418" s="114"/>
    </row>
    <row r="419" spans="1:57" ht="19.5" x14ac:dyDescent="0.4">
      <c r="A419" s="117"/>
      <c r="B419" s="123"/>
      <c r="C419" s="123"/>
      <c r="D419" s="123"/>
      <c r="R419" s="25"/>
      <c r="S419" s="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25">
        <v>45685</v>
      </c>
      <c r="AD419" s="13" t="s">
        <v>148</v>
      </c>
      <c r="AI419" s="117"/>
      <c r="AJ419" s="123"/>
      <c r="AK419" s="123"/>
      <c r="AL419" s="123"/>
      <c r="AQ419" s="115"/>
      <c r="AR419" s="115"/>
      <c r="AS419" s="115"/>
      <c r="AT419" s="115"/>
      <c r="AU419" s="115"/>
      <c r="AV419" s="115"/>
      <c r="AW419" s="115"/>
      <c r="AX419" s="115"/>
      <c r="AY419" s="115"/>
      <c r="AZ419" s="115"/>
      <c r="BA419" s="25"/>
      <c r="BB419" s="13"/>
      <c r="BE419" s="114"/>
    </row>
    <row r="420" spans="1:57" ht="19.5" x14ac:dyDescent="0.4">
      <c r="A420" s="117"/>
      <c r="B420" s="123"/>
      <c r="C420" s="123"/>
      <c r="D420" s="123"/>
      <c r="R420" s="25"/>
      <c r="S420" s="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25">
        <v>45685</v>
      </c>
      <c r="AD420" s="13" t="s">
        <v>148</v>
      </c>
      <c r="AI420" s="117"/>
      <c r="AJ420" s="123"/>
      <c r="AK420" s="123"/>
      <c r="AL420" s="123"/>
      <c r="AQ420" s="115"/>
      <c r="AR420" s="115"/>
      <c r="AS420" s="115"/>
      <c r="AT420" s="115"/>
      <c r="AU420" s="115"/>
      <c r="AV420" s="115"/>
      <c r="AW420" s="115"/>
      <c r="AX420" s="115"/>
      <c r="AY420" s="115"/>
      <c r="AZ420" s="115"/>
      <c r="BA420" s="25"/>
      <c r="BB420" s="13"/>
      <c r="BE420" s="114"/>
    </row>
    <row r="421" spans="1:57" ht="19.5" x14ac:dyDescent="0.4">
      <c r="A421" s="117"/>
      <c r="B421" s="123"/>
      <c r="C421" s="123"/>
      <c r="D421" s="123"/>
      <c r="R421" s="133"/>
      <c r="S421" s="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25"/>
      <c r="AD421" s="13"/>
      <c r="AI421" s="117"/>
      <c r="AJ421" s="123"/>
      <c r="AK421" s="123"/>
      <c r="AL421" s="123"/>
      <c r="AQ421" s="115"/>
      <c r="AR421" s="115"/>
      <c r="AS421" s="115"/>
      <c r="AT421" s="115"/>
      <c r="AU421" s="115"/>
      <c r="AV421" s="115"/>
      <c r="AW421" s="115"/>
      <c r="AX421" s="115"/>
      <c r="AY421" s="115"/>
      <c r="AZ421" s="115"/>
      <c r="BA421" s="25"/>
      <c r="BB421" s="13"/>
      <c r="BE421" s="114"/>
    </row>
    <row r="422" spans="1:57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25"/>
      <c r="S422" s="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25"/>
      <c r="AD422" s="13"/>
      <c r="AI422" s="117"/>
      <c r="AJ422" s="123"/>
      <c r="AK422" s="123"/>
      <c r="AL422" s="123"/>
      <c r="AQ422" s="115"/>
      <c r="AR422" s="115"/>
      <c r="AS422" s="115"/>
      <c r="AT422" s="115"/>
      <c r="AU422" s="115"/>
      <c r="AV422" s="115"/>
      <c r="AW422" s="115"/>
      <c r="AX422" s="115"/>
      <c r="AY422" s="115"/>
      <c r="AZ422" s="115"/>
      <c r="BA422" s="25"/>
      <c r="BB422" s="13"/>
      <c r="BE422" s="114"/>
    </row>
    <row r="423" spans="1:57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33"/>
      <c r="S423" s="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25"/>
      <c r="AD423" s="13"/>
      <c r="AI423" s="117"/>
      <c r="AJ423" s="123"/>
      <c r="AK423" s="123"/>
      <c r="AL423" s="123"/>
      <c r="AQ423" s="115"/>
      <c r="AR423" s="115"/>
      <c r="AS423" s="115"/>
      <c r="AT423" s="115"/>
      <c r="AU423" s="115"/>
      <c r="AV423" s="115"/>
      <c r="AW423" s="115"/>
      <c r="AX423" s="115"/>
      <c r="AY423" s="115"/>
      <c r="AZ423" s="115"/>
      <c r="BA423" s="25"/>
      <c r="BB423" s="13"/>
      <c r="BE423" s="114"/>
    </row>
    <row r="424" spans="1:57" ht="19.5" x14ac:dyDescent="0.4">
      <c r="A424" s="117"/>
      <c r="B424" s="123"/>
      <c r="C424" s="123"/>
      <c r="D424" s="123"/>
      <c r="R424" s="25"/>
      <c r="S424" s="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25">
        <v>45685</v>
      </c>
      <c r="AD424" s="13" t="s">
        <v>148</v>
      </c>
      <c r="AI424" s="117"/>
      <c r="AJ424" s="123"/>
      <c r="AK424" s="123"/>
      <c r="AL424" s="123"/>
      <c r="AQ424" s="115"/>
      <c r="AR424" s="115"/>
      <c r="AS424" s="115"/>
      <c r="AT424" s="115"/>
      <c r="AU424" s="115"/>
      <c r="AV424" s="115"/>
      <c r="AW424" s="115"/>
      <c r="AX424" s="115"/>
      <c r="AY424" s="115"/>
      <c r="AZ424" s="115"/>
      <c r="BA424" s="25"/>
      <c r="BB424" s="13"/>
      <c r="BE424" s="114"/>
    </row>
    <row r="425" spans="1:57" ht="19.5" x14ac:dyDescent="0.4">
      <c r="A425" s="117"/>
      <c r="B425" s="123"/>
      <c r="C425" s="123"/>
      <c r="D425" s="123"/>
      <c r="R425" s="25"/>
      <c r="S425" s="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25">
        <v>45685</v>
      </c>
      <c r="AD425" s="13" t="s">
        <v>148</v>
      </c>
      <c r="AI425" s="117"/>
      <c r="AJ425" s="123"/>
      <c r="AK425" s="123"/>
      <c r="AL425" s="123"/>
      <c r="AQ425" s="115"/>
      <c r="AR425" s="115"/>
      <c r="AS425" s="115"/>
      <c r="AT425" s="115"/>
      <c r="AU425" s="115"/>
      <c r="AV425" s="115"/>
      <c r="AW425" s="115"/>
      <c r="AX425" s="115"/>
      <c r="AY425" s="115"/>
      <c r="AZ425" s="115"/>
      <c r="BA425" s="25"/>
      <c r="BB425" s="13"/>
      <c r="BE425" s="114"/>
    </row>
    <row r="426" spans="1:57" ht="19.5" x14ac:dyDescent="0.4">
      <c r="A426" s="117"/>
      <c r="B426" s="123"/>
      <c r="C426" s="123"/>
      <c r="D426" s="123"/>
      <c r="R426" s="25"/>
      <c r="S426" s="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25">
        <v>45685</v>
      </c>
      <c r="AD426" s="13" t="s">
        <v>146</v>
      </c>
      <c r="AI426" s="117"/>
      <c r="AJ426" s="123"/>
      <c r="AK426" s="123"/>
      <c r="AL426" s="123"/>
      <c r="AQ426" s="115"/>
      <c r="AR426" s="115"/>
      <c r="AS426" s="115"/>
      <c r="AT426" s="115"/>
      <c r="AU426" s="115"/>
      <c r="AV426" s="115"/>
      <c r="AW426" s="115"/>
      <c r="AX426" s="115"/>
      <c r="AY426" s="115"/>
      <c r="AZ426" s="115"/>
      <c r="BA426" s="25"/>
      <c r="BB426" s="13"/>
      <c r="BE426" s="114"/>
    </row>
    <row r="427" spans="1:57" ht="19.5" x14ac:dyDescent="0.4">
      <c r="A427" s="117"/>
      <c r="B427" s="123"/>
      <c r="C427" s="123"/>
      <c r="D427" s="123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25"/>
      <c r="S427" s="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25"/>
      <c r="AD427" s="13"/>
      <c r="AI427" s="117"/>
      <c r="AJ427" s="123"/>
      <c r="AK427" s="123"/>
      <c r="AL427" s="123"/>
      <c r="AQ427" s="115"/>
      <c r="AR427" s="115"/>
      <c r="AS427" s="115"/>
      <c r="AT427" s="115"/>
      <c r="AU427" s="115"/>
      <c r="AV427" s="115"/>
      <c r="AW427" s="115"/>
      <c r="AX427" s="115"/>
      <c r="AY427" s="115"/>
      <c r="AZ427" s="115"/>
      <c r="BA427" s="25"/>
      <c r="BB427" s="13"/>
      <c r="BE427" s="114"/>
    </row>
    <row r="428" spans="1:57" ht="19.5" x14ac:dyDescent="0.4">
      <c r="A428" s="117"/>
      <c r="B428" s="123"/>
      <c r="C428" s="123"/>
      <c r="D428" s="123"/>
      <c r="R428" s="25"/>
      <c r="S428" s="15"/>
      <c r="AC428" s="25">
        <v>45685</v>
      </c>
      <c r="AD428" s="13" t="s">
        <v>148</v>
      </c>
      <c r="AI428" s="117"/>
      <c r="AJ428" s="123"/>
      <c r="AK428" s="123"/>
      <c r="AL428" s="123"/>
      <c r="AQ428" s="115"/>
      <c r="AR428" s="115"/>
      <c r="AS428" s="115"/>
      <c r="AT428" s="115"/>
      <c r="AU428" s="115"/>
      <c r="AV428" s="115"/>
      <c r="AW428" s="115"/>
      <c r="AX428" s="115"/>
      <c r="AY428" s="115"/>
      <c r="AZ428" s="115" t="s">
        <v>150</v>
      </c>
      <c r="BA428" s="13">
        <f>SUBTOTAL(3,BA415:BA415)</f>
        <v>1</v>
      </c>
      <c r="BB428" s="13">
        <f>SUBTOTAL(3,BB415:BB415)</f>
        <v>1</v>
      </c>
      <c r="BE428" s="114"/>
    </row>
    <row r="429" spans="1:57" ht="19.5" x14ac:dyDescent="0.4">
      <c r="A429" s="117"/>
      <c r="B429" s="123"/>
      <c r="C429" s="123"/>
      <c r="D429" s="123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25"/>
      <c r="S429" s="15"/>
      <c r="AC429" s="25"/>
      <c r="AD429" s="13"/>
      <c r="AI429" s="117"/>
      <c r="AJ429" s="123"/>
      <c r="AK429" s="123"/>
      <c r="AL429" s="123"/>
      <c r="AQ429" s="115"/>
      <c r="AR429" s="115"/>
      <c r="AS429" s="115"/>
      <c r="AT429" s="115"/>
      <c r="AU429" s="115"/>
      <c r="AV429" s="115"/>
      <c r="AW429" s="115"/>
      <c r="AX429" s="115"/>
      <c r="AY429" s="115"/>
      <c r="AZ429" s="115"/>
      <c r="BA429" s="13"/>
      <c r="BB429" s="13"/>
      <c r="BE429" s="114"/>
    </row>
    <row r="430" spans="1:57" ht="19.5" x14ac:dyDescent="0.4">
      <c r="A430" s="117"/>
      <c r="B430" s="123"/>
      <c r="C430" s="123"/>
      <c r="D430" s="123"/>
      <c r="R430" s="25"/>
      <c r="S430" s="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25">
        <v>45685</v>
      </c>
      <c r="AD430" s="15" t="s">
        <v>146</v>
      </c>
      <c r="AI430" s="117"/>
      <c r="AJ430" s="123"/>
      <c r="AK430" s="123"/>
      <c r="AL430" s="123"/>
      <c r="AQ430" s="115"/>
      <c r="AR430" s="115"/>
      <c r="AS430" s="115"/>
      <c r="AT430" s="115"/>
      <c r="AU430" s="115"/>
      <c r="AV430" s="115"/>
      <c r="AW430" s="115"/>
      <c r="AX430" s="115"/>
      <c r="AY430" s="115"/>
      <c r="AZ430" s="115"/>
      <c r="BA430" s="13"/>
      <c r="BB430" s="13"/>
      <c r="BE430" s="114"/>
    </row>
    <row r="431" spans="1:57" ht="19.5" x14ac:dyDescent="0.4">
      <c r="A431" s="117"/>
      <c r="B431" s="123"/>
      <c r="C431" s="123"/>
      <c r="D431" s="123"/>
      <c r="R431" s="25"/>
      <c r="S431" s="15"/>
      <c r="AC431" s="25">
        <v>45685</v>
      </c>
      <c r="AD431" s="15" t="s">
        <v>146</v>
      </c>
      <c r="AI431" s="117"/>
      <c r="AJ431" s="123"/>
      <c r="AK431" s="123"/>
      <c r="AL431" s="123"/>
      <c r="AQ431" s="115"/>
      <c r="AR431" s="115"/>
      <c r="AS431" s="115"/>
      <c r="AT431" s="115"/>
      <c r="AU431" s="115"/>
      <c r="AV431" s="115"/>
      <c r="AW431" s="115"/>
      <c r="AX431" s="115"/>
      <c r="AY431" s="115"/>
      <c r="AZ431" s="115"/>
      <c r="BA431" s="25">
        <v>45264</v>
      </c>
      <c r="BB431" s="13" t="s">
        <v>162</v>
      </c>
      <c r="BE431" s="114"/>
    </row>
    <row r="432" spans="1:57" ht="19.5" x14ac:dyDescent="0.4">
      <c r="A432" s="117"/>
      <c r="B432" s="123"/>
      <c r="C432" s="123"/>
      <c r="D432" s="123"/>
      <c r="R432" s="25"/>
      <c r="S432" s="15"/>
      <c r="Y432" s="115"/>
      <c r="Z432" s="115"/>
      <c r="AA432" s="115"/>
      <c r="AB432" s="115"/>
      <c r="AC432" s="25">
        <v>45686</v>
      </c>
      <c r="AD432" s="15" t="s">
        <v>148</v>
      </c>
      <c r="AI432" s="117"/>
      <c r="AJ432" s="123"/>
      <c r="AK432" s="123"/>
      <c r="AL432" s="123"/>
      <c r="AQ432" s="115"/>
      <c r="AR432" s="115"/>
      <c r="AS432" s="115"/>
      <c r="AT432" s="115"/>
      <c r="AU432" s="115"/>
      <c r="AV432" s="115"/>
      <c r="AW432" s="115"/>
      <c r="AX432" s="115"/>
      <c r="AY432" s="115"/>
      <c r="AZ432" s="115"/>
      <c r="BA432" s="25"/>
      <c r="BB432" s="13"/>
      <c r="BE432" s="114"/>
    </row>
    <row r="433" spans="1:57" ht="19.5" x14ac:dyDescent="0.4">
      <c r="A433" s="117"/>
      <c r="B433" s="123"/>
      <c r="C433" s="123"/>
      <c r="D433" s="123"/>
      <c r="R433" s="25"/>
      <c r="S433" s="15"/>
      <c r="W433" s="115"/>
      <c r="X433" s="115"/>
      <c r="Y433" s="115"/>
      <c r="Z433" s="115"/>
      <c r="AA433" s="115"/>
      <c r="AB433" s="115"/>
      <c r="AC433" s="25">
        <v>45686</v>
      </c>
      <c r="AD433" s="15" t="s">
        <v>146</v>
      </c>
      <c r="AI433" s="117"/>
      <c r="AJ433" s="123"/>
      <c r="AK433" s="123"/>
      <c r="AL433" s="123"/>
      <c r="AQ433" s="115"/>
      <c r="AR433" s="115"/>
      <c r="AS433" s="115"/>
      <c r="AT433" s="115"/>
      <c r="AU433" s="115"/>
      <c r="AV433" s="115"/>
      <c r="AW433" s="115"/>
      <c r="AX433" s="115"/>
      <c r="AY433" s="115"/>
      <c r="AZ433" s="115"/>
      <c r="BA433" s="25"/>
      <c r="BB433" s="13"/>
      <c r="BE433" s="114"/>
    </row>
    <row r="434" spans="1:57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25"/>
      <c r="S434" s="15"/>
      <c r="W434" s="115"/>
      <c r="X434" s="115"/>
      <c r="Y434" s="115"/>
      <c r="Z434" s="115"/>
      <c r="AA434" s="115"/>
      <c r="AB434" s="115"/>
      <c r="AC434" s="25"/>
      <c r="AD434" s="15"/>
      <c r="AI434" s="117"/>
      <c r="AJ434" s="123"/>
      <c r="AK434" s="123"/>
      <c r="AL434" s="123"/>
      <c r="AQ434" s="115"/>
      <c r="AR434" s="115"/>
      <c r="AS434" s="115"/>
      <c r="AT434" s="115"/>
      <c r="AU434" s="115"/>
      <c r="AV434" s="115"/>
      <c r="AW434" s="115"/>
      <c r="AX434" s="115"/>
      <c r="AY434" s="115"/>
      <c r="AZ434" s="115"/>
      <c r="BA434" s="25"/>
      <c r="BB434" s="13"/>
      <c r="BE434" s="114"/>
    </row>
    <row r="435" spans="1:57" ht="19.5" x14ac:dyDescent="0.4">
      <c r="A435" s="117"/>
      <c r="B435" s="123"/>
      <c r="C435" s="123"/>
      <c r="D435" s="123"/>
      <c r="R435" s="26"/>
      <c r="S435" s="15"/>
      <c r="W435" s="115"/>
      <c r="X435" s="115"/>
      <c r="Y435" s="115"/>
      <c r="Z435" s="115"/>
      <c r="AA435" s="115"/>
      <c r="AB435" s="115"/>
      <c r="AC435" s="25">
        <v>45686</v>
      </c>
      <c r="AD435" s="15" t="s">
        <v>148</v>
      </c>
      <c r="AI435" s="117"/>
      <c r="AJ435" s="123"/>
      <c r="AK435" s="123"/>
      <c r="AL435" s="123"/>
      <c r="AQ435" s="115"/>
      <c r="AR435" s="115"/>
      <c r="AS435" s="115"/>
      <c r="AT435" s="115"/>
      <c r="AU435" s="115"/>
      <c r="AV435" s="115"/>
      <c r="AW435" s="115"/>
      <c r="AX435" s="115"/>
      <c r="AY435" s="115"/>
      <c r="AZ435" s="115"/>
      <c r="BA435" s="25"/>
      <c r="BB435" s="13"/>
      <c r="BE435" s="114"/>
    </row>
    <row r="436" spans="1:57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26"/>
      <c r="S436" s="13"/>
      <c r="W436" s="115"/>
      <c r="X436" s="115"/>
      <c r="Y436" s="115"/>
      <c r="Z436" s="115"/>
      <c r="AA436" s="115"/>
      <c r="AB436" s="115"/>
      <c r="AC436" s="25"/>
      <c r="AD436" s="15"/>
      <c r="AI436" s="117"/>
      <c r="AJ436" s="123"/>
      <c r="AK436" s="123"/>
      <c r="AL436" s="123"/>
      <c r="AQ436" s="115"/>
      <c r="AR436" s="115"/>
      <c r="AS436" s="115"/>
      <c r="AT436" s="115"/>
      <c r="AU436" s="115"/>
      <c r="AV436" s="115"/>
      <c r="AW436" s="115"/>
      <c r="AX436" s="115"/>
      <c r="AY436" s="115"/>
      <c r="AZ436" s="115"/>
      <c r="BA436" s="25"/>
      <c r="BB436" s="13"/>
      <c r="BE436" s="114"/>
    </row>
    <row r="437" spans="1:57" ht="19.5" x14ac:dyDescent="0.4">
      <c r="A437" s="117"/>
      <c r="B437" s="123"/>
      <c r="C437" s="123"/>
      <c r="D437" s="123"/>
      <c r="R437" s="26"/>
      <c r="S437" s="13"/>
      <c r="AC437" s="25">
        <v>45686</v>
      </c>
      <c r="AD437" s="15" t="s">
        <v>146</v>
      </c>
      <c r="AI437" s="117"/>
      <c r="AJ437" s="123"/>
      <c r="AK437" s="123"/>
      <c r="AL437" s="123"/>
      <c r="AQ437" s="115"/>
      <c r="AR437" s="115"/>
      <c r="AS437" s="115"/>
      <c r="AT437" s="115"/>
      <c r="AU437" s="115"/>
      <c r="AV437" s="115"/>
      <c r="AW437" s="115"/>
      <c r="AX437" s="115"/>
      <c r="AY437" s="115"/>
      <c r="AZ437" s="115" t="s">
        <v>154</v>
      </c>
      <c r="BA437" s="13">
        <f>SUBTOTAL(3,BA431:BA431)</f>
        <v>1</v>
      </c>
      <c r="BB437" s="13">
        <f>SUBTOTAL(3,BB431:BB431)</f>
        <v>1</v>
      </c>
      <c r="BE437" s="114"/>
    </row>
    <row r="438" spans="1:57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26"/>
      <c r="S438" s="13"/>
      <c r="AC438" s="25"/>
      <c r="AD438" s="15"/>
      <c r="AI438" s="117"/>
      <c r="AJ438" s="123"/>
      <c r="AK438" s="123"/>
      <c r="AL438" s="123"/>
      <c r="AQ438" s="115"/>
      <c r="AR438" s="115"/>
      <c r="AS438" s="115"/>
      <c r="AT438" s="115"/>
      <c r="AU438" s="115"/>
      <c r="AV438" s="115"/>
      <c r="AW438" s="115"/>
      <c r="AX438" s="115"/>
      <c r="AY438" s="115"/>
      <c r="AZ438" s="115"/>
      <c r="BA438" s="13"/>
      <c r="BB438" s="13"/>
      <c r="BE438" s="114"/>
    </row>
    <row r="439" spans="1:57" ht="19.5" x14ac:dyDescent="0.4">
      <c r="A439" s="117"/>
      <c r="B439" s="123"/>
      <c r="C439" s="123"/>
      <c r="D439" s="123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26"/>
      <c r="S439" s="13"/>
      <c r="AC439" s="25"/>
      <c r="AD439" s="15"/>
      <c r="AI439" s="117"/>
      <c r="AJ439" s="123"/>
      <c r="AK439" s="123"/>
      <c r="AL439" s="123"/>
      <c r="AQ439" s="115"/>
      <c r="AR439" s="115"/>
      <c r="AS439" s="115"/>
      <c r="AT439" s="115"/>
      <c r="AU439" s="115"/>
      <c r="AV439" s="115"/>
      <c r="AW439" s="115"/>
      <c r="AX439" s="115"/>
      <c r="AY439" s="115"/>
      <c r="AZ439" s="115"/>
      <c r="BA439" s="13"/>
      <c r="BB439" s="13"/>
      <c r="BE439" s="114"/>
    </row>
    <row r="440" spans="1:57" ht="19.5" x14ac:dyDescent="0.4">
      <c r="A440" s="117"/>
      <c r="B440" s="123"/>
      <c r="C440" s="123"/>
      <c r="D440" s="123"/>
      <c r="R440" s="26"/>
      <c r="S440" s="13"/>
      <c r="AC440" s="25">
        <v>45686</v>
      </c>
      <c r="AD440" s="15" t="s">
        <v>146</v>
      </c>
      <c r="AI440" s="117"/>
      <c r="AJ440" s="123"/>
      <c r="AK440" s="123"/>
      <c r="AL440" s="123"/>
      <c r="AQ440" s="115"/>
      <c r="AR440" s="115"/>
      <c r="AS440" s="115"/>
      <c r="AT440" s="115"/>
      <c r="AU440" s="115"/>
      <c r="AV440" s="115"/>
      <c r="AW440" s="115"/>
      <c r="AX440" s="115"/>
      <c r="AY440" s="115"/>
      <c r="AZ440" s="115"/>
      <c r="BA440" s="25">
        <v>45265</v>
      </c>
      <c r="BB440" s="13" t="s">
        <v>162</v>
      </c>
      <c r="BE440" s="114"/>
    </row>
    <row r="441" spans="1:57" ht="19.5" x14ac:dyDescent="0.4">
      <c r="A441" s="117"/>
      <c r="B441" s="123"/>
      <c r="C441" s="123"/>
      <c r="D441" s="123"/>
      <c r="R441" s="26"/>
      <c r="S441" s="13"/>
      <c r="AC441" s="25">
        <v>45686</v>
      </c>
      <c r="AD441" s="15" t="s">
        <v>146</v>
      </c>
      <c r="AI441" s="117"/>
      <c r="AJ441" s="123"/>
      <c r="AK441" s="123"/>
      <c r="AL441" s="123"/>
      <c r="AQ441" s="115"/>
      <c r="AR441" s="115"/>
      <c r="AS441" s="115"/>
      <c r="AT441" s="115"/>
      <c r="AU441" s="115"/>
      <c r="AV441" s="115"/>
      <c r="AW441" s="115"/>
      <c r="AX441" s="115"/>
      <c r="AY441" s="115"/>
      <c r="AZ441" s="115"/>
      <c r="BA441" s="25">
        <v>45265</v>
      </c>
      <c r="BB441" s="25" t="s">
        <v>162</v>
      </c>
      <c r="BE441" s="114"/>
    </row>
    <row r="442" spans="1:57" ht="19.5" x14ac:dyDescent="0.4">
      <c r="A442" s="117"/>
      <c r="B442" s="123"/>
      <c r="C442" s="123"/>
      <c r="D442" s="123"/>
      <c r="R442" s="26"/>
      <c r="S442" s="13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25">
        <v>45686</v>
      </c>
      <c r="AD442" s="15" t="s">
        <v>146</v>
      </c>
      <c r="AI442" s="117"/>
      <c r="AJ442" s="123"/>
      <c r="AK442" s="123"/>
      <c r="AL442" s="123"/>
      <c r="AQ442" s="115"/>
      <c r="AR442" s="115"/>
      <c r="AS442" s="115"/>
      <c r="AT442" s="115"/>
      <c r="AU442" s="115"/>
      <c r="AV442" s="115"/>
      <c r="AW442" s="115"/>
      <c r="AX442" s="115"/>
      <c r="AY442" s="115"/>
      <c r="AZ442" s="115"/>
      <c r="BA442" s="25"/>
      <c r="BB442" s="25"/>
      <c r="BE442" s="114"/>
    </row>
    <row r="443" spans="1:57" ht="19.5" x14ac:dyDescent="0.4">
      <c r="A443" s="117"/>
      <c r="B443" s="123"/>
      <c r="C443" s="123"/>
      <c r="D443" s="123"/>
      <c r="R443" s="129"/>
      <c r="S443" s="13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25"/>
      <c r="AD443" s="13"/>
      <c r="AI443" s="117"/>
      <c r="AJ443" s="123"/>
      <c r="AK443" s="123"/>
      <c r="AL443" s="123"/>
      <c r="AQ443" s="115"/>
      <c r="AR443" s="115"/>
      <c r="AS443" s="115"/>
      <c r="AT443" s="115"/>
      <c r="AU443" s="115"/>
      <c r="AV443" s="115"/>
      <c r="AW443" s="115"/>
      <c r="AX443" s="115"/>
      <c r="AY443" s="115"/>
      <c r="AZ443" s="115"/>
      <c r="BA443" s="25"/>
      <c r="BB443" s="25"/>
      <c r="BE443" s="114"/>
    </row>
    <row r="444" spans="1:57" ht="19.5" x14ac:dyDescent="0.4">
      <c r="A444" s="117"/>
      <c r="B444" s="123"/>
      <c r="C444" s="123"/>
      <c r="D444" s="123"/>
      <c r="R444" s="26"/>
      <c r="S444" s="13"/>
      <c r="AC444" s="25">
        <v>45686</v>
      </c>
      <c r="AD444" s="13" t="s">
        <v>146</v>
      </c>
      <c r="AI444" s="117"/>
      <c r="AJ444" s="123"/>
      <c r="AK444" s="123"/>
      <c r="AL444" s="123"/>
      <c r="AQ444" s="115"/>
      <c r="AR444" s="115"/>
      <c r="AS444" s="115"/>
      <c r="AT444" s="115"/>
      <c r="AU444" s="115"/>
      <c r="AV444" s="115"/>
      <c r="AW444" s="115"/>
      <c r="AX444" s="115"/>
      <c r="AY444" s="115"/>
      <c r="AZ444" s="115"/>
      <c r="BA444" s="25">
        <v>45265</v>
      </c>
      <c r="BB444" s="13" t="s">
        <v>162</v>
      </c>
      <c r="BE444" s="114"/>
    </row>
    <row r="445" spans="1:57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26"/>
      <c r="S445" s="13"/>
      <c r="AC445" s="25"/>
      <c r="AD445" s="13"/>
      <c r="AI445" s="117"/>
      <c r="AJ445" s="123"/>
      <c r="AK445" s="123"/>
      <c r="AL445" s="123"/>
      <c r="AQ445" s="115"/>
      <c r="AR445" s="115"/>
      <c r="AS445" s="115"/>
      <c r="AT445" s="115"/>
      <c r="AU445" s="115"/>
      <c r="AV445" s="115"/>
      <c r="AW445" s="115"/>
      <c r="AX445" s="115"/>
      <c r="AY445" s="115"/>
      <c r="AZ445" s="115"/>
      <c r="BA445" s="25"/>
      <c r="BB445" s="13"/>
      <c r="BE445" s="114"/>
    </row>
    <row r="446" spans="1:57" ht="19.5" x14ac:dyDescent="0.4">
      <c r="A446" s="117"/>
      <c r="B446" s="123"/>
      <c r="C446" s="123"/>
      <c r="D446" s="123"/>
      <c r="R446" s="26"/>
      <c r="S446" s="13"/>
      <c r="Y446" s="115"/>
      <c r="Z446" s="115"/>
      <c r="AA446" s="115"/>
      <c r="AB446" s="115"/>
      <c r="AC446" s="25">
        <v>45686</v>
      </c>
      <c r="AD446" s="15" t="s">
        <v>146</v>
      </c>
      <c r="AI446" s="117"/>
      <c r="AJ446" s="123"/>
      <c r="AK446" s="123"/>
      <c r="AL446" s="123"/>
      <c r="AQ446" s="115"/>
      <c r="AR446" s="115"/>
      <c r="AS446" s="115"/>
      <c r="AT446" s="115"/>
      <c r="AU446" s="115"/>
      <c r="AV446" s="115"/>
      <c r="AW446" s="115"/>
      <c r="AX446" s="115"/>
      <c r="AY446" s="115"/>
      <c r="AZ446" s="115"/>
      <c r="BA446" s="25"/>
      <c r="BB446" s="13"/>
      <c r="BE446" s="114"/>
    </row>
    <row r="447" spans="1:57" ht="19.5" x14ac:dyDescent="0.4">
      <c r="A447" s="117"/>
      <c r="B447" s="123"/>
      <c r="C447" s="123"/>
      <c r="D447" s="123"/>
      <c r="R447" s="26"/>
      <c r="S447" s="13"/>
      <c r="AC447" s="25">
        <v>45686</v>
      </c>
      <c r="AD447" s="15" t="s">
        <v>147</v>
      </c>
      <c r="AI447" s="117"/>
      <c r="AJ447" s="123"/>
      <c r="AK447" s="123"/>
      <c r="AL447" s="123"/>
      <c r="AQ447" s="115"/>
      <c r="AR447" s="115"/>
      <c r="AS447" s="115"/>
      <c r="AT447" s="115"/>
      <c r="AU447" s="115"/>
      <c r="AV447" s="115"/>
      <c r="AW447" s="115"/>
      <c r="AX447" s="115"/>
      <c r="AY447" s="115"/>
      <c r="AZ447" s="115"/>
      <c r="BA447" s="25">
        <v>45265</v>
      </c>
      <c r="BB447" s="13" t="s">
        <v>162</v>
      </c>
      <c r="BE447" s="114"/>
    </row>
    <row r="448" spans="1:57" ht="19.5" x14ac:dyDescent="0.4">
      <c r="A448" s="117"/>
      <c r="B448" s="123"/>
      <c r="C448" s="123"/>
      <c r="D448" s="123"/>
      <c r="R448" s="26"/>
      <c r="S448" s="13"/>
      <c r="Z448" s="115"/>
      <c r="AA448" s="115"/>
      <c r="AB448" s="115"/>
      <c r="AC448" s="25">
        <v>45686</v>
      </c>
      <c r="AD448" s="15" t="s">
        <v>147</v>
      </c>
      <c r="AI448" s="117"/>
      <c r="AJ448" s="123"/>
      <c r="AK448" s="123"/>
      <c r="AL448" s="123"/>
      <c r="AQ448" s="115"/>
      <c r="AR448" s="115"/>
      <c r="AS448" s="115"/>
      <c r="AT448" s="115"/>
      <c r="AU448" s="115"/>
      <c r="AV448" s="115"/>
      <c r="AW448" s="115"/>
      <c r="AX448" s="115"/>
      <c r="AY448" s="115"/>
      <c r="AZ448" s="115"/>
      <c r="BA448" s="25"/>
      <c r="BB448" s="13"/>
      <c r="BE448" s="114"/>
    </row>
    <row r="449" spans="1:57" ht="19.5" x14ac:dyDescent="0.4">
      <c r="A449" s="117"/>
      <c r="B449" s="123"/>
      <c r="C449" s="123"/>
      <c r="D449" s="123"/>
      <c r="R449" s="26"/>
      <c r="S449" s="1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25">
        <v>45686</v>
      </c>
      <c r="AD449" s="13" t="s">
        <v>146</v>
      </c>
      <c r="AI449" s="117"/>
      <c r="AJ449" s="123"/>
      <c r="AK449" s="123"/>
      <c r="AL449" s="123"/>
      <c r="AQ449" s="115"/>
      <c r="AR449" s="115"/>
      <c r="AS449" s="115"/>
      <c r="AT449" s="115"/>
      <c r="AU449" s="115"/>
      <c r="AV449" s="115"/>
      <c r="AW449" s="115"/>
      <c r="AX449" s="115"/>
      <c r="AY449" s="115"/>
      <c r="AZ449" s="115"/>
      <c r="BA449" s="25"/>
      <c r="BB449" s="13"/>
      <c r="BE449" s="114"/>
    </row>
    <row r="450" spans="1:57" ht="19.5" x14ac:dyDescent="0.4">
      <c r="A450" s="117"/>
      <c r="B450" s="123"/>
      <c r="C450" s="123"/>
      <c r="D450" s="123"/>
      <c r="R450" s="26"/>
      <c r="S450" s="13"/>
      <c r="AC450" s="25">
        <v>45686</v>
      </c>
      <c r="AD450" s="25" t="s">
        <v>146</v>
      </c>
      <c r="AI450" s="117"/>
      <c r="AJ450" s="123"/>
      <c r="AK450" s="123"/>
      <c r="AL450" s="123"/>
      <c r="AQ450" s="115"/>
      <c r="AR450" s="115"/>
      <c r="AS450" s="115"/>
      <c r="AT450" s="115"/>
      <c r="AU450" s="115"/>
      <c r="AV450" s="115"/>
      <c r="AW450" s="115"/>
      <c r="AX450" s="115"/>
      <c r="AY450" s="115"/>
      <c r="AZ450" s="115"/>
      <c r="BA450" s="25">
        <v>45265</v>
      </c>
      <c r="BB450" s="13" t="s">
        <v>163</v>
      </c>
      <c r="BE450" s="114"/>
    </row>
    <row r="451" spans="1:57" ht="19.5" x14ac:dyDescent="0.4">
      <c r="A451" s="117"/>
      <c r="B451" s="123"/>
      <c r="C451" s="123"/>
      <c r="D451" s="123"/>
      <c r="R451" s="26"/>
      <c r="S451" s="13"/>
      <c r="AC451" s="25">
        <v>45686</v>
      </c>
      <c r="AD451" s="25" t="s">
        <v>147</v>
      </c>
      <c r="AI451" s="117"/>
      <c r="AJ451" s="123"/>
      <c r="AK451" s="123"/>
      <c r="AL451" s="123"/>
      <c r="AQ451" s="115"/>
      <c r="AR451" s="115"/>
      <c r="AS451" s="115"/>
      <c r="AT451" s="115"/>
      <c r="AU451" s="115"/>
      <c r="AV451" s="115"/>
      <c r="AW451" s="115"/>
      <c r="AX451" s="115"/>
      <c r="AY451" s="115"/>
      <c r="AZ451" s="115" t="s">
        <v>155</v>
      </c>
      <c r="BA451" s="13">
        <f>SUBTOTAL(3,BA440:BA450)</f>
        <v>5</v>
      </c>
      <c r="BB451" s="13">
        <f>SUBTOTAL(3,BB440:BB450)</f>
        <v>5</v>
      </c>
      <c r="BE451" s="114"/>
    </row>
    <row r="452" spans="1:57" ht="19.5" x14ac:dyDescent="0.4">
      <c r="A452" s="117"/>
      <c r="B452" s="123"/>
      <c r="C452" s="123"/>
      <c r="D452" s="123"/>
      <c r="R452" s="26"/>
      <c r="S452" s="13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25">
        <v>45686</v>
      </c>
      <c r="AD452" s="25" t="s">
        <v>148</v>
      </c>
      <c r="AI452" s="117"/>
      <c r="AJ452" s="123"/>
      <c r="AK452" s="123"/>
      <c r="AL452" s="123"/>
      <c r="AQ452" s="115"/>
      <c r="AR452" s="115"/>
      <c r="AS452" s="115"/>
      <c r="AT452" s="115"/>
      <c r="AU452" s="115"/>
      <c r="AV452" s="115"/>
      <c r="AW452" s="115"/>
      <c r="AX452" s="115"/>
      <c r="AY452" s="115"/>
      <c r="AZ452" s="115"/>
      <c r="BA452" s="13"/>
      <c r="BB452" s="13"/>
      <c r="BE452" s="114"/>
    </row>
    <row r="453" spans="1:57" ht="19.5" x14ac:dyDescent="0.4">
      <c r="A453" s="117"/>
      <c r="B453" s="123"/>
      <c r="C453" s="123"/>
      <c r="D453" s="123"/>
      <c r="R453" s="26"/>
      <c r="S453" s="13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25">
        <v>45686</v>
      </c>
      <c r="AD453" s="13" t="s">
        <v>146</v>
      </c>
      <c r="AI453" s="117"/>
      <c r="AJ453" s="123"/>
      <c r="AK453" s="123"/>
      <c r="AL453" s="123"/>
      <c r="AQ453" s="115"/>
      <c r="AR453" s="115"/>
      <c r="AS453" s="115"/>
      <c r="AT453" s="115"/>
      <c r="AU453" s="115"/>
      <c r="AV453" s="115"/>
      <c r="AW453" s="115"/>
      <c r="AX453" s="115"/>
      <c r="AY453" s="115"/>
      <c r="AZ453" s="115"/>
      <c r="BA453" s="13"/>
      <c r="BB453" s="13"/>
      <c r="BE453" s="114"/>
    </row>
    <row r="454" spans="1:57" ht="19.5" x14ac:dyDescent="0.4">
      <c r="A454" s="117"/>
      <c r="B454" s="123"/>
      <c r="C454" s="123"/>
      <c r="D454" s="123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26"/>
      <c r="S454" s="13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25">
        <v>45686</v>
      </c>
      <c r="AD454" s="13" t="s">
        <v>146</v>
      </c>
      <c r="AI454" s="117"/>
      <c r="AJ454" s="123"/>
      <c r="AK454" s="123"/>
      <c r="AL454" s="123"/>
      <c r="AQ454" s="115"/>
      <c r="AR454" s="115"/>
      <c r="AS454" s="115"/>
      <c r="AT454" s="115"/>
      <c r="AU454" s="115"/>
      <c r="AV454" s="115"/>
      <c r="AW454" s="115"/>
      <c r="AX454" s="115"/>
      <c r="AY454" s="115"/>
      <c r="AZ454" s="115"/>
      <c r="BA454" s="13"/>
      <c r="BB454" s="13"/>
      <c r="BE454" s="114"/>
    </row>
    <row r="455" spans="1:57" ht="19.5" x14ac:dyDescent="0.4">
      <c r="A455" s="117"/>
      <c r="B455" s="123"/>
      <c r="C455" s="123"/>
      <c r="D455" s="123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26"/>
      <c r="S455" s="1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25">
        <v>45686</v>
      </c>
      <c r="AD455" s="15" t="s">
        <v>148</v>
      </c>
      <c r="AI455" s="117"/>
      <c r="AJ455" s="123"/>
      <c r="AK455" s="123"/>
      <c r="AL455" s="123"/>
      <c r="AQ455" s="115"/>
      <c r="AR455" s="115"/>
      <c r="AS455" s="115"/>
      <c r="AT455" s="115"/>
      <c r="AU455" s="115"/>
      <c r="AV455" s="115"/>
      <c r="AW455" s="115"/>
      <c r="AX455" s="115"/>
      <c r="AY455" s="115"/>
      <c r="AZ455" s="115"/>
      <c r="BA455" s="13"/>
      <c r="BB455" s="13"/>
      <c r="BE455" s="114"/>
    </row>
    <row r="456" spans="1:57" ht="19.5" x14ac:dyDescent="0.4">
      <c r="A456" s="117"/>
      <c r="B456" s="123"/>
      <c r="C456" s="123"/>
      <c r="D456" s="123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26"/>
      <c r="S456" s="13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25">
        <v>45686</v>
      </c>
      <c r="AD456" s="15" t="s">
        <v>148</v>
      </c>
      <c r="AI456" s="117"/>
      <c r="AJ456" s="123"/>
      <c r="AK456" s="123"/>
      <c r="AL456" s="123"/>
      <c r="AQ456" s="115"/>
      <c r="AR456" s="115"/>
      <c r="AS456" s="115"/>
      <c r="AT456" s="115"/>
      <c r="AU456" s="115"/>
      <c r="AV456" s="115"/>
      <c r="AW456" s="115"/>
      <c r="AX456" s="115"/>
      <c r="AY456" s="115"/>
      <c r="AZ456" s="115"/>
      <c r="BA456" s="13"/>
      <c r="BB456" s="13"/>
      <c r="BE456" s="114"/>
    </row>
    <row r="457" spans="1:57" ht="19.5" x14ac:dyDescent="0.4">
      <c r="A457" s="117"/>
      <c r="B457" s="123"/>
      <c r="C457" s="123"/>
      <c r="D457" s="123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26"/>
      <c r="S457" s="13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25">
        <v>45686</v>
      </c>
      <c r="AD457" s="15" t="s">
        <v>148</v>
      </c>
      <c r="AI457" s="117"/>
      <c r="AJ457" s="123"/>
      <c r="AK457" s="123"/>
      <c r="AL457" s="123"/>
      <c r="AQ457" s="115"/>
      <c r="AR457" s="115"/>
      <c r="AS457" s="115"/>
      <c r="AT457" s="115"/>
      <c r="AU457" s="115"/>
      <c r="AV457" s="115"/>
      <c r="AW457" s="115"/>
      <c r="AX457" s="115"/>
      <c r="AY457" s="115"/>
      <c r="AZ457" s="115"/>
      <c r="BA457" s="13"/>
      <c r="BB457" s="13"/>
      <c r="BE457" s="114"/>
    </row>
    <row r="458" spans="1:57" ht="19.5" x14ac:dyDescent="0.4">
      <c r="A458" s="117"/>
      <c r="B458" s="123"/>
      <c r="C458" s="123"/>
      <c r="D458" s="123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26"/>
      <c r="S458" s="13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25">
        <v>45686</v>
      </c>
      <c r="AD458" s="15" t="s">
        <v>146</v>
      </c>
      <c r="AI458" s="117"/>
      <c r="AJ458" s="123"/>
      <c r="AK458" s="123"/>
      <c r="AL458" s="123"/>
      <c r="AQ458" s="115"/>
      <c r="AR458" s="115"/>
      <c r="AS458" s="115"/>
      <c r="AT458" s="115"/>
      <c r="AU458" s="115"/>
      <c r="AV458" s="115"/>
      <c r="AW458" s="115"/>
      <c r="AX458" s="115"/>
      <c r="AY458" s="115"/>
      <c r="AZ458" s="115"/>
      <c r="BA458" s="13"/>
      <c r="BB458" s="13"/>
      <c r="BE458" s="114"/>
    </row>
    <row r="459" spans="1:57" ht="19.5" x14ac:dyDescent="0.4">
      <c r="A459" s="117"/>
      <c r="B459" s="123"/>
      <c r="C459" s="123"/>
      <c r="D459" s="123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26"/>
      <c r="S459" s="13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25">
        <v>45686</v>
      </c>
      <c r="AD459" s="15" t="s">
        <v>148</v>
      </c>
      <c r="AI459" s="117"/>
      <c r="AJ459" s="123"/>
      <c r="AK459" s="123"/>
      <c r="AL459" s="123"/>
      <c r="AQ459" s="115"/>
      <c r="AR459" s="115"/>
      <c r="AS459" s="115"/>
      <c r="AT459" s="115"/>
      <c r="AU459" s="115"/>
      <c r="AV459" s="115"/>
      <c r="AW459" s="115"/>
      <c r="AX459" s="115"/>
      <c r="AY459" s="115"/>
      <c r="AZ459" s="115"/>
      <c r="BA459" s="13"/>
      <c r="BB459" s="13"/>
      <c r="BE459" s="114"/>
    </row>
    <row r="460" spans="1:57" ht="19.5" x14ac:dyDescent="0.4">
      <c r="A460" s="117"/>
      <c r="B460" s="123"/>
      <c r="C460" s="123"/>
      <c r="D460" s="123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26"/>
      <c r="S460" s="13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25">
        <v>45689</v>
      </c>
      <c r="AD460" s="15" t="s">
        <v>147</v>
      </c>
      <c r="AI460" s="117"/>
      <c r="AJ460" s="123"/>
      <c r="AK460" s="123"/>
      <c r="AL460" s="123"/>
      <c r="AQ460" s="115"/>
      <c r="AR460" s="115"/>
      <c r="AS460" s="115"/>
      <c r="AT460" s="115"/>
      <c r="AU460" s="115"/>
      <c r="AV460" s="115"/>
      <c r="AW460" s="115"/>
      <c r="AX460" s="115"/>
      <c r="AY460" s="115"/>
      <c r="AZ460" s="115"/>
      <c r="BA460" s="13"/>
      <c r="BB460" s="13"/>
      <c r="BE460" s="114"/>
    </row>
    <row r="461" spans="1:57" ht="19.5" x14ac:dyDescent="0.4">
      <c r="A461" s="117"/>
      <c r="B461" s="123"/>
      <c r="C461" s="123"/>
      <c r="D461" s="123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26"/>
      <c r="S461" s="13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25"/>
      <c r="AD461" s="15"/>
      <c r="AI461" s="117"/>
      <c r="AJ461" s="123"/>
      <c r="AK461" s="123"/>
      <c r="AL461" s="123"/>
      <c r="AQ461" s="115"/>
      <c r="AR461" s="115"/>
      <c r="AS461" s="115"/>
      <c r="AT461" s="115"/>
      <c r="AU461" s="115"/>
      <c r="AV461" s="115"/>
      <c r="AW461" s="115"/>
      <c r="AX461" s="115"/>
      <c r="AY461" s="115"/>
      <c r="AZ461" s="115"/>
      <c r="BA461" s="13"/>
      <c r="BB461" s="13"/>
      <c r="BE461" s="114"/>
    </row>
    <row r="462" spans="1:57" ht="19.5" x14ac:dyDescent="0.4">
      <c r="A462" s="117"/>
      <c r="B462" s="123"/>
      <c r="C462" s="123"/>
      <c r="D462" s="123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26"/>
      <c r="S462" s="13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25">
        <v>45689</v>
      </c>
      <c r="AD462" s="15" t="s">
        <v>147</v>
      </c>
      <c r="AI462" s="117"/>
      <c r="AJ462" s="123"/>
      <c r="AK462" s="123"/>
      <c r="AL462" s="123"/>
      <c r="AQ462" s="115"/>
      <c r="AR462" s="115"/>
      <c r="AS462" s="115"/>
      <c r="AT462" s="115"/>
      <c r="AU462" s="115"/>
      <c r="AV462" s="115"/>
      <c r="AW462" s="115"/>
      <c r="AX462" s="115"/>
      <c r="AY462" s="115"/>
      <c r="AZ462" s="115"/>
      <c r="BA462" s="13"/>
      <c r="BB462" s="13"/>
      <c r="BE462" s="114"/>
    </row>
    <row r="463" spans="1:57" ht="19.5" x14ac:dyDescent="0.4">
      <c r="A463" s="117"/>
      <c r="B463" s="123"/>
      <c r="C463" s="123"/>
      <c r="D463" s="123"/>
      <c r="R463" s="26"/>
      <c r="S463" s="13"/>
      <c r="AC463" s="25">
        <v>45689</v>
      </c>
      <c r="AD463" s="15" t="s">
        <v>146</v>
      </c>
      <c r="AI463" s="117"/>
      <c r="AJ463" s="123"/>
      <c r="AK463" s="123"/>
      <c r="AL463" s="123"/>
      <c r="AN463" s="115"/>
      <c r="AO463" s="115"/>
      <c r="AP463" s="115"/>
      <c r="AQ463" s="115"/>
      <c r="AR463" s="115"/>
      <c r="AS463" s="115"/>
      <c r="AT463" s="115"/>
      <c r="AU463" s="115"/>
      <c r="AV463" s="115"/>
      <c r="AW463" s="115"/>
      <c r="AX463" s="115"/>
      <c r="AY463" s="115"/>
      <c r="AZ463" s="115"/>
      <c r="BA463" s="25">
        <v>45266</v>
      </c>
      <c r="BB463" s="25" t="s">
        <v>162</v>
      </c>
      <c r="BE463" s="114"/>
    </row>
    <row r="464" spans="1:57" ht="19.5" x14ac:dyDescent="0.4">
      <c r="A464" s="117"/>
      <c r="B464" s="123"/>
      <c r="C464" s="123"/>
      <c r="D464" s="123"/>
      <c r="R464" s="129"/>
      <c r="S464" s="13"/>
      <c r="AC464" s="25"/>
      <c r="AD464" s="15"/>
      <c r="AI464" s="117"/>
      <c r="AJ464" s="123"/>
      <c r="AK464" s="123"/>
      <c r="AL464" s="123"/>
      <c r="AN464" s="115"/>
      <c r="AO464" s="115"/>
      <c r="AP464" s="115"/>
      <c r="AQ464" s="115"/>
      <c r="AR464" s="115"/>
      <c r="AS464" s="115"/>
      <c r="AT464" s="115"/>
      <c r="AU464" s="115"/>
      <c r="AV464" s="115"/>
      <c r="AW464" s="115"/>
      <c r="AX464" s="115"/>
      <c r="AY464" s="115"/>
      <c r="AZ464" s="115"/>
      <c r="BA464" s="25"/>
      <c r="BB464" s="25"/>
      <c r="BE464" s="114"/>
    </row>
    <row r="465" spans="1:57" ht="19.5" x14ac:dyDescent="0.4">
      <c r="A465" s="117"/>
      <c r="B465" s="123"/>
      <c r="C465" s="123"/>
      <c r="D465" s="123"/>
      <c r="R465" s="26"/>
      <c r="S465" s="13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25">
        <v>45689</v>
      </c>
      <c r="AD465" s="15" t="s">
        <v>146</v>
      </c>
      <c r="AI465" s="117"/>
      <c r="AJ465" s="123"/>
      <c r="AK465" s="123"/>
      <c r="AL465" s="123"/>
      <c r="AN465" s="115"/>
      <c r="AO465" s="115"/>
      <c r="AP465" s="115"/>
      <c r="AQ465" s="115"/>
      <c r="AR465" s="115"/>
      <c r="AS465" s="115"/>
      <c r="AT465" s="115"/>
      <c r="AU465" s="115"/>
      <c r="AV465" s="115"/>
      <c r="AW465" s="115"/>
      <c r="AX465" s="115"/>
      <c r="AY465" s="115"/>
      <c r="AZ465" s="115"/>
      <c r="BA465" s="25"/>
      <c r="BB465" s="25"/>
      <c r="BE465" s="114"/>
    </row>
    <row r="466" spans="1:57" ht="19.5" x14ac:dyDescent="0.4">
      <c r="A466" s="117"/>
      <c r="B466" s="123"/>
      <c r="C466" s="123"/>
      <c r="D466" s="123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26"/>
      <c r="S466" s="13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25"/>
      <c r="AD466" s="15"/>
      <c r="AI466" s="117"/>
      <c r="AJ466" s="123"/>
      <c r="AK466" s="123"/>
      <c r="AL466" s="123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115"/>
      <c r="AX466" s="115"/>
      <c r="AY466" s="115"/>
      <c r="AZ466" s="115"/>
      <c r="BA466" s="25"/>
      <c r="BB466" s="25"/>
      <c r="BE466" s="114"/>
    </row>
    <row r="467" spans="1:57" ht="19.5" x14ac:dyDescent="0.4">
      <c r="A467" s="117"/>
      <c r="B467" s="123"/>
      <c r="C467" s="123"/>
      <c r="D467" s="123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26"/>
      <c r="S467" s="13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25"/>
      <c r="AD467" s="15"/>
      <c r="AI467" s="117"/>
      <c r="AJ467" s="123"/>
      <c r="AK467" s="123"/>
      <c r="AL467" s="123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115"/>
      <c r="AX467" s="115"/>
      <c r="AY467" s="115"/>
      <c r="AZ467" s="115"/>
      <c r="BA467" s="25"/>
      <c r="BB467" s="25"/>
      <c r="BE467" s="114"/>
    </row>
    <row r="468" spans="1:57" ht="19.5" x14ac:dyDescent="0.4">
      <c r="A468" s="117"/>
      <c r="B468" s="123"/>
      <c r="C468" s="123"/>
      <c r="D468" s="123"/>
      <c r="R468" s="26"/>
      <c r="S468" s="13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25">
        <v>45690</v>
      </c>
      <c r="AD468" s="15" t="s">
        <v>146</v>
      </c>
      <c r="AI468" s="117"/>
      <c r="AJ468" s="123"/>
      <c r="AK468" s="123"/>
      <c r="AL468" s="123"/>
      <c r="AN468" s="115"/>
      <c r="AO468" s="115"/>
      <c r="AP468" s="115"/>
      <c r="AQ468" s="115"/>
      <c r="AR468" s="115"/>
      <c r="AS468" s="115"/>
      <c r="AT468" s="115"/>
      <c r="AU468" s="115"/>
      <c r="AV468" s="115"/>
      <c r="AW468" s="115"/>
      <c r="AX468" s="115"/>
      <c r="AY468" s="115"/>
      <c r="AZ468" s="115"/>
      <c r="BA468" s="25"/>
      <c r="BB468" s="25"/>
      <c r="BE468" s="114"/>
    </row>
    <row r="469" spans="1:57" ht="19.5" x14ac:dyDescent="0.4">
      <c r="A469" s="117"/>
      <c r="B469" s="123"/>
      <c r="C469" s="123"/>
      <c r="D469" s="123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26"/>
      <c r="S469" s="13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25"/>
      <c r="AD469" s="15"/>
      <c r="AI469" s="117"/>
      <c r="AJ469" s="123"/>
      <c r="AK469" s="123"/>
      <c r="AL469" s="123"/>
      <c r="AN469" s="115"/>
      <c r="AO469" s="115"/>
      <c r="AP469" s="115"/>
      <c r="AQ469" s="115"/>
      <c r="AR469" s="115"/>
      <c r="AS469" s="115"/>
      <c r="AT469" s="115"/>
      <c r="AU469" s="115"/>
      <c r="AV469" s="115"/>
      <c r="AW469" s="115"/>
      <c r="AX469" s="115"/>
      <c r="AY469" s="115"/>
      <c r="AZ469" s="115"/>
      <c r="BA469" s="25"/>
      <c r="BB469" s="25"/>
      <c r="BE469" s="114"/>
    </row>
    <row r="470" spans="1:57" ht="19.5" x14ac:dyDescent="0.4">
      <c r="A470" s="117"/>
      <c r="B470" s="123"/>
      <c r="C470" s="123"/>
      <c r="D470" s="123"/>
      <c r="R470" s="26"/>
      <c r="S470" s="13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25">
        <v>45691</v>
      </c>
      <c r="AD470" s="15" t="s">
        <v>146</v>
      </c>
      <c r="AI470" s="117"/>
      <c r="AJ470" s="123"/>
      <c r="AK470" s="123"/>
      <c r="AL470" s="123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115"/>
      <c r="AX470" s="115"/>
      <c r="AY470" s="115"/>
      <c r="AZ470" s="115"/>
      <c r="BA470" s="25"/>
      <c r="BB470" s="25"/>
      <c r="BE470" s="114"/>
    </row>
    <row r="471" spans="1:57" ht="19.5" x14ac:dyDescent="0.4">
      <c r="A471" s="117"/>
      <c r="B471" s="123"/>
      <c r="C471" s="123"/>
      <c r="D471" s="123"/>
      <c r="R471" s="26"/>
      <c r="S471" s="13"/>
      <c r="AC471" s="25">
        <v>45691</v>
      </c>
      <c r="AD471" s="15" t="s">
        <v>146</v>
      </c>
      <c r="AI471" s="117"/>
      <c r="AJ471" s="123"/>
      <c r="AK471" s="123"/>
      <c r="AL471" s="123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115"/>
      <c r="AX471" s="115"/>
      <c r="AY471" s="115"/>
      <c r="AZ471" s="115" t="s">
        <v>156</v>
      </c>
      <c r="BA471" s="13">
        <f>SUBTOTAL(3,BA463:BA463)</f>
        <v>1</v>
      </c>
      <c r="BB471" s="13">
        <f>SUBTOTAL(3,BB463:BB463)</f>
        <v>1</v>
      </c>
      <c r="BE471" s="114"/>
    </row>
    <row r="472" spans="1:57" ht="19.5" x14ac:dyDescent="0.4">
      <c r="A472" s="117"/>
      <c r="B472" s="123"/>
      <c r="C472" s="123"/>
      <c r="D472" s="123"/>
      <c r="R472" s="26"/>
      <c r="S472" s="13"/>
      <c r="Y472" s="115"/>
      <c r="Z472" s="115"/>
      <c r="AA472" s="115"/>
      <c r="AB472" s="115"/>
      <c r="AC472" s="25">
        <v>45691</v>
      </c>
      <c r="AD472" s="15" t="s">
        <v>146</v>
      </c>
      <c r="AI472" s="117"/>
      <c r="AJ472" s="123"/>
      <c r="AK472" s="123"/>
      <c r="AL472" s="123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115"/>
      <c r="AX472" s="115"/>
      <c r="AY472" s="115"/>
      <c r="AZ472" s="115"/>
      <c r="BA472" s="13"/>
      <c r="BB472" s="13"/>
      <c r="BE472" s="114"/>
    </row>
    <row r="473" spans="1:57" ht="19.5" x14ac:dyDescent="0.4">
      <c r="A473" s="117"/>
      <c r="B473" s="123"/>
      <c r="C473" s="123"/>
      <c r="D473" s="123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26"/>
      <c r="S473" s="13"/>
      <c r="Y473" s="115"/>
      <c r="Z473" s="115"/>
      <c r="AA473" s="115"/>
      <c r="AB473" s="115"/>
      <c r="AC473" s="25"/>
      <c r="AD473" s="15"/>
      <c r="AI473" s="117"/>
      <c r="AJ473" s="123"/>
      <c r="AK473" s="123"/>
      <c r="AL473" s="123"/>
      <c r="AN473" s="115"/>
      <c r="AO473" s="115"/>
      <c r="AP473" s="115"/>
      <c r="AQ473" s="115"/>
      <c r="AR473" s="115"/>
      <c r="AS473" s="115"/>
      <c r="AT473" s="115"/>
      <c r="AU473" s="115"/>
      <c r="AV473" s="115"/>
      <c r="AW473" s="115"/>
      <c r="AX473" s="115"/>
      <c r="AY473" s="115"/>
      <c r="AZ473" s="115"/>
      <c r="BA473" s="13"/>
      <c r="BB473" s="13"/>
      <c r="BE473" s="114"/>
    </row>
    <row r="474" spans="1:57" ht="19.5" x14ac:dyDescent="0.4">
      <c r="A474" s="117"/>
      <c r="B474" s="123"/>
      <c r="C474" s="123"/>
      <c r="D474" s="123"/>
      <c r="R474" s="26"/>
      <c r="S474" s="13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25">
        <v>45691</v>
      </c>
      <c r="AD474" s="15" t="s">
        <v>146</v>
      </c>
      <c r="AI474" s="117"/>
      <c r="AJ474" s="123"/>
      <c r="AK474" s="123"/>
      <c r="AL474" s="123"/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115"/>
      <c r="AX474" s="115"/>
      <c r="AY474" s="115"/>
      <c r="AZ474" s="115"/>
      <c r="BA474" s="13"/>
      <c r="BB474" s="13"/>
      <c r="BE474" s="114"/>
    </row>
    <row r="475" spans="1:57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26"/>
      <c r="S475" s="13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25"/>
      <c r="AD475" s="15"/>
      <c r="AI475" s="117"/>
      <c r="AJ475" s="123"/>
      <c r="AK475" s="123"/>
      <c r="AL475" s="123"/>
      <c r="AN475" s="115"/>
      <c r="AO475" s="115"/>
      <c r="AP475" s="115"/>
      <c r="AQ475" s="115"/>
      <c r="AR475" s="115"/>
      <c r="AS475" s="115"/>
      <c r="AT475" s="115"/>
      <c r="AU475" s="115"/>
      <c r="AV475" s="115"/>
      <c r="AW475" s="115"/>
      <c r="AX475" s="115"/>
      <c r="AY475" s="115"/>
      <c r="AZ475" s="115"/>
      <c r="BA475" s="13"/>
      <c r="BB475" s="13"/>
      <c r="BE475" s="114"/>
    </row>
    <row r="476" spans="1:57" ht="19.5" x14ac:dyDescent="0.4">
      <c r="A476" s="117"/>
      <c r="B476" s="123"/>
      <c r="C476" s="123"/>
      <c r="D476" s="123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26"/>
      <c r="S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25"/>
      <c r="AD476" s="15"/>
      <c r="AI476" s="117"/>
      <c r="AJ476" s="123"/>
      <c r="AK476" s="123"/>
      <c r="AL476" s="123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115"/>
      <c r="AY476" s="115"/>
      <c r="AZ476" s="115"/>
      <c r="BA476" s="13"/>
      <c r="BB476" s="13"/>
      <c r="BE476" s="114"/>
    </row>
    <row r="477" spans="1:57" ht="19.5" x14ac:dyDescent="0.4">
      <c r="A477" s="117"/>
      <c r="B477" s="123"/>
      <c r="C477" s="123"/>
      <c r="D477" s="123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26"/>
      <c r="S477" s="13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25"/>
      <c r="AD477" s="15"/>
      <c r="AI477" s="117"/>
      <c r="AJ477" s="123"/>
      <c r="AK477" s="123"/>
      <c r="AL477" s="123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115"/>
      <c r="AX477" s="115"/>
      <c r="AY477" s="115"/>
      <c r="AZ477" s="115"/>
      <c r="BA477" s="13"/>
      <c r="BB477" s="13"/>
      <c r="BE477" s="114"/>
    </row>
    <row r="478" spans="1:57" ht="19.5" x14ac:dyDescent="0.4">
      <c r="A478" s="117"/>
      <c r="B478" s="123"/>
      <c r="C478" s="123"/>
      <c r="D478" s="123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29"/>
      <c r="S478" s="13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25"/>
      <c r="AD478" s="15"/>
      <c r="AI478" s="117"/>
      <c r="AJ478" s="123"/>
      <c r="AK478" s="123"/>
      <c r="AL478" s="123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115"/>
      <c r="AX478" s="115"/>
      <c r="AY478" s="115"/>
      <c r="AZ478" s="115"/>
      <c r="BA478" s="13"/>
      <c r="BB478" s="13"/>
      <c r="BE478" s="114"/>
    </row>
    <row r="479" spans="1:57" ht="19.5" x14ac:dyDescent="0.4">
      <c r="A479" s="117"/>
      <c r="B479" s="123"/>
      <c r="C479" s="123"/>
      <c r="D479" s="123"/>
      <c r="R479" s="26"/>
      <c r="S479" s="13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25">
        <v>45692</v>
      </c>
      <c r="AD479" s="15" t="s">
        <v>146</v>
      </c>
      <c r="AI479" s="117"/>
      <c r="AJ479" s="123"/>
      <c r="AK479" s="123"/>
      <c r="AL479" s="123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115"/>
      <c r="AX479" s="115"/>
      <c r="AY479" s="115"/>
      <c r="AZ479" s="115"/>
      <c r="BA479" s="13"/>
      <c r="BB479" s="13"/>
      <c r="BE479" s="114"/>
    </row>
    <row r="480" spans="1:57" ht="19.5" x14ac:dyDescent="0.4">
      <c r="A480" s="117"/>
      <c r="B480" s="123"/>
      <c r="C480" s="123"/>
      <c r="D480" s="123"/>
      <c r="R480" s="129"/>
      <c r="S480" s="13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25"/>
      <c r="AD480" s="15"/>
      <c r="AI480" s="117"/>
      <c r="AJ480" s="123"/>
      <c r="AK480" s="123"/>
      <c r="AL480" s="123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115"/>
      <c r="AX480" s="115"/>
      <c r="AY480" s="115"/>
      <c r="AZ480" s="115"/>
      <c r="BA480" s="13"/>
      <c r="BB480" s="13"/>
      <c r="BE480" s="114"/>
    </row>
    <row r="481" spans="1:57" ht="19.5" x14ac:dyDescent="0.4">
      <c r="A481" s="117"/>
      <c r="B481" s="123"/>
      <c r="C481" s="123"/>
      <c r="D481" s="123"/>
      <c r="R481" s="26"/>
      <c r="S481" s="13"/>
      <c r="AC481" s="25">
        <v>45692</v>
      </c>
      <c r="AD481" s="15" t="s">
        <v>146</v>
      </c>
      <c r="AI481" s="117"/>
      <c r="AJ481" s="123"/>
      <c r="AK481" s="123"/>
      <c r="AL481" s="123"/>
      <c r="AN481" s="115"/>
      <c r="AO481" s="115"/>
      <c r="AP481" s="115"/>
      <c r="AQ481" s="115"/>
      <c r="AR481" s="115"/>
      <c r="AS481" s="115"/>
      <c r="AT481" s="115"/>
      <c r="AU481" s="115"/>
      <c r="AV481" s="115"/>
      <c r="AW481" s="115"/>
      <c r="AX481" s="115"/>
      <c r="AY481" s="115"/>
      <c r="AZ481" s="115"/>
      <c r="BA481" s="25">
        <v>45267</v>
      </c>
      <c r="BB481" s="13" t="s">
        <v>142</v>
      </c>
      <c r="BE481" s="114"/>
    </row>
    <row r="482" spans="1:57" ht="19.5" x14ac:dyDescent="0.4">
      <c r="A482" s="117"/>
      <c r="B482" s="123"/>
      <c r="C482" s="123"/>
      <c r="D482" s="123"/>
      <c r="R482" s="26"/>
      <c r="S482" s="13"/>
      <c r="Y482" s="115"/>
      <c r="Z482" s="115"/>
      <c r="AA482" s="115"/>
      <c r="AB482" s="115"/>
      <c r="AC482" s="25">
        <v>45692</v>
      </c>
      <c r="AD482" s="15" t="s">
        <v>146</v>
      </c>
      <c r="AI482" s="117"/>
      <c r="AJ482" s="123"/>
      <c r="AK482" s="123"/>
      <c r="AL482" s="123"/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115"/>
      <c r="AX482" s="115"/>
      <c r="AY482" s="115"/>
      <c r="AZ482" s="115"/>
      <c r="BA482" s="25"/>
      <c r="BB482" s="13"/>
      <c r="BE482" s="114"/>
    </row>
    <row r="483" spans="1:57" ht="19.5" x14ac:dyDescent="0.4">
      <c r="A483" s="117"/>
      <c r="B483" s="123"/>
      <c r="C483" s="123"/>
      <c r="D483" s="123"/>
      <c r="R483" s="26"/>
      <c r="S483" s="13"/>
      <c r="U483" s="115"/>
      <c r="V483" s="115"/>
      <c r="W483" s="115"/>
      <c r="X483" s="115"/>
      <c r="Y483" s="115"/>
      <c r="Z483" s="115"/>
      <c r="AA483" s="115"/>
      <c r="AB483" s="115"/>
      <c r="AC483" s="25">
        <v>45692</v>
      </c>
      <c r="AD483" s="15" t="s">
        <v>146</v>
      </c>
      <c r="AI483" s="117"/>
      <c r="AJ483" s="123"/>
      <c r="AK483" s="123"/>
      <c r="AL483" s="123"/>
      <c r="AN483" s="115"/>
      <c r="AO483" s="115"/>
      <c r="AP483" s="115"/>
      <c r="AQ483" s="115"/>
      <c r="AR483" s="115"/>
      <c r="AS483" s="115"/>
      <c r="AT483" s="115"/>
      <c r="AU483" s="115"/>
      <c r="AV483" s="115"/>
      <c r="AW483" s="115"/>
      <c r="AX483" s="115"/>
      <c r="AY483" s="115"/>
      <c r="AZ483" s="115"/>
      <c r="BA483" s="25"/>
      <c r="BB483" s="13"/>
      <c r="BE483" s="114"/>
    </row>
    <row r="484" spans="1:57" ht="19.5" x14ac:dyDescent="0.4">
      <c r="A484" s="117"/>
      <c r="B484" s="123"/>
      <c r="C484" s="123"/>
      <c r="D484" s="123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26"/>
      <c r="S484" s="13"/>
      <c r="U484" s="115"/>
      <c r="V484" s="115"/>
      <c r="W484" s="115"/>
      <c r="X484" s="115"/>
      <c r="Y484" s="115"/>
      <c r="Z484" s="115"/>
      <c r="AA484" s="115"/>
      <c r="AB484" s="115"/>
      <c r="AC484" s="25"/>
      <c r="AD484" s="15"/>
      <c r="AI484" s="117"/>
      <c r="AJ484" s="123"/>
      <c r="AK484" s="123"/>
      <c r="AL484" s="123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115"/>
      <c r="AX484" s="115"/>
      <c r="AY484" s="115"/>
      <c r="AZ484" s="115"/>
      <c r="BA484" s="25"/>
      <c r="BB484" s="13"/>
      <c r="BE484" s="114"/>
    </row>
    <row r="485" spans="1:57" ht="19.5" x14ac:dyDescent="0.4">
      <c r="A485" s="117"/>
      <c r="B485" s="123"/>
      <c r="C485" s="123"/>
      <c r="D485" s="123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29"/>
      <c r="S485" s="13"/>
      <c r="U485" s="115"/>
      <c r="V485" s="115"/>
      <c r="W485" s="115"/>
      <c r="X485" s="115"/>
      <c r="Y485" s="115"/>
      <c r="Z485" s="115"/>
      <c r="AA485" s="115"/>
      <c r="AB485" s="115"/>
      <c r="AC485" s="25"/>
      <c r="AD485" s="15"/>
      <c r="AI485" s="117"/>
      <c r="AJ485" s="123"/>
      <c r="AK485" s="123"/>
      <c r="AL485" s="123"/>
      <c r="AN485" s="115"/>
      <c r="AO485" s="115"/>
      <c r="AP485" s="115"/>
      <c r="AQ485" s="115"/>
      <c r="AR485" s="115"/>
      <c r="AS485" s="115"/>
      <c r="AT485" s="115"/>
      <c r="AU485" s="115"/>
      <c r="AV485" s="115"/>
      <c r="AW485" s="115"/>
      <c r="AX485" s="115"/>
      <c r="AY485" s="115"/>
      <c r="AZ485" s="115"/>
      <c r="BA485" s="25"/>
      <c r="BB485" s="13"/>
      <c r="BE485" s="114"/>
    </row>
    <row r="486" spans="1:57" ht="19.5" x14ac:dyDescent="0.4">
      <c r="A486" s="117"/>
      <c r="B486" s="123"/>
      <c r="C486" s="123"/>
      <c r="D486" s="123"/>
      <c r="R486" s="26"/>
      <c r="S486" s="13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25">
        <v>45693</v>
      </c>
      <c r="AD486" s="15" t="s">
        <v>146</v>
      </c>
      <c r="AI486" s="117"/>
      <c r="AJ486" s="123"/>
      <c r="AK486" s="123"/>
      <c r="AL486" s="123"/>
      <c r="AN486" s="115"/>
      <c r="AO486" s="115"/>
      <c r="AP486" s="115"/>
      <c r="AQ486" s="115"/>
      <c r="AR486" s="115"/>
      <c r="AS486" s="115"/>
      <c r="AT486" s="115"/>
      <c r="AU486" s="115"/>
      <c r="AV486" s="115"/>
      <c r="AW486" s="115"/>
      <c r="AX486" s="115"/>
      <c r="AY486" s="115"/>
      <c r="AZ486" s="115"/>
      <c r="BA486" s="25"/>
      <c r="BB486" s="13"/>
      <c r="BE486" s="114"/>
    </row>
    <row r="487" spans="1:57" ht="19.5" x14ac:dyDescent="0.4">
      <c r="A487" s="117"/>
      <c r="B487" s="123"/>
      <c r="C487" s="123"/>
      <c r="D487" s="123"/>
      <c r="R487" s="129"/>
      <c r="S487" s="13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25"/>
      <c r="AD487" s="15"/>
      <c r="AI487" s="117"/>
      <c r="AJ487" s="123"/>
      <c r="AK487" s="123"/>
      <c r="AL487" s="123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115"/>
      <c r="AY487" s="115"/>
      <c r="AZ487" s="115"/>
      <c r="BA487" s="25"/>
      <c r="BB487" s="13"/>
      <c r="BE487" s="114"/>
    </row>
    <row r="488" spans="1:57" ht="19.5" x14ac:dyDescent="0.4">
      <c r="A488" s="117"/>
      <c r="B488" s="123"/>
      <c r="C488" s="123"/>
      <c r="D488" s="123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26"/>
      <c r="S488" s="13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25"/>
      <c r="AD488" s="15"/>
      <c r="AI488" s="117"/>
      <c r="AJ488" s="123"/>
      <c r="AK488" s="123"/>
      <c r="AL488" s="123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115"/>
      <c r="AZ488" s="115"/>
      <c r="BA488" s="25"/>
      <c r="BB488" s="13"/>
      <c r="BE488" s="114"/>
    </row>
    <row r="489" spans="1:57" ht="19.5" x14ac:dyDescent="0.4">
      <c r="A489" s="117"/>
      <c r="B489" s="123"/>
      <c r="C489" s="123"/>
      <c r="D489" s="123"/>
      <c r="R489" s="26"/>
      <c r="S489" s="13"/>
      <c r="AC489" s="25">
        <v>45693</v>
      </c>
      <c r="AD489" s="15" t="s">
        <v>146</v>
      </c>
      <c r="AI489" s="117"/>
      <c r="AJ489" s="123"/>
      <c r="AK489" s="123"/>
      <c r="AL489" s="123"/>
      <c r="AN489" s="115"/>
      <c r="AO489" s="115"/>
      <c r="AP489" s="115"/>
      <c r="AQ489" s="115"/>
      <c r="AR489" s="115"/>
      <c r="AS489" s="115"/>
      <c r="AT489" s="115"/>
      <c r="AU489" s="115"/>
      <c r="AV489" s="115"/>
      <c r="AW489" s="115"/>
      <c r="AX489" s="115"/>
      <c r="AY489" s="115"/>
      <c r="AZ489" s="115" t="s">
        <v>157</v>
      </c>
      <c r="BA489" s="13">
        <f>SUBTOTAL(3,BA481:BA481)</f>
        <v>1</v>
      </c>
      <c r="BB489" s="13">
        <f>SUBTOTAL(3,BB481:BB481)</f>
        <v>1</v>
      </c>
      <c r="BE489" s="114"/>
    </row>
    <row r="490" spans="1:57" ht="19.5" x14ac:dyDescent="0.4">
      <c r="A490" s="117"/>
      <c r="B490" s="123"/>
      <c r="C490" s="123"/>
      <c r="D490" s="123"/>
      <c r="R490" s="26"/>
      <c r="S490" s="13"/>
      <c r="U490" s="115"/>
      <c r="V490" s="115"/>
      <c r="W490" s="115"/>
      <c r="X490" s="115"/>
      <c r="Y490" s="115"/>
      <c r="Z490" s="115"/>
      <c r="AA490" s="115"/>
      <c r="AB490" s="115"/>
      <c r="AC490" s="25">
        <v>45693</v>
      </c>
      <c r="AD490" s="15" t="s">
        <v>146</v>
      </c>
      <c r="AI490" s="117"/>
      <c r="AJ490" s="123"/>
      <c r="AK490" s="123"/>
      <c r="AL490" s="123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115"/>
      <c r="AY490" s="115"/>
      <c r="AZ490" s="115"/>
      <c r="BA490" s="13"/>
      <c r="BB490" s="13"/>
      <c r="BE490" s="114"/>
    </row>
    <row r="491" spans="1:57" ht="19.5" x14ac:dyDescent="0.4">
      <c r="A491" s="117"/>
      <c r="B491" s="123"/>
      <c r="C491" s="123"/>
      <c r="D491" s="123"/>
      <c r="R491" s="129"/>
      <c r="S491" s="13"/>
      <c r="U491" s="115"/>
      <c r="V491" s="115"/>
      <c r="W491" s="115"/>
      <c r="X491" s="115"/>
      <c r="Y491" s="115"/>
      <c r="Z491" s="115"/>
      <c r="AA491" s="115"/>
      <c r="AB491" s="115"/>
      <c r="AC491" s="25"/>
      <c r="AD491" s="15"/>
      <c r="AI491" s="117"/>
      <c r="AJ491" s="123"/>
      <c r="AK491" s="123"/>
      <c r="AL491" s="123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115"/>
      <c r="AY491" s="115"/>
      <c r="AZ491" s="115"/>
      <c r="BA491" s="13"/>
      <c r="BB491" s="13"/>
      <c r="BE491" s="114"/>
    </row>
    <row r="492" spans="1:57" ht="19.5" x14ac:dyDescent="0.4">
      <c r="A492" s="117"/>
      <c r="B492" s="123"/>
      <c r="C492" s="123"/>
      <c r="D492" s="123"/>
      <c r="R492" s="129"/>
      <c r="S492" s="13"/>
      <c r="U492" s="115"/>
      <c r="V492" s="115"/>
      <c r="W492" s="115"/>
      <c r="X492" s="115"/>
      <c r="Y492" s="115"/>
      <c r="Z492" s="115"/>
      <c r="AA492" s="115"/>
      <c r="AB492" s="115"/>
      <c r="AC492" s="25"/>
      <c r="AD492" s="15"/>
      <c r="AI492" s="117"/>
      <c r="AJ492" s="123"/>
      <c r="AK492" s="123"/>
      <c r="AL492" s="123"/>
      <c r="AN492" s="115"/>
      <c r="AO492" s="115"/>
      <c r="AP492" s="115"/>
      <c r="AQ492" s="115"/>
      <c r="AR492" s="115"/>
      <c r="AS492" s="115"/>
      <c r="AT492" s="115"/>
      <c r="AU492" s="115"/>
      <c r="AV492" s="115"/>
      <c r="AW492" s="115"/>
      <c r="AX492" s="115"/>
      <c r="AY492" s="115"/>
      <c r="AZ492" s="115"/>
      <c r="BA492" s="13"/>
      <c r="BB492" s="13"/>
      <c r="BE492" s="114"/>
    </row>
    <row r="493" spans="1:57" ht="19.5" x14ac:dyDescent="0.4">
      <c r="A493" s="117"/>
      <c r="B493" s="123"/>
      <c r="C493" s="123"/>
      <c r="D493" s="123"/>
      <c r="R493" s="26"/>
      <c r="S493" s="13"/>
      <c r="U493" s="115"/>
      <c r="V493" s="115"/>
      <c r="W493" s="115"/>
      <c r="X493" s="115"/>
      <c r="Y493" s="115"/>
      <c r="Z493" s="115"/>
      <c r="AA493" s="115"/>
      <c r="AB493" s="115"/>
      <c r="AC493" s="25">
        <v>45694</v>
      </c>
      <c r="AD493" s="15" t="s">
        <v>147</v>
      </c>
      <c r="AI493" s="117"/>
      <c r="AJ493" s="123"/>
      <c r="AK493" s="123"/>
      <c r="AL493" s="123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115"/>
      <c r="AY493" s="115"/>
      <c r="AZ493" s="115"/>
      <c r="BA493" s="13"/>
      <c r="BB493" s="13"/>
      <c r="BE493" s="114"/>
    </row>
    <row r="494" spans="1:57" ht="19.5" x14ac:dyDescent="0.4">
      <c r="A494" s="117"/>
      <c r="B494" s="123"/>
      <c r="C494" s="123"/>
      <c r="D494" s="123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7"/>
      <c r="S494" s="13"/>
      <c r="U494" s="115"/>
      <c r="V494" s="115"/>
      <c r="W494" s="115"/>
      <c r="X494" s="115"/>
      <c r="Y494" s="115"/>
      <c r="Z494" s="115"/>
      <c r="AA494" s="115"/>
      <c r="AB494" s="115"/>
      <c r="AC494" s="25"/>
      <c r="AD494" s="15"/>
      <c r="AI494" s="117"/>
      <c r="AJ494" s="123"/>
      <c r="AK494" s="123"/>
      <c r="AL494" s="123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3"/>
      <c r="BB494" s="13"/>
      <c r="BE494" s="114"/>
    </row>
    <row r="495" spans="1:57" ht="19.5" x14ac:dyDescent="0.4">
      <c r="A495" s="117"/>
      <c r="B495" s="123"/>
      <c r="C495" s="123"/>
      <c r="D495" s="123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7"/>
      <c r="S495" s="13"/>
      <c r="U495" s="115"/>
      <c r="V495" s="115"/>
      <c r="W495" s="115"/>
      <c r="X495" s="115"/>
      <c r="Y495" s="115"/>
      <c r="Z495" s="115"/>
      <c r="AA495" s="115"/>
      <c r="AB495" s="115"/>
      <c r="AC495" s="25"/>
      <c r="AD495" s="15"/>
      <c r="AI495" s="117"/>
      <c r="AJ495" s="123"/>
      <c r="AK495" s="123"/>
      <c r="AL495" s="123"/>
      <c r="AN495" s="115"/>
      <c r="AO495" s="115"/>
      <c r="AP495" s="115"/>
      <c r="AQ495" s="115"/>
      <c r="AR495" s="115"/>
      <c r="AS495" s="115"/>
      <c r="AT495" s="115"/>
      <c r="AU495" s="115"/>
      <c r="AV495" s="115"/>
      <c r="AW495" s="115"/>
      <c r="AX495" s="115"/>
      <c r="AY495" s="115"/>
      <c r="AZ495" s="115"/>
      <c r="BA495" s="13"/>
      <c r="BB495" s="13"/>
      <c r="BE495" s="114"/>
    </row>
    <row r="496" spans="1:57" ht="19.5" x14ac:dyDescent="0.4">
      <c r="A496" s="117"/>
      <c r="B496" s="123"/>
      <c r="C496" s="123"/>
      <c r="D496" s="123"/>
      <c r="R496" s="26"/>
      <c r="S496" s="13"/>
      <c r="U496" s="115"/>
      <c r="V496" s="115"/>
      <c r="W496" s="115"/>
      <c r="X496" s="115"/>
      <c r="Y496" s="115"/>
      <c r="Z496" s="115"/>
      <c r="AA496" s="115"/>
      <c r="AB496" s="115"/>
      <c r="AC496" s="25">
        <v>45694</v>
      </c>
      <c r="AD496" s="105" t="s">
        <v>147</v>
      </c>
      <c r="AI496" s="117"/>
      <c r="AJ496" s="123"/>
      <c r="AK496" s="123"/>
      <c r="AL496" s="123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115"/>
      <c r="AY496" s="115"/>
      <c r="AZ496" s="115"/>
      <c r="BA496" s="13"/>
      <c r="BB496" s="13"/>
      <c r="BE496" s="114"/>
    </row>
    <row r="497" spans="1:57" ht="19.5" x14ac:dyDescent="0.4">
      <c r="A497" s="117"/>
      <c r="B497" s="123"/>
      <c r="C497" s="123"/>
      <c r="D497" s="123"/>
      <c r="R497" s="26"/>
      <c r="S497" s="13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25">
        <v>45694</v>
      </c>
      <c r="AD497" s="15" t="s">
        <v>147</v>
      </c>
      <c r="AI497" s="117"/>
      <c r="AJ497" s="123"/>
      <c r="AK497" s="123"/>
      <c r="AL497" s="123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115"/>
      <c r="AY497" s="115"/>
      <c r="AZ497" s="115"/>
      <c r="BA497" s="13"/>
      <c r="BB497" s="13"/>
      <c r="BE497" s="114"/>
    </row>
    <row r="498" spans="1:57" ht="19.5" x14ac:dyDescent="0.4">
      <c r="A498" s="117"/>
      <c r="B498" s="123"/>
      <c r="C498" s="123"/>
      <c r="D498" s="123"/>
      <c r="R498" s="26"/>
      <c r="S498" s="13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26">
        <v>45694</v>
      </c>
      <c r="AD498" s="15" t="s">
        <v>148</v>
      </c>
      <c r="AI498" s="117"/>
      <c r="AJ498" s="123"/>
      <c r="AK498" s="123"/>
      <c r="AL498" s="123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115"/>
      <c r="AZ498" s="115"/>
      <c r="BA498" s="13"/>
      <c r="BB498" s="13"/>
      <c r="BE498" s="114"/>
    </row>
    <row r="499" spans="1:57" ht="19.5" x14ac:dyDescent="0.4">
      <c r="A499" s="117"/>
      <c r="B499" s="123"/>
      <c r="C499" s="123"/>
      <c r="D499" s="123"/>
      <c r="R499" s="26"/>
      <c r="S499" s="13"/>
      <c r="AC499" s="26">
        <v>45694</v>
      </c>
      <c r="AD499" s="13" t="s">
        <v>147</v>
      </c>
      <c r="AI499" s="117"/>
      <c r="AJ499" s="123"/>
      <c r="AK499" s="123"/>
      <c r="AL499" s="123"/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115"/>
      <c r="AY499" s="115"/>
      <c r="AZ499" s="115"/>
      <c r="BA499" s="25">
        <v>45268</v>
      </c>
      <c r="BB499" s="13" t="s">
        <v>162</v>
      </c>
      <c r="BE499" s="114"/>
    </row>
    <row r="500" spans="1:57" ht="19.5" x14ac:dyDescent="0.4">
      <c r="A500" s="117"/>
      <c r="B500" s="123"/>
      <c r="C500" s="123"/>
      <c r="D500" s="123"/>
      <c r="R500" s="26"/>
      <c r="S500" s="13"/>
      <c r="U500" s="115"/>
      <c r="V500" s="115"/>
      <c r="W500" s="115"/>
      <c r="X500" s="115"/>
      <c r="Y500" s="115"/>
      <c r="Z500" s="115"/>
      <c r="AA500" s="115"/>
      <c r="AB500" s="115"/>
      <c r="AC500" s="26">
        <v>45694</v>
      </c>
      <c r="AD500" s="13" t="s">
        <v>147</v>
      </c>
      <c r="AI500" s="117"/>
      <c r="AJ500" s="123"/>
      <c r="AK500" s="123"/>
      <c r="AL500" s="123"/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115"/>
      <c r="AY500" s="115"/>
      <c r="AZ500" s="115"/>
      <c r="BA500" s="25"/>
      <c r="BB500" s="13"/>
      <c r="BE500" s="114"/>
    </row>
    <row r="501" spans="1:57" ht="19.5" x14ac:dyDescent="0.4">
      <c r="A501" s="117"/>
      <c r="B501" s="123"/>
      <c r="C501" s="123"/>
      <c r="D501" s="123"/>
      <c r="R501" s="26"/>
      <c r="S501" s="13"/>
      <c r="AC501" s="26">
        <v>45694</v>
      </c>
      <c r="AD501" s="13" t="s">
        <v>147</v>
      </c>
      <c r="AI501" s="117"/>
      <c r="AJ501" s="123"/>
      <c r="AK501" s="123"/>
      <c r="AL501" s="123"/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115"/>
      <c r="AY501" s="115"/>
      <c r="AZ501" s="115"/>
      <c r="BA501" s="25">
        <v>45268</v>
      </c>
      <c r="BB501" s="13" t="s">
        <v>162</v>
      </c>
      <c r="BE501" s="114"/>
    </row>
    <row r="502" spans="1:57" ht="19.5" x14ac:dyDescent="0.4">
      <c r="A502" s="117"/>
      <c r="B502" s="123"/>
      <c r="C502" s="123"/>
      <c r="D502" s="123"/>
      <c r="R502" s="26"/>
      <c r="S502" s="13"/>
      <c r="Z502" s="115"/>
      <c r="AA502" s="115"/>
      <c r="AB502" s="115"/>
      <c r="AC502" s="26">
        <v>45696</v>
      </c>
      <c r="AD502" s="13" t="s">
        <v>147</v>
      </c>
      <c r="AI502" s="117"/>
      <c r="AJ502" s="123"/>
      <c r="AK502" s="123"/>
      <c r="AL502" s="123"/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115"/>
      <c r="AY502" s="115"/>
      <c r="AZ502" s="115"/>
      <c r="BA502" s="25"/>
      <c r="BB502" s="13"/>
      <c r="BE502" s="114"/>
    </row>
    <row r="503" spans="1:57" ht="19.5" x14ac:dyDescent="0.4">
      <c r="A503" s="117"/>
      <c r="B503" s="123"/>
      <c r="C503" s="123"/>
      <c r="D503" s="123"/>
      <c r="R503" s="26"/>
      <c r="S503" s="13"/>
      <c r="AC503" s="26">
        <v>45698</v>
      </c>
      <c r="AD503" s="13" t="s">
        <v>147</v>
      </c>
      <c r="AI503" s="117"/>
      <c r="AJ503" s="123"/>
      <c r="AK503" s="123"/>
      <c r="AL503" s="123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115"/>
      <c r="BA503" s="25">
        <v>45268</v>
      </c>
      <c r="BB503" s="13" t="s">
        <v>163</v>
      </c>
      <c r="BE503" s="114"/>
    </row>
    <row r="504" spans="1:57" ht="19.5" x14ac:dyDescent="0.4">
      <c r="A504" s="117"/>
      <c r="B504" s="123"/>
      <c r="C504" s="123"/>
      <c r="D504" s="123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7"/>
      <c r="S504" s="13"/>
      <c r="AC504" s="26"/>
      <c r="AD504" s="13"/>
      <c r="AI504" s="117"/>
      <c r="AJ504" s="123"/>
      <c r="AK504" s="123"/>
      <c r="AL504" s="123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15"/>
      <c r="AZ504" s="115"/>
      <c r="BA504" s="25"/>
      <c r="BB504" s="13"/>
      <c r="BE504" s="114"/>
    </row>
    <row r="505" spans="1:57" ht="19.5" x14ac:dyDescent="0.4">
      <c r="A505" s="117"/>
      <c r="B505" s="123"/>
      <c r="C505" s="123"/>
      <c r="D505" s="123"/>
      <c r="R505" s="26"/>
      <c r="S505" s="13"/>
      <c r="Z505" s="115"/>
      <c r="AA505" s="115"/>
      <c r="AB505" s="115"/>
      <c r="AC505" s="26">
        <v>45698</v>
      </c>
      <c r="AD505" s="13" t="s">
        <v>147</v>
      </c>
      <c r="AI505" s="117"/>
      <c r="AJ505" s="123"/>
      <c r="AK505" s="123"/>
      <c r="AL505" s="123"/>
      <c r="AN505" s="115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115"/>
      <c r="AY505" s="115"/>
      <c r="AZ505" s="115"/>
      <c r="BA505" s="25"/>
      <c r="BB505" s="13"/>
      <c r="BE505" s="114"/>
    </row>
    <row r="506" spans="1:57" ht="19.5" x14ac:dyDescent="0.4">
      <c r="A506" s="117"/>
      <c r="B506" s="123"/>
      <c r="C506" s="123"/>
      <c r="D506" s="123"/>
      <c r="R506" s="26"/>
      <c r="S506" s="13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26">
        <v>45699</v>
      </c>
      <c r="AD506" s="13" t="s">
        <v>148</v>
      </c>
      <c r="AI506" s="117"/>
      <c r="AJ506" s="123"/>
      <c r="AK506" s="123"/>
      <c r="AL506" s="123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115"/>
      <c r="BA506" s="25"/>
      <c r="BB506" s="13"/>
      <c r="BE506" s="114"/>
    </row>
    <row r="507" spans="1:57" ht="19.5" x14ac:dyDescent="0.4">
      <c r="A507" s="117"/>
      <c r="B507" s="123"/>
      <c r="C507" s="123"/>
      <c r="D507" s="123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7"/>
      <c r="S507" s="13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26"/>
      <c r="AD507" s="13"/>
      <c r="AI507" s="117"/>
      <c r="AJ507" s="123"/>
      <c r="AK507" s="123"/>
      <c r="AL507" s="123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115"/>
      <c r="AZ507" s="115"/>
      <c r="BA507" s="25"/>
      <c r="BB507" s="13"/>
      <c r="BE507" s="114"/>
    </row>
    <row r="508" spans="1:57" ht="19.5" x14ac:dyDescent="0.4">
      <c r="A508" s="117"/>
      <c r="B508" s="123"/>
      <c r="C508" s="123"/>
      <c r="D508" s="123"/>
      <c r="R508" s="26"/>
      <c r="S508" s="13"/>
      <c r="AC508" s="26">
        <v>45699</v>
      </c>
      <c r="AD508" s="13" t="s">
        <v>148</v>
      </c>
      <c r="AI508" s="117"/>
      <c r="AJ508" s="123"/>
      <c r="AK508" s="123"/>
      <c r="AL508" s="123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115"/>
      <c r="AZ508" s="115"/>
      <c r="BA508" s="25">
        <v>45268</v>
      </c>
      <c r="BB508" s="13" t="s">
        <v>163</v>
      </c>
      <c r="BE508" s="114"/>
    </row>
    <row r="509" spans="1:57" ht="19.5" x14ac:dyDescent="0.4">
      <c r="A509" s="117"/>
      <c r="B509" s="123"/>
      <c r="C509" s="123"/>
      <c r="D509" s="123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7"/>
      <c r="S509" s="13"/>
      <c r="AC509" s="26"/>
      <c r="AD509" s="13"/>
      <c r="AI509" s="117"/>
      <c r="AJ509" s="123"/>
      <c r="AK509" s="123"/>
      <c r="AL509" s="123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25"/>
      <c r="BB509" s="13"/>
      <c r="BE509" s="114"/>
    </row>
    <row r="510" spans="1:57" ht="19.5" x14ac:dyDescent="0.4">
      <c r="A510" s="117"/>
      <c r="B510" s="123"/>
      <c r="C510" s="123"/>
      <c r="D510" s="123"/>
      <c r="R510" s="26"/>
      <c r="S510" s="13"/>
      <c r="V510" s="115"/>
      <c r="W510" s="115"/>
      <c r="X510" s="115"/>
      <c r="Y510" s="115"/>
      <c r="Z510" s="115"/>
      <c r="AA510" s="115"/>
      <c r="AB510" s="115"/>
      <c r="AC510" s="26">
        <v>45699</v>
      </c>
      <c r="AD510" s="13" t="s">
        <v>148</v>
      </c>
      <c r="AI510" s="117"/>
      <c r="AJ510" s="123"/>
      <c r="AK510" s="123"/>
      <c r="AL510" s="123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115"/>
      <c r="AZ510" s="115"/>
      <c r="BA510" s="25"/>
      <c r="BB510" s="13"/>
      <c r="BE510" s="114"/>
    </row>
    <row r="511" spans="1:57" ht="19.5" x14ac:dyDescent="0.4">
      <c r="A511" s="117"/>
      <c r="B511" s="123"/>
      <c r="C511" s="123"/>
      <c r="D511" s="123"/>
      <c r="R511" s="26"/>
      <c r="S511" s="13"/>
      <c r="V511" s="115"/>
      <c r="W511" s="115"/>
      <c r="X511" s="115"/>
      <c r="Y511" s="115"/>
      <c r="Z511" s="115"/>
      <c r="AA511" s="115"/>
      <c r="AB511" s="115"/>
      <c r="AC511" s="26">
        <v>45699</v>
      </c>
      <c r="AD511" s="13" t="s">
        <v>148</v>
      </c>
      <c r="AI511" s="117"/>
      <c r="AJ511" s="123"/>
      <c r="AK511" s="123"/>
      <c r="AL511" s="123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115"/>
      <c r="BA511" s="25"/>
      <c r="BB511" s="13"/>
      <c r="BE511" s="114"/>
    </row>
    <row r="512" spans="1:57" ht="19.5" x14ac:dyDescent="0.4">
      <c r="A512" s="117"/>
      <c r="B512" s="123"/>
      <c r="C512" s="123"/>
      <c r="D512" s="123"/>
      <c r="R512" s="26"/>
      <c r="S512" s="13"/>
      <c r="V512" s="115"/>
      <c r="W512" s="115"/>
      <c r="X512" s="115"/>
      <c r="Y512" s="115"/>
      <c r="Z512" s="115"/>
      <c r="AA512" s="115"/>
      <c r="AB512" s="115"/>
      <c r="AC512" s="26">
        <v>45699</v>
      </c>
      <c r="AD512" s="13" t="s">
        <v>148</v>
      </c>
      <c r="AI512" s="117"/>
      <c r="AJ512" s="123"/>
      <c r="AK512" s="123"/>
      <c r="AL512" s="123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115"/>
      <c r="AZ512" s="115"/>
      <c r="BA512" s="25"/>
      <c r="BB512" s="13"/>
      <c r="BE512" s="114"/>
    </row>
    <row r="513" spans="1:57" ht="19.5" x14ac:dyDescent="0.4">
      <c r="A513" s="117"/>
      <c r="B513" s="123"/>
      <c r="C513" s="123"/>
      <c r="D513" s="123"/>
      <c r="R513" s="26"/>
      <c r="S513" s="13"/>
      <c r="AC513" s="26">
        <v>45699</v>
      </c>
      <c r="AD513" s="13" t="s">
        <v>148</v>
      </c>
      <c r="AI513" s="117"/>
      <c r="AJ513" s="123"/>
      <c r="AK513" s="123"/>
      <c r="AL513" s="123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115" t="s">
        <v>158</v>
      </c>
      <c r="BA513" s="13">
        <f>SUBTOTAL(3,BA499:BA508)</f>
        <v>4</v>
      </c>
      <c r="BB513" s="13">
        <f>SUBTOTAL(3,BB499:BB508)</f>
        <v>4</v>
      </c>
      <c r="BE513" s="114"/>
    </row>
    <row r="514" spans="1:57" ht="19.5" x14ac:dyDescent="0.4">
      <c r="A514" s="117"/>
      <c r="B514" s="123"/>
      <c r="C514" s="123"/>
      <c r="D514" s="123"/>
      <c r="R514" s="26"/>
      <c r="S514" s="15"/>
      <c r="Z514" s="115"/>
      <c r="AA514" s="115"/>
      <c r="AB514" s="115"/>
      <c r="AC514" s="26">
        <v>45706</v>
      </c>
      <c r="AD514" s="13" t="s">
        <v>146</v>
      </c>
      <c r="AI514" s="117"/>
      <c r="AJ514" s="123"/>
      <c r="AK514" s="123"/>
      <c r="AL514" s="123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115"/>
      <c r="BA514" s="13"/>
      <c r="BB514" s="13"/>
      <c r="BE514" s="114"/>
    </row>
    <row r="515" spans="1:57" ht="19.5" x14ac:dyDescent="0.4">
      <c r="A515" s="117"/>
      <c r="B515" s="123"/>
      <c r="C515" s="123"/>
      <c r="D515" s="123"/>
      <c r="R515" s="26"/>
      <c r="S515" s="13"/>
      <c r="Y515" s="115"/>
      <c r="Z515" s="115"/>
      <c r="AA515" s="115"/>
      <c r="AB515" s="115"/>
      <c r="AC515" s="26">
        <v>45709</v>
      </c>
      <c r="AD515" s="13" t="s">
        <v>148</v>
      </c>
      <c r="AI515" s="117"/>
      <c r="AJ515" s="123"/>
      <c r="AK515" s="123"/>
      <c r="AL515" s="123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3"/>
      <c r="BB515" s="13"/>
      <c r="BE515" s="114"/>
    </row>
    <row r="516" spans="1:57" ht="19.5" x14ac:dyDescent="0.4">
      <c r="A516" s="117"/>
      <c r="B516" s="123"/>
      <c r="C516" s="123"/>
      <c r="D516" s="123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7"/>
      <c r="S516" s="13"/>
      <c r="Y516" s="115"/>
      <c r="Z516" s="115"/>
      <c r="AA516" s="115"/>
      <c r="AB516" s="115"/>
      <c r="AC516" s="26"/>
      <c r="AD516" s="13"/>
      <c r="AI516" s="117"/>
      <c r="AJ516" s="123"/>
      <c r="AK516" s="123"/>
      <c r="AL516" s="123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115"/>
      <c r="BA516" s="13"/>
      <c r="BB516" s="13"/>
      <c r="BE516" s="114"/>
    </row>
    <row r="517" spans="1:57" ht="19.5" x14ac:dyDescent="0.4">
      <c r="A517" s="117"/>
      <c r="B517" s="123"/>
      <c r="C517" s="123"/>
      <c r="D517" s="123"/>
      <c r="R517" s="26"/>
      <c r="S517" s="13"/>
      <c r="Y517" s="115"/>
      <c r="Z517" s="115"/>
      <c r="AA517" s="115"/>
      <c r="AB517" s="115"/>
      <c r="AC517" s="26">
        <v>45709</v>
      </c>
      <c r="AD517" s="13" t="s">
        <v>147</v>
      </c>
      <c r="AI517" s="117"/>
      <c r="AJ517" s="123"/>
      <c r="AK517" s="123"/>
      <c r="AL517" s="123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3"/>
      <c r="BB517" s="13"/>
      <c r="BE517" s="114"/>
    </row>
    <row r="518" spans="1:57" ht="19.5" x14ac:dyDescent="0.4">
      <c r="A518" s="117"/>
      <c r="B518" s="123"/>
      <c r="C518" s="123"/>
      <c r="D518" s="123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7"/>
      <c r="S518" s="13"/>
      <c r="Y518" s="115"/>
      <c r="Z518" s="115"/>
      <c r="AA518" s="115"/>
      <c r="AB518" s="115"/>
      <c r="AC518" s="26"/>
      <c r="AD518" s="13"/>
      <c r="AI518" s="117"/>
      <c r="AJ518" s="123"/>
      <c r="AK518" s="123"/>
      <c r="AL518" s="123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3"/>
      <c r="BB518" s="13"/>
      <c r="BE518" s="114"/>
    </row>
    <row r="519" spans="1:57" ht="19.5" x14ac:dyDescent="0.4">
      <c r="A519" s="117"/>
      <c r="B519" s="123"/>
      <c r="C519" s="123"/>
      <c r="D519" s="123"/>
      <c r="R519" s="26"/>
      <c r="S519" s="13"/>
      <c r="Y519" s="115"/>
      <c r="Z519" s="115"/>
      <c r="AA519" s="115"/>
      <c r="AB519" s="115"/>
      <c r="AC519" s="26">
        <v>45712</v>
      </c>
      <c r="AD519" s="13" t="s">
        <v>146</v>
      </c>
      <c r="AI519" s="117"/>
      <c r="AJ519" s="123"/>
      <c r="AK519" s="123"/>
      <c r="AL519" s="123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115"/>
      <c r="AZ519" s="115"/>
      <c r="BA519" s="13"/>
      <c r="BB519" s="13"/>
      <c r="BE519" s="114"/>
    </row>
    <row r="520" spans="1:57" ht="19.5" x14ac:dyDescent="0.4">
      <c r="A520" s="117"/>
      <c r="B520" s="123"/>
      <c r="C520" s="123"/>
      <c r="D520" s="123"/>
      <c r="R520" s="26"/>
      <c r="S520" s="13"/>
      <c r="Y520" s="115"/>
      <c r="Z520" s="115"/>
      <c r="AA520" s="115"/>
      <c r="AB520" s="115"/>
      <c r="AC520" s="26">
        <v>45712</v>
      </c>
      <c r="AD520" s="13" t="s">
        <v>148</v>
      </c>
      <c r="AI520" s="117"/>
      <c r="AJ520" s="123"/>
      <c r="AK520" s="123"/>
      <c r="AL520" s="123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115"/>
      <c r="BA520" s="13"/>
      <c r="BB520" s="13"/>
      <c r="BE520" s="114"/>
    </row>
    <row r="521" spans="1:57" ht="19.5" x14ac:dyDescent="0.4">
      <c r="A521" s="117"/>
      <c r="B521" s="123"/>
      <c r="C521" s="123"/>
      <c r="D521" s="123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7"/>
      <c r="S521" s="13"/>
      <c r="Y521" s="115"/>
      <c r="Z521" s="115"/>
      <c r="AA521" s="115"/>
      <c r="AB521" s="115"/>
      <c r="AC521" s="26"/>
      <c r="AD521" s="13"/>
      <c r="AI521" s="117"/>
      <c r="AJ521" s="123"/>
      <c r="AK521" s="123"/>
      <c r="AL521" s="123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115"/>
      <c r="AZ521" s="115"/>
      <c r="BA521" s="13"/>
      <c r="BB521" s="13"/>
      <c r="BE521" s="114"/>
    </row>
    <row r="522" spans="1:57" ht="19.5" x14ac:dyDescent="0.4">
      <c r="A522" s="117"/>
      <c r="B522" s="123"/>
      <c r="C522" s="123"/>
      <c r="D522" s="123"/>
      <c r="R522" s="26"/>
      <c r="S522" s="13"/>
      <c r="W522" s="115"/>
      <c r="X522" s="115"/>
      <c r="Y522" s="115"/>
      <c r="Z522" s="115"/>
      <c r="AA522" s="115"/>
      <c r="AB522" s="115"/>
      <c r="AC522" s="26">
        <v>45714</v>
      </c>
      <c r="AD522" s="13" t="s">
        <v>147</v>
      </c>
      <c r="AI522" s="117"/>
      <c r="AJ522" s="123"/>
      <c r="AK522" s="123"/>
      <c r="AL522" s="123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115"/>
      <c r="BA522" s="13"/>
      <c r="BB522" s="13"/>
      <c r="BE522" s="114"/>
    </row>
    <row r="523" spans="1:57" ht="19.5" x14ac:dyDescent="0.4">
      <c r="A523" s="117"/>
      <c r="B523" s="123"/>
      <c r="C523" s="123"/>
      <c r="D523" s="123"/>
      <c r="R523" s="26"/>
      <c r="S523" s="13"/>
      <c r="AC523" s="26">
        <v>45714</v>
      </c>
      <c r="AD523" s="13" t="s">
        <v>147</v>
      </c>
      <c r="AI523" s="117"/>
      <c r="AJ523" s="123"/>
      <c r="AK523" s="123"/>
      <c r="AL523" s="123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25">
        <v>45269</v>
      </c>
      <c r="BB523" s="13" t="s">
        <v>163</v>
      </c>
      <c r="BE523" s="114"/>
    </row>
    <row r="524" spans="1:57" ht="19.5" x14ac:dyDescent="0.4">
      <c r="A524" s="117"/>
      <c r="B524" s="123"/>
      <c r="C524" s="123"/>
      <c r="D524" s="123"/>
      <c r="R524" s="26"/>
      <c r="S524" s="13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26">
        <v>45714</v>
      </c>
      <c r="AD524" s="13" t="s">
        <v>147</v>
      </c>
      <c r="AI524" s="117"/>
      <c r="AJ524" s="123"/>
      <c r="AK524" s="123"/>
      <c r="AL524" s="123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115"/>
      <c r="AZ524" s="115"/>
      <c r="BA524" s="25"/>
      <c r="BB524" s="13"/>
      <c r="BE524" s="114"/>
    </row>
    <row r="525" spans="1:57" ht="19.5" x14ac:dyDescent="0.4">
      <c r="A525" s="117"/>
      <c r="B525" s="123"/>
      <c r="C525" s="123"/>
      <c r="D525" s="123"/>
      <c r="R525" s="26"/>
      <c r="S525" s="13"/>
      <c r="T525" s="115"/>
      <c r="U525" s="115"/>
      <c r="V525" s="115"/>
      <c r="W525" s="115"/>
      <c r="X525" s="115"/>
      <c r="Y525" s="115"/>
      <c r="Z525" s="115"/>
      <c r="AA525" s="115" t="s">
        <v>145</v>
      </c>
      <c r="AB525" s="115">
        <f>SUBTOTAL(3,AB2:AB524)</f>
        <v>0</v>
      </c>
      <c r="AC525" s="26"/>
      <c r="AD525" s="13">
        <f>SUBTOTAL(3,AD2:AD524)</f>
        <v>145</v>
      </c>
      <c r="AI525" s="117"/>
      <c r="AJ525" s="123"/>
      <c r="AK525" s="123"/>
      <c r="AL525" s="123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25"/>
      <c r="BB525" s="13"/>
      <c r="BE525" s="114"/>
    </row>
    <row r="526" spans="1:57" ht="19.5" x14ac:dyDescent="0.4">
      <c r="A526" s="117"/>
      <c r="B526" s="123"/>
      <c r="C526" s="123"/>
      <c r="D526" s="123"/>
      <c r="R526" s="26"/>
      <c r="S526" s="13"/>
      <c r="AC526" s="26"/>
      <c r="AD526" s="13"/>
      <c r="AI526" s="117"/>
      <c r="AJ526" s="123"/>
      <c r="AK526" s="123"/>
      <c r="AL526" s="123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115"/>
      <c r="AZ526" s="115"/>
      <c r="BA526" s="25">
        <v>45269</v>
      </c>
      <c r="BB526" s="13" t="s">
        <v>163</v>
      </c>
      <c r="BE526" s="114"/>
    </row>
    <row r="527" spans="1:57" ht="19.5" x14ac:dyDescent="0.4">
      <c r="A527" s="117"/>
      <c r="B527" s="123"/>
      <c r="C527" s="123"/>
      <c r="D527" s="123"/>
      <c r="R527" s="26"/>
      <c r="S527" s="13"/>
      <c r="V527" s="115"/>
      <c r="W527" s="115"/>
      <c r="X527" s="115"/>
      <c r="Y527" s="115"/>
      <c r="Z527" s="115"/>
      <c r="AA527" s="115"/>
      <c r="AB527" s="115"/>
      <c r="AC527" s="26"/>
      <c r="AD527" s="13"/>
      <c r="AI527" s="117"/>
      <c r="AJ527" s="123"/>
      <c r="AK527" s="123"/>
      <c r="AL527" s="123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25"/>
      <c r="BB527" s="13"/>
      <c r="BE527" s="114"/>
    </row>
    <row r="528" spans="1:57" ht="19.5" x14ac:dyDescent="0.4">
      <c r="A528" s="117"/>
      <c r="B528" s="123"/>
      <c r="C528" s="123"/>
      <c r="D528" s="123"/>
      <c r="R528" s="26"/>
      <c r="S528" s="13"/>
      <c r="AC528" s="26"/>
      <c r="AD528" s="13"/>
      <c r="AI528" s="117"/>
      <c r="AJ528" s="123"/>
      <c r="AK528" s="123"/>
      <c r="AL528" s="123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 t="s">
        <v>159</v>
      </c>
      <c r="BA528" s="13">
        <f>SUBTOTAL(3,BA523:BA526)</f>
        <v>2</v>
      </c>
      <c r="BB528" s="13">
        <f>SUBTOTAL(3,BB523:BB526)</f>
        <v>2</v>
      </c>
      <c r="BE528" s="114"/>
    </row>
    <row r="529" spans="1:57" ht="19.5" x14ac:dyDescent="0.4">
      <c r="A529" s="117"/>
      <c r="B529" s="123"/>
      <c r="C529" s="123"/>
      <c r="D529" s="123"/>
      <c r="R529" s="26"/>
      <c r="S529" s="13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26"/>
      <c r="AD529" s="13"/>
      <c r="AI529" s="117"/>
      <c r="AJ529" s="123"/>
      <c r="AK529" s="123"/>
      <c r="AL529" s="123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3"/>
      <c r="BB529" s="13"/>
      <c r="BE529" s="114"/>
    </row>
    <row r="530" spans="1:57" ht="19.5" x14ac:dyDescent="0.4">
      <c r="A530" s="117"/>
      <c r="B530" s="123"/>
      <c r="C530" s="123"/>
      <c r="D530" s="123"/>
      <c r="R530" s="26"/>
      <c r="S530" s="13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26"/>
      <c r="AD530" s="13"/>
      <c r="AI530" s="117"/>
      <c r="AJ530" s="123"/>
      <c r="AK530" s="123"/>
      <c r="AL530" s="123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3"/>
      <c r="BB530" s="13"/>
      <c r="BE530" s="114"/>
    </row>
    <row r="531" spans="1:57" ht="19.5" x14ac:dyDescent="0.4">
      <c r="A531" s="117"/>
      <c r="B531" s="123"/>
      <c r="C531" s="123"/>
      <c r="D531" s="123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26"/>
      <c r="S531" s="13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26"/>
      <c r="AD531" s="13"/>
      <c r="AI531" s="117"/>
      <c r="AJ531" s="123"/>
      <c r="AK531" s="123"/>
      <c r="AL531" s="123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3"/>
      <c r="BB531" s="13"/>
      <c r="BE531" s="114"/>
    </row>
    <row r="532" spans="1:57" ht="19.5" x14ac:dyDescent="0.4">
      <c r="A532" s="117"/>
      <c r="B532" s="123"/>
      <c r="C532" s="123"/>
      <c r="D532" s="123"/>
      <c r="R532" s="26"/>
      <c r="S532" s="13"/>
      <c r="AC532" s="26"/>
      <c r="AD532" s="13"/>
      <c r="AI532" s="117"/>
      <c r="AJ532" s="123"/>
      <c r="AK532" s="123"/>
      <c r="AL532" s="123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25">
        <v>45270</v>
      </c>
      <c r="BB532" s="13" t="s">
        <v>164</v>
      </c>
      <c r="BE532" s="114"/>
    </row>
    <row r="533" spans="1:57" ht="19.5" x14ac:dyDescent="0.4">
      <c r="A533" s="117"/>
      <c r="B533" s="123"/>
      <c r="C533" s="123"/>
      <c r="D533" s="123"/>
      <c r="R533" s="26"/>
      <c r="S533" s="13"/>
      <c r="X533" s="115"/>
      <c r="Y533" s="115"/>
      <c r="Z533" s="115"/>
      <c r="AA533" s="115"/>
      <c r="AB533" s="115"/>
      <c r="AC533" s="17"/>
      <c r="AD533" s="13"/>
      <c r="AI533" s="117"/>
      <c r="AJ533" s="123"/>
      <c r="AK533" s="123"/>
      <c r="AL533" s="123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25"/>
      <c r="BB533" s="13"/>
      <c r="BE533" s="114"/>
    </row>
    <row r="534" spans="1:57" ht="19.5" x14ac:dyDescent="0.4">
      <c r="A534" s="117"/>
      <c r="B534" s="123"/>
      <c r="C534" s="123"/>
      <c r="D534" s="123"/>
      <c r="R534" s="26"/>
      <c r="S534" s="13"/>
      <c r="AC534" s="26"/>
      <c r="AD534" s="13"/>
      <c r="AI534" s="117"/>
      <c r="AJ534" s="123"/>
      <c r="AK534" s="123"/>
      <c r="AL534" s="123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25"/>
      <c r="BB534" s="13"/>
      <c r="BE534" s="114"/>
    </row>
    <row r="535" spans="1:57" ht="19.5" x14ac:dyDescent="0.4">
      <c r="A535" s="117"/>
      <c r="B535" s="123"/>
      <c r="C535" s="123"/>
      <c r="D535" s="123"/>
      <c r="R535" s="26"/>
      <c r="S535" s="13"/>
      <c r="U535" s="115"/>
      <c r="V535" s="115"/>
      <c r="W535" s="115"/>
      <c r="X535" s="115"/>
      <c r="Y535" s="115"/>
      <c r="Z535" s="115"/>
      <c r="AA535" s="115"/>
      <c r="AB535" s="115"/>
      <c r="AC535" s="26"/>
      <c r="AD535" s="13"/>
      <c r="AI535" s="117"/>
      <c r="AJ535" s="123"/>
      <c r="AK535" s="123"/>
      <c r="AL535" s="123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25"/>
      <c r="BB535" s="13"/>
      <c r="BE535" s="114"/>
    </row>
    <row r="536" spans="1:57" ht="19.5" x14ac:dyDescent="0.4">
      <c r="A536" s="117"/>
      <c r="B536" s="123"/>
      <c r="C536" s="123"/>
      <c r="D536" s="123"/>
      <c r="R536" s="26"/>
      <c r="S536" s="13"/>
      <c r="AC536" s="26"/>
      <c r="AD536" s="13"/>
      <c r="AI536" s="117"/>
      <c r="AJ536" s="123"/>
      <c r="AK536" s="123"/>
      <c r="AL536" s="123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25">
        <v>45270</v>
      </c>
      <c r="BB536" s="13" t="s">
        <v>164</v>
      </c>
      <c r="BE536" s="114"/>
    </row>
    <row r="537" spans="1:57" ht="19.5" x14ac:dyDescent="0.4">
      <c r="A537" s="117"/>
      <c r="B537" s="123"/>
      <c r="C537" s="123"/>
      <c r="D537" s="123"/>
      <c r="R537" s="26"/>
      <c r="S537" s="13"/>
      <c r="W537" s="115"/>
      <c r="X537" s="115"/>
      <c r="Y537" s="115"/>
      <c r="Z537" s="115"/>
      <c r="AA537" s="115"/>
      <c r="AB537" s="115"/>
      <c r="AC537" s="26"/>
      <c r="AD537" s="13"/>
      <c r="AI537" s="117"/>
      <c r="AJ537" s="123"/>
      <c r="AK537" s="123"/>
      <c r="AL537" s="123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25"/>
      <c r="BB537" s="13"/>
      <c r="BE537" s="114"/>
    </row>
    <row r="538" spans="1:57" ht="19.5" x14ac:dyDescent="0.4">
      <c r="A538" s="117"/>
      <c r="B538" s="123"/>
      <c r="C538" s="123"/>
      <c r="D538" s="123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26"/>
      <c r="S538" s="13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26"/>
      <c r="AD538" s="13"/>
      <c r="AI538" s="117"/>
      <c r="AJ538" s="123"/>
      <c r="AK538" s="123"/>
      <c r="AL538" s="123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115"/>
      <c r="BA538" s="25"/>
      <c r="BB538" s="13"/>
      <c r="BE538" s="114"/>
    </row>
    <row r="539" spans="1:57" ht="19.5" x14ac:dyDescent="0.4">
      <c r="A539" s="117"/>
      <c r="B539" s="123"/>
      <c r="C539" s="123"/>
      <c r="D539" s="123"/>
      <c r="R539" s="26"/>
      <c r="S539" s="15"/>
      <c r="AC539" s="26"/>
      <c r="AD539" s="13"/>
      <c r="AI539" s="117"/>
      <c r="AJ539" s="123"/>
      <c r="AK539" s="123"/>
      <c r="AL539" s="123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115"/>
      <c r="BA539" s="25">
        <v>45270</v>
      </c>
      <c r="BB539" s="13" t="s">
        <v>162</v>
      </c>
      <c r="BE539" s="114"/>
    </row>
    <row r="540" spans="1:57" ht="19.5" x14ac:dyDescent="0.4">
      <c r="A540" s="117"/>
      <c r="B540" s="123"/>
      <c r="C540" s="123"/>
      <c r="D540" s="123"/>
      <c r="R540" s="26"/>
      <c r="S540" s="15"/>
      <c r="V540" s="115"/>
      <c r="W540" s="115"/>
      <c r="X540" s="115"/>
      <c r="Y540" s="115"/>
      <c r="Z540" s="115"/>
      <c r="AA540" s="115"/>
      <c r="AB540" s="115"/>
      <c r="AC540" s="26"/>
      <c r="AD540" s="15"/>
      <c r="AI540" s="117"/>
      <c r="AJ540" s="123"/>
      <c r="AK540" s="123"/>
      <c r="AL540" s="123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115"/>
      <c r="BA540" s="25"/>
      <c r="BB540" s="13"/>
      <c r="BE540" s="114"/>
    </row>
    <row r="541" spans="1:57" ht="19.5" x14ac:dyDescent="0.4">
      <c r="A541" s="117"/>
      <c r="B541" s="123"/>
      <c r="C541" s="123"/>
      <c r="D541" s="123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7"/>
      <c r="S541" s="15"/>
      <c r="V541" s="115"/>
      <c r="W541" s="115"/>
      <c r="X541" s="115"/>
      <c r="Y541" s="115"/>
      <c r="Z541" s="115"/>
      <c r="AA541" s="115"/>
      <c r="AB541" s="115"/>
      <c r="AC541" s="26"/>
      <c r="AD541" s="13"/>
      <c r="AI541" s="117"/>
      <c r="AJ541" s="123"/>
      <c r="AK541" s="123"/>
      <c r="AL541" s="123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115"/>
      <c r="BA541" s="25"/>
      <c r="BB541" s="13"/>
      <c r="BE541" s="114"/>
    </row>
    <row r="542" spans="1:57" ht="19.5" x14ac:dyDescent="0.4">
      <c r="A542" s="117"/>
      <c r="B542" s="123"/>
      <c r="C542" s="123"/>
      <c r="D542" s="123"/>
      <c r="R542" s="26"/>
      <c r="S542" s="15"/>
      <c r="AC542" s="26"/>
      <c r="AD542" s="13"/>
      <c r="AI542" s="117"/>
      <c r="AJ542" s="123"/>
      <c r="AK542" s="123"/>
      <c r="AL542" s="123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25">
        <v>45270</v>
      </c>
      <c r="BB542" s="13" t="s">
        <v>162</v>
      </c>
      <c r="BE542" s="114"/>
    </row>
    <row r="543" spans="1:57" ht="19.5" x14ac:dyDescent="0.4">
      <c r="A543" s="117"/>
      <c r="B543" s="123"/>
      <c r="C543" s="123"/>
      <c r="D543" s="123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7"/>
      <c r="S543" s="15"/>
      <c r="AC543" s="26"/>
      <c r="AD543" s="13"/>
      <c r="AI543" s="117"/>
      <c r="AJ543" s="123"/>
      <c r="AK543" s="123"/>
      <c r="AL543" s="123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115"/>
      <c r="BA543" s="25"/>
      <c r="BB543" s="13"/>
      <c r="BE543" s="114"/>
    </row>
    <row r="544" spans="1:57" ht="19.5" x14ac:dyDescent="0.4">
      <c r="A544" s="117"/>
      <c r="B544" s="123"/>
      <c r="C544" s="123"/>
      <c r="D544" s="123"/>
      <c r="R544" s="26"/>
      <c r="S544" s="15"/>
      <c r="X544" s="115"/>
      <c r="Y544" s="115"/>
      <c r="Z544" s="115"/>
      <c r="AA544" s="115"/>
      <c r="AB544" s="115"/>
      <c r="AC544" s="17"/>
      <c r="AD544" s="13"/>
      <c r="AI544" s="117"/>
      <c r="AJ544" s="123"/>
      <c r="AK544" s="123"/>
      <c r="AL544" s="123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115"/>
      <c r="BA544" s="25"/>
      <c r="BB544" s="13"/>
      <c r="BE544" s="114"/>
    </row>
    <row r="545" spans="1:57" ht="19.5" x14ac:dyDescent="0.4">
      <c r="A545" s="117"/>
      <c r="B545" s="123"/>
      <c r="C545" s="123"/>
      <c r="D545" s="123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9"/>
      <c r="S545" s="119"/>
      <c r="X545" s="115"/>
      <c r="Y545" s="115"/>
      <c r="Z545" s="115"/>
      <c r="AA545" s="115"/>
      <c r="AB545" s="115"/>
      <c r="AC545" s="17"/>
      <c r="AD545" s="13"/>
      <c r="AI545" s="117"/>
      <c r="AJ545" s="123"/>
      <c r="AK545" s="123"/>
      <c r="AL545" s="123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115"/>
      <c r="BA545" s="25"/>
      <c r="BB545" s="13"/>
      <c r="BE545" s="114"/>
    </row>
    <row r="546" spans="1:57" ht="19.5" x14ac:dyDescent="0.4">
      <c r="A546" s="117"/>
      <c r="B546" s="123"/>
      <c r="C546" s="123"/>
      <c r="D546" s="123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9"/>
      <c r="S546" s="119"/>
      <c r="X546" s="115"/>
      <c r="Y546" s="115"/>
      <c r="Z546" s="115"/>
      <c r="AA546" s="115"/>
      <c r="AB546" s="115"/>
      <c r="AC546" s="17"/>
      <c r="AD546" s="13"/>
      <c r="AI546" s="117"/>
      <c r="AJ546" s="123"/>
      <c r="AK546" s="123"/>
      <c r="AL546" s="123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115"/>
      <c r="BA546" s="25"/>
      <c r="BB546" s="13"/>
      <c r="BE546" s="114"/>
    </row>
    <row r="547" spans="1:57" ht="19.5" x14ac:dyDescent="0.4">
      <c r="A547" s="117"/>
      <c r="B547" s="123"/>
      <c r="C547" s="123"/>
      <c r="D547" s="123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26"/>
      <c r="AD547" s="13"/>
      <c r="AI547" s="117"/>
      <c r="AJ547" s="123"/>
      <c r="AK547" s="123"/>
      <c r="AL547" s="123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115"/>
      <c r="BA547" s="25"/>
      <c r="BB547" s="13"/>
      <c r="BE547" s="114"/>
    </row>
    <row r="548" spans="1:57" ht="19.5" x14ac:dyDescent="0.4">
      <c r="A548" s="117"/>
      <c r="B548" s="123"/>
      <c r="C548" s="123"/>
      <c r="D548" s="123"/>
      <c r="AC548" s="26"/>
      <c r="AD548" s="13"/>
      <c r="AI548" s="117"/>
      <c r="AJ548" s="123"/>
      <c r="AK548" s="123"/>
      <c r="AL548" s="123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25"/>
      <c r="BB548" s="13"/>
      <c r="BE548" s="114"/>
    </row>
    <row r="549" spans="1:57" ht="19.5" x14ac:dyDescent="0.4">
      <c r="A549" s="117"/>
      <c r="B549" s="123"/>
      <c r="C549" s="123"/>
      <c r="D549" s="123"/>
      <c r="AC549" s="26"/>
      <c r="AD549" s="13"/>
      <c r="AI549" s="117"/>
      <c r="AJ549" s="123"/>
      <c r="AK549" s="123"/>
      <c r="AL549" s="123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115"/>
      <c r="BA549" s="25">
        <v>45270</v>
      </c>
      <c r="BB549" s="13" t="s">
        <v>163</v>
      </c>
      <c r="BE549" s="114"/>
    </row>
    <row r="550" spans="1:57" ht="19.5" x14ac:dyDescent="0.4">
      <c r="A550" s="117"/>
      <c r="B550" s="123"/>
      <c r="C550" s="123"/>
      <c r="D550" s="123"/>
      <c r="X550" s="115"/>
      <c r="Y550" s="115"/>
      <c r="Z550" s="115"/>
      <c r="AA550" s="115"/>
      <c r="AB550" s="115"/>
      <c r="AC550" s="17"/>
      <c r="AD550" s="13"/>
      <c r="AI550" s="117"/>
      <c r="AJ550" s="123"/>
      <c r="AK550" s="123"/>
      <c r="AL550" s="123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25"/>
      <c r="BB550" s="13"/>
      <c r="BE550" s="114"/>
    </row>
    <row r="551" spans="1:57" ht="19.5" x14ac:dyDescent="0.4">
      <c r="A551" s="117"/>
      <c r="B551" s="123"/>
      <c r="C551" s="123"/>
      <c r="D551" s="123"/>
      <c r="AC551" s="26"/>
      <c r="AD551" s="13"/>
      <c r="AI551" s="117"/>
      <c r="AJ551" s="123"/>
      <c r="AK551" s="123"/>
      <c r="AL551" s="123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 t="s">
        <v>151</v>
      </c>
      <c r="BA551" s="13">
        <f>SUBTOTAL(3,BA532:BA549)</f>
        <v>5</v>
      </c>
      <c r="BB551" s="13">
        <f>SUBTOTAL(3,BB532:BB549)</f>
        <v>5</v>
      </c>
      <c r="BE551" s="114"/>
    </row>
    <row r="552" spans="1:57" ht="19.5" x14ac:dyDescent="0.4">
      <c r="A552" s="117"/>
      <c r="B552" s="123"/>
      <c r="C552" s="123"/>
      <c r="D552" s="123"/>
      <c r="W552" s="115"/>
      <c r="X552" s="115"/>
      <c r="Y552" s="115"/>
      <c r="Z552" s="115"/>
      <c r="AA552" s="115"/>
      <c r="AB552" s="115"/>
      <c r="AC552" s="26"/>
      <c r="AD552" s="13"/>
      <c r="AI552" s="117"/>
      <c r="AJ552" s="123"/>
      <c r="AK552" s="123"/>
      <c r="AL552" s="123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3"/>
      <c r="BB552" s="13"/>
      <c r="BE552" s="114"/>
    </row>
    <row r="553" spans="1:57" ht="19.5" x14ac:dyDescent="0.4">
      <c r="A553" s="117"/>
      <c r="B553" s="123"/>
      <c r="C553" s="123"/>
      <c r="D553" s="123"/>
      <c r="AC553" s="26"/>
      <c r="AD553" s="13"/>
      <c r="AI553" s="117"/>
      <c r="AJ553" s="123"/>
      <c r="AK553" s="123"/>
      <c r="AL553" s="123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25">
        <v>45271</v>
      </c>
      <c r="BB553" s="13" t="s">
        <v>162</v>
      </c>
      <c r="BE553" s="114"/>
    </row>
    <row r="554" spans="1:57" ht="19.5" x14ac:dyDescent="0.4">
      <c r="A554" s="117"/>
      <c r="B554" s="123"/>
      <c r="C554" s="123"/>
      <c r="D554" s="123"/>
      <c r="AC554" s="26"/>
      <c r="AD554" s="13"/>
      <c r="AI554" s="117"/>
      <c r="AJ554" s="123"/>
      <c r="AK554" s="123"/>
      <c r="AL554" s="123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25">
        <v>45271</v>
      </c>
      <c r="BB554" s="13" t="s">
        <v>163</v>
      </c>
      <c r="BE554" s="114"/>
    </row>
    <row r="555" spans="1:57" ht="19.5" x14ac:dyDescent="0.4">
      <c r="A555" s="117"/>
      <c r="B555" s="123"/>
      <c r="C555" s="123"/>
      <c r="D555" s="123"/>
      <c r="W555" s="115"/>
      <c r="X555" s="115"/>
      <c r="Y555" s="115"/>
      <c r="Z555" s="115"/>
      <c r="AA555" s="115"/>
      <c r="AB555" s="115"/>
      <c r="AC555" s="26"/>
      <c r="AD555" s="13"/>
      <c r="AI555" s="117"/>
      <c r="AJ555" s="123"/>
      <c r="AK555" s="123"/>
      <c r="AL555" s="123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25"/>
      <c r="BB555" s="13"/>
      <c r="BE555" s="114"/>
    </row>
    <row r="556" spans="1:57" ht="19.5" x14ac:dyDescent="0.4">
      <c r="A556" s="117"/>
      <c r="B556" s="123"/>
      <c r="C556" s="123"/>
      <c r="D556" s="123"/>
      <c r="V556" s="115"/>
      <c r="W556" s="115"/>
      <c r="X556" s="115"/>
      <c r="Y556" s="115"/>
      <c r="Z556" s="115"/>
      <c r="AA556" s="115"/>
      <c r="AB556" s="115"/>
      <c r="AC556" s="26"/>
      <c r="AD556" s="13"/>
      <c r="AI556" s="117"/>
      <c r="AJ556" s="123"/>
      <c r="AK556" s="123"/>
      <c r="AL556" s="123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25"/>
      <c r="BB556" s="13"/>
      <c r="BE556" s="114"/>
    </row>
    <row r="557" spans="1:57" ht="19.5" x14ac:dyDescent="0.4">
      <c r="A557" s="117"/>
      <c r="B557" s="123"/>
      <c r="C557" s="123"/>
      <c r="D557" s="123"/>
      <c r="V557" s="115"/>
      <c r="W557" s="115"/>
      <c r="X557" s="115"/>
      <c r="Y557" s="115"/>
      <c r="Z557" s="115"/>
      <c r="AA557" s="115"/>
      <c r="AB557" s="115"/>
      <c r="AC557" s="17"/>
      <c r="AD557" s="13"/>
      <c r="AI557" s="117"/>
      <c r="AJ557" s="123"/>
      <c r="AK557" s="123"/>
      <c r="AL557" s="123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25"/>
      <c r="BB557" s="13"/>
      <c r="BE557" s="114"/>
    </row>
    <row r="558" spans="1:57" ht="19.5" x14ac:dyDescent="0.4">
      <c r="A558" s="117"/>
      <c r="B558" s="123"/>
      <c r="C558" s="123"/>
      <c r="D558" s="123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26"/>
      <c r="AD558" s="13"/>
      <c r="AI558" s="117"/>
      <c r="AJ558" s="123"/>
      <c r="AK558" s="123"/>
      <c r="AL558" s="123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25"/>
      <c r="BB558" s="13"/>
      <c r="BE558" s="114"/>
    </row>
    <row r="559" spans="1:57" ht="19.5" x14ac:dyDescent="0.4">
      <c r="A559" s="117"/>
      <c r="B559" s="123"/>
      <c r="C559" s="123"/>
      <c r="D559" s="123"/>
      <c r="AC559" s="26"/>
      <c r="AD559" s="13"/>
      <c r="AI559" s="117"/>
      <c r="AJ559" s="123"/>
      <c r="AK559" s="123"/>
      <c r="AL559" s="123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25">
        <v>45271</v>
      </c>
      <c r="BB559" s="13" t="s">
        <v>163</v>
      </c>
      <c r="BE559" s="114"/>
    </row>
    <row r="560" spans="1:57" ht="19.5" x14ac:dyDescent="0.4">
      <c r="A560" s="117"/>
      <c r="B560" s="123"/>
      <c r="C560" s="123"/>
      <c r="D560" s="123"/>
      <c r="W560" s="115"/>
      <c r="X560" s="115"/>
      <c r="Y560" s="115"/>
      <c r="Z560" s="115"/>
      <c r="AA560" s="115"/>
      <c r="AB560" s="115"/>
      <c r="AC560" s="26"/>
      <c r="AD560" s="13"/>
      <c r="AI560" s="117"/>
      <c r="AJ560" s="123"/>
      <c r="AK560" s="123"/>
      <c r="AL560" s="123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25"/>
      <c r="BB560" s="13"/>
      <c r="BE560" s="114"/>
    </row>
    <row r="561" spans="1:57" ht="19.5" x14ac:dyDescent="0.4">
      <c r="A561" s="117"/>
      <c r="B561" s="123"/>
      <c r="C561" s="123"/>
      <c r="D561" s="123"/>
      <c r="U561" s="115"/>
      <c r="V561" s="115"/>
      <c r="W561" s="115"/>
      <c r="X561" s="115"/>
      <c r="Y561" s="115"/>
      <c r="Z561" s="115"/>
      <c r="AA561" s="115"/>
      <c r="AB561" s="115"/>
      <c r="AC561" s="26"/>
      <c r="AD561" s="13"/>
      <c r="AI561" s="117"/>
      <c r="AJ561" s="123"/>
      <c r="AK561" s="123"/>
      <c r="AL561" s="123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25"/>
      <c r="BB561" s="13"/>
      <c r="BE561" s="114"/>
    </row>
    <row r="562" spans="1:57" ht="19.5" x14ac:dyDescent="0.4">
      <c r="A562" s="117"/>
      <c r="B562" s="123"/>
      <c r="C562" s="123"/>
      <c r="D562" s="123"/>
      <c r="U562" s="115"/>
      <c r="V562" s="115"/>
      <c r="W562" s="115"/>
      <c r="X562" s="115"/>
      <c r="Y562" s="115"/>
      <c r="Z562" s="115"/>
      <c r="AA562" s="115"/>
      <c r="AB562" s="115"/>
      <c r="AC562" s="17"/>
      <c r="AD562" s="13"/>
      <c r="AI562" s="117"/>
      <c r="AJ562" s="123"/>
      <c r="AK562" s="123"/>
      <c r="AL562" s="123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25"/>
      <c r="BB562" s="13"/>
      <c r="BE562" s="114"/>
    </row>
    <row r="563" spans="1:57" ht="19.5" x14ac:dyDescent="0.4">
      <c r="A563" s="117"/>
      <c r="B563" s="123"/>
      <c r="C563" s="123"/>
      <c r="D563" s="123"/>
      <c r="AC563" s="26"/>
      <c r="AD563" s="13"/>
      <c r="AI563" s="117"/>
      <c r="AJ563" s="123"/>
      <c r="AK563" s="123"/>
      <c r="AL563" s="123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115" t="s">
        <v>165</v>
      </c>
      <c r="BA563" s="13">
        <f>SUBTOTAL(3,BA553:BA559)</f>
        <v>3</v>
      </c>
      <c r="BB563" s="13">
        <f>SUBTOTAL(3,BB553:BB559)</f>
        <v>3</v>
      </c>
      <c r="BE563" s="114"/>
    </row>
    <row r="564" spans="1:57" ht="19.5" x14ac:dyDescent="0.4">
      <c r="A564" s="117"/>
      <c r="B564" s="123"/>
      <c r="C564" s="123"/>
      <c r="D564" s="123"/>
      <c r="AC564" s="26"/>
      <c r="AD564" s="13"/>
      <c r="AI564" s="117"/>
      <c r="AJ564" s="123"/>
      <c r="AK564" s="123"/>
      <c r="AL564" s="123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25">
        <v>45272</v>
      </c>
      <c r="BB564" s="13" t="s">
        <v>162</v>
      </c>
      <c r="BE564" s="114"/>
    </row>
    <row r="565" spans="1:57" ht="19.5" x14ac:dyDescent="0.4">
      <c r="A565" s="117"/>
      <c r="B565" s="123"/>
      <c r="C565" s="123"/>
      <c r="D565" s="123"/>
      <c r="X565" s="115"/>
      <c r="Y565" s="115"/>
      <c r="Z565" s="115"/>
      <c r="AA565" s="115"/>
      <c r="AB565" s="115"/>
      <c r="AC565" s="17"/>
      <c r="AD565" s="13"/>
      <c r="AI565" s="117"/>
      <c r="AJ565" s="123"/>
      <c r="AK565" s="123"/>
      <c r="AL565" s="123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25"/>
      <c r="BB565" s="13"/>
      <c r="BE565" s="114"/>
    </row>
    <row r="566" spans="1:57" ht="19.5" x14ac:dyDescent="0.4">
      <c r="A566" s="117"/>
      <c r="B566" s="123"/>
      <c r="C566" s="123"/>
      <c r="D566" s="123"/>
      <c r="AC566" s="26"/>
      <c r="AD566" s="15"/>
      <c r="AI566" s="117"/>
      <c r="AJ566" s="123"/>
      <c r="AK566" s="123"/>
      <c r="AL566" s="123"/>
      <c r="AM566" s="115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115"/>
      <c r="AY566" s="115"/>
      <c r="AZ566" s="115"/>
      <c r="BA566" s="25">
        <v>45272</v>
      </c>
      <c r="BB566" s="13" t="s">
        <v>162</v>
      </c>
      <c r="BE566" s="114"/>
    </row>
    <row r="567" spans="1:57" ht="19.5" x14ac:dyDescent="0.4">
      <c r="A567" s="117"/>
      <c r="B567" s="123"/>
      <c r="C567" s="123"/>
      <c r="D567" s="123"/>
      <c r="X567" s="115"/>
      <c r="Y567" s="115"/>
      <c r="Z567" s="115"/>
      <c r="AA567" s="115"/>
      <c r="AB567" s="115"/>
      <c r="AC567" s="17"/>
      <c r="AD567" s="13"/>
      <c r="AI567" s="117"/>
      <c r="AJ567" s="123"/>
      <c r="AK567" s="123"/>
      <c r="AL567" s="123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25"/>
      <c r="BB567" s="13"/>
      <c r="BE567" s="114"/>
    </row>
    <row r="568" spans="1:57" ht="19.5" x14ac:dyDescent="0.4">
      <c r="A568" s="117"/>
      <c r="B568" s="123"/>
      <c r="C568" s="123"/>
      <c r="D568" s="123"/>
      <c r="X568" s="115"/>
      <c r="Y568" s="115"/>
      <c r="Z568" s="115"/>
      <c r="AA568" s="115"/>
      <c r="AB568" s="115"/>
      <c r="AC568" s="17"/>
      <c r="AD568" s="13"/>
      <c r="AI568" s="117"/>
      <c r="AJ568" s="123"/>
      <c r="AK568" s="123"/>
      <c r="AL568" s="123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115"/>
      <c r="AY568" s="115"/>
      <c r="AZ568" s="115"/>
      <c r="BA568" s="25"/>
      <c r="BB568" s="13"/>
      <c r="BE568" s="114"/>
    </row>
    <row r="569" spans="1:57" ht="19.5" x14ac:dyDescent="0.4">
      <c r="A569" s="117"/>
      <c r="B569" s="123"/>
      <c r="C569" s="123"/>
      <c r="D569" s="123"/>
      <c r="AC569" s="26"/>
      <c r="AD569" s="13"/>
      <c r="AI569" s="117"/>
      <c r="AJ569" s="123"/>
      <c r="AK569" s="123"/>
      <c r="AL569" s="123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115"/>
      <c r="AY569" s="115"/>
      <c r="AZ569" s="115"/>
      <c r="BA569" s="25">
        <v>45272</v>
      </c>
      <c r="BB569" s="13" t="s">
        <v>162</v>
      </c>
      <c r="BE569" s="114"/>
    </row>
    <row r="570" spans="1:57" ht="19.5" x14ac:dyDescent="0.4">
      <c r="A570" s="125"/>
      <c r="B570" s="126"/>
      <c r="C570" s="126"/>
      <c r="D570" s="126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26"/>
      <c r="AD570" s="13"/>
      <c r="AI570" s="117"/>
      <c r="AJ570" s="123"/>
      <c r="AK570" s="123"/>
      <c r="AL570" s="123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25"/>
      <c r="BB570" s="13"/>
      <c r="BE570" s="114"/>
    </row>
    <row r="571" spans="1:57" ht="19.5" x14ac:dyDescent="0.4">
      <c r="A571" s="125"/>
      <c r="B571" s="126"/>
      <c r="C571" s="126"/>
      <c r="D571" s="126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26"/>
      <c r="AD571" s="13"/>
      <c r="AI571" s="117"/>
      <c r="AJ571" s="123"/>
      <c r="AK571" s="123"/>
      <c r="AL571" s="123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115"/>
      <c r="AY571" s="115"/>
      <c r="AZ571" s="115"/>
      <c r="BA571" s="25"/>
      <c r="BB571" s="13"/>
      <c r="BE571" s="114"/>
    </row>
    <row r="572" spans="1:57" ht="19.5" x14ac:dyDescent="0.4">
      <c r="A572" s="125"/>
      <c r="B572" s="126"/>
      <c r="C572" s="126"/>
      <c r="D572" s="126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7"/>
      <c r="AD572" s="13"/>
      <c r="AI572" s="117"/>
      <c r="AJ572" s="123"/>
      <c r="AK572" s="123"/>
      <c r="AL572" s="123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25"/>
      <c r="BB572" s="13"/>
      <c r="BE572" s="114"/>
    </row>
    <row r="573" spans="1:57" ht="19.5" x14ac:dyDescent="0.4">
      <c r="A573" s="125"/>
      <c r="B573" s="126"/>
      <c r="C573" s="126"/>
      <c r="D573" s="126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26"/>
      <c r="AD573" s="13"/>
      <c r="AI573" s="117"/>
      <c r="AJ573" s="123"/>
      <c r="AK573" s="123"/>
      <c r="AL573" s="123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115"/>
      <c r="AZ573" s="115"/>
      <c r="BA573" s="25"/>
      <c r="BB573" s="13"/>
      <c r="BE573" s="114"/>
    </row>
    <row r="574" spans="1:57" ht="19.5" x14ac:dyDescent="0.4">
      <c r="AC574" s="26"/>
      <c r="AD574" s="13"/>
      <c r="AI574" s="117"/>
      <c r="AJ574" s="123"/>
      <c r="AK574" s="123"/>
      <c r="AL574" s="123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115"/>
      <c r="AZ574" s="115"/>
      <c r="BA574" s="25">
        <v>45272</v>
      </c>
      <c r="BB574" s="13" t="s">
        <v>162</v>
      </c>
      <c r="BE574" s="114"/>
    </row>
    <row r="575" spans="1:57" ht="19.5" x14ac:dyDescent="0.4">
      <c r="AC575" s="26"/>
      <c r="AD575" s="13"/>
      <c r="AI575" s="117"/>
      <c r="AJ575" s="123"/>
      <c r="AK575" s="123"/>
      <c r="AL575" s="123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115"/>
      <c r="AZ575" s="115"/>
      <c r="BA575" s="25"/>
      <c r="BB575" s="13"/>
      <c r="BE575" s="114"/>
    </row>
    <row r="576" spans="1:57" ht="19.5" x14ac:dyDescent="0.4"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26"/>
      <c r="AD576" s="25"/>
      <c r="AI576" s="117"/>
      <c r="AJ576" s="123"/>
      <c r="AK576" s="123"/>
      <c r="AL576" s="123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25"/>
      <c r="BB576" s="13"/>
      <c r="BE576" s="114"/>
    </row>
    <row r="577" spans="6:57" ht="19.5" x14ac:dyDescent="0.4">
      <c r="AC577" s="26"/>
      <c r="AD577" s="25"/>
      <c r="AI577" s="117"/>
      <c r="AJ577" s="123"/>
      <c r="AK577" s="123"/>
      <c r="AL577" s="123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115"/>
      <c r="AZ577" s="115"/>
      <c r="BA577" s="25">
        <v>45272</v>
      </c>
      <c r="BB577" s="13" t="s">
        <v>162</v>
      </c>
      <c r="BE577" s="114"/>
    </row>
    <row r="578" spans="6:57" ht="19.5" x14ac:dyDescent="0.4">
      <c r="AC578" s="26"/>
      <c r="AD578" s="13"/>
      <c r="AI578" s="117"/>
      <c r="AJ578" s="123"/>
      <c r="AK578" s="123"/>
      <c r="AL578" s="123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115"/>
      <c r="AZ578" s="115"/>
      <c r="BA578" s="25">
        <v>45272</v>
      </c>
      <c r="BB578" s="15" t="s">
        <v>162</v>
      </c>
      <c r="BE578" s="114"/>
    </row>
    <row r="579" spans="6:57" ht="19.5" x14ac:dyDescent="0.4">
      <c r="AC579" s="26"/>
      <c r="AD579" s="13"/>
      <c r="AI579" s="117"/>
      <c r="AJ579" s="123"/>
      <c r="AK579" s="123"/>
      <c r="AL579" s="123"/>
      <c r="AM579" s="115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115"/>
      <c r="AZ579" s="115"/>
      <c r="BA579" s="25">
        <v>45272</v>
      </c>
      <c r="BB579" s="15" t="s">
        <v>162</v>
      </c>
      <c r="BE579" s="114"/>
    </row>
    <row r="580" spans="6:57" ht="19.5" x14ac:dyDescent="0.4"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26"/>
      <c r="AD580" s="13"/>
      <c r="AI580" s="117"/>
      <c r="AJ580" s="123"/>
      <c r="AK580" s="123"/>
      <c r="AL580" s="123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115"/>
      <c r="AZ580" s="115"/>
      <c r="BA580" s="25"/>
      <c r="BB580" s="15"/>
      <c r="BE580" s="114"/>
    </row>
    <row r="581" spans="6:57" ht="19.5" x14ac:dyDescent="0.4"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7"/>
      <c r="AD581" s="13"/>
      <c r="AI581" s="117"/>
      <c r="AJ581" s="123"/>
      <c r="AK581" s="123"/>
      <c r="AL581" s="123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115"/>
      <c r="AZ581" s="115"/>
      <c r="BA581" s="25"/>
      <c r="BB581" s="15"/>
      <c r="BE581" s="114"/>
    </row>
    <row r="582" spans="6:57" ht="19.5" x14ac:dyDescent="0.4">
      <c r="AC582" s="26"/>
      <c r="AD582" s="13"/>
      <c r="AI582" s="117"/>
      <c r="AJ582" s="123"/>
      <c r="AK582" s="123"/>
      <c r="AL582" s="123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25">
        <v>45272</v>
      </c>
      <c r="BB582" s="15" t="s">
        <v>162</v>
      </c>
      <c r="BE582" s="114"/>
    </row>
    <row r="583" spans="6:57" ht="19.5" x14ac:dyDescent="0.4"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26"/>
      <c r="AD583" s="13"/>
      <c r="AI583" s="117"/>
      <c r="AJ583" s="123"/>
      <c r="AK583" s="123"/>
      <c r="AL583" s="123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25"/>
      <c r="BB583" s="15"/>
      <c r="BE583" s="114"/>
    </row>
    <row r="584" spans="6:57" ht="19.5" x14ac:dyDescent="0.4"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26"/>
      <c r="AD584" s="13"/>
      <c r="AI584" s="117"/>
      <c r="AJ584" s="123"/>
      <c r="AK584" s="123"/>
      <c r="AL584" s="123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25"/>
      <c r="BB584" s="15"/>
      <c r="BE584" s="114"/>
    </row>
    <row r="585" spans="6:57" ht="19.5" x14ac:dyDescent="0.4"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7"/>
      <c r="AD585" s="13"/>
      <c r="AI585" s="117"/>
      <c r="AJ585" s="123"/>
      <c r="AK585" s="123"/>
      <c r="AL585" s="123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25"/>
      <c r="BB585" s="15"/>
      <c r="BE585" s="114"/>
    </row>
    <row r="586" spans="6:57" ht="19.5" x14ac:dyDescent="0.4"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26"/>
      <c r="AD586" s="13"/>
      <c r="AI586" s="117"/>
      <c r="AJ586" s="123"/>
      <c r="AK586" s="123"/>
      <c r="AL586" s="123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25"/>
      <c r="BB586" s="15"/>
      <c r="BE586" s="114"/>
    </row>
    <row r="587" spans="6:57" ht="19.5" x14ac:dyDescent="0.4"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7"/>
      <c r="AD587" s="13"/>
      <c r="AI587" s="117"/>
      <c r="AJ587" s="123"/>
      <c r="AK587" s="123"/>
      <c r="AL587" s="123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25"/>
      <c r="BB587" s="15"/>
      <c r="BE587" s="114"/>
    </row>
    <row r="588" spans="6:57" ht="19.5" x14ac:dyDescent="0.4"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26"/>
      <c r="AD588" s="13"/>
      <c r="AI588" s="117"/>
      <c r="AJ588" s="123"/>
      <c r="AK588" s="123"/>
      <c r="AL588" s="123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25"/>
      <c r="BB588" s="15"/>
      <c r="BE588" s="114"/>
    </row>
    <row r="589" spans="6:57" ht="19.5" x14ac:dyDescent="0.4">
      <c r="AC589" s="26"/>
      <c r="AD589" s="13"/>
      <c r="AI589" s="117"/>
      <c r="AJ589" s="123"/>
      <c r="AK589" s="123"/>
      <c r="AL589" s="123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25">
        <v>45272</v>
      </c>
      <c r="BB589" s="15" t="s">
        <v>162</v>
      </c>
      <c r="BE589" s="114"/>
    </row>
    <row r="590" spans="6:57" ht="19.5" x14ac:dyDescent="0.4">
      <c r="V590" s="115"/>
      <c r="W590" s="115"/>
      <c r="X590" s="115"/>
      <c r="Y590" s="115"/>
      <c r="Z590" s="115"/>
      <c r="AA590" s="115"/>
      <c r="AB590" s="115"/>
      <c r="AC590" s="26"/>
      <c r="AD590" s="13"/>
      <c r="AI590" s="117"/>
      <c r="AJ590" s="123"/>
      <c r="AK590" s="123"/>
      <c r="AL590" s="123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25"/>
      <c r="BB590" s="15"/>
      <c r="BE590" s="114"/>
    </row>
    <row r="591" spans="6:57" ht="19.5" x14ac:dyDescent="0.4">
      <c r="V591" s="115"/>
      <c r="W591" s="115"/>
      <c r="X591" s="115"/>
      <c r="Y591" s="115"/>
      <c r="Z591" s="115"/>
      <c r="AA591" s="115"/>
      <c r="AB591" s="115"/>
      <c r="AC591" s="17"/>
      <c r="AD591" s="13"/>
      <c r="AI591" s="117"/>
      <c r="AJ591" s="123"/>
      <c r="AK591" s="123"/>
      <c r="AL591" s="123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115"/>
      <c r="AZ591" s="115"/>
      <c r="BA591" s="25"/>
      <c r="BB591" s="15"/>
      <c r="BE591" s="114"/>
    </row>
    <row r="592" spans="6:57" ht="19.5" x14ac:dyDescent="0.4"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26"/>
      <c r="AD592" s="13"/>
      <c r="AI592" s="117"/>
      <c r="AJ592" s="123"/>
      <c r="AK592" s="123"/>
      <c r="AL592" s="123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25"/>
      <c r="BB592" s="15"/>
      <c r="BE592" s="114"/>
    </row>
    <row r="593" spans="6:57" ht="19.5" x14ac:dyDescent="0.4"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7"/>
      <c r="AD593" s="13"/>
      <c r="AI593" s="117"/>
      <c r="AJ593" s="123"/>
      <c r="AK593" s="123"/>
      <c r="AL593" s="123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115"/>
      <c r="AZ593" s="115"/>
      <c r="BA593" s="25"/>
      <c r="BB593" s="15"/>
      <c r="BE593" s="114"/>
    </row>
    <row r="594" spans="6:57" ht="19.5" x14ac:dyDescent="0.4"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26"/>
      <c r="AD594" s="25"/>
      <c r="AI594" s="117"/>
      <c r="AJ594" s="123"/>
      <c r="AK594" s="123"/>
      <c r="AL594" s="123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25"/>
      <c r="BB594" s="15"/>
      <c r="BE594" s="114"/>
    </row>
    <row r="595" spans="6:57" ht="19.5" x14ac:dyDescent="0.4"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7"/>
      <c r="AD595" s="13"/>
      <c r="AI595" s="117"/>
      <c r="AJ595" s="123"/>
      <c r="AK595" s="123"/>
      <c r="AL595" s="123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25"/>
      <c r="BB595" s="15"/>
      <c r="BE595" s="114"/>
    </row>
    <row r="596" spans="6:57" ht="19.5" x14ac:dyDescent="0.4"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26"/>
      <c r="AD596" s="13"/>
      <c r="AI596" s="117"/>
      <c r="AJ596" s="123"/>
      <c r="AK596" s="123"/>
      <c r="AL596" s="123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115"/>
      <c r="AZ596" s="115"/>
      <c r="BA596" s="25"/>
      <c r="BB596" s="15"/>
      <c r="BE596" s="114"/>
    </row>
    <row r="597" spans="6:57" ht="19.5" x14ac:dyDescent="0.4">
      <c r="AC597" s="26"/>
      <c r="AD597" s="13"/>
      <c r="AI597" s="117"/>
      <c r="AJ597" s="123"/>
      <c r="AK597" s="123"/>
      <c r="AL597" s="123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115"/>
      <c r="AZ597" s="115"/>
      <c r="BA597" s="25">
        <v>45272</v>
      </c>
      <c r="BB597" s="15" t="s">
        <v>162</v>
      </c>
      <c r="BE597" s="114"/>
    </row>
    <row r="598" spans="6:57" ht="19.5" x14ac:dyDescent="0.4">
      <c r="W598" s="115"/>
      <c r="X598" s="115"/>
      <c r="Y598" s="115"/>
      <c r="Z598" s="115"/>
      <c r="AA598" s="115"/>
      <c r="AB598" s="115"/>
      <c r="AC598" s="17"/>
      <c r="AD598" s="13"/>
      <c r="AI598" s="117"/>
      <c r="AJ598" s="123"/>
      <c r="AK598" s="123"/>
      <c r="AL598" s="123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115"/>
      <c r="AZ598" s="115"/>
      <c r="BA598" s="25"/>
      <c r="BB598" s="15"/>
      <c r="BE598" s="114"/>
    </row>
    <row r="599" spans="6:57" ht="19.5" x14ac:dyDescent="0.4">
      <c r="V599" s="115"/>
      <c r="W599" s="115"/>
      <c r="X599" s="115"/>
      <c r="Y599" s="115"/>
      <c r="Z599" s="115"/>
      <c r="AA599" s="115"/>
      <c r="AB599" s="115"/>
      <c r="AC599" s="26"/>
      <c r="AD599" s="13"/>
      <c r="AI599" s="117"/>
      <c r="AJ599" s="123"/>
      <c r="AK599" s="123"/>
      <c r="AL599" s="123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115"/>
      <c r="AZ599" s="115"/>
      <c r="BA599" s="25"/>
      <c r="BB599" s="15"/>
      <c r="BE599" s="114"/>
    </row>
    <row r="600" spans="6:57" ht="19.5" x14ac:dyDescent="0.4">
      <c r="V600" s="115"/>
      <c r="W600" s="115"/>
      <c r="X600" s="115"/>
      <c r="Y600" s="115"/>
      <c r="Z600" s="115"/>
      <c r="AA600" s="115"/>
      <c r="AB600" s="115"/>
      <c r="AC600" s="17"/>
      <c r="AD600" s="13"/>
      <c r="AI600" s="117"/>
      <c r="AJ600" s="123"/>
      <c r="AK600" s="123"/>
      <c r="AL600" s="123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25"/>
      <c r="BB600" s="15"/>
      <c r="BE600" s="114"/>
    </row>
    <row r="601" spans="6:57" ht="19.5" x14ac:dyDescent="0.4">
      <c r="V601" s="115"/>
      <c r="W601" s="115"/>
      <c r="X601" s="115"/>
      <c r="Y601" s="115"/>
      <c r="Z601" s="115"/>
      <c r="AA601" s="115"/>
      <c r="AB601" s="115"/>
      <c r="AC601" s="17"/>
      <c r="AD601" s="13"/>
      <c r="AI601" s="117"/>
      <c r="AJ601" s="123"/>
      <c r="AK601" s="123"/>
      <c r="AL601" s="123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25"/>
      <c r="BB601" s="15"/>
      <c r="BE601" s="114"/>
    </row>
    <row r="602" spans="6:57" ht="19.5" x14ac:dyDescent="0.4"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26"/>
      <c r="AD602" s="13"/>
      <c r="AI602" s="117"/>
      <c r="AJ602" s="123"/>
      <c r="AK602" s="123"/>
      <c r="AL602" s="123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25"/>
      <c r="BB602" s="15"/>
      <c r="BE602" s="114"/>
    </row>
    <row r="603" spans="6:57" ht="19.5" x14ac:dyDescent="0.4"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20"/>
      <c r="AD603" s="13"/>
      <c r="AI603" s="117"/>
      <c r="AJ603" s="123"/>
      <c r="AK603" s="123"/>
      <c r="AL603" s="123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25"/>
      <c r="BB603" s="15"/>
      <c r="BE603" s="114"/>
    </row>
    <row r="604" spans="6:57" ht="19.5" x14ac:dyDescent="0.4"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20"/>
      <c r="AD604" s="13"/>
      <c r="AI604" s="117"/>
      <c r="AJ604" s="123"/>
      <c r="AK604" s="123"/>
      <c r="AL604" s="123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115"/>
      <c r="BA604" s="25"/>
      <c r="BB604" s="15"/>
      <c r="BE604" s="114"/>
    </row>
    <row r="605" spans="6:57" ht="19.5" x14ac:dyDescent="0.4"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25"/>
      <c r="AD605" s="15"/>
      <c r="AI605" s="117"/>
      <c r="AJ605" s="123"/>
      <c r="AK605" s="123"/>
      <c r="AL605" s="123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115"/>
      <c r="BA605" s="25"/>
      <c r="BB605" s="15"/>
      <c r="BE605" s="114"/>
    </row>
    <row r="606" spans="6:57" ht="19.5" x14ac:dyDescent="0.4"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25"/>
      <c r="AD606" s="15"/>
      <c r="AI606" s="117"/>
      <c r="AJ606" s="123"/>
      <c r="AK606" s="123"/>
      <c r="AL606" s="123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25"/>
      <c r="BB606" s="15"/>
      <c r="BE606" s="114"/>
    </row>
    <row r="607" spans="6:57" ht="19.5" x14ac:dyDescent="0.4"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25"/>
      <c r="AD607" s="15"/>
      <c r="AI607" s="117"/>
      <c r="AJ607" s="123"/>
      <c r="AK607" s="123"/>
      <c r="AL607" s="123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25"/>
      <c r="BB607" s="15"/>
      <c r="BE607" s="114"/>
    </row>
    <row r="608" spans="6:57" ht="19.5" x14ac:dyDescent="0.4">
      <c r="AC608" s="26"/>
      <c r="AD608" s="15"/>
      <c r="AI608" s="117"/>
      <c r="AJ608" s="123"/>
      <c r="AK608" s="123"/>
      <c r="AL608" s="123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25">
        <v>45272</v>
      </c>
      <c r="BB608" s="15" t="s">
        <v>162</v>
      </c>
      <c r="BE608" s="114"/>
    </row>
    <row r="609" spans="18:57" ht="19.5" x14ac:dyDescent="0.4">
      <c r="AC609" s="26"/>
      <c r="AD609" s="13"/>
      <c r="AI609" s="117"/>
      <c r="AJ609" s="123"/>
      <c r="AK609" s="123"/>
      <c r="AL609" s="123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25"/>
      <c r="BB609" s="15"/>
      <c r="BE609" s="114"/>
    </row>
    <row r="610" spans="18:57" ht="19.5" x14ac:dyDescent="0.4"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26"/>
      <c r="AD610" s="13"/>
      <c r="AI610" s="117"/>
      <c r="AJ610" s="123"/>
      <c r="AK610" s="123"/>
      <c r="AL610" s="123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25"/>
      <c r="BB610" s="15"/>
      <c r="BE610" s="114"/>
    </row>
    <row r="611" spans="18:57" ht="19.5" x14ac:dyDescent="0.4">
      <c r="AC611" s="26"/>
      <c r="AD611" s="13"/>
      <c r="AI611" s="117"/>
      <c r="AJ611" s="123"/>
      <c r="AK611" s="123"/>
      <c r="AL611" s="123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25">
        <v>45272</v>
      </c>
      <c r="BB611" s="15" t="s">
        <v>162</v>
      </c>
      <c r="BE611" s="114"/>
    </row>
    <row r="612" spans="18:57" ht="19.5" x14ac:dyDescent="0.4">
      <c r="U612" s="115"/>
      <c r="V612" s="115"/>
      <c r="W612" s="115"/>
      <c r="X612" s="115"/>
      <c r="Y612" s="115"/>
      <c r="Z612" s="115"/>
      <c r="AA612" s="115"/>
      <c r="AB612" s="115"/>
      <c r="AC612" s="17"/>
      <c r="AD612" s="13"/>
      <c r="AI612" s="117"/>
      <c r="AJ612" s="123"/>
      <c r="AK612" s="123"/>
      <c r="AL612" s="123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25"/>
      <c r="BB612" s="15"/>
      <c r="BE612" s="114"/>
    </row>
    <row r="613" spans="18:57" ht="19.5" x14ac:dyDescent="0.4">
      <c r="AC613" s="26"/>
      <c r="AD613" s="13"/>
      <c r="AI613" s="117"/>
      <c r="AJ613" s="123"/>
      <c r="AK613" s="123"/>
      <c r="AL613" s="123"/>
      <c r="AM613" s="115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25"/>
      <c r="BB613" s="15"/>
      <c r="BE613" s="114"/>
    </row>
    <row r="614" spans="18:57" ht="19.5" x14ac:dyDescent="0.4"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26"/>
      <c r="AD614" s="13"/>
      <c r="AI614" s="117"/>
      <c r="AJ614" s="123"/>
      <c r="AK614" s="123"/>
      <c r="AL614" s="123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25"/>
      <c r="BB614" s="15"/>
      <c r="BE614" s="114"/>
    </row>
    <row r="615" spans="18:57" ht="19.5" x14ac:dyDescent="0.4">
      <c r="AC615" s="26"/>
      <c r="AD615" s="13"/>
      <c r="AI615" s="117"/>
      <c r="AJ615" s="123"/>
      <c r="AK615" s="123"/>
      <c r="AL615" s="123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25">
        <v>45272</v>
      </c>
      <c r="BB615" s="15" t="s">
        <v>162</v>
      </c>
      <c r="BE615" s="114"/>
    </row>
    <row r="616" spans="18:57" ht="19.5" x14ac:dyDescent="0.4">
      <c r="AC616" s="26"/>
      <c r="AD616" s="13"/>
      <c r="AI616" s="117"/>
      <c r="AJ616" s="123"/>
      <c r="AK616" s="123"/>
      <c r="AL616" s="123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 t="s">
        <v>166</v>
      </c>
      <c r="BA616" s="13">
        <f>SUBTOTAL(3,BA564:BA615)</f>
        <v>13</v>
      </c>
      <c r="BB616" s="15">
        <f>SUBTOTAL(3,BB564:BB615)</f>
        <v>13</v>
      </c>
      <c r="BE616" s="114"/>
    </row>
    <row r="617" spans="18:57" ht="19.5" x14ac:dyDescent="0.4">
      <c r="U617" s="115"/>
      <c r="V617" s="115"/>
      <c r="W617" s="115"/>
      <c r="X617" s="115"/>
      <c r="Y617" s="115"/>
      <c r="Z617" s="115"/>
      <c r="AA617" s="115"/>
      <c r="AB617" s="115"/>
      <c r="AC617" s="17"/>
      <c r="AD617" s="13"/>
      <c r="AI617" s="117"/>
      <c r="AJ617" s="123"/>
      <c r="AK617" s="123"/>
      <c r="AL617" s="123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3"/>
      <c r="BB617" s="15"/>
      <c r="BE617" s="114"/>
    </row>
    <row r="618" spans="18:57" ht="19.5" x14ac:dyDescent="0.4">
      <c r="AC618" s="26"/>
      <c r="AD618" s="13"/>
      <c r="AI618" s="117"/>
      <c r="AJ618" s="123"/>
      <c r="AK618" s="123"/>
      <c r="AL618" s="123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25">
        <v>45273</v>
      </c>
      <c r="BB618" s="105" t="s">
        <v>164</v>
      </c>
      <c r="BE618" s="114"/>
    </row>
    <row r="619" spans="18:57" ht="19.5" x14ac:dyDescent="0.4">
      <c r="AC619" s="26"/>
      <c r="AD619" s="13"/>
      <c r="AI619" s="117"/>
      <c r="AJ619" s="123"/>
      <c r="AK619" s="123"/>
      <c r="AL619" s="123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25">
        <v>45273</v>
      </c>
      <c r="BB619" s="15" t="s">
        <v>164</v>
      </c>
      <c r="BE619" s="114"/>
    </row>
    <row r="620" spans="18:57" ht="19.5" x14ac:dyDescent="0.4"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26"/>
      <c r="AD620" s="13"/>
      <c r="AI620" s="117"/>
      <c r="AJ620" s="123"/>
      <c r="AK620" s="123"/>
      <c r="AL620" s="123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25"/>
      <c r="BB620" s="13"/>
      <c r="BE620" s="114"/>
    </row>
    <row r="621" spans="18:57" ht="19.5" x14ac:dyDescent="0.4">
      <c r="AC621" s="26"/>
      <c r="AD621" s="13"/>
      <c r="AI621" s="117"/>
      <c r="AJ621" s="123"/>
      <c r="AK621" s="123"/>
      <c r="AL621" s="123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25">
        <v>45273</v>
      </c>
      <c r="BB621" s="13" t="s">
        <v>164</v>
      </c>
      <c r="BE621" s="114"/>
    </row>
    <row r="622" spans="18:57" ht="19.5" x14ac:dyDescent="0.4">
      <c r="AC622" s="26"/>
      <c r="AD622" s="13"/>
      <c r="AI622" s="117"/>
      <c r="AJ622" s="123"/>
      <c r="AK622" s="123"/>
      <c r="AL622" s="123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25">
        <v>45273</v>
      </c>
      <c r="BB622" s="15" t="s">
        <v>164</v>
      </c>
      <c r="BE622" s="114"/>
    </row>
    <row r="623" spans="18:57" ht="19.5" x14ac:dyDescent="0.4">
      <c r="AC623" s="26"/>
      <c r="AD623" s="13"/>
      <c r="AI623" s="117"/>
      <c r="AJ623" s="123"/>
      <c r="AK623" s="123"/>
      <c r="AL623" s="123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25">
        <v>45273</v>
      </c>
      <c r="BB623" s="15" t="s">
        <v>162</v>
      </c>
      <c r="BE623" s="114"/>
    </row>
    <row r="624" spans="18:57" ht="19.5" x14ac:dyDescent="0.4">
      <c r="T624" s="115"/>
      <c r="U624" s="115"/>
      <c r="V624" s="115"/>
      <c r="W624" s="115"/>
      <c r="X624" s="115"/>
      <c r="Y624" s="115"/>
      <c r="Z624" s="115"/>
      <c r="AA624" s="115"/>
      <c r="AB624" s="115"/>
      <c r="AC624" s="26"/>
      <c r="AD624" s="13"/>
      <c r="AI624" s="117"/>
      <c r="AJ624" s="123"/>
      <c r="AK624" s="123"/>
      <c r="AL624" s="123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25"/>
      <c r="BB624" s="15"/>
      <c r="BE624" s="114"/>
    </row>
    <row r="625" spans="18:57" ht="19.5" x14ac:dyDescent="0.4">
      <c r="AC625" s="26"/>
      <c r="AD625" s="13"/>
      <c r="AI625" s="117"/>
      <c r="AJ625" s="123"/>
      <c r="AK625" s="123"/>
      <c r="AL625" s="123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115"/>
      <c r="BA625" s="25">
        <v>45273</v>
      </c>
      <c r="BB625" s="15" t="s">
        <v>162</v>
      </c>
      <c r="BE625" s="114"/>
    </row>
    <row r="626" spans="18:57" ht="19.5" x14ac:dyDescent="0.4">
      <c r="AC626" s="26"/>
      <c r="AD626" s="13"/>
      <c r="AI626" s="117"/>
      <c r="AJ626" s="123"/>
      <c r="AK626" s="123"/>
      <c r="AL626" s="123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25">
        <v>45273</v>
      </c>
      <c r="BB626" s="15" t="s">
        <v>162</v>
      </c>
      <c r="BE626" s="114"/>
    </row>
    <row r="627" spans="18:57" ht="19.5" x14ac:dyDescent="0.4">
      <c r="AC627" s="26"/>
      <c r="AD627" s="13"/>
      <c r="AI627" s="117"/>
      <c r="AJ627" s="123"/>
      <c r="AK627" s="123"/>
      <c r="AL627" s="123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25">
        <v>45273</v>
      </c>
      <c r="BB627" s="15" t="s">
        <v>162</v>
      </c>
      <c r="BE627" s="114"/>
    </row>
    <row r="628" spans="18:57" ht="19.5" x14ac:dyDescent="0.4"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26"/>
      <c r="AD628" s="13"/>
      <c r="AI628" s="117"/>
      <c r="AJ628" s="123"/>
      <c r="AK628" s="123"/>
      <c r="AL628" s="123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25"/>
      <c r="BB628" s="15"/>
      <c r="BE628" s="114"/>
    </row>
    <row r="629" spans="18:57" ht="19.5" x14ac:dyDescent="0.4">
      <c r="AC629" s="26"/>
      <c r="AD629" s="13"/>
      <c r="AI629" s="117"/>
      <c r="AJ629" s="123"/>
      <c r="AK629" s="123"/>
      <c r="AL629" s="123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25">
        <v>45273</v>
      </c>
      <c r="BB629" s="15" t="s">
        <v>162</v>
      </c>
      <c r="BE629" s="114"/>
    </row>
    <row r="630" spans="18:57" ht="19.5" x14ac:dyDescent="0.4">
      <c r="AC630" s="26"/>
      <c r="AD630" s="13"/>
      <c r="AI630" s="117"/>
      <c r="AJ630" s="123"/>
      <c r="AK630" s="123"/>
      <c r="AL630" s="123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25">
        <v>45273</v>
      </c>
      <c r="BB630" s="15" t="s">
        <v>162</v>
      </c>
      <c r="BE630" s="114"/>
    </row>
    <row r="631" spans="18:57" ht="19.5" x14ac:dyDescent="0.4">
      <c r="AC631" s="26"/>
      <c r="AD631" s="13"/>
      <c r="AI631" s="117"/>
      <c r="AJ631" s="123"/>
      <c r="AK631" s="123"/>
      <c r="AL631" s="123"/>
      <c r="AM631" s="115"/>
      <c r="AN631" s="115"/>
      <c r="AO631" s="115"/>
      <c r="AP631" s="115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25">
        <v>45273</v>
      </c>
      <c r="BB631" s="15" t="s">
        <v>162</v>
      </c>
      <c r="BE631" s="114"/>
    </row>
    <row r="632" spans="18:57" ht="19.5" x14ac:dyDescent="0.4">
      <c r="AC632" s="26"/>
      <c r="AD632" s="13"/>
      <c r="AI632" s="117"/>
      <c r="AJ632" s="123"/>
      <c r="AK632" s="123"/>
      <c r="AL632" s="123"/>
      <c r="AM632" s="115"/>
      <c r="AN632" s="115"/>
      <c r="AO632" s="115"/>
      <c r="AP632" s="115"/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25">
        <v>45273</v>
      </c>
      <c r="BB632" s="15" t="s">
        <v>162</v>
      </c>
      <c r="BE632" s="114"/>
    </row>
    <row r="633" spans="18:57" ht="19.5" x14ac:dyDescent="0.4">
      <c r="U633" s="115"/>
      <c r="V633" s="115"/>
      <c r="W633" s="115"/>
      <c r="X633" s="115"/>
      <c r="Y633" s="115"/>
      <c r="Z633" s="115"/>
      <c r="AA633" s="115"/>
      <c r="AB633" s="115"/>
      <c r="AC633" s="17"/>
      <c r="AD633" s="13"/>
      <c r="AI633" s="117"/>
      <c r="AJ633" s="123"/>
      <c r="AK633" s="123"/>
      <c r="AL633" s="123"/>
      <c r="AM633" s="115"/>
      <c r="AN633" s="115"/>
      <c r="AO633" s="115"/>
      <c r="AP633" s="115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25"/>
      <c r="BB633" s="15"/>
      <c r="BE633" s="114"/>
    </row>
    <row r="634" spans="18:57" ht="19.5" x14ac:dyDescent="0.4">
      <c r="AC634" s="26"/>
      <c r="AD634" s="13"/>
      <c r="AI634" s="117"/>
      <c r="AJ634" s="123"/>
      <c r="AK634" s="123"/>
      <c r="AL634" s="123"/>
      <c r="AM634" s="115"/>
      <c r="AN634" s="115"/>
      <c r="AO634" s="115"/>
      <c r="AP634" s="115"/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25">
        <v>45273</v>
      </c>
      <c r="BB634" s="15" t="s">
        <v>162</v>
      </c>
      <c r="BE634" s="114"/>
    </row>
    <row r="635" spans="18:57" ht="19.5" x14ac:dyDescent="0.4">
      <c r="U635" s="115"/>
      <c r="V635" s="115"/>
      <c r="W635" s="115"/>
      <c r="X635" s="115"/>
      <c r="Y635" s="115"/>
      <c r="Z635" s="115"/>
      <c r="AA635" s="115"/>
      <c r="AB635" s="115"/>
      <c r="AC635" s="17"/>
      <c r="AD635" s="13"/>
      <c r="AI635" s="117"/>
      <c r="AJ635" s="123"/>
      <c r="AK635" s="123"/>
      <c r="AL635" s="123"/>
      <c r="AM635" s="115"/>
      <c r="AN635" s="115"/>
      <c r="AO635" s="115"/>
      <c r="AP635" s="115"/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25"/>
      <c r="BB635" s="15"/>
      <c r="BE635" s="114"/>
    </row>
    <row r="636" spans="18:57" ht="19.5" x14ac:dyDescent="0.4">
      <c r="AC636" s="26"/>
      <c r="AD636" s="13"/>
      <c r="AI636" s="117"/>
      <c r="AJ636" s="123"/>
      <c r="AK636" s="123"/>
      <c r="AL636" s="123"/>
      <c r="AM636" s="115"/>
      <c r="AN636" s="115"/>
      <c r="AO636" s="115"/>
      <c r="AP636" s="115"/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25">
        <v>45273</v>
      </c>
      <c r="BB636" s="15" t="s">
        <v>162</v>
      </c>
      <c r="BE636" s="114"/>
    </row>
    <row r="637" spans="18:57" ht="19.5" x14ac:dyDescent="0.4">
      <c r="AC637" s="26"/>
      <c r="AD637" s="13"/>
      <c r="AI637" s="117"/>
      <c r="AJ637" s="123"/>
      <c r="AK637" s="123"/>
      <c r="AL637" s="123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25">
        <v>45273</v>
      </c>
      <c r="BB637" s="13" t="s">
        <v>162</v>
      </c>
      <c r="BE637" s="114"/>
    </row>
    <row r="638" spans="18:57" ht="19.5" x14ac:dyDescent="0.4">
      <c r="AC638" s="26"/>
      <c r="AD638" s="13"/>
      <c r="AI638" s="117"/>
      <c r="AJ638" s="123"/>
      <c r="AK638" s="123"/>
      <c r="AL638" s="123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25">
        <v>45273</v>
      </c>
      <c r="BB638" s="15" t="s">
        <v>162</v>
      </c>
      <c r="BE638" s="114"/>
    </row>
    <row r="639" spans="18:57" ht="19.5" x14ac:dyDescent="0.4">
      <c r="AC639" s="26"/>
      <c r="AD639" s="13"/>
      <c r="AI639" s="117"/>
      <c r="AJ639" s="123"/>
      <c r="AK639" s="123"/>
      <c r="AL639" s="123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25">
        <v>45273</v>
      </c>
      <c r="BB639" s="15" t="s">
        <v>162</v>
      </c>
      <c r="BE639" s="114"/>
    </row>
    <row r="640" spans="18:57" ht="19.5" x14ac:dyDescent="0.4"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26"/>
      <c r="AD640" s="25"/>
      <c r="AI640" s="117"/>
      <c r="AJ640" s="123"/>
      <c r="AK640" s="123"/>
      <c r="AL640" s="123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25"/>
      <c r="BB640" s="15"/>
      <c r="BE640" s="114"/>
    </row>
    <row r="641" spans="6:57" ht="19.5" x14ac:dyDescent="0.4">
      <c r="AC641" s="26"/>
      <c r="AD641" s="25"/>
      <c r="AI641" s="117"/>
      <c r="AJ641" s="123"/>
      <c r="AK641" s="123"/>
      <c r="AL641" s="123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25">
        <v>45273</v>
      </c>
      <c r="BB641" s="15" t="s">
        <v>162</v>
      </c>
      <c r="BE641" s="114"/>
    </row>
    <row r="642" spans="6:57" ht="19.5" x14ac:dyDescent="0.4">
      <c r="AC642" s="26"/>
      <c r="AD642" s="13"/>
      <c r="AI642" s="117"/>
      <c r="AJ642" s="123"/>
      <c r="AK642" s="123"/>
      <c r="AL642" s="123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25">
        <v>45273</v>
      </c>
      <c r="BB642" s="15" t="s">
        <v>162</v>
      </c>
      <c r="BE642" s="114"/>
    </row>
    <row r="643" spans="6:57" ht="19.5" x14ac:dyDescent="0.4"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26"/>
      <c r="AD643" s="13"/>
      <c r="AI643" s="117"/>
      <c r="AJ643" s="123"/>
      <c r="AK643" s="123"/>
      <c r="AL643" s="123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25"/>
      <c r="BB643" s="15"/>
      <c r="BE643" s="114"/>
    </row>
    <row r="644" spans="6:57" ht="19.5" x14ac:dyDescent="0.4"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26"/>
      <c r="AD644" s="13"/>
      <c r="AI644" s="117"/>
      <c r="AJ644" s="123"/>
      <c r="AK644" s="123"/>
      <c r="AL644" s="123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25"/>
      <c r="BB644" s="15"/>
      <c r="BE644" s="114"/>
    </row>
    <row r="645" spans="6:57" ht="19.5" x14ac:dyDescent="0.4">
      <c r="AC645" s="26"/>
      <c r="AD645" s="13"/>
      <c r="AI645" s="117"/>
      <c r="AJ645" s="123"/>
      <c r="AK645" s="123"/>
      <c r="AL645" s="123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25">
        <v>45273</v>
      </c>
      <c r="BB645" s="15" t="s">
        <v>162</v>
      </c>
      <c r="BE645" s="114"/>
    </row>
    <row r="646" spans="6:57" ht="19.5" x14ac:dyDescent="0.4">
      <c r="AC646" s="26"/>
      <c r="AD646" s="13"/>
      <c r="AI646" s="117"/>
      <c r="AJ646" s="123"/>
      <c r="AK646" s="123"/>
      <c r="AL646" s="123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25">
        <v>45273</v>
      </c>
      <c r="BB646" s="15" t="s">
        <v>162</v>
      </c>
      <c r="BE646" s="114"/>
    </row>
    <row r="647" spans="6:57" ht="19.5" x14ac:dyDescent="0.4">
      <c r="AC647" s="26"/>
      <c r="AD647" s="13"/>
      <c r="AI647" s="117"/>
      <c r="AJ647" s="123"/>
      <c r="AK647" s="123"/>
      <c r="AL647" s="123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25">
        <v>45273</v>
      </c>
      <c r="BB647" s="13" t="s">
        <v>163</v>
      </c>
      <c r="BE647" s="114"/>
    </row>
    <row r="648" spans="6:57" ht="19.5" x14ac:dyDescent="0.4">
      <c r="AC648" s="26"/>
      <c r="AD648" s="13"/>
      <c r="AI648" s="117"/>
      <c r="AJ648" s="123"/>
      <c r="AK648" s="123"/>
      <c r="AL648" s="123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25"/>
      <c r="BB648" s="13"/>
      <c r="BE648" s="114"/>
    </row>
    <row r="649" spans="6:57" ht="19.5" x14ac:dyDescent="0.4">
      <c r="AC649" s="26"/>
      <c r="AD649" s="13"/>
      <c r="AI649" s="117"/>
      <c r="AJ649" s="123"/>
      <c r="AK649" s="123"/>
      <c r="AL649" s="123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15" t="s">
        <v>152</v>
      </c>
      <c r="BA649" s="13">
        <f>SUBTOTAL(3,BA618:BA647)</f>
        <v>22</v>
      </c>
      <c r="BB649" s="13">
        <f>SUBTOTAL(3,BB618:BB647)</f>
        <v>22</v>
      </c>
      <c r="BE649" s="114"/>
    </row>
    <row r="650" spans="6:57" ht="19.5" x14ac:dyDescent="0.4">
      <c r="AC650" s="26"/>
      <c r="AD650" s="13"/>
      <c r="AI650" s="117"/>
      <c r="AJ650" s="123"/>
      <c r="AK650" s="123"/>
      <c r="AL650" s="123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25">
        <v>45274</v>
      </c>
      <c r="BB650" s="15" t="s">
        <v>162</v>
      </c>
      <c r="BE650" s="114"/>
    </row>
    <row r="651" spans="6:57" ht="19.5" x14ac:dyDescent="0.4"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26"/>
      <c r="AD651" s="13"/>
      <c r="AI651" s="117"/>
      <c r="AJ651" s="123"/>
      <c r="AK651" s="123"/>
      <c r="AL651" s="123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25"/>
      <c r="BB651" s="15"/>
      <c r="BE651" s="114"/>
    </row>
    <row r="652" spans="6:57" ht="19.5" x14ac:dyDescent="0.4"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26"/>
      <c r="AD652" s="13"/>
      <c r="AI652" s="117"/>
      <c r="AJ652" s="123"/>
      <c r="AK652" s="123"/>
      <c r="AL652" s="123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25"/>
      <c r="BB652" s="15"/>
      <c r="BE652" s="114"/>
    </row>
    <row r="653" spans="6:57" ht="19.5" x14ac:dyDescent="0.4">
      <c r="AC653" s="26"/>
      <c r="AD653" s="13"/>
      <c r="AI653" s="117"/>
      <c r="AJ653" s="123"/>
      <c r="AK653" s="123"/>
      <c r="AL653" s="123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25">
        <v>45274</v>
      </c>
      <c r="BB653" s="15" t="s">
        <v>162</v>
      </c>
      <c r="BE653" s="114"/>
    </row>
    <row r="654" spans="6:57" ht="19.5" x14ac:dyDescent="0.4">
      <c r="T654" s="115"/>
      <c r="U654" s="115"/>
      <c r="V654" s="115"/>
      <c r="W654" s="115"/>
      <c r="X654" s="115"/>
      <c r="Y654" s="115"/>
      <c r="Z654" s="115"/>
      <c r="AA654" s="115"/>
      <c r="AB654" s="115"/>
      <c r="AC654" s="26"/>
      <c r="AD654" s="13"/>
      <c r="AI654" s="117"/>
      <c r="AJ654" s="123"/>
      <c r="AK654" s="123"/>
      <c r="AL654" s="123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25"/>
      <c r="BB654" s="15"/>
      <c r="BE654" s="114"/>
    </row>
    <row r="655" spans="6:57" ht="19.5" x14ac:dyDescent="0.4"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26"/>
      <c r="AD655" s="13"/>
      <c r="AI655" s="117"/>
      <c r="AJ655" s="123"/>
      <c r="AK655" s="123"/>
      <c r="AL655" s="123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25"/>
      <c r="BB655" s="15"/>
      <c r="BE655" s="114"/>
    </row>
    <row r="656" spans="6:57" ht="19.5" x14ac:dyDescent="0.4"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26"/>
      <c r="AD656" s="13"/>
      <c r="AI656" s="117"/>
      <c r="AJ656" s="123"/>
      <c r="AK656" s="123"/>
      <c r="AL656" s="123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25"/>
      <c r="BB656" s="15"/>
      <c r="BE656" s="114"/>
    </row>
    <row r="657" spans="18:57" ht="19.5" x14ac:dyDescent="0.4">
      <c r="AC657" s="26"/>
      <c r="AD657" s="13"/>
      <c r="AI657" s="117"/>
      <c r="AJ657" s="123"/>
      <c r="AK657" s="123"/>
      <c r="AL657" s="123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25">
        <v>45274</v>
      </c>
      <c r="BB657" s="15" t="s">
        <v>162</v>
      </c>
      <c r="BE657" s="114"/>
    </row>
    <row r="658" spans="18:57" ht="19.5" x14ac:dyDescent="0.4"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26"/>
      <c r="AD658" s="13"/>
      <c r="AI658" s="117"/>
      <c r="AJ658" s="123"/>
      <c r="AK658" s="123"/>
      <c r="AL658" s="123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25"/>
      <c r="BB658" s="15"/>
      <c r="BE658" s="114"/>
    </row>
    <row r="659" spans="18:57" ht="19.5" x14ac:dyDescent="0.4">
      <c r="AC659" s="26"/>
      <c r="AD659" s="13"/>
      <c r="AI659" s="117"/>
      <c r="AJ659" s="123"/>
      <c r="AK659" s="123"/>
      <c r="AL659" s="123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25">
        <v>45274</v>
      </c>
      <c r="BB659" s="15" t="s">
        <v>162</v>
      </c>
      <c r="BE659" s="114"/>
    </row>
    <row r="660" spans="18:57" ht="19.5" x14ac:dyDescent="0.4">
      <c r="AC660" s="26"/>
      <c r="AD660" s="13"/>
      <c r="AI660" s="117"/>
      <c r="AJ660" s="123"/>
      <c r="AK660" s="123"/>
      <c r="AL660" s="123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25">
        <v>45274</v>
      </c>
      <c r="BB660" s="15" t="s">
        <v>163</v>
      </c>
      <c r="BE660" s="114"/>
    </row>
    <row r="661" spans="18:57" ht="19.5" x14ac:dyDescent="0.4">
      <c r="U661" s="115"/>
      <c r="V661" s="115"/>
      <c r="W661" s="115"/>
      <c r="X661" s="115"/>
      <c r="Y661" s="115"/>
      <c r="Z661" s="115"/>
      <c r="AA661" s="115"/>
      <c r="AB661" s="115"/>
      <c r="AC661" s="17"/>
      <c r="AD661" s="13"/>
      <c r="AI661" s="117"/>
      <c r="AJ661" s="123"/>
      <c r="AK661" s="123"/>
      <c r="AL661" s="123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25"/>
      <c r="BB661" s="15"/>
      <c r="BE661" s="114"/>
    </row>
    <row r="662" spans="18:57" ht="19.5" x14ac:dyDescent="0.4"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26"/>
      <c r="AD662" s="13"/>
      <c r="AI662" s="117"/>
      <c r="AJ662" s="123"/>
      <c r="AK662" s="123"/>
      <c r="AL662" s="123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25"/>
      <c r="BB662" s="15"/>
      <c r="BE662" s="114"/>
    </row>
    <row r="663" spans="18:57" ht="19.5" x14ac:dyDescent="0.4">
      <c r="AC663" s="26"/>
      <c r="AD663" s="25"/>
      <c r="AI663" s="117"/>
      <c r="AJ663" s="123"/>
      <c r="AK663" s="123"/>
      <c r="AL663" s="123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 t="s">
        <v>167</v>
      </c>
      <c r="BA663" s="13">
        <f>SUBTOTAL(3,BA650:BA660)</f>
        <v>5</v>
      </c>
      <c r="BB663" s="15">
        <f>SUBTOTAL(3,BB650:BB660)</f>
        <v>5</v>
      </c>
      <c r="BE663" s="114"/>
    </row>
    <row r="664" spans="18:57" ht="19.5" x14ac:dyDescent="0.4"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26"/>
      <c r="AD664" s="105"/>
      <c r="AI664" s="117"/>
      <c r="AJ664" s="123"/>
      <c r="AK664" s="123"/>
      <c r="AL664" s="123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3"/>
      <c r="BB664" s="15"/>
      <c r="BE664" s="114"/>
    </row>
    <row r="665" spans="18:57" ht="19.5" x14ac:dyDescent="0.4">
      <c r="AC665" s="26"/>
      <c r="AD665" s="105"/>
      <c r="AI665" s="117"/>
      <c r="AJ665" s="123"/>
      <c r="AK665" s="123"/>
      <c r="AL665" s="123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3"/>
      <c r="BB665" s="15"/>
      <c r="BE665" s="114"/>
    </row>
    <row r="666" spans="18:57" ht="19.5" x14ac:dyDescent="0.4">
      <c r="U666" s="115"/>
      <c r="V666" s="115"/>
      <c r="W666" s="115"/>
      <c r="X666" s="115"/>
      <c r="Y666" s="115"/>
      <c r="Z666" s="115"/>
      <c r="AA666" s="115"/>
      <c r="AB666" s="115"/>
      <c r="AC666" s="17"/>
      <c r="AD666" s="15"/>
      <c r="AI666" s="117"/>
      <c r="AJ666" s="123"/>
      <c r="AK666" s="123"/>
      <c r="AL666" s="123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3"/>
      <c r="BB666" s="15"/>
      <c r="BE666" s="114"/>
    </row>
    <row r="667" spans="18:57" ht="19.5" x14ac:dyDescent="0.4"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26"/>
      <c r="AD667" s="15"/>
      <c r="AI667" s="117"/>
      <c r="AJ667" s="123"/>
      <c r="AK667" s="123"/>
      <c r="AL667" s="123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3"/>
      <c r="BB667" s="15"/>
      <c r="BE667" s="114"/>
    </row>
    <row r="668" spans="18:57" ht="19.5" x14ac:dyDescent="0.4"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26"/>
      <c r="AD668" s="15"/>
      <c r="AI668" s="117"/>
      <c r="AJ668" s="123"/>
      <c r="AK668" s="123"/>
      <c r="AL668" s="123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3"/>
      <c r="BB668" s="15"/>
      <c r="BE668" s="114"/>
    </row>
    <row r="669" spans="18:57" ht="19.5" x14ac:dyDescent="0.4"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26"/>
      <c r="AD669" s="15"/>
      <c r="AI669" s="117"/>
      <c r="AJ669" s="123"/>
      <c r="AK669" s="123"/>
      <c r="AL669" s="123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3"/>
      <c r="BB669" s="15"/>
      <c r="BE669" s="114"/>
    </row>
    <row r="670" spans="18:57" ht="19.5" x14ac:dyDescent="0.4"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26"/>
      <c r="AD670" s="15"/>
      <c r="AI670" s="117"/>
      <c r="AJ670" s="123"/>
      <c r="AK670" s="123"/>
      <c r="AL670" s="123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3"/>
      <c r="BB670" s="15"/>
      <c r="BE670" s="114"/>
    </row>
    <row r="671" spans="18:57" ht="19.5" x14ac:dyDescent="0.4">
      <c r="AC671" s="26"/>
      <c r="AD671" s="15"/>
      <c r="AI671" s="117"/>
      <c r="AJ671" s="123"/>
      <c r="AK671" s="123"/>
      <c r="AL671" s="123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25">
        <v>45275</v>
      </c>
      <c r="BB671" s="15" t="s">
        <v>163</v>
      </c>
      <c r="BE671" s="114"/>
    </row>
    <row r="672" spans="18:57" ht="19.5" x14ac:dyDescent="0.4">
      <c r="AC672" s="26"/>
      <c r="AD672" s="15"/>
      <c r="AI672" s="117"/>
      <c r="AJ672" s="123"/>
      <c r="AK672" s="123"/>
      <c r="AL672" s="123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 t="s">
        <v>168</v>
      </c>
      <c r="BA672" s="13">
        <f>SUBTOTAL(3,BA671:BA671)</f>
        <v>1</v>
      </c>
      <c r="BB672" s="15">
        <f>SUBTOTAL(3,BB671:BB671)</f>
        <v>1</v>
      </c>
      <c r="BE672" s="114"/>
    </row>
    <row r="673" spans="6:57" ht="19.5" x14ac:dyDescent="0.4">
      <c r="AC673" s="26"/>
      <c r="AD673" s="15"/>
      <c r="AI673" s="117"/>
      <c r="AJ673" s="123"/>
      <c r="AK673" s="123"/>
      <c r="AL673" s="123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25">
        <v>45276</v>
      </c>
      <c r="BB673" s="15" t="s">
        <v>164</v>
      </c>
      <c r="BE673" s="114"/>
    </row>
    <row r="674" spans="6:57" ht="19.5" x14ac:dyDescent="0.4">
      <c r="AC674" s="26"/>
      <c r="AD674" s="15"/>
      <c r="AI674" s="117"/>
      <c r="AJ674" s="123"/>
      <c r="AK674" s="123"/>
      <c r="AL674" s="123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25">
        <v>45276</v>
      </c>
      <c r="BB674" s="15" t="s">
        <v>162</v>
      </c>
      <c r="BE674" s="114"/>
    </row>
    <row r="675" spans="6:57" ht="19.5" x14ac:dyDescent="0.4">
      <c r="AC675" s="26"/>
      <c r="AD675" s="15"/>
      <c r="AI675" s="117"/>
      <c r="AJ675" s="123"/>
      <c r="AK675" s="123"/>
      <c r="AL675" s="123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25">
        <v>45276</v>
      </c>
      <c r="BB675" s="15" t="s">
        <v>162</v>
      </c>
      <c r="BE675" s="114"/>
    </row>
    <row r="676" spans="6:57" ht="19.5" x14ac:dyDescent="0.4">
      <c r="AC676" s="26"/>
      <c r="AD676" s="15"/>
      <c r="AI676" s="117"/>
      <c r="AJ676" s="123"/>
      <c r="AK676" s="123"/>
      <c r="AL676" s="123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25">
        <v>45276</v>
      </c>
      <c r="BB676" s="15" t="s">
        <v>162</v>
      </c>
      <c r="BE676" s="114"/>
    </row>
    <row r="677" spans="6:57" ht="19.5" x14ac:dyDescent="0.4">
      <c r="AC677" s="26"/>
      <c r="AD677" s="15"/>
      <c r="AI677" s="117"/>
      <c r="AJ677" s="123"/>
      <c r="AK677" s="123"/>
      <c r="AL677" s="123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25">
        <v>45276</v>
      </c>
      <c r="BB677" s="15" t="s">
        <v>162</v>
      </c>
      <c r="BE677" s="114"/>
    </row>
    <row r="678" spans="6:57" ht="19.5" x14ac:dyDescent="0.4"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26"/>
      <c r="AD678" s="15"/>
      <c r="AI678" s="117"/>
      <c r="AJ678" s="123"/>
      <c r="AK678" s="123"/>
      <c r="AL678" s="123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25"/>
      <c r="BB678" s="15"/>
      <c r="BE678" s="114"/>
    </row>
    <row r="679" spans="6:57" ht="19.5" x14ac:dyDescent="0.4">
      <c r="AC679" s="26"/>
      <c r="AD679" s="15"/>
      <c r="AI679" s="117"/>
      <c r="AJ679" s="123"/>
      <c r="AK679" s="123"/>
      <c r="AL679" s="123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25">
        <v>45276</v>
      </c>
      <c r="BB679" s="15" t="s">
        <v>162</v>
      </c>
      <c r="BE679" s="114"/>
    </row>
    <row r="680" spans="6:57" ht="19.5" x14ac:dyDescent="0.4">
      <c r="AC680" s="26"/>
      <c r="AD680" s="15"/>
      <c r="AI680" s="117"/>
      <c r="AJ680" s="123"/>
      <c r="AK680" s="123"/>
      <c r="AL680" s="123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25">
        <v>45276</v>
      </c>
      <c r="BB680" s="15" t="s">
        <v>162</v>
      </c>
      <c r="BE680" s="114"/>
    </row>
    <row r="681" spans="6:57" ht="19.5" x14ac:dyDescent="0.4">
      <c r="U681" s="115"/>
      <c r="V681" s="115"/>
      <c r="W681" s="115"/>
      <c r="X681" s="115"/>
      <c r="Y681" s="115"/>
      <c r="Z681" s="115"/>
      <c r="AA681" s="115"/>
      <c r="AB681" s="115"/>
      <c r="AC681" s="17"/>
      <c r="AD681" s="15"/>
      <c r="AI681" s="117"/>
      <c r="AJ681" s="123"/>
      <c r="AK681" s="123"/>
      <c r="AL681" s="123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25"/>
      <c r="BB681" s="15"/>
      <c r="BE681" s="114"/>
    </row>
    <row r="682" spans="6:57" ht="19.5" x14ac:dyDescent="0.4"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26"/>
      <c r="AD682" s="15"/>
      <c r="AI682" s="117"/>
      <c r="AJ682" s="123"/>
      <c r="AK682" s="123"/>
      <c r="AL682" s="123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25"/>
      <c r="BB682" s="15"/>
      <c r="BE682" s="114"/>
    </row>
    <row r="683" spans="6:57" ht="19.5" x14ac:dyDescent="0.4"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26"/>
      <c r="AD683" s="15"/>
      <c r="AI683" s="117"/>
      <c r="AJ683" s="123"/>
      <c r="AK683" s="123"/>
      <c r="AL683" s="123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25"/>
      <c r="BB683" s="15"/>
      <c r="BE683" s="114"/>
    </row>
    <row r="684" spans="6:57" ht="19.5" x14ac:dyDescent="0.4"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26"/>
      <c r="AD684" s="15"/>
      <c r="AI684" s="117"/>
      <c r="AJ684" s="123"/>
      <c r="AK684" s="123"/>
      <c r="AL684" s="123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25"/>
      <c r="BB684" s="15"/>
      <c r="BE684" s="114"/>
    </row>
    <row r="685" spans="6:57" ht="19.5" x14ac:dyDescent="0.4">
      <c r="AC685" s="26"/>
      <c r="AD685" s="15"/>
      <c r="AH685" s="115"/>
      <c r="AI685" s="117"/>
      <c r="AJ685" s="123"/>
      <c r="AK685" s="123"/>
      <c r="AL685" s="123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25">
        <v>45276</v>
      </c>
      <c r="BB685" s="15" t="s">
        <v>162</v>
      </c>
      <c r="BE685" s="114"/>
    </row>
    <row r="686" spans="6:57" ht="19.5" x14ac:dyDescent="0.4">
      <c r="AC686" s="26"/>
      <c r="AD686" s="15"/>
      <c r="AH686" s="115"/>
      <c r="AI686" s="117"/>
      <c r="AJ686" s="123"/>
      <c r="AK686" s="123"/>
      <c r="AL686" s="123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25">
        <v>45276</v>
      </c>
      <c r="BB686" s="15" t="s">
        <v>162</v>
      </c>
      <c r="BE686" s="114"/>
    </row>
    <row r="687" spans="6:57" ht="19.5" x14ac:dyDescent="0.4">
      <c r="AC687" s="26"/>
      <c r="AD687" s="15"/>
      <c r="AH687" s="115"/>
      <c r="AI687" s="117"/>
      <c r="AJ687" s="123"/>
      <c r="AK687" s="123"/>
      <c r="AL687" s="123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25">
        <v>45276</v>
      </c>
      <c r="BB687" s="15" t="s">
        <v>162</v>
      </c>
      <c r="BE687" s="114"/>
    </row>
    <row r="688" spans="6:57" ht="19.5" x14ac:dyDescent="0.4">
      <c r="U688" s="115"/>
      <c r="V688" s="115"/>
      <c r="W688" s="115"/>
      <c r="X688" s="115"/>
      <c r="Y688" s="115"/>
      <c r="Z688" s="115"/>
      <c r="AA688" s="115"/>
      <c r="AB688" s="115"/>
      <c r="AC688" s="17"/>
      <c r="AD688" s="15"/>
      <c r="AH688" s="115"/>
      <c r="AI688" s="117"/>
      <c r="AJ688" s="123"/>
      <c r="AK688" s="123"/>
      <c r="AL688" s="123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25"/>
      <c r="BB688" s="15"/>
      <c r="BE688" s="114"/>
    </row>
    <row r="689" spans="6:57" ht="19.5" x14ac:dyDescent="0.4"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26"/>
      <c r="AD689" s="15"/>
      <c r="AH689" s="115"/>
      <c r="AI689" s="117"/>
      <c r="AJ689" s="123"/>
      <c r="AK689" s="123"/>
      <c r="AL689" s="123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25"/>
      <c r="BB689" s="15"/>
      <c r="BE689" s="114"/>
    </row>
    <row r="690" spans="6:57" ht="19.5" x14ac:dyDescent="0.4"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7"/>
      <c r="AD690" s="15"/>
      <c r="AH690" s="115"/>
      <c r="AI690" s="117"/>
      <c r="AJ690" s="123"/>
      <c r="AK690" s="123"/>
      <c r="AL690" s="123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25"/>
      <c r="BB690" s="15"/>
      <c r="BE690" s="114"/>
    </row>
    <row r="691" spans="6:57" ht="19.5" x14ac:dyDescent="0.4">
      <c r="AC691" s="26"/>
      <c r="AD691" s="15"/>
      <c r="AH691" s="115"/>
      <c r="AI691" s="117"/>
      <c r="AJ691" s="123"/>
      <c r="AK691" s="123"/>
      <c r="AL691" s="123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25"/>
      <c r="BB691" s="15"/>
      <c r="BE691" s="114"/>
    </row>
    <row r="692" spans="6:57" ht="19.5" x14ac:dyDescent="0.4"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26"/>
      <c r="AD692" s="15"/>
      <c r="AH692" s="115"/>
      <c r="AI692" s="117"/>
      <c r="AJ692" s="123"/>
      <c r="AK692" s="123"/>
      <c r="AL692" s="123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25"/>
      <c r="BB692" s="15"/>
      <c r="BE692" s="114"/>
    </row>
    <row r="693" spans="6:57" ht="19.5" x14ac:dyDescent="0.4">
      <c r="AC693" s="26"/>
      <c r="AD693" s="15"/>
      <c r="AH693" s="115"/>
      <c r="AI693" s="117"/>
      <c r="AJ693" s="123"/>
      <c r="AK693" s="123"/>
      <c r="AL693" s="123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25">
        <v>45276</v>
      </c>
      <c r="BB693" s="15" t="s">
        <v>162</v>
      </c>
      <c r="BE693" s="114"/>
    </row>
    <row r="694" spans="6:57" ht="19.5" x14ac:dyDescent="0.4">
      <c r="U694" s="115"/>
      <c r="V694" s="115"/>
      <c r="W694" s="115"/>
      <c r="X694" s="115"/>
      <c r="Y694" s="115"/>
      <c r="Z694" s="115"/>
      <c r="AA694" s="115"/>
      <c r="AB694" s="115"/>
      <c r="AC694" s="17"/>
      <c r="AD694" s="15"/>
      <c r="AH694" s="115"/>
      <c r="AI694" s="117"/>
      <c r="AJ694" s="123"/>
      <c r="AK694" s="123"/>
      <c r="AL694" s="123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25"/>
      <c r="BB694" s="15"/>
      <c r="BE694" s="114"/>
    </row>
    <row r="695" spans="6:57" ht="19.5" x14ac:dyDescent="0.4">
      <c r="AC695" s="26"/>
      <c r="AD695" s="15"/>
      <c r="AH695" s="115"/>
      <c r="AI695" s="117"/>
      <c r="AJ695" s="123"/>
      <c r="AK695" s="123"/>
      <c r="AL695" s="123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25">
        <v>45276</v>
      </c>
      <c r="BB695" s="15" t="s">
        <v>162</v>
      </c>
      <c r="BE695" s="114"/>
    </row>
    <row r="696" spans="6:57" ht="19.5" x14ac:dyDescent="0.4">
      <c r="U696" s="115"/>
      <c r="V696" s="115"/>
      <c r="W696" s="115"/>
      <c r="X696" s="115"/>
      <c r="Y696" s="115"/>
      <c r="Z696" s="115"/>
      <c r="AA696" s="115"/>
      <c r="AB696" s="115"/>
      <c r="AC696" s="17"/>
      <c r="AD696" s="15"/>
      <c r="AH696" s="115"/>
      <c r="AI696" s="117"/>
      <c r="AJ696" s="123"/>
      <c r="AK696" s="123"/>
      <c r="AL696" s="123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115"/>
      <c r="AY696" s="115"/>
      <c r="AZ696" s="115"/>
      <c r="BA696" s="25"/>
      <c r="BB696" s="15"/>
      <c r="BE696" s="114"/>
    </row>
    <row r="697" spans="6:57" ht="19.5" x14ac:dyDescent="0.4">
      <c r="T697" s="115"/>
      <c r="U697" s="115"/>
      <c r="V697" s="115"/>
      <c r="W697" s="115"/>
      <c r="X697" s="115"/>
      <c r="Y697" s="115"/>
      <c r="Z697" s="115"/>
      <c r="AA697" s="115"/>
      <c r="AB697" s="115"/>
      <c r="AC697" s="26"/>
      <c r="AD697" s="15"/>
      <c r="AH697" s="115"/>
      <c r="AI697" s="117"/>
      <c r="AJ697" s="123"/>
      <c r="AK697" s="123"/>
      <c r="AL697" s="123"/>
      <c r="AM697" s="115"/>
      <c r="AN697" s="115"/>
      <c r="AO697" s="115"/>
      <c r="AP697" s="115"/>
      <c r="AQ697" s="115"/>
      <c r="AR697" s="115"/>
      <c r="AS697" s="115"/>
      <c r="AT697" s="115"/>
      <c r="AU697" s="115"/>
      <c r="AV697" s="115"/>
      <c r="AW697" s="115"/>
      <c r="AX697" s="115"/>
      <c r="AY697" s="115"/>
      <c r="AZ697" s="115"/>
      <c r="BA697" s="25"/>
      <c r="BB697" s="15"/>
      <c r="BE697" s="114"/>
    </row>
    <row r="698" spans="6:57" ht="19.5" x14ac:dyDescent="0.4">
      <c r="T698" s="115"/>
      <c r="U698" s="115"/>
      <c r="V698" s="115"/>
      <c r="W698" s="115"/>
      <c r="X698" s="115"/>
      <c r="Y698" s="115"/>
      <c r="Z698" s="115"/>
      <c r="AA698" s="115"/>
      <c r="AB698" s="115"/>
      <c r="AC698" s="17"/>
      <c r="AD698" s="15"/>
      <c r="AH698" s="115"/>
      <c r="AI698" s="117"/>
      <c r="AJ698" s="123"/>
      <c r="AK698" s="123"/>
      <c r="AL698" s="123"/>
      <c r="AM698" s="115"/>
      <c r="AN698" s="115"/>
      <c r="AO698" s="115"/>
      <c r="AP698" s="115"/>
      <c r="AQ698" s="115"/>
      <c r="AR698" s="115"/>
      <c r="AS698" s="115"/>
      <c r="AT698" s="115"/>
      <c r="AU698" s="115"/>
      <c r="AV698" s="115"/>
      <c r="AW698" s="115"/>
      <c r="AX698" s="115"/>
      <c r="AY698" s="115"/>
      <c r="AZ698" s="115"/>
      <c r="BA698" s="25"/>
      <c r="BB698" s="15"/>
      <c r="BE698" s="114"/>
    </row>
    <row r="699" spans="6:57" ht="19.5" x14ac:dyDescent="0.4">
      <c r="AC699" s="26"/>
      <c r="AD699" s="15"/>
      <c r="AH699" s="115"/>
      <c r="AI699" s="117"/>
      <c r="AJ699" s="123"/>
      <c r="AK699" s="123"/>
      <c r="AL699" s="123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115"/>
      <c r="AY699" s="115"/>
      <c r="AZ699" s="115"/>
      <c r="BA699" s="25">
        <v>45276</v>
      </c>
      <c r="BB699" s="15" t="s">
        <v>162</v>
      </c>
      <c r="BE699" s="114"/>
    </row>
    <row r="700" spans="6:57" ht="19.5" x14ac:dyDescent="0.4">
      <c r="AC700" s="26"/>
      <c r="AD700" s="15"/>
      <c r="AH700" s="115"/>
      <c r="AI700" s="117"/>
      <c r="AJ700" s="123"/>
      <c r="AK700" s="123"/>
      <c r="AL700" s="123"/>
      <c r="AM700" s="115"/>
      <c r="AN700" s="115"/>
      <c r="AO700" s="115"/>
      <c r="AP700" s="115"/>
      <c r="AQ700" s="115"/>
      <c r="AR700" s="115"/>
      <c r="AS700" s="115"/>
      <c r="AT700" s="115"/>
      <c r="AU700" s="115"/>
      <c r="AV700" s="115"/>
      <c r="AW700" s="115"/>
      <c r="AX700" s="115"/>
      <c r="AY700" s="115"/>
      <c r="AZ700" s="115"/>
      <c r="BA700" s="25">
        <v>45276</v>
      </c>
      <c r="BB700" s="15" t="s">
        <v>162</v>
      </c>
      <c r="BE700" s="114"/>
    </row>
    <row r="701" spans="6:57" ht="19.5" x14ac:dyDescent="0.4">
      <c r="AC701" s="26"/>
      <c r="AD701" s="15"/>
      <c r="AH701" s="115"/>
      <c r="AI701" s="117"/>
      <c r="AJ701" s="123"/>
      <c r="AK701" s="123"/>
      <c r="AL701" s="123"/>
      <c r="AM701" s="115"/>
      <c r="AN701" s="115"/>
      <c r="AO701" s="115"/>
      <c r="AP701" s="115"/>
      <c r="AQ701" s="115"/>
      <c r="AR701" s="115"/>
      <c r="AS701" s="115"/>
      <c r="AT701" s="115"/>
      <c r="AU701" s="115"/>
      <c r="AV701" s="115"/>
      <c r="AW701" s="115"/>
      <c r="AX701" s="115"/>
      <c r="AY701" s="115"/>
      <c r="AZ701" s="115"/>
      <c r="BA701" s="25">
        <v>45276</v>
      </c>
      <c r="BB701" s="15" t="s">
        <v>162</v>
      </c>
      <c r="BE701" s="114"/>
    </row>
    <row r="702" spans="6:57" ht="19.5" x14ac:dyDescent="0.4">
      <c r="AC702" s="26"/>
      <c r="AD702" s="15"/>
      <c r="AH702" s="115"/>
      <c r="AI702" s="117"/>
      <c r="AJ702" s="123"/>
      <c r="AK702" s="123"/>
      <c r="AL702" s="123"/>
      <c r="AM702" s="115"/>
      <c r="AN702" s="115"/>
      <c r="AO702" s="115"/>
      <c r="AP702" s="115"/>
      <c r="AQ702" s="115"/>
      <c r="AR702" s="115"/>
      <c r="AS702" s="115"/>
      <c r="AT702" s="115"/>
      <c r="AU702" s="115"/>
      <c r="AV702" s="115"/>
      <c r="AW702" s="115"/>
      <c r="AX702" s="115"/>
      <c r="AY702" s="115"/>
      <c r="AZ702" s="115"/>
      <c r="BA702" s="25"/>
      <c r="BB702" s="15"/>
      <c r="BE702" s="114"/>
    </row>
    <row r="703" spans="6:57" ht="19.5" x14ac:dyDescent="0.4">
      <c r="U703" s="115"/>
      <c r="V703" s="115"/>
      <c r="W703" s="115"/>
      <c r="X703" s="115"/>
      <c r="Y703" s="115"/>
      <c r="Z703" s="115"/>
      <c r="AA703" s="115"/>
      <c r="AB703" s="115"/>
      <c r="AC703" s="17"/>
      <c r="AD703" s="15"/>
      <c r="AH703" s="115"/>
      <c r="AI703" s="117"/>
      <c r="AJ703" s="123"/>
      <c r="AK703" s="123"/>
      <c r="AL703" s="123"/>
      <c r="AM703" s="115"/>
      <c r="AN703" s="115"/>
      <c r="AO703" s="115"/>
      <c r="AP703" s="115"/>
      <c r="AQ703" s="115"/>
      <c r="AR703" s="115"/>
      <c r="AS703" s="115"/>
      <c r="AT703" s="115"/>
      <c r="AU703" s="115"/>
      <c r="AV703" s="115"/>
      <c r="AW703" s="115"/>
      <c r="AX703" s="115"/>
      <c r="AY703" s="115"/>
      <c r="AZ703" s="115"/>
      <c r="BA703" s="25"/>
      <c r="BB703" s="15"/>
      <c r="BE703" s="114"/>
    </row>
    <row r="704" spans="6:57" ht="19.5" x14ac:dyDescent="0.4">
      <c r="AC704" s="26"/>
      <c r="AD704" s="15"/>
      <c r="AH704" s="115"/>
      <c r="AI704" s="117"/>
      <c r="AJ704" s="123"/>
      <c r="AK704" s="123"/>
      <c r="AL704" s="123"/>
      <c r="AM704" s="115"/>
      <c r="AN704" s="115"/>
      <c r="AO704" s="115"/>
      <c r="AP704" s="115"/>
      <c r="AQ704" s="115"/>
      <c r="AR704" s="115"/>
      <c r="AS704" s="115"/>
      <c r="AT704" s="115"/>
      <c r="AU704" s="115"/>
      <c r="AV704" s="115"/>
      <c r="AW704" s="115"/>
      <c r="AX704" s="115"/>
      <c r="AY704" s="115"/>
      <c r="AZ704" s="115"/>
      <c r="BA704" s="25">
        <v>45276</v>
      </c>
      <c r="BB704" s="15" t="s">
        <v>162</v>
      </c>
      <c r="BE704" s="114"/>
    </row>
    <row r="705" spans="18:57" ht="19.5" x14ac:dyDescent="0.4">
      <c r="AC705" s="26"/>
      <c r="AD705" s="15"/>
      <c r="AH705" s="115"/>
      <c r="AI705" s="117"/>
      <c r="AJ705" s="123"/>
      <c r="AK705" s="123"/>
      <c r="AL705" s="123"/>
      <c r="AM705" s="115"/>
      <c r="AN705" s="115"/>
      <c r="AO705" s="115"/>
      <c r="AP705" s="115"/>
      <c r="AQ705" s="115"/>
      <c r="AR705" s="115"/>
      <c r="AS705" s="115"/>
      <c r="AT705" s="115"/>
      <c r="AU705" s="115"/>
      <c r="AV705" s="115"/>
      <c r="AW705" s="115"/>
      <c r="AX705" s="115"/>
      <c r="AY705" s="115"/>
      <c r="AZ705" s="115"/>
      <c r="BA705" s="25">
        <v>45276</v>
      </c>
      <c r="BB705" s="15" t="s">
        <v>162</v>
      </c>
      <c r="BE705" s="114"/>
    </row>
    <row r="706" spans="18:57" ht="19.5" x14ac:dyDescent="0.4">
      <c r="U706" s="115"/>
      <c r="V706" s="115"/>
      <c r="W706" s="115"/>
      <c r="X706" s="115"/>
      <c r="Y706" s="115"/>
      <c r="Z706" s="115"/>
      <c r="AA706" s="115"/>
      <c r="AB706" s="115"/>
      <c r="AC706" s="17"/>
      <c r="AD706" s="15"/>
      <c r="AH706" s="115"/>
      <c r="AI706" s="117"/>
      <c r="AJ706" s="123"/>
      <c r="AK706" s="123"/>
      <c r="AL706" s="123"/>
      <c r="AM706" s="115"/>
      <c r="AN706" s="115"/>
      <c r="AO706" s="115"/>
      <c r="AP706" s="115"/>
      <c r="AQ706" s="115"/>
      <c r="AR706" s="115"/>
      <c r="AS706" s="115"/>
      <c r="AT706" s="115"/>
      <c r="AU706" s="115"/>
      <c r="AV706" s="115"/>
      <c r="AW706" s="115"/>
      <c r="AX706" s="115"/>
      <c r="AY706" s="115"/>
      <c r="AZ706" s="115"/>
      <c r="BA706" s="25"/>
      <c r="BB706" s="15"/>
      <c r="BE706" s="114"/>
    </row>
    <row r="707" spans="18:57" ht="19.5" x14ac:dyDescent="0.4"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26"/>
      <c r="AD707" s="15"/>
      <c r="AH707" s="115"/>
      <c r="AI707" s="117"/>
      <c r="AJ707" s="123"/>
      <c r="AK707" s="123"/>
      <c r="AL707" s="123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25"/>
      <c r="BB707" s="15"/>
      <c r="BE707" s="114"/>
    </row>
    <row r="708" spans="18:57" ht="19.5" x14ac:dyDescent="0.4"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7"/>
      <c r="AD708" s="15"/>
      <c r="AH708" s="115"/>
      <c r="AI708" s="117"/>
      <c r="AJ708" s="123"/>
      <c r="AK708" s="123"/>
      <c r="AL708" s="123"/>
      <c r="AM708" s="115"/>
      <c r="AN708" s="115"/>
      <c r="AO708" s="115"/>
      <c r="AP708" s="115"/>
      <c r="AQ708" s="115"/>
      <c r="AR708" s="115"/>
      <c r="AS708" s="115"/>
      <c r="AT708" s="115"/>
      <c r="AU708" s="115"/>
      <c r="AV708" s="115"/>
      <c r="AW708" s="115"/>
      <c r="AX708" s="115"/>
      <c r="AY708" s="115"/>
      <c r="AZ708" s="115"/>
      <c r="BA708" s="25"/>
      <c r="BB708" s="15"/>
      <c r="BE708" s="114"/>
    </row>
    <row r="709" spans="18:57" ht="19.5" x14ac:dyDescent="0.4"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26"/>
      <c r="AD709" s="15"/>
      <c r="AH709" s="115"/>
      <c r="AI709" s="117"/>
      <c r="AJ709" s="123"/>
      <c r="AK709" s="123"/>
      <c r="AL709" s="123"/>
      <c r="AM709" s="115"/>
      <c r="AN709" s="115"/>
      <c r="AO709" s="115"/>
      <c r="AP709" s="115"/>
      <c r="AQ709" s="115"/>
      <c r="AR709" s="115"/>
      <c r="AS709" s="115"/>
      <c r="AT709" s="115"/>
      <c r="AU709" s="115"/>
      <c r="AV709" s="115"/>
      <c r="AW709" s="115"/>
      <c r="AX709" s="115"/>
      <c r="AY709" s="115"/>
      <c r="AZ709" s="115"/>
      <c r="BA709" s="25"/>
      <c r="BB709" s="15"/>
      <c r="BE709" s="114"/>
    </row>
    <row r="710" spans="18:57" ht="19.5" x14ac:dyDescent="0.4">
      <c r="AC710" s="26"/>
      <c r="AD710" s="15"/>
      <c r="AH710" s="115"/>
      <c r="AI710" s="117"/>
      <c r="AJ710" s="123"/>
      <c r="AK710" s="123"/>
      <c r="AL710" s="123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115"/>
      <c r="AZ710" s="115" t="s">
        <v>169</v>
      </c>
      <c r="BA710" s="13">
        <f>SUBTOTAL(3,BA673:BA705)</f>
        <v>17</v>
      </c>
      <c r="BB710" s="15">
        <f>SUBTOTAL(3,BB673:BB705)</f>
        <v>17</v>
      </c>
      <c r="BE710" s="114"/>
    </row>
    <row r="711" spans="18:57" ht="19.5" x14ac:dyDescent="0.4"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26"/>
      <c r="AD711" s="15"/>
      <c r="AH711" s="115"/>
      <c r="AI711" s="117"/>
      <c r="AJ711" s="123"/>
      <c r="AK711" s="123"/>
      <c r="AL711" s="123"/>
      <c r="AM711" s="115"/>
      <c r="AN711" s="115"/>
      <c r="AO711" s="115"/>
      <c r="AP711" s="115"/>
      <c r="AQ711" s="115"/>
      <c r="AR711" s="115"/>
      <c r="AS711" s="115"/>
      <c r="AT711" s="115"/>
      <c r="AU711" s="115"/>
      <c r="AV711" s="115"/>
      <c r="AW711" s="115"/>
      <c r="AX711" s="115"/>
      <c r="AY711" s="115"/>
      <c r="AZ711" s="115"/>
      <c r="BA711" s="13"/>
      <c r="BB711" s="15"/>
      <c r="BE711" s="114"/>
    </row>
    <row r="712" spans="18:57" ht="19.5" x14ac:dyDescent="0.4">
      <c r="AC712" s="26"/>
      <c r="AD712" s="15"/>
      <c r="AH712" s="115"/>
      <c r="AI712" s="117"/>
      <c r="AJ712" s="123"/>
      <c r="AK712" s="123"/>
      <c r="AL712" s="123"/>
      <c r="AM712" s="115"/>
      <c r="AN712" s="115"/>
      <c r="AO712" s="115"/>
      <c r="AP712" s="115"/>
      <c r="AQ712" s="115"/>
      <c r="AR712" s="115"/>
      <c r="AS712" s="115"/>
      <c r="AT712" s="115"/>
      <c r="AU712" s="115"/>
      <c r="AV712" s="115"/>
      <c r="AW712" s="115"/>
      <c r="AX712" s="115"/>
      <c r="AY712" s="115"/>
      <c r="AZ712" s="115"/>
      <c r="BA712" s="25">
        <v>45277</v>
      </c>
      <c r="BB712" s="15" t="s">
        <v>162</v>
      </c>
      <c r="BE712" s="114"/>
    </row>
    <row r="713" spans="18:57" ht="19.5" x14ac:dyDescent="0.4">
      <c r="U713" s="115"/>
      <c r="V713" s="115"/>
      <c r="W713" s="115"/>
      <c r="X713" s="115"/>
      <c r="Y713" s="115"/>
      <c r="Z713" s="115"/>
      <c r="AA713" s="115"/>
      <c r="AB713" s="115"/>
      <c r="AC713" s="17"/>
      <c r="AD713" s="15"/>
      <c r="AH713" s="115"/>
      <c r="AI713" s="117"/>
      <c r="AJ713" s="123"/>
      <c r="AK713" s="123"/>
      <c r="AL713" s="123"/>
      <c r="AM713" s="115"/>
      <c r="AN713" s="115"/>
      <c r="AO713" s="115"/>
      <c r="AP713" s="115"/>
      <c r="AQ713" s="115"/>
      <c r="AR713" s="115"/>
      <c r="AS713" s="115"/>
      <c r="AT713" s="115"/>
      <c r="AU713" s="115"/>
      <c r="AV713" s="115"/>
      <c r="AW713" s="115"/>
      <c r="AX713" s="115"/>
      <c r="AY713" s="115"/>
      <c r="AZ713" s="115"/>
      <c r="BA713" s="25"/>
      <c r="BB713" s="15"/>
      <c r="BE713" s="114"/>
    </row>
    <row r="714" spans="18:57" ht="19.5" x14ac:dyDescent="0.4"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26"/>
      <c r="AD714" s="15"/>
      <c r="AH714" s="115"/>
      <c r="AI714" s="117"/>
      <c r="AJ714" s="123"/>
      <c r="AK714" s="123"/>
      <c r="AL714" s="123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25"/>
      <c r="BB714" s="15"/>
      <c r="BE714" s="114"/>
    </row>
    <row r="715" spans="18:57" ht="19.5" x14ac:dyDescent="0.4"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7"/>
      <c r="AD715" s="15"/>
      <c r="AH715" s="115"/>
      <c r="AI715" s="117"/>
      <c r="AJ715" s="123"/>
      <c r="AK715" s="123"/>
      <c r="AL715" s="123"/>
      <c r="AM715" s="115"/>
      <c r="AN715" s="115"/>
      <c r="AO715" s="115"/>
      <c r="AP715" s="115"/>
      <c r="AQ715" s="115"/>
      <c r="AR715" s="115"/>
      <c r="AS715" s="115"/>
      <c r="AT715" s="115"/>
      <c r="AU715" s="115"/>
      <c r="AV715" s="115"/>
      <c r="AW715" s="115"/>
      <c r="AX715" s="115"/>
      <c r="AY715" s="115"/>
      <c r="AZ715" s="115"/>
      <c r="BA715" s="25"/>
      <c r="BB715" s="15"/>
      <c r="BE715" s="114"/>
    </row>
    <row r="716" spans="18:57" ht="19.5" x14ac:dyDescent="0.4"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7"/>
      <c r="AD716" s="15"/>
      <c r="AH716" s="115"/>
      <c r="AI716" s="117"/>
      <c r="AJ716" s="123"/>
      <c r="AK716" s="123"/>
      <c r="AL716" s="123"/>
      <c r="AM716" s="115"/>
      <c r="AN716" s="115"/>
      <c r="AO716" s="115"/>
      <c r="AP716" s="115"/>
      <c r="AQ716" s="115"/>
      <c r="AR716" s="115"/>
      <c r="AS716" s="115"/>
      <c r="AT716" s="115"/>
      <c r="AU716" s="115"/>
      <c r="AV716" s="115"/>
      <c r="AW716" s="115"/>
      <c r="AX716" s="115"/>
      <c r="AY716" s="115"/>
      <c r="AZ716" s="115"/>
      <c r="BA716" s="25"/>
      <c r="BB716" s="15"/>
      <c r="BE716" s="114"/>
    </row>
    <row r="717" spans="18:57" ht="19.5" x14ac:dyDescent="0.4">
      <c r="AC717" s="26"/>
      <c r="AD717" s="15"/>
      <c r="AH717" s="115"/>
      <c r="AI717" s="117"/>
      <c r="AJ717" s="123"/>
      <c r="AK717" s="123"/>
      <c r="AL717" s="123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25">
        <v>45277</v>
      </c>
      <c r="BB717" s="15" t="s">
        <v>162</v>
      </c>
      <c r="BE717" s="114"/>
    </row>
    <row r="718" spans="18:57" ht="19.5" x14ac:dyDescent="0.4">
      <c r="T718" s="115"/>
      <c r="U718" s="115"/>
      <c r="V718" s="115"/>
      <c r="W718" s="115"/>
      <c r="X718" s="115"/>
      <c r="Y718" s="115"/>
      <c r="Z718" s="115"/>
      <c r="AA718" s="115"/>
      <c r="AB718" s="115"/>
      <c r="AC718" s="17"/>
      <c r="AD718" s="15"/>
      <c r="AH718" s="115"/>
      <c r="AI718" s="117"/>
      <c r="AJ718" s="123"/>
      <c r="AK718" s="123"/>
      <c r="AL718" s="123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31"/>
      <c r="BB718" s="13"/>
      <c r="BE718" s="114"/>
    </row>
    <row r="719" spans="18:57" ht="19.5" x14ac:dyDescent="0.4">
      <c r="AC719" s="26"/>
      <c r="AD719" s="15"/>
      <c r="AH719" s="115"/>
      <c r="AI719" s="117"/>
      <c r="AJ719" s="123"/>
      <c r="AK719" s="123"/>
      <c r="AL719" s="123"/>
      <c r="AM719" s="115"/>
      <c r="AN719" s="115"/>
      <c r="AO719" s="115"/>
      <c r="AP719" s="115"/>
      <c r="AQ719" s="115"/>
      <c r="AR719" s="115"/>
      <c r="AS719" s="115"/>
      <c r="AT719" s="115"/>
      <c r="AU719" s="115"/>
      <c r="AV719" s="115"/>
      <c r="AW719" s="115"/>
      <c r="AX719" s="115"/>
      <c r="AY719" s="115"/>
      <c r="AZ719" s="115"/>
      <c r="BA719" s="26">
        <v>45277</v>
      </c>
      <c r="BB719" s="13" t="s">
        <v>162</v>
      </c>
      <c r="BE719" s="114"/>
    </row>
    <row r="720" spans="18:57" ht="19.5" x14ac:dyDescent="0.4">
      <c r="AC720" s="26"/>
      <c r="AD720" s="15"/>
      <c r="AH720" s="115"/>
      <c r="AI720" s="117"/>
      <c r="AJ720" s="123"/>
      <c r="AK720" s="123"/>
      <c r="AL720" s="123"/>
      <c r="AM720" s="115"/>
      <c r="AN720" s="115"/>
      <c r="AO720" s="115"/>
      <c r="AP720" s="115"/>
      <c r="AQ720" s="115"/>
      <c r="AR720" s="115"/>
      <c r="AS720" s="115"/>
      <c r="AT720" s="115"/>
      <c r="AU720" s="115"/>
      <c r="AV720" s="115"/>
      <c r="AW720" s="115"/>
      <c r="AX720" s="115"/>
      <c r="AY720" s="115"/>
      <c r="AZ720" s="115"/>
      <c r="BA720" s="26">
        <v>45277</v>
      </c>
      <c r="BB720" s="15" t="s">
        <v>162</v>
      </c>
      <c r="BE720" s="114"/>
    </row>
    <row r="721" spans="6:57" ht="19.5" x14ac:dyDescent="0.4"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26"/>
      <c r="AD721" s="15"/>
      <c r="AH721" s="115"/>
      <c r="AI721" s="117"/>
      <c r="AJ721" s="123"/>
      <c r="AK721" s="123"/>
      <c r="AL721" s="123"/>
      <c r="AM721" s="115"/>
      <c r="AN721" s="115"/>
      <c r="AO721" s="115"/>
      <c r="AP721" s="115"/>
      <c r="AQ721" s="115"/>
      <c r="AR721" s="115"/>
      <c r="AS721" s="115"/>
      <c r="AT721" s="115"/>
      <c r="AU721" s="115"/>
      <c r="AV721" s="115"/>
      <c r="AW721" s="115"/>
      <c r="AX721" s="115"/>
      <c r="AY721" s="115"/>
      <c r="AZ721" s="115"/>
      <c r="BA721" s="26"/>
      <c r="BB721" s="15"/>
      <c r="BE721" s="114"/>
    </row>
    <row r="722" spans="6:57" ht="19.5" x14ac:dyDescent="0.4">
      <c r="AC722" s="26"/>
      <c r="AD722" s="15"/>
      <c r="AH722" s="115"/>
      <c r="AI722" s="117"/>
      <c r="AJ722" s="123"/>
      <c r="AK722" s="123"/>
      <c r="AL722" s="123"/>
      <c r="AM722" s="115"/>
      <c r="AN722" s="115"/>
      <c r="AO722" s="115"/>
      <c r="AP722" s="115"/>
      <c r="AQ722" s="115"/>
      <c r="AR722" s="115"/>
      <c r="AS722" s="115"/>
      <c r="AT722" s="115"/>
      <c r="AU722" s="115"/>
      <c r="AV722" s="115"/>
      <c r="AW722" s="115"/>
      <c r="AX722" s="115"/>
      <c r="AY722" s="115"/>
      <c r="AZ722" s="115"/>
      <c r="BA722" s="26">
        <v>45277</v>
      </c>
      <c r="BB722" s="15" t="s">
        <v>162</v>
      </c>
      <c r="BE722" s="114"/>
    </row>
    <row r="723" spans="6:57" ht="19.5" x14ac:dyDescent="0.4">
      <c r="AC723" s="26"/>
      <c r="AD723" s="15"/>
      <c r="AH723" s="115"/>
      <c r="AI723" s="117"/>
      <c r="AJ723" s="123"/>
      <c r="AK723" s="123"/>
      <c r="AL723" s="123"/>
      <c r="AM723" s="115"/>
      <c r="AN723" s="115"/>
      <c r="AO723" s="115"/>
      <c r="AP723" s="115"/>
      <c r="AQ723" s="115"/>
      <c r="AR723" s="115"/>
      <c r="AS723" s="115"/>
      <c r="AT723" s="115"/>
      <c r="AU723" s="115"/>
      <c r="AV723" s="115"/>
      <c r="AW723" s="115"/>
      <c r="AX723" s="115"/>
      <c r="AY723" s="115"/>
      <c r="AZ723" s="115" t="s">
        <v>160</v>
      </c>
      <c r="BA723" s="17">
        <f>SUBTOTAL(3,BA712:BA722)</f>
        <v>5</v>
      </c>
      <c r="BB723" s="15">
        <f>SUBTOTAL(3,BB712:BB722)</f>
        <v>5</v>
      </c>
      <c r="BE723" s="114"/>
    </row>
    <row r="724" spans="6:57" ht="19.5" x14ac:dyDescent="0.4"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26"/>
      <c r="AD724" s="15"/>
      <c r="AH724" s="115"/>
      <c r="AI724" s="117"/>
      <c r="AJ724" s="123"/>
      <c r="AK724" s="123"/>
      <c r="AL724" s="123"/>
      <c r="AM724" s="115"/>
      <c r="AN724" s="115"/>
      <c r="AO724" s="115"/>
      <c r="AP724" s="115"/>
      <c r="AQ724" s="115"/>
      <c r="AR724" s="115"/>
      <c r="AS724" s="115"/>
      <c r="AT724" s="115"/>
      <c r="AU724" s="115"/>
      <c r="AV724" s="115"/>
      <c r="AW724" s="115"/>
      <c r="AX724" s="115"/>
      <c r="AY724" s="115"/>
      <c r="AZ724" s="115"/>
      <c r="BA724" s="17"/>
      <c r="BB724" s="15"/>
      <c r="BE724" s="114"/>
    </row>
    <row r="725" spans="6:57" ht="19.5" x14ac:dyDescent="0.4"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26"/>
      <c r="AD725" s="15"/>
      <c r="AH725" s="115"/>
      <c r="AI725" s="117"/>
      <c r="AJ725" s="123"/>
      <c r="AK725" s="123"/>
      <c r="AL725" s="123"/>
      <c r="AM725" s="115"/>
      <c r="AN725" s="115"/>
      <c r="AO725" s="115"/>
      <c r="AP725" s="115"/>
      <c r="AQ725" s="115"/>
      <c r="AR725" s="115"/>
      <c r="AS725" s="115"/>
      <c r="AT725" s="115"/>
      <c r="AU725" s="115"/>
      <c r="AV725" s="115"/>
      <c r="AW725" s="115"/>
      <c r="AX725" s="115"/>
      <c r="AY725" s="115"/>
      <c r="AZ725" s="115"/>
      <c r="BA725" s="17"/>
      <c r="BB725" s="15"/>
      <c r="BE725" s="114"/>
    </row>
    <row r="726" spans="6:57" ht="19.5" x14ac:dyDescent="0.4">
      <c r="AC726" s="26"/>
      <c r="AD726" s="15"/>
      <c r="AH726" s="115"/>
      <c r="AI726" s="117"/>
      <c r="AJ726" s="123"/>
      <c r="AK726" s="123"/>
      <c r="AL726" s="123"/>
      <c r="AM726" s="115"/>
      <c r="AN726" s="115"/>
      <c r="AO726" s="115"/>
      <c r="AP726" s="115"/>
      <c r="AQ726" s="115"/>
      <c r="AR726" s="115"/>
      <c r="AS726" s="115"/>
      <c r="AT726" s="115"/>
      <c r="AU726" s="115"/>
      <c r="AV726" s="115"/>
      <c r="AW726" s="115"/>
      <c r="AX726" s="115"/>
      <c r="AY726" s="115"/>
      <c r="AZ726" s="115"/>
      <c r="BA726" s="26">
        <v>45278</v>
      </c>
      <c r="BB726" s="15" t="s">
        <v>164</v>
      </c>
      <c r="BE726" s="114"/>
    </row>
    <row r="727" spans="6:57" ht="19.5" x14ac:dyDescent="0.4">
      <c r="AC727" s="26"/>
      <c r="AD727" s="15"/>
      <c r="AH727" s="115"/>
      <c r="AI727" s="117"/>
      <c r="AJ727" s="123"/>
      <c r="AK727" s="123"/>
      <c r="AL727" s="123"/>
      <c r="AM727" s="115"/>
      <c r="AN727" s="115"/>
      <c r="AO727" s="115"/>
      <c r="AP727" s="115"/>
      <c r="AQ727" s="115"/>
      <c r="AR727" s="115"/>
      <c r="AS727" s="115"/>
      <c r="AT727" s="115"/>
      <c r="AU727" s="115"/>
      <c r="AV727" s="115"/>
      <c r="AW727" s="115"/>
      <c r="AX727" s="115"/>
      <c r="AY727" s="115"/>
      <c r="AZ727" s="115"/>
      <c r="BA727" s="26">
        <v>45278</v>
      </c>
      <c r="BB727" s="15" t="s">
        <v>164</v>
      </c>
      <c r="BE727" s="114"/>
    </row>
    <row r="728" spans="6:57" ht="19.5" x14ac:dyDescent="0.4"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26"/>
      <c r="AD728" s="15"/>
      <c r="AH728" s="115"/>
      <c r="AI728" s="117"/>
      <c r="AJ728" s="123"/>
      <c r="AK728" s="123"/>
      <c r="AL728" s="123"/>
      <c r="AM728" s="115"/>
      <c r="AN728" s="115"/>
      <c r="AO728" s="115"/>
      <c r="AP728" s="115"/>
      <c r="AQ728" s="115"/>
      <c r="AR728" s="115"/>
      <c r="AS728" s="115"/>
      <c r="AT728" s="115"/>
      <c r="AU728" s="115"/>
      <c r="AV728" s="115"/>
      <c r="AW728" s="115"/>
      <c r="AX728" s="115"/>
      <c r="AY728" s="115"/>
      <c r="AZ728" s="115"/>
      <c r="BA728" s="26"/>
      <c r="BB728" s="15"/>
      <c r="BE728" s="114"/>
    </row>
    <row r="729" spans="6:57" ht="19.5" x14ac:dyDescent="0.4">
      <c r="AC729" s="26"/>
      <c r="AD729" s="15"/>
      <c r="AH729" s="115"/>
      <c r="AI729" s="117"/>
      <c r="AJ729" s="123"/>
      <c r="AK729" s="123"/>
      <c r="AL729" s="123"/>
      <c r="AM729" s="115"/>
      <c r="AN729" s="115"/>
      <c r="AO729" s="115"/>
      <c r="AP729" s="115"/>
      <c r="AQ729" s="115"/>
      <c r="AR729" s="115"/>
      <c r="AS729" s="115"/>
      <c r="AT729" s="115"/>
      <c r="AU729" s="115"/>
      <c r="AV729" s="115"/>
      <c r="AW729" s="115"/>
      <c r="AX729" s="115"/>
      <c r="AY729" s="115"/>
      <c r="AZ729" s="115"/>
      <c r="BA729" s="26">
        <v>45278</v>
      </c>
      <c r="BB729" s="15" t="s">
        <v>162</v>
      </c>
      <c r="BE729" s="114"/>
    </row>
    <row r="730" spans="6:57" ht="19.5" x14ac:dyDescent="0.4">
      <c r="T730" s="115"/>
      <c r="U730" s="115"/>
      <c r="V730" s="115"/>
      <c r="W730" s="115"/>
      <c r="X730" s="115"/>
      <c r="Y730" s="115"/>
      <c r="Z730" s="115"/>
      <c r="AA730" s="115"/>
      <c r="AB730" s="115"/>
      <c r="AC730" s="17"/>
      <c r="AD730" s="15"/>
      <c r="AH730" s="115"/>
      <c r="AI730" s="117"/>
      <c r="AJ730" s="123"/>
      <c r="AK730" s="123"/>
      <c r="AL730" s="123"/>
      <c r="AM730" s="115"/>
      <c r="AN730" s="115"/>
      <c r="AO730" s="115"/>
      <c r="AP730" s="115"/>
      <c r="AQ730" s="115"/>
      <c r="AR730" s="115"/>
      <c r="AS730" s="115"/>
      <c r="AT730" s="115"/>
      <c r="AU730" s="115"/>
      <c r="AV730" s="115"/>
      <c r="AW730" s="115"/>
      <c r="AX730" s="115"/>
      <c r="AY730" s="115"/>
      <c r="AZ730" s="115"/>
      <c r="BA730" s="26"/>
      <c r="BB730" s="15"/>
      <c r="BE730" s="114"/>
    </row>
    <row r="731" spans="6:57" ht="19.5" x14ac:dyDescent="0.4"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26"/>
      <c r="AD731" s="15"/>
      <c r="AH731" s="115"/>
      <c r="AI731" s="117"/>
      <c r="AJ731" s="123"/>
      <c r="AK731" s="123"/>
      <c r="AL731" s="123"/>
      <c r="AM731" s="115"/>
      <c r="AN731" s="115"/>
      <c r="AO731" s="115"/>
      <c r="AP731" s="115"/>
      <c r="AQ731" s="115"/>
      <c r="AR731" s="115"/>
      <c r="AS731" s="115"/>
      <c r="AT731" s="115"/>
      <c r="AU731" s="115"/>
      <c r="AV731" s="115"/>
      <c r="AW731" s="115"/>
      <c r="AX731" s="115"/>
      <c r="AY731" s="115"/>
      <c r="AZ731" s="115"/>
      <c r="BA731" s="26"/>
      <c r="BB731" s="15"/>
      <c r="BE731" s="114"/>
    </row>
    <row r="732" spans="6:57" ht="19.5" x14ac:dyDescent="0.4"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7"/>
      <c r="AD732" s="15"/>
      <c r="AH732" s="115"/>
      <c r="AI732" s="117"/>
      <c r="AJ732" s="123"/>
      <c r="AK732" s="123"/>
      <c r="AL732" s="123"/>
      <c r="AM732" s="115"/>
      <c r="AN732" s="115"/>
      <c r="AO732" s="115"/>
      <c r="AP732" s="115"/>
      <c r="AQ732" s="115"/>
      <c r="AR732" s="115"/>
      <c r="AS732" s="115"/>
      <c r="AT732" s="115"/>
      <c r="AU732" s="115"/>
      <c r="AV732" s="115"/>
      <c r="AW732" s="115"/>
      <c r="AX732" s="115"/>
      <c r="AY732" s="115"/>
      <c r="AZ732" s="115"/>
      <c r="BA732" s="26"/>
      <c r="BB732" s="15"/>
      <c r="BE732" s="114"/>
    </row>
    <row r="733" spans="6:57" ht="19.5" x14ac:dyDescent="0.4">
      <c r="AC733" s="26"/>
      <c r="AD733" s="15"/>
      <c r="AH733" s="115"/>
      <c r="AI733" s="117"/>
      <c r="AJ733" s="123"/>
      <c r="AK733" s="123"/>
      <c r="AL733" s="123"/>
      <c r="AM733" s="115"/>
      <c r="AN733" s="115"/>
      <c r="AO733" s="115"/>
      <c r="AP733" s="115"/>
      <c r="AQ733" s="115"/>
      <c r="AR733" s="115"/>
      <c r="AS733" s="115"/>
      <c r="AT733" s="115"/>
      <c r="AU733" s="115"/>
      <c r="AV733" s="115"/>
      <c r="AW733" s="115"/>
      <c r="AX733" s="115"/>
      <c r="AY733" s="115"/>
      <c r="AZ733" s="115"/>
      <c r="BA733" s="26">
        <v>45278</v>
      </c>
      <c r="BB733" s="15" t="s">
        <v>142</v>
      </c>
      <c r="BE733" s="114"/>
    </row>
    <row r="734" spans="6:57" ht="19.5" x14ac:dyDescent="0.4">
      <c r="AC734" s="26"/>
      <c r="AD734" s="15"/>
      <c r="AH734" s="115"/>
      <c r="AI734" s="117"/>
      <c r="AJ734" s="123"/>
      <c r="AK734" s="123"/>
      <c r="AL734" s="123"/>
      <c r="AM734" s="115"/>
      <c r="AN734" s="115"/>
      <c r="AO734" s="115"/>
      <c r="AP734" s="115"/>
      <c r="AQ734" s="115"/>
      <c r="AR734" s="115"/>
      <c r="AS734" s="115"/>
      <c r="AT734" s="115"/>
      <c r="AU734" s="115"/>
      <c r="AV734" s="115"/>
      <c r="AW734" s="115"/>
      <c r="AX734" s="115"/>
      <c r="AY734" s="115"/>
      <c r="AZ734" s="115"/>
      <c r="BA734" s="26">
        <v>45278</v>
      </c>
      <c r="BB734" s="15" t="s">
        <v>162</v>
      </c>
      <c r="BE734" s="114"/>
    </row>
    <row r="735" spans="6:57" ht="19.5" x14ac:dyDescent="0.4">
      <c r="AC735" s="26"/>
      <c r="AD735" s="15"/>
      <c r="AH735" s="115"/>
      <c r="AI735" s="117"/>
      <c r="AJ735" s="123"/>
      <c r="AK735" s="123"/>
      <c r="AL735" s="123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26">
        <v>45278</v>
      </c>
      <c r="BB735" s="15" t="s">
        <v>162</v>
      </c>
      <c r="BE735" s="114"/>
    </row>
    <row r="736" spans="6:57" ht="19.5" x14ac:dyDescent="0.4">
      <c r="T736" s="115"/>
      <c r="U736" s="115"/>
      <c r="V736" s="115"/>
      <c r="W736" s="115"/>
      <c r="X736" s="115"/>
      <c r="Y736" s="115"/>
      <c r="Z736" s="115"/>
      <c r="AA736" s="115"/>
      <c r="AB736" s="115"/>
      <c r="AC736" s="17"/>
      <c r="AD736" s="15"/>
      <c r="AH736" s="115"/>
      <c r="AI736" s="117"/>
      <c r="AJ736" s="123"/>
      <c r="AK736" s="123"/>
      <c r="AL736" s="123"/>
      <c r="AM736" s="115"/>
      <c r="AN736" s="115"/>
      <c r="AO736" s="115"/>
      <c r="AP736" s="115"/>
      <c r="AQ736" s="115"/>
      <c r="AR736" s="115"/>
      <c r="AS736" s="115"/>
      <c r="AT736" s="115"/>
      <c r="AU736" s="115"/>
      <c r="AV736" s="115"/>
      <c r="AW736" s="115"/>
      <c r="AX736" s="115"/>
      <c r="AY736" s="115"/>
      <c r="AZ736" s="115"/>
      <c r="BA736" s="26"/>
      <c r="BB736" s="15"/>
      <c r="BE736" s="114"/>
    </row>
    <row r="737" spans="6:57" ht="19.5" x14ac:dyDescent="0.4"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26"/>
      <c r="AD737" s="15"/>
      <c r="AH737" s="115"/>
      <c r="AI737" s="117"/>
      <c r="AJ737" s="123"/>
      <c r="AK737" s="123"/>
      <c r="AL737" s="123"/>
      <c r="AM737" s="115"/>
      <c r="AN737" s="115"/>
      <c r="AO737" s="115"/>
      <c r="AP737" s="115"/>
      <c r="AQ737" s="115"/>
      <c r="AR737" s="115"/>
      <c r="AS737" s="115"/>
      <c r="AT737" s="115"/>
      <c r="AU737" s="115"/>
      <c r="AV737" s="115"/>
      <c r="AW737" s="115"/>
      <c r="AX737" s="115"/>
      <c r="AY737" s="115"/>
      <c r="AZ737" s="115"/>
      <c r="BA737" s="26"/>
      <c r="BB737" s="15"/>
      <c r="BE737" s="114"/>
    </row>
    <row r="738" spans="6:57" ht="19.5" x14ac:dyDescent="0.4"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26"/>
      <c r="AD738" s="15"/>
      <c r="AH738" s="115"/>
      <c r="AI738" s="117"/>
      <c r="AJ738" s="123"/>
      <c r="AK738" s="123"/>
      <c r="AL738" s="123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26"/>
      <c r="BB738" s="15"/>
      <c r="BE738" s="114"/>
    </row>
    <row r="739" spans="6:57" ht="19.5" x14ac:dyDescent="0.4"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7"/>
      <c r="AD739" s="15"/>
      <c r="AH739" s="115"/>
      <c r="AI739" s="117"/>
      <c r="AJ739" s="123"/>
      <c r="AK739" s="123"/>
      <c r="AL739" s="123"/>
      <c r="AM739" s="115"/>
      <c r="AN739" s="115"/>
      <c r="AO739" s="115"/>
      <c r="AP739" s="115"/>
      <c r="AQ739" s="115"/>
      <c r="AR739" s="115"/>
      <c r="AS739" s="115"/>
      <c r="AT739" s="115"/>
      <c r="AU739" s="115"/>
      <c r="AV739" s="115"/>
      <c r="AW739" s="115"/>
      <c r="AX739" s="115"/>
      <c r="AY739" s="115"/>
      <c r="AZ739" s="115"/>
      <c r="BA739" s="26"/>
      <c r="BB739" s="15"/>
      <c r="BE739" s="114"/>
    </row>
    <row r="740" spans="6:57" ht="19.5" x14ac:dyDescent="0.4"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26"/>
      <c r="AD740" s="15"/>
      <c r="AH740" s="115"/>
      <c r="AI740" s="117"/>
      <c r="AJ740" s="123"/>
      <c r="AK740" s="123"/>
      <c r="AL740" s="123"/>
      <c r="AM740" s="115"/>
      <c r="AN740" s="115"/>
      <c r="AO740" s="115"/>
      <c r="AP740" s="115"/>
      <c r="AQ740" s="115"/>
      <c r="AR740" s="115"/>
      <c r="AS740" s="115"/>
      <c r="AT740" s="115"/>
      <c r="AU740" s="115"/>
      <c r="AV740" s="115"/>
      <c r="AW740" s="115"/>
      <c r="AX740" s="115"/>
      <c r="AY740" s="115"/>
      <c r="AZ740" s="115"/>
      <c r="BA740" s="26"/>
      <c r="BB740" s="15"/>
      <c r="BE740" s="114"/>
    </row>
    <row r="741" spans="6:57" ht="19.5" x14ac:dyDescent="0.4">
      <c r="AC741" s="26"/>
      <c r="AD741" s="15"/>
      <c r="AH741" s="115"/>
      <c r="AI741" s="117"/>
      <c r="AJ741" s="123"/>
      <c r="AK741" s="123"/>
      <c r="AL741" s="123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26">
        <v>45278</v>
      </c>
      <c r="BB741" s="15" t="s">
        <v>162</v>
      </c>
      <c r="BE741" s="114"/>
    </row>
    <row r="742" spans="6:57" ht="19.5" x14ac:dyDescent="0.4"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26"/>
      <c r="AD742" s="15"/>
      <c r="AH742" s="115"/>
      <c r="AI742" s="117"/>
      <c r="AJ742" s="123"/>
      <c r="AK742" s="123"/>
      <c r="AL742" s="123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26"/>
      <c r="BB742" s="15"/>
      <c r="BE742" s="114"/>
    </row>
    <row r="743" spans="6:57" ht="19.5" x14ac:dyDescent="0.4">
      <c r="AC743" s="26"/>
      <c r="AD743" s="15"/>
      <c r="AH743" s="115"/>
      <c r="AI743" s="117"/>
      <c r="AJ743" s="123"/>
      <c r="AK743" s="123"/>
      <c r="AL743" s="123"/>
      <c r="AM743" s="115"/>
      <c r="AN743" s="115"/>
      <c r="AO743" s="115"/>
      <c r="AP743" s="115"/>
      <c r="AQ743" s="115"/>
      <c r="AR743" s="115"/>
      <c r="AS743" s="115"/>
      <c r="AT743" s="115"/>
      <c r="AU743" s="115"/>
      <c r="AV743" s="115"/>
      <c r="AW743" s="115"/>
      <c r="AX743" s="115"/>
      <c r="AY743" s="115"/>
      <c r="AZ743" s="115"/>
      <c r="BA743" s="26">
        <v>45278</v>
      </c>
      <c r="BB743" s="15" t="s">
        <v>163</v>
      </c>
      <c r="BE743" s="114"/>
    </row>
    <row r="744" spans="6:57" ht="19.5" x14ac:dyDescent="0.4">
      <c r="AC744" s="26"/>
      <c r="AD744" s="15"/>
      <c r="AH744" s="115"/>
      <c r="AI744" s="117"/>
      <c r="AJ744" s="123"/>
      <c r="AK744" s="123"/>
      <c r="AL744" s="123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26">
        <v>45278</v>
      </c>
      <c r="BB744" s="105" t="s">
        <v>163</v>
      </c>
      <c r="BE744" s="114"/>
    </row>
    <row r="745" spans="6:57" ht="19.5" x14ac:dyDescent="0.4">
      <c r="AC745" s="25"/>
      <c r="AD745" s="13"/>
      <c r="AH745" s="115"/>
      <c r="AI745" s="117"/>
      <c r="AJ745" s="123"/>
      <c r="AK745" s="123"/>
      <c r="AL745" s="123"/>
      <c r="AM745" s="115"/>
      <c r="AN745" s="115"/>
      <c r="AO745" s="115"/>
      <c r="AP745" s="115"/>
      <c r="AQ745" s="115"/>
      <c r="AR745" s="115"/>
      <c r="AS745" s="115"/>
      <c r="AT745" s="115"/>
      <c r="AU745" s="115"/>
      <c r="AV745" s="115"/>
      <c r="AW745" s="115"/>
      <c r="AX745" s="115"/>
      <c r="AY745" s="115"/>
      <c r="AZ745" s="115"/>
      <c r="BA745" s="26">
        <v>45278</v>
      </c>
      <c r="BB745" s="15" t="s">
        <v>163</v>
      </c>
      <c r="BE745" s="114"/>
    </row>
    <row r="746" spans="6:57" ht="19.5" x14ac:dyDescent="0.4"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25"/>
      <c r="AD746" s="13"/>
      <c r="AH746" s="115"/>
      <c r="AI746" s="117"/>
      <c r="AJ746" s="123"/>
      <c r="AK746" s="123"/>
      <c r="AL746" s="123"/>
      <c r="AM746" s="115"/>
      <c r="AN746" s="115"/>
      <c r="AO746" s="115"/>
      <c r="AP746" s="115"/>
      <c r="AQ746" s="115"/>
      <c r="AR746" s="115"/>
      <c r="AS746" s="115"/>
      <c r="AT746" s="115"/>
      <c r="AU746" s="115"/>
      <c r="AV746" s="115"/>
      <c r="AW746" s="115"/>
      <c r="AX746" s="115"/>
      <c r="AY746" s="115"/>
      <c r="AZ746" s="115"/>
      <c r="BA746" s="26"/>
      <c r="BB746" s="15"/>
      <c r="BE746" s="114"/>
    </row>
    <row r="747" spans="6:57" ht="19.5" x14ac:dyDescent="0.4"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25"/>
      <c r="AD747" s="13"/>
      <c r="AH747" s="115"/>
      <c r="AI747" s="117"/>
      <c r="AJ747" s="123"/>
      <c r="AK747" s="123"/>
      <c r="AL747" s="123"/>
      <c r="AM747" s="115"/>
      <c r="AN747" s="115"/>
      <c r="AO747" s="115"/>
      <c r="AP747" s="115"/>
      <c r="AQ747" s="115"/>
      <c r="AR747" s="115"/>
      <c r="AS747" s="115"/>
      <c r="AT747" s="115"/>
      <c r="AU747" s="115"/>
      <c r="AV747" s="115"/>
      <c r="AW747" s="115"/>
      <c r="AX747" s="115"/>
      <c r="AY747" s="115"/>
      <c r="AZ747" s="115"/>
      <c r="BA747" s="26"/>
      <c r="BB747" s="15"/>
      <c r="BE747" s="114"/>
    </row>
    <row r="748" spans="6:57" ht="19.5" x14ac:dyDescent="0.4"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25"/>
      <c r="AD748" s="13"/>
      <c r="AH748" s="115"/>
      <c r="AI748" s="117"/>
      <c r="AJ748" s="123"/>
      <c r="AK748" s="123"/>
      <c r="AL748" s="123"/>
      <c r="AM748" s="115"/>
      <c r="AN748" s="115"/>
      <c r="AO748" s="115"/>
      <c r="AP748" s="115"/>
      <c r="AQ748" s="115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26"/>
      <c r="BB748" s="15"/>
      <c r="BE748" s="114"/>
    </row>
    <row r="749" spans="6:57" ht="19.5" x14ac:dyDescent="0.4"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25"/>
      <c r="AD749" s="13"/>
      <c r="AH749" s="115"/>
      <c r="AI749" s="117"/>
      <c r="AJ749" s="123"/>
      <c r="AK749" s="123"/>
      <c r="AL749" s="123"/>
      <c r="AM749" s="115"/>
      <c r="AN749" s="115"/>
      <c r="AO749" s="115"/>
      <c r="AP749" s="115"/>
      <c r="AQ749" s="115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26"/>
      <c r="BB749" s="15"/>
      <c r="BE749" s="114"/>
    </row>
    <row r="750" spans="6:57" ht="19.5" x14ac:dyDescent="0.4"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25"/>
      <c r="AD750" s="13"/>
      <c r="AH750" s="115"/>
      <c r="AI750" s="117"/>
      <c r="AJ750" s="123"/>
      <c r="AK750" s="123"/>
      <c r="AL750" s="123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26"/>
      <c r="BB750" s="15"/>
      <c r="BE750" s="114"/>
    </row>
    <row r="751" spans="6:57" ht="19.5" x14ac:dyDescent="0.4"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25"/>
      <c r="AD751" s="13"/>
      <c r="AH751" s="115"/>
      <c r="AI751" s="117"/>
      <c r="AJ751" s="123"/>
      <c r="AK751" s="123"/>
      <c r="AL751" s="123"/>
      <c r="AM751" s="115"/>
      <c r="AN751" s="115"/>
      <c r="AO751" s="115"/>
      <c r="AP751" s="115"/>
      <c r="AQ751" s="115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26"/>
      <c r="BB751" s="15"/>
      <c r="BE751" s="114"/>
    </row>
    <row r="752" spans="6:57" ht="19.5" x14ac:dyDescent="0.4">
      <c r="AC752" s="25"/>
      <c r="AD752" s="13"/>
      <c r="AH752" s="115"/>
      <c r="AI752" s="117"/>
      <c r="AJ752" s="123"/>
      <c r="AK752" s="123"/>
      <c r="AL752" s="123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26">
        <v>45278</v>
      </c>
      <c r="BB752" s="15" t="s">
        <v>163</v>
      </c>
      <c r="BE752" s="114"/>
    </row>
    <row r="753" spans="20:57" ht="19.5" x14ac:dyDescent="0.4">
      <c r="AC753" s="25"/>
      <c r="AD753" s="13"/>
      <c r="AH753" s="115"/>
      <c r="AI753" s="117"/>
      <c r="AJ753" s="123"/>
      <c r="AK753" s="123"/>
      <c r="AL753" s="123"/>
      <c r="AM753" s="115"/>
      <c r="AN753" s="115"/>
      <c r="AO753" s="115"/>
      <c r="AP753" s="115"/>
      <c r="AQ753" s="115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26"/>
      <c r="BB753" s="15"/>
      <c r="BE753" s="114"/>
    </row>
    <row r="754" spans="20:57" ht="19.5" x14ac:dyDescent="0.4">
      <c r="T754" s="115"/>
      <c r="U754" s="115"/>
      <c r="V754" s="115"/>
      <c r="W754" s="115"/>
      <c r="X754" s="115"/>
      <c r="Y754" s="115"/>
      <c r="Z754" s="115"/>
      <c r="AA754" s="115"/>
      <c r="AB754" s="115"/>
      <c r="AC754" s="13"/>
      <c r="AD754" s="13"/>
      <c r="AH754" s="115"/>
      <c r="AI754" s="117"/>
      <c r="AJ754" s="123"/>
      <c r="AK754" s="123"/>
      <c r="AL754" s="123"/>
      <c r="AM754" s="115"/>
      <c r="AN754" s="115"/>
      <c r="AO754" s="115"/>
      <c r="AP754" s="115"/>
      <c r="AQ754" s="115"/>
      <c r="AR754" s="115"/>
      <c r="AS754" s="115"/>
      <c r="AT754" s="115"/>
      <c r="AU754" s="115"/>
      <c r="AV754" s="115"/>
      <c r="AW754" s="115"/>
      <c r="AX754" s="115"/>
      <c r="AY754" s="115"/>
      <c r="AZ754" s="115"/>
      <c r="BA754" s="26"/>
      <c r="BB754" s="15"/>
      <c r="BE754" s="114"/>
    </row>
    <row r="755" spans="20:57" ht="19.5" x14ac:dyDescent="0.4">
      <c r="AC755" s="25"/>
      <c r="AD755" s="13"/>
      <c r="AH755" s="115"/>
      <c r="AI755" s="117"/>
      <c r="AJ755" s="123"/>
      <c r="AK755" s="123"/>
      <c r="AL755" s="123"/>
      <c r="AM755" s="115"/>
      <c r="AN755" s="115"/>
      <c r="AO755" s="115"/>
      <c r="AP755" s="115"/>
      <c r="AQ755" s="115"/>
      <c r="AR755" s="115"/>
      <c r="AS755" s="115"/>
      <c r="AT755" s="115"/>
      <c r="AU755" s="115"/>
      <c r="AV755" s="115"/>
      <c r="AW755" s="115"/>
      <c r="AX755" s="115"/>
      <c r="AY755" s="115"/>
      <c r="AZ755" s="115"/>
      <c r="BA755" s="26">
        <v>45278</v>
      </c>
      <c r="BB755" s="15" t="s">
        <v>163</v>
      </c>
      <c r="BE755" s="114"/>
    </row>
    <row r="756" spans="20:57" ht="19.5" x14ac:dyDescent="0.4">
      <c r="T756" s="115"/>
      <c r="U756" s="115"/>
      <c r="V756" s="115"/>
      <c r="W756" s="115"/>
      <c r="X756" s="115"/>
      <c r="Y756" s="115"/>
      <c r="Z756" s="115"/>
      <c r="AA756" s="115"/>
      <c r="AB756" s="115"/>
      <c r="AC756" s="13"/>
      <c r="AD756" s="13"/>
      <c r="AH756" s="115"/>
      <c r="AI756" s="117"/>
      <c r="AJ756" s="123"/>
      <c r="AK756" s="123"/>
      <c r="AL756" s="123"/>
      <c r="AM756" s="115"/>
      <c r="AN756" s="115"/>
      <c r="AO756" s="115"/>
      <c r="AP756" s="115"/>
      <c r="AQ756" s="115"/>
      <c r="AR756" s="115"/>
      <c r="AS756" s="115"/>
      <c r="AT756" s="115"/>
      <c r="AU756" s="115"/>
      <c r="AV756" s="115"/>
      <c r="AW756" s="115"/>
      <c r="AX756" s="115"/>
      <c r="AY756" s="115"/>
      <c r="AZ756" s="115"/>
      <c r="BA756" s="26"/>
      <c r="BB756" s="13"/>
      <c r="BE756" s="114"/>
    </row>
    <row r="757" spans="20:57" ht="19.5" x14ac:dyDescent="0.4">
      <c r="AC757" s="25"/>
      <c r="AD757" s="13"/>
      <c r="AH757" s="115"/>
      <c r="AI757" s="117"/>
      <c r="AJ757" s="123"/>
      <c r="AK757" s="123"/>
      <c r="AL757" s="123"/>
      <c r="AM757" s="115"/>
      <c r="AN757" s="115"/>
      <c r="AO757" s="115"/>
      <c r="AP757" s="115"/>
      <c r="AQ757" s="115"/>
      <c r="AR757" s="115"/>
      <c r="AS757" s="115"/>
      <c r="AT757" s="115"/>
      <c r="AU757" s="115"/>
      <c r="AV757" s="115"/>
      <c r="AW757" s="115"/>
      <c r="AX757" s="115"/>
      <c r="AY757" s="115"/>
      <c r="AZ757" s="115" t="s">
        <v>153</v>
      </c>
      <c r="BA757" s="17">
        <f>SUBTOTAL(3,BA726:BA755)</f>
        <v>12</v>
      </c>
      <c r="BB757" s="13">
        <f>SUBTOTAL(3,BB726:BB755)</f>
        <v>12</v>
      </c>
      <c r="BE757" s="114"/>
    </row>
    <row r="758" spans="20:57" ht="19.5" x14ac:dyDescent="0.4">
      <c r="T758" s="115"/>
      <c r="U758" s="115"/>
      <c r="V758" s="115"/>
      <c r="W758" s="115"/>
      <c r="X758" s="115"/>
      <c r="Y758" s="115"/>
      <c r="Z758" s="115"/>
      <c r="AA758" s="115"/>
      <c r="AB758" s="115"/>
      <c r="AC758" s="13"/>
      <c r="AD758" s="13"/>
      <c r="AH758" s="115"/>
      <c r="AI758" s="117"/>
      <c r="AJ758" s="123"/>
      <c r="AK758" s="123"/>
      <c r="AL758" s="123"/>
      <c r="AM758" s="115"/>
      <c r="AN758" s="115"/>
      <c r="AO758" s="115"/>
      <c r="AP758" s="115"/>
      <c r="AQ758" s="115"/>
      <c r="AR758" s="115"/>
      <c r="AS758" s="115"/>
      <c r="AT758" s="115"/>
      <c r="AU758" s="115"/>
      <c r="AV758" s="115"/>
      <c r="AW758" s="115"/>
      <c r="AX758" s="115"/>
      <c r="AY758" s="115"/>
      <c r="AZ758" s="115"/>
      <c r="BA758" s="17"/>
      <c r="BB758" s="13"/>
      <c r="BE758" s="114"/>
    </row>
    <row r="759" spans="20:57" ht="19.5" x14ac:dyDescent="0.4">
      <c r="AC759" s="25"/>
      <c r="AD759" s="13"/>
      <c r="AH759" s="115"/>
      <c r="AI759" s="117"/>
      <c r="AJ759" s="123"/>
      <c r="AK759" s="123"/>
      <c r="AL759" s="123"/>
      <c r="AM759" s="115"/>
      <c r="AN759" s="115"/>
      <c r="AO759" s="115"/>
      <c r="AP759" s="115"/>
      <c r="AQ759" s="115"/>
      <c r="AR759" s="115"/>
      <c r="AS759" s="115"/>
      <c r="AT759" s="115"/>
      <c r="AU759" s="115"/>
      <c r="AV759" s="115"/>
      <c r="AW759" s="115"/>
      <c r="AX759" s="115"/>
      <c r="AY759" s="115"/>
      <c r="AZ759" s="115"/>
      <c r="BA759" s="26">
        <v>45279</v>
      </c>
      <c r="BB759" s="25" t="s">
        <v>162</v>
      </c>
      <c r="BE759" s="114"/>
    </row>
    <row r="760" spans="20:57" ht="19.5" x14ac:dyDescent="0.4">
      <c r="AC760" s="25"/>
      <c r="AD760" s="13"/>
      <c r="AH760" s="115"/>
      <c r="AI760" s="117"/>
      <c r="AJ760" s="123"/>
      <c r="AK760" s="123"/>
      <c r="AL760" s="123"/>
      <c r="AM760" s="115"/>
      <c r="AN760" s="115"/>
      <c r="AO760" s="115"/>
      <c r="AP760" s="115"/>
      <c r="AQ760" s="115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26">
        <v>45279</v>
      </c>
      <c r="BB760" s="13" t="s">
        <v>162</v>
      </c>
      <c r="BE760" s="114"/>
    </row>
    <row r="761" spans="20:57" ht="19.5" x14ac:dyDescent="0.4">
      <c r="T761" s="115"/>
      <c r="U761" s="115"/>
      <c r="V761" s="115"/>
      <c r="W761" s="115"/>
      <c r="X761" s="115"/>
      <c r="Y761" s="115"/>
      <c r="Z761" s="115"/>
      <c r="AA761" s="115"/>
      <c r="AB761" s="115"/>
      <c r="AC761" s="20"/>
      <c r="AD761" s="13"/>
      <c r="AH761" s="115"/>
      <c r="AI761" s="117"/>
      <c r="AJ761" s="123"/>
      <c r="AK761" s="123"/>
      <c r="AL761" s="123"/>
      <c r="AM761" s="115"/>
      <c r="AN761" s="115"/>
      <c r="AO761" s="115"/>
      <c r="AP761" s="115"/>
      <c r="AQ761" s="115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26"/>
      <c r="BB761" s="13"/>
      <c r="BE761" s="114"/>
    </row>
    <row r="762" spans="20:57" ht="19.5" x14ac:dyDescent="0.4">
      <c r="T762" s="115"/>
      <c r="U762" s="115"/>
      <c r="V762" s="115"/>
      <c r="W762" s="115"/>
      <c r="X762" s="115"/>
      <c r="Y762" s="115"/>
      <c r="Z762" s="115"/>
      <c r="AA762" s="115"/>
      <c r="AB762" s="115"/>
      <c r="AC762" s="20"/>
      <c r="AD762" s="13"/>
      <c r="AH762" s="115"/>
      <c r="AI762" s="117"/>
      <c r="AJ762" s="123"/>
      <c r="AK762" s="123"/>
      <c r="AL762" s="123"/>
      <c r="AM762" s="115"/>
      <c r="AN762" s="115"/>
      <c r="AO762" s="115"/>
      <c r="AP762" s="115"/>
      <c r="AQ762" s="115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26"/>
      <c r="BB762" s="13"/>
      <c r="BE762" s="114"/>
    </row>
    <row r="763" spans="20:57" ht="19.5" x14ac:dyDescent="0.4">
      <c r="AC763" s="26"/>
      <c r="AD763" s="13"/>
      <c r="AH763" s="115"/>
      <c r="AI763" s="117"/>
      <c r="AJ763" s="123"/>
      <c r="AK763" s="123"/>
      <c r="AL763" s="123"/>
      <c r="AM763" s="115"/>
      <c r="AN763" s="115"/>
      <c r="AO763" s="115"/>
      <c r="AP763" s="115"/>
      <c r="AQ763" s="115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26">
        <v>45279</v>
      </c>
      <c r="BB763" s="13" t="s">
        <v>162</v>
      </c>
      <c r="BE763" s="114"/>
    </row>
    <row r="764" spans="20:57" ht="19.5" x14ac:dyDescent="0.4">
      <c r="AC764" s="26"/>
      <c r="AD764" s="13"/>
      <c r="AH764" s="115"/>
      <c r="AI764" s="117"/>
      <c r="AJ764" s="123"/>
      <c r="AK764" s="123"/>
      <c r="AL764" s="123"/>
      <c r="AM764" s="115"/>
      <c r="AN764" s="115"/>
      <c r="AO764" s="115"/>
      <c r="AP764" s="115"/>
      <c r="AQ764" s="115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26">
        <v>45279</v>
      </c>
      <c r="BB764" s="13" t="s">
        <v>162</v>
      </c>
      <c r="BE764" s="114"/>
    </row>
    <row r="765" spans="20:57" ht="19.5" x14ac:dyDescent="0.4">
      <c r="AC765" s="129"/>
      <c r="AD765" s="13"/>
      <c r="AH765" s="115"/>
      <c r="AI765" s="117"/>
      <c r="AJ765" s="123"/>
      <c r="AK765" s="123"/>
      <c r="AL765" s="123"/>
      <c r="AM765" s="115"/>
      <c r="AN765" s="115"/>
      <c r="AO765" s="115"/>
      <c r="AP765" s="115"/>
      <c r="AQ765" s="115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26"/>
      <c r="BB765" s="13"/>
      <c r="BE765" s="114"/>
    </row>
    <row r="766" spans="20:57" ht="19.5" x14ac:dyDescent="0.4">
      <c r="AC766" s="26"/>
      <c r="AD766" s="13"/>
      <c r="AH766" s="115"/>
      <c r="AI766" s="117"/>
      <c r="AJ766" s="123"/>
      <c r="AK766" s="123"/>
      <c r="AL766" s="123"/>
      <c r="AM766" s="115"/>
      <c r="AN766" s="115"/>
      <c r="AO766" s="115"/>
      <c r="AP766" s="115"/>
      <c r="AQ766" s="115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26">
        <v>45279</v>
      </c>
      <c r="BB766" s="13" t="s">
        <v>162</v>
      </c>
      <c r="BE766" s="114"/>
    </row>
    <row r="767" spans="20:57" ht="19.5" x14ac:dyDescent="0.4">
      <c r="AC767" s="26"/>
      <c r="AD767" s="13"/>
      <c r="AH767" s="115"/>
      <c r="AI767" s="117"/>
      <c r="AJ767" s="123"/>
      <c r="AK767" s="123"/>
      <c r="AL767" s="123"/>
      <c r="AM767" s="115"/>
      <c r="AN767" s="115"/>
      <c r="AO767" s="115"/>
      <c r="AP767" s="115"/>
      <c r="AQ767" s="115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26">
        <v>45279</v>
      </c>
      <c r="BB767" s="13" t="s">
        <v>162</v>
      </c>
      <c r="BE767" s="114"/>
    </row>
    <row r="768" spans="20:57" ht="19.5" x14ac:dyDescent="0.4">
      <c r="AC768" s="26"/>
      <c r="AD768" s="13"/>
      <c r="AH768" s="115"/>
      <c r="AI768" s="117"/>
      <c r="AJ768" s="123"/>
      <c r="AK768" s="123"/>
      <c r="AL768" s="123"/>
      <c r="AM768" s="115"/>
      <c r="AN768" s="115"/>
      <c r="AO768" s="115"/>
      <c r="AP768" s="115"/>
      <c r="AQ768" s="115"/>
      <c r="AR768" s="115"/>
      <c r="AS768" s="115"/>
      <c r="AT768" s="115"/>
      <c r="AU768" s="115"/>
      <c r="AV768" s="115"/>
      <c r="AW768" s="115"/>
      <c r="AX768" s="115"/>
      <c r="AY768" s="115"/>
      <c r="AZ768" s="115" t="s">
        <v>170</v>
      </c>
      <c r="BA768" s="17">
        <f>SUBTOTAL(3,BA759:BA767)</f>
        <v>6</v>
      </c>
      <c r="BB768" s="13">
        <f>SUBTOTAL(3,BB759:BB767)</f>
        <v>6</v>
      </c>
      <c r="BE768" s="114"/>
    </row>
    <row r="769" spans="29:57" ht="19.5" x14ac:dyDescent="0.4">
      <c r="AC769" s="129"/>
      <c r="AD769" s="13"/>
      <c r="AH769" s="115"/>
      <c r="AI769" s="117"/>
      <c r="AJ769" s="123"/>
      <c r="AK769" s="123"/>
      <c r="AL769" s="123"/>
      <c r="AM769" s="115"/>
      <c r="AN769" s="115"/>
      <c r="AO769" s="115"/>
      <c r="AP769" s="115"/>
      <c r="AQ769" s="115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17"/>
      <c r="BB769" s="13"/>
      <c r="BE769" s="114"/>
    </row>
    <row r="770" spans="29:57" ht="19.5" x14ac:dyDescent="0.4">
      <c r="AC770" s="26"/>
      <c r="AD770" s="13"/>
      <c r="AH770" s="115"/>
      <c r="AI770" s="117"/>
      <c r="AJ770" s="123"/>
      <c r="AK770" s="123"/>
      <c r="AL770" s="123"/>
      <c r="AM770" s="115"/>
      <c r="AN770" s="115"/>
      <c r="AO770" s="115"/>
      <c r="AP770" s="115"/>
      <c r="AQ770" s="115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26">
        <v>45280</v>
      </c>
      <c r="BB770" s="13" t="s">
        <v>162</v>
      </c>
      <c r="BE770" s="114"/>
    </row>
    <row r="771" spans="29:57" ht="19.5" x14ac:dyDescent="0.4">
      <c r="AC771" s="26"/>
      <c r="AD771" s="13"/>
      <c r="AH771" s="115"/>
      <c r="AI771" s="116"/>
      <c r="AJ771" s="123"/>
      <c r="AK771" s="123"/>
      <c r="AL771" s="123"/>
      <c r="AM771" s="115"/>
      <c r="AN771" s="115"/>
      <c r="AO771" s="115"/>
      <c r="AP771" s="115"/>
      <c r="AQ771" s="115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26">
        <v>45280</v>
      </c>
      <c r="BB771" s="13" t="s">
        <v>162</v>
      </c>
      <c r="BE771" s="114"/>
    </row>
    <row r="772" spans="29:57" ht="19.5" x14ac:dyDescent="0.4">
      <c r="AC772" s="26"/>
      <c r="AD772" s="13"/>
      <c r="AH772" s="115"/>
      <c r="AI772" s="116"/>
      <c r="AJ772" s="123"/>
      <c r="AK772" s="123"/>
      <c r="AL772" s="123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26">
        <v>45280</v>
      </c>
      <c r="BB772" s="13" t="s">
        <v>162</v>
      </c>
      <c r="BE772" s="114"/>
    </row>
    <row r="773" spans="29:57" ht="19.5" x14ac:dyDescent="0.4">
      <c r="AC773" s="26"/>
      <c r="AD773" s="13"/>
      <c r="AH773" s="115"/>
      <c r="AI773" s="116"/>
      <c r="AJ773" s="123"/>
      <c r="AK773" s="123"/>
      <c r="AL773" s="123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26">
        <v>45280</v>
      </c>
      <c r="BB773" s="13" t="s">
        <v>162</v>
      </c>
      <c r="BE773" s="114"/>
    </row>
    <row r="774" spans="29:57" ht="19.5" x14ac:dyDescent="0.4">
      <c r="AC774" s="129"/>
      <c r="AD774" s="13"/>
      <c r="AH774" s="115"/>
      <c r="AI774" s="116"/>
      <c r="AJ774" s="123"/>
      <c r="AK774" s="123"/>
      <c r="AL774" s="123"/>
      <c r="AM774" s="115"/>
      <c r="AN774" s="115"/>
      <c r="AO774" s="115"/>
      <c r="AP774" s="115"/>
      <c r="AQ774" s="115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26"/>
      <c r="BB774" s="13"/>
      <c r="BE774" s="114"/>
    </row>
    <row r="775" spans="29:57" ht="19.5" x14ac:dyDescent="0.4">
      <c r="AC775" s="26"/>
      <c r="AD775" s="13"/>
      <c r="AH775" s="115"/>
      <c r="AI775" s="116"/>
      <c r="AJ775" s="123"/>
      <c r="AK775" s="123"/>
      <c r="AL775" s="123"/>
      <c r="AM775" s="115"/>
      <c r="AN775" s="115"/>
      <c r="AO775" s="115"/>
      <c r="AP775" s="115"/>
      <c r="AQ775" s="115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26">
        <v>45280</v>
      </c>
      <c r="BB775" s="13" t="s">
        <v>162</v>
      </c>
      <c r="BE775" s="114"/>
    </row>
    <row r="776" spans="29:57" ht="19.5" x14ac:dyDescent="0.4">
      <c r="AC776" s="130"/>
      <c r="AD776" s="119"/>
      <c r="AH776" s="115"/>
      <c r="AI776" s="116"/>
      <c r="AJ776" s="123"/>
      <c r="AK776" s="123"/>
      <c r="AL776" s="123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26"/>
      <c r="BB776" s="13"/>
      <c r="BE776" s="114"/>
    </row>
    <row r="777" spans="29:57" ht="19.5" x14ac:dyDescent="0.4">
      <c r="AC777" s="130"/>
      <c r="AD777" s="119"/>
      <c r="AH777" s="115"/>
      <c r="AI777" s="116"/>
      <c r="AJ777" s="123"/>
      <c r="AK777" s="123"/>
      <c r="AL777" s="123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26"/>
      <c r="BB777" s="13"/>
      <c r="BE777" s="114"/>
    </row>
    <row r="778" spans="29:57" ht="19.5" x14ac:dyDescent="0.4">
      <c r="AH778" s="115"/>
      <c r="AI778" s="116"/>
      <c r="AJ778" s="123"/>
      <c r="AK778" s="123"/>
      <c r="AL778" s="123"/>
      <c r="AM778" s="115"/>
      <c r="AN778" s="115"/>
      <c r="AO778" s="115"/>
      <c r="AP778" s="115"/>
      <c r="AQ778" s="115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26">
        <v>45280</v>
      </c>
      <c r="BB778" s="13" t="s">
        <v>162</v>
      </c>
      <c r="BE778" s="114"/>
    </row>
    <row r="779" spans="29:57" ht="19.5" x14ac:dyDescent="0.4">
      <c r="AH779" s="115"/>
      <c r="AI779" s="116"/>
      <c r="AJ779" s="123"/>
      <c r="AK779" s="123"/>
      <c r="AL779" s="123"/>
      <c r="AM779" s="115"/>
      <c r="AN779" s="115"/>
      <c r="AO779" s="115"/>
      <c r="AP779" s="115"/>
      <c r="AQ779" s="115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26">
        <v>45280</v>
      </c>
      <c r="BB779" s="13" t="s">
        <v>162</v>
      </c>
      <c r="BE779" s="114"/>
    </row>
    <row r="780" spans="29:57" ht="19.5" x14ac:dyDescent="0.4">
      <c r="AH780" s="115"/>
      <c r="AI780" s="116"/>
      <c r="AJ780" s="123"/>
      <c r="AK780" s="123"/>
      <c r="AL780" s="123"/>
      <c r="AM780" s="115"/>
      <c r="AN780" s="115"/>
      <c r="AO780" s="115"/>
      <c r="AP780" s="115"/>
      <c r="AQ780" s="115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26">
        <v>45280</v>
      </c>
      <c r="BB780" s="13" t="s">
        <v>162</v>
      </c>
      <c r="BE780" s="114"/>
    </row>
    <row r="781" spans="29:57" ht="19.5" x14ac:dyDescent="0.4">
      <c r="AG781" s="115"/>
      <c r="AH781" s="115"/>
      <c r="AI781" s="116"/>
      <c r="AJ781" s="123"/>
      <c r="AK781" s="123"/>
      <c r="AL781" s="123"/>
      <c r="AM781" s="115"/>
      <c r="AN781" s="115"/>
      <c r="AO781" s="115"/>
      <c r="AP781" s="115"/>
      <c r="AQ781" s="115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26">
        <v>45280</v>
      </c>
      <c r="BB781" s="13" t="s">
        <v>162</v>
      </c>
      <c r="BE781" s="114"/>
    </row>
    <row r="782" spans="29:57" ht="19.5" x14ac:dyDescent="0.4">
      <c r="AG782" s="115"/>
      <c r="AH782" s="115"/>
      <c r="AI782" s="116"/>
      <c r="AJ782" s="123"/>
      <c r="AK782" s="123"/>
      <c r="AL782" s="123"/>
      <c r="AM782" s="115"/>
      <c r="AN782" s="115"/>
      <c r="AO782" s="115"/>
      <c r="AP782" s="115"/>
      <c r="AQ782" s="115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26">
        <v>45280</v>
      </c>
      <c r="BB782" s="13" t="s">
        <v>162</v>
      </c>
      <c r="BE782" s="114"/>
    </row>
    <row r="783" spans="29:57" ht="19.5" x14ac:dyDescent="0.4">
      <c r="AE783" s="115"/>
      <c r="AF783" s="115"/>
      <c r="AG783" s="115"/>
      <c r="AH783" s="115"/>
      <c r="AI783" s="116"/>
      <c r="AJ783" s="123"/>
      <c r="AK783" s="123"/>
      <c r="AL783" s="123"/>
      <c r="AM783" s="115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26">
        <v>45280</v>
      </c>
      <c r="BB783" s="13" t="s">
        <v>162</v>
      </c>
      <c r="BE783" s="114"/>
    </row>
    <row r="784" spans="29:57" x14ac:dyDescent="0.4">
      <c r="AE784" s="115"/>
      <c r="AF784" s="115"/>
      <c r="AG784" s="115"/>
      <c r="AH784" s="115"/>
      <c r="AI784" s="115"/>
      <c r="AJ784" s="122"/>
      <c r="AK784" s="122"/>
      <c r="AL784" s="122"/>
      <c r="AM784" s="115"/>
      <c r="AN784" s="115"/>
      <c r="AO784" s="115"/>
      <c r="AP784" s="115"/>
      <c r="AQ784" s="115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26">
        <v>45280</v>
      </c>
      <c r="BB784" s="13" t="s">
        <v>162</v>
      </c>
      <c r="BE784" s="114"/>
    </row>
    <row r="785" spans="31:57" x14ac:dyDescent="0.4">
      <c r="AE785" s="115"/>
      <c r="AF785" s="115"/>
      <c r="AG785" s="115"/>
      <c r="AH785" s="115"/>
      <c r="AI785" s="115"/>
      <c r="AJ785" s="122"/>
      <c r="AK785" s="122"/>
      <c r="AL785" s="122"/>
      <c r="AM785" s="115"/>
      <c r="AN785" s="115"/>
      <c r="AO785" s="115"/>
      <c r="AP785" s="115"/>
      <c r="AQ785" s="115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26">
        <v>45280</v>
      </c>
      <c r="BB785" s="13" t="s">
        <v>162</v>
      </c>
      <c r="BE785" s="114"/>
    </row>
    <row r="786" spans="31:57" x14ac:dyDescent="0.4">
      <c r="AE786" s="115"/>
      <c r="AF786" s="115"/>
      <c r="AG786" s="115"/>
      <c r="AH786" s="115"/>
      <c r="AI786" s="115"/>
      <c r="AJ786" s="122"/>
      <c r="AK786" s="122"/>
      <c r="AL786" s="122"/>
      <c r="AM786" s="115"/>
      <c r="AN786" s="115"/>
      <c r="AO786" s="115"/>
      <c r="AP786" s="115"/>
      <c r="AQ786" s="115"/>
      <c r="AR786" s="115"/>
      <c r="AS786" s="115"/>
      <c r="AT786" s="115"/>
      <c r="AU786" s="115"/>
      <c r="AV786" s="115"/>
      <c r="AW786" s="115"/>
      <c r="AX786" s="115"/>
      <c r="AY786" s="115"/>
      <c r="AZ786" s="115" t="s">
        <v>171</v>
      </c>
      <c r="BA786" s="17">
        <f>SUBTOTAL(3,BA770:BA785)</f>
        <v>13</v>
      </c>
      <c r="BB786" s="13">
        <f>SUBTOTAL(3,BB770:BB785)</f>
        <v>13</v>
      </c>
      <c r="BE786" s="114"/>
    </row>
    <row r="787" spans="31:57" x14ac:dyDescent="0.4">
      <c r="AE787" s="115"/>
      <c r="AF787" s="115"/>
      <c r="AG787" s="115"/>
      <c r="AH787" s="115"/>
      <c r="AI787" s="115"/>
      <c r="AJ787" s="122"/>
      <c r="AK787" s="122"/>
      <c r="AL787" s="122"/>
      <c r="AM787" s="115"/>
      <c r="AN787" s="115"/>
      <c r="AO787" s="115"/>
      <c r="AP787" s="115"/>
      <c r="AQ787" s="115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26">
        <v>45283</v>
      </c>
      <c r="BB787" s="13" t="s">
        <v>162</v>
      </c>
      <c r="BE787" s="114"/>
    </row>
    <row r="788" spans="31:57" x14ac:dyDescent="0.4">
      <c r="AE788" s="115"/>
      <c r="AF788" s="115"/>
      <c r="AG788" s="115"/>
      <c r="AH788" s="115"/>
      <c r="AI788" s="115"/>
      <c r="AJ788" s="122"/>
      <c r="AK788" s="122"/>
      <c r="AL788" s="122"/>
      <c r="AM788" s="115"/>
      <c r="AN788" s="115"/>
      <c r="AO788" s="115"/>
      <c r="AP788" s="115"/>
      <c r="AQ788" s="115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26">
        <v>45283</v>
      </c>
      <c r="BB788" s="13" t="s">
        <v>162</v>
      </c>
      <c r="BE788" s="114"/>
    </row>
    <row r="789" spans="31:57" x14ac:dyDescent="0.4">
      <c r="AE789" s="115"/>
      <c r="AF789" s="115"/>
      <c r="AG789" s="115"/>
      <c r="AH789" s="115"/>
      <c r="AI789" s="115"/>
      <c r="AJ789" s="122"/>
      <c r="AK789" s="122"/>
      <c r="AL789" s="122"/>
      <c r="AM789" s="115"/>
      <c r="AN789" s="115"/>
      <c r="AO789" s="115"/>
      <c r="AP789" s="115"/>
      <c r="AQ789" s="115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26">
        <v>45283</v>
      </c>
      <c r="BB789" s="13" t="s">
        <v>162</v>
      </c>
      <c r="BE789" s="114"/>
    </row>
    <row r="790" spans="31:57" x14ac:dyDescent="0.4">
      <c r="AE790" s="115"/>
      <c r="AF790" s="115"/>
      <c r="AG790" s="115"/>
      <c r="AH790" s="115"/>
      <c r="AI790" s="115"/>
      <c r="AJ790" s="122"/>
      <c r="AK790" s="122"/>
      <c r="AL790" s="122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26">
        <v>45283</v>
      </c>
      <c r="BB790" s="13" t="s">
        <v>162</v>
      </c>
      <c r="BE790" s="114"/>
    </row>
    <row r="791" spans="31:57" x14ac:dyDescent="0.4">
      <c r="AE791" s="115"/>
      <c r="AF791" s="115"/>
      <c r="AG791" s="115"/>
      <c r="AH791" s="115"/>
      <c r="AI791" s="115"/>
      <c r="AJ791" s="122"/>
      <c r="AK791" s="122"/>
      <c r="AL791" s="122"/>
      <c r="AM791" s="115"/>
      <c r="AN791" s="115"/>
      <c r="AO791" s="115"/>
      <c r="AP791" s="115"/>
      <c r="AQ791" s="115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26">
        <v>45283</v>
      </c>
      <c r="BB791" s="13" t="s">
        <v>162</v>
      </c>
      <c r="BE791" s="114"/>
    </row>
    <row r="792" spans="31:57" x14ac:dyDescent="0.4">
      <c r="AE792" s="115"/>
      <c r="AF792" s="115"/>
      <c r="AG792" s="115"/>
      <c r="AH792" s="115"/>
      <c r="AI792" s="115"/>
      <c r="AJ792" s="122"/>
      <c r="AK792" s="122"/>
      <c r="AL792" s="122"/>
      <c r="AM792" s="115"/>
      <c r="AN792" s="115"/>
      <c r="AO792" s="115"/>
      <c r="AP792" s="115"/>
      <c r="AQ792" s="115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26">
        <v>45283</v>
      </c>
      <c r="BB792" s="13" t="s">
        <v>162</v>
      </c>
      <c r="BE792" s="114"/>
    </row>
    <row r="793" spans="31:57" x14ac:dyDescent="0.4">
      <c r="AE793" s="115"/>
      <c r="AF793" s="115"/>
      <c r="AG793" s="115"/>
      <c r="AH793" s="115"/>
      <c r="AI793" s="115"/>
      <c r="AJ793" s="122"/>
      <c r="AK793" s="122"/>
      <c r="AL793" s="122"/>
      <c r="AM793" s="115"/>
      <c r="AN793" s="115"/>
      <c r="AO793" s="115"/>
      <c r="AP793" s="115"/>
      <c r="AQ793" s="115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26">
        <v>45283</v>
      </c>
      <c r="BB793" s="13" t="s">
        <v>162</v>
      </c>
      <c r="BE793" s="114"/>
    </row>
    <row r="794" spans="31:57" x14ac:dyDescent="0.4">
      <c r="AE794" s="115"/>
      <c r="AF794" s="115"/>
      <c r="AG794" s="115"/>
      <c r="AH794" s="115"/>
      <c r="AI794" s="115"/>
      <c r="AJ794" s="122"/>
      <c r="AK794" s="122"/>
      <c r="AL794" s="122"/>
      <c r="AM794" s="115"/>
      <c r="AN794" s="115"/>
      <c r="AO794" s="115"/>
      <c r="AP794" s="115"/>
      <c r="AQ794" s="115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26">
        <v>45283</v>
      </c>
      <c r="BB794" s="13" t="s">
        <v>162</v>
      </c>
      <c r="BE794" s="114"/>
    </row>
    <row r="795" spans="31:57" x14ac:dyDescent="0.4">
      <c r="AE795" s="115"/>
      <c r="AF795" s="115"/>
      <c r="AG795" s="115"/>
      <c r="AH795" s="115"/>
      <c r="AI795" s="115"/>
      <c r="AJ795" s="122"/>
      <c r="AK795" s="122"/>
      <c r="AL795" s="122"/>
      <c r="AM795" s="115"/>
      <c r="AN795" s="115"/>
      <c r="AO795" s="115"/>
      <c r="AP795" s="115"/>
      <c r="AQ795" s="115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26">
        <v>45283</v>
      </c>
      <c r="BB795" s="13" t="s">
        <v>162</v>
      </c>
      <c r="BE795" s="114"/>
    </row>
    <row r="796" spans="31:57" x14ac:dyDescent="0.4">
      <c r="AE796" s="115"/>
      <c r="AF796" s="115"/>
      <c r="AG796" s="115"/>
      <c r="AH796" s="115"/>
      <c r="AI796" s="115"/>
      <c r="AJ796" s="122"/>
      <c r="AK796" s="122"/>
      <c r="AL796" s="122"/>
      <c r="AM796" s="115"/>
      <c r="AN796" s="115"/>
      <c r="AO796" s="115"/>
      <c r="AP796" s="115"/>
      <c r="AQ796" s="115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26">
        <v>45283</v>
      </c>
      <c r="BB796" s="13" t="s">
        <v>162</v>
      </c>
      <c r="BE796" s="114"/>
    </row>
    <row r="797" spans="31:57" x14ac:dyDescent="0.4">
      <c r="AE797" s="115"/>
      <c r="AF797" s="115"/>
      <c r="AG797" s="115"/>
      <c r="AH797" s="115"/>
      <c r="AI797" s="115"/>
      <c r="AJ797" s="122"/>
      <c r="AK797" s="122"/>
      <c r="AL797" s="122"/>
      <c r="AM797" s="115"/>
      <c r="AN797" s="115"/>
      <c r="AO797" s="115"/>
      <c r="AP797" s="115"/>
      <c r="AQ797" s="115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26">
        <v>45283</v>
      </c>
      <c r="BB797" s="13" t="s">
        <v>163</v>
      </c>
      <c r="BE797" s="114"/>
    </row>
    <row r="798" spans="31:57" x14ac:dyDescent="0.4">
      <c r="AE798" s="115"/>
      <c r="AF798" s="115"/>
      <c r="AG798" s="115"/>
      <c r="AH798" s="115"/>
      <c r="AI798" s="115"/>
      <c r="AJ798" s="122"/>
      <c r="AK798" s="122"/>
      <c r="AL798" s="122"/>
      <c r="AM798" s="115"/>
      <c r="AN798" s="115"/>
      <c r="AO798" s="115"/>
      <c r="AP798" s="115"/>
      <c r="AQ798" s="115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26">
        <v>45283</v>
      </c>
      <c r="BB798" s="13" t="s">
        <v>163</v>
      </c>
      <c r="BE798" s="114"/>
    </row>
    <row r="799" spans="31:57" x14ac:dyDescent="0.4">
      <c r="AE799" s="115"/>
      <c r="AF799" s="115"/>
      <c r="AG799" s="115"/>
      <c r="AH799" s="115"/>
      <c r="AI799" s="115"/>
      <c r="AJ799" s="122"/>
      <c r="AK799" s="122"/>
      <c r="AL799" s="122"/>
      <c r="AM799" s="115"/>
      <c r="AN799" s="115"/>
      <c r="AO799" s="115"/>
      <c r="AP799" s="115"/>
      <c r="AQ799" s="115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26">
        <v>45283</v>
      </c>
      <c r="BB799" s="13" t="s">
        <v>163</v>
      </c>
      <c r="BE799" s="114"/>
    </row>
    <row r="800" spans="31:57" x14ac:dyDescent="0.4">
      <c r="AE800" s="115"/>
      <c r="AF800" s="115"/>
      <c r="AG800" s="115"/>
      <c r="AH800" s="115"/>
      <c r="AI800" s="115"/>
      <c r="AJ800" s="122"/>
      <c r="AK800" s="122"/>
      <c r="AL800" s="122"/>
      <c r="AM800" s="115"/>
      <c r="AN800" s="115"/>
      <c r="AO800" s="115"/>
      <c r="AP800" s="115"/>
      <c r="AQ800" s="115"/>
      <c r="AR800" s="115"/>
      <c r="AS800" s="115"/>
      <c r="AT800" s="115"/>
      <c r="AU800" s="115"/>
      <c r="AV800" s="115"/>
      <c r="AW800" s="115"/>
      <c r="AX800" s="115"/>
      <c r="AY800" s="115"/>
      <c r="AZ800" s="115" t="s">
        <v>161</v>
      </c>
      <c r="BA800" s="17">
        <f>SUBTOTAL(3,BA787:BA799)</f>
        <v>13</v>
      </c>
      <c r="BB800" s="13">
        <f>SUBTOTAL(3,BB787:BB799)</f>
        <v>13</v>
      </c>
      <c r="BE800" s="114"/>
    </row>
    <row r="801" spans="31:57" x14ac:dyDescent="0.4">
      <c r="AE801" s="115"/>
      <c r="AF801" s="115"/>
      <c r="AG801" s="115"/>
      <c r="AH801" s="115"/>
      <c r="AI801" s="115"/>
      <c r="AJ801" s="122"/>
      <c r="AK801" s="122"/>
      <c r="AL801" s="122"/>
      <c r="AM801" s="115"/>
      <c r="AN801" s="115"/>
      <c r="AO801" s="115"/>
      <c r="AP801" s="115"/>
      <c r="AQ801" s="115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26">
        <v>45285</v>
      </c>
      <c r="BB801" s="13" t="s">
        <v>163</v>
      </c>
      <c r="BE801" s="114"/>
    </row>
    <row r="802" spans="31:57" x14ac:dyDescent="0.4">
      <c r="AE802" s="115"/>
      <c r="AF802" s="115"/>
      <c r="AG802" s="115"/>
      <c r="AH802" s="115"/>
      <c r="AI802" s="115"/>
      <c r="AJ802" s="122"/>
      <c r="AK802" s="122"/>
      <c r="AL802" s="122"/>
      <c r="AM802" s="115"/>
      <c r="AN802" s="115"/>
      <c r="AO802" s="115"/>
      <c r="AP802" s="115"/>
      <c r="AQ802" s="115"/>
      <c r="AR802" s="115"/>
      <c r="AS802" s="115"/>
      <c r="AT802" s="115"/>
      <c r="AU802" s="115"/>
      <c r="AV802" s="115"/>
      <c r="AW802" s="115"/>
      <c r="AX802" s="115"/>
      <c r="AY802" s="115"/>
      <c r="AZ802" s="115" t="s">
        <v>172</v>
      </c>
      <c r="BA802" s="17">
        <f>SUBTOTAL(3,BA801:BA801)</f>
        <v>1</v>
      </c>
      <c r="BB802" s="13">
        <f>SUBTOTAL(3,BB801:BB801)</f>
        <v>1</v>
      </c>
      <c r="BE802" s="114"/>
    </row>
    <row r="803" spans="31:57" x14ac:dyDescent="0.4">
      <c r="AE803" s="115"/>
      <c r="AF803" s="115"/>
      <c r="AG803" s="115"/>
      <c r="AH803" s="115"/>
      <c r="AI803" s="115"/>
      <c r="AJ803" s="122"/>
      <c r="AK803" s="122"/>
      <c r="AL803" s="122"/>
      <c r="AM803" s="115"/>
      <c r="AN803" s="115"/>
      <c r="AO803" s="115"/>
      <c r="AP803" s="115"/>
      <c r="AQ803" s="115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26">
        <v>45299</v>
      </c>
      <c r="BB803" s="13" t="s">
        <v>164</v>
      </c>
      <c r="BE803" s="114"/>
    </row>
    <row r="804" spans="31:57" x14ac:dyDescent="0.4">
      <c r="AE804" s="115"/>
      <c r="AF804" s="115"/>
      <c r="AG804" s="115"/>
      <c r="AH804" s="115"/>
      <c r="AI804" s="115"/>
      <c r="AJ804" s="122"/>
      <c r="AK804" s="122"/>
      <c r="AL804" s="122"/>
      <c r="AM804" s="115"/>
      <c r="AN804" s="115"/>
      <c r="AO804" s="115"/>
      <c r="AP804" s="115"/>
      <c r="AQ804" s="115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26">
        <v>45299</v>
      </c>
      <c r="BB804" s="13" t="s">
        <v>162</v>
      </c>
      <c r="BE804" s="114"/>
    </row>
    <row r="805" spans="31:57" x14ac:dyDescent="0.4">
      <c r="AE805" s="115"/>
      <c r="AF805" s="115"/>
      <c r="AG805" s="115"/>
      <c r="AH805" s="115"/>
      <c r="AI805" s="115"/>
      <c r="AJ805" s="122"/>
      <c r="AK805" s="122"/>
      <c r="AL805" s="122"/>
      <c r="AM805" s="115"/>
      <c r="AN805" s="115"/>
      <c r="AO805" s="115"/>
      <c r="AP805" s="115"/>
      <c r="AQ805" s="115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26">
        <v>45299</v>
      </c>
      <c r="BB805" s="13" t="s">
        <v>162</v>
      </c>
      <c r="BE805" s="114"/>
    </row>
    <row r="806" spans="31:57" x14ac:dyDescent="0.4">
      <c r="AE806" s="115"/>
      <c r="AF806" s="115"/>
      <c r="AG806" s="115"/>
      <c r="AH806" s="115"/>
      <c r="AI806" s="115"/>
      <c r="AJ806" s="122"/>
      <c r="AK806" s="122"/>
      <c r="AL806" s="122"/>
      <c r="AM806" s="115"/>
      <c r="AN806" s="115"/>
      <c r="AO806" s="115"/>
      <c r="AP806" s="115"/>
      <c r="AQ806" s="115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26">
        <v>45299</v>
      </c>
      <c r="BB806" s="15" t="s">
        <v>162</v>
      </c>
      <c r="BE806" s="114"/>
    </row>
    <row r="807" spans="31:57" x14ac:dyDescent="0.4">
      <c r="AE807" s="115"/>
      <c r="AF807" s="115"/>
      <c r="AG807" s="115"/>
      <c r="AH807" s="115"/>
      <c r="AI807" s="115"/>
      <c r="AJ807" s="122"/>
      <c r="AK807" s="122"/>
      <c r="AL807" s="122"/>
      <c r="AM807" s="115"/>
      <c r="AN807" s="115"/>
      <c r="AO807" s="115"/>
      <c r="AP807" s="115"/>
      <c r="AQ807" s="115"/>
      <c r="AR807" s="115"/>
      <c r="AS807" s="115"/>
      <c r="AT807" s="115"/>
      <c r="AU807" s="115"/>
      <c r="AV807" s="115"/>
      <c r="AW807" s="115"/>
      <c r="AX807" s="115"/>
      <c r="AY807" s="115"/>
      <c r="AZ807" s="115" t="s">
        <v>173</v>
      </c>
      <c r="BA807" s="17">
        <f>SUBTOTAL(3,BA803:BA806)</f>
        <v>4</v>
      </c>
      <c r="BB807" s="13">
        <f>SUBTOTAL(3,BB803:BB806)</f>
        <v>4</v>
      </c>
      <c r="BE807" s="114"/>
    </row>
    <row r="808" spans="31:57" x14ac:dyDescent="0.4">
      <c r="AE808" s="115"/>
      <c r="AF808" s="115"/>
      <c r="AG808" s="115"/>
      <c r="AH808" s="115"/>
      <c r="AI808" s="115"/>
      <c r="AJ808" s="122"/>
      <c r="AK808" s="122"/>
      <c r="AL808" s="122"/>
      <c r="AM808" s="115"/>
      <c r="AN808" s="115"/>
      <c r="AO808" s="115"/>
      <c r="AP808" s="115"/>
      <c r="AQ808" s="115"/>
      <c r="AR808" s="115"/>
      <c r="AS808" s="115"/>
      <c r="AT808" s="115"/>
      <c r="AU808" s="115"/>
      <c r="AV808" s="115"/>
      <c r="AW808" s="115"/>
      <c r="AX808" s="115"/>
      <c r="AY808" s="115"/>
      <c r="AZ808" s="115" t="s">
        <v>145</v>
      </c>
      <c r="BA808" s="17">
        <f>SUBTOTAL(3,BA2:BA806)</f>
        <v>136</v>
      </c>
      <c r="BB808" s="13">
        <f>SUBTOTAL(3,BB2:BB806)</f>
        <v>136</v>
      </c>
      <c r="BE808" s="114"/>
    </row>
    <row r="809" spans="31:57" x14ac:dyDescent="0.4">
      <c r="AE809" s="115"/>
      <c r="AF809" s="115"/>
      <c r="AG809" s="115"/>
      <c r="AH809" s="115"/>
      <c r="AI809" s="115"/>
      <c r="AJ809" s="122"/>
      <c r="AK809" s="122"/>
      <c r="AL809" s="122"/>
      <c r="AM809" s="115"/>
      <c r="AN809" s="115"/>
      <c r="AO809" s="115"/>
      <c r="AP809" s="115"/>
      <c r="AQ809" s="115"/>
      <c r="AR809" s="115"/>
      <c r="AS809" s="115"/>
      <c r="AT809" s="115"/>
      <c r="AU809" s="115"/>
      <c r="AV809" s="115"/>
      <c r="AW809" s="115"/>
      <c r="AX809" s="115" t="s">
        <v>145</v>
      </c>
      <c r="AY809" s="115"/>
      <c r="AZ809" s="115"/>
      <c r="BA809" s="26"/>
      <c r="BB809" s="13"/>
      <c r="BE809" s="114"/>
    </row>
    <row r="810" spans="31:57" x14ac:dyDescent="0.4">
      <c r="AE810" s="115"/>
      <c r="AF810" s="115"/>
      <c r="AG810" s="115"/>
      <c r="AH810" s="115"/>
      <c r="AI810" s="115"/>
      <c r="AJ810" s="122"/>
      <c r="AK810" s="122"/>
      <c r="AL810" s="122"/>
      <c r="AM810" s="115"/>
      <c r="AN810" s="115"/>
      <c r="AO810" s="115"/>
      <c r="AP810" s="115"/>
      <c r="AQ810" s="115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17"/>
      <c r="BB810" s="13"/>
      <c r="BE810" s="114"/>
    </row>
    <row r="811" spans="31:57" x14ac:dyDescent="0.4">
      <c r="AE811" s="115"/>
      <c r="AF811" s="115"/>
      <c r="AG811" s="115"/>
      <c r="AH811" s="115"/>
      <c r="AI811" s="115"/>
      <c r="AJ811" s="122"/>
      <c r="AK811" s="122"/>
      <c r="AL811" s="122"/>
      <c r="AM811" s="115"/>
      <c r="AN811" s="115"/>
      <c r="AO811" s="115"/>
      <c r="AP811" s="115"/>
      <c r="AQ811" s="115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26"/>
      <c r="BB811" s="13"/>
      <c r="BE811" s="114"/>
    </row>
    <row r="812" spans="31:57" x14ac:dyDescent="0.4">
      <c r="AE812" s="115"/>
      <c r="AF812" s="115"/>
      <c r="AG812" s="115"/>
      <c r="AH812" s="115"/>
      <c r="AI812" s="115"/>
      <c r="AJ812" s="122"/>
      <c r="AK812" s="122"/>
      <c r="AL812" s="122"/>
      <c r="AM812" s="115"/>
      <c r="AN812" s="115"/>
      <c r="AO812" s="115"/>
      <c r="AP812" s="115"/>
      <c r="AQ812" s="115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17"/>
      <c r="BB812" s="13"/>
      <c r="BE812" s="114"/>
    </row>
    <row r="813" spans="31:57" x14ac:dyDescent="0.4">
      <c r="AE813" s="115"/>
      <c r="AF813" s="115"/>
      <c r="AG813" s="115"/>
      <c r="AH813" s="115"/>
      <c r="AI813" s="115"/>
      <c r="AJ813" s="122"/>
      <c r="AK813" s="122"/>
      <c r="AL813" s="122"/>
      <c r="AM813" s="115"/>
      <c r="AN813" s="115"/>
      <c r="AO813" s="115"/>
      <c r="AP813" s="115"/>
      <c r="AQ813" s="115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26"/>
      <c r="BB813" s="13"/>
      <c r="BE813" s="114"/>
    </row>
    <row r="814" spans="31:57" x14ac:dyDescent="0.4">
      <c r="AE814" s="115"/>
      <c r="AF814" s="115"/>
      <c r="AG814" s="115"/>
      <c r="AH814" s="115"/>
      <c r="AI814" s="115"/>
      <c r="AJ814" s="122"/>
      <c r="AK814" s="122"/>
      <c r="AL814" s="122"/>
      <c r="AM814" s="115"/>
      <c r="AN814" s="115"/>
      <c r="AO814" s="115"/>
      <c r="AP814" s="115"/>
      <c r="AQ814" s="115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26"/>
      <c r="BB814" s="13"/>
      <c r="BE814" s="114"/>
    </row>
    <row r="815" spans="31:57" x14ac:dyDescent="0.4">
      <c r="AE815" s="115"/>
      <c r="AF815" s="115"/>
      <c r="AG815" s="115"/>
      <c r="AH815" s="115"/>
      <c r="AI815" s="115"/>
      <c r="AJ815" s="122"/>
      <c r="AK815" s="122"/>
      <c r="AL815" s="122"/>
      <c r="AM815" s="115"/>
      <c r="AN815" s="115"/>
      <c r="AO815" s="115"/>
      <c r="AP815" s="115"/>
      <c r="AQ815" s="115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26"/>
      <c r="BB815" s="13"/>
      <c r="BE815" s="114"/>
    </row>
    <row r="816" spans="31:57" x14ac:dyDescent="0.4">
      <c r="AE816" s="115"/>
      <c r="AF816" s="115"/>
      <c r="AG816" s="115"/>
      <c r="AH816" s="115"/>
      <c r="AI816" s="115"/>
      <c r="AJ816" s="122"/>
      <c r="AK816" s="122"/>
      <c r="AL816" s="122"/>
      <c r="AM816" s="115"/>
      <c r="AN816" s="115"/>
      <c r="AO816" s="115"/>
      <c r="AP816" s="115"/>
      <c r="AQ816" s="115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17"/>
      <c r="BB816" s="13"/>
      <c r="BE816" s="114"/>
    </row>
    <row r="817" spans="31:57" x14ac:dyDescent="0.4">
      <c r="AE817" s="115"/>
      <c r="AF817" s="115"/>
      <c r="AG817" s="115"/>
      <c r="AH817" s="115"/>
      <c r="AI817" s="115"/>
      <c r="AJ817" s="122"/>
      <c r="AK817" s="122"/>
      <c r="AL817" s="122"/>
      <c r="AM817" s="115"/>
      <c r="AN817" s="115"/>
      <c r="AO817" s="115"/>
      <c r="AP817" s="115"/>
      <c r="AQ817" s="115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26"/>
      <c r="BB817" s="13"/>
      <c r="BE817" s="114"/>
    </row>
    <row r="818" spans="31:57" x14ac:dyDescent="0.4">
      <c r="AE818" s="115"/>
      <c r="AF818" s="115"/>
      <c r="AG818" s="115"/>
      <c r="AH818" s="115"/>
      <c r="AI818" s="115"/>
      <c r="AJ818" s="122"/>
      <c r="AK818" s="122"/>
      <c r="AL818" s="122"/>
      <c r="AM818" s="115"/>
      <c r="AN818" s="115"/>
      <c r="AO818" s="115"/>
      <c r="AP818" s="115"/>
      <c r="AQ818" s="115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17"/>
      <c r="BB818" s="13"/>
      <c r="BE818" s="114"/>
    </row>
    <row r="819" spans="31:57" x14ac:dyDescent="0.4">
      <c r="AE819" s="115"/>
      <c r="AF819" s="115"/>
      <c r="AG819" s="115"/>
      <c r="AH819" s="115"/>
      <c r="AI819" s="115"/>
      <c r="AJ819" s="122"/>
      <c r="AK819" s="122"/>
      <c r="AL819" s="122"/>
      <c r="AM819" s="115"/>
      <c r="AN819" s="115"/>
      <c r="AO819" s="115"/>
      <c r="AP819" s="115"/>
      <c r="AQ819" s="115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26"/>
      <c r="BB819" s="13"/>
      <c r="BE819" s="114"/>
    </row>
    <row r="820" spans="31:57" x14ac:dyDescent="0.4">
      <c r="AE820" s="115"/>
      <c r="AF820" s="115"/>
      <c r="AG820" s="115"/>
      <c r="AH820" s="115"/>
      <c r="AI820" s="115"/>
      <c r="AJ820" s="122"/>
      <c r="AK820" s="122"/>
      <c r="AL820" s="122"/>
      <c r="AM820" s="115"/>
      <c r="AN820" s="115"/>
      <c r="AO820" s="115"/>
      <c r="AP820" s="115"/>
      <c r="AQ820" s="115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17"/>
      <c r="BB820" s="13"/>
      <c r="BE820" s="114"/>
    </row>
    <row r="821" spans="31:57" x14ac:dyDescent="0.4">
      <c r="AE821" s="115"/>
      <c r="AF821" s="115"/>
      <c r="AG821" s="115"/>
      <c r="AH821" s="115"/>
      <c r="AI821" s="115"/>
      <c r="AJ821" s="122"/>
      <c r="AK821" s="122"/>
      <c r="AL821" s="122"/>
      <c r="AM821" s="115"/>
      <c r="AN821" s="115"/>
      <c r="AO821" s="115"/>
      <c r="AP821" s="115"/>
      <c r="AQ821" s="115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17"/>
      <c r="BB821" s="13"/>
      <c r="BE821" s="114"/>
    </row>
    <row r="822" spans="31:57" x14ac:dyDescent="0.4">
      <c r="AE822" s="115"/>
      <c r="AF822" s="115"/>
      <c r="AG822" s="115"/>
      <c r="AH822" s="115"/>
      <c r="AI822" s="115"/>
      <c r="AJ822" s="122"/>
      <c r="AK822" s="122"/>
      <c r="AL822" s="122"/>
      <c r="AM822" s="115"/>
      <c r="AN822" s="115"/>
      <c r="AO822" s="115"/>
      <c r="AP822" s="115"/>
      <c r="AQ822" s="115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17"/>
      <c r="BB822" s="13"/>
      <c r="BE822" s="114"/>
    </row>
    <row r="823" spans="31:57" x14ac:dyDescent="0.4">
      <c r="AE823" s="115"/>
      <c r="AF823" s="115"/>
      <c r="AG823" s="115"/>
      <c r="AH823" s="115"/>
      <c r="AI823" s="115"/>
      <c r="AJ823" s="122"/>
      <c r="AK823" s="122"/>
      <c r="AL823" s="122"/>
      <c r="AM823" s="115"/>
      <c r="AN823" s="115"/>
      <c r="AO823" s="115"/>
      <c r="AP823" s="115"/>
      <c r="AQ823" s="115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26"/>
      <c r="BB823" s="13"/>
      <c r="BE823" s="114"/>
    </row>
    <row r="824" spans="31:57" x14ac:dyDescent="0.4">
      <c r="AE824" s="115"/>
      <c r="AF824" s="115"/>
      <c r="AG824" s="115"/>
      <c r="AH824" s="115"/>
      <c r="AI824" s="115"/>
      <c r="AJ824" s="122"/>
      <c r="AK824" s="122"/>
      <c r="AL824" s="122"/>
      <c r="AM824" s="115"/>
      <c r="AN824" s="115"/>
      <c r="AO824" s="115"/>
      <c r="AP824" s="115"/>
      <c r="AQ824" s="115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17"/>
      <c r="BB824" s="13"/>
      <c r="BE824" s="114"/>
    </row>
    <row r="825" spans="31:57" x14ac:dyDescent="0.4">
      <c r="AE825" s="115"/>
      <c r="AF825" s="115"/>
      <c r="AG825" s="115"/>
      <c r="AH825" s="115"/>
      <c r="AI825" s="115"/>
      <c r="AJ825" s="122"/>
      <c r="AK825" s="122"/>
      <c r="AL825" s="122"/>
      <c r="AM825" s="115"/>
      <c r="AN825" s="115"/>
      <c r="AO825" s="115"/>
      <c r="AP825" s="115"/>
      <c r="AQ825" s="115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26"/>
      <c r="BB825" s="13"/>
      <c r="BE825" s="114"/>
    </row>
    <row r="826" spans="31:57" x14ac:dyDescent="0.4">
      <c r="AE826" s="115"/>
      <c r="AF826" s="115"/>
      <c r="AG826" s="115"/>
      <c r="AH826" s="115"/>
      <c r="AI826" s="115"/>
      <c r="AJ826" s="122"/>
      <c r="AK826" s="122"/>
      <c r="AL826" s="122"/>
      <c r="AM826" s="115"/>
      <c r="AN826" s="115"/>
      <c r="AO826" s="115"/>
      <c r="AP826" s="115"/>
      <c r="AQ826" s="115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17"/>
      <c r="BB826" s="13"/>
      <c r="BE826" s="114"/>
    </row>
    <row r="827" spans="31:57" x14ac:dyDescent="0.4">
      <c r="AE827" s="115"/>
      <c r="AF827" s="115"/>
      <c r="AG827" s="115"/>
      <c r="AH827" s="115"/>
      <c r="AI827" s="115"/>
      <c r="AJ827" s="122"/>
      <c r="AK827" s="122"/>
      <c r="AL827" s="122"/>
      <c r="AM827" s="115"/>
      <c r="AN827" s="115"/>
      <c r="AO827" s="115"/>
      <c r="AP827" s="115"/>
      <c r="AQ827" s="115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26"/>
      <c r="BB827" s="25"/>
      <c r="BE827" s="114"/>
    </row>
    <row r="828" spans="31:57" x14ac:dyDescent="0.4">
      <c r="AE828" s="115"/>
      <c r="AF828" s="115"/>
      <c r="AG828" s="115"/>
      <c r="AH828" s="115"/>
      <c r="AI828" s="115"/>
      <c r="AJ828" s="122"/>
      <c r="AK828" s="122"/>
      <c r="AL828" s="122"/>
      <c r="AM828" s="115"/>
      <c r="AN828" s="115"/>
      <c r="AO828" s="115"/>
      <c r="AP828" s="115"/>
      <c r="AQ828" s="115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17"/>
      <c r="BB828" s="13"/>
      <c r="BE828" s="114"/>
    </row>
    <row r="829" spans="31:57" x14ac:dyDescent="0.4">
      <c r="AE829" s="115"/>
      <c r="AF829" s="115"/>
      <c r="AG829" s="115"/>
      <c r="AH829" s="115"/>
      <c r="AI829" s="115"/>
      <c r="AJ829" s="122"/>
      <c r="AK829" s="122"/>
      <c r="AL829" s="122"/>
      <c r="AM829" s="115"/>
      <c r="AN829" s="115"/>
      <c r="AO829" s="115"/>
      <c r="AP829" s="115"/>
      <c r="AQ829" s="115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17"/>
      <c r="BB829" s="13"/>
      <c r="BE829" s="114"/>
    </row>
    <row r="830" spans="31:57" x14ac:dyDescent="0.4">
      <c r="AE830" s="115"/>
      <c r="AF830" s="115"/>
      <c r="AG830" s="115"/>
      <c r="AH830" s="115"/>
      <c r="AI830" s="115"/>
      <c r="AJ830" s="122"/>
      <c r="AK830" s="122"/>
      <c r="AL830" s="122"/>
      <c r="AM830" s="115"/>
      <c r="AN830" s="115"/>
      <c r="AO830" s="115"/>
      <c r="AP830" s="115"/>
      <c r="AQ830" s="115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26"/>
      <c r="BB830" s="15"/>
      <c r="BE830" s="114"/>
    </row>
    <row r="831" spans="31:57" x14ac:dyDescent="0.4">
      <c r="AE831" s="115"/>
      <c r="AF831" s="115"/>
      <c r="AG831" s="115"/>
      <c r="AH831" s="115"/>
      <c r="AI831" s="115"/>
      <c r="AJ831" s="122"/>
      <c r="AK831" s="122"/>
      <c r="AL831" s="122"/>
      <c r="AM831" s="115"/>
      <c r="AN831" s="115"/>
      <c r="AO831" s="115"/>
      <c r="AP831" s="115"/>
      <c r="AQ831" s="115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26"/>
      <c r="BB831" s="15"/>
      <c r="BE831" s="114"/>
    </row>
    <row r="832" spans="31:57" x14ac:dyDescent="0.4">
      <c r="AE832" s="115"/>
      <c r="AF832" s="115"/>
      <c r="AG832" s="115"/>
      <c r="AH832" s="115"/>
      <c r="AI832" s="115"/>
      <c r="AJ832" s="122"/>
      <c r="AK832" s="122"/>
      <c r="AL832" s="122"/>
      <c r="AM832" s="115"/>
      <c r="AN832" s="115"/>
      <c r="AO832" s="115"/>
      <c r="AP832" s="115"/>
      <c r="AQ832" s="115"/>
      <c r="AR832" s="115"/>
      <c r="AS832" s="115"/>
      <c r="AT832" s="115"/>
      <c r="AU832" s="115"/>
      <c r="AV832" s="115"/>
      <c r="AW832" s="115"/>
      <c r="AX832" s="115"/>
      <c r="AY832" s="115"/>
      <c r="AZ832" s="115"/>
      <c r="BA832" s="26"/>
      <c r="BB832" s="15"/>
      <c r="BE832" s="114"/>
    </row>
    <row r="833" spans="31:57" x14ac:dyDescent="0.4">
      <c r="AE833" s="115"/>
      <c r="AF833" s="115"/>
      <c r="AG833" s="115"/>
      <c r="AH833" s="115"/>
      <c r="AI833" s="115"/>
      <c r="AJ833" s="122"/>
      <c r="AK833" s="122"/>
      <c r="AL833" s="122"/>
      <c r="AM833" s="115"/>
      <c r="AN833" s="115"/>
      <c r="AO833" s="115"/>
      <c r="AP833" s="115"/>
      <c r="AQ833" s="115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26"/>
      <c r="BB833" s="15"/>
      <c r="BE833" s="114"/>
    </row>
    <row r="834" spans="31:57" x14ac:dyDescent="0.4">
      <c r="AE834" s="115"/>
      <c r="AF834" s="115"/>
      <c r="AG834" s="115"/>
      <c r="AH834" s="115"/>
      <c r="AI834" s="115"/>
      <c r="AJ834" s="122"/>
      <c r="AK834" s="122"/>
      <c r="AL834" s="122"/>
      <c r="AM834" s="115"/>
      <c r="AN834" s="115"/>
      <c r="AO834" s="115"/>
      <c r="AP834" s="115"/>
      <c r="AQ834" s="115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26"/>
      <c r="BB834" s="15"/>
      <c r="BE834" s="114"/>
    </row>
    <row r="835" spans="31:57" x14ac:dyDescent="0.4">
      <c r="AE835" s="115"/>
      <c r="AF835" s="115"/>
      <c r="AG835" s="115"/>
      <c r="AH835" s="115"/>
      <c r="AI835" s="115"/>
      <c r="AJ835" s="122"/>
      <c r="AK835" s="122"/>
      <c r="AL835" s="122"/>
      <c r="AM835" s="115"/>
      <c r="AN835" s="115"/>
      <c r="AO835" s="115"/>
      <c r="AP835" s="115"/>
      <c r="AQ835" s="115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26"/>
      <c r="BB835" s="15"/>
      <c r="BE835" s="114"/>
    </row>
    <row r="836" spans="31:57" x14ac:dyDescent="0.4">
      <c r="AE836" s="115"/>
      <c r="AF836" s="115"/>
      <c r="AG836" s="115"/>
      <c r="AH836" s="115"/>
      <c r="AI836" s="115"/>
      <c r="AJ836" s="122"/>
      <c r="AK836" s="122"/>
      <c r="AL836" s="122"/>
      <c r="AM836" s="115"/>
      <c r="AN836" s="115"/>
      <c r="AO836" s="115"/>
      <c r="AP836" s="115"/>
      <c r="AQ836" s="115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26"/>
      <c r="BB836" s="15"/>
      <c r="BE836" s="114"/>
    </row>
    <row r="837" spans="31:57" x14ac:dyDescent="0.4">
      <c r="AE837" s="115"/>
      <c r="AF837" s="115"/>
      <c r="AG837" s="115"/>
      <c r="AH837" s="115"/>
      <c r="AI837" s="115"/>
      <c r="AJ837" s="122"/>
      <c r="AK837" s="122"/>
      <c r="AL837" s="122"/>
      <c r="AM837" s="115"/>
      <c r="AN837" s="115"/>
      <c r="AO837" s="115"/>
      <c r="AP837" s="115"/>
      <c r="AQ837" s="115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26"/>
      <c r="BB837" s="15"/>
      <c r="BE837" s="114"/>
    </row>
    <row r="838" spans="31:57" x14ac:dyDescent="0.4">
      <c r="AE838" s="115"/>
      <c r="AF838" s="115"/>
      <c r="AG838" s="115"/>
      <c r="AH838" s="115"/>
      <c r="AI838" s="115"/>
      <c r="AJ838" s="122"/>
      <c r="AK838" s="122"/>
      <c r="AL838" s="122"/>
      <c r="AM838" s="115"/>
      <c r="AN838" s="115"/>
      <c r="AO838" s="115"/>
      <c r="AP838" s="115"/>
      <c r="AQ838" s="115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17"/>
      <c r="BB838" s="15"/>
      <c r="BE838" s="114"/>
    </row>
    <row r="839" spans="31:57" x14ac:dyDescent="0.4">
      <c r="AE839" s="115"/>
      <c r="AF839" s="115"/>
      <c r="AG839" s="115"/>
      <c r="AH839" s="115"/>
      <c r="AI839" s="115"/>
      <c r="AJ839" s="122"/>
      <c r="AK839" s="122"/>
      <c r="AL839" s="122"/>
      <c r="AM839" s="115"/>
      <c r="AN839" s="115"/>
      <c r="AO839" s="115"/>
      <c r="AP839" s="115"/>
      <c r="AQ839" s="115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26"/>
      <c r="BB839" s="15"/>
      <c r="BE839" s="114"/>
    </row>
    <row r="840" spans="31:57" x14ac:dyDescent="0.4">
      <c r="AE840" s="115"/>
      <c r="AF840" s="115"/>
      <c r="AG840" s="115"/>
      <c r="AH840" s="115"/>
      <c r="AI840" s="115"/>
      <c r="AJ840" s="122"/>
      <c r="AK840" s="122"/>
      <c r="AL840" s="122"/>
      <c r="AM840" s="115"/>
      <c r="AN840" s="115"/>
      <c r="AO840" s="115"/>
      <c r="AP840" s="115"/>
      <c r="AQ840" s="115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26"/>
      <c r="BB840" s="13"/>
      <c r="BE840" s="114"/>
    </row>
    <row r="841" spans="31:57" x14ac:dyDescent="0.4">
      <c r="AE841" s="115"/>
      <c r="AF841" s="115"/>
      <c r="AG841" s="115"/>
      <c r="AH841" s="115"/>
      <c r="AI841" s="115"/>
      <c r="AJ841" s="122"/>
      <c r="AK841" s="122"/>
      <c r="AL841" s="122"/>
      <c r="AM841" s="115"/>
      <c r="AN841" s="115"/>
      <c r="AO841" s="115"/>
      <c r="AP841" s="115"/>
      <c r="AQ841" s="115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26"/>
      <c r="BB841" s="13"/>
      <c r="BE841" s="114"/>
    </row>
    <row r="842" spans="31:57" x14ac:dyDescent="0.4">
      <c r="AE842" s="115"/>
      <c r="AF842" s="115"/>
      <c r="AG842" s="115"/>
      <c r="AH842" s="115"/>
      <c r="AI842" s="115"/>
      <c r="AJ842" s="122"/>
      <c r="AK842" s="122"/>
      <c r="AL842" s="122"/>
      <c r="AM842" s="115"/>
      <c r="AN842" s="115"/>
      <c r="AO842" s="115"/>
      <c r="AP842" s="115"/>
      <c r="AQ842" s="115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26"/>
      <c r="BB842" s="13"/>
      <c r="BE842" s="114"/>
    </row>
    <row r="843" spans="31:57" x14ac:dyDescent="0.4">
      <c r="AE843" s="115"/>
      <c r="AF843" s="115"/>
      <c r="AG843" s="115"/>
      <c r="AH843" s="115"/>
      <c r="AI843" s="115"/>
      <c r="AJ843" s="122"/>
      <c r="AK843" s="122"/>
      <c r="AL843" s="122"/>
      <c r="AM843" s="115"/>
      <c r="AN843" s="115"/>
      <c r="AO843" s="115"/>
      <c r="AP843" s="115"/>
      <c r="AQ843" s="115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26"/>
      <c r="BB843" s="13"/>
      <c r="BE843" s="114"/>
    </row>
    <row r="844" spans="31:57" x14ac:dyDescent="0.4">
      <c r="AE844" s="115"/>
      <c r="AF844" s="115"/>
      <c r="AG844" s="115"/>
      <c r="AH844" s="115"/>
      <c r="AI844" s="115"/>
      <c r="AJ844" s="122"/>
      <c r="AK844" s="122"/>
      <c r="AL844" s="122"/>
      <c r="AM844" s="115"/>
      <c r="AN844" s="115"/>
      <c r="AO844" s="115"/>
      <c r="AP844" s="115"/>
      <c r="AQ844" s="115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26"/>
      <c r="BB844" s="13"/>
      <c r="BE844" s="114"/>
    </row>
    <row r="845" spans="31:57" x14ac:dyDescent="0.4">
      <c r="AE845" s="115"/>
      <c r="AF845" s="115"/>
      <c r="AG845" s="115"/>
      <c r="AH845" s="115"/>
      <c r="AI845" s="115"/>
      <c r="AJ845" s="122"/>
      <c r="AK845" s="122"/>
      <c r="AL845" s="122"/>
      <c r="AM845" s="115"/>
      <c r="AN845" s="115"/>
      <c r="AO845" s="115"/>
      <c r="AP845" s="115"/>
      <c r="AQ845" s="115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26"/>
      <c r="BB845" s="13"/>
      <c r="BE845" s="114"/>
    </row>
    <row r="846" spans="31:57" x14ac:dyDescent="0.4">
      <c r="AE846" s="115"/>
      <c r="AF846" s="115"/>
      <c r="AG846" s="115"/>
      <c r="AH846" s="115"/>
      <c r="AI846" s="115"/>
      <c r="AJ846" s="122"/>
      <c r="AK846" s="122"/>
      <c r="AL846" s="122"/>
      <c r="AM846" s="115"/>
      <c r="AN846" s="115"/>
      <c r="AO846" s="115"/>
      <c r="AP846" s="115"/>
      <c r="AQ846" s="115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26"/>
      <c r="BB846" s="13"/>
      <c r="BE846" s="114"/>
    </row>
    <row r="847" spans="31:57" x14ac:dyDescent="0.4">
      <c r="AE847" s="115"/>
      <c r="AF847" s="115"/>
      <c r="AG847" s="115"/>
      <c r="AH847" s="115"/>
      <c r="AI847" s="115"/>
      <c r="AJ847" s="122"/>
      <c r="AK847" s="122"/>
      <c r="AL847" s="122"/>
      <c r="AM847" s="115"/>
      <c r="AN847" s="115"/>
      <c r="AO847" s="115"/>
      <c r="AP847" s="115"/>
      <c r="AQ847" s="115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26"/>
      <c r="BB847" s="13"/>
      <c r="BE847" s="114"/>
    </row>
    <row r="848" spans="31:57" x14ac:dyDescent="0.4">
      <c r="AE848" s="115"/>
      <c r="AF848" s="115"/>
      <c r="AG848" s="115"/>
      <c r="AH848" s="115"/>
      <c r="AI848" s="115"/>
      <c r="AJ848" s="122"/>
      <c r="AK848" s="122"/>
      <c r="AL848" s="122"/>
      <c r="AM848" s="115"/>
      <c r="AN848" s="115"/>
      <c r="AO848" s="115"/>
      <c r="AP848" s="115"/>
      <c r="AQ848" s="115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26"/>
      <c r="BB848" s="13"/>
      <c r="BE848" s="114"/>
    </row>
    <row r="849" spans="30:57" x14ac:dyDescent="0.4">
      <c r="AE849" s="115"/>
      <c r="AF849" s="115"/>
      <c r="AG849" s="115"/>
      <c r="AH849" s="115"/>
      <c r="AI849" s="115"/>
      <c r="AJ849" s="122"/>
      <c r="AK849" s="122"/>
      <c r="AL849" s="122"/>
      <c r="AM849" s="115"/>
      <c r="AN849" s="115"/>
      <c r="AO849" s="115"/>
      <c r="AP849" s="115"/>
      <c r="AQ849" s="115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26"/>
      <c r="BB849" s="13"/>
      <c r="BE849" s="114"/>
    </row>
    <row r="850" spans="30:57" x14ac:dyDescent="0.4">
      <c r="AE850" s="115"/>
      <c r="AF850" s="115"/>
      <c r="AG850" s="115"/>
      <c r="AH850" s="115"/>
      <c r="AI850" s="115"/>
      <c r="AJ850" s="122"/>
      <c r="AK850" s="122"/>
      <c r="AL850" s="122"/>
      <c r="AM850" s="115"/>
      <c r="AN850" s="115"/>
      <c r="AO850" s="115"/>
      <c r="AP850" s="115"/>
      <c r="AQ850" s="115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26"/>
      <c r="BB850" s="13"/>
      <c r="BE850" s="114"/>
    </row>
    <row r="851" spans="30:57" x14ac:dyDescent="0.4">
      <c r="AE851" s="115"/>
      <c r="AF851" s="115"/>
      <c r="AG851" s="115"/>
      <c r="AH851" s="115"/>
      <c r="AI851" s="115"/>
      <c r="AJ851" s="122"/>
      <c r="AK851" s="122"/>
      <c r="AL851" s="122"/>
      <c r="AM851" s="115"/>
      <c r="AN851" s="115"/>
      <c r="AO851" s="115"/>
      <c r="AP851" s="115"/>
      <c r="AQ851" s="115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17"/>
      <c r="BB851" s="13"/>
      <c r="BE851" s="114"/>
    </row>
    <row r="852" spans="30:57" x14ac:dyDescent="0.4">
      <c r="AE852" s="115"/>
      <c r="AF852" s="115"/>
      <c r="AG852" s="115"/>
      <c r="AH852" s="115"/>
      <c r="AI852" s="115"/>
      <c r="AJ852" s="122"/>
      <c r="AK852" s="122"/>
      <c r="AL852" s="122"/>
      <c r="AM852" s="115"/>
      <c r="AN852" s="115"/>
      <c r="AO852" s="115"/>
      <c r="AP852" s="115"/>
      <c r="AQ852" s="115"/>
      <c r="AR852" s="115"/>
      <c r="AS852" s="115"/>
      <c r="AT852" s="115"/>
      <c r="AU852" s="115"/>
      <c r="AV852" s="115"/>
      <c r="AW852" s="115"/>
      <c r="AX852" s="115"/>
      <c r="AY852" s="115"/>
      <c r="AZ852" s="115"/>
      <c r="BA852" s="26"/>
      <c r="BB852" s="13"/>
      <c r="BE852" s="114"/>
    </row>
    <row r="853" spans="30:57" x14ac:dyDescent="0.4">
      <c r="AE853" s="115"/>
      <c r="AF853" s="115"/>
      <c r="AG853" s="115"/>
      <c r="AH853" s="115"/>
      <c r="AI853" s="115"/>
      <c r="AJ853" s="122"/>
      <c r="AK853" s="122"/>
      <c r="AL853" s="122"/>
      <c r="AM853" s="115"/>
      <c r="AN853" s="115"/>
      <c r="AO853" s="115"/>
      <c r="AP853" s="115"/>
      <c r="AQ853" s="115"/>
      <c r="AR853" s="115"/>
      <c r="AS853" s="115"/>
      <c r="AT853" s="115"/>
      <c r="AU853" s="115"/>
      <c r="AV853" s="115"/>
      <c r="AW853" s="115"/>
      <c r="AX853" s="115"/>
      <c r="AY853" s="115"/>
      <c r="AZ853" s="115"/>
      <c r="BA853" s="26"/>
      <c r="BB853" s="13"/>
      <c r="BE853" s="114"/>
    </row>
    <row r="854" spans="30:57" x14ac:dyDescent="0.4">
      <c r="AE854" s="115"/>
      <c r="AF854" s="115"/>
      <c r="AG854" s="115"/>
      <c r="AH854" s="115"/>
      <c r="AI854" s="115"/>
      <c r="AJ854" s="122"/>
      <c r="AK854" s="122"/>
      <c r="AL854" s="122"/>
      <c r="AM854" s="115"/>
      <c r="AN854" s="115"/>
      <c r="AO854" s="115"/>
      <c r="AP854" s="115"/>
      <c r="AQ854" s="115"/>
      <c r="AR854" s="115"/>
      <c r="AS854" s="115"/>
      <c r="AT854" s="115"/>
      <c r="AU854" s="115"/>
      <c r="AV854" s="115"/>
      <c r="AW854" s="115"/>
      <c r="AX854" s="115"/>
      <c r="AY854" s="115"/>
      <c r="AZ854" s="115"/>
      <c r="BA854" s="26"/>
      <c r="BB854" s="13"/>
      <c r="BE854" s="114"/>
    </row>
    <row r="855" spans="30:57" x14ac:dyDescent="0.4">
      <c r="AE855" s="115"/>
      <c r="AF855" s="115"/>
      <c r="AG855" s="115"/>
      <c r="AH855" s="115"/>
      <c r="AI855" s="115"/>
      <c r="AJ855" s="122"/>
      <c r="AK855" s="122"/>
      <c r="AL855" s="122"/>
      <c r="AM855" s="115"/>
      <c r="AN855" s="115"/>
      <c r="AO855" s="115"/>
      <c r="AP855" s="115"/>
      <c r="AQ855" s="115"/>
      <c r="AR855" s="115"/>
      <c r="AS855" s="115"/>
      <c r="AT855" s="115"/>
      <c r="AU855" s="115"/>
      <c r="AV855" s="115"/>
      <c r="AW855" s="115"/>
      <c r="AX855" s="115"/>
      <c r="AY855" s="115"/>
      <c r="AZ855" s="115"/>
      <c r="BA855" s="17"/>
      <c r="BB855" s="13"/>
      <c r="BE855" s="114"/>
    </row>
    <row r="856" spans="30:57" x14ac:dyDescent="0.4">
      <c r="AE856" s="115"/>
      <c r="AF856" s="115"/>
      <c r="AG856" s="115"/>
      <c r="AH856" s="115"/>
      <c r="AI856" s="115"/>
      <c r="AJ856" s="122"/>
      <c r="AK856" s="122"/>
      <c r="AL856" s="122"/>
      <c r="AM856" s="115"/>
      <c r="AN856" s="115"/>
      <c r="AO856" s="115"/>
      <c r="AP856" s="115"/>
      <c r="AQ856" s="115"/>
      <c r="AR856" s="115"/>
      <c r="AS856" s="115"/>
      <c r="AT856" s="115"/>
      <c r="AU856" s="115"/>
      <c r="AV856" s="115"/>
      <c r="AW856" s="115"/>
      <c r="AX856" s="115"/>
      <c r="AY856" s="115"/>
      <c r="AZ856" s="115"/>
      <c r="BA856" s="26"/>
      <c r="BB856" s="13"/>
      <c r="BE856" s="114"/>
    </row>
    <row r="857" spans="30:57" x14ac:dyDescent="0.4">
      <c r="AE857" s="115"/>
      <c r="AF857" s="115"/>
      <c r="AG857" s="115"/>
      <c r="AH857" s="115"/>
      <c r="AI857" s="115"/>
      <c r="AJ857" s="122"/>
      <c r="AK857" s="122"/>
      <c r="AL857" s="122"/>
      <c r="AM857" s="115"/>
      <c r="AN857" s="115"/>
      <c r="AO857" s="115"/>
      <c r="AP857" s="115"/>
      <c r="AQ857" s="115"/>
      <c r="AR857" s="115"/>
      <c r="AS857" s="115"/>
      <c r="AT857" s="115"/>
      <c r="AU857" s="115"/>
      <c r="AV857" s="115"/>
      <c r="AW857" s="115"/>
      <c r="AX857" s="115"/>
      <c r="AY857" s="115"/>
      <c r="AZ857" s="115"/>
      <c r="BA857" s="17"/>
      <c r="BB857" s="13"/>
      <c r="BE857" s="114"/>
    </row>
    <row r="858" spans="30:57" x14ac:dyDescent="0.4">
      <c r="AE858" s="115"/>
      <c r="AF858" s="115"/>
      <c r="AG858" s="115"/>
      <c r="AH858" s="115"/>
      <c r="AI858" s="115"/>
      <c r="AJ858" s="122"/>
      <c r="AK858" s="122"/>
      <c r="AL858" s="122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26"/>
      <c r="BB858" s="13"/>
      <c r="BE858" s="114"/>
    </row>
    <row r="859" spans="30:57" x14ac:dyDescent="0.4">
      <c r="AE859" s="115"/>
      <c r="AF859" s="115"/>
      <c r="AG859" s="115"/>
      <c r="AH859" s="115"/>
      <c r="AI859" s="115"/>
      <c r="AJ859" s="122"/>
      <c r="AK859" s="122"/>
      <c r="AL859" s="122"/>
      <c r="AM859" s="115"/>
      <c r="AN859" s="115"/>
      <c r="AO859" s="115"/>
      <c r="AP859" s="115"/>
      <c r="AQ859" s="115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26"/>
      <c r="BB859" s="15"/>
      <c r="BE859" s="114"/>
    </row>
    <row r="860" spans="30:57" x14ac:dyDescent="0.4">
      <c r="AE860" s="115"/>
      <c r="AF860" s="115"/>
      <c r="AG860" s="115"/>
      <c r="AH860" s="115"/>
      <c r="AI860" s="115"/>
      <c r="AJ860" s="122"/>
      <c r="AK860" s="122"/>
      <c r="AL860" s="122"/>
      <c r="AM860" s="115"/>
      <c r="AN860" s="115"/>
      <c r="AO860" s="115"/>
      <c r="AP860" s="115"/>
      <c r="AQ860" s="115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17"/>
      <c r="BB860" s="15"/>
      <c r="BE860" s="114"/>
    </row>
    <row r="861" spans="30:57" x14ac:dyDescent="0.4">
      <c r="AE861" s="115"/>
      <c r="AF861" s="115"/>
      <c r="AG861" s="115"/>
      <c r="AH861" s="115"/>
      <c r="AI861" s="115"/>
      <c r="AJ861" s="122"/>
      <c r="AK861" s="122"/>
      <c r="AL861" s="122"/>
      <c r="AM861" s="115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7"/>
      <c r="BB861" s="15"/>
      <c r="BE861" s="114"/>
    </row>
    <row r="862" spans="30:57" x14ac:dyDescent="0.4">
      <c r="AD862" s="115"/>
      <c r="AE862" s="115"/>
      <c r="AF862" s="115"/>
      <c r="AG862" s="115"/>
      <c r="AH862" s="115"/>
      <c r="AI862" s="115"/>
      <c r="AJ862" s="122"/>
      <c r="AK862" s="122"/>
      <c r="AL862" s="122"/>
      <c r="AM862" s="115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26"/>
      <c r="BB862" s="15"/>
      <c r="BE862" s="114"/>
    </row>
    <row r="863" spans="30:57" x14ac:dyDescent="0.4">
      <c r="AD863" s="115"/>
      <c r="AE863" s="115"/>
      <c r="AF863" s="115"/>
      <c r="AG863" s="115"/>
      <c r="AH863" s="115"/>
      <c r="AI863" s="115"/>
      <c r="AJ863" s="122"/>
      <c r="AK863" s="122"/>
      <c r="AL863" s="122"/>
      <c r="AM863" s="115"/>
      <c r="AN863" s="115"/>
      <c r="AO863" s="115"/>
      <c r="AP863" s="115"/>
      <c r="AQ863" s="115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17"/>
      <c r="BB863" s="15"/>
      <c r="BE863" s="114"/>
    </row>
    <row r="864" spans="30:57" x14ac:dyDescent="0.4">
      <c r="AD864" s="115"/>
      <c r="AE864" s="115"/>
      <c r="AF864" s="115"/>
      <c r="AG864" s="115"/>
      <c r="AH864" s="115"/>
      <c r="AI864" s="115"/>
      <c r="AJ864" s="122"/>
      <c r="AK864" s="122"/>
      <c r="AL864" s="122"/>
      <c r="AM864" s="115"/>
      <c r="AN864" s="115"/>
      <c r="AO864" s="115"/>
      <c r="AP864" s="115"/>
      <c r="AQ864" s="115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26"/>
      <c r="BB864" s="15"/>
      <c r="BE864" s="114"/>
    </row>
    <row r="865" spans="30:57" x14ac:dyDescent="0.4">
      <c r="AD865" s="115"/>
      <c r="AE865" s="115"/>
      <c r="AF865" s="115"/>
      <c r="AG865" s="115"/>
      <c r="AH865" s="115"/>
      <c r="AI865" s="115"/>
      <c r="AJ865" s="122"/>
      <c r="AK865" s="122"/>
      <c r="AL865" s="122"/>
      <c r="AM865" s="115"/>
      <c r="AN865" s="115"/>
      <c r="AO865" s="115"/>
      <c r="AP865" s="115"/>
      <c r="AQ865" s="115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26"/>
      <c r="BB865" s="15"/>
      <c r="BE865" s="114"/>
    </row>
    <row r="866" spans="30:57" x14ac:dyDescent="0.4">
      <c r="AD866" s="115"/>
      <c r="AE866" s="115"/>
      <c r="AF866" s="115"/>
      <c r="AG866" s="115"/>
      <c r="AH866" s="115"/>
      <c r="AI866" s="115"/>
      <c r="AJ866" s="122"/>
      <c r="AK866" s="122"/>
      <c r="AL866" s="122"/>
      <c r="AM866" s="115"/>
      <c r="AN866" s="115"/>
      <c r="AO866" s="115"/>
      <c r="AP866" s="115"/>
      <c r="AQ866" s="115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17"/>
      <c r="BB866" s="15"/>
      <c r="BE866" s="114"/>
    </row>
    <row r="867" spans="30:57" x14ac:dyDescent="0.4">
      <c r="AD867" s="115"/>
      <c r="AE867" s="115"/>
      <c r="AF867" s="115"/>
      <c r="AG867" s="115"/>
      <c r="AH867" s="115"/>
      <c r="AI867" s="115"/>
      <c r="AJ867" s="122"/>
      <c r="AK867" s="122"/>
      <c r="AL867" s="122"/>
      <c r="AM867" s="115"/>
      <c r="AN867" s="115"/>
      <c r="AO867" s="115"/>
      <c r="AP867" s="115"/>
      <c r="AQ867" s="115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26"/>
      <c r="BB867" s="15"/>
      <c r="BE867" s="114"/>
    </row>
    <row r="868" spans="30:57" x14ac:dyDescent="0.4">
      <c r="AD868" s="115"/>
      <c r="AE868" s="115"/>
      <c r="AF868" s="115"/>
      <c r="AG868" s="115"/>
      <c r="AH868" s="115"/>
      <c r="AI868" s="115"/>
      <c r="AJ868" s="122"/>
      <c r="AK868" s="122"/>
      <c r="AL868" s="122"/>
      <c r="AM868" s="115"/>
      <c r="AN868" s="115"/>
      <c r="AO868" s="115"/>
      <c r="AP868" s="115"/>
      <c r="AQ868" s="115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17"/>
      <c r="BB868" s="15"/>
      <c r="BE868" s="114"/>
    </row>
    <row r="869" spans="30:57" x14ac:dyDescent="0.4">
      <c r="AD869" s="115"/>
      <c r="AE869" s="115"/>
      <c r="AF869" s="115"/>
      <c r="AG869" s="115"/>
      <c r="AH869" s="115"/>
      <c r="AI869" s="115"/>
      <c r="AJ869" s="122"/>
      <c r="AK869" s="122"/>
      <c r="AL869" s="122"/>
      <c r="AM869" s="115"/>
      <c r="AN869" s="115"/>
      <c r="AO869" s="115"/>
      <c r="AP869" s="115"/>
      <c r="AQ869" s="115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17"/>
      <c r="BB869" s="15"/>
      <c r="BE869" s="114"/>
    </row>
    <row r="870" spans="30:57" x14ac:dyDescent="0.4">
      <c r="AD870" s="115"/>
      <c r="AE870" s="115"/>
      <c r="AF870" s="115"/>
      <c r="AG870" s="115"/>
      <c r="AH870" s="115"/>
      <c r="AI870" s="115"/>
      <c r="AJ870" s="122"/>
      <c r="AK870" s="122"/>
      <c r="AL870" s="122"/>
      <c r="AM870" s="115"/>
      <c r="AN870" s="115"/>
      <c r="AO870" s="115"/>
      <c r="AP870" s="115"/>
      <c r="AQ870" s="115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26"/>
      <c r="BB870" s="15"/>
      <c r="BE870" s="114"/>
    </row>
    <row r="871" spans="30:57" x14ac:dyDescent="0.4">
      <c r="AD871" s="115"/>
      <c r="AE871" s="115"/>
      <c r="AF871" s="115"/>
      <c r="AG871" s="115"/>
      <c r="AH871" s="115"/>
      <c r="AI871" s="115"/>
      <c r="AJ871" s="122"/>
      <c r="AK871" s="122"/>
      <c r="AL871" s="122"/>
      <c r="AM871" s="115"/>
      <c r="AN871" s="115"/>
      <c r="AO871" s="115"/>
      <c r="AP871" s="115"/>
      <c r="AQ871" s="115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26"/>
      <c r="BB871" s="15"/>
      <c r="BE871" s="114"/>
    </row>
    <row r="872" spans="30:57" x14ac:dyDescent="0.4">
      <c r="AD872" s="115"/>
      <c r="AE872" s="115"/>
      <c r="AF872" s="115"/>
      <c r="AG872" s="115"/>
      <c r="AH872" s="115"/>
      <c r="AI872" s="115"/>
      <c r="AJ872" s="122"/>
      <c r="AK872" s="122"/>
      <c r="AL872" s="122"/>
      <c r="AM872" s="115"/>
      <c r="AN872" s="115"/>
      <c r="AO872" s="115"/>
      <c r="AP872" s="115"/>
      <c r="AQ872" s="115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26"/>
      <c r="BB872" s="15"/>
      <c r="BE872" s="114"/>
    </row>
    <row r="873" spans="30:57" x14ac:dyDescent="0.4">
      <c r="AD873" s="115"/>
      <c r="AE873" s="115"/>
      <c r="AF873" s="115"/>
      <c r="AG873" s="115"/>
      <c r="AH873" s="115"/>
      <c r="AI873" s="115"/>
      <c r="AJ873" s="122"/>
      <c r="AK873" s="122"/>
      <c r="AL873" s="122"/>
      <c r="AM873" s="115"/>
      <c r="AN873" s="115"/>
      <c r="AO873" s="115"/>
      <c r="AP873" s="115"/>
      <c r="AQ873" s="115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26"/>
      <c r="BB873" s="15"/>
      <c r="BE873" s="114"/>
    </row>
    <row r="874" spans="30:57" x14ac:dyDescent="0.4">
      <c r="AD874" s="115"/>
      <c r="AE874" s="115"/>
      <c r="AF874" s="115"/>
      <c r="AG874" s="115"/>
      <c r="AH874" s="115"/>
      <c r="AI874" s="115"/>
      <c r="AJ874" s="122"/>
      <c r="AK874" s="122"/>
      <c r="AL874" s="122"/>
      <c r="AM874" s="115"/>
      <c r="AN874" s="115"/>
      <c r="AO874" s="115"/>
      <c r="AP874" s="115"/>
      <c r="AQ874" s="115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26"/>
      <c r="BB874" s="15"/>
      <c r="BE874" s="114"/>
    </row>
    <row r="875" spans="30:57" x14ac:dyDescent="0.4">
      <c r="AD875" s="115"/>
      <c r="AE875" s="115"/>
      <c r="AF875" s="115"/>
      <c r="AG875" s="115"/>
      <c r="AH875" s="115"/>
      <c r="AI875" s="115"/>
      <c r="AJ875" s="122"/>
      <c r="AK875" s="122"/>
      <c r="AL875" s="122"/>
      <c r="AM875" s="115"/>
      <c r="AN875" s="115"/>
      <c r="AO875" s="115"/>
      <c r="AP875" s="115"/>
      <c r="AQ875" s="115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26"/>
      <c r="BB875" s="15"/>
      <c r="BE875" s="114"/>
    </row>
    <row r="876" spans="30:57" x14ac:dyDescent="0.4">
      <c r="AD876" s="115"/>
      <c r="AE876" s="115"/>
      <c r="AF876" s="115"/>
      <c r="AG876" s="115"/>
      <c r="AH876" s="115"/>
      <c r="AI876" s="115"/>
      <c r="AJ876" s="122"/>
      <c r="AK876" s="122"/>
      <c r="AL876" s="122"/>
      <c r="AM876" s="115"/>
      <c r="AN876" s="115"/>
      <c r="AO876" s="115"/>
      <c r="AP876" s="115"/>
      <c r="AQ876" s="115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26"/>
      <c r="BB876" s="15"/>
      <c r="BE876" s="114"/>
    </row>
    <row r="877" spans="30:57" x14ac:dyDescent="0.4">
      <c r="AD877" s="115"/>
      <c r="AE877" s="115"/>
      <c r="AF877" s="115"/>
      <c r="AG877" s="115"/>
      <c r="AH877" s="115"/>
      <c r="AI877" s="115"/>
      <c r="AJ877" s="122"/>
      <c r="AK877" s="122"/>
      <c r="AL877" s="122"/>
      <c r="AM877" s="115"/>
      <c r="AN877" s="115"/>
      <c r="AO877" s="115"/>
      <c r="AP877" s="115"/>
      <c r="AQ877" s="115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17"/>
      <c r="BB877" s="15"/>
      <c r="BE877" s="114"/>
    </row>
    <row r="878" spans="30:57" x14ac:dyDescent="0.4">
      <c r="AD878" s="115"/>
      <c r="AE878" s="115"/>
      <c r="AF878" s="115"/>
      <c r="AG878" s="115"/>
      <c r="AH878" s="115"/>
      <c r="AI878" s="115"/>
      <c r="AJ878" s="122"/>
      <c r="AK878" s="122"/>
      <c r="AL878" s="122"/>
      <c r="AM878" s="115"/>
      <c r="AN878" s="115"/>
      <c r="AO878" s="115"/>
      <c r="AP878" s="115"/>
      <c r="AQ878" s="115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26"/>
      <c r="BB878" s="15"/>
      <c r="BE878" s="114"/>
    </row>
    <row r="879" spans="30:57" x14ac:dyDescent="0.4">
      <c r="AD879" s="115"/>
      <c r="AE879" s="115"/>
      <c r="AF879" s="115"/>
      <c r="AG879" s="115"/>
      <c r="AH879" s="115"/>
      <c r="AI879" s="115"/>
      <c r="AJ879" s="122"/>
      <c r="AK879" s="122"/>
      <c r="AL879" s="122"/>
      <c r="AM879" s="115"/>
      <c r="AN879" s="115"/>
      <c r="AO879" s="115"/>
      <c r="AP879" s="115"/>
      <c r="AQ879" s="115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26"/>
      <c r="BB879" s="15"/>
      <c r="BE879" s="114"/>
    </row>
    <row r="880" spans="30:57" x14ac:dyDescent="0.4">
      <c r="AD880" s="115"/>
      <c r="AE880" s="115"/>
      <c r="AF880" s="115"/>
      <c r="AG880" s="115"/>
      <c r="AH880" s="115"/>
      <c r="AI880" s="115"/>
      <c r="AJ880" s="122"/>
      <c r="AK880" s="122"/>
      <c r="AL880" s="122"/>
      <c r="AM880" s="115"/>
      <c r="AN880" s="115"/>
      <c r="AO880" s="115"/>
      <c r="AP880" s="115"/>
      <c r="AQ880" s="115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26"/>
      <c r="BB880" s="15"/>
      <c r="BE880" s="114"/>
    </row>
    <row r="881" spans="5:57" x14ac:dyDescent="0.4">
      <c r="AD881" s="115"/>
      <c r="AE881" s="115"/>
      <c r="AF881" s="115"/>
      <c r="AG881" s="115"/>
      <c r="AH881" s="115"/>
      <c r="AI881" s="115"/>
      <c r="AJ881" s="122"/>
      <c r="AK881" s="122"/>
      <c r="AL881" s="122"/>
      <c r="AM881" s="115"/>
      <c r="AN881" s="115"/>
      <c r="AO881" s="115"/>
      <c r="AP881" s="115"/>
      <c r="AQ881" s="115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26"/>
      <c r="BB881" s="13"/>
      <c r="BE881" s="114"/>
    </row>
    <row r="882" spans="5:57" x14ac:dyDescent="0.4">
      <c r="AD882" s="115"/>
      <c r="AE882" s="115"/>
      <c r="AF882" s="115"/>
      <c r="AG882" s="115"/>
      <c r="AH882" s="115"/>
      <c r="AI882" s="115"/>
      <c r="AJ882" s="122"/>
      <c r="AK882" s="122"/>
      <c r="AL882" s="122"/>
      <c r="AM882" s="115"/>
      <c r="AN882" s="115"/>
      <c r="AO882" s="115"/>
      <c r="AP882" s="115"/>
      <c r="AQ882" s="115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17"/>
      <c r="BB882" s="13"/>
      <c r="BE882" s="114"/>
    </row>
    <row r="883" spans="5:57" x14ac:dyDescent="0.4">
      <c r="AD883" s="115"/>
      <c r="AE883" s="115"/>
      <c r="AF883" s="115"/>
      <c r="AG883" s="115"/>
      <c r="AH883" s="115"/>
      <c r="AI883" s="115"/>
      <c r="AJ883" s="122"/>
      <c r="AK883" s="122"/>
      <c r="AL883" s="122"/>
      <c r="AM883" s="115"/>
      <c r="AN883" s="115"/>
      <c r="AO883" s="115"/>
      <c r="AP883" s="115"/>
      <c r="AQ883" s="115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26"/>
      <c r="BB883" s="13"/>
      <c r="BE883" s="114"/>
    </row>
    <row r="884" spans="5:57" x14ac:dyDescent="0.4">
      <c r="AD884" s="115"/>
      <c r="AE884" s="115"/>
      <c r="AF884" s="115"/>
      <c r="AG884" s="115"/>
      <c r="AH884" s="115"/>
      <c r="AI884" s="115"/>
      <c r="AJ884" s="122"/>
      <c r="AK884" s="122"/>
      <c r="AL884" s="122"/>
      <c r="AM884" s="115"/>
      <c r="AN884" s="115"/>
      <c r="AO884" s="115"/>
      <c r="AP884" s="115"/>
      <c r="AQ884" s="115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26"/>
      <c r="BB884" s="13"/>
      <c r="BE884" s="114"/>
    </row>
    <row r="885" spans="5:57" x14ac:dyDescent="0.4">
      <c r="AD885" s="115"/>
      <c r="AE885" s="115"/>
      <c r="AF885" s="115"/>
      <c r="AG885" s="115"/>
      <c r="AH885" s="115"/>
      <c r="AI885" s="115"/>
      <c r="AJ885" s="122"/>
      <c r="AK885" s="122"/>
      <c r="AL885" s="122"/>
      <c r="AM885" s="115"/>
      <c r="AN885" s="115"/>
      <c r="AO885" s="115"/>
      <c r="AP885" s="115"/>
      <c r="AQ885" s="115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26"/>
      <c r="BB885" s="13"/>
      <c r="BE885" s="114"/>
    </row>
    <row r="886" spans="5:57" x14ac:dyDescent="0.4">
      <c r="AD886" s="115"/>
      <c r="AE886" s="115"/>
      <c r="AF886" s="115"/>
      <c r="AG886" s="115"/>
      <c r="AH886" s="115"/>
      <c r="AI886" s="115"/>
      <c r="AJ886" s="122"/>
      <c r="AK886" s="122"/>
      <c r="AL886" s="122"/>
      <c r="AM886" s="115"/>
      <c r="AN886" s="115"/>
      <c r="AO886" s="115"/>
      <c r="AP886" s="115"/>
      <c r="AQ886" s="115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26"/>
      <c r="BB886" s="13"/>
      <c r="BE886" s="114"/>
    </row>
    <row r="887" spans="5:57" x14ac:dyDescent="0.4">
      <c r="AD887" s="115"/>
      <c r="AE887" s="115"/>
      <c r="AF887" s="115"/>
      <c r="AG887" s="115"/>
      <c r="AH887" s="115"/>
      <c r="AI887" s="115"/>
      <c r="AJ887" s="122"/>
      <c r="AK887" s="122"/>
      <c r="AL887" s="122"/>
      <c r="AM887" s="115"/>
      <c r="AN887" s="115"/>
      <c r="AO887" s="115"/>
      <c r="AP887" s="115"/>
      <c r="AQ887" s="115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26"/>
      <c r="BB887" s="13"/>
      <c r="BE887" s="114"/>
    </row>
    <row r="888" spans="5:57" x14ac:dyDescent="0.4">
      <c r="AD888" s="115"/>
      <c r="AE888" s="115"/>
      <c r="AF888" s="115"/>
      <c r="AG888" s="115"/>
      <c r="AH888" s="115"/>
      <c r="AI888" s="115"/>
      <c r="AJ888" s="122"/>
      <c r="AK888" s="122"/>
      <c r="AL888" s="122"/>
      <c r="AM888" s="115"/>
      <c r="AN888" s="115"/>
      <c r="AO888" s="115"/>
      <c r="AP888" s="115"/>
      <c r="AQ888" s="115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26"/>
      <c r="BB888" s="13"/>
      <c r="BE888" s="114"/>
    </row>
    <row r="889" spans="5:57" x14ac:dyDescent="0.4">
      <c r="AD889" s="115"/>
      <c r="AE889" s="115"/>
      <c r="AF889" s="115"/>
      <c r="AG889" s="115"/>
      <c r="AH889" s="115"/>
      <c r="AI889" s="115"/>
      <c r="AJ889" s="122"/>
      <c r="AK889" s="122"/>
      <c r="AL889" s="122"/>
      <c r="AM889" s="115"/>
      <c r="AN889" s="115"/>
      <c r="AO889" s="115"/>
      <c r="AP889" s="115"/>
      <c r="AQ889" s="115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17"/>
      <c r="BB889" s="13"/>
      <c r="BE889" s="114"/>
    </row>
    <row r="890" spans="5:57" x14ac:dyDescent="0.4">
      <c r="AD890" s="115"/>
      <c r="AE890" s="115"/>
      <c r="AF890" s="115"/>
      <c r="AG890" s="115"/>
      <c r="AH890" s="115"/>
      <c r="AI890" s="115"/>
      <c r="AJ890" s="122"/>
      <c r="AK890" s="122"/>
      <c r="AL890" s="122"/>
      <c r="AM890" s="115"/>
      <c r="AN890" s="115"/>
      <c r="AO890" s="115"/>
      <c r="AP890" s="115"/>
      <c r="AQ890" s="115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26"/>
      <c r="BB890" s="13"/>
      <c r="BE890" s="114"/>
    </row>
    <row r="891" spans="5:57" x14ac:dyDescent="0.4">
      <c r="AD891" s="115"/>
      <c r="AE891" s="115"/>
      <c r="AF891" s="115"/>
      <c r="AG891" s="115"/>
      <c r="AH891" s="115"/>
      <c r="AI891" s="115"/>
      <c r="AJ891" s="122"/>
      <c r="AK891" s="122"/>
      <c r="AL891" s="122"/>
      <c r="AM891" s="115"/>
      <c r="AN891" s="115"/>
      <c r="AO891" s="115"/>
      <c r="AP891" s="115"/>
      <c r="AQ891" s="115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26"/>
      <c r="BB891" s="13"/>
      <c r="BE891" s="114"/>
    </row>
    <row r="892" spans="5:57" x14ac:dyDescent="0.4"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22"/>
      <c r="AK892" s="122"/>
      <c r="AL892" s="122"/>
      <c r="AM892" s="115"/>
      <c r="AN892" s="115"/>
      <c r="AO892" s="115"/>
      <c r="AP892" s="115"/>
      <c r="AQ892" s="115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26"/>
      <c r="BB892" s="13"/>
      <c r="BE892" s="114"/>
    </row>
    <row r="893" spans="5:57" x14ac:dyDescent="0.4"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22"/>
      <c r="AK893" s="122"/>
      <c r="AL893" s="122"/>
      <c r="AM893" s="115"/>
      <c r="AN893" s="115"/>
      <c r="AO893" s="115"/>
      <c r="AP893" s="115"/>
      <c r="AQ893" s="115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26"/>
      <c r="BB893" s="13"/>
      <c r="BE893" s="114"/>
    </row>
    <row r="894" spans="5:57" x14ac:dyDescent="0.4"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22"/>
      <c r="AK894" s="122"/>
      <c r="AL894" s="122"/>
      <c r="AM894" s="115"/>
      <c r="AN894" s="115"/>
      <c r="AO894" s="115"/>
      <c r="AP894" s="115"/>
      <c r="AQ894" s="115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26"/>
      <c r="BB894" s="13"/>
      <c r="BE894" s="114"/>
    </row>
    <row r="895" spans="5:57" x14ac:dyDescent="0.4"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22"/>
      <c r="AK895" s="122"/>
      <c r="AL895" s="122"/>
      <c r="AM895" s="115"/>
      <c r="AN895" s="115"/>
      <c r="AO895" s="115"/>
      <c r="AP895" s="115"/>
      <c r="AQ895" s="115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26"/>
      <c r="BB895" s="13"/>
      <c r="BE895" s="114"/>
    </row>
    <row r="896" spans="5:57" x14ac:dyDescent="0.4"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22"/>
      <c r="AK896" s="122"/>
      <c r="AL896" s="122"/>
      <c r="AM896" s="115"/>
      <c r="AN896" s="115"/>
      <c r="AO896" s="115"/>
      <c r="AP896" s="115"/>
      <c r="AQ896" s="115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26"/>
      <c r="BB896" s="13"/>
      <c r="BE896" s="114"/>
    </row>
    <row r="897" spans="4:57" x14ac:dyDescent="0.4"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22"/>
      <c r="AK897" s="122"/>
      <c r="AL897" s="122"/>
      <c r="AM897" s="115"/>
      <c r="AN897" s="115"/>
      <c r="AO897" s="115"/>
      <c r="AP897" s="115"/>
      <c r="AQ897" s="115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26"/>
      <c r="BB897" s="13"/>
      <c r="BE897" s="114"/>
    </row>
    <row r="898" spans="4:57" x14ac:dyDescent="0.4"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22"/>
      <c r="AK898" s="122"/>
      <c r="AL898" s="122"/>
      <c r="AM898" s="115"/>
      <c r="AN898" s="115"/>
      <c r="AO898" s="115"/>
      <c r="AP898" s="115"/>
      <c r="AQ898" s="115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26"/>
      <c r="BB898" s="13"/>
      <c r="BE898" s="114"/>
    </row>
    <row r="899" spans="4:57" x14ac:dyDescent="0.4"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22"/>
      <c r="AK899" s="122"/>
      <c r="AL899" s="122"/>
      <c r="AM899" s="115"/>
      <c r="AN899" s="115"/>
      <c r="AO899" s="115"/>
      <c r="AP899" s="115"/>
      <c r="AQ899" s="115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26"/>
      <c r="BB899" s="13"/>
      <c r="BE899" s="114"/>
    </row>
    <row r="900" spans="4:57" x14ac:dyDescent="0.4"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22"/>
      <c r="AK900" s="122"/>
      <c r="AL900" s="122"/>
      <c r="AM900" s="115"/>
      <c r="AN900" s="115"/>
      <c r="AO900" s="115"/>
      <c r="AP900" s="115"/>
      <c r="AQ900" s="115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26"/>
      <c r="BB900" s="13"/>
      <c r="BE900" s="114"/>
    </row>
    <row r="901" spans="4:57" x14ac:dyDescent="0.4"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22"/>
      <c r="AK901" s="122"/>
      <c r="AL901" s="122"/>
      <c r="AM901" s="115"/>
      <c r="AN901" s="115"/>
      <c r="AO901" s="115"/>
      <c r="AP901" s="115"/>
      <c r="AQ901" s="115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26"/>
      <c r="BB901" s="13"/>
      <c r="BE901" s="114"/>
    </row>
    <row r="902" spans="4:57" x14ac:dyDescent="0.4"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22"/>
      <c r="AK902" s="122"/>
      <c r="AL902" s="122"/>
      <c r="AM902" s="115"/>
      <c r="AN902" s="115"/>
      <c r="AO902" s="115"/>
      <c r="AP902" s="115"/>
      <c r="AQ902" s="115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26"/>
      <c r="BB902" s="13"/>
      <c r="BE902" s="114"/>
    </row>
    <row r="903" spans="4:57" x14ac:dyDescent="0.4"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22"/>
      <c r="AK903" s="122"/>
      <c r="AL903" s="122"/>
      <c r="AM903" s="115"/>
      <c r="AN903" s="115"/>
      <c r="AO903" s="115"/>
      <c r="AP903" s="115"/>
      <c r="AQ903" s="115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26"/>
      <c r="BB903" s="13"/>
      <c r="BE903" s="114"/>
    </row>
    <row r="904" spans="4:57" x14ac:dyDescent="0.4"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22"/>
      <c r="AK904" s="122"/>
      <c r="AL904" s="122"/>
      <c r="AM904" s="115"/>
      <c r="AN904" s="115"/>
      <c r="AO904" s="115"/>
      <c r="AP904" s="115"/>
      <c r="AQ904" s="115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26"/>
      <c r="BB904" s="13"/>
      <c r="BE904" s="114"/>
    </row>
    <row r="905" spans="4:57" x14ac:dyDescent="0.4"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22"/>
      <c r="AK905" s="122"/>
      <c r="AL905" s="122"/>
      <c r="AM905" s="115"/>
      <c r="AN905" s="115"/>
      <c r="AO905" s="115"/>
      <c r="AP905" s="115"/>
      <c r="AQ905" s="115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26"/>
      <c r="BB905" s="13"/>
      <c r="BE905" s="114"/>
    </row>
    <row r="906" spans="4:57" x14ac:dyDescent="0.4"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22"/>
      <c r="AK906" s="122"/>
      <c r="AL906" s="122"/>
      <c r="AM906" s="115"/>
      <c r="AN906" s="115"/>
      <c r="AO906" s="115"/>
      <c r="AP906" s="115"/>
      <c r="AQ906" s="115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26"/>
      <c r="BB906" s="13"/>
      <c r="BE906" s="114"/>
    </row>
    <row r="907" spans="4:57" x14ac:dyDescent="0.4"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22"/>
      <c r="AK907" s="122"/>
      <c r="AL907" s="122"/>
      <c r="AM907" s="115"/>
      <c r="AN907" s="115"/>
      <c r="AO907" s="115"/>
      <c r="AP907" s="115"/>
      <c r="AQ907" s="115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26"/>
      <c r="BB907" s="13"/>
      <c r="BE907" s="114"/>
    </row>
    <row r="908" spans="4:57" x14ac:dyDescent="0.4"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22"/>
      <c r="AK908" s="122"/>
      <c r="AL908" s="122"/>
      <c r="AM908" s="115"/>
      <c r="AN908" s="115"/>
      <c r="AO908" s="115"/>
      <c r="AP908" s="115"/>
      <c r="AQ908" s="115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17"/>
      <c r="BB908" s="13"/>
      <c r="BE908" s="114"/>
    </row>
    <row r="909" spans="4:57" x14ac:dyDescent="0.4"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22"/>
      <c r="AK909" s="122"/>
      <c r="AL909" s="122"/>
      <c r="AM909" s="115"/>
      <c r="AN909" s="115"/>
      <c r="AO909" s="115"/>
      <c r="AP909" s="115"/>
      <c r="AQ909" s="115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26"/>
      <c r="BB909" s="13"/>
      <c r="BE909" s="114"/>
    </row>
    <row r="910" spans="4:57" x14ac:dyDescent="0.4"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22"/>
      <c r="AK910" s="122"/>
      <c r="AL910" s="122"/>
      <c r="AM910" s="115"/>
      <c r="AN910" s="115"/>
      <c r="AO910" s="115"/>
      <c r="AP910" s="115"/>
      <c r="AQ910" s="115"/>
      <c r="AR910" s="115"/>
      <c r="AS910" s="115"/>
      <c r="AT910" s="115"/>
      <c r="AU910" s="115"/>
      <c r="AV910" s="115"/>
      <c r="AW910" s="115"/>
      <c r="AX910" s="115"/>
      <c r="AY910" s="115"/>
      <c r="AZ910" s="115"/>
      <c r="BA910" s="26"/>
      <c r="BB910" s="13"/>
      <c r="BE910" s="114"/>
    </row>
    <row r="911" spans="4:57" x14ac:dyDescent="0.4"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22"/>
      <c r="AK911" s="122"/>
      <c r="AL911" s="122"/>
      <c r="AM911" s="115"/>
      <c r="AN911" s="115"/>
      <c r="AO911" s="115"/>
      <c r="AP911" s="115"/>
      <c r="AQ911" s="115"/>
      <c r="AR911" s="115"/>
      <c r="AS911" s="115"/>
      <c r="AT911" s="115"/>
      <c r="AU911" s="115"/>
      <c r="AV911" s="115"/>
      <c r="AW911" s="115"/>
      <c r="AX911" s="115"/>
      <c r="AY911" s="115"/>
      <c r="AZ911" s="115"/>
      <c r="BA911" s="26"/>
      <c r="BB911" s="13"/>
      <c r="BE911" s="114"/>
    </row>
    <row r="912" spans="4:57" x14ac:dyDescent="0.4"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22"/>
      <c r="AK912" s="122"/>
      <c r="AL912" s="122"/>
      <c r="AM912" s="115"/>
      <c r="AN912" s="115"/>
      <c r="AO912" s="115"/>
      <c r="AP912" s="115"/>
      <c r="AQ912" s="115"/>
      <c r="AR912" s="115"/>
      <c r="AS912" s="115"/>
      <c r="AT912" s="115"/>
      <c r="AU912" s="115"/>
      <c r="AV912" s="115"/>
      <c r="AW912" s="115"/>
      <c r="AX912" s="115"/>
      <c r="AY912" s="115"/>
      <c r="AZ912" s="115"/>
      <c r="BA912" s="26"/>
      <c r="BB912" s="15"/>
      <c r="BE912" s="114"/>
    </row>
    <row r="913" spans="3:57" x14ac:dyDescent="0.4"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22"/>
      <c r="AK913" s="122"/>
      <c r="AL913" s="122"/>
      <c r="AM913" s="115"/>
      <c r="AN913" s="115"/>
      <c r="AO913" s="115"/>
      <c r="AP913" s="115"/>
      <c r="AQ913" s="115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26"/>
      <c r="BB913" s="15"/>
      <c r="BE913" s="114"/>
    </row>
    <row r="914" spans="3:57" x14ac:dyDescent="0.4"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22"/>
      <c r="AK914" s="122"/>
      <c r="AL914" s="122"/>
      <c r="AM914" s="115"/>
      <c r="AN914" s="115"/>
      <c r="AO914" s="115"/>
      <c r="AP914" s="115"/>
      <c r="AQ914" s="115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26"/>
      <c r="BB914" s="15"/>
      <c r="BE914" s="114"/>
    </row>
    <row r="915" spans="3:57" x14ac:dyDescent="0.4"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22"/>
      <c r="AK915" s="122"/>
      <c r="AL915" s="122"/>
      <c r="AM915" s="115"/>
      <c r="AN915" s="115"/>
      <c r="AO915" s="115"/>
      <c r="AP915" s="115"/>
      <c r="AQ915" s="115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26"/>
      <c r="BB915" s="13"/>
      <c r="BE915" s="114"/>
    </row>
    <row r="916" spans="3:57" x14ac:dyDescent="0.4"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22"/>
      <c r="AK916" s="122"/>
      <c r="AL916" s="122"/>
      <c r="AM916" s="115"/>
      <c r="AN916" s="115"/>
      <c r="AO916" s="115"/>
      <c r="AP916" s="115"/>
      <c r="AQ916" s="115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26"/>
      <c r="BB916" s="13"/>
      <c r="BE916" s="114"/>
    </row>
    <row r="917" spans="3:57" x14ac:dyDescent="0.4"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22"/>
      <c r="AK917" s="122"/>
      <c r="AL917" s="122"/>
      <c r="AM917" s="115"/>
      <c r="AN917" s="115"/>
      <c r="AO917" s="115"/>
      <c r="AP917" s="115"/>
      <c r="AQ917" s="115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26"/>
      <c r="BB917" s="13"/>
      <c r="BE917" s="114"/>
    </row>
    <row r="918" spans="3:57" x14ac:dyDescent="0.4"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22"/>
      <c r="AK918" s="122"/>
      <c r="AL918" s="122"/>
      <c r="AM918" s="115"/>
      <c r="AN918" s="115"/>
      <c r="AO918" s="115"/>
      <c r="AP918" s="115"/>
      <c r="AQ918" s="115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17"/>
      <c r="BB918" s="13"/>
      <c r="BE918" s="114"/>
    </row>
    <row r="919" spans="3:57" x14ac:dyDescent="0.4"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22"/>
      <c r="AK919" s="122"/>
      <c r="AL919" s="122"/>
      <c r="AM919" s="115"/>
      <c r="AN919" s="115"/>
      <c r="AO919" s="115"/>
      <c r="AP919" s="115"/>
      <c r="AQ919" s="115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26"/>
      <c r="BB919" s="13"/>
      <c r="BE919" s="114"/>
    </row>
    <row r="920" spans="3:57" x14ac:dyDescent="0.4"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22"/>
      <c r="AK920" s="122"/>
      <c r="AL920" s="122"/>
      <c r="AM920" s="115"/>
      <c r="AN920" s="115"/>
      <c r="AO920" s="115"/>
      <c r="AP920" s="115"/>
      <c r="AQ920" s="115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26"/>
      <c r="BB920" s="25"/>
      <c r="BE920" s="114"/>
    </row>
    <row r="921" spans="3:57" x14ac:dyDescent="0.4"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22"/>
      <c r="AK921" s="122"/>
      <c r="AL921" s="122"/>
      <c r="AM921" s="115"/>
      <c r="AN921" s="115"/>
      <c r="AO921" s="115"/>
      <c r="AP921" s="115"/>
      <c r="AQ921" s="115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26"/>
      <c r="BB921" s="13"/>
      <c r="BE921" s="114"/>
    </row>
    <row r="922" spans="3:57" x14ac:dyDescent="0.4"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22"/>
      <c r="AK922" s="122"/>
      <c r="AL922" s="122"/>
      <c r="AM922" s="115"/>
      <c r="AN922" s="115"/>
      <c r="AO922" s="115"/>
      <c r="AP922" s="115"/>
      <c r="AQ922" s="115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26"/>
      <c r="BB922" s="13"/>
      <c r="BE922" s="114"/>
    </row>
    <row r="923" spans="3:57" x14ac:dyDescent="0.4"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22"/>
      <c r="AK923" s="122"/>
      <c r="AL923" s="122"/>
      <c r="AM923" s="115"/>
      <c r="AN923" s="115"/>
      <c r="AO923" s="115"/>
      <c r="AP923" s="115"/>
      <c r="AQ923" s="115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26"/>
      <c r="BB923" s="13"/>
      <c r="BE923" s="114"/>
    </row>
    <row r="924" spans="3:57" x14ac:dyDescent="0.4"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22"/>
      <c r="AK924" s="122"/>
      <c r="AL924" s="122"/>
      <c r="AM924" s="115"/>
      <c r="AN924" s="115"/>
      <c r="AO924" s="115"/>
      <c r="AP924" s="115"/>
      <c r="AQ924" s="115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26"/>
      <c r="BB924" s="13"/>
      <c r="BE924" s="114"/>
    </row>
    <row r="925" spans="3:57" x14ac:dyDescent="0.4"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22"/>
      <c r="AK925" s="122"/>
      <c r="AL925" s="122"/>
      <c r="AM925" s="115"/>
      <c r="AN925" s="115"/>
      <c r="AO925" s="115"/>
      <c r="AP925" s="115"/>
      <c r="BA925" s="26"/>
      <c r="BB925" s="13"/>
      <c r="BE925" s="114"/>
    </row>
    <row r="926" spans="3:57" x14ac:dyDescent="0.4"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22"/>
      <c r="AK926" s="122"/>
      <c r="AL926" s="122"/>
      <c r="AM926" s="115"/>
      <c r="AN926" s="115"/>
      <c r="AO926" s="115"/>
      <c r="AP926" s="115"/>
      <c r="AQ926" s="115"/>
      <c r="AR926" s="115"/>
      <c r="AS926" s="115"/>
      <c r="AT926" s="115"/>
      <c r="AU926" s="115"/>
      <c r="AV926" s="115"/>
      <c r="AW926" s="115"/>
      <c r="AX926" s="115"/>
      <c r="AY926" s="115"/>
      <c r="AZ926" s="115"/>
      <c r="BA926" s="26"/>
      <c r="BB926" s="13"/>
      <c r="BE926" s="114"/>
    </row>
    <row r="927" spans="3:57" x14ac:dyDescent="0.4"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22"/>
      <c r="AK927" s="122"/>
      <c r="AL927" s="122"/>
      <c r="AM927" s="115"/>
      <c r="AN927" s="115"/>
      <c r="AO927" s="115"/>
      <c r="AP927" s="115"/>
      <c r="AQ927" s="115"/>
      <c r="AR927" s="115"/>
      <c r="AS927" s="115"/>
      <c r="AT927" s="115"/>
      <c r="AU927" s="115"/>
      <c r="AV927" s="115"/>
      <c r="AW927" s="115"/>
      <c r="AX927" s="115"/>
      <c r="AY927" s="115"/>
      <c r="AZ927" s="115"/>
      <c r="BA927" s="17"/>
      <c r="BB927" s="13"/>
      <c r="BE927" s="114"/>
    </row>
    <row r="928" spans="3:57" x14ac:dyDescent="0.4"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22"/>
      <c r="AK928" s="122"/>
      <c r="AL928" s="122"/>
      <c r="AM928" s="115"/>
      <c r="AN928" s="115"/>
      <c r="AO928" s="115"/>
      <c r="AP928" s="115"/>
      <c r="AQ928" s="115"/>
      <c r="AR928" s="115"/>
      <c r="AS928" s="115"/>
      <c r="AT928" s="115"/>
      <c r="AU928" s="115"/>
      <c r="AV928" s="115"/>
      <c r="AW928" s="115"/>
      <c r="AX928" s="115"/>
      <c r="AY928" s="115"/>
      <c r="AZ928" s="115"/>
      <c r="BA928" s="26"/>
      <c r="BB928" s="13"/>
      <c r="BE928" s="114"/>
    </row>
    <row r="929" spans="1:57" x14ac:dyDescent="0.4"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22"/>
      <c r="AK929" s="122"/>
      <c r="AL929" s="122"/>
      <c r="AM929" s="115"/>
      <c r="AN929" s="115"/>
      <c r="AO929" s="115"/>
      <c r="AP929" s="115"/>
      <c r="AQ929" s="115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26"/>
      <c r="BB929" s="15"/>
      <c r="BE929" s="114"/>
    </row>
    <row r="930" spans="1:57" x14ac:dyDescent="0.4"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22"/>
      <c r="AK930" s="122"/>
      <c r="AL930" s="122"/>
      <c r="AM930" s="115"/>
      <c r="AN930" s="115"/>
      <c r="AO930" s="115"/>
      <c r="AP930" s="115"/>
      <c r="AQ930" s="115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17"/>
      <c r="BB930" s="15"/>
      <c r="BE930" s="114"/>
    </row>
    <row r="931" spans="1:57" x14ac:dyDescent="0.4"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22"/>
      <c r="AK931" s="122"/>
      <c r="AL931" s="122"/>
      <c r="AM931" s="115"/>
      <c r="AN931" s="115"/>
      <c r="AO931" s="115"/>
      <c r="AP931" s="115"/>
      <c r="AQ931" s="115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26"/>
      <c r="BB931" s="15"/>
      <c r="BE931" s="114"/>
    </row>
    <row r="932" spans="1:57" x14ac:dyDescent="0.4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22"/>
      <c r="AK932" s="122"/>
      <c r="AL932" s="122"/>
      <c r="AM932" s="115"/>
      <c r="AN932" s="115"/>
      <c r="AO932" s="115"/>
      <c r="AP932" s="115"/>
      <c r="AQ932" s="115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26"/>
      <c r="BB932" s="15"/>
      <c r="BE932" s="114"/>
    </row>
    <row r="933" spans="1:57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22"/>
      <c r="AK933" s="122"/>
      <c r="AL933" s="122"/>
      <c r="AM933" s="115"/>
      <c r="AN933" s="115"/>
      <c r="AO933" s="115"/>
      <c r="AP933" s="115"/>
      <c r="AQ933" s="115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17"/>
      <c r="BB933" s="13"/>
      <c r="BE933" s="114"/>
    </row>
    <row r="934" spans="1:57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22"/>
      <c r="AK934" s="122"/>
      <c r="AL934" s="122"/>
      <c r="AM934" s="115"/>
      <c r="AN934" s="115"/>
      <c r="AO934" s="115"/>
      <c r="AP934" s="115"/>
      <c r="AQ934" s="115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17"/>
      <c r="BB934" s="13"/>
      <c r="BE934" s="114"/>
    </row>
    <row r="935" spans="1:57" x14ac:dyDescent="0.4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22"/>
      <c r="AK935" s="122"/>
      <c r="AL935" s="122"/>
      <c r="AM935" s="115"/>
      <c r="AN935" s="115"/>
      <c r="AO935" s="115"/>
      <c r="AP935" s="115"/>
      <c r="AQ935" s="115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26"/>
      <c r="BB935" s="13"/>
      <c r="BE935" s="114"/>
    </row>
    <row r="936" spans="1:57" x14ac:dyDescent="0.4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22"/>
      <c r="AK936" s="122"/>
      <c r="AL936" s="122"/>
      <c r="AM936" s="115"/>
      <c r="AN936" s="115"/>
      <c r="AO936" s="115"/>
      <c r="AP936" s="115"/>
      <c r="AQ936" s="115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26"/>
      <c r="BB936" s="13"/>
      <c r="BE936" s="114"/>
    </row>
    <row r="937" spans="1:57" x14ac:dyDescent="0.4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22"/>
      <c r="AK937" s="122"/>
      <c r="AL937" s="122"/>
      <c r="AM937" s="115"/>
      <c r="AN937" s="115"/>
      <c r="AO937" s="115"/>
      <c r="AP937" s="115"/>
      <c r="AQ937" s="115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17"/>
      <c r="BB937" s="13"/>
      <c r="BE937" s="114"/>
    </row>
    <row r="938" spans="1:57" x14ac:dyDescent="0.4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22"/>
      <c r="AK938" s="122"/>
      <c r="AL938" s="122"/>
      <c r="AM938" s="115"/>
      <c r="AN938" s="115"/>
      <c r="AO938" s="115"/>
      <c r="AP938" s="115"/>
      <c r="AQ938" s="115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26"/>
      <c r="BB938" s="15"/>
      <c r="BE938" s="114"/>
    </row>
    <row r="939" spans="1:57" x14ac:dyDescent="0.4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22"/>
      <c r="AK939" s="122"/>
      <c r="AL939" s="122"/>
      <c r="AM939" s="115"/>
      <c r="AN939" s="115"/>
      <c r="AO939" s="115"/>
      <c r="AP939" s="115"/>
      <c r="AQ939" s="115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26"/>
      <c r="BB939" s="15"/>
      <c r="BE939" s="114"/>
    </row>
    <row r="940" spans="1:57" x14ac:dyDescent="0.4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22"/>
      <c r="AK940" s="122"/>
      <c r="AL940" s="122"/>
      <c r="AM940" s="115"/>
      <c r="AN940" s="115"/>
      <c r="AO940" s="115"/>
      <c r="AP940" s="115"/>
      <c r="AQ940" s="115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26"/>
      <c r="BB940" s="15"/>
      <c r="BE940" s="114"/>
    </row>
    <row r="941" spans="1:57" x14ac:dyDescent="0.4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22"/>
      <c r="AK941" s="122"/>
      <c r="AL941" s="122"/>
      <c r="AM941" s="115"/>
      <c r="AN941" s="115"/>
      <c r="AO941" s="115"/>
      <c r="AP941" s="115"/>
      <c r="AQ941" s="115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26"/>
      <c r="BB941" s="13"/>
      <c r="BE941" s="114"/>
    </row>
    <row r="942" spans="1:57" x14ac:dyDescent="0.4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22"/>
      <c r="AK942" s="122"/>
      <c r="AL942" s="122"/>
      <c r="AM942" s="115"/>
      <c r="AN942" s="115"/>
      <c r="AO942" s="115"/>
      <c r="AP942" s="115"/>
      <c r="AQ942" s="115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26"/>
      <c r="BB942" s="25"/>
      <c r="BE942" s="114"/>
    </row>
    <row r="943" spans="1:57" x14ac:dyDescent="0.4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22"/>
      <c r="AK943" s="122"/>
      <c r="AL943" s="122"/>
      <c r="AM943" s="115"/>
      <c r="AN943" s="115"/>
      <c r="AO943" s="115"/>
      <c r="AP943" s="115"/>
      <c r="AQ943" s="115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26"/>
      <c r="BB943" s="13"/>
      <c r="BE943" s="114"/>
    </row>
    <row r="944" spans="1:57" x14ac:dyDescent="0.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22"/>
      <c r="AK944" s="122"/>
      <c r="AL944" s="122"/>
      <c r="AM944" s="115"/>
      <c r="AN944" s="115"/>
      <c r="AO944" s="115"/>
      <c r="AP944" s="115"/>
      <c r="AQ944" s="115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26"/>
      <c r="BB944" s="13"/>
      <c r="BE944" s="114"/>
    </row>
    <row r="945" spans="1:57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22"/>
      <c r="AK945" s="122"/>
      <c r="AL945" s="122"/>
      <c r="AM945" s="115"/>
      <c r="AN945" s="115"/>
      <c r="AO945" s="115"/>
      <c r="AP945" s="115"/>
      <c r="AQ945" s="115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26"/>
      <c r="BB945" s="13"/>
      <c r="BE945" s="114"/>
    </row>
    <row r="946" spans="1:57" x14ac:dyDescent="0.4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22"/>
      <c r="AK946" s="122"/>
      <c r="AL946" s="122"/>
      <c r="AM946" s="115"/>
      <c r="AN946" s="115"/>
      <c r="AO946" s="115"/>
      <c r="AP946" s="115"/>
      <c r="AQ946" s="115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26"/>
      <c r="BB946" s="13"/>
      <c r="BE946" s="114"/>
    </row>
    <row r="947" spans="1:57" x14ac:dyDescent="0.4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22"/>
      <c r="AK947" s="122"/>
      <c r="AL947" s="122"/>
      <c r="AM947" s="115"/>
      <c r="AN947" s="115"/>
      <c r="AO947" s="115"/>
      <c r="AP947" s="115"/>
      <c r="AQ947" s="115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26"/>
      <c r="BB947" s="13"/>
      <c r="BE947" s="114"/>
    </row>
    <row r="948" spans="1:57" x14ac:dyDescent="0.4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22"/>
      <c r="AK948" s="122"/>
      <c r="AL948" s="122"/>
      <c r="AM948" s="115"/>
      <c r="AN948" s="115"/>
      <c r="AO948" s="115"/>
      <c r="AP948" s="115"/>
      <c r="AQ948" s="115"/>
      <c r="AR948" s="115"/>
      <c r="AS948" s="115"/>
      <c r="AT948" s="115"/>
      <c r="AU948" s="115"/>
      <c r="AV948" s="115"/>
      <c r="AW948" s="115"/>
      <c r="AX948" s="115"/>
      <c r="AY948" s="115"/>
      <c r="AZ948" s="115"/>
      <c r="BA948" s="26"/>
      <c r="BB948" s="13"/>
      <c r="BE948" s="114"/>
    </row>
    <row r="949" spans="1:57" x14ac:dyDescent="0.4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22"/>
      <c r="AK949" s="122"/>
      <c r="AL949" s="122"/>
      <c r="AM949" s="115"/>
      <c r="AN949" s="115"/>
      <c r="AO949" s="115"/>
      <c r="AP949" s="115"/>
      <c r="AQ949" s="115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26"/>
      <c r="BB949" s="13"/>
      <c r="BE949" s="114"/>
    </row>
    <row r="950" spans="1:57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22"/>
      <c r="AK950" s="122"/>
      <c r="AL950" s="122"/>
      <c r="AM950" s="115"/>
      <c r="AN950" s="115"/>
      <c r="AO950" s="115"/>
      <c r="AP950" s="115"/>
      <c r="AQ950" s="115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26"/>
      <c r="BB950" s="13"/>
      <c r="BE950" s="114"/>
    </row>
    <row r="951" spans="1:57" x14ac:dyDescent="0.4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22"/>
      <c r="AK951" s="122"/>
      <c r="AL951" s="122"/>
      <c r="AM951" s="115"/>
      <c r="AN951" s="115"/>
      <c r="AO951" s="115"/>
      <c r="AP951" s="115"/>
      <c r="AQ951" s="115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26"/>
      <c r="BB951" s="13"/>
      <c r="BE951" s="114"/>
    </row>
    <row r="952" spans="1:57" x14ac:dyDescent="0.4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22"/>
      <c r="AK952" s="122"/>
      <c r="AL952" s="122"/>
      <c r="AM952" s="115"/>
      <c r="AN952" s="115"/>
      <c r="AO952" s="115"/>
      <c r="AP952" s="115"/>
      <c r="AQ952" s="115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26"/>
      <c r="BB952" s="13"/>
      <c r="BE952" s="114"/>
    </row>
    <row r="953" spans="1:57" x14ac:dyDescent="0.4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22"/>
      <c r="AK953" s="122"/>
      <c r="AL953" s="122"/>
      <c r="AM953" s="115"/>
      <c r="AN953" s="115"/>
      <c r="AO953" s="115"/>
      <c r="AP953" s="115"/>
      <c r="AQ953" s="115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26"/>
      <c r="BB953" s="15"/>
      <c r="BE953" s="114"/>
    </row>
    <row r="954" spans="1:57" x14ac:dyDescent="0.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22"/>
      <c r="AK954" s="122"/>
      <c r="AL954" s="122"/>
      <c r="AM954" s="115"/>
      <c r="AN954" s="115"/>
      <c r="AO954" s="115"/>
      <c r="AP954" s="115"/>
      <c r="AQ954" s="115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26"/>
      <c r="BB954" s="15"/>
      <c r="BE954" s="114"/>
    </row>
    <row r="955" spans="1:57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22"/>
      <c r="AK955" s="122"/>
      <c r="AL955" s="122"/>
      <c r="AM955" s="115"/>
      <c r="AN955" s="115"/>
      <c r="AO955" s="115"/>
      <c r="AP955" s="115"/>
      <c r="AQ955" s="115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26"/>
      <c r="BB955" s="15"/>
      <c r="BE955" s="114"/>
    </row>
    <row r="956" spans="1:57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22"/>
      <c r="AK956" s="122"/>
      <c r="AL956" s="122"/>
      <c r="AM956" s="115"/>
      <c r="AN956" s="115"/>
      <c r="AO956" s="115"/>
      <c r="AP956" s="115"/>
      <c r="AQ956" s="115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26"/>
      <c r="BB956" s="15"/>
      <c r="BE956" s="114"/>
    </row>
    <row r="957" spans="1:57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22"/>
      <c r="AK957" s="122"/>
      <c r="AL957" s="122"/>
      <c r="AM957" s="115"/>
      <c r="AN957" s="115"/>
      <c r="AO957" s="115"/>
      <c r="AP957" s="115"/>
      <c r="AQ957" s="115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26"/>
      <c r="BB957" s="13"/>
      <c r="BE957" s="114"/>
    </row>
    <row r="958" spans="1:57" x14ac:dyDescent="0.4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22"/>
      <c r="AK958" s="122"/>
      <c r="AL958" s="122"/>
      <c r="AM958" s="115"/>
      <c r="AN958" s="115"/>
      <c r="AO958" s="115"/>
      <c r="AP958" s="115"/>
      <c r="AQ958" s="115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26"/>
      <c r="BB958" s="15"/>
      <c r="BE958" s="114"/>
    </row>
    <row r="959" spans="1:57" x14ac:dyDescent="0.4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22"/>
      <c r="AK959" s="122"/>
      <c r="AL959" s="122"/>
      <c r="AM959" s="115"/>
      <c r="AN959" s="115"/>
      <c r="AO959" s="115"/>
      <c r="AP959" s="115"/>
      <c r="AQ959" s="115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26"/>
      <c r="BB959" s="15"/>
      <c r="BE959" s="114"/>
    </row>
    <row r="960" spans="1:57" x14ac:dyDescent="0.4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22"/>
      <c r="AK960" s="122"/>
      <c r="AL960" s="122"/>
      <c r="AM960" s="115"/>
      <c r="AN960" s="115"/>
      <c r="AO960" s="115"/>
      <c r="AP960" s="115"/>
      <c r="AQ960" s="115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26"/>
      <c r="BB960" s="15"/>
      <c r="BE960" s="114"/>
    </row>
    <row r="961" spans="1:57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22"/>
      <c r="AK961" s="122"/>
      <c r="AL961" s="122"/>
      <c r="AM961" s="115"/>
      <c r="AN961" s="115"/>
      <c r="AO961" s="115"/>
      <c r="AP961" s="115"/>
      <c r="AQ961" s="115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26"/>
      <c r="BB961" s="15"/>
      <c r="BE961" s="114"/>
    </row>
    <row r="962" spans="1:57" x14ac:dyDescent="0.4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22"/>
      <c r="AK962" s="122"/>
      <c r="AL962" s="122"/>
      <c r="AM962" s="115"/>
      <c r="AN962" s="115"/>
      <c r="AO962" s="115"/>
      <c r="AP962" s="115"/>
      <c r="AQ962" s="115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26"/>
      <c r="BB962" s="15"/>
      <c r="BE962" s="114"/>
    </row>
    <row r="963" spans="1:57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22"/>
      <c r="AK963" s="122"/>
      <c r="AL963" s="122"/>
      <c r="AM963" s="115"/>
      <c r="AN963" s="115"/>
      <c r="AO963" s="115"/>
      <c r="AP963" s="115"/>
      <c r="AQ963" s="115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26"/>
      <c r="BB963" s="105"/>
      <c r="BE963" s="114"/>
    </row>
    <row r="964" spans="1:57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22"/>
      <c r="AK964" s="122"/>
      <c r="AL964" s="122"/>
      <c r="AM964" s="115"/>
      <c r="AN964" s="115"/>
      <c r="AO964" s="115"/>
      <c r="AP964" s="115"/>
      <c r="AQ964" s="115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17"/>
      <c r="BB964" s="15"/>
      <c r="BE964" s="114"/>
    </row>
    <row r="965" spans="1:57" x14ac:dyDescent="0.4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22"/>
      <c r="AK965" s="122"/>
      <c r="AL965" s="122"/>
      <c r="AM965" s="115"/>
      <c r="AN965" s="115"/>
      <c r="AO965" s="115"/>
      <c r="AP965" s="115"/>
      <c r="AQ965" s="115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26"/>
      <c r="BB965" s="15"/>
      <c r="BE965" s="114"/>
    </row>
    <row r="966" spans="1:57" x14ac:dyDescent="0.4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22"/>
      <c r="AK966" s="122"/>
      <c r="AL966" s="122"/>
      <c r="AM966" s="115"/>
      <c r="AN966" s="115"/>
      <c r="AO966" s="115"/>
      <c r="AP966" s="115"/>
      <c r="AQ966" s="115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26"/>
      <c r="BB966" s="15"/>
      <c r="BE966" s="114"/>
    </row>
    <row r="967" spans="1:57" x14ac:dyDescent="0.4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22"/>
      <c r="AK967" s="122"/>
      <c r="AL967" s="122"/>
      <c r="AM967" s="115"/>
      <c r="AN967" s="115"/>
      <c r="AO967" s="115"/>
      <c r="AP967" s="115"/>
      <c r="AQ967" s="115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26"/>
      <c r="BB967" s="105"/>
      <c r="BE967" s="114"/>
    </row>
    <row r="968" spans="1:57" x14ac:dyDescent="0.4">
      <c r="BA968" s="26"/>
      <c r="BB968" s="15"/>
      <c r="BE968" s="114"/>
    </row>
    <row r="969" spans="1:57" x14ac:dyDescent="0.4">
      <c r="AK969" s="122"/>
      <c r="AL969" s="122"/>
      <c r="AM969" s="115"/>
      <c r="AN969" s="115"/>
      <c r="AO969" s="115"/>
      <c r="AP969" s="115"/>
      <c r="AQ969" s="115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26"/>
      <c r="BB969" s="15"/>
      <c r="BE969" s="114"/>
    </row>
    <row r="970" spans="1:57" x14ac:dyDescent="0.4">
      <c r="AG970" s="115"/>
      <c r="AH970" s="115"/>
      <c r="AI970" s="115"/>
      <c r="AJ970" s="122"/>
      <c r="AK970" s="122"/>
      <c r="AL970" s="122"/>
      <c r="AM970" s="115"/>
      <c r="AN970" s="115"/>
      <c r="AO970" s="115"/>
      <c r="AP970" s="115"/>
      <c r="AQ970" s="115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26"/>
      <c r="BB970" s="15"/>
      <c r="BE970" s="114"/>
    </row>
    <row r="971" spans="1:57" x14ac:dyDescent="0.4"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22"/>
      <c r="AK971" s="122"/>
      <c r="AL971" s="122"/>
      <c r="AM971" s="115"/>
      <c r="AN971" s="115"/>
      <c r="AO971" s="115"/>
      <c r="AP971" s="115"/>
      <c r="AQ971" s="115"/>
      <c r="AR971" s="115"/>
      <c r="AS971" s="115"/>
      <c r="AT971" s="115"/>
      <c r="AU971" s="115"/>
      <c r="AV971" s="115"/>
      <c r="AW971" s="115"/>
      <c r="AX971" s="115"/>
      <c r="AY971" s="115"/>
      <c r="AZ971" s="115"/>
      <c r="BA971" s="26"/>
      <c r="BB971" s="15"/>
      <c r="BE971" s="114"/>
    </row>
    <row r="972" spans="1:57" x14ac:dyDescent="0.4"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22"/>
      <c r="AK972" s="122"/>
      <c r="AL972" s="122"/>
      <c r="AM972" s="115"/>
      <c r="AN972" s="115"/>
      <c r="AO972" s="115"/>
      <c r="AP972" s="115"/>
      <c r="AQ972" s="115"/>
      <c r="AR972" s="115"/>
      <c r="AS972" s="115"/>
      <c r="AT972" s="115"/>
      <c r="AU972" s="115"/>
      <c r="AV972" s="115"/>
      <c r="AW972" s="115"/>
      <c r="AX972" s="115"/>
      <c r="AY972" s="115"/>
      <c r="AZ972" s="115"/>
      <c r="BA972" s="17"/>
      <c r="BB972" s="15"/>
      <c r="BE972" s="114"/>
    </row>
    <row r="973" spans="1:57" x14ac:dyDescent="0.4"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22"/>
      <c r="AK973" s="122"/>
      <c r="AL973" s="122"/>
      <c r="AM973" s="115"/>
      <c r="AN973" s="115"/>
      <c r="AO973" s="115"/>
      <c r="AP973" s="115"/>
      <c r="AQ973" s="115"/>
      <c r="AR973" s="115"/>
      <c r="AS973" s="115"/>
      <c r="AT973" s="115"/>
      <c r="AU973" s="115"/>
      <c r="AV973" s="115"/>
      <c r="AW973" s="115"/>
      <c r="AX973" s="115"/>
      <c r="AY973" s="115"/>
      <c r="AZ973" s="115"/>
      <c r="BA973" s="26"/>
      <c r="BB973" s="15"/>
      <c r="BE973" s="114"/>
    </row>
    <row r="974" spans="1:57" x14ac:dyDescent="0.4"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22"/>
      <c r="AK974" s="122"/>
      <c r="AL974" s="122"/>
      <c r="AM974" s="115"/>
      <c r="AN974" s="115"/>
      <c r="AO974" s="115"/>
      <c r="AP974" s="115"/>
      <c r="AQ974" s="115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26"/>
      <c r="BB974" s="15"/>
      <c r="BE974" s="114"/>
    </row>
    <row r="975" spans="1:57" x14ac:dyDescent="0.4"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22"/>
      <c r="AK975" s="122"/>
      <c r="AL975" s="122"/>
      <c r="AM975" s="115"/>
      <c r="AN975" s="115"/>
      <c r="AO975" s="115"/>
      <c r="AP975" s="115"/>
      <c r="AQ975" s="115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26"/>
      <c r="BB975" s="15"/>
      <c r="BE975" s="114"/>
    </row>
    <row r="976" spans="1:57" x14ac:dyDescent="0.4"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22"/>
      <c r="AK976" s="122"/>
      <c r="AL976" s="122"/>
      <c r="AM976" s="115"/>
      <c r="AN976" s="115"/>
      <c r="AO976" s="115"/>
      <c r="AP976" s="115"/>
      <c r="AQ976" s="115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26"/>
      <c r="BB976" s="15"/>
      <c r="BE976" s="114"/>
    </row>
    <row r="977" spans="2:57" x14ac:dyDescent="0.4"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22"/>
      <c r="AK977" s="122"/>
      <c r="AL977" s="122"/>
      <c r="AM977" s="115"/>
      <c r="AN977" s="115"/>
      <c r="AO977" s="115"/>
      <c r="AP977" s="115"/>
      <c r="AQ977" s="115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26"/>
      <c r="BB977" s="15"/>
      <c r="BE977" s="114"/>
    </row>
    <row r="978" spans="2:57" x14ac:dyDescent="0.4"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22"/>
      <c r="AK978" s="122"/>
      <c r="AL978" s="122"/>
      <c r="AM978" s="115"/>
      <c r="AN978" s="115"/>
      <c r="AO978" s="115"/>
      <c r="AP978" s="115"/>
      <c r="AQ978" s="115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26"/>
      <c r="BB978" s="15"/>
      <c r="BE978" s="114"/>
    </row>
    <row r="979" spans="2:57" x14ac:dyDescent="0.4"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22"/>
      <c r="AK979" s="122"/>
      <c r="AL979" s="122"/>
      <c r="AM979" s="115"/>
      <c r="AN979" s="115"/>
      <c r="AO979" s="115"/>
      <c r="AP979" s="115"/>
      <c r="AQ979" s="115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26"/>
      <c r="BB979" s="15"/>
      <c r="BE979" s="114"/>
    </row>
    <row r="980" spans="2:57" x14ac:dyDescent="0.4"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22"/>
      <c r="AK980" s="122"/>
      <c r="AL980" s="122"/>
      <c r="AM980" s="115"/>
      <c r="AN980" s="115"/>
      <c r="AO980" s="115"/>
      <c r="AP980" s="115"/>
      <c r="AQ980" s="115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17"/>
      <c r="BB980" s="15"/>
      <c r="BE980" s="114"/>
    </row>
    <row r="981" spans="2:57" x14ac:dyDescent="0.4"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22"/>
      <c r="AK981" s="122"/>
      <c r="AL981" s="122"/>
      <c r="AM981" s="115"/>
      <c r="AN981" s="115"/>
      <c r="AO981" s="115"/>
      <c r="AP981" s="115"/>
      <c r="AQ981" s="115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26"/>
      <c r="BB981" s="15"/>
      <c r="BE981" s="114"/>
    </row>
    <row r="982" spans="2:57" x14ac:dyDescent="0.4"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22"/>
      <c r="AK982" s="122"/>
      <c r="AL982" s="122"/>
      <c r="AM982" s="115"/>
      <c r="AN982" s="115"/>
      <c r="AO982" s="115"/>
      <c r="AP982" s="115"/>
      <c r="AQ982" s="115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26"/>
      <c r="BB982" s="15"/>
      <c r="BE982" s="114"/>
    </row>
    <row r="983" spans="2:57" x14ac:dyDescent="0.4"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22"/>
      <c r="AK983" s="122"/>
      <c r="AL983" s="122"/>
      <c r="AM983" s="115"/>
      <c r="AN983" s="115"/>
      <c r="AO983" s="115"/>
      <c r="AP983" s="115"/>
      <c r="AQ983" s="115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26"/>
      <c r="BB983" s="15"/>
      <c r="BE983" s="114"/>
    </row>
    <row r="984" spans="2:57" x14ac:dyDescent="0.4"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22"/>
      <c r="AK984" s="122"/>
      <c r="AL984" s="122"/>
      <c r="AM984" s="115"/>
      <c r="AN984" s="115"/>
      <c r="AO984" s="115"/>
      <c r="AP984" s="115"/>
      <c r="AQ984" s="115"/>
      <c r="AR984" s="115"/>
      <c r="AS984" s="115"/>
      <c r="AT984" s="115"/>
      <c r="AU984" s="115"/>
      <c r="AV984" s="115"/>
      <c r="AW984" s="115"/>
      <c r="AX984" s="115"/>
      <c r="AY984" s="115"/>
      <c r="AZ984" s="115"/>
      <c r="BA984" s="26"/>
      <c r="BB984" s="15"/>
      <c r="BE984" s="114"/>
    </row>
    <row r="985" spans="2:57" x14ac:dyDescent="0.4"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22"/>
      <c r="AK985" s="122"/>
      <c r="AL985" s="122"/>
      <c r="AM985" s="115"/>
      <c r="AN985" s="115"/>
      <c r="AO985" s="115"/>
      <c r="AP985" s="115"/>
      <c r="AQ985" s="115"/>
      <c r="AR985" s="115"/>
      <c r="AS985" s="115"/>
      <c r="AT985" s="115"/>
      <c r="AU985" s="115"/>
      <c r="AV985" s="115"/>
      <c r="AW985" s="115"/>
      <c r="AX985" s="115"/>
      <c r="AY985" s="115"/>
      <c r="AZ985" s="115"/>
      <c r="BA985" s="26"/>
      <c r="BB985" s="15"/>
      <c r="BE985" s="114"/>
    </row>
    <row r="986" spans="2:57" x14ac:dyDescent="0.4"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22"/>
      <c r="AK986" s="122"/>
      <c r="AL986" s="122"/>
      <c r="AM986" s="115"/>
      <c r="AN986" s="115"/>
      <c r="AO986" s="115"/>
      <c r="AP986" s="115"/>
      <c r="AQ986" s="115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26"/>
      <c r="BB986" s="15"/>
      <c r="BE986" s="114"/>
    </row>
    <row r="987" spans="2:57" x14ac:dyDescent="0.4"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22"/>
      <c r="AK987" s="122"/>
      <c r="AL987" s="122"/>
      <c r="AM987" s="115"/>
      <c r="AN987" s="115"/>
      <c r="AO987" s="115"/>
      <c r="AP987" s="115"/>
      <c r="AQ987" s="115"/>
      <c r="AR987" s="115"/>
      <c r="AS987" s="115"/>
      <c r="AT987" s="115"/>
      <c r="AU987" s="115"/>
      <c r="AV987" s="115"/>
      <c r="AW987" s="115"/>
      <c r="AX987" s="115"/>
      <c r="AY987" s="115"/>
      <c r="AZ987" s="115"/>
      <c r="BA987" s="26"/>
      <c r="BB987" s="15"/>
      <c r="BE987" s="114"/>
    </row>
    <row r="988" spans="2:57" x14ac:dyDescent="0.4"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22"/>
      <c r="AK988" s="122"/>
      <c r="AL988" s="122"/>
      <c r="AM988" s="115"/>
      <c r="AN988" s="115"/>
      <c r="AO988" s="115"/>
      <c r="AP988" s="115"/>
      <c r="AQ988" s="115"/>
      <c r="AR988" s="115"/>
      <c r="AS988" s="115"/>
      <c r="AT988" s="115"/>
      <c r="AU988" s="115"/>
      <c r="AV988" s="115"/>
      <c r="AW988" s="115"/>
      <c r="AX988" s="115"/>
      <c r="AY988" s="115"/>
      <c r="AZ988" s="115"/>
      <c r="BA988" s="17"/>
      <c r="BB988" s="15"/>
      <c r="BE988" s="114"/>
    </row>
    <row r="989" spans="2:57" x14ac:dyDescent="0.4"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22"/>
      <c r="AK989" s="122"/>
      <c r="AL989" s="122"/>
      <c r="AM989" s="115"/>
      <c r="AN989" s="115"/>
      <c r="AO989" s="115"/>
      <c r="AP989" s="115"/>
      <c r="AQ989" s="115"/>
      <c r="AR989" s="115"/>
      <c r="AS989" s="115"/>
      <c r="AT989" s="115"/>
      <c r="AU989" s="115"/>
      <c r="AV989" s="115"/>
      <c r="AW989" s="115"/>
      <c r="AX989" s="115"/>
      <c r="AY989" s="115"/>
      <c r="AZ989" s="115"/>
      <c r="BA989" s="26"/>
      <c r="BB989" s="15"/>
      <c r="BE989" s="114"/>
    </row>
    <row r="990" spans="2:57" x14ac:dyDescent="0.4"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22"/>
      <c r="AK990" s="122"/>
      <c r="AL990" s="122"/>
      <c r="AM990" s="115"/>
      <c r="AN990" s="115"/>
      <c r="AO990" s="115"/>
      <c r="AP990" s="115"/>
      <c r="AQ990" s="115"/>
      <c r="AR990" s="115"/>
      <c r="AS990" s="115"/>
      <c r="AT990" s="115"/>
      <c r="AU990" s="115"/>
      <c r="AV990" s="115"/>
      <c r="AW990" s="115"/>
      <c r="AX990" s="115"/>
      <c r="AY990" s="115"/>
      <c r="AZ990" s="115"/>
      <c r="BA990" s="26"/>
      <c r="BB990" s="15"/>
      <c r="BE990" s="114"/>
    </row>
    <row r="991" spans="2:57" x14ac:dyDescent="0.4"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22"/>
      <c r="AK991" s="122"/>
      <c r="AL991" s="122"/>
      <c r="AM991" s="115"/>
      <c r="AN991" s="115"/>
      <c r="AO991" s="115"/>
      <c r="AP991" s="115"/>
      <c r="AQ991" s="115"/>
      <c r="AR991" s="115"/>
      <c r="AS991" s="115"/>
      <c r="AT991" s="115"/>
      <c r="AU991" s="115"/>
      <c r="AV991" s="115"/>
      <c r="AW991" s="115"/>
      <c r="AX991" s="115"/>
      <c r="AY991" s="115"/>
      <c r="AZ991" s="115"/>
      <c r="BA991" s="26"/>
      <c r="BB991" s="15"/>
      <c r="BE991" s="114"/>
    </row>
    <row r="992" spans="2:57" x14ac:dyDescent="0.4"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22"/>
      <c r="AK992" s="122"/>
      <c r="AL992" s="122"/>
      <c r="AM992" s="115"/>
      <c r="AN992" s="115"/>
      <c r="AO992" s="115"/>
      <c r="AP992" s="115"/>
      <c r="AQ992" s="115"/>
      <c r="AR992" s="115"/>
      <c r="AS992" s="115"/>
      <c r="AT992" s="115"/>
      <c r="AU992" s="115"/>
      <c r="AV992" s="115"/>
      <c r="AW992" s="115"/>
      <c r="AX992" s="115"/>
      <c r="AY992" s="115"/>
      <c r="AZ992" s="115"/>
      <c r="BA992" s="26"/>
      <c r="BB992" s="15"/>
      <c r="BE992" s="114"/>
    </row>
    <row r="993" spans="1:57" x14ac:dyDescent="0.4"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22"/>
      <c r="AK993" s="122"/>
      <c r="AL993" s="122"/>
      <c r="AM993" s="115"/>
      <c r="AN993" s="115"/>
      <c r="AO993" s="115"/>
      <c r="AP993" s="115"/>
      <c r="AQ993" s="115"/>
      <c r="AR993" s="115"/>
      <c r="AS993" s="115"/>
      <c r="AT993" s="115"/>
      <c r="AU993" s="115"/>
      <c r="AV993" s="115"/>
      <c r="AW993" s="115"/>
      <c r="AX993" s="115"/>
      <c r="AY993" s="115"/>
      <c r="AZ993" s="115"/>
      <c r="BA993" s="26"/>
      <c r="BB993" s="15"/>
      <c r="BE993" s="114"/>
    </row>
    <row r="994" spans="1:57" x14ac:dyDescent="0.4"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22"/>
      <c r="AK994" s="122"/>
      <c r="AL994" s="122"/>
      <c r="AM994" s="115"/>
      <c r="AN994" s="115"/>
      <c r="AO994" s="115"/>
      <c r="AP994" s="115"/>
      <c r="AQ994" s="115"/>
      <c r="AR994" s="115"/>
      <c r="AS994" s="115"/>
      <c r="AT994" s="115"/>
      <c r="AU994" s="115"/>
      <c r="AV994" s="115"/>
      <c r="AW994" s="115"/>
      <c r="AX994" s="115"/>
      <c r="AY994" s="115"/>
      <c r="AZ994" s="115"/>
      <c r="BA994" s="26"/>
      <c r="BB994" s="15"/>
      <c r="BE994" s="114"/>
    </row>
    <row r="995" spans="1:57" x14ac:dyDescent="0.4"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22"/>
      <c r="AK995" s="122"/>
      <c r="AL995" s="122"/>
      <c r="AM995" s="115"/>
      <c r="AN995" s="115"/>
      <c r="AO995" s="115"/>
      <c r="AP995" s="115"/>
      <c r="AQ995" s="115"/>
      <c r="AR995" s="115"/>
      <c r="AS995" s="115"/>
      <c r="AT995" s="115"/>
      <c r="AU995" s="115"/>
      <c r="AV995" s="115"/>
      <c r="AW995" s="115"/>
      <c r="AX995" s="115"/>
      <c r="AY995" s="115"/>
      <c r="AZ995" s="115"/>
      <c r="BA995" s="26"/>
      <c r="BB995" s="15"/>
      <c r="BE995" s="114"/>
    </row>
    <row r="996" spans="1:57" x14ac:dyDescent="0.4"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22"/>
      <c r="AK996" s="122"/>
      <c r="AL996" s="122"/>
      <c r="AM996" s="115"/>
      <c r="AN996" s="115"/>
      <c r="AO996" s="115"/>
      <c r="AP996" s="115"/>
      <c r="AQ996" s="115"/>
      <c r="AR996" s="115"/>
      <c r="AS996" s="115"/>
      <c r="AT996" s="115"/>
      <c r="AU996" s="115"/>
      <c r="AV996" s="115"/>
      <c r="AW996" s="115"/>
      <c r="AX996" s="115"/>
      <c r="AY996" s="115"/>
      <c r="AZ996" s="115"/>
      <c r="BA996" s="26"/>
      <c r="BB996" s="15"/>
      <c r="BE996" s="114"/>
    </row>
    <row r="997" spans="1:57" x14ac:dyDescent="0.4"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22"/>
      <c r="AK997" s="122"/>
      <c r="AL997" s="122"/>
      <c r="AM997" s="115"/>
      <c r="AN997" s="115"/>
      <c r="AO997" s="115"/>
      <c r="AP997" s="115"/>
      <c r="AQ997" s="115"/>
      <c r="AR997" s="115"/>
      <c r="AS997" s="115"/>
      <c r="AT997" s="115"/>
      <c r="AU997" s="115"/>
      <c r="AV997" s="115"/>
      <c r="AW997" s="115"/>
      <c r="AX997" s="115"/>
      <c r="AY997" s="115"/>
      <c r="AZ997" s="115"/>
      <c r="BA997" s="17"/>
      <c r="BB997" s="15"/>
      <c r="BE997" s="114"/>
    </row>
    <row r="998" spans="1:57" x14ac:dyDescent="0.4"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22"/>
      <c r="AK998" s="122"/>
      <c r="AL998" s="122"/>
      <c r="AM998" s="115"/>
      <c r="AN998" s="115"/>
      <c r="AO998" s="115"/>
      <c r="AP998" s="115"/>
      <c r="AQ998" s="115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26"/>
      <c r="BB998" s="15"/>
      <c r="BE998" s="114"/>
    </row>
    <row r="999" spans="1:57" x14ac:dyDescent="0.4"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22"/>
      <c r="AK999" s="122"/>
      <c r="AL999" s="122"/>
      <c r="AM999" s="115"/>
      <c r="AN999" s="115"/>
      <c r="AO999" s="115"/>
      <c r="AP999" s="115"/>
      <c r="AQ999" s="115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17"/>
      <c r="BB999" s="15"/>
      <c r="BE999" s="114"/>
    </row>
    <row r="1000" spans="1:57" x14ac:dyDescent="0.4"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22"/>
      <c r="AK1000" s="122"/>
      <c r="AL1000" s="122"/>
      <c r="AM1000" s="115"/>
      <c r="AN1000" s="115"/>
      <c r="AO1000" s="115"/>
      <c r="AP1000" s="115"/>
      <c r="AQ1000" s="115"/>
      <c r="AR1000" s="115"/>
      <c r="AS1000" s="115"/>
      <c r="AT1000" s="115"/>
      <c r="AU1000" s="115"/>
      <c r="AV1000" s="115"/>
      <c r="AW1000" s="115"/>
      <c r="AX1000" s="115"/>
      <c r="AY1000" s="115"/>
      <c r="AZ1000" s="115"/>
      <c r="BA1000" s="26"/>
      <c r="BB1000" s="15"/>
      <c r="BE1000" s="114"/>
    </row>
    <row r="1001" spans="1:57" x14ac:dyDescent="0.4"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22"/>
      <c r="AK1001" s="122"/>
      <c r="AL1001" s="122"/>
      <c r="AM1001" s="115"/>
      <c r="AN1001" s="115"/>
      <c r="AO1001" s="115"/>
      <c r="AP1001" s="115"/>
      <c r="AQ1001" s="115"/>
      <c r="AR1001" s="115"/>
      <c r="AS1001" s="115"/>
      <c r="AT1001" s="115"/>
      <c r="AU1001" s="115"/>
      <c r="AV1001" s="115"/>
      <c r="AW1001" s="115"/>
      <c r="AX1001" s="115"/>
      <c r="AY1001" s="115"/>
      <c r="AZ1001" s="115"/>
      <c r="BA1001" s="17"/>
      <c r="BB1001" s="15"/>
      <c r="BE1001" s="114"/>
    </row>
    <row r="1002" spans="1:57" x14ac:dyDescent="0.4"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22"/>
      <c r="AK1002" s="122"/>
      <c r="AL1002" s="122"/>
      <c r="AM1002" s="115"/>
      <c r="AN1002" s="115"/>
      <c r="AO1002" s="115"/>
      <c r="AP1002" s="115"/>
      <c r="AQ1002" s="115"/>
      <c r="AR1002" s="115"/>
      <c r="AS1002" s="115"/>
      <c r="AT1002" s="115"/>
      <c r="AU1002" s="115"/>
      <c r="AV1002" s="115"/>
      <c r="AW1002" s="115"/>
      <c r="AX1002" s="115"/>
      <c r="AY1002" s="115"/>
      <c r="AZ1002" s="115"/>
      <c r="BA1002" s="26"/>
      <c r="BB1002" s="15"/>
      <c r="BE1002" s="114"/>
    </row>
    <row r="1003" spans="1:57" x14ac:dyDescent="0.4"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22"/>
      <c r="AK1003" s="122"/>
      <c r="AL1003" s="122"/>
      <c r="AM1003" s="115"/>
      <c r="AN1003" s="115"/>
      <c r="AO1003" s="115"/>
      <c r="AP1003" s="115"/>
      <c r="AQ1003" s="115"/>
      <c r="AR1003" s="115"/>
      <c r="AS1003" s="115"/>
      <c r="AT1003" s="115"/>
      <c r="AU1003" s="115"/>
      <c r="AV1003" s="115"/>
      <c r="AW1003" s="115"/>
      <c r="AX1003" s="115"/>
      <c r="AY1003" s="115"/>
      <c r="AZ1003" s="115"/>
      <c r="BA1003" s="26"/>
      <c r="BB1003" s="15"/>
      <c r="BE1003" s="114"/>
    </row>
    <row r="1004" spans="1:57" x14ac:dyDescent="0.4"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22"/>
      <c r="AK1004" s="122"/>
      <c r="AL1004" s="122"/>
      <c r="AM1004" s="115"/>
      <c r="AN1004" s="115"/>
      <c r="AO1004" s="115"/>
      <c r="AP1004" s="115"/>
      <c r="AQ1004" s="115"/>
      <c r="AR1004" s="115"/>
      <c r="AS1004" s="115"/>
      <c r="AT1004" s="115"/>
      <c r="AU1004" s="115"/>
      <c r="AV1004" s="115"/>
      <c r="AW1004" s="115"/>
      <c r="AX1004" s="115"/>
      <c r="AY1004" s="115"/>
      <c r="AZ1004" s="115"/>
      <c r="BA1004" s="17"/>
      <c r="BB1004" s="15"/>
      <c r="BE1004" s="114"/>
    </row>
    <row r="1005" spans="1:57" x14ac:dyDescent="0.4"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22"/>
      <c r="AK1005" s="122"/>
      <c r="AL1005" s="122"/>
      <c r="AM1005" s="115"/>
      <c r="AN1005" s="115"/>
      <c r="AO1005" s="115"/>
      <c r="AP1005" s="115"/>
      <c r="AQ1005" s="115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26"/>
      <c r="BB1005" s="15"/>
      <c r="BE1005" s="114"/>
    </row>
    <row r="1006" spans="1:57" x14ac:dyDescent="0.4"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22"/>
      <c r="AK1006" s="122"/>
      <c r="AL1006" s="122"/>
      <c r="AM1006" s="115"/>
      <c r="AN1006" s="115"/>
      <c r="AO1006" s="115"/>
      <c r="AP1006" s="115"/>
      <c r="AQ1006" s="115"/>
      <c r="AR1006" s="115"/>
      <c r="AS1006" s="115"/>
      <c r="AT1006" s="115"/>
      <c r="AU1006" s="115"/>
      <c r="AV1006" s="115"/>
      <c r="AW1006" s="115"/>
      <c r="AX1006" s="115"/>
      <c r="AY1006" s="115"/>
      <c r="AZ1006" s="115"/>
      <c r="BA1006" s="26"/>
      <c r="BB1006" s="15"/>
      <c r="BE1006" s="114"/>
    </row>
    <row r="1007" spans="1:57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22"/>
      <c r="AK1007" s="122"/>
      <c r="AL1007" s="122"/>
      <c r="AM1007" s="115"/>
      <c r="AN1007" s="115"/>
      <c r="AO1007" s="115"/>
      <c r="AP1007" s="115"/>
      <c r="AQ1007" s="115"/>
      <c r="AR1007" s="115"/>
      <c r="AS1007" s="115"/>
      <c r="AT1007" s="115"/>
      <c r="AU1007" s="115"/>
      <c r="AV1007" s="115"/>
      <c r="AW1007" s="115"/>
      <c r="AX1007" s="115"/>
      <c r="AY1007" s="115"/>
      <c r="AZ1007" s="115"/>
      <c r="BA1007" s="26"/>
      <c r="BB1007" s="105"/>
      <c r="BE1007" s="114"/>
    </row>
    <row r="1008" spans="1:57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22"/>
      <c r="AK1008" s="122"/>
      <c r="AL1008" s="122"/>
      <c r="AM1008" s="115"/>
      <c r="AN1008" s="115"/>
      <c r="AO1008" s="115"/>
      <c r="AP1008" s="115"/>
      <c r="AQ1008" s="115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17"/>
      <c r="BB1008" s="15"/>
      <c r="BE1008" s="114"/>
    </row>
    <row r="1009" spans="1:57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22"/>
      <c r="AK1009" s="122"/>
      <c r="AL1009" s="122"/>
      <c r="AM1009" s="115"/>
      <c r="AN1009" s="115"/>
      <c r="AO1009" s="115"/>
      <c r="AP1009" s="115"/>
      <c r="AQ1009" s="115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17"/>
      <c r="BB1009" s="15"/>
      <c r="BE1009" s="114"/>
    </row>
    <row r="1010" spans="1:57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22"/>
      <c r="AK1010" s="122"/>
      <c r="AL1010" s="122"/>
      <c r="AM1010" s="115"/>
      <c r="AN1010" s="115"/>
      <c r="AO1010" s="115"/>
      <c r="AP1010" s="115"/>
      <c r="AQ1010" s="115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26"/>
      <c r="BB1010" s="15"/>
      <c r="BE1010" s="114"/>
    </row>
    <row r="1011" spans="1:57" x14ac:dyDescent="0.4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22"/>
      <c r="AK1011" s="122"/>
      <c r="AL1011" s="122"/>
      <c r="AM1011" s="115"/>
      <c r="AN1011" s="115"/>
      <c r="AO1011" s="115"/>
      <c r="AP1011" s="115"/>
      <c r="AQ1011" s="115"/>
      <c r="AR1011" s="115"/>
      <c r="AS1011" s="115"/>
      <c r="AT1011" s="115"/>
      <c r="AU1011" s="115"/>
      <c r="AV1011" s="115"/>
      <c r="AW1011" s="115"/>
      <c r="AX1011" s="115"/>
      <c r="AY1011" s="115"/>
      <c r="AZ1011" s="115"/>
      <c r="BA1011" s="26"/>
      <c r="BB1011" s="15"/>
      <c r="BE1011" s="114"/>
    </row>
    <row r="1012" spans="1:57" x14ac:dyDescent="0.4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22"/>
      <c r="AK1012" s="122"/>
      <c r="AL1012" s="122"/>
      <c r="AM1012" s="115"/>
      <c r="AN1012" s="115"/>
      <c r="AO1012" s="115"/>
      <c r="AP1012" s="115"/>
      <c r="AQ1012" s="115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26"/>
      <c r="BB1012" s="15"/>
      <c r="BE1012" s="114"/>
    </row>
    <row r="1013" spans="1:57" x14ac:dyDescent="0.4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22"/>
      <c r="AK1013" s="122"/>
      <c r="AL1013" s="122"/>
      <c r="AM1013" s="115"/>
      <c r="AN1013" s="115"/>
      <c r="AO1013" s="115"/>
      <c r="AP1013" s="115"/>
      <c r="AQ1013" s="115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26"/>
      <c r="BB1013" s="15"/>
      <c r="BE1013" s="114"/>
    </row>
    <row r="1014" spans="1:57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22"/>
      <c r="AK1014" s="122"/>
      <c r="AL1014" s="122"/>
      <c r="AM1014" s="115"/>
      <c r="AN1014" s="115"/>
      <c r="AO1014" s="115"/>
      <c r="AP1014" s="115"/>
      <c r="AQ1014" s="115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26"/>
      <c r="BB1014" s="15"/>
      <c r="BE1014" s="114"/>
    </row>
    <row r="1015" spans="1:57" x14ac:dyDescent="0.4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22"/>
      <c r="AK1015" s="122"/>
      <c r="AL1015" s="122"/>
      <c r="AM1015" s="115"/>
      <c r="AN1015" s="115"/>
      <c r="AO1015" s="115"/>
      <c r="AP1015" s="115"/>
      <c r="AQ1015" s="115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26"/>
      <c r="BB1015" s="15"/>
      <c r="BE1015" s="114"/>
    </row>
    <row r="1016" spans="1:57" x14ac:dyDescent="0.4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22"/>
      <c r="AK1016" s="122"/>
      <c r="AL1016" s="122"/>
      <c r="AM1016" s="115"/>
      <c r="AN1016" s="115"/>
      <c r="AO1016" s="115"/>
      <c r="AP1016" s="115"/>
      <c r="AQ1016" s="115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26"/>
      <c r="BB1016" s="15"/>
      <c r="BE1016" s="114"/>
    </row>
    <row r="1017" spans="1:57" x14ac:dyDescent="0.4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22"/>
      <c r="AK1017" s="122"/>
      <c r="AL1017" s="122"/>
      <c r="AM1017" s="115"/>
      <c r="AN1017" s="115"/>
      <c r="AO1017" s="115"/>
      <c r="AP1017" s="115"/>
      <c r="AQ1017" s="115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26"/>
      <c r="BB1017" s="15"/>
      <c r="BE1017" s="114"/>
    </row>
    <row r="1018" spans="1:57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22"/>
      <c r="AK1018" s="122"/>
      <c r="AL1018" s="122"/>
      <c r="AM1018" s="115"/>
      <c r="AN1018" s="115"/>
      <c r="AO1018" s="115"/>
      <c r="AP1018" s="115"/>
      <c r="AQ1018" s="115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26"/>
      <c r="BB1018" s="105"/>
      <c r="BE1018" s="114"/>
    </row>
    <row r="1019" spans="1:57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22"/>
      <c r="AK1019" s="122"/>
      <c r="AL1019" s="122"/>
      <c r="AM1019" s="115"/>
      <c r="AN1019" s="115"/>
      <c r="AO1019" s="115"/>
      <c r="AP1019" s="115"/>
      <c r="AQ1019" s="115"/>
      <c r="AR1019" s="115"/>
      <c r="AS1019" s="115"/>
      <c r="AT1019" s="115"/>
      <c r="AU1019" s="115"/>
      <c r="AV1019" s="115"/>
      <c r="AW1019" s="115"/>
      <c r="AX1019" s="115"/>
      <c r="AY1019" s="115"/>
      <c r="AZ1019" s="115"/>
      <c r="BA1019" s="26"/>
      <c r="BB1019" s="15"/>
      <c r="BE1019" s="114"/>
    </row>
    <row r="1020" spans="1:57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22"/>
      <c r="AK1020" s="122"/>
      <c r="AL1020" s="122"/>
      <c r="AM1020" s="115"/>
      <c r="AN1020" s="115"/>
      <c r="AO1020" s="115"/>
      <c r="AP1020" s="115"/>
      <c r="AQ1020" s="115"/>
      <c r="AR1020" s="115"/>
      <c r="AS1020" s="115"/>
      <c r="AT1020" s="115"/>
      <c r="AU1020" s="115"/>
      <c r="AV1020" s="115"/>
      <c r="AW1020" s="115"/>
      <c r="AX1020" s="115"/>
      <c r="AY1020" s="115"/>
      <c r="AZ1020" s="115"/>
      <c r="BA1020" s="26"/>
      <c r="BB1020" s="15"/>
      <c r="BE1020" s="114"/>
    </row>
    <row r="1021" spans="1:57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22"/>
      <c r="AK1021" s="122"/>
      <c r="AL1021" s="122"/>
      <c r="AM1021" s="115"/>
      <c r="AN1021" s="115"/>
      <c r="AO1021" s="115"/>
      <c r="AP1021" s="115"/>
      <c r="AQ1021" s="115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26"/>
      <c r="BB1021" s="13"/>
      <c r="BE1021" s="114"/>
    </row>
    <row r="1022" spans="1:57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22"/>
      <c r="AK1022" s="122"/>
      <c r="AL1022" s="122"/>
      <c r="AM1022" s="115"/>
      <c r="AN1022" s="115"/>
      <c r="AO1022" s="115"/>
      <c r="AP1022" s="115"/>
      <c r="AQ1022" s="115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17"/>
      <c r="BB1022" s="13"/>
      <c r="BE1022" s="114"/>
    </row>
    <row r="1023" spans="1:57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22"/>
      <c r="AK1023" s="122"/>
      <c r="AL1023" s="122"/>
      <c r="AM1023" s="115"/>
      <c r="AN1023" s="115"/>
      <c r="AO1023" s="115"/>
      <c r="AP1023" s="115"/>
      <c r="AQ1023" s="115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26"/>
      <c r="BB1023" s="13"/>
      <c r="BE1023" s="114"/>
    </row>
    <row r="1024" spans="1:57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22"/>
      <c r="AK1024" s="122"/>
      <c r="AL1024" s="122"/>
      <c r="AM1024" s="115"/>
      <c r="AN1024" s="115"/>
      <c r="AO1024" s="115"/>
      <c r="AP1024" s="115"/>
      <c r="AQ1024" s="115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26"/>
      <c r="BB1024" s="13"/>
      <c r="BE1024" s="114"/>
    </row>
    <row r="1025" spans="1:57" x14ac:dyDescent="0.4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22"/>
      <c r="AK1025" s="122"/>
      <c r="AL1025" s="122"/>
      <c r="AM1025" s="115"/>
      <c r="AN1025" s="115"/>
      <c r="AO1025" s="115"/>
      <c r="AP1025" s="115"/>
      <c r="AQ1025" s="115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26"/>
      <c r="BB1025" s="13"/>
      <c r="BE1025" s="114"/>
    </row>
    <row r="1026" spans="1:57" x14ac:dyDescent="0.4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22"/>
      <c r="AK1026" s="122"/>
      <c r="AL1026" s="122"/>
      <c r="AM1026" s="115"/>
      <c r="AN1026" s="115"/>
      <c r="AO1026" s="115"/>
      <c r="AP1026" s="115"/>
      <c r="AQ1026" s="115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26"/>
      <c r="BB1026" s="13"/>
      <c r="BE1026" s="114"/>
    </row>
    <row r="1027" spans="1:57" x14ac:dyDescent="0.4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22"/>
      <c r="AK1027" s="122"/>
      <c r="AL1027" s="122"/>
      <c r="AM1027" s="115"/>
      <c r="AN1027" s="115"/>
      <c r="AO1027" s="115"/>
      <c r="AP1027" s="115"/>
      <c r="AQ1027" s="115"/>
      <c r="AR1027" s="115"/>
      <c r="AS1027" s="115"/>
      <c r="AT1027" s="115"/>
      <c r="AU1027" s="115"/>
      <c r="AV1027" s="115"/>
      <c r="AW1027" s="115"/>
      <c r="AX1027" s="115"/>
      <c r="AY1027" s="115"/>
      <c r="AZ1027" s="115"/>
      <c r="BA1027" s="26"/>
      <c r="BB1027" s="13"/>
      <c r="BE1027" s="114"/>
    </row>
    <row r="1028" spans="1:57" x14ac:dyDescent="0.4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22"/>
      <c r="AK1028" s="122"/>
      <c r="AL1028" s="122"/>
      <c r="AM1028" s="115"/>
      <c r="AN1028" s="115"/>
      <c r="AO1028" s="115"/>
      <c r="AP1028" s="115"/>
      <c r="AQ1028" s="115"/>
      <c r="AR1028" s="115"/>
      <c r="AS1028" s="115"/>
      <c r="AT1028" s="115"/>
      <c r="AU1028" s="115"/>
      <c r="AV1028" s="115"/>
      <c r="AW1028" s="115"/>
      <c r="AX1028" s="115"/>
      <c r="AY1028" s="115"/>
      <c r="AZ1028" s="115"/>
      <c r="BA1028" s="26"/>
      <c r="BB1028" s="13"/>
      <c r="BE1028" s="114"/>
    </row>
    <row r="1029" spans="1:57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22"/>
      <c r="AK1029" s="122"/>
      <c r="AL1029" s="122"/>
      <c r="AM1029" s="115"/>
      <c r="AN1029" s="115"/>
      <c r="AO1029" s="115"/>
      <c r="AP1029" s="115"/>
      <c r="AQ1029" s="115"/>
      <c r="AR1029" s="115"/>
      <c r="AS1029" s="115"/>
      <c r="AT1029" s="115"/>
      <c r="AU1029" s="115"/>
      <c r="AV1029" s="115"/>
      <c r="AW1029" s="115"/>
      <c r="AX1029" s="115"/>
      <c r="AY1029" s="115"/>
      <c r="AZ1029" s="115"/>
      <c r="BA1029" s="17"/>
      <c r="BB1029" s="13"/>
      <c r="BE1029" s="114"/>
    </row>
    <row r="1030" spans="1:57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22"/>
      <c r="AK1030" s="122"/>
      <c r="AL1030" s="122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26"/>
      <c r="BB1030" s="13"/>
      <c r="BE1030" s="114"/>
    </row>
    <row r="1031" spans="1:57" x14ac:dyDescent="0.4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22"/>
      <c r="AK1031" s="122"/>
      <c r="AL1031" s="122"/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26"/>
      <c r="BB1031" s="13"/>
      <c r="BE1031" s="114"/>
    </row>
    <row r="1032" spans="1:57" x14ac:dyDescent="0.4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22"/>
      <c r="AK1032" s="122"/>
      <c r="AL1032" s="122"/>
      <c r="AM1032" s="115"/>
      <c r="AN1032" s="115"/>
      <c r="AO1032" s="115"/>
      <c r="AP1032" s="115"/>
      <c r="AQ1032" s="115"/>
      <c r="AR1032" s="115"/>
      <c r="AS1032" s="115"/>
      <c r="AT1032" s="115"/>
      <c r="AU1032" s="115"/>
      <c r="AV1032" s="115"/>
      <c r="AW1032" s="115"/>
      <c r="AX1032" s="115"/>
      <c r="AY1032" s="115"/>
      <c r="AZ1032" s="115"/>
      <c r="BA1032" s="26"/>
      <c r="BB1032" s="13"/>
      <c r="BE1032" s="114"/>
    </row>
    <row r="1033" spans="1:57" x14ac:dyDescent="0.4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22"/>
      <c r="AK1033" s="122"/>
      <c r="AL1033" s="122"/>
      <c r="AM1033" s="115"/>
      <c r="AN1033" s="115"/>
      <c r="AO1033" s="115"/>
      <c r="AP1033" s="115"/>
      <c r="AQ1033" s="115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26"/>
      <c r="BB1033" s="13"/>
      <c r="BE1033" s="114"/>
    </row>
    <row r="1034" spans="1:57" x14ac:dyDescent="0.4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22"/>
      <c r="AK1034" s="122"/>
      <c r="AL1034" s="122"/>
      <c r="AM1034" s="115"/>
      <c r="AN1034" s="115"/>
      <c r="AO1034" s="115"/>
      <c r="AP1034" s="115"/>
      <c r="AQ1034" s="115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26"/>
      <c r="BB1034" s="25"/>
      <c r="BE1034" s="114"/>
    </row>
    <row r="1035" spans="1:57" x14ac:dyDescent="0.4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22"/>
      <c r="AK1035" s="122"/>
      <c r="AL1035" s="122"/>
      <c r="AM1035" s="115"/>
      <c r="AN1035" s="115"/>
      <c r="AO1035" s="115"/>
      <c r="AP1035" s="115"/>
      <c r="AQ1035" s="115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17"/>
      <c r="BB1035" s="13"/>
      <c r="BE1035" s="114"/>
    </row>
    <row r="1036" spans="1:57" x14ac:dyDescent="0.4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22"/>
      <c r="AK1036" s="122"/>
      <c r="AL1036" s="122"/>
      <c r="AM1036" s="115"/>
      <c r="AN1036" s="115"/>
      <c r="AO1036" s="115"/>
      <c r="AP1036" s="115"/>
      <c r="AQ1036" s="115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26"/>
      <c r="BB1036" s="15"/>
      <c r="BE1036" s="114"/>
    </row>
    <row r="1037" spans="1:57" x14ac:dyDescent="0.4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22"/>
      <c r="AK1037" s="122"/>
      <c r="AL1037" s="122"/>
      <c r="AM1037" s="115"/>
      <c r="AN1037" s="115"/>
      <c r="AO1037" s="115"/>
      <c r="AP1037" s="115"/>
      <c r="AQ1037" s="115"/>
      <c r="AR1037" s="115"/>
      <c r="AS1037" s="115"/>
      <c r="AT1037" s="115"/>
      <c r="AU1037" s="115"/>
      <c r="AV1037" s="115"/>
      <c r="AW1037" s="115"/>
      <c r="AX1037" s="115"/>
      <c r="AY1037" s="115"/>
      <c r="AZ1037" s="115"/>
      <c r="BA1037" s="26"/>
      <c r="BB1037" s="15"/>
      <c r="BE1037" s="114"/>
    </row>
    <row r="1038" spans="1:57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22"/>
      <c r="AK1038" s="122"/>
      <c r="AL1038" s="122"/>
      <c r="AM1038" s="115"/>
      <c r="AN1038" s="115"/>
      <c r="AO1038" s="115"/>
      <c r="AP1038" s="115"/>
      <c r="AQ1038" s="115"/>
      <c r="AR1038" s="115"/>
      <c r="AS1038" s="115"/>
      <c r="AT1038" s="115"/>
      <c r="AU1038" s="115"/>
      <c r="AV1038" s="115"/>
      <c r="AW1038" s="115"/>
      <c r="AX1038" s="115"/>
      <c r="AY1038" s="115"/>
      <c r="AZ1038" s="115"/>
      <c r="BA1038" s="17"/>
      <c r="BB1038" s="15"/>
      <c r="BE1038" s="114"/>
    </row>
    <row r="1039" spans="1:57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22"/>
      <c r="AK1039" s="122"/>
      <c r="AL1039" s="122"/>
      <c r="AM1039" s="115"/>
      <c r="AN1039" s="115"/>
      <c r="AO1039" s="115"/>
      <c r="AP1039" s="115"/>
      <c r="AQ1039" s="115"/>
      <c r="AR1039" s="115"/>
      <c r="AS1039" s="115"/>
      <c r="AT1039" s="115"/>
      <c r="AU1039" s="115"/>
      <c r="AV1039" s="115"/>
      <c r="AW1039" s="115"/>
      <c r="AX1039" s="115"/>
      <c r="AY1039" s="115"/>
      <c r="AZ1039" s="115"/>
      <c r="BA1039" s="26"/>
      <c r="BB1039" s="15"/>
      <c r="BE1039" s="114"/>
    </row>
    <row r="1040" spans="1:57" x14ac:dyDescent="0.4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22"/>
      <c r="AK1040" s="122"/>
      <c r="AL1040" s="122"/>
      <c r="AM1040" s="115"/>
      <c r="AN1040" s="115"/>
      <c r="AO1040" s="115"/>
      <c r="AP1040" s="115"/>
      <c r="AQ1040" s="115"/>
      <c r="AR1040" s="115"/>
      <c r="AS1040" s="115"/>
      <c r="AT1040" s="115"/>
      <c r="AU1040" s="115"/>
      <c r="AV1040" s="115"/>
      <c r="AW1040" s="115"/>
      <c r="AX1040" s="115"/>
      <c r="AY1040" s="115"/>
      <c r="AZ1040" s="115"/>
      <c r="BA1040" s="26"/>
      <c r="BB1040" s="15"/>
      <c r="BE1040" s="114"/>
    </row>
    <row r="1041" spans="1:57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22"/>
      <c r="AK1041" s="122"/>
      <c r="AL1041" s="122"/>
      <c r="AM1041" s="115"/>
      <c r="AN1041" s="115"/>
      <c r="AO1041" s="115"/>
      <c r="AP1041" s="115"/>
      <c r="AQ1041" s="115"/>
      <c r="AR1041" s="115"/>
      <c r="AS1041" s="115"/>
      <c r="AT1041" s="115"/>
      <c r="AU1041" s="115"/>
      <c r="AV1041" s="115"/>
      <c r="AW1041" s="115"/>
      <c r="AX1041" s="115"/>
      <c r="AY1041" s="115"/>
      <c r="AZ1041" s="115"/>
      <c r="BA1041" s="26"/>
      <c r="BB1041" s="13"/>
      <c r="BE1041" s="114"/>
    </row>
    <row r="1042" spans="1:57" x14ac:dyDescent="0.4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22"/>
      <c r="AK1042" s="122"/>
      <c r="AL1042" s="122"/>
      <c r="AM1042" s="115"/>
      <c r="AN1042" s="115"/>
      <c r="AO1042" s="115"/>
      <c r="AP1042" s="115"/>
      <c r="AQ1042" s="115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26"/>
      <c r="BB1042" s="13"/>
      <c r="BE1042" s="114"/>
    </row>
    <row r="1043" spans="1:57" x14ac:dyDescent="0.4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22"/>
      <c r="AK1043" s="122"/>
      <c r="AL1043" s="122"/>
      <c r="AM1043" s="115"/>
      <c r="AN1043" s="115"/>
      <c r="AO1043" s="115"/>
      <c r="AP1043" s="115"/>
      <c r="AQ1043" s="115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26"/>
      <c r="BB1043" s="13"/>
      <c r="BE1043" s="114"/>
    </row>
    <row r="1044" spans="1:57" x14ac:dyDescent="0.4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22"/>
      <c r="AK1044" s="122"/>
      <c r="AL1044" s="122"/>
      <c r="AM1044" s="115"/>
      <c r="AN1044" s="115"/>
      <c r="AO1044" s="115"/>
      <c r="AP1044" s="115"/>
      <c r="AQ1044" s="115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26"/>
      <c r="BB1044" s="13"/>
      <c r="BE1044" s="114"/>
    </row>
    <row r="1045" spans="1:57" x14ac:dyDescent="0.4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22"/>
      <c r="AK1045" s="122"/>
      <c r="AL1045" s="122"/>
      <c r="AM1045" s="115"/>
      <c r="AN1045" s="115"/>
      <c r="AO1045" s="115"/>
      <c r="AP1045" s="115"/>
      <c r="AQ1045" s="115"/>
      <c r="AR1045" s="115"/>
      <c r="AS1045" s="115"/>
      <c r="AT1045" s="115"/>
      <c r="AU1045" s="115"/>
      <c r="AV1045" s="115"/>
      <c r="AW1045" s="115"/>
      <c r="AX1045" s="115"/>
      <c r="AY1045" s="115"/>
      <c r="AZ1045" s="115"/>
      <c r="BA1045" s="26"/>
      <c r="BB1045" s="13"/>
      <c r="BE1045" s="114"/>
    </row>
    <row r="1046" spans="1:57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22"/>
      <c r="AK1046" s="122"/>
      <c r="AL1046" s="122"/>
      <c r="AM1046" s="115"/>
      <c r="AN1046" s="115"/>
      <c r="AO1046" s="115"/>
      <c r="AP1046" s="115"/>
      <c r="AQ1046" s="115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26"/>
      <c r="BB1046" s="13"/>
      <c r="BE1046" s="114"/>
    </row>
    <row r="1047" spans="1:57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22"/>
      <c r="AK1047" s="122"/>
      <c r="AL1047" s="122"/>
      <c r="AM1047" s="115"/>
      <c r="AN1047" s="115"/>
      <c r="AO1047" s="115"/>
      <c r="AP1047" s="115"/>
      <c r="AQ1047" s="115"/>
      <c r="AR1047" s="115"/>
      <c r="AS1047" s="115"/>
      <c r="AT1047" s="115"/>
      <c r="AU1047" s="115"/>
      <c r="AV1047" s="115"/>
      <c r="AW1047" s="115"/>
      <c r="AX1047" s="115"/>
      <c r="AY1047" s="115"/>
      <c r="AZ1047" s="115"/>
      <c r="BA1047" s="26"/>
      <c r="BB1047" s="13"/>
      <c r="BE1047" s="114"/>
    </row>
    <row r="1048" spans="1:57" x14ac:dyDescent="0.4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22"/>
      <c r="AK1048" s="122"/>
      <c r="AL1048" s="122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115"/>
      <c r="AW1048" s="115"/>
      <c r="AX1048" s="115"/>
      <c r="AY1048" s="115"/>
      <c r="AZ1048" s="115"/>
      <c r="BA1048" s="26"/>
      <c r="BB1048" s="13"/>
      <c r="BE1048" s="114"/>
    </row>
    <row r="1049" spans="1:57" x14ac:dyDescent="0.4">
      <c r="A1049" s="115"/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22"/>
      <c r="AK1049" s="122"/>
      <c r="AL1049" s="122"/>
      <c r="AM1049" s="115"/>
      <c r="AN1049" s="115"/>
      <c r="AO1049" s="115"/>
      <c r="AP1049" s="115"/>
      <c r="AQ1049" s="115"/>
      <c r="AR1049" s="115"/>
      <c r="AS1049" s="115"/>
      <c r="AT1049" s="115"/>
      <c r="AU1049" s="115"/>
      <c r="AV1049" s="115"/>
      <c r="AW1049" s="115"/>
      <c r="AX1049" s="115"/>
      <c r="AY1049" s="115"/>
      <c r="AZ1049" s="115"/>
      <c r="BA1049" s="17"/>
      <c r="BB1049" s="13"/>
      <c r="BE1049" s="114"/>
    </row>
    <row r="1050" spans="1:57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22"/>
      <c r="AK1050" s="122"/>
      <c r="AL1050" s="122"/>
      <c r="AM1050" s="115"/>
      <c r="AN1050" s="115"/>
      <c r="AO1050" s="115"/>
      <c r="AP1050" s="115"/>
      <c r="AQ1050" s="115"/>
      <c r="AR1050" s="115"/>
      <c r="AS1050" s="115"/>
      <c r="AT1050" s="115"/>
      <c r="AU1050" s="115"/>
      <c r="AV1050" s="115"/>
      <c r="AW1050" s="115"/>
      <c r="AX1050" s="115"/>
      <c r="AY1050" s="115"/>
      <c r="AZ1050" s="115"/>
      <c r="BA1050" s="26"/>
      <c r="BB1050" s="13"/>
      <c r="BE1050" s="114"/>
    </row>
    <row r="1051" spans="1:57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22"/>
      <c r="AK1051" s="122"/>
      <c r="AL1051" s="122"/>
      <c r="AM1051" s="115"/>
      <c r="AN1051" s="115"/>
      <c r="AO1051" s="115"/>
      <c r="AP1051" s="115"/>
      <c r="AQ1051" s="115"/>
      <c r="AR1051" s="115"/>
      <c r="AS1051" s="115"/>
      <c r="AT1051" s="115"/>
      <c r="AU1051" s="115"/>
      <c r="AV1051" s="115"/>
      <c r="AW1051" s="115"/>
      <c r="AX1051" s="115"/>
      <c r="AY1051" s="115"/>
      <c r="AZ1051" s="115"/>
      <c r="BA1051" s="17"/>
      <c r="BB1051" s="13"/>
      <c r="BE1051" s="114"/>
    </row>
    <row r="1052" spans="1:57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22"/>
      <c r="AK1052" s="122"/>
      <c r="AL1052" s="122"/>
      <c r="AM1052" s="115"/>
      <c r="AN1052" s="115"/>
      <c r="AO1052" s="115"/>
      <c r="AP1052" s="115"/>
      <c r="AQ1052" s="115"/>
      <c r="AR1052" s="115"/>
      <c r="AS1052" s="115"/>
      <c r="AT1052" s="115"/>
      <c r="AU1052" s="115"/>
      <c r="AV1052" s="115"/>
      <c r="AW1052" s="115"/>
      <c r="AX1052" s="115"/>
      <c r="AY1052" s="115"/>
      <c r="AZ1052" s="115"/>
      <c r="BA1052" s="26"/>
      <c r="BB1052" s="13"/>
      <c r="BE1052" s="114"/>
    </row>
    <row r="1053" spans="1:57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22"/>
      <c r="AK1053" s="122"/>
      <c r="AL1053" s="122"/>
      <c r="AM1053" s="115"/>
      <c r="AN1053" s="115"/>
      <c r="AO1053" s="115"/>
      <c r="AP1053" s="115"/>
      <c r="AQ1053" s="115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26"/>
      <c r="BB1053" s="13"/>
      <c r="BE1053" s="114"/>
    </row>
    <row r="1054" spans="1:57" x14ac:dyDescent="0.4">
      <c r="A1054" s="115"/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22"/>
      <c r="AK1054" s="122"/>
      <c r="AL1054" s="122"/>
      <c r="AM1054" s="115"/>
      <c r="AN1054" s="115"/>
      <c r="AO1054" s="115"/>
      <c r="AP1054" s="115"/>
      <c r="AQ1054" s="115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26"/>
      <c r="BB1054" s="13"/>
      <c r="BE1054" s="114"/>
    </row>
    <row r="1055" spans="1:57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22"/>
      <c r="AK1055" s="122"/>
      <c r="AL1055" s="122"/>
      <c r="AM1055" s="115"/>
      <c r="AN1055" s="115"/>
      <c r="AO1055" s="115"/>
      <c r="AP1055" s="115"/>
      <c r="AQ1055" s="115"/>
      <c r="AR1055" s="115"/>
      <c r="AS1055" s="115"/>
      <c r="AT1055" s="115"/>
      <c r="AU1055" s="115"/>
      <c r="AV1055" s="115"/>
      <c r="AW1055" s="115"/>
      <c r="AX1055" s="115"/>
      <c r="AY1055" s="115"/>
      <c r="AZ1055" s="115"/>
      <c r="BA1055" s="26"/>
      <c r="BB1055" s="15"/>
      <c r="BE1055" s="114"/>
    </row>
    <row r="1056" spans="1:57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22"/>
      <c r="AK1056" s="122"/>
      <c r="AL1056" s="122"/>
      <c r="AM1056" s="115"/>
      <c r="AN1056" s="115"/>
      <c r="AO1056" s="115"/>
      <c r="AP1056" s="115"/>
      <c r="AQ1056" s="115"/>
      <c r="AR1056" s="115"/>
      <c r="AS1056" s="115"/>
      <c r="AT1056" s="115"/>
      <c r="AU1056" s="115"/>
      <c r="AV1056" s="115"/>
      <c r="AW1056" s="115"/>
      <c r="AX1056" s="115"/>
      <c r="AY1056" s="115"/>
      <c r="AZ1056" s="115"/>
      <c r="BA1056" s="26"/>
      <c r="BB1056" s="15"/>
      <c r="BE1056" s="114"/>
    </row>
    <row r="1057" spans="1:58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22"/>
      <c r="AK1057" s="122"/>
      <c r="AL1057" s="122"/>
      <c r="AM1057" s="115"/>
      <c r="AN1057" s="115"/>
      <c r="AO1057" s="115"/>
      <c r="AP1057" s="115"/>
      <c r="AQ1057" s="115"/>
      <c r="AR1057" s="115"/>
      <c r="AS1057" s="115"/>
      <c r="AT1057" s="115"/>
      <c r="AU1057" s="115"/>
      <c r="AV1057" s="115"/>
      <c r="AW1057" s="115"/>
      <c r="AX1057" s="115"/>
      <c r="AY1057" s="115"/>
      <c r="AZ1057" s="115"/>
      <c r="BA1057" s="26"/>
      <c r="BB1057" s="15"/>
      <c r="BE1057" s="114"/>
    </row>
    <row r="1058" spans="1:58" x14ac:dyDescent="0.4">
      <c r="A1058" s="115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22"/>
      <c r="AK1058" s="122"/>
      <c r="AL1058" s="122"/>
      <c r="AM1058" s="115"/>
      <c r="AN1058" s="115"/>
      <c r="AO1058" s="115"/>
      <c r="AP1058" s="115"/>
      <c r="AQ1058" s="115"/>
      <c r="AR1058" s="115"/>
      <c r="AS1058" s="115"/>
      <c r="AT1058" s="115"/>
      <c r="AU1058" s="115"/>
      <c r="AV1058" s="115"/>
      <c r="AW1058" s="115"/>
      <c r="AX1058" s="115"/>
      <c r="AY1058" s="115"/>
      <c r="AZ1058" s="115"/>
      <c r="BA1058" s="26"/>
      <c r="BB1058" s="13"/>
      <c r="BE1058" s="114"/>
    </row>
    <row r="1059" spans="1:58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22"/>
      <c r="AK1059" s="122"/>
      <c r="AL1059" s="122"/>
      <c r="AM1059" s="115"/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115"/>
      <c r="AX1059" s="115"/>
      <c r="AY1059" s="115"/>
      <c r="AZ1059" s="115"/>
      <c r="BA1059" s="26"/>
      <c r="BB1059" s="15"/>
      <c r="BE1059" s="114"/>
    </row>
    <row r="1060" spans="1:58" x14ac:dyDescent="0.4">
      <c r="A1060" s="115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22"/>
      <c r="AK1060" s="122"/>
      <c r="AL1060" s="122"/>
      <c r="AM1060" s="115"/>
      <c r="AN1060" s="115"/>
      <c r="AO1060" s="115"/>
      <c r="AP1060" s="115"/>
      <c r="AQ1060" s="115"/>
      <c r="AR1060" s="115"/>
      <c r="AS1060" s="115"/>
      <c r="AT1060" s="115"/>
      <c r="AU1060" s="115"/>
      <c r="AV1060" s="115"/>
      <c r="AW1060" s="115"/>
      <c r="AX1060" s="115"/>
      <c r="AY1060" s="115"/>
      <c r="AZ1060" s="115"/>
      <c r="BA1060" s="26"/>
      <c r="BB1060" s="15"/>
      <c r="BE1060" s="114"/>
      <c r="BF1060" s="120"/>
    </row>
    <row r="1061" spans="1:58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22"/>
      <c r="AK1061" s="122"/>
      <c r="AL1061" s="122"/>
      <c r="AM1061" s="115"/>
      <c r="AN1061" s="115"/>
      <c r="AO1061" s="115"/>
      <c r="AP1061" s="115"/>
      <c r="AQ1061" s="115"/>
      <c r="AR1061" s="115"/>
      <c r="AS1061" s="115"/>
      <c r="AT1061" s="115"/>
      <c r="AU1061" s="115"/>
      <c r="AV1061" s="115"/>
      <c r="AW1061" s="115"/>
      <c r="AX1061" s="115"/>
      <c r="AY1061" s="115"/>
      <c r="AZ1061" s="115"/>
      <c r="BA1061" s="26"/>
      <c r="BB1061" s="15"/>
      <c r="BE1061" s="114"/>
      <c r="BF1061" s="120"/>
    </row>
    <row r="1062" spans="1:58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22"/>
      <c r="AK1062" s="122"/>
      <c r="AL1062" s="122"/>
      <c r="AM1062" s="115"/>
      <c r="AN1062" s="115"/>
      <c r="AO1062" s="115"/>
      <c r="AP1062" s="115"/>
      <c r="AQ1062" s="115"/>
      <c r="AR1062" s="115"/>
      <c r="AS1062" s="115"/>
      <c r="AT1062" s="115"/>
      <c r="AU1062" s="115"/>
      <c r="AV1062" s="115"/>
      <c r="AW1062" s="115"/>
      <c r="AX1062" s="115"/>
      <c r="AY1062" s="115"/>
      <c r="AZ1062" s="115"/>
      <c r="BA1062" s="26"/>
      <c r="BB1062" s="15"/>
      <c r="BE1062" s="114"/>
      <c r="BF1062" s="120"/>
    </row>
    <row r="1063" spans="1:58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22"/>
      <c r="AK1063" s="122"/>
      <c r="AL1063" s="122"/>
      <c r="AM1063" s="115"/>
      <c r="AN1063" s="115"/>
      <c r="AO1063" s="115"/>
      <c r="AP1063" s="115"/>
      <c r="AQ1063" s="115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26"/>
      <c r="BB1063" s="15"/>
      <c r="BE1063" s="114"/>
      <c r="BF1063" s="120"/>
    </row>
    <row r="1064" spans="1:58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22"/>
      <c r="AK1064" s="122"/>
      <c r="AL1064" s="122"/>
      <c r="AM1064" s="115"/>
      <c r="AN1064" s="115"/>
      <c r="AO1064" s="115"/>
      <c r="AP1064" s="115"/>
      <c r="AQ1064" s="115"/>
      <c r="AR1064" s="115"/>
      <c r="AS1064" s="115"/>
      <c r="AT1064" s="115"/>
      <c r="AU1064" s="115"/>
      <c r="AV1064" s="115"/>
      <c r="AW1064" s="115"/>
      <c r="AX1064" s="115"/>
      <c r="AY1064" s="115"/>
      <c r="AZ1064" s="115"/>
      <c r="BA1064" s="26"/>
      <c r="BB1064" s="15"/>
      <c r="BE1064" s="114"/>
      <c r="BF1064" s="120"/>
    </row>
    <row r="1065" spans="1:58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22"/>
      <c r="AK1065" s="122"/>
      <c r="AL1065" s="122"/>
      <c r="AM1065" s="115"/>
      <c r="AN1065" s="115"/>
      <c r="AO1065" s="115"/>
      <c r="AP1065" s="115"/>
      <c r="AQ1065" s="115"/>
      <c r="AR1065" s="115"/>
      <c r="AS1065" s="115"/>
      <c r="AT1065" s="115"/>
      <c r="AU1065" s="115"/>
      <c r="AV1065" s="115"/>
      <c r="AW1065" s="115"/>
      <c r="AX1065" s="115"/>
      <c r="AY1065" s="115"/>
      <c r="AZ1065" s="115"/>
      <c r="BA1065" s="26"/>
      <c r="BB1065" s="15"/>
      <c r="BE1065" s="114"/>
      <c r="BF1065" s="120"/>
    </row>
    <row r="1066" spans="1:58" x14ac:dyDescent="0.4">
      <c r="A1066" s="115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22"/>
      <c r="AK1066" s="122"/>
      <c r="AL1066" s="122"/>
      <c r="AM1066" s="115"/>
      <c r="AN1066" s="115"/>
      <c r="AO1066" s="115"/>
      <c r="AP1066" s="115"/>
      <c r="AQ1066" s="115"/>
      <c r="AR1066" s="115"/>
      <c r="AS1066" s="115"/>
      <c r="AT1066" s="115"/>
      <c r="AU1066" s="115"/>
      <c r="AV1066" s="115"/>
      <c r="AW1066" s="115"/>
      <c r="AX1066" s="115"/>
      <c r="AY1066" s="115"/>
      <c r="AZ1066" s="115"/>
      <c r="BA1066" s="26"/>
      <c r="BB1066" s="15"/>
      <c r="BE1066" s="114"/>
      <c r="BF1066" s="120"/>
    </row>
    <row r="1067" spans="1:58" x14ac:dyDescent="0.4">
      <c r="A1067" s="115"/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22"/>
      <c r="AK1067" s="122"/>
      <c r="AL1067" s="122"/>
      <c r="AM1067" s="115"/>
      <c r="AN1067" s="115"/>
      <c r="AO1067" s="115"/>
      <c r="AP1067" s="115"/>
      <c r="AQ1067" s="115"/>
      <c r="AR1067" s="115"/>
      <c r="AS1067" s="115"/>
      <c r="AT1067" s="115"/>
      <c r="AU1067" s="115"/>
      <c r="AV1067" s="115"/>
      <c r="AW1067" s="115"/>
      <c r="AX1067" s="115"/>
      <c r="AY1067" s="115"/>
      <c r="AZ1067" s="115"/>
      <c r="BA1067" s="17"/>
      <c r="BB1067" s="15"/>
      <c r="BE1067" s="114"/>
      <c r="BF1067" s="120"/>
    </row>
    <row r="1068" spans="1:58" x14ac:dyDescent="0.4">
      <c r="A1068" s="115"/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22"/>
      <c r="AK1068" s="122"/>
      <c r="AL1068" s="122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115"/>
      <c r="AW1068" s="115"/>
      <c r="AX1068" s="115"/>
      <c r="AY1068" s="115"/>
      <c r="AZ1068" s="115"/>
      <c r="BA1068" s="26"/>
      <c r="BB1068" s="15"/>
      <c r="BE1068" s="114"/>
      <c r="BF1068" s="120"/>
    </row>
    <row r="1069" spans="1:58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22"/>
      <c r="AK1069" s="122"/>
      <c r="AL1069" s="122"/>
      <c r="AM1069" s="115"/>
      <c r="AN1069" s="115"/>
      <c r="AO1069" s="115"/>
      <c r="AP1069" s="115"/>
      <c r="AQ1069" s="115"/>
      <c r="AR1069" s="115"/>
      <c r="AS1069" s="115"/>
      <c r="AT1069" s="115"/>
      <c r="AU1069" s="115"/>
      <c r="AV1069" s="115"/>
      <c r="AW1069" s="115"/>
      <c r="AX1069" s="115"/>
      <c r="AY1069" s="115"/>
      <c r="AZ1069" s="115"/>
      <c r="BA1069" s="26"/>
      <c r="BB1069" s="15"/>
      <c r="BE1069" s="114"/>
    </row>
    <row r="1070" spans="1:58" x14ac:dyDescent="0.4">
      <c r="BA1070" s="26"/>
      <c r="BB1070" s="15"/>
      <c r="BE1070" s="114"/>
    </row>
    <row r="1071" spans="1:58" x14ac:dyDescent="0.4">
      <c r="AN1071" s="115"/>
      <c r="AO1071" s="115"/>
      <c r="AP1071" s="115"/>
      <c r="AQ1071" s="115"/>
      <c r="AR1071" s="115"/>
      <c r="AS1071" s="115"/>
      <c r="AT1071" s="115"/>
      <c r="AU1071" s="115"/>
      <c r="AV1071" s="115"/>
      <c r="AW1071" s="115"/>
      <c r="AX1071" s="115"/>
      <c r="AY1071" s="115"/>
      <c r="AZ1071" s="115"/>
      <c r="BA1071" s="17"/>
      <c r="BB1071" s="15"/>
      <c r="BE1071" s="114"/>
    </row>
    <row r="1072" spans="1:58" x14ac:dyDescent="0.4">
      <c r="AN1072" s="115"/>
      <c r="AO1072" s="115"/>
      <c r="AP1072" s="115"/>
      <c r="AQ1072" s="115"/>
      <c r="AR1072" s="115"/>
      <c r="AS1072" s="115"/>
      <c r="AT1072" s="115"/>
      <c r="AU1072" s="115"/>
      <c r="AV1072" s="115"/>
      <c r="AW1072" s="115"/>
      <c r="AX1072" s="115"/>
      <c r="AY1072" s="115"/>
      <c r="AZ1072" s="115"/>
      <c r="BA1072" s="17"/>
      <c r="BB1072" s="15"/>
      <c r="BE1072" s="114"/>
    </row>
    <row r="1073" spans="4:61" x14ac:dyDescent="0.4">
      <c r="AL1073" s="122"/>
      <c r="AM1073" s="115"/>
      <c r="AN1073" s="115"/>
      <c r="AO1073" s="115"/>
      <c r="AP1073" s="115"/>
      <c r="AQ1073" s="115"/>
      <c r="AR1073" s="115"/>
      <c r="AS1073" s="115"/>
      <c r="AT1073" s="115"/>
      <c r="AU1073" s="115"/>
      <c r="AV1073" s="115"/>
      <c r="AW1073" s="115"/>
      <c r="AX1073" s="115"/>
      <c r="AY1073" s="115"/>
      <c r="AZ1073" s="115"/>
      <c r="BA1073" s="17"/>
      <c r="BB1073" s="15"/>
      <c r="BE1073" s="114"/>
    </row>
    <row r="1074" spans="4:61" x14ac:dyDescent="0.4">
      <c r="AG1074" s="115"/>
      <c r="AH1074" s="115"/>
      <c r="AI1074" s="115"/>
      <c r="AJ1074" s="122"/>
      <c r="AK1074" s="122"/>
      <c r="AL1074" s="122"/>
      <c r="AM1074" s="115"/>
      <c r="AN1074" s="115"/>
      <c r="AO1074" s="115"/>
      <c r="AP1074" s="115"/>
      <c r="AQ1074" s="115"/>
      <c r="AR1074" s="115"/>
      <c r="AS1074" s="115"/>
      <c r="AT1074" s="115"/>
      <c r="AU1074" s="115"/>
      <c r="AV1074" s="115"/>
      <c r="AW1074" s="115"/>
      <c r="AX1074" s="115"/>
      <c r="AY1074" s="115"/>
      <c r="AZ1074" s="115"/>
      <c r="BA1074" s="26"/>
      <c r="BB1074" s="15"/>
      <c r="BE1074" s="114"/>
    </row>
    <row r="1075" spans="4:61" x14ac:dyDescent="0.4">
      <c r="AG1075" s="115"/>
      <c r="AH1075" s="115"/>
      <c r="AI1075" s="115"/>
      <c r="AJ1075" s="122"/>
      <c r="AK1075" s="122"/>
      <c r="AL1075" s="122"/>
      <c r="AM1075" s="115"/>
      <c r="AN1075" s="115"/>
      <c r="AO1075" s="115"/>
      <c r="AP1075" s="115"/>
      <c r="AQ1075" s="115"/>
      <c r="AR1075" s="115"/>
      <c r="AS1075" s="115"/>
      <c r="AT1075" s="115"/>
      <c r="AU1075" s="115"/>
      <c r="AV1075" s="115"/>
      <c r="AW1075" s="115"/>
      <c r="AX1075" s="115"/>
      <c r="AY1075" s="115"/>
      <c r="AZ1075" s="115"/>
      <c r="BA1075" s="17"/>
      <c r="BB1075" s="15"/>
      <c r="BE1075" s="114"/>
    </row>
    <row r="1076" spans="4:61" x14ac:dyDescent="0.4">
      <c r="AF1076" s="115"/>
      <c r="AG1076" s="115"/>
      <c r="AH1076" s="115"/>
      <c r="AI1076" s="115"/>
      <c r="AJ1076" s="122"/>
      <c r="AK1076" s="122"/>
      <c r="AL1076" s="122"/>
      <c r="AM1076" s="115"/>
      <c r="AN1076" s="115"/>
      <c r="AO1076" s="115"/>
      <c r="AP1076" s="115"/>
      <c r="AQ1076" s="115"/>
      <c r="AR1076" s="115"/>
      <c r="AS1076" s="115"/>
      <c r="AT1076" s="115"/>
      <c r="AU1076" s="115"/>
      <c r="AV1076" s="115"/>
      <c r="AW1076" s="115"/>
      <c r="AX1076" s="115"/>
      <c r="AY1076" s="115"/>
      <c r="AZ1076" s="115"/>
      <c r="BA1076" s="26"/>
      <c r="BB1076" s="15"/>
      <c r="BE1076" s="114"/>
    </row>
    <row r="1077" spans="4:61" x14ac:dyDescent="0.4">
      <c r="AF1077" s="115"/>
      <c r="AG1077" s="115"/>
      <c r="AH1077" s="115"/>
      <c r="AI1077" s="115"/>
      <c r="AJ1077" s="122"/>
      <c r="AK1077" s="122"/>
      <c r="AL1077" s="122"/>
      <c r="AM1077" s="115"/>
      <c r="AN1077" s="115"/>
      <c r="AO1077" s="115"/>
      <c r="AP1077" s="115"/>
      <c r="AQ1077" s="115"/>
      <c r="AR1077" s="115"/>
      <c r="AS1077" s="115"/>
      <c r="AT1077" s="115"/>
      <c r="AU1077" s="115"/>
      <c r="AV1077" s="115"/>
      <c r="AW1077" s="115"/>
      <c r="AX1077" s="115"/>
      <c r="AY1077" s="115"/>
      <c r="AZ1077" s="115"/>
      <c r="BA1077" s="17"/>
      <c r="BB1077" s="15"/>
      <c r="BE1077" s="114"/>
    </row>
    <row r="1078" spans="4:61" x14ac:dyDescent="0.4">
      <c r="AF1078" s="115"/>
      <c r="AG1078" s="115"/>
      <c r="AH1078" s="115"/>
      <c r="AI1078" s="115"/>
      <c r="AJ1078" s="122"/>
      <c r="AK1078" s="122"/>
      <c r="AL1078" s="122"/>
      <c r="AM1078" s="115"/>
      <c r="AN1078" s="115"/>
      <c r="AO1078" s="115"/>
      <c r="AP1078" s="115"/>
      <c r="AQ1078" s="115"/>
      <c r="AR1078" s="115"/>
      <c r="AS1078" s="115"/>
      <c r="AT1078" s="115"/>
      <c r="AU1078" s="115"/>
      <c r="AV1078" s="115"/>
      <c r="AW1078" s="115"/>
      <c r="AX1078" s="115"/>
      <c r="AY1078" s="115"/>
      <c r="AZ1078" s="115"/>
      <c r="BA1078" s="17"/>
      <c r="BB1078" s="15"/>
      <c r="BE1078" s="114"/>
    </row>
    <row r="1079" spans="4:61" x14ac:dyDescent="0.4">
      <c r="AF1079" s="115"/>
      <c r="AG1079" s="115"/>
      <c r="AH1079" s="115"/>
      <c r="AI1079" s="115"/>
      <c r="AJ1079" s="122"/>
      <c r="AK1079" s="122"/>
      <c r="AL1079" s="122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115"/>
      <c r="AY1079" s="115"/>
      <c r="AZ1079" s="115"/>
      <c r="BA1079" s="17"/>
      <c r="BB1079" s="15"/>
      <c r="BE1079" s="114"/>
    </row>
    <row r="1080" spans="4:61" x14ac:dyDescent="0.4">
      <c r="AF1080" s="115"/>
      <c r="AG1080" s="115"/>
      <c r="AH1080" s="115"/>
      <c r="AI1080" s="115"/>
      <c r="AJ1080" s="122"/>
      <c r="AK1080" s="122"/>
      <c r="AL1080" s="122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26"/>
      <c r="BB1080" s="15"/>
      <c r="BE1080" s="114"/>
    </row>
    <row r="1081" spans="4:61" x14ac:dyDescent="0.4">
      <c r="AF1081" s="115"/>
      <c r="AG1081" s="115"/>
      <c r="AH1081" s="115"/>
      <c r="AI1081" s="115"/>
      <c r="AJ1081" s="122"/>
      <c r="AK1081" s="122"/>
      <c r="AL1081" s="122"/>
      <c r="AM1081" s="115"/>
      <c r="AN1081" s="115"/>
      <c r="AO1081" s="115"/>
      <c r="AP1081" s="115"/>
      <c r="AQ1081" s="115"/>
      <c r="AR1081" s="115"/>
      <c r="AS1081" s="115"/>
      <c r="AT1081" s="115"/>
      <c r="AU1081" s="115"/>
      <c r="AV1081" s="115"/>
      <c r="AW1081" s="115"/>
      <c r="AX1081" s="115"/>
      <c r="AY1081" s="115"/>
      <c r="AZ1081" s="115"/>
      <c r="BA1081" s="17"/>
      <c r="BB1081" s="15"/>
      <c r="BE1081" s="114"/>
    </row>
    <row r="1082" spans="4:61" ht="19.5" x14ac:dyDescent="0.4">
      <c r="BA1082" s="26"/>
      <c r="BB1082" s="15"/>
      <c r="BF1082" s="116"/>
      <c r="BG1082" s="116"/>
      <c r="BH1082" s="116"/>
      <c r="BI1082" s="116"/>
    </row>
    <row r="1083" spans="4:61" ht="19.5" x14ac:dyDescent="0.4">
      <c r="AK1083" s="122"/>
      <c r="AL1083" s="122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115"/>
      <c r="AX1083" s="115"/>
      <c r="AY1083" s="115"/>
      <c r="AZ1083" s="115"/>
      <c r="BA1083" s="17"/>
      <c r="BB1083" s="15"/>
      <c r="BF1083" s="117"/>
      <c r="BG1083" s="116"/>
      <c r="BH1083" s="116"/>
      <c r="BI1083" s="116"/>
    </row>
    <row r="1084" spans="4:61" ht="19.5" x14ac:dyDescent="0.4">
      <c r="AC1084" s="115"/>
      <c r="AD1084" s="115"/>
      <c r="AE1084" s="115"/>
      <c r="AF1084" s="115"/>
      <c r="AG1084" s="115"/>
      <c r="AH1084" s="115"/>
      <c r="AI1084" s="115"/>
      <c r="AJ1084" s="122"/>
      <c r="AK1084" s="122"/>
      <c r="AL1084" s="122"/>
      <c r="AM1084" s="115"/>
      <c r="AN1084" s="115"/>
      <c r="AO1084" s="115"/>
      <c r="AP1084" s="115"/>
      <c r="AQ1084" s="115"/>
      <c r="AR1084" s="115"/>
      <c r="AS1084" s="115"/>
      <c r="AT1084" s="115"/>
      <c r="AU1084" s="115"/>
      <c r="AV1084" s="115"/>
      <c r="AW1084" s="115"/>
      <c r="AX1084" s="115"/>
      <c r="AY1084" s="115"/>
      <c r="AZ1084" s="115"/>
      <c r="BA1084" s="26"/>
      <c r="BB1084" s="15"/>
      <c r="BF1084" s="117"/>
      <c r="BG1084" s="116"/>
      <c r="BH1084" s="116"/>
      <c r="BI1084" s="116"/>
    </row>
    <row r="1085" spans="4:61" ht="19.5" x14ac:dyDescent="0.4"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22"/>
      <c r="AK1085" s="122"/>
      <c r="AL1085" s="122"/>
      <c r="AM1085" s="115"/>
      <c r="AN1085" s="115"/>
      <c r="AO1085" s="115"/>
      <c r="AP1085" s="115"/>
      <c r="AQ1085" s="115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26"/>
      <c r="BB1085" s="13"/>
      <c r="BF1085" s="117"/>
      <c r="BG1085" s="116"/>
      <c r="BH1085" s="116"/>
      <c r="BI1085" s="116"/>
    </row>
    <row r="1086" spans="4:61" ht="19.5" x14ac:dyDescent="0.4"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22"/>
      <c r="AK1086" s="122"/>
      <c r="AL1086" s="122"/>
      <c r="AM1086" s="115"/>
      <c r="AN1086" s="115"/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26"/>
      <c r="BB1086" s="15"/>
      <c r="BF1086" s="117"/>
      <c r="BG1086" s="116"/>
      <c r="BH1086" s="116"/>
      <c r="BI1086" s="116"/>
    </row>
    <row r="1087" spans="4:61" ht="19.5" x14ac:dyDescent="0.4"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22"/>
      <c r="AK1087" s="122"/>
      <c r="AL1087" s="122"/>
      <c r="AM1087" s="115"/>
      <c r="AN1087" s="115"/>
      <c r="AO1087" s="115"/>
      <c r="AP1087" s="115"/>
      <c r="AQ1087" s="115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17"/>
      <c r="BB1087" s="15"/>
      <c r="BF1087" s="117"/>
      <c r="BG1087" s="116"/>
      <c r="BH1087" s="116"/>
      <c r="BI1087" s="116"/>
    </row>
    <row r="1088" spans="4:61" ht="19.5" x14ac:dyDescent="0.4"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22"/>
      <c r="AK1088" s="122"/>
      <c r="AL1088" s="122"/>
      <c r="AM1088" s="115"/>
      <c r="AN1088" s="115"/>
      <c r="AO1088" s="115"/>
      <c r="AP1088" s="115"/>
      <c r="AQ1088" s="115"/>
      <c r="AR1088" s="115"/>
      <c r="AS1088" s="115"/>
      <c r="AT1088" s="115"/>
      <c r="AU1088" s="115"/>
      <c r="AV1088" s="115"/>
      <c r="AW1088" s="115"/>
      <c r="AX1088" s="115"/>
      <c r="AY1088" s="115"/>
      <c r="AZ1088" s="115"/>
      <c r="BA1088" s="26"/>
      <c r="BB1088" s="15"/>
      <c r="BF1088" s="117"/>
      <c r="BG1088" s="116"/>
      <c r="BH1088" s="116"/>
      <c r="BI1088" s="116"/>
    </row>
    <row r="1089" spans="1:61" ht="19.5" x14ac:dyDescent="0.4"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22"/>
      <c r="AK1089" s="122"/>
      <c r="AL1089" s="122"/>
      <c r="AM1089" s="115"/>
      <c r="AN1089" s="115"/>
      <c r="AO1089" s="115"/>
      <c r="AP1089" s="115"/>
      <c r="AQ1089" s="115"/>
      <c r="AR1089" s="115"/>
      <c r="AS1089" s="115"/>
      <c r="AT1089" s="115"/>
      <c r="AU1089" s="115"/>
      <c r="AV1089" s="115"/>
      <c r="AW1089" s="115"/>
      <c r="AX1089" s="115"/>
      <c r="AY1089" s="115"/>
      <c r="AZ1089" s="115"/>
      <c r="BA1089" s="26"/>
      <c r="BB1089" s="15"/>
      <c r="BF1089" s="117"/>
      <c r="BG1089" s="116"/>
      <c r="BH1089" s="116"/>
      <c r="BI1089" s="116"/>
    </row>
    <row r="1090" spans="1:61" ht="19.5" x14ac:dyDescent="0.4"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22"/>
      <c r="AK1090" s="122"/>
      <c r="AL1090" s="122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115"/>
      <c r="AY1090" s="115"/>
      <c r="AZ1090" s="115"/>
      <c r="BA1090" s="17"/>
      <c r="BB1090" s="15"/>
      <c r="BF1090" s="117"/>
      <c r="BG1090" s="116"/>
      <c r="BH1090" s="116"/>
      <c r="BI1090" s="116"/>
    </row>
    <row r="1091" spans="1:61" ht="19.5" x14ac:dyDescent="0.4"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22"/>
      <c r="AK1091" s="122"/>
      <c r="AL1091" s="122"/>
      <c r="AM1091" s="115"/>
      <c r="AN1091" s="115"/>
      <c r="AO1091" s="115"/>
      <c r="AP1091" s="115"/>
      <c r="AQ1091" s="115"/>
      <c r="AR1091" s="115"/>
      <c r="AS1091" s="115"/>
      <c r="AT1091" s="115"/>
      <c r="AU1091" s="115"/>
      <c r="AV1091" s="115"/>
      <c r="AW1091" s="115"/>
      <c r="AX1091" s="115"/>
      <c r="AY1091" s="115"/>
      <c r="AZ1091" s="115"/>
      <c r="BA1091" s="26"/>
      <c r="BB1091" s="15"/>
      <c r="BF1091" s="117"/>
      <c r="BG1091" s="116"/>
      <c r="BH1091" s="116"/>
      <c r="BI1091" s="116"/>
    </row>
    <row r="1092" spans="1:61" ht="19.5" x14ac:dyDescent="0.4">
      <c r="BA1092" s="26"/>
      <c r="BB1092" s="15"/>
      <c r="BF1092" s="117"/>
      <c r="BG1092" s="116"/>
      <c r="BH1092" s="116"/>
      <c r="BI1092" s="116"/>
    </row>
    <row r="1093" spans="1:61" ht="19.5" x14ac:dyDescent="0.4">
      <c r="AK1093" s="122"/>
      <c r="AL1093" s="122"/>
      <c r="AM1093" s="115"/>
      <c r="AN1093" s="115"/>
      <c r="AO1093" s="115"/>
      <c r="AP1093" s="115"/>
      <c r="AQ1093" s="115"/>
      <c r="AR1093" s="115"/>
      <c r="AS1093" s="115"/>
      <c r="AT1093" s="115"/>
      <c r="AU1093" s="115"/>
      <c r="AV1093" s="115"/>
      <c r="AW1093" s="115"/>
      <c r="AX1093" s="115"/>
      <c r="AY1093" s="115"/>
      <c r="AZ1093" s="115"/>
      <c r="BA1093" s="17"/>
      <c r="BB1093" s="15"/>
      <c r="BF1093" s="117"/>
      <c r="BG1093" s="116"/>
      <c r="BH1093" s="116"/>
      <c r="BI1093" s="116"/>
    </row>
    <row r="1094" spans="1:61" ht="19.5" x14ac:dyDescent="0.4">
      <c r="AH1094" s="115"/>
      <c r="AI1094" s="115"/>
      <c r="AJ1094" s="122"/>
      <c r="AK1094" s="122"/>
      <c r="AL1094" s="122"/>
      <c r="AM1094" s="115"/>
      <c r="AN1094" s="115"/>
      <c r="AO1094" s="115"/>
      <c r="AP1094" s="115"/>
      <c r="AQ1094" s="115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26"/>
      <c r="BB1094" s="15"/>
      <c r="BF1094" s="117"/>
      <c r="BG1094" s="116"/>
      <c r="BH1094" s="116"/>
      <c r="BI1094" s="116"/>
    </row>
    <row r="1095" spans="1:61" ht="19.5" x14ac:dyDescent="0.4">
      <c r="AH1095" s="115"/>
      <c r="AI1095" s="115"/>
      <c r="AJ1095" s="122"/>
      <c r="AK1095" s="122"/>
      <c r="AL1095" s="122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115"/>
      <c r="AW1095" s="115"/>
      <c r="AX1095" s="115"/>
      <c r="AY1095" s="115"/>
      <c r="AZ1095" s="115"/>
      <c r="BA1095" s="17"/>
      <c r="BB1095" s="15"/>
      <c r="BF1095" s="117"/>
      <c r="BG1095" s="116"/>
      <c r="BH1095" s="116"/>
      <c r="BI1095" s="116"/>
    </row>
    <row r="1096" spans="1:61" ht="19.5" x14ac:dyDescent="0.4">
      <c r="AG1096" s="115"/>
      <c r="AH1096" s="115"/>
      <c r="AI1096" s="115"/>
      <c r="AJ1096" s="122"/>
      <c r="AK1096" s="122"/>
      <c r="AL1096" s="122"/>
      <c r="AM1096" s="115"/>
      <c r="AN1096" s="115"/>
      <c r="AO1096" s="115"/>
      <c r="AP1096" s="115"/>
      <c r="AQ1096" s="115"/>
      <c r="AR1096" s="115"/>
      <c r="AS1096" s="115"/>
      <c r="AT1096" s="115"/>
      <c r="AU1096" s="115"/>
      <c r="AV1096" s="115"/>
      <c r="AW1096" s="115"/>
      <c r="AX1096" s="115"/>
      <c r="AY1096" s="115"/>
      <c r="AZ1096" s="115"/>
      <c r="BA1096" s="26"/>
      <c r="BB1096" s="15"/>
      <c r="BF1096" s="117"/>
      <c r="BG1096" s="116"/>
      <c r="BH1096" s="116"/>
      <c r="BI1096" s="116"/>
    </row>
    <row r="1097" spans="1:61" ht="19.5" x14ac:dyDescent="0.4">
      <c r="A1097" s="115"/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22"/>
      <c r="AK1097" s="122"/>
      <c r="AL1097" s="122"/>
      <c r="AM1097" s="115"/>
      <c r="AN1097" s="115"/>
      <c r="AO1097" s="115"/>
      <c r="AP1097" s="115"/>
      <c r="AQ1097" s="115"/>
      <c r="AR1097" s="115"/>
      <c r="AS1097" s="115"/>
      <c r="AT1097" s="115"/>
      <c r="AU1097" s="115"/>
      <c r="AV1097" s="115"/>
      <c r="AW1097" s="115"/>
      <c r="AX1097" s="115"/>
      <c r="AY1097" s="115"/>
      <c r="AZ1097" s="115"/>
      <c r="BA1097" s="26"/>
      <c r="BB1097" s="15"/>
      <c r="BF1097" s="117"/>
      <c r="BG1097" s="116"/>
      <c r="BH1097" s="116"/>
      <c r="BI1097" s="116"/>
    </row>
    <row r="1098" spans="1:61" ht="19.5" x14ac:dyDescent="0.4">
      <c r="A1098" s="115"/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22"/>
      <c r="AK1098" s="122"/>
      <c r="AL1098" s="122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115"/>
      <c r="AW1098" s="115"/>
      <c r="AX1098" s="115"/>
      <c r="AY1098" s="115"/>
      <c r="AZ1098" s="115"/>
      <c r="BA1098" s="26"/>
      <c r="BB1098" s="15"/>
      <c r="BF1098" s="117"/>
      <c r="BG1098" s="116"/>
      <c r="BH1098" s="116"/>
      <c r="BI1098" s="116"/>
    </row>
    <row r="1099" spans="1:61" ht="19.5" x14ac:dyDescent="0.4">
      <c r="A1099" s="115"/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22"/>
      <c r="AK1099" s="122"/>
      <c r="AL1099" s="122"/>
      <c r="AM1099" s="115"/>
      <c r="AN1099" s="115"/>
      <c r="AO1099" s="115"/>
      <c r="AP1099" s="115"/>
      <c r="AQ1099" s="115"/>
      <c r="AR1099" s="115"/>
      <c r="AS1099" s="115"/>
      <c r="AT1099" s="115"/>
      <c r="AU1099" s="115"/>
      <c r="AV1099" s="115"/>
      <c r="AW1099" s="115"/>
      <c r="AX1099" s="115"/>
      <c r="AY1099" s="115"/>
      <c r="AZ1099" s="115"/>
      <c r="BA1099" s="26"/>
      <c r="BB1099" s="15"/>
      <c r="BF1099" s="117"/>
      <c r="BG1099" s="116"/>
      <c r="BH1099" s="116"/>
      <c r="BI1099" s="116"/>
    </row>
    <row r="1100" spans="1:61" ht="19.5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22"/>
      <c r="AK1100" s="122"/>
      <c r="AL1100" s="122"/>
      <c r="AM1100" s="115"/>
      <c r="AN1100" s="115"/>
      <c r="AO1100" s="115"/>
      <c r="AP1100" s="115"/>
      <c r="AQ1100" s="115"/>
      <c r="AR1100" s="115"/>
      <c r="AS1100" s="115"/>
      <c r="AT1100" s="115"/>
      <c r="AU1100" s="115"/>
      <c r="AV1100" s="115"/>
      <c r="AW1100" s="115"/>
      <c r="AX1100" s="115"/>
      <c r="AY1100" s="115"/>
      <c r="AZ1100" s="115"/>
      <c r="BA1100" s="26"/>
      <c r="BB1100" s="105"/>
      <c r="BF1100" s="117"/>
      <c r="BG1100" s="116"/>
      <c r="BH1100" s="116"/>
      <c r="BI1100" s="116"/>
    </row>
    <row r="1101" spans="1:61" ht="19.5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22"/>
      <c r="AK1101" s="122"/>
      <c r="AL1101" s="122"/>
      <c r="AM1101" s="115"/>
      <c r="AN1101" s="115"/>
      <c r="AO1101" s="115"/>
      <c r="AP1101" s="115"/>
      <c r="AQ1101" s="115"/>
      <c r="AR1101" s="115"/>
      <c r="AS1101" s="115"/>
      <c r="AT1101" s="115"/>
      <c r="AU1101" s="115"/>
      <c r="AV1101" s="115"/>
      <c r="AW1101" s="115"/>
      <c r="AX1101" s="115"/>
      <c r="AY1101" s="115"/>
      <c r="AZ1101" s="115"/>
      <c r="BA1101" s="26"/>
      <c r="BB1101" s="105"/>
      <c r="BF1101" s="117"/>
      <c r="BG1101" s="116"/>
      <c r="BH1101" s="116"/>
      <c r="BI1101" s="116"/>
    </row>
    <row r="1102" spans="1:61" ht="19.5" x14ac:dyDescent="0.4">
      <c r="BA1102" s="26"/>
      <c r="BB1102" s="13"/>
      <c r="BF1102" s="117"/>
      <c r="BG1102" s="116"/>
      <c r="BH1102" s="116"/>
      <c r="BI1102" s="116"/>
    </row>
    <row r="1103" spans="1:61" ht="19.5" x14ac:dyDescent="0.4">
      <c r="AH1103" s="115"/>
      <c r="AI1103" s="115"/>
      <c r="AJ1103" s="122"/>
      <c r="AK1103" s="122"/>
      <c r="AL1103" s="122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26"/>
      <c r="BB1103" s="13"/>
      <c r="BF1103" s="117"/>
      <c r="BG1103" s="116"/>
      <c r="BH1103" s="116"/>
      <c r="BI1103" s="116"/>
    </row>
    <row r="1104" spans="1:61" ht="19.5" x14ac:dyDescent="0.4">
      <c r="AC1104" s="115"/>
      <c r="AD1104" s="115"/>
      <c r="AE1104" s="115"/>
      <c r="AF1104" s="115"/>
      <c r="AG1104" s="115"/>
      <c r="AH1104" s="115"/>
      <c r="AI1104" s="115"/>
      <c r="AJ1104" s="122"/>
      <c r="AK1104" s="122"/>
      <c r="AL1104" s="122"/>
      <c r="AM1104" s="115"/>
      <c r="AN1104" s="115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115"/>
      <c r="AZ1104" s="115"/>
      <c r="BA1104" s="26"/>
      <c r="BB1104" s="13"/>
      <c r="BF1104" s="117"/>
      <c r="BG1104" s="116"/>
      <c r="BH1104" s="116"/>
      <c r="BI1104" s="116"/>
    </row>
    <row r="1105" spans="3:61" ht="19.5" x14ac:dyDescent="0.4">
      <c r="BA1105" s="26"/>
      <c r="BB1105" s="13"/>
      <c r="BF1105" s="117"/>
      <c r="BG1105" s="116"/>
      <c r="BH1105" s="116"/>
      <c r="BI1105" s="116"/>
    </row>
    <row r="1106" spans="3:61" ht="19.5" x14ac:dyDescent="0.4"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22"/>
      <c r="AK1106" s="122"/>
      <c r="AL1106" s="122"/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115"/>
      <c r="AX1106" s="115"/>
      <c r="AY1106" s="115"/>
      <c r="AZ1106" s="115"/>
      <c r="BA1106" s="26"/>
      <c r="BB1106" s="13"/>
      <c r="BF1106" s="117"/>
      <c r="BG1106" s="116"/>
      <c r="BH1106" s="116"/>
      <c r="BI1106" s="116"/>
    </row>
    <row r="1107" spans="3:61" ht="19.5" x14ac:dyDescent="0.4"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22"/>
      <c r="AK1107" s="122"/>
      <c r="AL1107" s="122"/>
      <c r="AM1107" s="115"/>
      <c r="AN1107" s="115"/>
      <c r="AO1107" s="115"/>
      <c r="AP1107" s="115"/>
      <c r="AQ1107" s="115"/>
      <c r="AR1107" s="115"/>
      <c r="AS1107" s="115"/>
      <c r="AT1107" s="115"/>
      <c r="AU1107" s="115"/>
      <c r="AV1107" s="115"/>
      <c r="AW1107" s="115"/>
      <c r="AX1107" s="115"/>
      <c r="AY1107" s="115"/>
      <c r="AZ1107" s="115"/>
      <c r="BA1107" s="26"/>
      <c r="BB1107" s="13"/>
      <c r="BF1107" s="117"/>
      <c r="BG1107" s="116"/>
      <c r="BH1107" s="116"/>
      <c r="BI1107" s="116"/>
    </row>
    <row r="1108" spans="3:61" ht="19.5" x14ac:dyDescent="0.4"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22"/>
      <c r="AK1108" s="122"/>
      <c r="AL1108" s="122"/>
      <c r="AM1108" s="115"/>
      <c r="AN1108" s="115"/>
      <c r="AO1108" s="115"/>
      <c r="AP1108" s="115"/>
      <c r="AQ1108" s="115"/>
      <c r="AR1108" s="115"/>
      <c r="AS1108" s="115"/>
      <c r="AT1108" s="115"/>
      <c r="AU1108" s="115"/>
      <c r="AV1108" s="115"/>
      <c r="AW1108" s="115"/>
      <c r="AX1108" s="115"/>
      <c r="AY1108" s="115"/>
      <c r="AZ1108" s="115"/>
      <c r="BA1108" s="26"/>
      <c r="BB1108" s="13"/>
      <c r="BF1108" s="117"/>
      <c r="BG1108" s="116"/>
      <c r="BH1108" s="116"/>
      <c r="BI1108" s="116"/>
    </row>
    <row r="1109" spans="3:61" ht="19.5" x14ac:dyDescent="0.4"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22"/>
      <c r="AK1109" s="122"/>
      <c r="AL1109" s="122"/>
      <c r="AM1109" s="115"/>
      <c r="AN1109" s="115"/>
      <c r="AO1109" s="115"/>
      <c r="AP1109" s="115"/>
      <c r="AQ1109" s="115"/>
      <c r="AR1109" s="115"/>
      <c r="AS1109" s="115"/>
      <c r="AT1109" s="115"/>
      <c r="AU1109" s="115"/>
      <c r="AV1109" s="115"/>
      <c r="AW1109" s="115"/>
      <c r="AX1109" s="115"/>
      <c r="AY1109" s="115"/>
      <c r="AZ1109" s="115"/>
      <c r="BA1109" s="26"/>
      <c r="BB1109" s="13"/>
      <c r="BF1109" s="117"/>
      <c r="BG1109" s="116"/>
      <c r="BH1109" s="116"/>
      <c r="BI1109" s="116"/>
    </row>
    <row r="1110" spans="3:61" ht="19.5" x14ac:dyDescent="0.4"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22"/>
      <c r="AK1110" s="122"/>
      <c r="AL1110" s="122"/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115"/>
      <c r="AW1110" s="115"/>
      <c r="AX1110" s="115"/>
      <c r="AY1110" s="115"/>
      <c r="AZ1110" s="115"/>
      <c r="BA1110" s="26"/>
      <c r="BB1110" s="13"/>
      <c r="BF1110" s="117"/>
      <c r="BG1110" s="116"/>
      <c r="BH1110" s="116"/>
      <c r="BI1110" s="116"/>
    </row>
    <row r="1111" spans="3:61" ht="19.5" x14ac:dyDescent="0.4"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22"/>
      <c r="AK1111" s="122"/>
      <c r="AL1111" s="122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115"/>
      <c r="AX1111" s="115"/>
      <c r="AY1111" s="115"/>
      <c r="AZ1111" s="115"/>
      <c r="BA1111" s="26"/>
      <c r="BB1111" s="13"/>
      <c r="BF1111" s="117"/>
      <c r="BG1111" s="116"/>
      <c r="BH1111" s="116"/>
      <c r="BI1111" s="116"/>
    </row>
    <row r="1112" spans="3:61" ht="19.5" x14ac:dyDescent="0.4"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22"/>
      <c r="AK1112" s="122"/>
      <c r="AL1112" s="122"/>
      <c r="AM1112" s="115"/>
      <c r="AN1112" s="115"/>
      <c r="AO1112" s="115"/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115"/>
      <c r="AZ1112" s="115"/>
      <c r="BA1112" s="26"/>
      <c r="BB1112" s="13"/>
      <c r="BF1112" s="117"/>
      <c r="BG1112" s="116"/>
      <c r="BH1112" s="116"/>
      <c r="BI1112" s="116"/>
    </row>
    <row r="1113" spans="3:61" ht="19.5" x14ac:dyDescent="0.4"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22"/>
      <c r="AK1113" s="122"/>
      <c r="AL1113" s="122"/>
      <c r="AM1113" s="115"/>
      <c r="AN1113" s="115"/>
      <c r="AO1113" s="115"/>
      <c r="AP1113" s="115"/>
      <c r="AQ1113" s="115"/>
      <c r="AR1113" s="115"/>
      <c r="AS1113" s="115"/>
      <c r="AT1113" s="115"/>
      <c r="AU1113" s="115"/>
      <c r="AV1113" s="115"/>
      <c r="AW1113" s="115"/>
      <c r="AX1113" s="115"/>
      <c r="AY1113" s="115"/>
      <c r="AZ1113" s="115"/>
      <c r="BA1113" s="26"/>
      <c r="BB1113" s="13"/>
      <c r="BF1113" s="117"/>
      <c r="BG1113" s="116"/>
      <c r="BH1113" s="116"/>
      <c r="BI1113" s="116"/>
    </row>
    <row r="1114" spans="3:61" ht="19.5" x14ac:dyDescent="0.4">
      <c r="BA1114" s="26"/>
      <c r="BB1114" s="15"/>
      <c r="BF1114" s="117"/>
      <c r="BG1114" s="116"/>
      <c r="BH1114" s="116"/>
      <c r="BI1114" s="116"/>
    </row>
    <row r="1115" spans="3:61" ht="19.5" x14ac:dyDescent="0.4"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22"/>
      <c r="AK1115" s="122"/>
      <c r="AL1115" s="122"/>
      <c r="AM1115" s="115"/>
      <c r="AN1115" s="115"/>
      <c r="AO1115" s="115"/>
      <c r="AP1115" s="115"/>
      <c r="AQ1115" s="115"/>
      <c r="AR1115" s="115"/>
      <c r="AS1115" s="115"/>
      <c r="AT1115" s="115"/>
      <c r="AU1115" s="115"/>
      <c r="AV1115" s="115"/>
      <c r="AW1115" s="115"/>
      <c r="AX1115" s="115"/>
      <c r="AY1115" s="115"/>
      <c r="AZ1115" s="115"/>
      <c r="BA1115" s="26"/>
      <c r="BB1115" s="15"/>
      <c r="BF1115" s="117"/>
      <c r="BG1115" s="116"/>
      <c r="BH1115" s="116"/>
      <c r="BI1115" s="116"/>
    </row>
    <row r="1116" spans="3:61" ht="19.5" x14ac:dyDescent="0.4"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22"/>
      <c r="AK1116" s="122"/>
      <c r="AL1116" s="122"/>
      <c r="AM1116" s="115"/>
      <c r="AN1116" s="115"/>
      <c r="AO1116" s="115"/>
      <c r="AP1116" s="115"/>
      <c r="AQ1116" s="115"/>
      <c r="AR1116" s="115"/>
      <c r="AS1116" s="115"/>
      <c r="AT1116" s="115"/>
      <c r="AU1116" s="115"/>
      <c r="AV1116" s="115"/>
      <c r="AW1116" s="115"/>
      <c r="AX1116" s="115"/>
      <c r="AY1116" s="115"/>
      <c r="AZ1116" s="115"/>
      <c r="BA1116" s="17"/>
      <c r="BB1116" s="15"/>
      <c r="BF1116" s="117"/>
      <c r="BG1116" s="116"/>
      <c r="BH1116" s="116"/>
      <c r="BI1116" s="116"/>
    </row>
    <row r="1117" spans="3:61" ht="19.5" x14ac:dyDescent="0.4">
      <c r="BA1117" s="26"/>
      <c r="BB1117" s="15"/>
      <c r="BF1117" s="117"/>
      <c r="BG1117" s="116"/>
      <c r="BH1117" s="116"/>
      <c r="BI1117" s="116"/>
    </row>
    <row r="1118" spans="3:61" ht="19.5" x14ac:dyDescent="0.4">
      <c r="BA1118" s="26"/>
      <c r="BB1118" s="13"/>
      <c r="BF1118" s="117"/>
      <c r="BG1118" s="116"/>
      <c r="BH1118" s="116"/>
      <c r="BI1118" s="116"/>
    </row>
    <row r="1119" spans="3:61" ht="19.5" x14ac:dyDescent="0.4">
      <c r="AG1119" s="115"/>
      <c r="AH1119" s="115"/>
      <c r="AI1119" s="115"/>
      <c r="AJ1119" s="122"/>
      <c r="AK1119" s="122"/>
      <c r="AL1119" s="122"/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115"/>
      <c r="AX1119" s="115"/>
      <c r="AY1119" s="115"/>
      <c r="AZ1119" s="115"/>
      <c r="BA1119" s="26"/>
      <c r="BB1119" s="13"/>
      <c r="BF1119" s="117"/>
      <c r="BG1119" s="116"/>
      <c r="BH1119" s="116"/>
      <c r="BI1119" s="116"/>
    </row>
    <row r="1120" spans="3:61" ht="19.5" x14ac:dyDescent="0.4"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22"/>
      <c r="AK1120" s="122"/>
      <c r="AL1120" s="122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115"/>
      <c r="AZ1120" s="115"/>
      <c r="BA1120" s="26"/>
      <c r="BB1120" s="13"/>
      <c r="BF1120" s="117"/>
      <c r="BG1120" s="116"/>
      <c r="BH1120" s="116"/>
      <c r="BI1120" s="116"/>
    </row>
    <row r="1121" spans="1:61" ht="19.5" x14ac:dyDescent="0.4"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22"/>
      <c r="AK1121" s="122"/>
      <c r="AL1121" s="122"/>
      <c r="AM1121" s="115"/>
      <c r="AN1121" s="115"/>
      <c r="AO1121" s="115"/>
      <c r="AP1121" s="115"/>
      <c r="AQ1121" s="115"/>
      <c r="AR1121" s="115"/>
      <c r="AS1121" s="115"/>
      <c r="AT1121" s="115"/>
      <c r="AU1121" s="115"/>
      <c r="AV1121" s="115"/>
      <c r="AW1121" s="115"/>
      <c r="AX1121" s="115"/>
      <c r="AY1121" s="115"/>
      <c r="AZ1121" s="115"/>
      <c r="BA1121" s="17"/>
      <c r="BB1121" s="13"/>
      <c r="BF1121" s="117"/>
      <c r="BG1121" s="116"/>
      <c r="BH1121" s="116"/>
      <c r="BI1121" s="116"/>
    </row>
    <row r="1122" spans="1:61" ht="19.5" x14ac:dyDescent="0.4"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22"/>
      <c r="AK1122" s="122"/>
      <c r="AL1122" s="122"/>
      <c r="AM1122" s="115"/>
      <c r="AN1122" s="115"/>
      <c r="AO1122" s="115"/>
      <c r="AP1122" s="115"/>
      <c r="AQ1122" s="115"/>
      <c r="AR1122" s="115"/>
      <c r="AS1122" s="115"/>
      <c r="AT1122" s="115"/>
      <c r="AU1122" s="115"/>
      <c r="AV1122" s="115"/>
      <c r="AW1122" s="115"/>
      <c r="AX1122" s="115"/>
      <c r="AY1122" s="115"/>
      <c r="AZ1122" s="115"/>
      <c r="BA1122" s="26"/>
      <c r="BB1122" s="25"/>
      <c r="BF1122" s="117"/>
      <c r="BG1122" s="116"/>
      <c r="BH1122" s="116"/>
      <c r="BI1122" s="116"/>
    </row>
    <row r="1123" spans="1:61" ht="19.5" x14ac:dyDescent="0.4"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22"/>
      <c r="AK1123" s="122"/>
      <c r="AL1123" s="122"/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115"/>
      <c r="AX1123" s="115"/>
      <c r="AY1123" s="115"/>
      <c r="AZ1123" s="115"/>
      <c r="BA1123" s="17"/>
      <c r="BB1123" s="13"/>
      <c r="BF1123" s="117"/>
      <c r="BG1123" s="116"/>
      <c r="BH1123" s="116"/>
      <c r="BI1123" s="116"/>
    </row>
    <row r="1124" spans="1:61" ht="19.5" x14ac:dyDescent="0.4"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22"/>
      <c r="AK1124" s="122"/>
      <c r="AL1124" s="122"/>
      <c r="AM1124" s="115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115"/>
      <c r="AZ1124" s="115"/>
      <c r="BA1124" s="26"/>
      <c r="BB1124" s="13"/>
      <c r="BF1124" s="117"/>
      <c r="BG1124" s="116"/>
      <c r="BH1124" s="116"/>
      <c r="BI1124" s="116"/>
    </row>
    <row r="1125" spans="1:61" ht="19.5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22"/>
      <c r="AK1125" s="122"/>
      <c r="AL1125" s="122"/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115"/>
      <c r="AW1125" s="115"/>
      <c r="AX1125" s="115"/>
      <c r="AY1125" s="115"/>
      <c r="AZ1125" s="115"/>
      <c r="BA1125" s="26"/>
      <c r="BB1125" s="13"/>
      <c r="BF1125" s="117"/>
      <c r="BG1125" s="116"/>
      <c r="BH1125" s="116"/>
      <c r="BI1125" s="116"/>
    </row>
    <row r="1126" spans="1:61" ht="19.5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22"/>
      <c r="AK1126" s="122"/>
      <c r="AL1126" s="122"/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26"/>
      <c r="BB1126" s="13"/>
      <c r="BF1126" s="117"/>
      <c r="BG1126" s="116"/>
      <c r="BH1126" s="116"/>
      <c r="BI1126" s="116"/>
    </row>
    <row r="1127" spans="1:61" ht="19.5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22"/>
      <c r="AK1127" s="122"/>
      <c r="AL1127" s="122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26"/>
      <c r="BB1127" s="13"/>
      <c r="BF1127" s="117"/>
      <c r="BG1127" s="116"/>
      <c r="BH1127" s="116"/>
      <c r="BI1127" s="116"/>
    </row>
    <row r="1128" spans="1:61" ht="19.5" x14ac:dyDescent="0.4">
      <c r="A1128" s="115"/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22"/>
      <c r="AK1128" s="122"/>
      <c r="AL1128" s="122"/>
      <c r="AM1128" s="115"/>
      <c r="AN1128" s="115"/>
      <c r="AO1128" s="115"/>
      <c r="AP1128" s="115"/>
      <c r="AQ1128" s="115"/>
      <c r="AR1128" s="115"/>
      <c r="AS1128" s="115"/>
      <c r="AT1128" s="115"/>
      <c r="AU1128" s="115"/>
      <c r="AV1128" s="115"/>
      <c r="AW1128" s="115"/>
      <c r="AX1128" s="115"/>
      <c r="AY1128" s="115"/>
      <c r="AZ1128" s="115"/>
      <c r="BA1128" s="26"/>
      <c r="BB1128" s="13"/>
      <c r="BF1128" s="117"/>
      <c r="BG1128" s="116"/>
      <c r="BH1128" s="116"/>
      <c r="BI1128" s="116"/>
    </row>
    <row r="1129" spans="1:61" ht="19.5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22"/>
      <c r="AK1129" s="122"/>
      <c r="AL1129" s="122"/>
      <c r="AM1129" s="115"/>
      <c r="AN1129" s="115"/>
      <c r="AO1129" s="115"/>
      <c r="AP1129" s="115"/>
      <c r="AQ1129" s="115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26"/>
      <c r="BB1129" s="13"/>
      <c r="BF1129" s="117"/>
      <c r="BG1129" s="116"/>
      <c r="BH1129" s="116"/>
      <c r="BI1129" s="116"/>
    </row>
    <row r="1130" spans="1:61" ht="19.5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22"/>
      <c r="AK1130" s="122"/>
      <c r="AL1130" s="122"/>
      <c r="AM1130" s="115"/>
      <c r="AN1130" s="115"/>
      <c r="AO1130" s="115"/>
      <c r="AP1130" s="115"/>
      <c r="AQ1130" s="115"/>
      <c r="AR1130" s="115"/>
      <c r="AS1130" s="115"/>
      <c r="AT1130" s="115"/>
      <c r="AU1130" s="115"/>
      <c r="AV1130" s="115"/>
      <c r="AW1130" s="115"/>
      <c r="AX1130" s="115"/>
      <c r="AY1130" s="115"/>
      <c r="AZ1130" s="115"/>
      <c r="BA1130" s="26"/>
      <c r="BB1130" s="13"/>
      <c r="BF1130" s="117"/>
      <c r="BG1130" s="116"/>
      <c r="BH1130" s="116"/>
      <c r="BI1130" s="116"/>
    </row>
    <row r="1131" spans="1:61" ht="19.5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22"/>
      <c r="AK1131" s="122"/>
      <c r="AL1131" s="122"/>
      <c r="AM1131" s="115"/>
      <c r="AN1131" s="115"/>
      <c r="AO1131" s="115"/>
      <c r="AP1131" s="115"/>
      <c r="AQ1131" s="115"/>
      <c r="AR1131" s="115"/>
      <c r="AS1131" s="115"/>
      <c r="AT1131" s="115"/>
      <c r="AU1131" s="115"/>
      <c r="AV1131" s="115"/>
      <c r="AW1131" s="115"/>
      <c r="AX1131" s="115"/>
      <c r="AY1131" s="115"/>
      <c r="AZ1131" s="115"/>
      <c r="BA1131" s="26"/>
      <c r="BB1131" s="13"/>
      <c r="BF1131" s="117"/>
      <c r="BG1131" s="116"/>
      <c r="BH1131" s="116"/>
      <c r="BI1131" s="116"/>
    </row>
    <row r="1132" spans="1:61" ht="19.5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22"/>
      <c r="AK1132" s="122"/>
      <c r="AL1132" s="122"/>
      <c r="AM1132" s="115"/>
      <c r="AN1132" s="115"/>
      <c r="AO1132" s="115"/>
      <c r="AP1132" s="115"/>
      <c r="AQ1132" s="115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26"/>
      <c r="BB1132" s="15"/>
      <c r="BF1132" s="117"/>
      <c r="BG1132" s="116"/>
      <c r="BH1132" s="116"/>
      <c r="BI1132" s="116"/>
    </row>
    <row r="1133" spans="1:61" ht="19.5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22"/>
      <c r="AK1133" s="122"/>
      <c r="AL1133" s="122"/>
      <c r="AM1133" s="115"/>
      <c r="AN1133" s="115"/>
      <c r="AO1133" s="115"/>
      <c r="AP1133" s="115"/>
      <c r="AQ1133" s="115"/>
      <c r="AR1133" s="115"/>
      <c r="AS1133" s="115"/>
      <c r="AT1133" s="115"/>
      <c r="AU1133" s="115"/>
      <c r="AV1133" s="115"/>
      <c r="AW1133" s="115"/>
      <c r="AX1133" s="115"/>
      <c r="AY1133" s="115"/>
      <c r="AZ1133" s="115"/>
      <c r="BA1133" s="26"/>
      <c r="BB1133" s="15"/>
      <c r="BF1133" s="117"/>
      <c r="BG1133" s="116"/>
      <c r="BH1133" s="116"/>
      <c r="BI1133" s="116"/>
    </row>
    <row r="1134" spans="1:61" ht="19.5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22"/>
      <c r="AK1134" s="122"/>
      <c r="AL1134" s="122"/>
      <c r="AM1134" s="115"/>
      <c r="AN1134" s="115"/>
      <c r="AO1134" s="115"/>
      <c r="AP1134" s="115"/>
      <c r="AQ1134" s="115"/>
      <c r="AR1134" s="115"/>
      <c r="AS1134" s="115"/>
      <c r="AT1134" s="115"/>
      <c r="AU1134" s="115"/>
      <c r="AV1134" s="115"/>
      <c r="AW1134" s="115"/>
      <c r="AX1134" s="115"/>
      <c r="AY1134" s="115"/>
      <c r="AZ1134" s="115"/>
      <c r="BA1134" s="26"/>
      <c r="BB1134" s="15"/>
      <c r="BF1134" s="117"/>
      <c r="BG1134" s="116"/>
      <c r="BH1134" s="116"/>
      <c r="BI1134" s="116"/>
    </row>
    <row r="1135" spans="1:61" ht="19.5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22"/>
      <c r="AK1135" s="122"/>
      <c r="AL1135" s="122"/>
      <c r="AM1135" s="115"/>
      <c r="AN1135" s="115"/>
      <c r="AO1135" s="115"/>
      <c r="AP1135" s="115"/>
      <c r="AQ1135" s="115"/>
      <c r="AR1135" s="115"/>
      <c r="AS1135" s="115"/>
      <c r="AT1135" s="115"/>
      <c r="AU1135" s="115"/>
      <c r="AV1135" s="115"/>
      <c r="AW1135" s="115"/>
      <c r="AX1135" s="115"/>
      <c r="AY1135" s="115"/>
      <c r="AZ1135" s="115"/>
      <c r="BA1135" s="26"/>
      <c r="BB1135" s="15"/>
      <c r="BF1135" s="117"/>
      <c r="BG1135" s="116"/>
      <c r="BH1135" s="116"/>
      <c r="BI1135" s="116"/>
    </row>
    <row r="1136" spans="1:61" ht="19.5" x14ac:dyDescent="0.4">
      <c r="A1136" s="115"/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22"/>
      <c r="AK1136" s="122"/>
      <c r="AL1136" s="122"/>
      <c r="AM1136" s="115"/>
      <c r="AN1136" s="115"/>
      <c r="AO1136" s="115"/>
      <c r="AP1136" s="115"/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26"/>
      <c r="BB1136" s="25"/>
      <c r="BF1136" s="117"/>
      <c r="BG1136" s="116"/>
      <c r="BH1136" s="116"/>
      <c r="BI1136" s="116"/>
    </row>
    <row r="1137" spans="1:61" ht="19.5" x14ac:dyDescent="0.4">
      <c r="BA1137" s="26"/>
      <c r="BB1137" s="15"/>
      <c r="BF1137" s="117"/>
      <c r="BG1137" s="116"/>
      <c r="BH1137" s="116"/>
      <c r="BI1137" s="116"/>
    </row>
    <row r="1138" spans="1:61" ht="19.5" x14ac:dyDescent="0.4">
      <c r="AI1138" s="115"/>
      <c r="AJ1138" s="122"/>
      <c r="AK1138" s="122"/>
      <c r="AL1138" s="122"/>
      <c r="AM1138" s="115"/>
      <c r="AN1138" s="115"/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115"/>
      <c r="AY1138" s="115"/>
      <c r="AZ1138" s="115"/>
      <c r="BA1138" s="26"/>
      <c r="BB1138" s="15"/>
      <c r="BF1138" s="117"/>
      <c r="BG1138" s="116"/>
      <c r="BH1138" s="116"/>
      <c r="BI1138" s="116"/>
    </row>
    <row r="1139" spans="1:61" ht="19.5" x14ac:dyDescent="0.4">
      <c r="AG1139" s="115"/>
      <c r="AH1139" s="115"/>
      <c r="AI1139" s="115"/>
      <c r="AJ1139" s="122"/>
      <c r="AK1139" s="122"/>
      <c r="AL1139" s="122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26"/>
      <c r="BB1139" s="15"/>
      <c r="BF1139" s="117"/>
      <c r="BG1139" s="116"/>
      <c r="BH1139" s="116"/>
      <c r="BI1139" s="116"/>
    </row>
    <row r="1140" spans="1:61" ht="19.5" x14ac:dyDescent="0.4">
      <c r="AG1140" s="115"/>
      <c r="AH1140" s="115"/>
      <c r="AI1140" s="115"/>
      <c r="AJ1140" s="122"/>
      <c r="AK1140" s="122"/>
      <c r="AL1140" s="122"/>
      <c r="AM1140" s="115"/>
      <c r="AN1140" s="115"/>
      <c r="AO1140" s="115"/>
      <c r="AP1140" s="115"/>
      <c r="AQ1140" s="115"/>
      <c r="AR1140" s="115"/>
      <c r="AS1140" s="115"/>
      <c r="AT1140" s="115"/>
      <c r="AU1140" s="115"/>
      <c r="AV1140" s="115"/>
      <c r="AW1140" s="115"/>
      <c r="AX1140" s="115"/>
      <c r="AY1140" s="115"/>
      <c r="AZ1140" s="115"/>
      <c r="BA1140" s="17"/>
      <c r="BB1140" s="15"/>
      <c r="BF1140" s="117"/>
      <c r="BG1140" s="116"/>
      <c r="BH1140" s="116"/>
      <c r="BI1140" s="116"/>
    </row>
    <row r="1141" spans="1:61" ht="19.5" x14ac:dyDescent="0.4">
      <c r="AD1141" s="115"/>
      <c r="AE1141" s="115"/>
      <c r="AF1141" s="115"/>
      <c r="AG1141" s="115"/>
      <c r="AH1141" s="115"/>
      <c r="AI1141" s="115"/>
      <c r="AJ1141" s="122"/>
      <c r="AK1141" s="122"/>
      <c r="AL1141" s="122"/>
      <c r="AM1141" s="115"/>
      <c r="AN1141" s="115"/>
      <c r="AO1141" s="115"/>
      <c r="AP1141" s="115"/>
      <c r="AQ1141" s="115"/>
      <c r="AR1141" s="115"/>
      <c r="AS1141" s="115"/>
      <c r="AT1141" s="115"/>
      <c r="AU1141" s="115"/>
      <c r="AV1141" s="115"/>
      <c r="AW1141" s="115"/>
      <c r="AX1141" s="115"/>
      <c r="AY1141" s="115"/>
      <c r="AZ1141" s="115"/>
      <c r="BA1141" s="26"/>
      <c r="BB1141" s="15"/>
      <c r="BF1141" s="117"/>
      <c r="BG1141" s="116"/>
      <c r="BH1141" s="116"/>
      <c r="BI1141" s="116"/>
    </row>
    <row r="1142" spans="1:61" ht="19.5" x14ac:dyDescent="0.4">
      <c r="AD1142" s="115"/>
      <c r="AE1142" s="115"/>
      <c r="AF1142" s="115"/>
      <c r="AG1142" s="115"/>
      <c r="AH1142" s="115"/>
      <c r="AI1142" s="115"/>
      <c r="AJ1142" s="122"/>
      <c r="AK1142" s="122"/>
      <c r="AL1142" s="122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17"/>
      <c r="BB1142" s="15"/>
      <c r="BF1142" s="117"/>
      <c r="BG1142" s="116"/>
      <c r="BH1142" s="116"/>
      <c r="BI1142" s="116"/>
    </row>
    <row r="1143" spans="1:61" ht="19.5" x14ac:dyDescent="0.4">
      <c r="AD1143" s="115"/>
      <c r="AE1143" s="115"/>
      <c r="AF1143" s="115"/>
      <c r="AG1143" s="115"/>
      <c r="AH1143" s="115"/>
      <c r="AI1143" s="115"/>
      <c r="AJ1143" s="122"/>
      <c r="AK1143" s="122"/>
      <c r="AL1143" s="122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26"/>
      <c r="BB1143" s="15"/>
      <c r="BF1143" s="117"/>
      <c r="BG1143" s="116"/>
      <c r="BH1143" s="116"/>
      <c r="BI1143" s="116"/>
    </row>
    <row r="1144" spans="1:61" ht="19.5" x14ac:dyDescent="0.4">
      <c r="AD1144" s="115"/>
      <c r="AE1144" s="115"/>
      <c r="AF1144" s="115"/>
      <c r="AG1144" s="115"/>
      <c r="AH1144" s="115"/>
      <c r="AI1144" s="115"/>
      <c r="AJ1144" s="122"/>
      <c r="AK1144" s="122"/>
      <c r="AL1144" s="122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17"/>
      <c r="BB1144" s="13"/>
      <c r="BF1144" s="117"/>
      <c r="BG1144" s="116"/>
      <c r="BH1144" s="116"/>
      <c r="BI1144" s="116"/>
    </row>
    <row r="1145" spans="1:61" ht="19.5" x14ac:dyDescent="0.4">
      <c r="AD1145" s="115"/>
      <c r="AE1145" s="115"/>
      <c r="AF1145" s="115"/>
      <c r="AG1145" s="115"/>
      <c r="AH1145" s="115"/>
      <c r="AI1145" s="115"/>
      <c r="AJ1145" s="122"/>
      <c r="AK1145" s="122"/>
      <c r="AL1145" s="122"/>
      <c r="AM1145" s="115"/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115"/>
      <c r="AX1145" s="115"/>
      <c r="AY1145" s="115"/>
      <c r="AZ1145" s="115"/>
      <c r="BA1145" s="17"/>
      <c r="BB1145" s="13"/>
      <c r="BF1145" s="117"/>
      <c r="BG1145" s="116"/>
      <c r="BH1145" s="116"/>
      <c r="BI1145" s="116"/>
    </row>
    <row r="1146" spans="1:61" ht="19.5" x14ac:dyDescent="0.4">
      <c r="BA1146" s="26"/>
      <c r="BB1146" s="13"/>
      <c r="BF1146" s="117"/>
      <c r="BG1146" s="116"/>
      <c r="BH1146" s="116"/>
      <c r="BI1146" s="116"/>
    </row>
    <row r="1147" spans="1:61" ht="19.5" x14ac:dyDescent="0.4">
      <c r="AI1147" s="115"/>
      <c r="AJ1147" s="122"/>
      <c r="AK1147" s="122"/>
      <c r="AL1147" s="122"/>
      <c r="AM1147" s="115"/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7"/>
      <c r="BB1147" s="13"/>
      <c r="BF1147" s="117"/>
      <c r="BG1147" s="116"/>
      <c r="BH1147" s="116"/>
      <c r="BI1147" s="116"/>
    </row>
    <row r="1148" spans="1:61" ht="19.5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22"/>
      <c r="AK1148" s="122"/>
      <c r="AL1148" s="122"/>
      <c r="AM1148" s="115"/>
      <c r="AN1148" s="115"/>
      <c r="AO1148" s="115"/>
      <c r="AP1148" s="115"/>
      <c r="AQ1148" s="115"/>
      <c r="AR1148" s="115"/>
      <c r="AS1148" s="115"/>
      <c r="AT1148" s="115"/>
      <c r="AU1148" s="115"/>
      <c r="AV1148" s="115"/>
      <c r="AW1148" s="115"/>
      <c r="AX1148" s="115"/>
      <c r="AY1148" s="115"/>
      <c r="AZ1148" s="115"/>
      <c r="BA1148" s="26"/>
      <c r="BB1148" s="13"/>
      <c r="BF1148" s="117"/>
      <c r="BG1148" s="116"/>
      <c r="BH1148" s="116"/>
      <c r="BI1148" s="116"/>
    </row>
    <row r="1149" spans="1:61" ht="19.5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22"/>
      <c r="AK1149" s="122"/>
      <c r="AL1149" s="122"/>
      <c r="AM1149" s="115"/>
      <c r="AN1149" s="115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26"/>
      <c r="BB1149" s="13"/>
      <c r="BF1149" s="117"/>
      <c r="BG1149" s="116"/>
      <c r="BH1149" s="116"/>
      <c r="BI1149" s="116"/>
    </row>
    <row r="1150" spans="1:61" ht="19.5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22"/>
      <c r="AK1150" s="122"/>
      <c r="AL1150" s="122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26"/>
      <c r="BB1150" s="13"/>
      <c r="BF1150" s="117"/>
      <c r="BG1150" s="116"/>
      <c r="BH1150" s="116"/>
      <c r="BI1150" s="116"/>
    </row>
    <row r="1151" spans="1:61" ht="19.5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22"/>
      <c r="AK1151" s="122"/>
      <c r="AL1151" s="122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26"/>
      <c r="BB1151" s="13"/>
      <c r="BF1151" s="117"/>
      <c r="BG1151" s="116"/>
      <c r="BH1151" s="116"/>
      <c r="BI1151" s="116"/>
    </row>
    <row r="1152" spans="1:61" ht="19.5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22"/>
      <c r="AK1152" s="122"/>
      <c r="AL1152" s="122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7"/>
      <c r="BB1152" s="13"/>
      <c r="BF1152" s="117"/>
      <c r="BG1152" s="116"/>
      <c r="BH1152" s="116"/>
      <c r="BI1152" s="116"/>
    </row>
    <row r="1153" spans="1:61" ht="19.5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22"/>
      <c r="AK1153" s="122"/>
      <c r="AL1153" s="122"/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115"/>
      <c r="AX1153" s="115"/>
      <c r="AY1153" s="115"/>
      <c r="AZ1153" s="115"/>
      <c r="BA1153" s="26"/>
      <c r="BB1153" s="13"/>
      <c r="BF1153" s="117"/>
      <c r="BG1153" s="116"/>
      <c r="BH1153" s="116"/>
      <c r="BI1153" s="116"/>
    </row>
    <row r="1154" spans="1:61" ht="19.5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22"/>
      <c r="AK1154" s="122"/>
      <c r="AL1154" s="122"/>
      <c r="AM1154" s="115"/>
      <c r="AN1154" s="115"/>
      <c r="AO1154" s="115"/>
      <c r="AP1154" s="115"/>
      <c r="AQ1154" s="115"/>
      <c r="AR1154" s="115"/>
      <c r="AS1154" s="115"/>
      <c r="AT1154" s="115"/>
      <c r="AU1154" s="115"/>
      <c r="AV1154" s="115"/>
      <c r="AW1154" s="115"/>
      <c r="AX1154" s="115"/>
      <c r="AY1154" s="115"/>
      <c r="AZ1154" s="115"/>
      <c r="BA1154" s="26"/>
      <c r="BB1154" s="15"/>
      <c r="BF1154" s="117"/>
      <c r="BG1154" s="116"/>
      <c r="BH1154" s="116"/>
      <c r="BI1154" s="116"/>
    </row>
    <row r="1155" spans="1:61" ht="19.5" x14ac:dyDescent="0.4">
      <c r="BA1155" s="26"/>
      <c r="BB1155" s="15"/>
      <c r="BF1155" s="117"/>
      <c r="BG1155" s="116"/>
      <c r="BH1155" s="116"/>
      <c r="BI1155" s="116"/>
    </row>
    <row r="1156" spans="1:61" ht="19.5" x14ac:dyDescent="0.4">
      <c r="AH1156" s="115"/>
      <c r="AI1156" s="115"/>
      <c r="AJ1156" s="122"/>
      <c r="AK1156" s="122"/>
      <c r="AL1156" s="122"/>
      <c r="AM1156" s="115"/>
      <c r="AN1156" s="115"/>
      <c r="AO1156" s="115"/>
      <c r="AP1156" s="115"/>
      <c r="AQ1156" s="115"/>
      <c r="AR1156" s="115"/>
      <c r="AS1156" s="115"/>
      <c r="AT1156" s="115"/>
      <c r="AU1156" s="115"/>
      <c r="AV1156" s="115"/>
      <c r="AW1156" s="115"/>
      <c r="AX1156" s="115"/>
      <c r="AY1156" s="115"/>
      <c r="AZ1156" s="115"/>
      <c r="BA1156" s="26"/>
      <c r="BB1156" s="13"/>
      <c r="BF1156" s="117"/>
      <c r="BG1156" s="116"/>
      <c r="BH1156" s="116"/>
      <c r="BI1156" s="116"/>
    </row>
    <row r="1157" spans="1:61" ht="19.5" x14ac:dyDescent="0.4">
      <c r="AF1157" s="115"/>
      <c r="AG1157" s="115"/>
      <c r="AH1157" s="115"/>
      <c r="AI1157" s="115"/>
      <c r="AJ1157" s="122"/>
      <c r="AK1157" s="122"/>
      <c r="AL1157" s="122"/>
      <c r="AM1157" s="115"/>
      <c r="AN1157" s="115"/>
      <c r="AO1157" s="115"/>
      <c r="AP1157" s="115"/>
      <c r="AQ1157" s="115"/>
      <c r="AR1157" s="115"/>
      <c r="AS1157" s="115"/>
      <c r="AT1157" s="115"/>
      <c r="AU1157" s="115"/>
      <c r="AV1157" s="115"/>
      <c r="AW1157" s="115"/>
      <c r="AX1157" s="115"/>
      <c r="AY1157" s="115"/>
      <c r="AZ1157" s="115"/>
      <c r="BA1157" s="26"/>
      <c r="BB1157" s="15"/>
      <c r="BF1157" s="117"/>
      <c r="BG1157" s="116"/>
      <c r="BH1157" s="116"/>
      <c r="BI1157" s="116"/>
    </row>
    <row r="1158" spans="1:61" ht="19.5" x14ac:dyDescent="0.4">
      <c r="AF1158" s="115"/>
      <c r="AG1158" s="115"/>
      <c r="AH1158" s="115"/>
      <c r="AI1158" s="115"/>
      <c r="AJ1158" s="122"/>
      <c r="AK1158" s="122"/>
      <c r="AL1158" s="122"/>
      <c r="AM1158" s="115"/>
      <c r="AN1158" s="115"/>
      <c r="AO1158" s="115"/>
      <c r="AP1158" s="115"/>
      <c r="AQ1158" s="115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26"/>
      <c r="BB1158" s="15"/>
      <c r="BF1158" s="117"/>
      <c r="BG1158" s="116"/>
      <c r="BH1158" s="116"/>
      <c r="BI1158" s="116"/>
    </row>
    <row r="1159" spans="1:61" ht="19.5" x14ac:dyDescent="0.4">
      <c r="AF1159" s="115"/>
      <c r="AG1159" s="115"/>
      <c r="AH1159" s="115"/>
      <c r="AI1159" s="115"/>
      <c r="AJ1159" s="122"/>
      <c r="AK1159" s="122"/>
      <c r="AL1159" s="122"/>
      <c r="AM1159" s="115"/>
      <c r="AN1159" s="115"/>
      <c r="AO1159" s="115"/>
      <c r="AP1159" s="115"/>
      <c r="AQ1159" s="115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7"/>
      <c r="BB1159" s="15"/>
      <c r="BF1159" s="117"/>
      <c r="BG1159" s="116"/>
      <c r="BH1159" s="116"/>
      <c r="BI1159" s="116"/>
    </row>
    <row r="1160" spans="1:61" ht="19.5" x14ac:dyDescent="0.4">
      <c r="AE1160" s="115"/>
      <c r="AF1160" s="115"/>
      <c r="AG1160" s="115"/>
      <c r="AH1160" s="115"/>
      <c r="AI1160" s="115"/>
      <c r="AJ1160" s="122"/>
      <c r="AK1160" s="122"/>
      <c r="AL1160" s="122"/>
      <c r="AM1160" s="115"/>
      <c r="AN1160" s="115"/>
      <c r="AO1160" s="115"/>
      <c r="AP1160" s="115"/>
      <c r="AQ1160" s="115"/>
      <c r="AR1160" s="115"/>
      <c r="AS1160" s="115"/>
      <c r="AT1160" s="115"/>
      <c r="AU1160" s="115"/>
      <c r="AV1160" s="115"/>
      <c r="AW1160" s="115"/>
      <c r="AX1160" s="115"/>
      <c r="AY1160" s="115"/>
      <c r="AZ1160" s="115"/>
      <c r="BA1160" s="26"/>
      <c r="BB1160" s="15"/>
      <c r="BF1160" s="117"/>
      <c r="BG1160" s="116"/>
      <c r="BH1160" s="116"/>
      <c r="BI1160" s="116"/>
    </row>
    <row r="1161" spans="1:61" ht="19.5" x14ac:dyDescent="0.4">
      <c r="AE1161" s="115"/>
      <c r="AF1161" s="115"/>
      <c r="AG1161" s="115"/>
      <c r="AH1161" s="115"/>
      <c r="AI1161" s="115"/>
      <c r="AJ1161" s="122"/>
      <c r="AK1161" s="122"/>
      <c r="AL1161" s="122"/>
      <c r="AM1161" s="115"/>
      <c r="AN1161" s="115"/>
      <c r="AO1161" s="115"/>
      <c r="AP1161" s="115"/>
      <c r="AQ1161" s="115"/>
      <c r="AR1161" s="115"/>
      <c r="AS1161" s="115"/>
      <c r="AT1161" s="115"/>
      <c r="AU1161" s="115"/>
      <c r="AV1161" s="115"/>
      <c r="AW1161" s="115"/>
      <c r="AX1161" s="115"/>
      <c r="AY1161" s="115"/>
      <c r="AZ1161" s="115"/>
      <c r="BA1161" s="26"/>
      <c r="BB1161" s="15"/>
      <c r="BF1161" s="117"/>
      <c r="BG1161" s="116"/>
      <c r="BH1161" s="116"/>
      <c r="BI1161" s="116"/>
    </row>
    <row r="1162" spans="1:61" ht="19.5" x14ac:dyDescent="0.4">
      <c r="AE1162" s="115"/>
      <c r="AF1162" s="115"/>
      <c r="AG1162" s="115"/>
      <c r="AH1162" s="115"/>
      <c r="AI1162" s="115"/>
      <c r="AJ1162" s="122"/>
      <c r="AK1162" s="122"/>
      <c r="AL1162" s="122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26"/>
      <c r="BB1162" s="105"/>
      <c r="BF1162" s="117"/>
      <c r="BG1162" s="116"/>
      <c r="BH1162" s="116"/>
      <c r="BI1162" s="116"/>
    </row>
    <row r="1163" spans="1:61" ht="19.5" x14ac:dyDescent="0.4">
      <c r="AE1163" s="115"/>
      <c r="AF1163" s="115"/>
      <c r="AG1163" s="115"/>
      <c r="AH1163" s="115"/>
      <c r="AI1163" s="115"/>
      <c r="AJ1163" s="122"/>
      <c r="AK1163" s="122"/>
      <c r="AL1163" s="122"/>
      <c r="AM1163" s="115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7"/>
      <c r="BB1163" s="15"/>
      <c r="BF1163" s="117"/>
      <c r="BG1163" s="116"/>
      <c r="BH1163" s="116"/>
      <c r="BI1163" s="116"/>
    </row>
    <row r="1164" spans="1:61" ht="19.5" x14ac:dyDescent="0.4">
      <c r="AE1164" s="115"/>
      <c r="AF1164" s="115"/>
      <c r="AG1164" s="115"/>
      <c r="AH1164" s="115"/>
      <c r="AI1164" s="115"/>
      <c r="AJ1164" s="122"/>
      <c r="AK1164" s="122"/>
      <c r="AL1164" s="122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115"/>
      <c r="AZ1164" s="115"/>
      <c r="BA1164" s="26"/>
      <c r="BB1164" s="15"/>
      <c r="BF1164" s="117"/>
      <c r="BG1164" s="116"/>
      <c r="BH1164" s="116"/>
      <c r="BI1164" s="116"/>
    </row>
    <row r="1165" spans="1:61" ht="19.5" x14ac:dyDescent="0.4">
      <c r="AE1165" s="115"/>
      <c r="AF1165" s="115"/>
      <c r="AG1165" s="115"/>
      <c r="AH1165" s="115"/>
      <c r="AI1165" s="115"/>
      <c r="AJ1165" s="122"/>
      <c r="AK1165" s="122"/>
      <c r="AL1165" s="122"/>
      <c r="AM1165" s="115"/>
      <c r="AN1165" s="115"/>
      <c r="AO1165" s="115"/>
      <c r="AP1165" s="115"/>
      <c r="AQ1165" s="115"/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7"/>
      <c r="BB1165" s="15"/>
      <c r="BF1165" s="117"/>
      <c r="BG1165" s="116"/>
      <c r="BH1165" s="116"/>
      <c r="BI1165" s="116"/>
    </row>
    <row r="1166" spans="1:61" ht="19.5" x14ac:dyDescent="0.4"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22"/>
      <c r="AK1166" s="122"/>
      <c r="AL1166" s="122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26"/>
      <c r="BB1166" s="15"/>
      <c r="BF1166" s="117"/>
      <c r="BG1166" s="116"/>
      <c r="BH1166" s="116"/>
      <c r="BI1166" s="116"/>
    </row>
    <row r="1167" spans="1:61" ht="19.5" x14ac:dyDescent="0.4"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22"/>
      <c r="AK1167" s="122"/>
      <c r="AL1167" s="122"/>
      <c r="AM1167" s="115"/>
      <c r="AN1167" s="115"/>
      <c r="AO1167" s="115"/>
      <c r="AP1167" s="115"/>
      <c r="AQ1167" s="115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7"/>
      <c r="BB1167" s="15"/>
      <c r="BF1167" s="117"/>
      <c r="BG1167" s="116"/>
      <c r="BH1167" s="116"/>
      <c r="BI1167" s="116"/>
    </row>
    <row r="1168" spans="1:61" ht="19.5" x14ac:dyDescent="0.4"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22"/>
      <c r="AK1168" s="122"/>
      <c r="AL1168" s="122"/>
      <c r="AM1168" s="115"/>
      <c r="AN1168" s="115"/>
      <c r="AO1168" s="115"/>
      <c r="AP1168" s="115"/>
      <c r="AQ1168" s="115"/>
      <c r="AR1168" s="115"/>
      <c r="AS1168" s="115"/>
      <c r="AT1168" s="115"/>
      <c r="AU1168" s="115"/>
      <c r="AV1168" s="115"/>
      <c r="AW1168" s="115"/>
      <c r="AX1168" s="115"/>
      <c r="AY1168" s="115"/>
      <c r="AZ1168" s="115"/>
      <c r="BA1168" s="26"/>
      <c r="BB1168" s="15"/>
      <c r="BF1168" s="117"/>
      <c r="BG1168" s="116"/>
      <c r="BH1168" s="116"/>
      <c r="BI1168" s="116"/>
    </row>
    <row r="1169" spans="1:61" ht="19.5" x14ac:dyDescent="0.4"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22"/>
      <c r="AK1169" s="122"/>
      <c r="AL1169" s="122"/>
      <c r="AM1169" s="115"/>
      <c r="AN1169" s="115"/>
      <c r="AO1169" s="115"/>
      <c r="AP1169" s="115"/>
      <c r="AQ1169" s="115"/>
      <c r="AR1169" s="115"/>
      <c r="AS1169" s="115"/>
      <c r="AT1169" s="115"/>
      <c r="AU1169" s="115"/>
      <c r="AV1169" s="115"/>
      <c r="AW1169" s="115"/>
      <c r="AX1169" s="115"/>
      <c r="AY1169" s="115"/>
      <c r="AZ1169" s="115"/>
      <c r="BA1169" s="17"/>
      <c r="BB1169" s="15"/>
      <c r="BF1169" s="117"/>
      <c r="BG1169" s="116"/>
      <c r="BH1169" s="116"/>
      <c r="BI1169" s="116"/>
    </row>
    <row r="1170" spans="1:61" ht="19.5" x14ac:dyDescent="0.4">
      <c r="A1170" s="115"/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22"/>
      <c r="AK1170" s="122"/>
      <c r="AL1170" s="122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26"/>
      <c r="BB1170" s="15"/>
      <c r="BF1170" s="117"/>
      <c r="BG1170" s="116"/>
      <c r="BH1170" s="116"/>
      <c r="BI1170" s="116"/>
    </row>
    <row r="1171" spans="1:61" ht="19.5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22"/>
      <c r="AK1171" s="122"/>
      <c r="AL1171" s="122"/>
      <c r="AM1171" s="115"/>
      <c r="AN1171" s="115"/>
      <c r="AO1171" s="115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26"/>
      <c r="BB1171" s="15"/>
      <c r="BF1171" s="117"/>
      <c r="BG1171" s="116"/>
      <c r="BH1171" s="116"/>
      <c r="BI1171" s="116"/>
    </row>
    <row r="1172" spans="1:61" ht="19.5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22"/>
      <c r="AK1172" s="122"/>
      <c r="AL1172" s="122"/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26"/>
      <c r="BB1172" s="15"/>
      <c r="BF1172" s="117"/>
      <c r="BG1172" s="116"/>
      <c r="BH1172" s="116"/>
      <c r="BI1172" s="116"/>
    </row>
    <row r="1173" spans="1:61" ht="19.5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22"/>
      <c r="AK1173" s="122"/>
      <c r="AL1173" s="122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26"/>
      <c r="BB1173" s="15"/>
      <c r="BF1173" s="117"/>
      <c r="BG1173" s="116"/>
      <c r="BH1173" s="116"/>
      <c r="BI1173" s="116"/>
    </row>
    <row r="1174" spans="1:61" ht="19.5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22"/>
      <c r="AK1174" s="122"/>
      <c r="AL1174" s="122"/>
      <c r="AM1174" s="115"/>
      <c r="AN1174" s="115"/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26"/>
      <c r="BB1174" s="15"/>
      <c r="BF1174" s="117"/>
      <c r="BG1174" s="116"/>
      <c r="BH1174" s="116"/>
      <c r="BI1174" s="116"/>
    </row>
    <row r="1175" spans="1:61" ht="19.5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22"/>
      <c r="AK1175" s="122"/>
      <c r="AL1175" s="122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26"/>
      <c r="BB1175" s="15"/>
      <c r="BF1175" s="117"/>
      <c r="BG1175" s="116"/>
      <c r="BH1175" s="116"/>
      <c r="BI1175" s="116"/>
    </row>
    <row r="1176" spans="1:61" ht="19.5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22"/>
      <c r="AK1176" s="122"/>
      <c r="AL1176" s="122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17"/>
      <c r="BB1176" s="15"/>
      <c r="BF1176" s="117"/>
      <c r="BG1176" s="116"/>
      <c r="BH1176" s="116"/>
      <c r="BI1176" s="116"/>
    </row>
    <row r="1177" spans="1:61" ht="19.5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22"/>
      <c r="AK1177" s="122"/>
      <c r="AL1177" s="122"/>
      <c r="AM1177" s="115"/>
      <c r="AN1177" s="115"/>
      <c r="AO1177" s="115"/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26"/>
      <c r="BB1177" s="15"/>
      <c r="BF1177" s="117"/>
      <c r="BG1177" s="116"/>
      <c r="BH1177" s="116"/>
      <c r="BI1177" s="116"/>
    </row>
    <row r="1178" spans="1:61" ht="19.5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22"/>
      <c r="AK1178" s="122"/>
      <c r="AL1178" s="122"/>
      <c r="AM1178" s="115"/>
      <c r="AN1178" s="115"/>
      <c r="AO1178" s="115"/>
      <c r="AP1178" s="115"/>
      <c r="AQ1178" s="115"/>
      <c r="AR1178" s="115"/>
      <c r="AS1178" s="115"/>
      <c r="AT1178" s="115"/>
      <c r="AU1178" s="115"/>
      <c r="AV1178" s="115"/>
      <c r="AW1178" s="115"/>
      <c r="AX1178" s="115"/>
      <c r="AY1178" s="115"/>
      <c r="AZ1178" s="115"/>
      <c r="BA1178" s="17"/>
      <c r="BB1178" s="15"/>
      <c r="BF1178" s="117"/>
      <c r="BG1178" s="116"/>
      <c r="BH1178" s="116"/>
      <c r="BI1178" s="116"/>
    </row>
    <row r="1179" spans="1:61" ht="19.5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22"/>
      <c r="AK1179" s="122"/>
      <c r="AL1179" s="122"/>
      <c r="AM1179" s="115"/>
      <c r="AN1179" s="115"/>
      <c r="AO1179" s="115"/>
      <c r="AP1179" s="115"/>
      <c r="AQ1179" s="115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26"/>
      <c r="BB1179" s="15"/>
      <c r="BF1179" s="117"/>
      <c r="BG1179" s="116"/>
      <c r="BH1179" s="116"/>
      <c r="BI1179" s="116"/>
    </row>
    <row r="1180" spans="1:61" ht="19.5" x14ac:dyDescent="0.4">
      <c r="A1180" s="115"/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22"/>
      <c r="AK1180" s="122"/>
      <c r="AL1180" s="122"/>
      <c r="AM1180" s="115"/>
      <c r="AN1180" s="115"/>
      <c r="AO1180" s="115"/>
      <c r="AP1180" s="115"/>
      <c r="AQ1180" s="115"/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20"/>
      <c r="BB1180" s="15"/>
      <c r="BF1180" s="117"/>
      <c r="BG1180" s="116"/>
      <c r="BH1180" s="116"/>
      <c r="BI1180" s="116"/>
    </row>
    <row r="1181" spans="1:61" ht="19.5" x14ac:dyDescent="0.4">
      <c r="A1181" s="115"/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22"/>
      <c r="AK1181" s="122"/>
      <c r="AL1181" s="122"/>
      <c r="AM1181" s="115"/>
      <c r="AN1181" s="115"/>
      <c r="AO1181" s="115"/>
      <c r="AP1181" s="115"/>
      <c r="AQ1181" s="115"/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20"/>
      <c r="BB1181" s="15"/>
      <c r="BF1181" s="117"/>
      <c r="BG1181" s="116"/>
      <c r="BH1181" s="116"/>
      <c r="BI1181" s="116"/>
    </row>
    <row r="1182" spans="1:61" ht="19.5" x14ac:dyDescent="0.4">
      <c r="A1182" s="115"/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22"/>
      <c r="AK1182" s="122"/>
      <c r="AL1182" s="122"/>
      <c r="AM1182" s="115"/>
      <c r="AN1182" s="115"/>
      <c r="AO1182" s="115"/>
      <c r="AP1182" s="115"/>
      <c r="AQ1182" s="115"/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20"/>
      <c r="BB1182" s="15"/>
      <c r="BF1182" s="117"/>
      <c r="BG1182" s="116"/>
      <c r="BH1182" s="116"/>
      <c r="BI1182" s="116"/>
    </row>
    <row r="1183" spans="1:61" ht="19.5" x14ac:dyDescent="0.4">
      <c r="A1183" s="115"/>
      <c r="B1183" s="115"/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22"/>
      <c r="AK1183" s="122"/>
      <c r="AL1183" s="122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20"/>
      <c r="BB1183" s="15"/>
      <c r="BF1183" s="117"/>
      <c r="BG1183" s="116"/>
      <c r="BH1183" s="116"/>
      <c r="BI1183" s="116"/>
    </row>
    <row r="1184" spans="1:61" ht="19.5" x14ac:dyDescent="0.4">
      <c r="A1184" s="115"/>
      <c r="B1184" s="115"/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22"/>
      <c r="AK1184" s="122"/>
      <c r="AL1184" s="122"/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25"/>
      <c r="BB1184" s="15"/>
      <c r="BF1184" s="117"/>
      <c r="BG1184" s="116"/>
      <c r="BH1184" s="116"/>
      <c r="BI1184" s="116"/>
    </row>
    <row r="1185" spans="1:61" ht="19.5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22"/>
      <c r="AK1185" s="122"/>
      <c r="AL1185" s="122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3"/>
      <c r="BB1185" s="15"/>
      <c r="BF1185" s="117"/>
      <c r="BG1185" s="116"/>
      <c r="BH1185" s="116"/>
      <c r="BI1185" s="116"/>
    </row>
    <row r="1186" spans="1:61" ht="19.5" x14ac:dyDescent="0.4">
      <c r="BA1186" s="25"/>
      <c r="BB1186" s="15"/>
      <c r="BF1186" s="117"/>
      <c r="BG1186" s="116"/>
      <c r="BH1186" s="116"/>
      <c r="BI1186" s="116"/>
    </row>
    <row r="1187" spans="1:61" ht="19.5" x14ac:dyDescent="0.4">
      <c r="AG1187" s="115"/>
      <c r="AH1187" s="115"/>
      <c r="AI1187" s="115"/>
      <c r="AJ1187" s="122"/>
      <c r="AK1187" s="122"/>
      <c r="AL1187" s="122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3"/>
      <c r="BB1187" s="15"/>
      <c r="BF1187" s="117"/>
      <c r="BG1187" s="116"/>
      <c r="BH1187" s="116"/>
      <c r="BI1187" s="116"/>
    </row>
    <row r="1188" spans="1:61" ht="19.5" x14ac:dyDescent="0.4"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22"/>
      <c r="AK1188" s="122"/>
      <c r="AL1188" s="122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25"/>
      <c r="BB1188" s="15"/>
      <c r="BF1188" s="117"/>
      <c r="BG1188" s="116"/>
      <c r="BH1188" s="116"/>
      <c r="BI1188" s="116"/>
    </row>
    <row r="1189" spans="1:61" ht="19.5" x14ac:dyDescent="0.4">
      <c r="A1189" s="115"/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22"/>
      <c r="AK1189" s="122"/>
      <c r="AL1189" s="122"/>
      <c r="AM1189" s="115"/>
      <c r="AN1189" s="115"/>
      <c r="AO1189" s="115"/>
      <c r="AP1189" s="115"/>
      <c r="AQ1189" s="115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25"/>
      <c r="BB1189" s="15"/>
      <c r="BF1189" s="117"/>
      <c r="BG1189" s="116"/>
      <c r="BH1189" s="116"/>
      <c r="BI1189" s="116"/>
    </row>
    <row r="1190" spans="1:61" ht="19.5" x14ac:dyDescent="0.4">
      <c r="A1190" s="115"/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22"/>
      <c r="AK1190" s="122"/>
      <c r="AL1190" s="122"/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115"/>
      <c r="AW1190" s="115"/>
      <c r="AX1190" s="115"/>
      <c r="AY1190" s="115"/>
      <c r="AZ1190" s="115"/>
      <c r="BA1190" s="13"/>
      <c r="BB1190" s="15"/>
      <c r="BF1190" s="117"/>
      <c r="BG1190" s="116"/>
      <c r="BH1190" s="116"/>
      <c r="BI1190" s="116"/>
    </row>
    <row r="1191" spans="1:61" ht="19.5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22"/>
      <c r="AK1191" s="122"/>
      <c r="AL1191" s="122"/>
      <c r="AM1191" s="115"/>
      <c r="AN1191" s="115"/>
      <c r="AO1191" s="115"/>
      <c r="AP1191" s="115"/>
      <c r="AQ1191" s="115"/>
      <c r="AR1191" s="115"/>
      <c r="AS1191" s="115"/>
      <c r="AT1191" s="115"/>
      <c r="AU1191" s="115"/>
      <c r="AV1191" s="115"/>
      <c r="AW1191" s="115"/>
      <c r="AX1191" s="115"/>
      <c r="AY1191" s="115"/>
      <c r="AZ1191" s="115"/>
      <c r="BA1191" s="25"/>
      <c r="BB1191" s="15"/>
      <c r="BF1191" s="117"/>
      <c r="BG1191" s="116"/>
      <c r="BH1191" s="116"/>
      <c r="BI1191" s="116"/>
    </row>
    <row r="1192" spans="1:61" ht="19.5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22"/>
      <c r="AK1192" s="122"/>
      <c r="AL1192" s="122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3"/>
      <c r="BB1192" s="15"/>
      <c r="BF1192" s="117"/>
      <c r="BG1192" s="116"/>
      <c r="BH1192" s="116"/>
      <c r="BI1192" s="116"/>
    </row>
    <row r="1193" spans="1:61" ht="19.5" x14ac:dyDescent="0.4">
      <c r="A1193" s="115"/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22"/>
      <c r="AK1193" s="122"/>
      <c r="AL1193" s="122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115"/>
      <c r="AZ1193" s="115"/>
      <c r="BA1193" s="25"/>
      <c r="BB1193" s="15"/>
      <c r="BF1193" s="117"/>
      <c r="BG1193" s="116"/>
      <c r="BH1193" s="116"/>
      <c r="BI1193" s="116"/>
    </row>
    <row r="1194" spans="1:61" ht="19.5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22"/>
      <c r="AK1194" s="122"/>
      <c r="AL1194" s="122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115"/>
      <c r="AZ1194" s="115"/>
      <c r="BA1194" s="26"/>
      <c r="BB1194" s="15"/>
      <c r="BF1194" s="117"/>
      <c r="BG1194" s="116"/>
      <c r="BH1194" s="116"/>
      <c r="BI1194" s="116"/>
    </row>
    <row r="1195" spans="1:61" ht="19.5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22"/>
      <c r="AK1195" s="122"/>
      <c r="AL1195" s="122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115"/>
      <c r="AX1195" s="115"/>
      <c r="AY1195" s="115"/>
      <c r="AZ1195" s="115"/>
      <c r="BA1195" s="17"/>
      <c r="BB1195" s="13"/>
      <c r="BF1195" s="117"/>
      <c r="BG1195" s="116"/>
      <c r="BH1195" s="116"/>
      <c r="BI1195" s="116"/>
    </row>
    <row r="1196" spans="1:61" ht="19.5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22"/>
      <c r="AK1196" s="122"/>
      <c r="AL1196" s="122"/>
      <c r="AM1196" s="115"/>
      <c r="AN1196" s="115"/>
      <c r="AO1196" s="115"/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26"/>
      <c r="BB1196" s="13"/>
      <c r="BF1196" s="117"/>
      <c r="BG1196" s="116"/>
      <c r="BH1196" s="116"/>
      <c r="BI1196" s="116"/>
    </row>
    <row r="1197" spans="1:61" ht="19.5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22"/>
      <c r="AK1197" s="122"/>
      <c r="AL1197" s="122"/>
      <c r="AM1197" s="115"/>
      <c r="AN1197" s="115"/>
      <c r="AO1197" s="115"/>
      <c r="AP1197" s="115"/>
      <c r="AQ1197" s="115"/>
      <c r="AR1197" s="115"/>
      <c r="AS1197" s="115"/>
      <c r="AT1197" s="115"/>
      <c r="AU1197" s="115"/>
      <c r="AV1197" s="115"/>
      <c r="AW1197" s="115"/>
      <c r="AX1197" s="115"/>
      <c r="AY1197" s="115"/>
      <c r="AZ1197" s="115"/>
      <c r="BA1197" s="17"/>
      <c r="BB1197" s="13"/>
      <c r="BF1197" s="117"/>
      <c r="BG1197" s="116"/>
      <c r="BH1197" s="116"/>
      <c r="BI1197" s="116"/>
    </row>
    <row r="1198" spans="1:61" ht="19.5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22"/>
      <c r="AK1198" s="122"/>
      <c r="AL1198" s="122"/>
      <c r="AM1198" s="115"/>
      <c r="AN1198" s="115"/>
      <c r="AO1198" s="115"/>
      <c r="AP1198" s="115"/>
      <c r="AQ1198" s="115"/>
      <c r="AR1198" s="115"/>
      <c r="AS1198" s="115"/>
      <c r="AT1198" s="115"/>
      <c r="AU1198" s="115"/>
      <c r="AV1198" s="115"/>
      <c r="AW1198" s="115"/>
      <c r="AX1198" s="115"/>
      <c r="AY1198" s="115"/>
      <c r="AZ1198" s="115"/>
      <c r="BA1198" s="26"/>
      <c r="BB1198" s="15"/>
      <c r="BF1198" s="117"/>
      <c r="BG1198" s="116"/>
      <c r="BH1198" s="116"/>
      <c r="BI1198" s="116"/>
    </row>
    <row r="1199" spans="1:61" ht="19.5" x14ac:dyDescent="0.4">
      <c r="A1199" s="115"/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22"/>
      <c r="AK1199" s="122"/>
      <c r="AL1199" s="122"/>
      <c r="AM1199" s="115"/>
      <c r="AN1199" s="115"/>
      <c r="AO1199" s="115"/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17"/>
      <c r="BB1199" s="15"/>
      <c r="BF1199" s="117"/>
      <c r="BG1199" s="116"/>
      <c r="BH1199" s="116"/>
      <c r="BI1199" s="116"/>
    </row>
    <row r="1200" spans="1:61" ht="19.5" x14ac:dyDescent="0.4">
      <c r="BA1200" s="26"/>
      <c r="BB1200" s="105"/>
      <c r="BF1200" s="117"/>
      <c r="BG1200" s="116"/>
      <c r="BH1200" s="116"/>
      <c r="BI1200" s="116"/>
    </row>
    <row r="1201" spans="1:61" ht="19.5" x14ac:dyDescent="0.4">
      <c r="AG1201" s="115"/>
      <c r="AH1201" s="115"/>
      <c r="AI1201" s="115"/>
      <c r="AJ1201" s="122"/>
      <c r="AK1201" s="122"/>
      <c r="AL1201" s="122"/>
      <c r="AM1201" s="115"/>
      <c r="AN1201" s="115"/>
      <c r="AO1201" s="115"/>
      <c r="AP1201" s="115"/>
      <c r="AQ1201" s="115"/>
      <c r="AR1201" s="115"/>
      <c r="AS1201" s="115"/>
      <c r="AT1201" s="115"/>
      <c r="AU1201" s="115"/>
      <c r="AV1201" s="115"/>
      <c r="AW1201" s="115"/>
      <c r="AX1201" s="115"/>
      <c r="AY1201" s="115"/>
      <c r="AZ1201" s="115"/>
      <c r="BA1201" s="17"/>
      <c r="BB1201" s="15"/>
      <c r="BF1201" s="117"/>
      <c r="BG1201" s="116"/>
      <c r="BH1201" s="116"/>
      <c r="BI1201" s="116"/>
    </row>
    <row r="1202" spans="1:61" ht="19.5" x14ac:dyDescent="0.4">
      <c r="AD1202" s="115"/>
      <c r="AE1202" s="115"/>
      <c r="AF1202" s="115"/>
      <c r="AG1202" s="115"/>
      <c r="AH1202" s="115"/>
      <c r="AI1202" s="115"/>
      <c r="AJ1202" s="122"/>
      <c r="AK1202" s="122"/>
      <c r="AL1202" s="122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26"/>
      <c r="BB1202" s="15"/>
      <c r="BF1202" s="117"/>
      <c r="BG1202" s="116"/>
      <c r="BH1202" s="116"/>
      <c r="BI1202" s="116"/>
    </row>
    <row r="1203" spans="1:61" ht="19.5" x14ac:dyDescent="0.4">
      <c r="AD1203" s="115"/>
      <c r="AE1203" s="115"/>
      <c r="AF1203" s="115"/>
      <c r="AG1203" s="115"/>
      <c r="AH1203" s="115"/>
      <c r="AI1203" s="115"/>
      <c r="AJ1203" s="122"/>
      <c r="AK1203" s="122"/>
      <c r="AL1203" s="122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7"/>
      <c r="BB1203" s="15"/>
      <c r="BF1203" s="117"/>
      <c r="BG1203" s="116"/>
      <c r="BH1203" s="116"/>
      <c r="BI1203" s="116"/>
    </row>
    <row r="1204" spans="1:61" ht="19.5" x14ac:dyDescent="0.4"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22"/>
      <c r="AK1204" s="122"/>
      <c r="AL1204" s="122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26"/>
      <c r="BB1204" s="15"/>
      <c r="BF1204" s="117"/>
      <c r="BG1204" s="116"/>
      <c r="BH1204" s="116"/>
      <c r="BI1204" s="116"/>
    </row>
    <row r="1205" spans="1:61" ht="19.5" x14ac:dyDescent="0.4"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22"/>
      <c r="AK1205" s="122"/>
      <c r="AL1205" s="122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115"/>
      <c r="AX1205" s="115"/>
      <c r="AY1205" s="115"/>
      <c r="AZ1205" s="115"/>
      <c r="BA1205" s="17"/>
      <c r="BB1205" s="15"/>
      <c r="BF1205" s="117"/>
      <c r="BG1205" s="116"/>
      <c r="BH1205" s="116"/>
      <c r="BI1205" s="116"/>
    </row>
    <row r="1206" spans="1:61" ht="19.5" x14ac:dyDescent="0.4">
      <c r="A1206" s="115"/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22"/>
      <c r="AK1206" s="122"/>
      <c r="AL1206" s="122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26"/>
      <c r="BB1206" s="15"/>
      <c r="BF1206" s="117"/>
      <c r="BG1206" s="116"/>
      <c r="BH1206" s="116"/>
      <c r="BI1206" s="116"/>
    </row>
    <row r="1207" spans="1:61" ht="19.5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22"/>
      <c r="AK1207" s="122"/>
      <c r="AL1207" s="122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26"/>
      <c r="BB1207" s="15"/>
      <c r="BF1207" s="117"/>
      <c r="BG1207" s="116"/>
      <c r="BH1207" s="116"/>
      <c r="BI1207" s="116"/>
    </row>
    <row r="1208" spans="1:61" ht="19.5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22"/>
      <c r="AK1208" s="122"/>
      <c r="AL1208" s="122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115"/>
      <c r="AX1208" s="115"/>
      <c r="AY1208" s="115"/>
      <c r="AZ1208" s="115"/>
      <c r="BA1208" s="17"/>
      <c r="BB1208" s="15"/>
      <c r="BF1208" s="117"/>
      <c r="BG1208" s="116"/>
      <c r="BH1208" s="116"/>
      <c r="BI1208" s="116"/>
    </row>
    <row r="1209" spans="1:61" ht="19.5" x14ac:dyDescent="0.4">
      <c r="A1209" s="115"/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22"/>
      <c r="AK1209" s="122"/>
      <c r="AL1209" s="122"/>
      <c r="AM1209" s="115"/>
      <c r="AN1209" s="115"/>
      <c r="AO1209" s="115"/>
      <c r="AP1209" s="115"/>
      <c r="AQ1209" s="115"/>
      <c r="AR1209" s="115"/>
      <c r="AS1209" s="115"/>
      <c r="AT1209" s="115"/>
      <c r="AU1209" s="115"/>
      <c r="AV1209" s="115"/>
      <c r="AW1209" s="115"/>
      <c r="AX1209" s="115"/>
      <c r="AY1209" s="115"/>
      <c r="AZ1209" s="115"/>
      <c r="BA1209" s="26"/>
      <c r="BB1209" s="15"/>
      <c r="BF1209" s="117"/>
      <c r="BG1209" s="116"/>
      <c r="BH1209" s="116"/>
      <c r="BI1209" s="116"/>
    </row>
    <row r="1210" spans="1:61" ht="19.5" x14ac:dyDescent="0.4">
      <c r="A1210" s="115"/>
      <c r="B1210" s="115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22"/>
      <c r="AK1210" s="122"/>
      <c r="AL1210" s="122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17"/>
      <c r="BB1210" s="15"/>
      <c r="BF1210" s="117"/>
      <c r="BG1210" s="116"/>
      <c r="BH1210" s="116"/>
      <c r="BI1210" s="116"/>
    </row>
    <row r="1211" spans="1:61" ht="19.5" x14ac:dyDescent="0.4">
      <c r="BA1211" s="26"/>
      <c r="BB1211" s="15"/>
      <c r="BF1211" s="117"/>
      <c r="BG1211" s="116"/>
      <c r="BH1211" s="116"/>
      <c r="BI1211" s="116"/>
    </row>
    <row r="1212" spans="1:61" ht="19.5" x14ac:dyDescent="0.4">
      <c r="AG1212" s="115"/>
      <c r="AH1212" s="115"/>
      <c r="AI1212" s="115"/>
      <c r="AJ1212" s="122"/>
      <c r="AK1212" s="122"/>
      <c r="AL1212" s="122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115"/>
      <c r="AW1212" s="115"/>
      <c r="AX1212" s="115"/>
      <c r="AY1212" s="115"/>
      <c r="AZ1212" s="115"/>
      <c r="BA1212" s="17"/>
      <c r="BB1212" s="15"/>
      <c r="BF1212" s="117"/>
      <c r="BG1212" s="116"/>
      <c r="BH1212" s="116"/>
      <c r="BI1212" s="116"/>
    </row>
    <row r="1213" spans="1:61" ht="19.5" x14ac:dyDescent="0.4">
      <c r="BA1213" s="26"/>
      <c r="BB1213" s="15"/>
      <c r="BF1213" s="117"/>
      <c r="BG1213" s="116"/>
      <c r="BH1213" s="116"/>
      <c r="BI1213" s="116"/>
    </row>
    <row r="1214" spans="1:61" ht="19.5" x14ac:dyDescent="0.4">
      <c r="AG1214" s="115"/>
      <c r="AH1214" s="115"/>
      <c r="AI1214" s="115"/>
      <c r="AJ1214" s="122"/>
      <c r="AK1214" s="122"/>
      <c r="AL1214" s="122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7"/>
      <c r="BB1214" s="15"/>
      <c r="BF1214" s="117"/>
      <c r="BG1214" s="116"/>
      <c r="BH1214" s="116"/>
      <c r="BI1214" s="116"/>
    </row>
    <row r="1215" spans="1:61" ht="19.5" x14ac:dyDescent="0.4">
      <c r="BA1215" s="26"/>
      <c r="BB1215" s="15"/>
      <c r="BF1215" s="117"/>
      <c r="BG1215" s="116"/>
      <c r="BH1215" s="116"/>
      <c r="BI1215" s="116"/>
    </row>
    <row r="1216" spans="1:61" ht="19.5" x14ac:dyDescent="0.4">
      <c r="AG1216" s="115"/>
      <c r="AH1216" s="115"/>
      <c r="AI1216" s="115"/>
      <c r="AJ1216" s="122"/>
      <c r="AK1216" s="122"/>
      <c r="AL1216" s="122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7"/>
      <c r="BB1216" s="15"/>
      <c r="BF1216" s="117"/>
      <c r="BG1216" s="116"/>
      <c r="BH1216" s="116"/>
      <c r="BI1216" s="116"/>
    </row>
    <row r="1217" spans="2:61" ht="19.5" x14ac:dyDescent="0.4"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22"/>
      <c r="AK1217" s="122"/>
      <c r="AL1217" s="122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26"/>
      <c r="BB1217" s="15"/>
      <c r="BF1217" s="117"/>
      <c r="BG1217" s="116"/>
      <c r="BH1217" s="116"/>
      <c r="BI1217" s="116"/>
    </row>
    <row r="1218" spans="2:61" ht="19.5" x14ac:dyDescent="0.4"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22"/>
      <c r="AK1218" s="122"/>
      <c r="AL1218" s="122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7"/>
      <c r="BB1218" s="15"/>
      <c r="BF1218" s="117"/>
      <c r="BG1218" s="116"/>
      <c r="BH1218" s="116"/>
      <c r="BI1218" s="116"/>
    </row>
    <row r="1219" spans="2:61" ht="19.5" x14ac:dyDescent="0.4"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22"/>
      <c r="AK1219" s="122"/>
      <c r="AL1219" s="122"/>
      <c r="AM1219" s="115"/>
      <c r="AN1219" s="115"/>
      <c r="AO1219" s="115"/>
      <c r="AP1219" s="115"/>
      <c r="AQ1219" s="115"/>
      <c r="AR1219" s="115"/>
      <c r="AS1219" s="115"/>
      <c r="AT1219" s="115"/>
      <c r="AU1219" s="115"/>
      <c r="AV1219" s="115"/>
      <c r="AW1219" s="115"/>
      <c r="AX1219" s="115"/>
      <c r="AY1219" s="115"/>
      <c r="AZ1219" s="115"/>
      <c r="BA1219" s="26"/>
      <c r="BB1219" s="15"/>
      <c r="BF1219" s="117"/>
      <c r="BG1219" s="116"/>
      <c r="BH1219" s="116"/>
      <c r="BI1219" s="116"/>
    </row>
    <row r="1220" spans="2:61" ht="19.5" x14ac:dyDescent="0.4">
      <c r="BA1220" s="26"/>
      <c r="BB1220" s="15"/>
      <c r="BF1220" s="117"/>
      <c r="BG1220" s="116"/>
      <c r="BH1220" s="116"/>
      <c r="BI1220" s="116"/>
    </row>
    <row r="1221" spans="2:61" ht="19.5" x14ac:dyDescent="0.4">
      <c r="AG1221" s="115"/>
      <c r="AH1221" s="115"/>
      <c r="AI1221" s="115"/>
      <c r="AJ1221" s="122"/>
      <c r="AK1221" s="122"/>
      <c r="AL1221" s="122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115"/>
      <c r="AZ1221" s="115"/>
      <c r="BA1221" s="17"/>
      <c r="BB1221" s="15"/>
      <c r="BF1221" s="117"/>
      <c r="BG1221" s="116"/>
      <c r="BH1221" s="116"/>
      <c r="BI1221" s="116"/>
    </row>
    <row r="1222" spans="2:61" ht="19.5" x14ac:dyDescent="0.4">
      <c r="AE1222" s="115"/>
      <c r="AF1222" s="115"/>
      <c r="AG1222" s="115"/>
      <c r="AH1222" s="115"/>
      <c r="AI1222" s="115"/>
      <c r="AJ1222" s="122"/>
      <c r="AK1222" s="122"/>
      <c r="AL1222" s="122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26"/>
      <c r="BB1222" s="15"/>
      <c r="BF1222" s="117"/>
      <c r="BG1222" s="116"/>
      <c r="BH1222" s="116"/>
      <c r="BI1222" s="116"/>
    </row>
    <row r="1223" spans="2:61" ht="19.5" x14ac:dyDescent="0.4">
      <c r="AE1223" s="115"/>
      <c r="AF1223" s="115"/>
      <c r="AG1223" s="115"/>
      <c r="AH1223" s="115"/>
      <c r="AI1223" s="115"/>
      <c r="AJ1223" s="122"/>
      <c r="AK1223" s="122"/>
      <c r="AL1223" s="122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7"/>
      <c r="BB1223" s="13"/>
      <c r="BF1223" s="117"/>
      <c r="BG1223" s="116"/>
      <c r="BH1223" s="116"/>
      <c r="BI1223" s="116"/>
    </row>
    <row r="1224" spans="2:61" ht="19.5" x14ac:dyDescent="0.4">
      <c r="AD1224" s="115"/>
      <c r="AE1224" s="115"/>
      <c r="AF1224" s="115"/>
      <c r="AG1224" s="115"/>
      <c r="AH1224" s="115"/>
      <c r="AI1224" s="115"/>
      <c r="AJ1224" s="122"/>
      <c r="AK1224" s="122"/>
      <c r="AL1224" s="122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26"/>
      <c r="BB1224" s="13"/>
      <c r="BF1224" s="117"/>
      <c r="BG1224" s="116"/>
      <c r="BH1224" s="116"/>
      <c r="BI1224" s="116"/>
    </row>
    <row r="1225" spans="2:61" ht="19.5" x14ac:dyDescent="0.4">
      <c r="AD1225" s="115"/>
      <c r="AE1225" s="115"/>
      <c r="AF1225" s="115"/>
      <c r="AG1225" s="115"/>
      <c r="AH1225" s="115"/>
      <c r="AI1225" s="115"/>
      <c r="AJ1225" s="122"/>
      <c r="AK1225" s="122"/>
      <c r="AL1225" s="122"/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115"/>
      <c r="AY1225" s="115"/>
      <c r="AZ1225" s="115"/>
      <c r="BA1225" s="17"/>
      <c r="BB1225" s="13"/>
      <c r="BF1225" s="117"/>
      <c r="BG1225" s="116"/>
      <c r="BH1225" s="116"/>
      <c r="BI1225" s="116"/>
    </row>
    <row r="1226" spans="2:61" ht="19.5" x14ac:dyDescent="0.4"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22"/>
      <c r="AK1226" s="122"/>
      <c r="AL1226" s="122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26"/>
      <c r="BB1226" s="15"/>
      <c r="BF1226" s="117"/>
      <c r="BG1226" s="116"/>
      <c r="BH1226" s="116"/>
      <c r="BI1226" s="116"/>
    </row>
    <row r="1227" spans="2:61" ht="19.5" x14ac:dyDescent="0.4"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22"/>
      <c r="AK1227" s="122"/>
      <c r="AL1227" s="122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7"/>
      <c r="BB1227" s="15"/>
      <c r="BF1227" s="117"/>
      <c r="BG1227" s="116"/>
      <c r="BH1227" s="116"/>
      <c r="BI1227" s="116"/>
    </row>
    <row r="1228" spans="2:61" ht="19.5" x14ac:dyDescent="0.4"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22"/>
      <c r="AK1228" s="122"/>
      <c r="AL1228" s="122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26"/>
      <c r="BB1228" s="105"/>
      <c r="BF1228" s="117"/>
      <c r="BG1228" s="116"/>
      <c r="BH1228" s="116"/>
      <c r="BI1228" s="116"/>
    </row>
    <row r="1229" spans="2:61" ht="19.5" x14ac:dyDescent="0.4"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22"/>
      <c r="AK1229" s="122"/>
      <c r="AL1229" s="122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7"/>
      <c r="BB1229" s="15"/>
      <c r="BF1229" s="117"/>
      <c r="BG1229" s="116"/>
      <c r="BH1229" s="116"/>
      <c r="BI1229" s="116"/>
    </row>
    <row r="1230" spans="2:61" ht="19.5" x14ac:dyDescent="0.4"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22"/>
      <c r="AK1230" s="122"/>
      <c r="AL1230" s="122"/>
      <c r="AM1230" s="115"/>
      <c r="AN1230" s="115"/>
      <c r="AO1230" s="115"/>
      <c r="AP1230" s="115"/>
      <c r="AQ1230" s="115"/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26"/>
      <c r="BB1230" s="15"/>
      <c r="BF1230" s="117"/>
      <c r="BG1230" s="116"/>
      <c r="BH1230" s="116"/>
      <c r="BI1230" s="116"/>
    </row>
    <row r="1231" spans="2:61" ht="19.5" x14ac:dyDescent="0.4"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22"/>
      <c r="AK1231" s="122"/>
      <c r="AL1231" s="122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115"/>
      <c r="AY1231" s="115"/>
      <c r="AZ1231" s="115"/>
      <c r="BA1231" s="26"/>
      <c r="BB1231" s="15"/>
      <c r="BF1231" s="117"/>
      <c r="BG1231" s="116"/>
      <c r="BH1231" s="116"/>
      <c r="BI1231" s="116"/>
    </row>
    <row r="1232" spans="2:61" ht="19.5" x14ac:dyDescent="0.4">
      <c r="BA1232" s="26"/>
      <c r="BB1232" s="15"/>
      <c r="BF1232" s="117"/>
      <c r="BG1232" s="116"/>
      <c r="BH1232" s="116"/>
      <c r="BI1232" s="116"/>
    </row>
    <row r="1233" spans="1:61" ht="19.5" x14ac:dyDescent="0.4">
      <c r="AF1233" s="115"/>
      <c r="AG1233" s="115"/>
      <c r="AH1233" s="115"/>
      <c r="AI1233" s="115"/>
      <c r="AJ1233" s="122"/>
      <c r="AK1233" s="122"/>
      <c r="AL1233" s="122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15"/>
      <c r="AW1233" s="115"/>
      <c r="AX1233" s="115"/>
      <c r="AY1233" s="115"/>
      <c r="AZ1233" s="115"/>
      <c r="BA1233" s="26"/>
      <c r="BB1233" s="15"/>
      <c r="BF1233" s="117"/>
      <c r="BG1233" s="116"/>
      <c r="BH1233" s="116"/>
      <c r="BI1233" s="116"/>
    </row>
    <row r="1234" spans="1:61" ht="19.5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22"/>
      <c r="AK1234" s="122"/>
      <c r="AL1234" s="122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26"/>
      <c r="BB1234" s="15"/>
      <c r="BF1234" s="117"/>
      <c r="BG1234" s="116"/>
      <c r="BH1234" s="116"/>
      <c r="BI1234" s="116"/>
    </row>
    <row r="1235" spans="1:61" ht="19.5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22"/>
      <c r="AK1235" s="122"/>
      <c r="AL1235" s="122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26"/>
      <c r="BB1235" s="15"/>
      <c r="BF1235" s="117"/>
      <c r="BG1235" s="116"/>
      <c r="BH1235" s="116"/>
      <c r="BI1235" s="116"/>
    </row>
    <row r="1236" spans="1:61" ht="19.5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22"/>
      <c r="AK1236" s="122"/>
      <c r="AL1236" s="122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15"/>
      <c r="AW1236" s="115"/>
      <c r="AX1236" s="115"/>
      <c r="AY1236" s="115"/>
      <c r="AZ1236" s="115"/>
      <c r="BA1236" s="17"/>
      <c r="BB1236" s="15"/>
      <c r="BF1236" s="117"/>
      <c r="BG1236" s="116"/>
      <c r="BH1236" s="116"/>
      <c r="BI1236" s="116"/>
    </row>
    <row r="1237" spans="1:61" ht="19.5" x14ac:dyDescent="0.4">
      <c r="BA1237" s="26"/>
      <c r="BB1237" s="15"/>
      <c r="BF1237" s="117"/>
      <c r="BG1237" s="116"/>
      <c r="BH1237" s="116"/>
      <c r="BI1237" s="116"/>
    </row>
    <row r="1238" spans="1:61" ht="19.5" x14ac:dyDescent="0.4">
      <c r="AG1238" s="115"/>
      <c r="AH1238" s="115"/>
      <c r="AI1238" s="115"/>
      <c r="AJ1238" s="122"/>
      <c r="AK1238" s="122"/>
      <c r="AL1238" s="122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115"/>
      <c r="AY1238" s="115"/>
      <c r="AZ1238" s="115"/>
      <c r="BA1238" s="17"/>
      <c r="BB1238" s="15"/>
      <c r="BF1238" s="117"/>
      <c r="BG1238" s="116"/>
      <c r="BH1238" s="116"/>
      <c r="BI1238" s="116"/>
    </row>
    <row r="1239" spans="1:61" ht="19.5" x14ac:dyDescent="0.4">
      <c r="AF1239" s="115"/>
      <c r="AG1239" s="115"/>
      <c r="AH1239" s="115"/>
      <c r="AI1239" s="115"/>
      <c r="AJ1239" s="122"/>
      <c r="AK1239" s="122"/>
      <c r="AL1239" s="122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26"/>
      <c r="BB1239" s="15"/>
      <c r="BF1239" s="117"/>
      <c r="BG1239" s="116"/>
      <c r="BH1239" s="116"/>
      <c r="BI1239" s="116"/>
    </row>
    <row r="1240" spans="1:61" ht="19.5" x14ac:dyDescent="0.4"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22"/>
      <c r="AK1240" s="122"/>
      <c r="AL1240" s="122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26"/>
      <c r="BB1240" s="15"/>
      <c r="BF1240" s="117"/>
      <c r="BG1240" s="116"/>
      <c r="BH1240" s="116"/>
      <c r="BI1240" s="116"/>
    </row>
    <row r="1241" spans="1:61" ht="19.5" x14ac:dyDescent="0.4"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22"/>
      <c r="AK1241" s="122"/>
      <c r="AL1241" s="122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26"/>
      <c r="BB1241" s="15"/>
      <c r="BF1241" s="117"/>
      <c r="BG1241" s="116"/>
      <c r="BH1241" s="116"/>
      <c r="BI1241" s="116"/>
    </row>
    <row r="1242" spans="1:61" ht="19.5" x14ac:dyDescent="0.4"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22"/>
      <c r="AK1242" s="122"/>
      <c r="AL1242" s="122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26"/>
      <c r="BB1242" s="15"/>
      <c r="BF1242" s="117"/>
      <c r="BG1242" s="116"/>
      <c r="BH1242" s="116"/>
      <c r="BI1242" s="116"/>
    </row>
    <row r="1243" spans="1:61" ht="19.5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22"/>
      <c r="AK1243" s="122"/>
      <c r="AL1243" s="122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26"/>
      <c r="BB1243" s="15"/>
      <c r="BF1243" s="117"/>
      <c r="BG1243" s="116"/>
      <c r="BH1243" s="116"/>
      <c r="BI1243" s="116"/>
    </row>
    <row r="1244" spans="1:61" ht="19.5" x14ac:dyDescent="0.4">
      <c r="A1244" s="115"/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22"/>
      <c r="AK1244" s="122"/>
      <c r="AL1244" s="122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26"/>
      <c r="BB1244" s="15"/>
      <c r="BF1244" s="117"/>
      <c r="BG1244" s="116"/>
      <c r="BH1244" s="116"/>
      <c r="BI1244" s="116"/>
    </row>
    <row r="1245" spans="1:61" ht="19.5" x14ac:dyDescent="0.4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22"/>
      <c r="AK1245" s="122"/>
      <c r="AL1245" s="122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17"/>
      <c r="BB1245" s="15"/>
      <c r="BF1245" s="117"/>
      <c r="BG1245" s="116"/>
      <c r="BH1245" s="116"/>
      <c r="BI1245" s="116"/>
    </row>
    <row r="1246" spans="1:61" ht="19.5" x14ac:dyDescent="0.4">
      <c r="BA1246" s="26"/>
      <c r="BB1246" s="15"/>
      <c r="BF1246" s="117"/>
      <c r="BG1246" s="116"/>
      <c r="BH1246" s="116"/>
      <c r="BI1246" s="116"/>
    </row>
    <row r="1247" spans="1:61" ht="19.5" x14ac:dyDescent="0.4">
      <c r="AG1247" s="115"/>
      <c r="AH1247" s="115"/>
      <c r="AI1247" s="115"/>
      <c r="AJ1247" s="122"/>
      <c r="AK1247" s="122"/>
      <c r="AL1247" s="122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7"/>
      <c r="BB1247" s="13"/>
      <c r="BF1247" s="117"/>
      <c r="BG1247" s="116"/>
      <c r="BH1247" s="116"/>
      <c r="BI1247" s="116"/>
    </row>
    <row r="1248" spans="1:61" ht="19.5" x14ac:dyDescent="0.4">
      <c r="AG1248" s="115"/>
      <c r="AH1248" s="115"/>
      <c r="AI1248" s="115"/>
      <c r="AJ1248" s="122"/>
      <c r="AK1248" s="122"/>
      <c r="AL1248" s="122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7"/>
      <c r="BB1248" s="13"/>
      <c r="BF1248" s="117"/>
      <c r="BG1248" s="116"/>
      <c r="BH1248" s="116"/>
      <c r="BI1248" s="116"/>
    </row>
    <row r="1249" spans="1:61" ht="19.5" x14ac:dyDescent="0.4">
      <c r="BA1249" s="26"/>
      <c r="BB1249" s="13"/>
      <c r="BF1249" s="117"/>
      <c r="BG1249" s="116"/>
      <c r="BH1249" s="116"/>
      <c r="BI1249" s="116"/>
    </row>
    <row r="1250" spans="1:61" ht="19.5" x14ac:dyDescent="0.4">
      <c r="BA1250" s="26"/>
      <c r="BB1250" s="13"/>
      <c r="BF1250" s="116"/>
      <c r="BG1250" s="116"/>
      <c r="BH1250" s="116"/>
      <c r="BI1250" s="116"/>
    </row>
    <row r="1251" spans="1:61" ht="19.5" x14ac:dyDescent="0.4"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22"/>
      <c r="AK1251" s="122"/>
      <c r="AL1251" s="122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26"/>
      <c r="BB1251" s="13"/>
      <c r="BF1251" s="118"/>
      <c r="BG1251" s="118"/>
      <c r="BH1251" s="118"/>
      <c r="BI1251" s="118"/>
    </row>
    <row r="1252" spans="1:61" ht="19.5" x14ac:dyDescent="0.4"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22"/>
      <c r="AK1252" s="122"/>
      <c r="AL1252" s="122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26"/>
      <c r="BB1252" s="13"/>
      <c r="BF1252" s="118"/>
      <c r="BG1252" s="118"/>
      <c r="BH1252" s="118"/>
      <c r="BI1252" s="118"/>
    </row>
    <row r="1253" spans="1:61" ht="19.5" x14ac:dyDescent="0.4"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22"/>
      <c r="AK1253" s="122"/>
      <c r="AL1253" s="122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26"/>
      <c r="BB1253" s="13"/>
      <c r="BF1253" s="118"/>
      <c r="BG1253" s="118"/>
      <c r="BH1253" s="118"/>
      <c r="BI1253" s="118"/>
    </row>
    <row r="1254" spans="1:61" ht="19.5" x14ac:dyDescent="0.4"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22"/>
      <c r="AK1254" s="122"/>
      <c r="AL1254" s="122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15"/>
      <c r="AX1254" s="115"/>
      <c r="AY1254" s="115"/>
      <c r="AZ1254" s="115"/>
      <c r="BA1254" s="26"/>
      <c r="BB1254" s="15"/>
      <c r="BF1254" s="118"/>
      <c r="BG1254" s="118"/>
      <c r="BH1254" s="118"/>
      <c r="BI1254" s="118"/>
    </row>
    <row r="1255" spans="1:61" ht="19.5" x14ac:dyDescent="0.4"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22"/>
      <c r="AK1255" s="122"/>
      <c r="AL1255" s="122"/>
      <c r="AM1255" s="115"/>
      <c r="AN1255" s="115"/>
      <c r="AO1255" s="115"/>
      <c r="AP1255" s="115"/>
      <c r="AQ1255" s="115"/>
      <c r="AR1255" s="115"/>
      <c r="AS1255" s="115"/>
      <c r="AT1255" s="115"/>
      <c r="AU1255" s="115"/>
      <c r="AV1255" s="115"/>
      <c r="AW1255" s="115"/>
      <c r="AX1255" s="115"/>
      <c r="AY1255" s="115"/>
      <c r="AZ1255" s="115"/>
      <c r="BA1255" s="26"/>
      <c r="BB1255" s="15"/>
      <c r="BF1255" s="118"/>
      <c r="BG1255" s="118"/>
      <c r="BH1255" s="118"/>
      <c r="BI1255" s="118"/>
    </row>
    <row r="1256" spans="1:61" ht="19.5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22"/>
      <c r="AK1256" s="122"/>
      <c r="AL1256" s="122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115"/>
      <c r="AZ1256" s="115"/>
      <c r="BA1256" s="26"/>
      <c r="BB1256" s="15"/>
      <c r="BF1256" s="118"/>
      <c r="BG1256" s="118"/>
      <c r="BH1256" s="118"/>
      <c r="BI1256" s="118"/>
    </row>
    <row r="1257" spans="1:61" ht="19.5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22"/>
      <c r="AK1257" s="122"/>
      <c r="AL1257" s="122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26"/>
      <c r="BB1257" s="15"/>
      <c r="BF1257" s="118"/>
      <c r="BG1257" s="118"/>
      <c r="BH1257" s="118"/>
      <c r="BI1257" s="118"/>
    </row>
    <row r="1258" spans="1:61" ht="20.25" customHeight="1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22"/>
      <c r="AK1258" s="122"/>
      <c r="AL1258" s="122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15"/>
      <c r="AX1258" s="115"/>
      <c r="AY1258" s="115"/>
      <c r="AZ1258" s="115"/>
      <c r="BA1258" s="26"/>
      <c r="BB1258" s="15"/>
      <c r="BF1258" s="118"/>
      <c r="BG1258" s="118"/>
      <c r="BH1258" s="118"/>
      <c r="BI1258" s="118"/>
    </row>
    <row r="1259" spans="1:61" x14ac:dyDescent="0.4">
      <c r="BA1259" s="26"/>
      <c r="BB1259" s="15"/>
    </row>
    <row r="1260" spans="1:61" x14ac:dyDescent="0.4">
      <c r="BA1260" s="26"/>
      <c r="BB1260" s="13"/>
    </row>
    <row r="1261" spans="1:61" x14ac:dyDescent="0.4">
      <c r="AE1261" s="115"/>
      <c r="AF1261" s="115"/>
      <c r="AG1261" s="115"/>
      <c r="AH1261" s="115"/>
      <c r="AI1261" s="115"/>
      <c r="AJ1261" s="122"/>
      <c r="AK1261" s="122"/>
      <c r="AL1261" s="122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26"/>
      <c r="BB1261" s="13"/>
    </row>
    <row r="1262" spans="1:61" x14ac:dyDescent="0.4">
      <c r="AE1262" s="115"/>
      <c r="AF1262" s="115"/>
      <c r="AG1262" s="115"/>
      <c r="AH1262" s="115"/>
      <c r="AI1262" s="115"/>
      <c r="AJ1262" s="122"/>
      <c r="AK1262" s="122"/>
      <c r="AL1262" s="122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7"/>
      <c r="BB1262" s="13"/>
    </row>
    <row r="1263" spans="1:61" x14ac:dyDescent="0.4"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22"/>
      <c r="AK1263" s="122"/>
      <c r="AL1263" s="122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26"/>
      <c r="BB1263" s="13"/>
    </row>
    <row r="1264" spans="1:61" x14ac:dyDescent="0.4"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22"/>
      <c r="AK1264" s="122"/>
      <c r="AL1264" s="122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115"/>
      <c r="BA1264" s="26"/>
      <c r="BB1264" s="13"/>
    </row>
    <row r="1265" spans="1:54" x14ac:dyDescent="0.4">
      <c r="BA1265" s="26"/>
      <c r="BB1265" s="13"/>
    </row>
    <row r="1266" spans="1:54" x14ac:dyDescent="0.4"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22"/>
      <c r="AK1266" s="122"/>
      <c r="AL1266" s="122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15"/>
      <c r="AZ1266" s="115"/>
      <c r="BA1266" s="26"/>
      <c r="BB1266" s="13"/>
    </row>
    <row r="1267" spans="1:54" x14ac:dyDescent="0.4"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22"/>
      <c r="AK1267" s="122"/>
      <c r="AL1267" s="122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26"/>
      <c r="BB1267" s="13"/>
    </row>
    <row r="1268" spans="1:54" x14ac:dyDescent="0.4">
      <c r="BA1268" s="26"/>
      <c r="BB1268" s="13"/>
    </row>
    <row r="1269" spans="1:54" x14ac:dyDescent="0.4"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22"/>
      <c r="AK1269" s="122"/>
      <c r="AL1269" s="122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15"/>
      <c r="AW1269" s="115"/>
      <c r="AX1269" s="115"/>
      <c r="AY1269" s="115"/>
      <c r="AZ1269" s="115"/>
      <c r="BA1269" s="26"/>
      <c r="BB1269" s="13"/>
    </row>
    <row r="1270" spans="1:54" x14ac:dyDescent="0.4">
      <c r="BA1270" s="26"/>
      <c r="BB1270" s="13"/>
    </row>
    <row r="1271" spans="1:54" x14ac:dyDescent="0.4">
      <c r="AD1271" s="115"/>
      <c r="AE1271" s="115"/>
      <c r="AF1271" s="115"/>
      <c r="AG1271" s="115"/>
      <c r="AH1271" s="115"/>
      <c r="AI1271" s="115"/>
      <c r="AJ1271" s="122"/>
      <c r="AK1271" s="122"/>
      <c r="AL1271" s="122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26"/>
      <c r="BB1271" s="13"/>
    </row>
    <row r="1272" spans="1:54" x14ac:dyDescent="0.4">
      <c r="BA1272" s="26"/>
      <c r="BB1272" s="13"/>
    </row>
    <row r="1273" spans="1:54" x14ac:dyDescent="0.4"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22"/>
      <c r="AK1273" s="122"/>
      <c r="AL1273" s="122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15"/>
      <c r="AZ1273" s="115"/>
      <c r="BA1273" s="26"/>
      <c r="BB1273" s="15"/>
    </row>
    <row r="1274" spans="1:54" x14ac:dyDescent="0.4"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22"/>
      <c r="AK1274" s="122"/>
      <c r="AL1274" s="122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26"/>
      <c r="BB1274" s="15"/>
    </row>
    <row r="1275" spans="1:54" x14ac:dyDescent="0.4"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22"/>
      <c r="AK1275" s="122"/>
      <c r="AL1275" s="122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115"/>
      <c r="AY1275" s="115"/>
      <c r="AZ1275" s="115"/>
      <c r="BA1275" s="26"/>
      <c r="BB1275" s="15"/>
    </row>
    <row r="1276" spans="1:54" x14ac:dyDescent="0.4">
      <c r="BA1276" s="26"/>
      <c r="BB1276" s="13"/>
    </row>
    <row r="1277" spans="1:54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22"/>
      <c r="AK1277" s="122"/>
      <c r="AL1277" s="122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26"/>
      <c r="BB1277" s="15"/>
    </row>
    <row r="1278" spans="1:54" x14ac:dyDescent="0.4">
      <c r="BA1278" s="26"/>
      <c r="BB1278" s="15"/>
    </row>
    <row r="1279" spans="1:54" x14ac:dyDescent="0.4">
      <c r="BA1279" s="26"/>
      <c r="BB1279" s="15"/>
    </row>
    <row r="1280" spans="1:54" x14ac:dyDescent="0.4"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22"/>
      <c r="AK1280" s="122"/>
      <c r="AL1280" s="122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115"/>
      <c r="BA1280" s="26"/>
      <c r="BB1280" s="15"/>
    </row>
    <row r="1281" spans="1:54" x14ac:dyDescent="0.4"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22"/>
      <c r="AK1281" s="122"/>
      <c r="AL1281" s="122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26"/>
      <c r="BB1281" s="15"/>
    </row>
    <row r="1282" spans="1:54" x14ac:dyDescent="0.4">
      <c r="BA1282" s="26"/>
      <c r="BB1282" s="15"/>
    </row>
    <row r="1283" spans="1:54" x14ac:dyDescent="0.4">
      <c r="AC1283" s="115"/>
      <c r="AD1283" s="115"/>
      <c r="AE1283" s="115"/>
      <c r="AF1283" s="115"/>
      <c r="AG1283" s="115"/>
      <c r="AH1283" s="115"/>
      <c r="AI1283" s="115"/>
      <c r="AJ1283" s="122"/>
      <c r="AK1283" s="122"/>
      <c r="AL1283" s="122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26"/>
      <c r="BB1283" s="15"/>
    </row>
    <row r="1284" spans="1:54" x14ac:dyDescent="0.4"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22"/>
      <c r="AK1284" s="122"/>
      <c r="AL1284" s="122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26"/>
      <c r="BB1284" s="15"/>
    </row>
    <row r="1285" spans="1:54" x14ac:dyDescent="0.4"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22"/>
      <c r="AK1285" s="122"/>
      <c r="AL1285" s="122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26"/>
      <c r="BB1285" s="15"/>
    </row>
    <row r="1286" spans="1:54" x14ac:dyDescent="0.4"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22"/>
      <c r="AK1286" s="122"/>
      <c r="AL1286" s="122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26"/>
      <c r="BB1286" s="15"/>
    </row>
    <row r="1287" spans="1:54" x14ac:dyDescent="0.4"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22"/>
      <c r="AK1287" s="122"/>
      <c r="AL1287" s="122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26"/>
      <c r="BB1287" s="15"/>
    </row>
    <row r="1288" spans="1:54" x14ac:dyDescent="0.4">
      <c r="BA1288" s="26"/>
      <c r="BB1288" s="15"/>
    </row>
    <row r="1289" spans="1:54" x14ac:dyDescent="0.4">
      <c r="AF1289" s="115"/>
      <c r="AG1289" s="115"/>
      <c r="AH1289" s="115"/>
      <c r="AI1289" s="115"/>
      <c r="AJ1289" s="122"/>
      <c r="AK1289" s="122"/>
      <c r="AL1289" s="122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7"/>
      <c r="BB1289" s="15"/>
    </row>
    <row r="1290" spans="1:54" x14ac:dyDescent="0.4">
      <c r="BA1290" s="26"/>
      <c r="BB1290" s="15"/>
    </row>
    <row r="1291" spans="1:54" x14ac:dyDescent="0.4">
      <c r="AD1291" s="115"/>
      <c r="AE1291" s="115"/>
      <c r="AF1291" s="115"/>
      <c r="AG1291" s="115"/>
      <c r="AH1291" s="115"/>
      <c r="AI1291" s="115"/>
      <c r="AJ1291" s="122"/>
      <c r="AK1291" s="122"/>
      <c r="AL1291" s="122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15"/>
      <c r="AX1291" s="115"/>
      <c r="AY1291" s="115"/>
      <c r="AZ1291" s="115"/>
      <c r="BA1291" s="26"/>
      <c r="BB1291" s="15"/>
    </row>
    <row r="1292" spans="1:54" x14ac:dyDescent="0.4">
      <c r="BA1292" s="26"/>
      <c r="BB1292" s="15"/>
    </row>
    <row r="1293" spans="1:54" x14ac:dyDescent="0.4">
      <c r="BA1293" s="26"/>
      <c r="BB1293" s="15"/>
    </row>
    <row r="1294" spans="1:54" x14ac:dyDescent="0.4"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22"/>
      <c r="AK1294" s="122"/>
      <c r="AL1294" s="122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26"/>
      <c r="BB1294" s="15"/>
    </row>
    <row r="1295" spans="1:54" x14ac:dyDescent="0.4"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22"/>
      <c r="AK1295" s="122"/>
      <c r="AL1295" s="122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26"/>
      <c r="BB1295" s="15"/>
    </row>
    <row r="1296" spans="1:54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22"/>
      <c r="AK1296" s="122"/>
      <c r="AL1296" s="122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26"/>
      <c r="BB1296" s="15"/>
    </row>
    <row r="1297" spans="1:54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22"/>
      <c r="AK1297" s="122"/>
      <c r="AL1297" s="122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26"/>
      <c r="BB1297" s="15"/>
    </row>
    <row r="1298" spans="1:54" x14ac:dyDescent="0.4">
      <c r="BA1298" s="26"/>
      <c r="BB1298" s="15"/>
    </row>
    <row r="1299" spans="1:54" x14ac:dyDescent="0.4">
      <c r="AF1299" s="115"/>
      <c r="AG1299" s="115"/>
      <c r="AH1299" s="115"/>
      <c r="AI1299" s="115"/>
      <c r="AJ1299" s="122"/>
      <c r="AK1299" s="122"/>
      <c r="AL1299" s="122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7"/>
      <c r="BB1299" s="15"/>
    </row>
    <row r="1300" spans="1:54" x14ac:dyDescent="0.4">
      <c r="BA1300" s="26"/>
      <c r="BB1300" s="15"/>
    </row>
    <row r="1301" spans="1:54" x14ac:dyDescent="0.4"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22"/>
      <c r="AK1301" s="122"/>
      <c r="AL1301" s="122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115"/>
      <c r="AZ1301" s="115"/>
      <c r="BA1301" s="26"/>
      <c r="BB1301" s="15"/>
    </row>
    <row r="1302" spans="1:54" x14ac:dyDescent="0.4"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22"/>
      <c r="AK1302" s="122"/>
      <c r="AL1302" s="122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26"/>
      <c r="BB1302" s="15"/>
    </row>
    <row r="1303" spans="1:54" x14ac:dyDescent="0.4"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22"/>
      <c r="AK1303" s="122"/>
      <c r="AL1303" s="122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7"/>
      <c r="BB1303" s="15"/>
    </row>
    <row r="1304" spans="1:54" x14ac:dyDescent="0.4">
      <c r="BA1304" s="26"/>
      <c r="BB1304" s="15"/>
    </row>
    <row r="1305" spans="1:54" x14ac:dyDescent="0.4"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22"/>
      <c r="AK1305" s="122"/>
      <c r="AL1305" s="122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26"/>
      <c r="BB1305" s="15"/>
    </row>
    <row r="1306" spans="1:54" x14ac:dyDescent="0.4"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22"/>
      <c r="AK1306" s="122"/>
      <c r="AL1306" s="122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7"/>
      <c r="BB1306" s="15"/>
    </row>
    <row r="1307" spans="1:54" x14ac:dyDescent="0.4">
      <c r="BA1307" s="26"/>
      <c r="BB1307" s="15"/>
    </row>
    <row r="1308" spans="1:54" x14ac:dyDescent="0.4">
      <c r="AF1308" s="115"/>
      <c r="AG1308" s="115"/>
      <c r="AH1308" s="115"/>
      <c r="AI1308" s="115"/>
      <c r="AJ1308" s="122"/>
      <c r="AK1308" s="122"/>
      <c r="AL1308" s="122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7"/>
      <c r="BB1308" s="15"/>
    </row>
    <row r="1309" spans="1:54" x14ac:dyDescent="0.4"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22"/>
      <c r="AK1309" s="122"/>
      <c r="AL1309" s="122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115"/>
      <c r="BA1309" s="26"/>
      <c r="BB1309" s="15"/>
    </row>
    <row r="1310" spans="1:54" x14ac:dyDescent="0.4"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22"/>
      <c r="AK1310" s="122"/>
      <c r="AL1310" s="122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7"/>
      <c r="BB1310" s="15"/>
    </row>
    <row r="1311" spans="1:54" x14ac:dyDescent="0.4">
      <c r="BA1311" s="26"/>
      <c r="BB1311" s="15"/>
    </row>
    <row r="1312" spans="1:54" x14ac:dyDescent="0.4">
      <c r="BA1312" s="26"/>
      <c r="BB1312" s="15"/>
    </row>
    <row r="1313" spans="3:54" x14ac:dyDescent="0.4">
      <c r="AE1313" s="115"/>
      <c r="AF1313" s="115"/>
      <c r="AG1313" s="115"/>
      <c r="AH1313" s="115"/>
      <c r="AI1313" s="115"/>
      <c r="AJ1313" s="122"/>
      <c r="AK1313" s="122"/>
      <c r="AL1313" s="122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115"/>
      <c r="AZ1313" s="115"/>
      <c r="BA1313" s="26"/>
      <c r="BB1313" s="15"/>
    </row>
    <row r="1314" spans="3:54" x14ac:dyDescent="0.4">
      <c r="AC1314" s="115"/>
      <c r="AD1314" s="115"/>
      <c r="AE1314" s="115"/>
      <c r="AF1314" s="115"/>
      <c r="AG1314" s="115"/>
      <c r="AH1314" s="115"/>
      <c r="AI1314" s="115"/>
      <c r="AJ1314" s="122"/>
      <c r="AK1314" s="122"/>
      <c r="AL1314" s="122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26"/>
      <c r="BB1314" s="15"/>
    </row>
    <row r="1315" spans="3:54" x14ac:dyDescent="0.4">
      <c r="AC1315" s="115"/>
      <c r="AD1315" s="115"/>
      <c r="AE1315" s="115"/>
      <c r="AF1315" s="115"/>
      <c r="AG1315" s="115"/>
      <c r="AH1315" s="115"/>
      <c r="AI1315" s="115"/>
      <c r="AJ1315" s="122"/>
      <c r="AK1315" s="122"/>
      <c r="AL1315" s="122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26"/>
      <c r="BB1315" s="15"/>
    </row>
    <row r="1316" spans="3:54" x14ac:dyDescent="0.4"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22"/>
      <c r="AK1316" s="122"/>
      <c r="AL1316" s="122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26"/>
      <c r="BB1316" s="15"/>
    </row>
    <row r="1317" spans="3:54" x14ac:dyDescent="0.4"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22"/>
      <c r="AK1317" s="122"/>
      <c r="AL1317" s="122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26"/>
      <c r="BB1317" s="15"/>
    </row>
    <row r="1318" spans="3:54" x14ac:dyDescent="0.4">
      <c r="BA1318" s="26"/>
      <c r="BB1318" s="15"/>
    </row>
    <row r="1319" spans="3:54" x14ac:dyDescent="0.4">
      <c r="AE1319" s="115"/>
      <c r="AF1319" s="115"/>
      <c r="AG1319" s="115"/>
      <c r="AH1319" s="115"/>
      <c r="AI1319" s="115"/>
      <c r="AJ1319" s="122"/>
      <c r="AK1319" s="122"/>
      <c r="AL1319" s="122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26"/>
      <c r="BB1319" s="15"/>
    </row>
    <row r="1320" spans="3:54" x14ac:dyDescent="0.4">
      <c r="BA1320" s="26"/>
      <c r="BB1320" s="15"/>
    </row>
    <row r="1321" spans="3:54" x14ac:dyDescent="0.4">
      <c r="AF1321" s="115"/>
      <c r="AG1321" s="115"/>
      <c r="AH1321" s="115"/>
      <c r="AI1321" s="115"/>
      <c r="AJ1321" s="122"/>
      <c r="AK1321" s="122"/>
      <c r="AL1321" s="122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7"/>
      <c r="BB1321" s="15"/>
    </row>
    <row r="1322" spans="3:54" x14ac:dyDescent="0.4">
      <c r="AE1322" s="115"/>
      <c r="AF1322" s="115"/>
      <c r="AG1322" s="115"/>
      <c r="AH1322" s="115"/>
      <c r="AI1322" s="115"/>
      <c r="AJ1322" s="122"/>
      <c r="AK1322" s="122"/>
      <c r="AL1322" s="122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26"/>
      <c r="BB1322" s="15"/>
    </row>
    <row r="1323" spans="3:54" x14ac:dyDescent="0.4"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22"/>
      <c r="AK1323" s="122"/>
      <c r="AL1323" s="122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15"/>
      <c r="AZ1323" s="115"/>
      <c r="BA1323" s="26"/>
      <c r="BB1323" s="15"/>
    </row>
    <row r="1324" spans="3:54" x14ac:dyDescent="0.4"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22"/>
      <c r="AK1324" s="122"/>
      <c r="AL1324" s="122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7"/>
      <c r="BB1324" s="15"/>
    </row>
    <row r="1325" spans="3:54" x14ac:dyDescent="0.4">
      <c r="BA1325" s="26"/>
      <c r="BB1325" s="15"/>
    </row>
    <row r="1326" spans="3:54" x14ac:dyDescent="0.4">
      <c r="AF1326" s="115"/>
      <c r="AG1326" s="115"/>
      <c r="AH1326" s="115"/>
      <c r="AI1326" s="115"/>
      <c r="AJ1326" s="122"/>
      <c r="AK1326" s="122"/>
      <c r="AL1326" s="122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7"/>
      <c r="BB1326" s="15"/>
    </row>
    <row r="1327" spans="3:54" x14ac:dyDescent="0.4">
      <c r="AE1327" s="115"/>
      <c r="AF1327" s="115"/>
      <c r="AG1327" s="115"/>
      <c r="AH1327" s="115"/>
      <c r="AI1327" s="115"/>
      <c r="AJ1327" s="122"/>
      <c r="AK1327" s="122"/>
      <c r="AL1327" s="122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26"/>
      <c r="BB1327" s="15"/>
    </row>
    <row r="1328" spans="3:54" x14ac:dyDescent="0.4">
      <c r="AE1328" s="115"/>
      <c r="AF1328" s="115"/>
      <c r="AG1328" s="115"/>
      <c r="AH1328" s="115"/>
      <c r="AI1328" s="115"/>
      <c r="AJ1328" s="122"/>
      <c r="AK1328" s="122"/>
      <c r="AL1328" s="122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7"/>
      <c r="BB1328" s="15"/>
    </row>
    <row r="1329" spans="4:54" x14ac:dyDescent="0.4">
      <c r="AE1329" s="115"/>
      <c r="AF1329" s="115"/>
      <c r="AG1329" s="115"/>
      <c r="AH1329" s="115"/>
      <c r="AI1329" s="115"/>
      <c r="AJ1329" s="122"/>
      <c r="AK1329" s="122"/>
      <c r="AL1329" s="122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7"/>
      <c r="BB1329" s="15"/>
    </row>
    <row r="1330" spans="4:54" x14ac:dyDescent="0.4"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22"/>
      <c r="AK1330" s="122"/>
      <c r="AL1330" s="122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26"/>
      <c r="BB1330" s="15"/>
    </row>
    <row r="1331" spans="4:54" x14ac:dyDescent="0.4"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22"/>
      <c r="AK1331" s="122"/>
      <c r="AL1331" s="122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26"/>
      <c r="BB1331" s="15"/>
    </row>
    <row r="1332" spans="4:54" x14ac:dyDescent="0.4"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22"/>
      <c r="AK1332" s="122"/>
      <c r="AL1332" s="122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26"/>
      <c r="BB1332" s="15"/>
    </row>
    <row r="1333" spans="4:54" x14ac:dyDescent="0.4"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22"/>
      <c r="AK1333" s="122"/>
      <c r="AL1333" s="122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26"/>
      <c r="BB1333" s="15"/>
    </row>
    <row r="1334" spans="4:54" x14ac:dyDescent="0.4"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22"/>
      <c r="AK1334" s="122"/>
      <c r="AL1334" s="122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26"/>
      <c r="BB1334" s="15"/>
    </row>
    <row r="1335" spans="4:54" x14ac:dyDescent="0.4"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22"/>
      <c r="AK1335" s="122"/>
      <c r="AL1335" s="122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7"/>
      <c r="BB1335" s="15"/>
    </row>
    <row r="1336" spans="4:54" x14ac:dyDescent="0.4">
      <c r="BA1336" s="26"/>
      <c r="BB1336" s="15"/>
    </row>
    <row r="1337" spans="4:54" x14ac:dyDescent="0.4">
      <c r="AE1337" s="115"/>
      <c r="AF1337" s="115"/>
      <c r="AG1337" s="115"/>
      <c r="AH1337" s="115"/>
      <c r="AI1337" s="115"/>
      <c r="AJ1337" s="122"/>
      <c r="AK1337" s="122"/>
      <c r="AL1337" s="122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7"/>
      <c r="BB1337" s="13"/>
    </row>
    <row r="1338" spans="4:54" x14ac:dyDescent="0.4">
      <c r="AE1338" s="115"/>
      <c r="AF1338" s="115"/>
      <c r="AG1338" s="115"/>
      <c r="AH1338" s="115"/>
      <c r="AI1338" s="115"/>
      <c r="AJ1338" s="122"/>
      <c r="AK1338" s="122"/>
      <c r="AL1338" s="122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7"/>
      <c r="BB1338" s="13"/>
    </row>
    <row r="1339" spans="4:54" x14ac:dyDescent="0.4">
      <c r="AC1339" s="115"/>
      <c r="AD1339" s="115"/>
      <c r="AE1339" s="115"/>
      <c r="AF1339" s="115"/>
      <c r="AG1339" s="115"/>
      <c r="AH1339" s="115"/>
      <c r="AI1339" s="115"/>
      <c r="AJ1339" s="122"/>
      <c r="AK1339" s="122"/>
      <c r="AL1339" s="122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26"/>
      <c r="BB1339" s="13"/>
    </row>
    <row r="1340" spans="4:54" x14ac:dyDescent="0.4">
      <c r="AC1340" s="115"/>
      <c r="AD1340" s="115"/>
      <c r="AE1340" s="115"/>
      <c r="AF1340" s="115"/>
      <c r="AG1340" s="115"/>
      <c r="AH1340" s="115"/>
      <c r="AI1340" s="115"/>
      <c r="AJ1340" s="122"/>
      <c r="AK1340" s="122"/>
      <c r="AL1340" s="122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7"/>
      <c r="BB1340" s="13"/>
    </row>
    <row r="1341" spans="4:54" x14ac:dyDescent="0.4">
      <c r="BA1341" s="26"/>
      <c r="BB1341" s="13"/>
    </row>
    <row r="1342" spans="4:54" x14ac:dyDescent="0.4">
      <c r="AD1342" s="115"/>
      <c r="AE1342" s="115"/>
      <c r="AF1342" s="115"/>
      <c r="AG1342" s="115"/>
      <c r="AH1342" s="115"/>
      <c r="AI1342" s="115"/>
      <c r="AJ1342" s="122"/>
      <c r="AK1342" s="122"/>
      <c r="AL1342" s="122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7"/>
      <c r="BB1342" s="13"/>
    </row>
    <row r="1343" spans="4:54" x14ac:dyDescent="0.4">
      <c r="BA1343" s="26"/>
      <c r="BB1343" s="13"/>
    </row>
    <row r="1344" spans="4:54" x14ac:dyDescent="0.4">
      <c r="BA1344" s="26"/>
      <c r="BB1344" s="13"/>
    </row>
    <row r="1345" spans="3:54" x14ac:dyDescent="0.4"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22"/>
      <c r="AK1345" s="122"/>
      <c r="AL1345" s="122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26"/>
      <c r="BB1345" s="13"/>
    </row>
    <row r="1346" spans="3:54" x14ac:dyDescent="0.4"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22"/>
      <c r="AK1346" s="122"/>
      <c r="AL1346" s="122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26"/>
      <c r="BB1346" s="13"/>
    </row>
    <row r="1347" spans="3:54" x14ac:dyDescent="0.4">
      <c r="BA1347" s="26"/>
      <c r="BB1347" s="13"/>
    </row>
    <row r="1348" spans="3:54" x14ac:dyDescent="0.4">
      <c r="BA1348" s="26"/>
      <c r="BB1348" s="13"/>
    </row>
    <row r="1349" spans="3:54" x14ac:dyDescent="0.4"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22"/>
      <c r="AK1349" s="122"/>
      <c r="AL1349" s="122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26"/>
      <c r="BB1349" s="13"/>
    </row>
    <row r="1350" spans="3:54" x14ac:dyDescent="0.4">
      <c r="BA1350" s="26"/>
      <c r="BB1350" s="105"/>
    </row>
    <row r="1351" spans="3:54" x14ac:dyDescent="0.4"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22"/>
      <c r="AK1351" s="122"/>
      <c r="AL1351" s="122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26"/>
      <c r="BB1351" s="15"/>
    </row>
    <row r="1352" spans="3:54" x14ac:dyDescent="0.4"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22"/>
      <c r="AK1352" s="122"/>
      <c r="AL1352" s="122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7"/>
      <c r="BB1352" s="15"/>
    </row>
    <row r="1353" spans="3:54" x14ac:dyDescent="0.4">
      <c r="BA1353" s="26"/>
      <c r="BB1353" s="15"/>
    </row>
    <row r="1354" spans="3:54" x14ac:dyDescent="0.4"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22"/>
      <c r="AK1354" s="122"/>
      <c r="AL1354" s="122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26"/>
      <c r="BB1354" s="15"/>
    </row>
    <row r="1355" spans="3:54" x14ac:dyDescent="0.4"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22"/>
      <c r="AK1355" s="122"/>
      <c r="AL1355" s="122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26"/>
      <c r="BB1355" s="15"/>
    </row>
    <row r="1356" spans="3:54" x14ac:dyDescent="0.4"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22"/>
      <c r="AK1356" s="122"/>
      <c r="AL1356" s="122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26"/>
      <c r="BB1356" s="13"/>
    </row>
    <row r="1357" spans="3:54" x14ac:dyDescent="0.4">
      <c r="BA1357" s="26"/>
      <c r="BB1357" s="15"/>
    </row>
    <row r="1358" spans="3:54" x14ac:dyDescent="0.4"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22"/>
      <c r="AK1358" s="122"/>
      <c r="AL1358" s="122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26"/>
      <c r="BB1358" s="15"/>
    </row>
    <row r="1359" spans="3:54" x14ac:dyDescent="0.4"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22"/>
      <c r="AK1359" s="122"/>
      <c r="AL1359" s="122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26"/>
      <c r="BB1359" s="15"/>
    </row>
    <row r="1360" spans="3:54" x14ac:dyDescent="0.4"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22"/>
      <c r="AK1360" s="122"/>
      <c r="AL1360" s="122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26"/>
      <c r="BB1360" s="15"/>
    </row>
    <row r="1361" spans="2:54" x14ac:dyDescent="0.4"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22"/>
      <c r="AK1361" s="122"/>
      <c r="AL1361" s="122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26"/>
      <c r="BB1361" s="15"/>
    </row>
    <row r="1362" spans="2:54" x14ac:dyDescent="0.4"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22"/>
      <c r="AK1362" s="122"/>
      <c r="AL1362" s="122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26"/>
      <c r="BB1362" s="15"/>
    </row>
    <row r="1363" spans="2:54" x14ac:dyDescent="0.4"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22"/>
      <c r="AK1363" s="122"/>
      <c r="AL1363" s="122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26"/>
      <c r="BB1363" s="15"/>
    </row>
    <row r="1364" spans="2:54" ht="19.5" customHeight="1" x14ac:dyDescent="0.4"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22"/>
      <c r="AK1364" s="122"/>
      <c r="AL1364" s="122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26"/>
      <c r="BB1364" s="15"/>
    </row>
    <row r="1365" spans="2:54" ht="19.5" customHeight="1" x14ac:dyDescent="0.4"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22"/>
      <c r="AK1365" s="122"/>
      <c r="AL1365" s="122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26"/>
      <c r="BB1365" s="15"/>
    </row>
    <row r="1366" spans="2:54" x14ac:dyDescent="0.4">
      <c r="BA1366" s="26"/>
      <c r="BB1366" s="15"/>
    </row>
    <row r="1367" spans="2:54" x14ac:dyDescent="0.4"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22"/>
      <c r="AK1367" s="122"/>
      <c r="AL1367" s="122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26"/>
      <c r="BB1367" s="15"/>
    </row>
    <row r="1368" spans="2:54" x14ac:dyDescent="0.4"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22"/>
      <c r="AK1368" s="122"/>
      <c r="AL1368" s="122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26"/>
      <c r="BB1368" s="15"/>
    </row>
    <row r="1369" spans="2:54" x14ac:dyDescent="0.4"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22"/>
      <c r="AK1369" s="122"/>
      <c r="AL1369" s="122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7"/>
      <c r="BB1369" s="15"/>
    </row>
    <row r="1370" spans="2:54" x14ac:dyDescent="0.4">
      <c r="BA1370" s="26"/>
      <c r="BB1370" s="15"/>
    </row>
    <row r="1371" spans="2:54" x14ac:dyDescent="0.4">
      <c r="AD1371" s="115"/>
      <c r="AE1371" s="115"/>
      <c r="AF1371" s="115"/>
      <c r="AG1371" s="115"/>
      <c r="AH1371" s="115"/>
      <c r="AI1371" s="115"/>
      <c r="AJ1371" s="122"/>
      <c r="AK1371" s="122"/>
      <c r="AL1371" s="122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7"/>
      <c r="BB1371" s="15"/>
    </row>
    <row r="1372" spans="2:54" x14ac:dyDescent="0.4"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22"/>
      <c r="AK1372" s="122"/>
      <c r="AL1372" s="122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26"/>
      <c r="BB1372" s="15"/>
    </row>
    <row r="1373" spans="2:54" x14ac:dyDescent="0.4">
      <c r="BA1373" s="26"/>
      <c r="BB1373" s="15"/>
    </row>
    <row r="1374" spans="2:54" x14ac:dyDescent="0.4">
      <c r="BA1374" s="26"/>
      <c r="BB1374" s="15"/>
    </row>
    <row r="1375" spans="2:54" x14ac:dyDescent="0.4">
      <c r="AC1375" s="115"/>
      <c r="AD1375" s="115"/>
      <c r="AE1375" s="115"/>
      <c r="AF1375" s="115"/>
      <c r="AG1375" s="115"/>
      <c r="AH1375" s="115"/>
      <c r="AI1375" s="115"/>
      <c r="AJ1375" s="122"/>
      <c r="AK1375" s="122"/>
      <c r="AL1375" s="122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26"/>
      <c r="BB1375" s="15"/>
    </row>
    <row r="1376" spans="2:54" x14ac:dyDescent="0.4">
      <c r="BA1376" s="26"/>
      <c r="BB1376" s="15"/>
    </row>
    <row r="1377" spans="1:54" x14ac:dyDescent="0.4">
      <c r="AD1377" s="115"/>
      <c r="AE1377" s="115"/>
      <c r="AF1377" s="115"/>
      <c r="AG1377" s="115"/>
      <c r="AH1377" s="115"/>
      <c r="AI1377" s="115"/>
      <c r="AJ1377" s="122"/>
      <c r="AK1377" s="122"/>
      <c r="AL1377" s="122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7"/>
      <c r="BB1377" s="15"/>
    </row>
    <row r="1378" spans="1:54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22"/>
      <c r="AK1378" s="122"/>
      <c r="AL1378" s="122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26"/>
      <c r="BB1378" s="15"/>
    </row>
    <row r="1379" spans="1:54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22"/>
      <c r="AK1379" s="122"/>
      <c r="AL1379" s="122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7"/>
      <c r="BB1379" s="13"/>
    </row>
    <row r="1380" spans="1:54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22"/>
      <c r="AK1380" s="122"/>
      <c r="AL1380" s="122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7"/>
      <c r="BB1380" s="13"/>
    </row>
    <row r="1381" spans="1:54" x14ac:dyDescent="0.4">
      <c r="BA1381" s="26"/>
      <c r="BB1381" s="13"/>
    </row>
    <row r="1382" spans="1:54" x14ac:dyDescent="0.4"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22"/>
      <c r="AK1382" s="122"/>
      <c r="AL1382" s="122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26"/>
      <c r="BB1382" s="15"/>
    </row>
    <row r="1383" spans="1:54" x14ac:dyDescent="0.4"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22"/>
      <c r="AK1383" s="122"/>
      <c r="AL1383" s="122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26"/>
      <c r="BB1383" s="15"/>
    </row>
    <row r="1384" spans="1:54" x14ac:dyDescent="0.4">
      <c r="BA1384" s="26"/>
      <c r="BB1384" s="15"/>
    </row>
    <row r="1385" spans="1:54" x14ac:dyDescent="0.4"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22"/>
      <c r="AK1385" s="122"/>
      <c r="AL1385" s="122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26"/>
      <c r="BB1385" s="15"/>
    </row>
    <row r="1386" spans="1:54" x14ac:dyDescent="0.4"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22"/>
      <c r="AK1386" s="122"/>
      <c r="AL1386" s="122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26"/>
      <c r="BB1386" s="15"/>
    </row>
    <row r="1387" spans="1:54" x14ac:dyDescent="0.4"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22"/>
      <c r="AK1387" s="122"/>
      <c r="AL1387" s="122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26"/>
      <c r="BB1387" s="15"/>
    </row>
    <row r="1388" spans="1:54" x14ac:dyDescent="0.4"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22"/>
      <c r="AK1388" s="122"/>
      <c r="AL1388" s="122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26"/>
      <c r="BB1388" s="15"/>
    </row>
    <row r="1389" spans="1:54" x14ac:dyDescent="0.4">
      <c r="BA1389" s="26"/>
      <c r="BB1389" s="15"/>
    </row>
    <row r="1390" spans="1:54" x14ac:dyDescent="0.4"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22"/>
      <c r="AK1390" s="122"/>
      <c r="AL1390" s="122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26"/>
      <c r="BB1390" s="15"/>
    </row>
    <row r="1391" spans="1:54" x14ac:dyDescent="0.4">
      <c r="BA1391" s="26"/>
      <c r="BB1391" s="15"/>
    </row>
    <row r="1392" spans="1:54" x14ac:dyDescent="0.4"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22"/>
      <c r="AK1392" s="122"/>
      <c r="AL1392" s="122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26"/>
      <c r="BB1392" s="15"/>
    </row>
    <row r="1393" spans="1:54" x14ac:dyDescent="0.4"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22"/>
      <c r="AK1393" s="122"/>
      <c r="AL1393" s="122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26"/>
      <c r="BB1393" s="15"/>
    </row>
    <row r="1394" spans="1:54" x14ac:dyDescent="0.4"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22"/>
      <c r="AK1394" s="122"/>
      <c r="AL1394" s="122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7"/>
      <c r="BB1394" s="15"/>
    </row>
    <row r="1395" spans="1:54" x14ac:dyDescent="0.4">
      <c r="BA1395" s="26"/>
      <c r="BB1395" s="15"/>
    </row>
    <row r="1396" spans="1:54" x14ac:dyDescent="0.4">
      <c r="BA1396" s="26"/>
      <c r="BB1396" s="15"/>
    </row>
    <row r="1397" spans="1:54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22"/>
      <c r="AK1397" s="122"/>
      <c r="AL1397" s="122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26"/>
      <c r="BB1397" s="15"/>
    </row>
    <row r="1398" spans="1:54" x14ac:dyDescent="0.4">
      <c r="A1398" s="115"/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22"/>
      <c r="AK1398" s="122"/>
      <c r="AL1398" s="122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7"/>
      <c r="BB1398" s="15"/>
    </row>
    <row r="1399" spans="1:54" x14ac:dyDescent="0.4">
      <c r="BA1399" s="26"/>
      <c r="BB1399" s="15"/>
    </row>
    <row r="1400" spans="1:54" ht="17.25" customHeight="1" x14ac:dyDescent="0.4"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22"/>
      <c r="AK1400" s="122"/>
      <c r="AL1400" s="122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26"/>
      <c r="BB1400" s="15"/>
    </row>
    <row r="1401" spans="1:54" x14ac:dyDescent="0.4">
      <c r="BA1401" s="26"/>
      <c r="BB1401" s="15"/>
    </row>
    <row r="1402" spans="1:54" x14ac:dyDescent="0.4">
      <c r="AC1402" s="115"/>
      <c r="AD1402" s="115"/>
      <c r="AE1402" s="115"/>
      <c r="AF1402" s="115"/>
      <c r="AG1402" s="115"/>
      <c r="AH1402" s="115"/>
      <c r="AI1402" s="115"/>
      <c r="AJ1402" s="122"/>
      <c r="AK1402" s="122"/>
      <c r="AL1402" s="122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7"/>
      <c r="BB1402" s="15"/>
    </row>
    <row r="1403" spans="1:54" ht="16.5" customHeight="1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22"/>
      <c r="AK1403" s="122"/>
      <c r="AL1403" s="122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26"/>
      <c r="BB1403" s="15"/>
    </row>
    <row r="1404" spans="1:54" ht="22.5" customHeight="1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22"/>
      <c r="AK1404" s="122"/>
      <c r="AL1404" s="122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26"/>
      <c r="BB1404" s="15"/>
    </row>
    <row r="1405" spans="1:54" x14ac:dyDescent="0.4">
      <c r="BA1405" s="26"/>
      <c r="BB1405" s="15"/>
    </row>
    <row r="1406" spans="1:54" x14ac:dyDescent="0.4">
      <c r="BA1406" s="26"/>
      <c r="BB1406" s="105"/>
    </row>
    <row r="1407" spans="1:54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22"/>
      <c r="AK1407" s="122"/>
      <c r="AL1407" s="122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26"/>
      <c r="BB1407" s="15"/>
    </row>
    <row r="1408" spans="1:54" x14ac:dyDescent="0.4">
      <c r="BA1408" s="26"/>
      <c r="BB1408" s="15"/>
    </row>
    <row r="1409" spans="1:54" x14ac:dyDescent="0.4">
      <c r="BA1409" s="26"/>
      <c r="BB1409" s="15"/>
    </row>
    <row r="1410" spans="1:54" x14ac:dyDescent="0.4">
      <c r="BA1410" s="26"/>
      <c r="BB1410" s="15"/>
    </row>
    <row r="1411" spans="1:54" x14ac:dyDescent="0.4">
      <c r="BA1411" s="26"/>
      <c r="BB1411" s="15"/>
    </row>
    <row r="1412" spans="1:54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22"/>
      <c r="AK1412" s="122"/>
      <c r="AL1412" s="122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26"/>
      <c r="BB1412" s="15"/>
    </row>
    <row r="1413" spans="1:54" x14ac:dyDescent="0.4">
      <c r="BA1413" s="26"/>
      <c r="BB1413" s="15"/>
    </row>
    <row r="1414" spans="1:54" x14ac:dyDescent="0.4">
      <c r="BA1414" s="26"/>
      <c r="BB1414" s="15"/>
    </row>
    <row r="1415" spans="1:54" x14ac:dyDescent="0.4">
      <c r="BA1415" s="26"/>
      <c r="BB1415" s="15"/>
    </row>
    <row r="1416" spans="1:54" x14ac:dyDescent="0.4">
      <c r="BA1416" s="26"/>
      <c r="BB1416" s="15"/>
    </row>
    <row r="1417" spans="1:54" ht="18.75" customHeight="1" x14ac:dyDescent="0.4"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22"/>
      <c r="AK1417" s="122"/>
      <c r="AL1417" s="122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26"/>
      <c r="BB1417" s="15"/>
    </row>
    <row r="1418" spans="1:54" x14ac:dyDescent="0.4">
      <c r="BA1418" s="26"/>
      <c r="BB1418" s="15"/>
    </row>
    <row r="1419" spans="1:54" x14ac:dyDescent="0.4">
      <c r="BA1419" s="26"/>
      <c r="BB1419" s="15"/>
    </row>
    <row r="1420" spans="1:54" x14ac:dyDescent="0.4"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22"/>
      <c r="AK1420" s="122"/>
      <c r="AL1420" s="122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26"/>
      <c r="BB1420" s="15"/>
    </row>
    <row r="1421" spans="1:54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22"/>
      <c r="AK1421" s="122"/>
      <c r="AL1421" s="122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26"/>
      <c r="BB1421" s="15"/>
    </row>
    <row r="1422" spans="1:54" x14ac:dyDescent="0.4">
      <c r="BA1422" s="26"/>
      <c r="BB1422" s="15"/>
    </row>
    <row r="1423" spans="1:54" x14ac:dyDescent="0.4">
      <c r="AC1423" s="115"/>
      <c r="AD1423" s="115"/>
      <c r="AE1423" s="115"/>
      <c r="AF1423" s="115"/>
      <c r="AG1423" s="115"/>
      <c r="AH1423" s="115"/>
      <c r="AI1423" s="115"/>
      <c r="AJ1423" s="122"/>
      <c r="AK1423" s="122"/>
      <c r="AL1423" s="122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7"/>
      <c r="BB1423" s="15"/>
    </row>
    <row r="1424" spans="1:54" x14ac:dyDescent="0.4">
      <c r="A1424" s="115"/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22"/>
      <c r="AK1424" s="122"/>
      <c r="AL1424" s="122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26"/>
      <c r="BB1424" s="15"/>
    </row>
    <row r="1425" spans="1:54" x14ac:dyDescent="0.4">
      <c r="BA1425" s="26"/>
      <c r="BB1425" s="15"/>
    </row>
    <row r="1426" spans="1:54" x14ac:dyDescent="0.4">
      <c r="AC1426" s="115"/>
      <c r="AD1426" s="115"/>
      <c r="AE1426" s="115"/>
      <c r="AF1426" s="115"/>
      <c r="AG1426" s="115"/>
      <c r="AH1426" s="115"/>
      <c r="AI1426" s="115"/>
      <c r="AJ1426" s="122"/>
      <c r="AK1426" s="122"/>
      <c r="AL1426" s="122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7"/>
      <c r="BB1426" s="15"/>
    </row>
    <row r="1427" spans="1:54" x14ac:dyDescent="0.4">
      <c r="BA1427" s="26"/>
      <c r="BB1427" s="15"/>
    </row>
    <row r="1428" spans="1:54" x14ac:dyDescent="0.4"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22"/>
      <c r="AK1428" s="122"/>
      <c r="AL1428" s="122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26"/>
      <c r="BB1428" s="15"/>
    </row>
    <row r="1429" spans="1:54" x14ac:dyDescent="0.4">
      <c r="A1429" s="115"/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22"/>
      <c r="AK1429" s="122"/>
      <c r="AL1429" s="122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26"/>
      <c r="BB1429" s="15"/>
    </row>
    <row r="1430" spans="1:54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22"/>
      <c r="AK1430" s="122"/>
      <c r="AL1430" s="122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26"/>
      <c r="BB1430" s="15"/>
    </row>
    <row r="1431" spans="1:54" x14ac:dyDescent="0.4">
      <c r="BA1431" s="26"/>
      <c r="BB1431" s="15"/>
    </row>
    <row r="1432" spans="1:54" x14ac:dyDescent="0.4"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22"/>
      <c r="AK1432" s="122"/>
      <c r="AL1432" s="122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26"/>
      <c r="BB1432" s="15"/>
    </row>
    <row r="1433" spans="1:54" x14ac:dyDescent="0.4">
      <c r="BA1433" s="26"/>
      <c r="BB1433" s="15"/>
    </row>
    <row r="1434" spans="1:54" x14ac:dyDescent="0.4"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22"/>
      <c r="AK1434" s="122"/>
      <c r="AL1434" s="122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26"/>
      <c r="BB1434" s="15"/>
    </row>
    <row r="1435" spans="1:54" x14ac:dyDescent="0.4">
      <c r="BA1435" s="26"/>
      <c r="BB1435" s="15"/>
    </row>
    <row r="1436" spans="1:54" x14ac:dyDescent="0.4">
      <c r="BA1436" s="26"/>
      <c r="BB1436" s="15"/>
    </row>
    <row r="1437" spans="1:54" x14ac:dyDescent="0.4">
      <c r="BA1437" s="26"/>
      <c r="BB1437" s="15"/>
    </row>
    <row r="1438" spans="1:54" x14ac:dyDescent="0.4">
      <c r="BA1438" s="26"/>
      <c r="BB1438" s="15"/>
    </row>
    <row r="1439" spans="1:54" x14ac:dyDescent="0.4">
      <c r="BA1439" s="26"/>
      <c r="BB1439" s="15"/>
    </row>
    <row r="1440" spans="1:54" x14ac:dyDescent="0.4">
      <c r="BA1440" s="26"/>
      <c r="BB1440" s="15"/>
    </row>
    <row r="1441" spans="1:54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22"/>
      <c r="AK1441" s="122"/>
      <c r="AL1441" s="122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26"/>
      <c r="BB1441" s="15"/>
    </row>
    <row r="1442" spans="1:54" x14ac:dyDescent="0.4">
      <c r="BA1442" s="26"/>
      <c r="BB1442" s="15"/>
    </row>
    <row r="1443" spans="1:54" x14ac:dyDescent="0.4">
      <c r="BA1443" s="26"/>
      <c r="BB1443" s="15"/>
    </row>
    <row r="1444" spans="1:54" x14ac:dyDescent="0.4">
      <c r="BA1444" s="26"/>
      <c r="BB1444" s="15"/>
    </row>
    <row r="1445" spans="1:54" x14ac:dyDescent="0.4">
      <c r="BA1445" s="26"/>
      <c r="BB1445" s="15"/>
    </row>
    <row r="1446" spans="1:54" x14ac:dyDescent="0.4">
      <c r="BA1446" s="26"/>
      <c r="BB1446" s="15"/>
    </row>
    <row r="1447" spans="1:54" x14ac:dyDescent="0.4">
      <c r="AC1447" s="115"/>
      <c r="AD1447" s="115"/>
      <c r="AE1447" s="115"/>
      <c r="AF1447" s="115"/>
      <c r="AG1447" s="115"/>
      <c r="AH1447" s="115"/>
      <c r="AI1447" s="115"/>
      <c r="AJ1447" s="122"/>
      <c r="AK1447" s="122"/>
      <c r="AL1447" s="122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7"/>
      <c r="BB1447" s="15"/>
    </row>
    <row r="1448" spans="1:54" x14ac:dyDescent="0.4">
      <c r="AC1448" s="115"/>
      <c r="AD1448" s="115"/>
      <c r="AE1448" s="115"/>
      <c r="AF1448" s="115"/>
      <c r="AG1448" s="115"/>
      <c r="AH1448" s="115"/>
      <c r="AI1448" s="115"/>
      <c r="AJ1448" s="122"/>
      <c r="AK1448" s="122"/>
      <c r="AL1448" s="122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7"/>
      <c r="BB1448" s="15"/>
    </row>
    <row r="1449" spans="1:54" x14ac:dyDescent="0.4">
      <c r="BA1449" s="26"/>
      <c r="BB1449" s="15"/>
    </row>
    <row r="1450" spans="1:54" x14ac:dyDescent="0.4">
      <c r="BA1450" s="26"/>
      <c r="BB1450" s="15"/>
    </row>
    <row r="1451" spans="1:54" x14ac:dyDescent="0.4">
      <c r="A1451" s="115"/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22"/>
      <c r="AK1451" s="122"/>
      <c r="AL1451" s="122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26"/>
      <c r="BB1451" s="15"/>
    </row>
    <row r="1452" spans="1:54" x14ac:dyDescent="0.4">
      <c r="A1452" s="115"/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22"/>
      <c r="AK1452" s="122"/>
      <c r="AL1452" s="122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26"/>
      <c r="BB1452" s="13"/>
    </row>
    <row r="1453" spans="1:54" x14ac:dyDescent="0.4">
      <c r="BA1453" s="26"/>
      <c r="BB1453" s="15"/>
    </row>
    <row r="1454" spans="1:54" x14ac:dyDescent="0.4"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22"/>
      <c r="AK1454" s="122"/>
      <c r="AL1454" s="122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26"/>
      <c r="BB1454" s="15"/>
    </row>
    <row r="1455" spans="1:54" x14ac:dyDescent="0.4">
      <c r="BA1455" s="26"/>
      <c r="BB1455" s="15"/>
    </row>
    <row r="1456" spans="1:54" x14ac:dyDescent="0.4">
      <c r="BA1456" s="26"/>
      <c r="BB1456" s="15"/>
    </row>
    <row r="1457" spans="1:54" x14ac:dyDescent="0.4">
      <c r="A1457" s="115"/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22"/>
      <c r="AK1457" s="122"/>
      <c r="AL1457" s="122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26"/>
      <c r="BB1457" s="15"/>
    </row>
    <row r="1458" spans="1:54" x14ac:dyDescent="0.4">
      <c r="BA1458" s="26"/>
      <c r="BB1458" s="13"/>
    </row>
    <row r="1459" spans="1:54" x14ac:dyDescent="0.4">
      <c r="BA1459" s="26"/>
      <c r="BB1459" s="13"/>
    </row>
    <row r="1460" spans="1:54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22"/>
      <c r="AK1460" s="122"/>
      <c r="AL1460" s="122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26"/>
      <c r="BB1460" s="13"/>
    </row>
    <row r="1461" spans="1:54" x14ac:dyDescent="0.4">
      <c r="BA1461" s="26"/>
      <c r="BB1461" s="13"/>
    </row>
    <row r="1462" spans="1:54" x14ac:dyDescent="0.4">
      <c r="BA1462" s="26"/>
      <c r="BB1462" s="13"/>
    </row>
    <row r="1463" spans="1:54" x14ac:dyDescent="0.4">
      <c r="BA1463" s="26"/>
      <c r="BB1463" s="13"/>
    </row>
    <row r="1464" spans="1:54" x14ac:dyDescent="0.4">
      <c r="BA1464" s="26"/>
      <c r="BB1464" s="13"/>
    </row>
    <row r="1465" spans="1:54" x14ac:dyDescent="0.4">
      <c r="BA1465" s="26"/>
      <c r="BB1465" s="13"/>
    </row>
    <row r="1466" spans="1:54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22"/>
      <c r="AK1466" s="122"/>
      <c r="AL1466" s="122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26"/>
      <c r="BB1466" s="25"/>
    </row>
    <row r="1467" spans="1:54" x14ac:dyDescent="0.4">
      <c r="BA1467" s="26"/>
      <c r="BB1467" s="13"/>
    </row>
    <row r="1468" spans="1:54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22"/>
      <c r="AK1468" s="122"/>
      <c r="AL1468" s="122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26"/>
      <c r="BB1468" s="13"/>
    </row>
    <row r="1469" spans="1:54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22"/>
      <c r="AK1469" s="122"/>
      <c r="AL1469" s="122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26"/>
      <c r="BB1469" s="13"/>
    </row>
    <row r="1470" spans="1:54" x14ac:dyDescent="0.4">
      <c r="BA1470" s="26"/>
      <c r="BB1470" s="15"/>
    </row>
    <row r="1471" spans="1:54" x14ac:dyDescent="0.4">
      <c r="BA1471" s="26"/>
      <c r="BB1471" s="15"/>
    </row>
    <row r="1472" spans="1:54" x14ac:dyDescent="0.4">
      <c r="BA1472" s="26"/>
      <c r="BB1472" s="15"/>
    </row>
    <row r="1473" spans="2:54" x14ac:dyDescent="0.4">
      <c r="BA1473" s="26"/>
      <c r="BB1473" s="13"/>
    </row>
    <row r="1474" spans="2:54" x14ac:dyDescent="0.4">
      <c r="BA1474" s="26"/>
      <c r="BB1474" s="15"/>
    </row>
    <row r="1475" spans="2:54" x14ac:dyDescent="0.4"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22"/>
      <c r="AK1475" s="122"/>
      <c r="AL1475" s="122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7"/>
      <c r="BB1475" s="15"/>
    </row>
    <row r="1476" spans="2:54" x14ac:dyDescent="0.4">
      <c r="BA1476" s="26"/>
      <c r="BB1476" s="15"/>
    </row>
    <row r="1477" spans="2:54" x14ac:dyDescent="0.4"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22"/>
      <c r="AK1477" s="122"/>
      <c r="AL1477" s="122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7"/>
      <c r="BB1477" s="15"/>
    </row>
    <row r="1478" spans="2:54" x14ac:dyDescent="0.4">
      <c r="BA1478" s="26"/>
      <c r="BB1478" s="15"/>
    </row>
    <row r="1479" spans="2:54" x14ac:dyDescent="0.4">
      <c r="BA1479" s="26"/>
      <c r="BB1479" s="15"/>
    </row>
    <row r="1480" spans="2:54" x14ac:dyDescent="0.4"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22"/>
      <c r="AK1480" s="122"/>
      <c r="AL1480" s="122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7"/>
      <c r="BB1480" s="15"/>
    </row>
    <row r="1481" spans="2:54" x14ac:dyDescent="0.4">
      <c r="BA1481" s="26"/>
      <c r="BB1481" s="15"/>
    </row>
    <row r="1482" spans="2:54" x14ac:dyDescent="0.4">
      <c r="BA1482" s="26"/>
      <c r="BB1482" s="15"/>
    </row>
    <row r="1483" spans="2:54" x14ac:dyDescent="0.4">
      <c r="BA1483" s="26"/>
      <c r="BB1483" s="105"/>
    </row>
    <row r="1484" spans="2:54" x14ac:dyDescent="0.4">
      <c r="BA1484" s="26"/>
      <c r="BB1484" s="15"/>
    </row>
    <row r="1485" spans="2:54" x14ac:dyDescent="0.4">
      <c r="BA1485" s="26"/>
      <c r="BB1485" s="15"/>
    </row>
    <row r="1486" spans="2:54" x14ac:dyDescent="0.4">
      <c r="BA1486" s="26"/>
      <c r="BB1486" s="15"/>
    </row>
    <row r="1487" spans="2:54" x14ac:dyDescent="0.4">
      <c r="BA1487" s="26"/>
      <c r="BB1487" s="15"/>
    </row>
    <row r="1488" spans="2:54" x14ac:dyDescent="0.4">
      <c r="BA1488" s="26"/>
      <c r="BB1488" s="15"/>
    </row>
    <row r="1489" spans="2:54" x14ac:dyDescent="0.4"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22"/>
      <c r="AK1489" s="122"/>
      <c r="AL1489" s="122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9"/>
      <c r="BB1489" s="119"/>
    </row>
    <row r="1490" spans="2:54" x14ac:dyDescent="0.4"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22"/>
      <c r="AK1490" s="122"/>
      <c r="AL1490" s="122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9"/>
      <c r="BB1490" s="119"/>
    </row>
  </sheetData>
  <sortState xmlns:xlrd2="http://schemas.microsoft.com/office/spreadsheetml/2017/richdata2" ref="R2:S144">
    <sortCondition ref="R2:R144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2025-06-03T05:54:50Z</cp:lastPrinted>
  <dcterms:created xsi:type="dcterms:W3CDTF">2020-05-08T06:29:04Z</dcterms:created>
  <dcterms:modified xsi:type="dcterms:W3CDTF">2025-06-04T00:48:55Z</dcterms:modified>
</cp:coreProperties>
</file>