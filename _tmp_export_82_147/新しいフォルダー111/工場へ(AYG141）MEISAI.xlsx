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4C28DB16-CC54-4A5A-A1CF-9BC023EFAAE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4" l="1"/>
  <c r="G30" i="4"/>
  <c r="F30" i="4"/>
  <c r="E30" i="4"/>
  <c r="L154" i="4"/>
  <c r="L153" i="4"/>
  <c r="K153" i="4"/>
  <c r="L151" i="4"/>
  <c r="K151" i="4"/>
  <c r="L149" i="4"/>
  <c r="K149" i="4"/>
  <c r="L147" i="4"/>
  <c r="K147" i="4"/>
  <c r="L145" i="4"/>
  <c r="K145" i="4"/>
  <c r="L143" i="4"/>
  <c r="K143" i="4"/>
  <c r="L141" i="4"/>
  <c r="K141" i="4"/>
  <c r="L137" i="4"/>
  <c r="K137" i="4"/>
  <c r="K154" i="4" s="1"/>
  <c r="L135" i="4"/>
  <c r="K135" i="4"/>
  <c r="L133" i="4"/>
  <c r="K133" i="4"/>
  <c r="L117" i="4"/>
  <c r="K117" i="4"/>
  <c r="L111" i="4"/>
  <c r="K111" i="4"/>
  <c r="L100" i="4"/>
  <c r="K100" i="4"/>
  <c r="L89" i="4"/>
  <c r="K89" i="4"/>
  <c r="L83" i="4"/>
  <c r="K83" i="4"/>
  <c r="L79" i="4"/>
  <c r="K79" i="4"/>
  <c r="L52" i="4"/>
  <c r="K52" i="4"/>
  <c r="L46" i="4"/>
  <c r="K46" i="4"/>
  <c r="L38" i="4"/>
  <c r="K38" i="4"/>
  <c r="L35" i="4"/>
  <c r="K35" i="4"/>
  <c r="L32" i="4"/>
  <c r="K32" i="4"/>
  <c r="L18" i="4"/>
  <c r="K18" i="4"/>
  <c r="L16" i="4"/>
  <c r="K16" i="4"/>
  <c r="L10" i="4"/>
  <c r="K10" i="4"/>
  <c r="L4" i="4"/>
  <c r="K4" i="4"/>
  <c r="A61" i="1"/>
  <c r="U118" i="1"/>
  <c r="A241" i="1" l="1"/>
  <c r="BF1181" i="3"/>
  <c r="BD1181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D1463" i="3"/>
  <c r="CC1463" i="3"/>
  <c r="CD1458" i="3"/>
  <c r="CC1458" i="3"/>
  <c r="CD1456" i="3"/>
  <c r="CC1456" i="3"/>
  <c r="CD1442" i="3"/>
  <c r="CC1442" i="3"/>
  <c r="CD1424" i="3"/>
  <c r="CC1424" i="3"/>
  <c r="CD1413" i="3"/>
  <c r="CC1413" i="3"/>
  <c r="CD1379" i="3"/>
  <c r="CC1379" i="3"/>
  <c r="CD1366" i="3"/>
  <c r="CC1366" i="3"/>
  <c r="CD1328" i="3"/>
  <c r="CC1328" i="3"/>
  <c r="CD1319" i="3"/>
  <c r="CC1319" i="3"/>
  <c r="CD1305" i="3"/>
  <c r="CC1305" i="3"/>
  <c r="CD1272" i="3"/>
  <c r="CC1272" i="3"/>
  <c r="CD1219" i="3"/>
  <c r="CC1219" i="3"/>
  <c r="CD1207" i="3"/>
  <c r="CC1207" i="3"/>
  <c r="CD1184" i="3"/>
  <c r="CC1184" i="3"/>
  <c r="CD1169" i="3"/>
  <c r="CC1169" i="3"/>
  <c r="CD1145" i="3"/>
  <c r="CC1145" i="3"/>
  <c r="CD1127" i="3"/>
  <c r="CC1127" i="3"/>
  <c r="CD1107" i="3"/>
  <c r="CC1107" i="3"/>
  <c r="CD1093" i="3"/>
  <c r="CC1093" i="3"/>
  <c r="CD1084" i="3"/>
  <c r="CC1084" i="3"/>
  <c r="CD1010" i="3"/>
  <c r="CC1010" i="3"/>
  <c r="B61" i="1"/>
  <c r="A151" i="1"/>
  <c r="AB43" i="1"/>
  <c r="CC1464" i="3" l="1"/>
  <c r="CD146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I88" i="1"/>
  <c r="H88" i="1"/>
  <c r="G88" i="1"/>
  <c r="C88" i="1"/>
  <c r="H59" i="1"/>
  <c r="S58" i="1"/>
  <c r="R58" i="1"/>
  <c r="Q58" i="1"/>
  <c r="P58" i="1"/>
  <c r="O58" i="1"/>
  <c r="N58" i="1"/>
  <c r="M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<sst xmlns="http://schemas.openxmlformats.org/spreadsheetml/2006/main" count="2659" uniqueCount="364">
  <si>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</si>
  <si>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</si>
  <si>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</si>
  <si>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</si>
  <si>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</si>
  <si>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</si>
  <si>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</si>
  <si>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</si>
  <si>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</si>
  <si>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</si>
  <si>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</si>
  <si>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</si>
  <si>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</si>
  <si>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</si>
  <si>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</si>
  <si>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</si>
  <si>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</si>
  <si>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</si>
  <si>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</si>
  <si>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</si>
  <si>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</si>
  <si>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</si>
  <si>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</si>
  <si>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</si>
  <si>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</si>
  <si>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</si>
  <si>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</si>
  <si>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</si>
  <si>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</si>
  <si>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</si>
  <si>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</si>
  <si>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</si>
  <si>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</si>
  <si>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</si>
  <si>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</si>
  <si>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</si>
  <si>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</si>
  <si>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</si>
  <si>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</si>
  <si>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</si>
  <si>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</si>
  <si>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</si>
  <si>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</si>
  <si>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</si>
  <si>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</si>
  <si>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</si>
  <si>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</si>
  <si>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</si>
  <si>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</si>
  <si>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</si>
  <si>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</si>
  <si>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</si>
  <si>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</si>
  <si>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</si>
  <si>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</si>
  <si>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</si>
  <si>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</si>
  <si>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</si>
  <si>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</si>
  <si>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</si>
  <si>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</si>
  <si>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</si>
  <si>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</si>
  <si>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</si>
  <si>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</si>
  <si>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</si>
  <si>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</si>
  <si>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</si>
  <si>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</si>
  <si>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</si>
  <si>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</si>
  <si>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</si>
  <si>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</si>
  <si>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</si>
  <si>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</si>
  <si>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</si>
  <si>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</si>
  <si>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</si>
  <si>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</si>
  <si>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</si>
  <si>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</si>
  <si>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</si>
  <si>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</si>
  <si>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</si>
  <si>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</si>
  <si>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</si>
  <si>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</si>
  <si>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</si>
  <si>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</si>
  <si>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</si>
  <si>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</si>
  <si>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</si>
  <si>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</si>
  <si>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</si>
  <si>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</si>
  <si>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</si>
  <si>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</si>
  <si>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</si>
  <si>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</si>
  <si>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</si>
  <si>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</si>
  <si>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</si>
  <si>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</si>
  <si>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</si>
  <si>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</si>
  <si>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</si>
  <si>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</si>
  <si>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</si>
  <si>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</si>
  <si>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</si>
  <si>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</si>
  <si>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</si>
  <si>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</si>
  <si>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</si>
  <si>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</si>
  <si>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</si>
  <si>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</si>
  <si>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</si>
  <si>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</si>
  <si>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</si>
  <si>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</si>
  <si>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</si>
  <si>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</si>
  <si>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</si>
  <si>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</si>
  <si>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</si>
  <si>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</si>
  <si>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</si>
  <si>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</si>
  <si>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</si>
  <si>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</si>
  <si>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</si>
  <si>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</si>
  <si>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</si>
  <si>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</si>
  <si>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</si>
  <si>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</si>
  <si>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</si>
  <si>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</si>
  <si>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</si>
  <si>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</si>
  <si>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</si>
  <si>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</si>
  <si>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</si>
  <si>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</si>
  <si>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</si>
  <si>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</si>
  <si>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</si>
  <si>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</si>
  <si>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</si>
  <si>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</si>
  <si>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</si>
  <si>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</si>
  <si>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</si>
  <si>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</si>
  <si>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</si>
  <si>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</si>
  <si>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</si>
  <si>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</si>
  <si>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</si>
  <si>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</si>
  <si>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</si>
  <si>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</si>
  <si>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</si>
  <si>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</si>
  <si>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</si>
  <si>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</si>
  <si>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</si>
  <si>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</si>
  <si>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</si>
  <si>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</si>
  <si>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</si>
  <si>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</si>
  <si>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</si>
  <si>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</si>
  <si>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</si>
  <si>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</si>
  <si>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</si>
  <si>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</si>
  <si>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</si>
  <si>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</si>
  <si>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A335</t>
    <phoneticPr fontId="1"/>
  </si>
  <si>
    <t>A545</t>
    <phoneticPr fontId="1"/>
  </si>
  <si>
    <t>A328</t>
    <phoneticPr fontId="1"/>
  </si>
  <si>
    <t>M037</t>
    <phoneticPr fontId="1"/>
  </si>
  <si>
    <t>M078</t>
    <phoneticPr fontId="1"/>
  </si>
  <si>
    <t>A700</t>
    <phoneticPr fontId="1"/>
  </si>
  <si>
    <t>A120</t>
    <phoneticPr fontId="1"/>
  </si>
  <si>
    <t>A623</t>
    <phoneticPr fontId="1"/>
  </si>
  <si>
    <t>AYG140</t>
    <phoneticPr fontId="1"/>
  </si>
  <si>
    <t>A997</t>
    <phoneticPr fontId="1"/>
  </si>
  <si>
    <t>M079</t>
    <phoneticPr fontId="1"/>
  </si>
  <si>
    <t>A732</t>
    <phoneticPr fontId="1"/>
  </si>
  <si>
    <t>M025</t>
    <phoneticPr fontId="1"/>
  </si>
  <si>
    <t>A199</t>
    <phoneticPr fontId="1"/>
  </si>
  <si>
    <t>P</t>
    <phoneticPr fontId="1"/>
  </si>
  <si>
    <t>M074</t>
    <phoneticPr fontId="1"/>
  </si>
  <si>
    <t>A505</t>
    <phoneticPr fontId="1"/>
  </si>
  <si>
    <t>A552</t>
    <phoneticPr fontId="1"/>
  </si>
  <si>
    <t>品番</t>
    <rPh sb="0" eb="2">
      <t>ヒンバン</t>
    </rPh>
    <phoneticPr fontId="1"/>
  </si>
  <si>
    <t>05122602</t>
    <phoneticPr fontId="1"/>
  </si>
  <si>
    <t>05122603</t>
  </si>
  <si>
    <t>05122604</t>
  </si>
  <si>
    <t>A156</t>
    <phoneticPr fontId="1"/>
  </si>
  <si>
    <t>05122605</t>
  </si>
  <si>
    <t>05122607</t>
    <phoneticPr fontId="1"/>
  </si>
  <si>
    <t>05122615</t>
    <phoneticPr fontId="1"/>
  </si>
  <si>
    <t>05122616</t>
  </si>
  <si>
    <t>05122617</t>
  </si>
  <si>
    <t>05122618</t>
  </si>
  <si>
    <t>05122619</t>
  </si>
  <si>
    <t>05122620</t>
  </si>
  <si>
    <t>05122621</t>
  </si>
  <si>
    <t>05122622</t>
  </si>
  <si>
    <t>05122623</t>
  </si>
  <si>
    <t>05122624</t>
  </si>
  <si>
    <t>05132604</t>
    <phoneticPr fontId="1"/>
  </si>
  <si>
    <t>05132605</t>
    <phoneticPr fontId="1"/>
  </si>
  <si>
    <t>08040333</t>
    <phoneticPr fontId="1"/>
  </si>
  <si>
    <t>08040334</t>
    <phoneticPr fontId="1"/>
  </si>
  <si>
    <t>08040501</t>
    <phoneticPr fontId="1"/>
  </si>
  <si>
    <t>05162608</t>
    <phoneticPr fontId="1"/>
  </si>
  <si>
    <t>05162613</t>
    <phoneticPr fontId="1"/>
  </si>
  <si>
    <t>05162617</t>
    <phoneticPr fontId="1"/>
  </si>
  <si>
    <t>05162618</t>
    <phoneticPr fontId="1"/>
  </si>
  <si>
    <t>05192626</t>
    <phoneticPr fontId="1"/>
  </si>
  <si>
    <t>05192627</t>
    <phoneticPr fontId="1"/>
  </si>
  <si>
    <t>05202602</t>
    <phoneticPr fontId="1"/>
  </si>
  <si>
    <t>A250</t>
    <phoneticPr fontId="1"/>
  </si>
  <si>
    <t>05202604</t>
    <phoneticPr fontId="1"/>
  </si>
  <si>
    <t>05202605</t>
    <phoneticPr fontId="1"/>
  </si>
  <si>
    <t>05202606</t>
    <phoneticPr fontId="1"/>
  </si>
  <si>
    <t>05202607</t>
    <phoneticPr fontId="1"/>
  </si>
  <si>
    <t>05202608</t>
    <phoneticPr fontId="1"/>
  </si>
  <si>
    <t>05202609</t>
    <phoneticPr fontId="1"/>
  </si>
  <si>
    <t>A181</t>
    <phoneticPr fontId="1"/>
  </si>
  <si>
    <t>05202610</t>
    <phoneticPr fontId="1"/>
  </si>
  <si>
    <t>08040364</t>
    <phoneticPr fontId="1"/>
  </si>
  <si>
    <t>05072621</t>
    <phoneticPr fontId="1"/>
  </si>
  <si>
    <t>05072624</t>
    <phoneticPr fontId="1"/>
  </si>
  <si>
    <t>05122608</t>
    <phoneticPr fontId="1"/>
  </si>
  <si>
    <t>05122609</t>
  </si>
  <si>
    <t>05122610</t>
  </si>
  <si>
    <t>05122611</t>
  </si>
  <si>
    <t>05122613</t>
    <phoneticPr fontId="1"/>
  </si>
  <si>
    <t>05122614</t>
    <phoneticPr fontId="1"/>
  </si>
  <si>
    <t>05122633</t>
    <phoneticPr fontId="1"/>
  </si>
  <si>
    <t>A645</t>
    <phoneticPr fontId="1"/>
  </si>
  <si>
    <t>05122634</t>
  </si>
  <si>
    <t>05122635</t>
  </si>
  <si>
    <t>05132603</t>
    <phoneticPr fontId="1"/>
  </si>
  <si>
    <t>05132606</t>
    <phoneticPr fontId="1"/>
  </si>
  <si>
    <t>05142602</t>
    <phoneticPr fontId="1"/>
  </si>
  <si>
    <t>A755</t>
    <phoneticPr fontId="1"/>
  </si>
  <si>
    <t>05142619</t>
    <phoneticPr fontId="1"/>
  </si>
  <si>
    <t>N078</t>
    <phoneticPr fontId="1"/>
  </si>
  <si>
    <t>05142621</t>
    <phoneticPr fontId="1"/>
  </si>
  <si>
    <t>05192615</t>
    <phoneticPr fontId="1"/>
  </si>
  <si>
    <t>05192616</t>
  </si>
  <si>
    <t>05192617</t>
  </si>
  <si>
    <t>05192618</t>
  </si>
  <si>
    <t>05192619</t>
  </si>
  <si>
    <t>05192621</t>
    <phoneticPr fontId="1"/>
  </si>
  <si>
    <t>A336</t>
    <phoneticPr fontId="1"/>
  </si>
  <si>
    <t>05192622</t>
  </si>
  <si>
    <t>05192623</t>
  </si>
  <si>
    <t>M070</t>
    <phoneticPr fontId="1"/>
  </si>
  <si>
    <t>05192624</t>
  </si>
  <si>
    <t>05132602</t>
    <phoneticPr fontId="1"/>
  </si>
  <si>
    <t>05182601</t>
    <phoneticPr fontId="1"/>
  </si>
  <si>
    <t>05182602</t>
  </si>
  <si>
    <t>05182603</t>
  </si>
  <si>
    <t>05182604</t>
  </si>
  <si>
    <t>05182605</t>
  </si>
  <si>
    <t>05182606</t>
  </si>
  <si>
    <t>05182607</t>
  </si>
  <si>
    <t>05182608</t>
  </si>
  <si>
    <t>05182609</t>
  </si>
  <si>
    <t>05182610</t>
  </si>
  <si>
    <t>05182611</t>
  </si>
  <si>
    <t>05182614</t>
    <phoneticPr fontId="1"/>
  </si>
  <si>
    <t>05182615</t>
  </si>
  <si>
    <t>05182616</t>
  </si>
  <si>
    <t>A611</t>
    <phoneticPr fontId="1"/>
  </si>
  <si>
    <t>05182617</t>
  </si>
  <si>
    <t>05192620</t>
    <phoneticPr fontId="1"/>
  </si>
  <si>
    <t>05152608</t>
    <phoneticPr fontId="1"/>
  </si>
  <si>
    <t>05152609</t>
  </si>
  <si>
    <t>05152610</t>
  </si>
  <si>
    <t>05152611</t>
  </si>
  <si>
    <t>05152612</t>
  </si>
  <si>
    <t>05162602</t>
    <phoneticPr fontId="1"/>
  </si>
  <si>
    <t>05162607</t>
    <phoneticPr fontId="1"/>
  </si>
  <si>
    <t>05162609</t>
    <phoneticPr fontId="1"/>
  </si>
  <si>
    <t>05162611</t>
    <phoneticPr fontId="1"/>
  </si>
  <si>
    <t>05162612</t>
    <phoneticPr fontId="1"/>
  </si>
  <si>
    <t>05162615</t>
    <phoneticPr fontId="1"/>
  </si>
  <si>
    <t>05162616</t>
  </si>
  <si>
    <t>05142603</t>
    <phoneticPr fontId="1"/>
  </si>
  <si>
    <t>05142604</t>
  </si>
  <si>
    <t>05142605</t>
  </si>
  <si>
    <t>05142606</t>
  </si>
  <si>
    <t>05142607</t>
  </si>
  <si>
    <t>05142608</t>
  </si>
  <si>
    <t>05142609</t>
  </si>
  <si>
    <t>05142610</t>
  </si>
  <si>
    <t>05142611</t>
  </si>
  <si>
    <t>05142612</t>
  </si>
  <si>
    <t>05142613</t>
  </si>
  <si>
    <t>05152601</t>
    <phoneticPr fontId="1"/>
  </si>
  <si>
    <t>05152602</t>
  </si>
  <si>
    <t>05152603</t>
  </si>
  <si>
    <t>05152604</t>
  </si>
  <si>
    <t>05152605</t>
  </si>
  <si>
    <t>05152606</t>
  </si>
  <si>
    <t>A501</t>
    <phoneticPr fontId="1"/>
  </si>
  <si>
    <t>05152607</t>
  </si>
  <si>
    <t>08030666</t>
    <phoneticPr fontId="1"/>
  </si>
  <si>
    <t>08030667</t>
    <phoneticPr fontId="1"/>
  </si>
  <si>
    <t>05072613</t>
    <phoneticPr fontId="1"/>
  </si>
  <si>
    <t>05072614</t>
    <phoneticPr fontId="1"/>
  </si>
  <si>
    <t>05072622</t>
    <phoneticPr fontId="1"/>
  </si>
  <si>
    <t>05072623</t>
    <phoneticPr fontId="1"/>
  </si>
  <si>
    <t>05082604</t>
    <phoneticPr fontId="1"/>
  </si>
  <si>
    <t>05082605</t>
    <phoneticPr fontId="1"/>
  </si>
  <si>
    <t>05082608</t>
    <phoneticPr fontId="1"/>
  </si>
  <si>
    <t>05082609</t>
    <phoneticPr fontId="1"/>
  </si>
  <si>
    <t>05082639</t>
    <phoneticPr fontId="1"/>
  </si>
  <si>
    <t>05092616</t>
    <phoneticPr fontId="1"/>
  </si>
  <si>
    <t>05092617</t>
    <phoneticPr fontId="1"/>
  </si>
  <si>
    <t>05092657</t>
    <phoneticPr fontId="1"/>
  </si>
  <si>
    <t>05092658</t>
    <phoneticPr fontId="1"/>
  </si>
  <si>
    <t>05092659</t>
    <phoneticPr fontId="1"/>
  </si>
  <si>
    <t>05142617</t>
    <phoneticPr fontId="1"/>
  </si>
  <si>
    <t>C</t>
    <phoneticPr fontId="1"/>
  </si>
  <si>
    <t>AYG141</t>
    <phoneticPr fontId="1"/>
  </si>
  <si>
    <t>08040174</t>
    <phoneticPr fontId="1"/>
  </si>
  <si>
    <t>08040173</t>
    <phoneticPr fontId="1"/>
  </si>
  <si>
    <t>品名</t>
    <rPh sb="0" eb="1">
      <t>ヒン</t>
    </rPh>
    <rPh sb="1" eb="2">
      <t>メイ</t>
    </rPh>
    <phoneticPr fontId="1"/>
  </si>
  <si>
    <t>2026/5/29 個数</t>
  </si>
  <si>
    <t>2026/6/8 個数</t>
  </si>
  <si>
    <t>2026/6/10 個数</t>
  </si>
  <si>
    <t>2026/6/13 個数</t>
  </si>
  <si>
    <t>2026/6/15 個数</t>
  </si>
  <si>
    <t>2026/6/16 個数</t>
  </si>
  <si>
    <t>2026/6/17 個数</t>
  </si>
  <si>
    <t>2026/6/18 個数</t>
  </si>
  <si>
    <t>2026/6/20 個数</t>
  </si>
  <si>
    <t>2026/6/21 個数</t>
  </si>
  <si>
    <t>2026/6/22 個数</t>
  </si>
  <si>
    <t>2026/6/23 個数</t>
  </si>
  <si>
    <t>2026/6/24 個数</t>
  </si>
  <si>
    <t>2026/6/26 個数</t>
  </si>
  <si>
    <t>2026/6/27 個数</t>
  </si>
  <si>
    <t>2026/6/28 個数</t>
  </si>
  <si>
    <t>2026/6/29 個数</t>
  </si>
  <si>
    <t>2026/6/30 個数</t>
  </si>
  <si>
    <t>2026/7/1 個数</t>
  </si>
  <si>
    <t>2026/7/3 個数</t>
  </si>
  <si>
    <t>2026/7/8 個数</t>
  </si>
  <si>
    <t>2026/7/10 個数</t>
  </si>
  <si>
    <t>2026/7/20 個数</t>
  </si>
  <si>
    <t>2026/7/29 個数</t>
  </si>
  <si>
    <t>納期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</si>
</sst>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78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49" fontId="7" fillId="3" borderId="0" xfId="0" applyNumberFormat="1" applyFont="1" applyFill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14" fontId="7" fillId="3" borderId="0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13" xfId="0" applyBorder="1">
      <alignment vertical="center"/>
    </xf>
    <xf numFmtId="0" fontId="7" fillId="3" borderId="0" xfId="0" applyFont="1" applyFill="1" applyBorder="1" applyAlignment="1" applyProtection="1">
      <alignment horizontal="center" vertical="center" shrinkToFit="1"/>
      <protection locked="0" hidden="1"/>
    </xf>
    <xf numFmtId="0" fontId="0" fillId="0" borderId="7" xfId="0" applyBorder="1">
      <alignment vertical="center"/>
    </xf>
    <xf numFmtId="0" fontId="7" fillId="3" borderId="0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94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56" fontId="9" fillId="0" borderId="0" xfId="0" applyNumberFormat="1" applyFont="1" applyBorder="1">
      <alignment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opLeftCell="A20" zoomScale="106" zoomScaleNormal="106" workbookViewId="0">
      <selection activeCell="T230" sqref="T230:T231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335</v>
      </c>
      <c r="B1" s="24">
        <v>46163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48</v>
      </c>
      <c r="L2" s="9" t="s">
        <v>49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5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2">
        <v>1</v>
      </c>
      <c r="B3" s="142">
        <v>23</v>
      </c>
      <c r="C3" s="85" t="s">
        <v>200</v>
      </c>
      <c r="D3" s="109" t="s">
        <v>187</v>
      </c>
      <c r="E3" s="15" t="s">
        <v>37</v>
      </c>
      <c r="F3" s="14"/>
      <c r="G3" s="12" t="s">
        <v>178</v>
      </c>
      <c r="H3" s="13" t="s">
        <v>147</v>
      </c>
      <c r="I3" s="13"/>
      <c r="J3" s="13"/>
      <c r="K3" s="13"/>
      <c r="L3" s="13"/>
      <c r="M3" s="13">
        <v>1</v>
      </c>
      <c r="N3" s="13">
        <v>1</v>
      </c>
      <c r="O3" s="13"/>
      <c r="P3" s="13"/>
      <c r="Q3" s="13"/>
      <c r="R3" s="13"/>
      <c r="S3" s="13"/>
      <c r="T3" s="25">
        <v>46188</v>
      </c>
      <c r="U3" s="13" t="s">
        <v>147</v>
      </c>
      <c r="V3">
        <v>1</v>
      </c>
      <c r="X3" s="51" t="s">
        <v>106</v>
      </c>
      <c r="Y3" s="52">
        <f>COUNTIF(U3:U27,"K")</f>
        <v>7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3"/>
      <c r="B4" s="143"/>
      <c r="C4" s="85" t="s">
        <v>201</v>
      </c>
      <c r="D4" s="109" t="s">
        <v>187</v>
      </c>
      <c r="E4" s="15" t="s">
        <v>40</v>
      </c>
      <c r="F4" s="16"/>
      <c r="G4" s="12" t="s">
        <v>195</v>
      </c>
      <c r="H4" s="15"/>
      <c r="I4" s="13"/>
      <c r="J4" s="13"/>
      <c r="K4" s="15"/>
      <c r="L4" s="17"/>
      <c r="M4" s="17"/>
      <c r="N4" s="13">
        <v>1</v>
      </c>
      <c r="O4" s="17">
        <v>1</v>
      </c>
      <c r="P4" s="17"/>
      <c r="Q4" s="17"/>
      <c r="R4" s="17">
        <v>1</v>
      </c>
      <c r="S4" s="15"/>
      <c r="T4" s="25">
        <v>46188</v>
      </c>
      <c r="U4" s="13" t="s">
        <v>148</v>
      </c>
      <c r="V4">
        <v>2</v>
      </c>
      <c r="X4" s="51" t="s">
        <v>107</v>
      </c>
      <c r="Y4" s="52">
        <f>COUNTIF(U3:U27,"R")</f>
        <v>4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3"/>
      <c r="B5" s="143"/>
      <c r="C5" s="85" t="s">
        <v>202</v>
      </c>
      <c r="D5" s="109" t="s">
        <v>203</v>
      </c>
      <c r="E5" s="15" t="s">
        <v>37</v>
      </c>
      <c r="F5" s="16"/>
      <c r="G5" s="12" t="s">
        <v>178</v>
      </c>
      <c r="H5" s="13"/>
      <c r="I5" s="13"/>
      <c r="J5" s="13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46188</v>
      </c>
      <c r="U5" s="13" t="s">
        <v>146</v>
      </c>
      <c r="V5">
        <v>3</v>
      </c>
      <c r="X5" s="53" t="s">
        <v>108</v>
      </c>
      <c r="Y5" s="54">
        <f>COUNTIF(U3:U27,"J")</f>
        <v>6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3"/>
      <c r="B6" s="143"/>
      <c r="C6" s="85" t="s">
        <v>204</v>
      </c>
      <c r="D6" s="109" t="s">
        <v>203</v>
      </c>
      <c r="E6" s="15" t="s">
        <v>37</v>
      </c>
      <c r="F6" s="16"/>
      <c r="G6" s="12" t="s">
        <v>178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46188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3"/>
      <c r="B7" s="143"/>
      <c r="C7" s="85" t="s">
        <v>205</v>
      </c>
      <c r="D7" s="109" t="s">
        <v>184</v>
      </c>
      <c r="E7" s="15" t="s">
        <v>36</v>
      </c>
      <c r="F7" s="16"/>
      <c r="G7" s="12" t="s">
        <v>178</v>
      </c>
      <c r="H7" s="15"/>
      <c r="I7" s="13"/>
      <c r="J7" s="13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46201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3"/>
      <c r="B8" s="143"/>
      <c r="C8" s="85" t="s">
        <v>206</v>
      </c>
      <c r="D8" s="109" t="s">
        <v>188</v>
      </c>
      <c r="E8" s="15" t="s">
        <v>39</v>
      </c>
      <c r="F8" s="16"/>
      <c r="G8" s="12" t="s">
        <v>178</v>
      </c>
      <c r="H8" s="13"/>
      <c r="I8" s="13"/>
      <c r="J8" s="13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46188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3"/>
      <c r="B9" s="143"/>
      <c r="C9" s="85" t="s">
        <v>207</v>
      </c>
      <c r="D9" s="109" t="s">
        <v>188</v>
      </c>
      <c r="E9" s="15" t="s">
        <v>133</v>
      </c>
      <c r="F9" s="16"/>
      <c r="G9" s="12" t="s">
        <v>178</v>
      </c>
      <c r="H9" s="15"/>
      <c r="I9" s="13"/>
      <c r="J9" s="13"/>
      <c r="K9" s="15"/>
      <c r="L9" s="17"/>
      <c r="M9" s="17"/>
      <c r="N9" s="13"/>
      <c r="O9" s="17">
        <v>1</v>
      </c>
      <c r="P9" s="17">
        <v>1</v>
      </c>
      <c r="Q9" s="17">
        <v>1</v>
      </c>
      <c r="R9" s="17">
        <v>1</v>
      </c>
      <c r="S9" s="15"/>
      <c r="T9" s="25">
        <v>46188</v>
      </c>
      <c r="U9" s="13" t="s">
        <v>148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3"/>
      <c r="B10" s="143"/>
      <c r="C10" s="85" t="s">
        <v>208</v>
      </c>
      <c r="D10" s="109" t="s">
        <v>188</v>
      </c>
      <c r="E10" s="15" t="s">
        <v>39</v>
      </c>
      <c r="F10" s="16"/>
      <c r="G10" s="12" t="s">
        <v>178</v>
      </c>
      <c r="H10" s="15"/>
      <c r="I10" s="13"/>
      <c r="J10" s="13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46188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3"/>
      <c r="B11" s="143"/>
      <c r="C11" s="85" t="s">
        <v>209</v>
      </c>
      <c r="D11" s="109" t="s">
        <v>188</v>
      </c>
      <c r="E11" s="15" t="s">
        <v>133</v>
      </c>
      <c r="F11" s="16"/>
      <c r="G11" s="12" t="s">
        <v>178</v>
      </c>
      <c r="H11" s="15"/>
      <c r="I11" s="13"/>
      <c r="J11" s="13"/>
      <c r="K11" s="15"/>
      <c r="L11" s="17"/>
      <c r="M11" s="17"/>
      <c r="N11" s="13"/>
      <c r="O11" s="17">
        <v>1</v>
      </c>
      <c r="P11" s="17">
        <v>1</v>
      </c>
      <c r="Q11" s="17">
        <v>1</v>
      </c>
      <c r="R11" s="17">
        <v>1</v>
      </c>
      <c r="S11" s="15"/>
      <c r="T11" s="25">
        <v>46188</v>
      </c>
      <c r="U11" s="13" t="s">
        <v>148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3"/>
      <c r="B12" s="143"/>
      <c r="C12" s="85" t="s">
        <v>210</v>
      </c>
      <c r="D12" s="109" t="s">
        <v>188</v>
      </c>
      <c r="E12" s="15" t="s">
        <v>133</v>
      </c>
      <c r="F12" s="16"/>
      <c r="G12" s="12" t="s">
        <v>178</v>
      </c>
      <c r="H12" s="15"/>
      <c r="I12" s="15"/>
      <c r="J12" s="13"/>
      <c r="K12" s="15"/>
      <c r="L12" s="17"/>
      <c r="M12" s="17"/>
      <c r="N12" s="17"/>
      <c r="O12" s="17">
        <v>1</v>
      </c>
      <c r="P12" s="17">
        <v>1</v>
      </c>
      <c r="Q12" s="17">
        <v>1</v>
      </c>
      <c r="R12" s="17">
        <v>1</v>
      </c>
      <c r="S12" s="15"/>
      <c r="T12" s="25">
        <v>46188</v>
      </c>
      <c r="U12" s="13" t="s">
        <v>148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3"/>
      <c r="B13" s="143"/>
      <c r="C13" s="85" t="s">
        <v>211</v>
      </c>
      <c r="D13" s="109" t="s">
        <v>188</v>
      </c>
      <c r="E13" s="15" t="s">
        <v>39</v>
      </c>
      <c r="F13" s="16"/>
      <c r="G13" s="12" t="s">
        <v>178</v>
      </c>
      <c r="H13" s="15"/>
      <c r="I13" s="15"/>
      <c r="J13" s="13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46188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3"/>
      <c r="B14" s="143"/>
      <c r="C14" s="85" t="s">
        <v>212</v>
      </c>
      <c r="D14" s="109" t="s">
        <v>188</v>
      </c>
      <c r="E14" s="15" t="s">
        <v>133</v>
      </c>
      <c r="F14" s="16"/>
      <c r="G14" s="12" t="s">
        <v>178</v>
      </c>
      <c r="H14" s="15"/>
      <c r="I14" s="15"/>
      <c r="J14" s="13"/>
      <c r="K14" s="15"/>
      <c r="L14" s="17"/>
      <c r="M14" s="17"/>
      <c r="N14" s="17"/>
      <c r="O14" s="17">
        <v>1</v>
      </c>
      <c r="P14" s="17">
        <v>1</v>
      </c>
      <c r="Q14" s="17">
        <v>1</v>
      </c>
      <c r="R14" s="17">
        <v>1</v>
      </c>
      <c r="S14" s="15"/>
      <c r="T14" s="25">
        <v>46186</v>
      </c>
      <c r="U14" s="13" t="s">
        <v>148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3"/>
      <c r="B15" s="143"/>
      <c r="C15" s="85" t="s">
        <v>213</v>
      </c>
      <c r="D15" s="109" t="s">
        <v>188</v>
      </c>
      <c r="E15" s="15" t="s">
        <v>39</v>
      </c>
      <c r="F15" s="16"/>
      <c r="G15" s="12" t="s">
        <v>178</v>
      </c>
      <c r="H15" s="15"/>
      <c r="I15" s="15"/>
      <c r="J15" s="13">
        <v>1</v>
      </c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46188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3"/>
      <c r="B16" s="143"/>
      <c r="C16" s="85" t="s">
        <v>214</v>
      </c>
      <c r="D16" s="109" t="s">
        <v>188</v>
      </c>
      <c r="E16" s="15" t="s">
        <v>133</v>
      </c>
      <c r="F16" s="16"/>
      <c r="G16" s="12" t="s">
        <v>178</v>
      </c>
      <c r="H16" s="15"/>
      <c r="I16" s="15"/>
      <c r="J16" s="13"/>
      <c r="K16" s="15"/>
      <c r="L16" s="17"/>
      <c r="M16" s="17"/>
      <c r="N16" s="17"/>
      <c r="O16" s="17">
        <v>1</v>
      </c>
      <c r="P16" s="17">
        <v>1</v>
      </c>
      <c r="Q16" s="17">
        <v>1</v>
      </c>
      <c r="R16" s="17">
        <v>1</v>
      </c>
      <c r="S16" s="15"/>
      <c r="T16" s="25">
        <v>46188</v>
      </c>
      <c r="U16" s="13" t="s">
        <v>148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3"/>
      <c r="B17" s="143"/>
      <c r="C17" s="85" t="s">
        <v>215</v>
      </c>
      <c r="D17" s="109" t="s">
        <v>188</v>
      </c>
      <c r="E17" s="15" t="s">
        <v>39</v>
      </c>
      <c r="F17" s="16"/>
      <c r="G17" s="12" t="s">
        <v>178</v>
      </c>
      <c r="H17" s="15"/>
      <c r="I17" s="15"/>
      <c r="J17" s="13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46188</v>
      </c>
      <c r="U17" s="13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3"/>
      <c r="B18" s="143"/>
      <c r="C18" s="85" t="s">
        <v>216</v>
      </c>
      <c r="D18" s="110" t="s">
        <v>179</v>
      </c>
      <c r="E18" s="18" t="s">
        <v>36</v>
      </c>
      <c r="F18" s="16"/>
      <c r="G18" s="18" t="s">
        <v>178</v>
      </c>
      <c r="H18" s="15"/>
      <c r="I18" s="15"/>
      <c r="J18" s="18"/>
      <c r="K18" s="15"/>
      <c r="L18" s="19"/>
      <c r="M18" s="19">
        <v>1</v>
      </c>
      <c r="N18" s="19">
        <v>1</v>
      </c>
      <c r="O18" s="19"/>
      <c r="P18" s="19"/>
      <c r="Q18" s="19"/>
      <c r="R18" s="19"/>
      <c r="S18" s="15"/>
      <c r="T18" s="25">
        <v>46195</v>
      </c>
      <c r="U18" s="15" t="s">
        <v>147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3"/>
      <c r="B19" s="143"/>
      <c r="C19" s="85" t="s">
        <v>217</v>
      </c>
      <c r="D19" s="110" t="s">
        <v>179</v>
      </c>
      <c r="E19" s="18" t="s">
        <v>36</v>
      </c>
      <c r="F19" s="16"/>
      <c r="G19" s="18" t="s">
        <v>178</v>
      </c>
      <c r="H19" s="15"/>
      <c r="I19" s="15"/>
      <c r="J19" s="18"/>
      <c r="K19" s="15"/>
      <c r="L19" s="19"/>
      <c r="M19" s="19">
        <v>1</v>
      </c>
      <c r="N19" s="19">
        <v>1</v>
      </c>
      <c r="O19" s="19"/>
      <c r="P19" s="19"/>
      <c r="Q19" s="19">
        <v>1</v>
      </c>
      <c r="R19" s="19"/>
      <c r="S19" s="15"/>
      <c r="T19" s="30">
        <v>46194</v>
      </c>
      <c r="U19" s="15" t="s">
        <v>147</v>
      </c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3"/>
      <c r="B20" s="14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3"/>
      <c r="B21" s="14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3"/>
      <c r="B22" s="14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3"/>
      <c r="B23" s="14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3"/>
      <c r="B24" s="14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3"/>
      <c r="B25" s="14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234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3"/>
      <c r="B26" s="14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4"/>
      <c r="B27" s="14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126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17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8</v>
      </c>
      <c r="K28" s="29"/>
      <c r="L28" s="29"/>
      <c r="M28" s="29">
        <f t="shared" si="0"/>
        <v>3</v>
      </c>
      <c r="N28" s="29">
        <f t="shared" si="0"/>
        <v>4</v>
      </c>
      <c r="O28" s="29">
        <f t="shared" si="0"/>
        <v>6</v>
      </c>
      <c r="P28" s="29">
        <f t="shared" si="0"/>
        <v>5</v>
      </c>
      <c r="Q28" s="29">
        <f t="shared" si="0"/>
        <v>6</v>
      </c>
      <c r="R28" s="29">
        <f t="shared" si="0"/>
        <v>6</v>
      </c>
      <c r="S28" s="29">
        <f t="shared" si="0"/>
        <v>0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1</v>
      </c>
      <c r="H29" s="29">
        <f>COUNTIF(H3:H27,"R")</f>
        <v>1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38</v>
      </c>
      <c r="T29" s="29"/>
      <c r="U29" s="29"/>
      <c r="X29" t="s">
        <v>136</v>
      </c>
      <c r="AA29" s="149"/>
      <c r="AB29" s="150"/>
      <c r="AC29" s="163">
        <f>SUM(AC28:AE28)</f>
        <v>0</v>
      </c>
      <c r="AD29" s="164"/>
      <c r="AE29" s="16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AYG141</v>
      </c>
      <c r="B31" s="24">
        <f>B1</f>
        <v>46163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/>
      <c r="L31" s="2"/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48</v>
      </c>
      <c r="L32" s="9" t="s">
        <v>49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51"/>
      <c r="AA32" s="158" t="s">
        <v>47</v>
      </c>
      <c r="AB32" s="159"/>
    </row>
    <row r="33" spans="1:29" ht="19.5" thickTop="1" x14ac:dyDescent="0.4">
      <c r="A33" s="152">
        <v>2</v>
      </c>
      <c r="B33" s="142">
        <v>20</v>
      </c>
      <c r="C33" s="85" t="s">
        <v>317</v>
      </c>
      <c r="D33" s="109" t="s">
        <v>247</v>
      </c>
      <c r="E33" s="15" t="s">
        <v>39</v>
      </c>
      <c r="F33" s="14"/>
      <c r="G33" s="12" t="s">
        <v>178</v>
      </c>
      <c r="H33" s="13"/>
      <c r="I33" s="13"/>
      <c r="J33" s="13">
        <v>1</v>
      </c>
      <c r="K33" s="13"/>
      <c r="L33" s="13"/>
      <c r="M33" s="13"/>
      <c r="N33" s="13"/>
      <c r="O33" s="13"/>
      <c r="P33" s="13"/>
      <c r="Q33" s="13"/>
      <c r="R33" s="13"/>
      <c r="S33" s="13"/>
      <c r="T33" s="25">
        <v>46171</v>
      </c>
      <c r="U33" s="13" t="s">
        <v>146</v>
      </c>
      <c r="V33">
        <v>1</v>
      </c>
      <c r="X33" s="51" t="s">
        <v>106</v>
      </c>
      <c r="Y33" s="52">
        <f>COUNTIF(U33:U57,"K")</f>
        <v>3</v>
      </c>
      <c r="AA33" s="31" t="s">
        <v>46</v>
      </c>
      <c r="AB33" s="32">
        <f>J28+J178+J148+J118+J208+J238+J268+J298+J328+J358</f>
        <v>51</v>
      </c>
    </row>
    <row r="34" spans="1:29" x14ac:dyDescent="0.4">
      <c r="A34" s="153"/>
      <c r="B34" s="143"/>
      <c r="C34" s="85" t="s">
        <v>318</v>
      </c>
      <c r="D34" s="109" t="s">
        <v>247</v>
      </c>
      <c r="E34" s="15" t="s">
        <v>133</v>
      </c>
      <c r="F34" s="16"/>
      <c r="G34" s="12" t="s">
        <v>178</v>
      </c>
      <c r="H34" s="15"/>
      <c r="I34" s="13"/>
      <c r="J34" s="15">
        <v>1</v>
      </c>
      <c r="K34" s="15"/>
      <c r="L34" s="17"/>
      <c r="M34" s="17"/>
      <c r="N34" s="13"/>
      <c r="O34" s="17"/>
      <c r="P34" s="17">
        <v>1</v>
      </c>
      <c r="Q34" s="17"/>
      <c r="R34" s="17">
        <v>1</v>
      </c>
      <c r="S34" s="15"/>
      <c r="T34" s="25">
        <v>46171</v>
      </c>
      <c r="U34" s="13" t="s">
        <v>148</v>
      </c>
      <c r="V34">
        <v>2</v>
      </c>
      <c r="X34" s="51" t="s">
        <v>107</v>
      </c>
      <c r="Y34" s="52">
        <f>COUNTIF(U33:U57,"R")</f>
        <v>12</v>
      </c>
      <c r="AA34" s="31" t="s">
        <v>48</v>
      </c>
      <c r="AB34" s="32">
        <f>K28+K178+K148+K118+K208+K238+K268+K298+K328+K358</f>
        <v>13</v>
      </c>
    </row>
    <row r="35" spans="1:29" ht="19.5" thickBot="1" x14ac:dyDescent="0.45">
      <c r="A35" s="153"/>
      <c r="B35" s="143"/>
      <c r="C35" s="85" t="s">
        <v>319</v>
      </c>
      <c r="D35" s="109" t="s">
        <v>179</v>
      </c>
      <c r="E35" s="15" t="s">
        <v>37</v>
      </c>
      <c r="F35" s="16"/>
      <c r="G35" s="12" t="s">
        <v>178</v>
      </c>
      <c r="H35" s="13"/>
      <c r="I35" s="13"/>
      <c r="J35" s="13"/>
      <c r="K35" s="15"/>
      <c r="L35" s="13"/>
      <c r="M35" s="17">
        <v>1</v>
      </c>
      <c r="N35" s="17">
        <v>1</v>
      </c>
      <c r="O35" s="17"/>
      <c r="P35" s="17"/>
      <c r="Q35" s="17"/>
      <c r="R35" s="17"/>
      <c r="S35" s="15"/>
      <c r="T35" s="25">
        <v>46181</v>
      </c>
      <c r="U35" s="13" t="s">
        <v>147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0</v>
      </c>
    </row>
    <row r="36" spans="1:29" x14ac:dyDescent="0.4">
      <c r="A36" s="153"/>
      <c r="B36" s="143"/>
      <c r="C36" s="85" t="s">
        <v>320</v>
      </c>
      <c r="D36" s="109" t="s">
        <v>179</v>
      </c>
      <c r="E36" s="15" t="s">
        <v>37</v>
      </c>
      <c r="F36" s="16"/>
      <c r="G36" s="12" t="s">
        <v>178</v>
      </c>
      <c r="H36" s="15"/>
      <c r="I36" s="13"/>
      <c r="J36" s="13"/>
      <c r="K36" s="15"/>
      <c r="L36" s="13"/>
      <c r="M36" s="17">
        <v>1</v>
      </c>
      <c r="N36" s="17">
        <v>1</v>
      </c>
      <c r="O36" s="17"/>
      <c r="P36" s="17"/>
      <c r="Q36" s="17">
        <v>1</v>
      </c>
      <c r="R36" s="17"/>
      <c r="S36" s="15"/>
      <c r="T36" s="25">
        <v>46181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16</v>
      </c>
    </row>
    <row r="37" spans="1:29" x14ac:dyDescent="0.4">
      <c r="A37" s="153"/>
      <c r="B37" s="143"/>
      <c r="C37" s="85" t="s">
        <v>321</v>
      </c>
      <c r="D37" s="109" t="s">
        <v>197</v>
      </c>
      <c r="E37" s="15" t="s">
        <v>38</v>
      </c>
      <c r="F37" s="16"/>
      <c r="G37" s="12" t="s">
        <v>178</v>
      </c>
      <c r="H37" s="15"/>
      <c r="I37" s="13"/>
      <c r="J37" s="13">
        <v>1</v>
      </c>
      <c r="K37" s="15"/>
      <c r="L37" s="13"/>
      <c r="M37" s="17"/>
      <c r="N37" s="17"/>
      <c r="O37" s="17"/>
      <c r="P37" s="17"/>
      <c r="Q37" s="17"/>
      <c r="R37" s="17"/>
      <c r="S37" s="15"/>
      <c r="T37" s="25">
        <v>46193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21</v>
      </c>
    </row>
    <row r="38" spans="1:29" x14ac:dyDescent="0.4">
      <c r="A38" s="153"/>
      <c r="B38" s="143"/>
      <c r="C38" s="85" t="s">
        <v>322</v>
      </c>
      <c r="D38" s="109" t="s">
        <v>197</v>
      </c>
      <c r="E38" s="15" t="s">
        <v>38</v>
      </c>
      <c r="F38" s="16"/>
      <c r="G38" s="12" t="s">
        <v>178</v>
      </c>
      <c r="H38" s="13"/>
      <c r="I38" s="13"/>
      <c r="J38" s="13">
        <v>1</v>
      </c>
      <c r="K38" s="15"/>
      <c r="L38" s="13"/>
      <c r="M38" s="17"/>
      <c r="N38" s="17"/>
      <c r="O38" s="17"/>
      <c r="P38" s="17"/>
      <c r="Q38" s="17"/>
      <c r="R38" s="17"/>
      <c r="S38" s="15"/>
      <c r="T38" s="25">
        <v>46189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17</v>
      </c>
    </row>
    <row r="39" spans="1:29" x14ac:dyDescent="0.4">
      <c r="A39" s="153"/>
      <c r="B39" s="143"/>
      <c r="C39" s="85" t="s">
        <v>323</v>
      </c>
      <c r="D39" s="109" t="s">
        <v>184</v>
      </c>
      <c r="E39" s="15" t="s">
        <v>75</v>
      </c>
      <c r="F39" s="16"/>
      <c r="G39" s="12" t="s">
        <v>178</v>
      </c>
      <c r="H39" s="15"/>
      <c r="I39" s="13"/>
      <c r="J39" s="15"/>
      <c r="K39" s="15"/>
      <c r="L39" s="17"/>
      <c r="M39" s="17"/>
      <c r="N39" s="17"/>
      <c r="O39" s="17"/>
      <c r="P39" s="17"/>
      <c r="Q39" s="17"/>
      <c r="R39" s="17"/>
      <c r="S39" s="15"/>
      <c r="T39" s="25">
        <v>46191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16</v>
      </c>
    </row>
    <row r="40" spans="1:29" x14ac:dyDescent="0.4">
      <c r="A40" s="153"/>
      <c r="B40" s="143"/>
      <c r="C40" s="85" t="s">
        <v>324</v>
      </c>
      <c r="D40" s="109" t="s">
        <v>184</v>
      </c>
      <c r="E40" s="15" t="s">
        <v>36</v>
      </c>
      <c r="F40" s="16"/>
      <c r="G40" s="12" t="s">
        <v>178</v>
      </c>
      <c r="H40" s="15"/>
      <c r="I40" s="13"/>
      <c r="J40" s="15"/>
      <c r="K40" s="15"/>
      <c r="L40" s="17"/>
      <c r="M40" s="17">
        <v>1</v>
      </c>
      <c r="N40" s="17">
        <v>1</v>
      </c>
      <c r="O40" s="17"/>
      <c r="P40" s="17"/>
      <c r="Q40" s="17">
        <v>1</v>
      </c>
      <c r="R40" s="17"/>
      <c r="S40" s="15"/>
      <c r="T40" s="25">
        <v>46191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21</v>
      </c>
    </row>
    <row r="41" spans="1:29" x14ac:dyDescent="0.4">
      <c r="A41" s="153"/>
      <c r="B41" s="143"/>
      <c r="C41" s="85" t="s">
        <v>325</v>
      </c>
      <c r="D41" s="109" t="s">
        <v>184</v>
      </c>
      <c r="E41" s="15" t="s">
        <v>75</v>
      </c>
      <c r="F41" s="16"/>
      <c r="G41" s="12" t="s">
        <v>178</v>
      </c>
      <c r="H41" s="15"/>
      <c r="I41" s="13"/>
      <c r="J41" s="15"/>
      <c r="K41" s="15"/>
      <c r="L41" s="17"/>
      <c r="M41" s="17"/>
      <c r="N41" s="17"/>
      <c r="O41" s="17"/>
      <c r="P41" s="17"/>
      <c r="Q41" s="17"/>
      <c r="R41" s="17"/>
      <c r="S41" s="15"/>
      <c r="T41" s="25">
        <v>46181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11</v>
      </c>
      <c r="AC41" t="s">
        <v>123</v>
      </c>
    </row>
    <row r="42" spans="1:29" ht="19.5" thickBot="1" x14ac:dyDescent="0.45">
      <c r="A42" s="153"/>
      <c r="B42" s="143"/>
      <c r="C42" s="85" t="s">
        <v>326</v>
      </c>
      <c r="D42" s="109" t="s">
        <v>179</v>
      </c>
      <c r="E42" s="15" t="s">
        <v>75</v>
      </c>
      <c r="F42" s="16"/>
      <c r="G42" s="12" t="s">
        <v>178</v>
      </c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>
        <v>46191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3</v>
      </c>
      <c r="AC42" s="73">
        <f>SUM(AB33:AB42)</f>
        <v>169</v>
      </c>
    </row>
    <row r="43" spans="1:29" ht="19.5" thickBot="1" x14ac:dyDescent="0.45">
      <c r="A43" s="153"/>
      <c r="B43" s="143"/>
      <c r="C43" s="85" t="s">
        <v>327</v>
      </c>
      <c r="D43" s="109" t="s">
        <v>185</v>
      </c>
      <c r="E43" s="15" t="s">
        <v>37</v>
      </c>
      <c r="F43" s="16"/>
      <c r="G43" s="12" t="s">
        <v>178</v>
      </c>
      <c r="H43" s="15"/>
      <c r="I43" s="15"/>
      <c r="J43" s="15"/>
      <c r="K43" s="15"/>
      <c r="L43" s="17"/>
      <c r="M43" s="17">
        <v>1</v>
      </c>
      <c r="N43" s="17">
        <v>1</v>
      </c>
      <c r="O43" s="17"/>
      <c r="P43" s="17"/>
      <c r="Q43" s="17">
        <v>1</v>
      </c>
      <c r="R43" s="17"/>
      <c r="S43" s="15"/>
      <c r="T43" s="25">
        <v>46189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3"/>
      <c r="B44" s="143"/>
      <c r="C44" s="85" t="s">
        <v>328</v>
      </c>
      <c r="D44" s="109" t="s">
        <v>191</v>
      </c>
      <c r="E44" s="15" t="s">
        <v>36</v>
      </c>
      <c r="F44" s="16"/>
      <c r="G44" s="12" t="s">
        <v>178</v>
      </c>
      <c r="H44" s="15"/>
      <c r="I44" s="15"/>
      <c r="J44" s="15"/>
      <c r="K44" s="15"/>
      <c r="L44" s="17"/>
      <c r="M44" s="17">
        <v>1</v>
      </c>
      <c r="N44" s="17">
        <v>1</v>
      </c>
      <c r="O44" s="17"/>
      <c r="P44" s="17"/>
      <c r="Q44" s="17">
        <v>1</v>
      </c>
      <c r="R44" s="17"/>
      <c r="S44" s="15"/>
      <c r="T44" s="25">
        <v>46199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53"/>
      <c r="B45" s="143"/>
      <c r="C45" s="85" t="s">
        <v>329</v>
      </c>
      <c r="D45" s="109" t="s">
        <v>191</v>
      </c>
      <c r="E45" s="15" t="s">
        <v>40</v>
      </c>
      <c r="F45" s="16"/>
      <c r="G45" s="12" t="s">
        <v>178</v>
      </c>
      <c r="H45" s="15"/>
      <c r="I45" s="15"/>
      <c r="J45" s="15"/>
      <c r="K45" s="15"/>
      <c r="L45" s="17"/>
      <c r="M45" s="17"/>
      <c r="N45" s="17"/>
      <c r="O45" s="17">
        <v>1</v>
      </c>
      <c r="P45" s="17">
        <v>1</v>
      </c>
      <c r="Q45" s="17"/>
      <c r="R45" s="17"/>
      <c r="S45" s="15"/>
      <c r="T45" s="25">
        <v>46199</v>
      </c>
      <c r="U45" s="13" t="s">
        <v>148</v>
      </c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53"/>
      <c r="B46" s="143"/>
      <c r="C46" s="85" t="s">
        <v>330</v>
      </c>
      <c r="D46" s="109" t="s">
        <v>179</v>
      </c>
      <c r="E46" s="15" t="s">
        <v>37</v>
      </c>
      <c r="F46" s="16"/>
      <c r="G46" s="12" t="s">
        <v>178</v>
      </c>
      <c r="H46" s="15"/>
      <c r="I46" s="15"/>
      <c r="J46" s="15"/>
      <c r="K46" s="15"/>
      <c r="L46" s="17"/>
      <c r="M46" s="17">
        <v>1</v>
      </c>
      <c r="N46" s="17">
        <v>1</v>
      </c>
      <c r="O46" s="17"/>
      <c r="P46" s="17"/>
      <c r="Q46" s="17">
        <v>1</v>
      </c>
      <c r="R46" s="17"/>
      <c r="S46" s="15"/>
      <c r="T46" s="25">
        <v>46201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3"/>
      <c r="B47" s="143"/>
      <c r="C47" s="85" t="s">
        <v>331</v>
      </c>
      <c r="D47" s="109" t="s">
        <v>179</v>
      </c>
      <c r="E47" s="15" t="s">
        <v>74</v>
      </c>
      <c r="F47" s="16"/>
      <c r="G47" s="12" t="s">
        <v>178</v>
      </c>
      <c r="H47" s="15"/>
      <c r="I47" s="15"/>
      <c r="J47" s="15"/>
      <c r="K47" s="15"/>
      <c r="L47" s="17"/>
      <c r="M47" s="17">
        <v>1</v>
      </c>
      <c r="N47" s="17">
        <v>1</v>
      </c>
      <c r="O47" s="17"/>
      <c r="P47" s="17"/>
      <c r="Q47" s="17">
        <v>1</v>
      </c>
      <c r="R47" s="17"/>
      <c r="S47" s="15"/>
      <c r="T47" s="25">
        <v>46191</v>
      </c>
      <c r="U47" s="13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3"/>
      <c r="B48" s="143"/>
      <c r="C48" s="85" t="s">
        <v>332</v>
      </c>
      <c r="D48" s="110" t="s">
        <v>179</v>
      </c>
      <c r="E48" s="18" t="s">
        <v>75</v>
      </c>
      <c r="F48" s="16"/>
      <c r="G48" s="12" t="s">
        <v>178</v>
      </c>
      <c r="H48" s="15"/>
      <c r="I48" s="15"/>
      <c r="J48" s="18"/>
      <c r="K48" s="15"/>
      <c r="L48" s="19"/>
      <c r="M48" s="17"/>
      <c r="N48" s="17"/>
      <c r="O48" s="19"/>
      <c r="P48" s="19"/>
      <c r="Q48" s="17"/>
      <c r="R48" s="19"/>
      <c r="S48" s="15"/>
      <c r="T48" s="25">
        <v>46196</v>
      </c>
      <c r="U48" s="13" t="s">
        <v>147</v>
      </c>
      <c r="V48" s="73">
        <v>16</v>
      </c>
    </row>
    <row r="49" spans="1:28" x14ac:dyDescent="0.4">
      <c r="A49" s="153"/>
      <c r="B49" s="143"/>
      <c r="C49" s="85" t="s">
        <v>333</v>
      </c>
      <c r="D49" s="110" t="s">
        <v>185</v>
      </c>
      <c r="E49" s="18" t="s">
        <v>37</v>
      </c>
      <c r="F49" s="16"/>
      <c r="G49" s="12" t="s">
        <v>178</v>
      </c>
      <c r="H49" s="15"/>
      <c r="I49" s="15"/>
      <c r="J49" s="18"/>
      <c r="K49" s="15"/>
      <c r="L49" s="19"/>
      <c r="M49" s="17">
        <v>1</v>
      </c>
      <c r="N49" s="17">
        <v>1</v>
      </c>
      <c r="O49" s="19"/>
      <c r="P49" s="19"/>
      <c r="Q49" s="17">
        <v>1</v>
      </c>
      <c r="R49" s="19"/>
      <c r="S49" s="15"/>
      <c r="T49" s="30">
        <v>46199</v>
      </c>
      <c r="U49" s="13" t="s">
        <v>147</v>
      </c>
      <c r="V49">
        <v>17</v>
      </c>
      <c r="AA49" s="39" t="s">
        <v>70</v>
      </c>
      <c r="AB49" s="40">
        <f>G28+G58+G88+G118+G148+G178+G208+G238+G268+G298+G328+G358</f>
        <v>116</v>
      </c>
    </row>
    <row r="50" spans="1:28" ht="19.5" thickBot="1" x14ac:dyDescent="0.45">
      <c r="A50" s="153"/>
      <c r="B50" s="143"/>
      <c r="C50" s="85"/>
      <c r="D50" s="109"/>
      <c r="E50" s="18"/>
      <c r="F50" s="16"/>
      <c r="G50" s="12"/>
      <c r="H50" s="15"/>
      <c r="I50" s="15"/>
      <c r="J50" s="18"/>
      <c r="K50" s="15"/>
      <c r="L50" s="19"/>
      <c r="M50" s="17"/>
      <c r="N50" s="17"/>
      <c r="O50" s="19"/>
      <c r="P50" s="19"/>
      <c r="Q50" s="17"/>
      <c r="R50" s="19"/>
      <c r="S50" s="15"/>
      <c r="T50" s="25"/>
      <c r="U50" s="13"/>
      <c r="V50">
        <v>18</v>
      </c>
      <c r="AA50" s="41" t="s">
        <v>69</v>
      </c>
      <c r="AB50" s="42">
        <f>G29+G59+G89+G119+G149+G179+G209+G239+G269+G299+G329+G359</f>
        <v>9</v>
      </c>
    </row>
    <row r="51" spans="1:28" ht="19.5" thickBot="1" x14ac:dyDescent="0.45">
      <c r="A51" s="153"/>
      <c r="B51" s="143"/>
      <c r="C51" s="85"/>
      <c r="D51" s="109"/>
      <c r="E51" s="18"/>
      <c r="F51" s="16"/>
      <c r="G51" s="12"/>
      <c r="H51" s="15"/>
      <c r="I51" s="15"/>
      <c r="J51" s="18"/>
      <c r="K51" s="15"/>
      <c r="L51" s="19"/>
      <c r="M51" s="17"/>
      <c r="N51" s="17"/>
      <c r="O51" s="19"/>
      <c r="P51" s="19"/>
      <c r="Q51" s="17"/>
      <c r="R51" s="19"/>
      <c r="S51" s="15"/>
      <c r="T51" s="25"/>
      <c r="U51" s="13"/>
      <c r="V51">
        <v>19</v>
      </c>
    </row>
    <row r="52" spans="1:28" x14ac:dyDescent="0.4">
      <c r="A52" s="153"/>
      <c r="B52" s="14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0">
        <v>76</v>
      </c>
    </row>
    <row r="53" spans="1:28" ht="19.5" thickBot="1" x14ac:dyDescent="0.45">
      <c r="A53" s="153"/>
      <c r="B53" s="14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1"/>
    </row>
    <row r="54" spans="1:28" ht="19.5" thickBot="1" x14ac:dyDescent="0.45">
      <c r="A54" s="153"/>
      <c r="B54" s="14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3"/>
      <c r="B55" s="14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53"/>
      <c r="B56" s="14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54"/>
      <c r="B57" s="14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17</v>
      </c>
      <c r="D58" s="112"/>
      <c r="E58" s="29"/>
      <c r="F58" s="29" t="s">
        <v>34</v>
      </c>
      <c r="G58" s="29">
        <f>COUNTIF(G33:G57,"S")</f>
        <v>17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4</v>
      </c>
      <c r="K58" s="29"/>
      <c r="L58" s="29"/>
      <c r="M58" s="29">
        <f t="shared" si="1"/>
        <v>8</v>
      </c>
      <c r="N58" s="29">
        <f t="shared" si="1"/>
        <v>8</v>
      </c>
      <c r="O58" s="29">
        <f t="shared" si="1"/>
        <v>1</v>
      </c>
      <c r="P58" s="29">
        <f t="shared" si="1"/>
        <v>2</v>
      </c>
      <c r="Q58" s="29">
        <f t="shared" si="1"/>
        <v>7</v>
      </c>
      <c r="R58" s="29">
        <f t="shared" si="1"/>
        <v>1</v>
      </c>
      <c r="S58" s="29">
        <f t="shared" si="1"/>
        <v>0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31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AYG141</v>
      </c>
      <c r="B61" s="24">
        <f>B1</f>
        <v>46163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/>
      <c r="L61" s="2"/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48</v>
      </c>
      <c r="L62" s="9" t="s">
        <v>49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51"/>
    </row>
    <row r="63" spans="1:28" ht="20.25" thickTop="1" thickBot="1" x14ac:dyDescent="0.45">
      <c r="A63" s="152">
        <v>3</v>
      </c>
      <c r="B63" s="155">
        <v>19.399999999999999</v>
      </c>
      <c r="C63" s="85" t="s">
        <v>298</v>
      </c>
      <c r="D63" s="109" t="s">
        <v>183</v>
      </c>
      <c r="E63" s="15" t="s">
        <v>37</v>
      </c>
      <c r="F63" s="16"/>
      <c r="G63" s="12" t="s">
        <v>178</v>
      </c>
      <c r="H63" s="15"/>
      <c r="I63" s="13"/>
      <c r="J63" s="15">
        <v>1</v>
      </c>
      <c r="K63" s="15">
        <v>1</v>
      </c>
      <c r="L63" s="17"/>
      <c r="M63" s="17"/>
      <c r="N63" s="13"/>
      <c r="O63" s="17"/>
      <c r="P63" s="17"/>
      <c r="Q63" s="17"/>
      <c r="R63" s="17"/>
      <c r="S63" s="15"/>
      <c r="T63" s="25">
        <v>46191</v>
      </c>
      <c r="U63" s="13" t="s">
        <v>146</v>
      </c>
      <c r="V63">
        <v>1</v>
      </c>
      <c r="X63" s="51" t="s">
        <v>106</v>
      </c>
      <c r="Y63" s="52">
        <f>COUNTIF(U63:U87,"K")</f>
        <v>5</v>
      </c>
      <c r="AA63" s="59" t="s">
        <v>120</v>
      </c>
      <c r="AB63" s="60" t="s">
        <v>121</v>
      </c>
    </row>
    <row r="64" spans="1:28" x14ac:dyDescent="0.4">
      <c r="A64" s="153"/>
      <c r="B64" s="156"/>
      <c r="C64" s="85" t="s">
        <v>299</v>
      </c>
      <c r="D64" s="109" t="s">
        <v>187</v>
      </c>
      <c r="E64" s="15" t="s">
        <v>37</v>
      </c>
      <c r="F64" s="16"/>
      <c r="G64" s="12" t="s">
        <v>178</v>
      </c>
      <c r="H64" s="15"/>
      <c r="I64" s="13"/>
      <c r="J64" s="15"/>
      <c r="K64" s="15"/>
      <c r="L64" s="17"/>
      <c r="M64" s="17">
        <v>1</v>
      </c>
      <c r="N64" s="13">
        <v>1</v>
      </c>
      <c r="O64" s="17"/>
      <c r="P64" s="17"/>
      <c r="Q64" s="17">
        <v>1</v>
      </c>
      <c r="R64" s="17"/>
      <c r="S64" s="15"/>
      <c r="T64" s="25">
        <v>46194</v>
      </c>
      <c r="U64" s="13" t="s">
        <v>147</v>
      </c>
      <c r="V64">
        <v>2</v>
      </c>
      <c r="X64" s="51" t="s">
        <v>107</v>
      </c>
      <c r="Y64" s="52">
        <f>COUNTIF(U63:U87,"R")</f>
        <v>7</v>
      </c>
      <c r="AA64" s="47" t="s">
        <v>81</v>
      </c>
      <c r="AB64" s="48" t="s">
        <v>60</v>
      </c>
    </row>
    <row r="65" spans="1:28" ht="19.5" thickBot="1" x14ac:dyDescent="0.45">
      <c r="A65" s="153"/>
      <c r="B65" s="156"/>
      <c r="C65" s="85" t="s">
        <v>300</v>
      </c>
      <c r="D65" s="109" t="s">
        <v>187</v>
      </c>
      <c r="E65" s="15" t="s">
        <v>40</v>
      </c>
      <c r="F65" s="16"/>
      <c r="G65" s="12" t="s">
        <v>195</v>
      </c>
      <c r="H65" s="15"/>
      <c r="I65" s="13"/>
      <c r="J65" s="15"/>
      <c r="K65" s="15"/>
      <c r="L65" s="17"/>
      <c r="M65" s="17"/>
      <c r="N65" s="13">
        <v>1</v>
      </c>
      <c r="O65" s="17">
        <v>1</v>
      </c>
      <c r="P65" s="17"/>
      <c r="Q65" s="17"/>
      <c r="R65" s="17">
        <v>1</v>
      </c>
      <c r="S65" s="15"/>
      <c r="T65" s="25">
        <v>46194</v>
      </c>
      <c r="U65" s="13" t="s">
        <v>148</v>
      </c>
      <c r="V65">
        <v>3</v>
      </c>
      <c r="X65" s="53" t="s">
        <v>108</v>
      </c>
      <c r="Y65" s="54">
        <f>COUNTIF(U63:U87,"J")</f>
        <v>6</v>
      </c>
      <c r="AA65" s="49" t="s">
        <v>82</v>
      </c>
      <c r="AB65" s="50" t="s">
        <v>39</v>
      </c>
    </row>
    <row r="66" spans="1:28" x14ac:dyDescent="0.4">
      <c r="A66" s="153"/>
      <c r="B66" s="156"/>
      <c r="C66" s="85" t="s">
        <v>301</v>
      </c>
      <c r="D66" s="109" t="s">
        <v>187</v>
      </c>
      <c r="E66" s="15" t="s">
        <v>40</v>
      </c>
      <c r="F66" s="16"/>
      <c r="G66" s="12" t="s">
        <v>195</v>
      </c>
      <c r="H66" s="15"/>
      <c r="I66" s="15"/>
      <c r="J66" s="15"/>
      <c r="K66" s="15"/>
      <c r="L66" s="17"/>
      <c r="M66" s="17"/>
      <c r="N66" s="17">
        <v>1</v>
      </c>
      <c r="O66" s="17">
        <v>1</v>
      </c>
      <c r="P66" s="17"/>
      <c r="Q66" s="17"/>
      <c r="R66" s="17">
        <v>1</v>
      </c>
      <c r="S66" s="15"/>
      <c r="T66" s="25">
        <v>46194</v>
      </c>
      <c r="U66" s="133" t="s">
        <v>148</v>
      </c>
      <c r="V66">
        <v>4</v>
      </c>
      <c r="AA66" s="49" t="s">
        <v>83</v>
      </c>
      <c r="AB66" s="50" t="s">
        <v>38</v>
      </c>
    </row>
    <row r="67" spans="1:28" x14ac:dyDescent="0.4">
      <c r="A67" s="153"/>
      <c r="B67" s="156"/>
      <c r="C67" s="85" t="s">
        <v>302</v>
      </c>
      <c r="D67" s="109" t="s">
        <v>181</v>
      </c>
      <c r="E67" s="15" t="s">
        <v>58</v>
      </c>
      <c r="F67" s="16"/>
      <c r="G67" s="12" t="s">
        <v>178</v>
      </c>
      <c r="H67" s="15"/>
      <c r="I67" s="15"/>
      <c r="J67" s="15"/>
      <c r="K67" s="15"/>
      <c r="L67" s="17"/>
      <c r="M67" s="17"/>
      <c r="N67" s="17"/>
      <c r="O67" s="17"/>
      <c r="P67" s="17"/>
      <c r="Q67" s="17"/>
      <c r="R67" s="17"/>
      <c r="S67" s="15">
        <v>1</v>
      </c>
      <c r="T67" s="25">
        <v>46194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53"/>
      <c r="B68" s="156"/>
      <c r="C68" s="85" t="s">
        <v>303</v>
      </c>
      <c r="D68" s="109" t="s">
        <v>181</v>
      </c>
      <c r="E68" s="15" t="s">
        <v>37</v>
      </c>
      <c r="F68" s="16"/>
      <c r="G68" s="12" t="s">
        <v>178</v>
      </c>
      <c r="H68" s="15"/>
      <c r="I68" s="15"/>
      <c r="J68" s="15"/>
      <c r="K68" s="15"/>
      <c r="L68" s="17"/>
      <c r="M68" s="17">
        <v>1</v>
      </c>
      <c r="N68" s="17">
        <v>1</v>
      </c>
      <c r="O68" s="17"/>
      <c r="P68" s="17"/>
      <c r="Q68" s="17">
        <v>1</v>
      </c>
      <c r="R68" s="17"/>
      <c r="S68" s="15"/>
      <c r="T68" s="25">
        <v>46194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53"/>
      <c r="B69" s="156"/>
      <c r="C69" s="85" t="s">
        <v>304</v>
      </c>
      <c r="D69" s="109" t="s">
        <v>181</v>
      </c>
      <c r="E69" s="15" t="s">
        <v>40</v>
      </c>
      <c r="F69" s="16"/>
      <c r="G69" s="12" t="s">
        <v>178</v>
      </c>
      <c r="H69" s="15"/>
      <c r="I69" s="15"/>
      <c r="J69" s="15"/>
      <c r="K69" s="15"/>
      <c r="L69" s="17"/>
      <c r="M69" s="17"/>
      <c r="N69" s="17"/>
      <c r="O69" s="17">
        <v>1</v>
      </c>
      <c r="P69" s="17">
        <v>1</v>
      </c>
      <c r="Q69" s="17">
        <v>1</v>
      </c>
      <c r="R69" s="17">
        <v>1</v>
      </c>
      <c r="S69" s="15"/>
      <c r="T69" s="25">
        <v>46194</v>
      </c>
      <c r="U69" s="13" t="s">
        <v>148</v>
      </c>
      <c r="V69">
        <v>7</v>
      </c>
      <c r="AA69" s="49" t="s">
        <v>86</v>
      </c>
      <c r="AB69" s="50" t="s">
        <v>45</v>
      </c>
    </row>
    <row r="70" spans="1:28" x14ac:dyDescent="0.4">
      <c r="A70" s="153"/>
      <c r="B70" s="156"/>
      <c r="C70" s="85" t="s">
        <v>305</v>
      </c>
      <c r="D70" s="109" t="s">
        <v>181</v>
      </c>
      <c r="E70" s="15" t="s">
        <v>38</v>
      </c>
      <c r="F70" s="16"/>
      <c r="G70" s="12" t="s">
        <v>178</v>
      </c>
      <c r="H70" s="15"/>
      <c r="I70" s="15"/>
      <c r="J70" s="15">
        <v>1</v>
      </c>
      <c r="K70" s="15">
        <v>1</v>
      </c>
      <c r="L70" s="17"/>
      <c r="M70" s="17"/>
      <c r="N70" s="17"/>
      <c r="O70" s="17"/>
      <c r="P70" s="17"/>
      <c r="Q70" s="17"/>
      <c r="R70" s="17"/>
      <c r="S70" s="15"/>
      <c r="T70" s="25">
        <v>46194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3"/>
      <c r="B71" s="156"/>
      <c r="C71" s="85" t="s">
        <v>306</v>
      </c>
      <c r="D71" s="109" t="s">
        <v>181</v>
      </c>
      <c r="E71" s="15" t="s">
        <v>58</v>
      </c>
      <c r="F71" s="16"/>
      <c r="G71" s="12" t="s">
        <v>178</v>
      </c>
      <c r="H71" s="15"/>
      <c r="I71" s="15"/>
      <c r="J71" s="15"/>
      <c r="K71" s="15"/>
      <c r="L71" s="17"/>
      <c r="M71" s="17"/>
      <c r="N71" s="17"/>
      <c r="O71" s="17"/>
      <c r="P71" s="17"/>
      <c r="Q71" s="17"/>
      <c r="R71" s="17"/>
      <c r="S71" s="15">
        <v>1</v>
      </c>
      <c r="T71" s="25">
        <v>46194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53"/>
      <c r="B72" s="156"/>
      <c r="C72" s="85" t="s">
        <v>307</v>
      </c>
      <c r="D72" s="109" t="s">
        <v>181</v>
      </c>
      <c r="E72" s="18" t="s">
        <v>40</v>
      </c>
      <c r="F72" s="16"/>
      <c r="G72" s="12" t="s">
        <v>178</v>
      </c>
      <c r="H72" s="15"/>
      <c r="I72" s="15"/>
      <c r="J72" s="18"/>
      <c r="K72" s="15"/>
      <c r="L72" s="19"/>
      <c r="M72" s="19"/>
      <c r="N72" s="19"/>
      <c r="O72" s="19">
        <v>1</v>
      </c>
      <c r="P72" s="19">
        <v>1</v>
      </c>
      <c r="Q72" s="19"/>
      <c r="R72" s="19">
        <v>1</v>
      </c>
      <c r="S72" s="15"/>
      <c r="T72" s="25">
        <v>46201</v>
      </c>
      <c r="U72" s="15" t="s">
        <v>148</v>
      </c>
      <c r="V72">
        <v>10</v>
      </c>
      <c r="AA72" s="49" t="s">
        <v>89</v>
      </c>
      <c r="AB72" s="50" t="s">
        <v>36</v>
      </c>
    </row>
    <row r="73" spans="1:28" x14ac:dyDescent="0.4">
      <c r="A73" s="153"/>
      <c r="B73" s="156"/>
      <c r="C73" s="85" t="s">
        <v>308</v>
      </c>
      <c r="D73" s="109" t="s">
        <v>181</v>
      </c>
      <c r="E73" s="18" t="s">
        <v>36</v>
      </c>
      <c r="F73" s="16"/>
      <c r="G73" s="12" t="s">
        <v>178</v>
      </c>
      <c r="H73" s="15"/>
      <c r="I73" s="15"/>
      <c r="J73" s="18"/>
      <c r="K73" s="15"/>
      <c r="L73" s="19"/>
      <c r="M73" s="19">
        <v>1</v>
      </c>
      <c r="N73" s="19">
        <v>1</v>
      </c>
      <c r="O73" s="19"/>
      <c r="P73" s="19"/>
      <c r="Q73" s="19"/>
      <c r="R73" s="19"/>
      <c r="S73" s="15"/>
      <c r="T73" s="25">
        <v>46194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53"/>
      <c r="B74" s="156"/>
      <c r="C74" s="85" t="s">
        <v>309</v>
      </c>
      <c r="D74" s="109" t="s">
        <v>192</v>
      </c>
      <c r="E74" s="18" t="s">
        <v>44</v>
      </c>
      <c r="F74" s="16"/>
      <c r="G74" s="12" t="s">
        <v>178</v>
      </c>
      <c r="H74" s="15"/>
      <c r="I74" s="15"/>
      <c r="J74" s="18">
        <v>1</v>
      </c>
      <c r="K74" s="15">
        <v>1</v>
      </c>
      <c r="L74" s="19"/>
      <c r="M74" s="19"/>
      <c r="N74" s="19"/>
      <c r="O74" s="19"/>
      <c r="P74" s="19"/>
      <c r="Q74" s="19"/>
      <c r="R74" s="19"/>
      <c r="S74" s="15"/>
      <c r="T74" s="25">
        <v>46183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53"/>
      <c r="B75" s="156"/>
      <c r="C75" s="85" t="s">
        <v>310</v>
      </c>
      <c r="D75" s="109" t="s">
        <v>192</v>
      </c>
      <c r="E75" s="18" t="s">
        <v>41</v>
      </c>
      <c r="F75" s="16"/>
      <c r="G75" s="12" t="s">
        <v>178</v>
      </c>
      <c r="H75" s="15"/>
      <c r="I75" s="15"/>
      <c r="J75" s="18"/>
      <c r="K75" s="15"/>
      <c r="L75" s="19"/>
      <c r="M75" s="19"/>
      <c r="N75" s="19">
        <v>1</v>
      </c>
      <c r="O75" s="19"/>
      <c r="P75" s="19"/>
      <c r="Q75" s="19"/>
      <c r="R75" s="19"/>
      <c r="S75" s="15"/>
      <c r="T75" s="25">
        <v>46204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53"/>
      <c r="B76" s="156"/>
      <c r="C76" s="85" t="s">
        <v>311</v>
      </c>
      <c r="D76" s="109" t="s">
        <v>192</v>
      </c>
      <c r="E76" s="18" t="s">
        <v>42</v>
      </c>
      <c r="F76" s="16"/>
      <c r="G76" s="12" t="s">
        <v>178</v>
      </c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/>
      <c r="S76" s="15"/>
      <c r="T76" s="25">
        <v>46204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53"/>
      <c r="B77" s="156"/>
      <c r="C77" s="85" t="s">
        <v>312</v>
      </c>
      <c r="D77" s="109" t="s">
        <v>179</v>
      </c>
      <c r="E77" s="18" t="s">
        <v>40</v>
      </c>
      <c r="F77" s="16"/>
      <c r="G77" s="12" t="s">
        <v>178</v>
      </c>
      <c r="H77" s="15"/>
      <c r="I77" s="15"/>
      <c r="J77" s="18"/>
      <c r="K77" s="15"/>
      <c r="L77" s="19"/>
      <c r="M77" s="19"/>
      <c r="N77" s="19"/>
      <c r="O77" s="19">
        <v>1</v>
      </c>
      <c r="P77" s="19">
        <v>1</v>
      </c>
      <c r="Q77" s="19"/>
      <c r="R77" s="19">
        <v>1</v>
      </c>
      <c r="S77" s="15"/>
      <c r="T77" s="25">
        <v>46200</v>
      </c>
      <c r="U77" s="15" t="s">
        <v>148</v>
      </c>
      <c r="V77">
        <v>15</v>
      </c>
      <c r="AA77" s="49" t="s">
        <v>94</v>
      </c>
      <c r="AB77" s="50" t="s">
        <v>41</v>
      </c>
    </row>
    <row r="78" spans="1:28" x14ac:dyDescent="0.4">
      <c r="A78" s="153"/>
      <c r="B78" s="156"/>
      <c r="C78" s="85" t="s">
        <v>313</v>
      </c>
      <c r="D78" s="110" t="s">
        <v>179</v>
      </c>
      <c r="E78" s="15" t="s">
        <v>40</v>
      </c>
      <c r="F78" s="16"/>
      <c r="G78" s="15" t="s">
        <v>178</v>
      </c>
      <c r="H78" s="15"/>
      <c r="I78" s="15"/>
      <c r="J78" s="15"/>
      <c r="K78" s="15"/>
      <c r="L78" s="17"/>
      <c r="M78" s="17"/>
      <c r="N78" s="17"/>
      <c r="O78" s="17">
        <v>1</v>
      </c>
      <c r="P78" s="17">
        <v>1</v>
      </c>
      <c r="Q78" s="17"/>
      <c r="R78" s="17">
        <v>1</v>
      </c>
      <c r="S78" s="15"/>
      <c r="T78" s="25">
        <v>46200</v>
      </c>
      <c r="U78" s="15" t="s">
        <v>148</v>
      </c>
      <c r="V78">
        <v>16</v>
      </c>
      <c r="AA78" s="49" t="s">
        <v>95</v>
      </c>
      <c r="AB78" s="50" t="s">
        <v>42</v>
      </c>
    </row>
    <row r="79" spans="1:28" x14ac:dyDescent="0.4">
      <c r="A79" s="153"/>
      <c r="B79" s="156"/>
      <c r="C79" s="85" t="s">
        <v>314</v>
      </c>
      <c r="D79" s="110" t="s">
        <v>315</v>
      </c>
      <c r="E79" s="18" t="s">
        <v>36</v>
      </c>
      <c r="F79" s="16"/>
      <c r="G79" s="18" t="s">
        <v>178</v>
      </c>
      <c r="H79" s="15"/>
      <c r="I79" s="15"/>
      <c r="J79" s="18"/>
      <c r="K79" s="15"/>
      <c r="L79" s="19"/>
      <c r="M79" s="19">
        <v>1</v>
      </c>
      <c r="N79" s="19">
        <v>1</v>
      </c>
      <c r="O79" s="19"/>
      <c r="P79" s="19"/>
      <c r="Q79" s="19"/>
      <c r="R79" s="19"/>
      <c r="S79" s="15"/>
      <c r="T79" s="30">
        <v>46201</v>
      </c>
      <c r="U79" s="15" t="s">
        <v>147</v>
      </c>
      <c r="V79">
        <v>17</v>
      </c>
      <c r="AA79" s="49" t="s">
        <v>96</v>
      </c>
      <c r="AB79" s="50" t="s">
        <v>61</v>
      </c>
    </row>
    <row r="80" spans="1:28" x14ac:dyDescent="0.4">
      <c r="A80" s="153"/>
      <c r="B80" s="156"/>
      <c r="C80" s="85" t="s">
        <v>316</v>
      </c>
      <c r="D80" s="110" t="s">
        <v>315</v>
      </c>
      <c r="E80" s="18" t="s">
        <v>36</v>
      </c>
      <c r="F80" s="16"/>
      <c r="G80" s="18" t="s">
        <v>178</v>
      </c>
      <c r="H80" s="15"/>
      <c r="I80" s="15"/>
      <c r="J80" s="18"/>
      <c r="K80" s="15"/>
      <c r="L80" s="19"/>
      <c r="M80" s="19">
        <v>1</v>
      </c>
      <c r="N80" s="19">
        <v>1</v>
      </c>
      <c r="O80" s="19"/>
      <c r="P80" s="19"/>
      <c r="Q80" s="19"/>
      <c r="R80" s="19"/>
      <c r="S80" s="15"/>
      <c r="T80" s="30">
        <v>46201</v>
      </c>
      <c r="U80" s="15" t="s">
        <v>147</v>
      </c>
      <c r="V80" s="73">
        <v>18</v>
      </c>
      <c r="AA80" s="49" t="s">
        <v>97</v>
      </c>
      <c r="AB80" s="50" t="s">
        <v>76</v>
      </c>
    </row>
    <row r="81" spans="1:28" x14ac:dyDescent="0.4">
      <c r="A81" s="153"/>
      <c r="B81" s="15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3"/>
      <c r="B82" s="15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3"/>
      <c r="B83" s="15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3"/>
      <c r="B84" s="15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3"/>
      <c r="B85" s="15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3"/>
      <c r="B86" s="15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4"/>
      <c r="B87" s="15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18</v>
      </c>
      <c r="D88" s="112"/>
      <c r="E88" s="29"/>
      <c r="F88" s="29" t="s">
        <v>34</v>
      </c>
      <c r="G88" s="29">
        <f>COUNTIF(G63:G87,"S")</f>
        <v>16</v>
      </c>
      <c r="H88" s="29">
        <f>COUNTIF(H63:H87,"E")</f>
        <v>0</v>
      </c>
      <c r="I88" s="29">
        <f>SUM(I63:I87)</f>
        <v>0</v>
      </c>
      <c r="J88" s="29"/>
      <c r="K88" s="29"/>
      <c r="L88" s="29"/>
      <c r="M88" s="29">
        <f t="shared" ref="M88:S88" si="2">SUM(M63:M87)</f>
        <v>5</v>
      </c>
      <c r="N88" s="29">
        <f t="shared" si="2"/>
        <v>8</v>
      </c>
      <c r="O88" s="29">
        <f t="shared" si="2"/>
        <v>6</v>
      </c>
      <c r="P88" s="29">
        <f t="shared" si="2"/>
        <v>4</v>
      </c>
      <c r="Q88" s="29">
        <f t="shared" si="2"/>
        <v>3</v>
      </c>
      <c r="R88" s="29">
        <f t="shared" si="2"/>
        <v>6</v>
      </c>
      <c r="S88" s="29">
        <f t="shared" si="2"/>
        <v>2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2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34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AYG141</v>
      </c>
      <c r="B91" s="24">
        <f>B1</f>
        <v>46163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/>
      <c r="L91" s="2"/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48</v>
      </c>
      <c r="L92" s="9" t="s">
        <v>49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51"/>
    </row>
    <row r="93" spans="1:28" ht="20.25" thickTop="1" thickBot="1" x14ac:dyDescent="0.45">
      <c r="A93" s="152">
        <v>4</v>
      </c>
      <c r="B93" s="142">
        <v>22.2</v>
      </c>
      <c r="C93" s="85" t="s">
        <v>286</v>
      </c>
      <c r="D93" s="109" t="s">
        <v>186</v>
      </c>
      <c r="E93" s="15" t="s">
        <v>59</v>
      </c>
      <c r="F93" s="14"/>
      <c r="G93" s="12" t="s">
        <v>178</v>
      </c>
      <c r="H93" s="13"/>
      <c r="I93" s="13"/>
      <c r="J93" s="13">
        <v>2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46197</v>
      </c>
      <c r="U93" s="13" t="s">
        <v>146</v>
      </c>
      <c r="V93">
        <v>1</v>
      </c>
      <c r="X93" s="51" t="s">
        <v>106</v>
      </c>
      <c r="Y93" s="52">
        <f>COUNTIF(U93:U117,"K")</f>
        <v>5</v>
      </c>
      <c r="AA93" s="59" t="s">
        <v>120</v>
      </c>
      <c r="AB93" s="60" t="s">
        <v>121</v>
      </c>
    </row>
    <row r="94" spans="1:28" x14ac:dyDescent="0.4">
      <c r="A94" s="153"/>
      <c r="B94" s="143"/>
      <c r="C94" s="85" t="s">
        <v>287</v>
      </c>
      <c r="D94" s="109" t="s">
        <v>186</v>
      </c>
      <c r="E94" s="15" t="s">
        <v>59</v>
      </c>
      <c r="F94" s="16"/>
      <c r="G94" s="12" t="s">
        <v>178</v>
      </c>
      <c r="H94" s="15"/>
      <c r="I94" s="15"/>
      <c r="J94" s="13">
        <v>2</v>
      </c>
      <c r="K94" s="15"/>
      <c r="L94" s="13"/>
      <c r="M94" s="17"/>
      <c r="N94" s="17"/>
      <c r="O94" s="17"/>
      <c r="P94" s="17"/>
      <c r="Q94" s="17"/>
      <c r="R94" s="17"/>
      <c r="S94" s="15"/>
      <c r="T94" s="25">
        <v>46197</v>
      </c>
      <c r="U94" s="13" t="s">
        <v>146</v>
      </c>
      <c r="V94">
        <v>2</v>
      </c>
      <c r="X94" s="51" t="s">
        <v>107</v>
      </c>
      <c r="Y94" s="52">
        <f>COUNTIF(U93:U117,"R")</f>
        <v>4</v>
      </c>
      <c r="AA94" s="47" t="s">
        <v>81</v>
      </c>
      <c r="AB94" s="48" t="s">
        <v>60</v>
      </c>
    </row>
    <row r="95" spans="1:28" ht="19.5" thickBot="1" x14ac:dyDescent="0.45">
      <c r="A95" s="153"/>
      <c r="B95" s="143"/>
      <c r="C95" s="85" t="s">
        <v>288</v>
      </c>
      <c r="D95" s="109" t="s">
        <v>186</v>
      </c>
      <c r="E95" s="15" t="s">
        <v>59</v>
      </c>
      <c r="F95" s="16"/>
      <c r="G95" s="12" t="s">
        <v>178</v>
      </c>
      <c r="H95" s="15"/>
      <c r="I95" s="15"/>
      <c r="J95" s="13">
        <v>2</v>
      </c>
      <c r="K95" s="15"/>
      <c r="L95" s="13"/>
      <c r="M95" s="17"/>
      <c r="N95" s="17"/>
      <c r="O95" s="17"/>
      <c r="P95" s="17"/>
      <c r="Q95" s="17"/>
      <c r="R95" s="17"/>
      <c r="S95" s="15"/>
      <c r="T95" s="25">
        <v>46197</v>
      </c>
      <c r="U95" s="13" t="s">
        <v>146</v>
      </c>
      <c r="V95">
        <v>3</v>
      </c>
      <c r="X95" s="53" t="s">
        <v>108</v>
      </c>
      <c r="Y95" s="54">
        <f>COUNTIF(U93:U117,"J")</f>
        <v>3</v>
      </c>
      <c r="AA95" s="49" t="s">
        <v>122</v>
      </c>
      <c r="AB95" s="50" t="s">
        <v>39</v>
      </c>
    </row>
    <row r="96" spans="1:28" x14ac:dyDescent="0.4">
      <c r="A96" s="153"/>
      <c r="B96" s="143"/>
      <c r="C96" s="85" t="s">
        <v>289</v>
      </c>
      <c r="D96" s="109" t="s">
        <v>190</v>
      </c>
      <c r="E96" s="15" t="s">
        <v>39</v>
      </c>
      <c r="F96" s="16"/>
      <c r="G96" s="12" t="s">
        <v>178</v>
      </c>
      <c r="H96" s="15"/>
      <c r="I96" s="15"/>
      <c r="J96" s="13">
        <v>1</v>
      </c>
      <c r="K96" s="15"/>
      <c r="L96" s="13"/>
      <c r="M96" s="17"/>
      <c r="N96" s="17"/>
      <c r="O96" s="17"/>
      <c r="P96" s="17"/>
      <c r="Q96" s="17"/>
      <c r="R96" s="17"/>
      <c r="S96" s="15"/>
      <c r="T96" s="25">
        <v>46194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53"/>
      <c r="B97" s="143"/>
      <c r="C97" s="85" t="s">
        <v>290</v>
      </c>
      <c r="D97" s="109" t="s">
        <v>190</v>
      </c>
      <c r="E97" s="15" t="s">
        <v>133</v>
      </c>
      <c r="F97" s="16"/>
      <c r="G97" s="12" t="s">
        <v>178</v>
      </c>
      <c r="H97" s="15"/>
      <c r="I97" s="15"/>
      <c r="J97" s="13"/>
      <c r="K97" s="15"/>
      <c r="L97" s="13"/>
      <c r="M97" s="17"/>
      <c r="N97" s="17"/>
      <c r="O97" s="17">
        <v>1</v>
      </c>
      <c r="P97" s="17">
        <v>1</v>
      </c>
      <c r="Q97" s="17">
        <v>1</v>
      </c>
      <c r="R97" s="17">
        <v>1</v>
      </c>
      <c r="S97" s="15"/>
      <c r="T97" s="25">
        <v>46194</v>
      </c>
      <c r="U97" s="13" t="s">
        <v>148</v>
      </c>
      <c r="V97">
        <v>5</v>
      </c>
      <c r="AA97" s="49" t="s">
        <v>84</v>
      </c>
      <c r="AB97" s="50" t="s">
        <v>44</v>
      </c>
    </row>
    <row r="98" spans="1:28" x14ac:dyDescent="0.4">
      <c r="A98" s="153"/>
      <c r="B98" s="143"/>
      <c r="C98" s="85" t="s">
        <v>291</v>
      </c>
      <c r="D98" s="109" t="s">
        <v>182</v>
      </c>
      <c r="E98" s="15" t="s">
        <v>60</v>
      </c>
      <c r="F98" s="16"/>
      <c r="G98" s="12" t="s">
        <v>178</v>
      </c>
      <c r="H98" s="13"/>
      <c r="I98" s="15"/>
      <c r="J98" s="13">
        <v>1</v>
      </c>
      <c r="K98" s="15">
        <v>1</v>
      </c>
      <c r="L98" s="13"/>
      <c r="M98" s="17"/>
      <c r="N98" s="17"/>
      <c r="O98" s="17"/>
      <c r="P98" s="17"/>
      <c r="Q98" s="17"/>
      <c r="R98" s="17"/>
      <c r="S98" s="15"/>
      <c r="T98" s="25">
        <v>46201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53"/>
      <c r="B99" s="143"/>
      <c r="C99" s="85" t="s">
        <v>292</v>
      </c>
      <c r="D99" s="109" t="s">
        <v>196</v>
      </c>
      <c r="E99" s="15" t="s">
        <v>75</v>
      </c>
      <c r="F99" s="16"/>
      <c r="G99" s="12" t="s">
        <v>178</v>
      </c>
      <c r="H99" s="15"/>
      <c r="I99" s="15"/>
      <c r="J99" s="13"/>
      <c r="K99" s="15"/>
      <c r="L99" s="13"/>
      <c r="M99" s="17"/>
      <c r="N99" s="17"/>
      <c r="O99" s="17"/>
      <c r="P99" s="17"/>
      <c r="Q99" s="17"/>
      <c r="R99" s="17"/>
      <c r="S99" s="15"/>
      <c r="T99" s="25">
        <v>46213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53"/>
      <c r="B100" s="143"/>
      <c r="C100" s="85" t="s">
        <v>293</v>
      </c>
      <c r="D100" s="109" t="s">
        <v>196</v>
      </c>
      <c r="E100" s="15" t="s">
        <v>40</v>
      </c>
      <c r="F100" s="16"/>
      <c r="G100" s="12" t="s">
        <v>195</v>
      </c>
      <c r="H100" s="15"/>
      <c r="I100" s="15"/>
      <c r="J100" s="13"/>
      <c r="K100" s="15"/>
      <c r="L100" s="13"/>
      <c r="M100" s="17"/>
      <c r="N100" s="17">
        <v>1</v>
      </c>
      <c r="O100" s="17">
        <v>1</v>
      </c>
      <c r="P100" s="17">
        <v>1</v>
      </c>
      <c r="Q100" s="17"/>
      <c r="R100" s="17">
        <v>1</v>
      </c>
      <c r="S100" s="15"/>
      <c r="T100" s="25">
        <v>46199</v>
      </c>
      <c r="U100" s="13" t="s">
        <v>148</v>
      </c>
      <c r="V100">
        <v>8</v>
      </c>
      <c r="AA100" s="49" t="s">
        <v>87</v>
      </c>
      <c r="AB100" s="50" t="s">
        <v>37</v>
      </c>
    </row>
    <row r="101" spans="1:28" x14ac:dyDescent="0.4">
      <c r="A101" s="153"/>
      <c r="B101" s="143"/>
      <c r="C101" s="85" t="s">
        <v>294</v>
      </c>
      <c r="D101" s="109" t="s">
        <v>196</v>
      </c>
      <c r="E101" s="15" t="s">
        <v>40</v>
      </c>
      <c r="F101" s="16"/>
      <c r="G101" s="12" t="s">
        <v>195</v>
      </c>
      <c r="H101" s="15"/>
      <c r="I101" s="15"/>
      <c r="J101" s="13"/>
      <c r="K101" s="15"/>
      <c r="L101" s="13"/>
      <c r="M101" s="17"/>
      <c r="N101" s="17">
        <v>1</v>
      </c>
      <c r="O101" s="17">
        <v>1</v>
      </c>
      <c r="P101" s="17">
        <v>1</v>
      </c>
      <c r="Q101" s="17"/>
      <c r="R101" s="17">
        <v>1</v>
      </c>
      <c r="S101" s="15"/>
      <c r="T101" s="25">
        <v>46194</v>
      </c>
      <c r="U101" s="13" t="s">
        <v>148</v>
      </c>
      <c r="V101">
        <v>9</v>
      </c>
      <c r="AA101" s="49" t="s">
        <v>88</v>
      </c>
      <c r="AB101" s="50" t="s">
        <v>74</v>
      </c>
    </row>
    <row r="102" spans="1:28" x14ac:dyDescent="0.4">
      <c r="A102" s="153"/>
      <c r="B102" s="143"/>
      <c r="C102" s="85" t="s">
        <v>295</v>
      </c>
      <c r="D102" s="109" t="s">
        <v>196</v>
      </c>
      <c r="E102" s="15" t="s">
        <v>40</v>
      </c>
      <c r="F102" s="16"/>
      <c r="G102" s="12" t="s">
        <v>195</v>
      </c>
      <c r="H102" s="15"/>
      <c r="I102" s="15"/>
      <c r="J102" s="13"/>
      <c r="K102" s="15"/>
      <c r="L102" s="13"/>
      <c r="M102" s="17"/>
      <c r="N102" s="17">
        <v>1</v>
      </c>
      <c r="O102" s="17">
        <v>1</v>
      </c>
      <c r="P102" s="17">
        <v>1</v>
      </c>
      <c r="Q102" s="17">
        <v>1</v>
      </c>
      <c r="R102" s="17">
        <v>1</v>
      </c>
      <c r="S102" s="15"/>
      <c r="T102" s="25">
        <v>46199</v>
      </c>
      <c r="U102" s="13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53"/>
      <c r="B103" s="143"/>
      <c r="C103" s="85" t="s">
        <v>296</v>
      </c>
      <c r="D103" s="109" t="s">
        <v>179</v>
      </c>
      <c r="E103" s="15" t="s">
        <v>36</v>
      </c>
      <c r="F103" s="16"/>
      <c r="G103" s="12" t="s">
        <v>178</v>
      </c>
      <c r="H103" s="15"/>
      <c r="I103" s="15"/>
      <c r="J103" s="13"/>
      <c r="K103" s="15"/>
      <c r="L103" s="13"/>
      <c r="M103" s="17">
        <v>1</v>
      </c>
      <c r="N103" s="17">
        <v>1</v>
      </c>
      <c r="O103" s="17"/>
      <c r="P103" s="17"/>
      <c r="Q103" s="17">
        <v>1</v>
      </c>
      <c r="R103" s="17"/>
      <c r="S103" s="15"/>
      <c r="T103" s="25">
        <v>46197</v>
      </c>
      <c r="U103" s="13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53"/>
      <c r="B104" s="143"/>
      <c r="C104" s="85" t="s">
        <v>297</v>
      </c>
      <c r="D104" s="109" t="s">
        <v>179</v>
      </c>
      <c r="E104" s="15" t="s">
        <v>36</v>
      </c>
      <c r="F104" s="16"/>
      <c r="G104" s="12" t="s">
        <v>178</v>
      </c>
      <c r="H104" s="15"/>
      <c r="I104" s="15"/>
      <c r="J104" s="13"/>
      <c r="K104" s="15"/>
      <c r="L104" s="13"/>
      <c r="M104" s="17">
        <v>1</v>
      </c>
      <c r="N104" s="17">
        <v>1</v>
      </c>
      <c r="O104" s="17"/>
      <c r="P104" s="17"/>
      <c r="Q104" s="17"/>
      <c r="R104" s="17"/>
      <c r="S104" s="15"/>
      <c r="T104" s="25">
        <v>46197</v>
      </c>
      <c r="U104" s="13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53"/>
      <c r="B105" s="143"/>
      <c r="C105" s="85"/>
      <c r="D105" s="109"/>
      <c r="E105" s="15"/>
      <c r="F105" s="16"/>
      <c r="G105" s="12"/>
      <c r="H105" s="15"/>
      <c r="I105" s="15"/>
      <c r="J105" s="13"/>
      <c r="K105" s="15"/>
      <c r="L105" s="13"/>
      <c r="M105" s="17"/>
      <c r="N105" s="17"/>
      <c r="O105" s="17"/>
      <c r="P105" s="17"/>
      <c r="Q105" s="17"/>
      <c r="R105" s="17"/>
      <c r="S105" s="15"/>
      <c r="T105" s="25"/>
      <c r="U105" s="13"/>
      <c r="V105">
        <v>13</v>
      </c>
      <c r="AA105" s="49" t="s">
        <v>92</v>
      </c>
      <c r="AB105" s="50" t="s">
        <v>40</v>
      </c>
    </row>
    <row r="106" spans="1:28" x14ac:dyDescent="0.4">
      <c r="A106" s="153"/>
      <c r="B106" s="143"/>
      <c r="C106" s="85"/>
      <c r="D106" s="109"/>
      <c r="E106" s="15"/>
      <c r="F106" s="16"/>
      <c r="G106" s="12"/>
      <c r="H106" s="15"/>
      <c r="I106" s="15"/>
      <c r="J106" s="13"/>
      <c r="K106" s="15"/>
      <c r="L106" s="13"/>
      <c r="M106" s="17"/>
      <c r="N106" s="17"/>
      <c r="O106" s="17"/>
      <c r="P106" s="17"/>
      <c r="Q106" s="17"/>
      <c r="R106" s="17"/>
      <c r="S106" s="15"/>
      <c r="T106" s="25"/>
      <c r="U106" s="13"/>
      <c r="V106">
        <v>14</v>
      </c>
      <c r="AA106" s="49" t="s">
        <v>93</v>
      </c>
      <c r="AB106" s="50" t="s">
        <v>57</v>
      </c>
    </row>
    <row r="107" spans="1:28" x14ac:dyDescent="0.4">
      <c r="A107" s="153"/>
      <c r="B107" s="143"/>
      <c r="C107" s="85"/>
      <c r="D107" s="109"/>
      <c r="E107" s="15"/>
      <c r="F107" s="16"/>
      <c r="G107" s="12"/>
      <c r="H107" s="15"/>
      <c r="I107" s="15"/>
      <c r="J107" s="13"/>
      <c r="K107" s="15"/>
      <c r="L107" s="13"/>
      <c r="M107" s="17"/>
      <c r="N107" s="17"/>
      <c r="O107" s="17"/>
      <c r="P107" s="17"/>
      <c r="Q107" s="17"/>
      <c r="R107" s="17"/>
      <c r="S107" s="15"/>
      <c r="T107" s="25"/>
      <c r="U107" s="13"/>
      <c r="V107">
        <v>15</v>
      </c>
      <c r="AA107" s="49" t="s">
        <v>94</v>
      </c>
      <c r="AB107" s="50" t="s">
        <v>41</v>
      </c>
    </row>
    <row r="108" spans="1:28" x14ac:dyDescent="0.4">
      <c r="A108" s="153"/>
      <c r="B108" s="143"/>
      <c r="C108" s="85"/>
      <c r="D108" s="109"/>
      <c r="E108" s="15"/>
      <c r="F108" s="16"/>
      <c r="G108" s="12"/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/>
      <c r="U108" s="13"/>
      <c r="V108">
        <v>16</v>
      </c>
      <c r="AA108" s="49" t="s">
        <v>95</v>
      </c>
      <c r="AB108" s="50" t="s">
        <v>42</v>
      </c>
    </row>
    <row r="109" spans="1:28" x14ac:dyDescent="0.4">
      <c r="A109" s="153"/>
      <c r="B109" s="143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3"/>
      <c r="B110" s="14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3"/>
      <c r="B111" s="14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3"/>
      <c r="B112" s="14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3"/>
      <c r="B113" s="14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3"/>
      <c r="B114" s="14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3"/>
      <c r="B115" s="14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3"/>
      <c r="B116" s="14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4"/>
      <c r="B117" s="14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12</v>
      </c>
      <c r="D118" s="112"/>
      <c r="E118" s="29"/>
      <c r="F118" s="29" t="s">
        <v>34</v>
      </c>
      <c r="G118" s="29">
        <f>COUNTIF(G93:G117,"S")</f>
        <v>9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8</v>
      </c>
      <c r="K118" s="29"/>
      <c r="L118" s="29"/>
      <c r="M118" s="29">
        <f t="shared" ref="M118" si="4">SUM(M93:M117)</f>
        <v>2</v>
      </c>
      <c r="N118" s="29">
        <f t="shared" ref="N118" si="5">SUM(N93:N117)</f>
        <v>5</v>
      </c>
      <c r="O118" s="29">
        <f t="shared" ref="O118" si="6">SUM(O93:O117)</f>
        <v>4</v>
      </c>
      <c r="P118" s="29">
        <f t="shared" ref="P118" si="7">SUM(P93:P117)</f>
        <v>4</v>
      </c>
      <c r="Q118" s="29">
        <f t="shared" ref="Q118" si="8">SUM(Q93:Q117)</f>
        <v>3</v>
      </c>
      <c r="R118" s="29">
        <f t="shared" ref="R118" si="9">SUM(R93:R117)</f>
        <v>4</v>
      </c>
      <c r="S118" s="29">
        <f t="shared" ref="S118" si="10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3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30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AYG141</v>
      </c>
      <c r="B121" s="24">
        <f>B1</f>
        <v>46163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/>
      <c r="L121" s="2"/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51"/>
    </row>
    <row r="123" spans="1:28" ht="20.25" thickTop="1" thickBot="1" x14ac:dyDescent="0.45">
      <c r="A123" s="152">
        <v>5</v>
      </c>
      <c r="B123" s="142">
        <v>19.8</v>
      </c>
      <c r="C123" s="85" t="s">
        <v>268</v>
      </c>
      <c r="D123" s="109" t="s">
        <v>196</v>
      </c>
      <c r="E123" s="15" t="s">
        <v>40</v>
      </c>
      <c r="F123" s="14"/>
      <c r="G123" s="12" t="s">
        <v>195</v>
      </c>
      <c r="H123" s="13"/>
      <c r="I123" s="13"/>
      <c r="J123" s="13"/>
      <c r="K123" s="13"/>
      <c r="L123" s="13"/>
      <c r="M123" s="13"/>
      <c r="N123" s="13"/>
      <c r="O123" s="13">
        <v>1</v>
      </c>
      <c r="P123" s="13">
        <v>1</v>
      </c>
      <c r="Q123" s="13"/>
      <c r="R123" s="13">
        <v>1</v>
      </c>
      <c r="S123" s="13"/>
      <c r="T123" s="25">
        <v>46200</v>
      </c>
      <c r="U123" s="13" t="s">
        <v>148</v>
      </c>
      <c r="V123">
        <v>1</v>
      </c>
      <c r="X123" s="51" t="s">
        <v>106</v>
      </c>
      <c r="Y123" s="52">
        <f>COUNTIF(U123:U147,"K")</f>
        <v>7</v>
      </c>
      <c r="AA123" s="59" t="s">
        <v>120</v>
      </c>
      <c r="AB123" s="60" t="s">
        <v>121</v>
      </c>
    </row>
    <row r="124" spans="1:28" x14ac:dyDescent="0.4">
      <c r="A124" s="153"/>
      <c r="B124" s="143"/>
      <c r="C124" s="85" t="s">
        <v>269</v>
      </c>
      <c r="D124" s="109" t="s">
        <v>181</v>
      </c>
      <c r="E124" s="15" t="s">
        <v>38</v>
      </c>
      <c r="F124" s="16"/>
      <c r="G124" s="12" t="s">
        <v>178</v>
      </c>
      <c r="H124" s="15"/>
      <c r="I124" s="15"/>
      <c r="J124" s="15">
        <v>1</v>
      </c>
      <c r="K124" s="15">
        <v>1</v>
      </c>
      <c r="L124" s="17"/>
      <c r="M124" s="17"/>
      <c r="N124" s="17"/>
      <c r="O124" s="17"/>
      <c r="P124" s="17"/>
      <c r="Q124" s="17"/>
      <c r="R124" s="17"/>
      <c r="S124" s="15"/>
      <c r="T124" s="25">
        <v>46194</v>
      </c>
      <c r="U124" s="13" t="s">
        <v>146</v>
      </c>
      <c r="V124">
        <v>2</v>
      </c>
      <c r="X124" s="51" t="s">
        <v>107</v>
      </c>
      <c r="Y124" s="52">
        <f>COUNTIF(U123:U147,"R")</f>
        <v>4</v>
      </c>
      <c r="AA124" s="47" t="s">
        <v>81</v>
      </c>
      <c r="AB124" s="48" t="s">
        <v>60</v>
      </c>
    </row>
    <row r="125" spans="1:28" ht="19.5" thickBot="1" x14ac:dyDescent="0.45">
      <c r="A125" s="153"/>
      <c r="B125" s="143"/>
      <c r="C125" s="85" t="s">
        <v>270</v>
      </c>
      <c r="D125" s="109" t="s">
        <v>181</v>
      </c>
      <c r="E125" s="15" t="s">
        <v>39</v>
      </c>
      <c r="F125" s="16"/>
      <c r="G125" s="12" t="s">
        <v>178</v>
      </c>
      <c r="H125" s="15"/>
      <c r="I125" s="15"/>
      <c r="J125" s="13">
        <v>1</v>
      </c>
      <c r="K125" s="13"/>
      <c r="L125" s="13"/>
      <c r="M125" s="17"/>
      <c r="N125" s="17"/>
      <c r="O125" s="17"/>
      <c r="P125" s="17"/>
      <c r="Q125" s="17"/>
      <c r="R125" s="17"/>
      <c r="S125" s="15"/>
      <c r="T125" s="25">
        <v>46194</v>
      </c>
      <c r="U125" s="13" t="s">
        <v>146</v>
      </c>
      <c r="V125">
        <v>3</v>
      </c>
      <c r="X125" s="53" t="s">
        <v>108</v>
      </c>
      <c r="Y125" s="54">
        <f>COUNTIF(U123:U147,"J")</f>
        <v>6</v>
      </c>
      <c r="AA125" s="49" t="s">
        <v>82</v>
      </c>
      <c r="AB125" s="50" t="s">
        <v>39</v>
      </c>
    </row>
    <row r="126" spans="1:28" x14ac:dyDescent="0.4">
      <c r="A126" s="153"/>
      <c r="B126" s="143"/>
      <c r="C126" s="85" t="s">
        <v>271</v>
      </c>
      <c r="D126" s="109" t="s">
        <v>181</v>
      </c>
      <c r="E126" s="15" t="s">
        <v>78</v>
      </c>
      <c r="F126" s="16"/>
      <c r="G126" s="12" t="s">
        <v>178</v>
      </c>
      <c r="H126" s="15"/>
      <c r="I126" s="15"/>
      <c r="J126" s="15">
        <v>1</v>
      </c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46194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53"/>
      <c r="B127" s="143"/>
      <c r="C127" s="85" t="s">
        <v>272</v>
      </c>
      <c r="D127" s="109" t="s">
        <v>181</v>
      </c>
      <c r="E127" s="15" t="s">
        <v>39</v>
      </c>
      <c r="F127" s="16"/>
      <c r="G127" s="12" t="s">
        <v>178</v>
      </c>
      <c r="H127" s="15"/>
      <c r="I127" s="15"/>
      <c r="J127" s="13">
        <v>1</v>
      </c>
      <c r="K127" s="13"/>
      <c r="L127" s="13"/>
      <c r="M127" s="17"/>
      <c r="N127" s="17"/>
      <c r="O127" s="17"/>
      <c r="P127" s="17"/>
      <c r="Q127" s="17"/>
      <c r="R127" s="17"/>
      <c r="S127" s="15"/>
      <c r="T127" s="25">
        <v>46194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53"/>
      <c r="B128" s="143"/>
      <c r="C128" s="85" t="s">
        <v>273</v>
      </c>
      <c r="D128" s="109" t="s">
        <v>181</v>
      </c>
      <c r="E128" s="15" t="s">
        <v>133</v>
      </c>
      <c r="F128" s="16"/>
      <c r="G128" s="12" t="s">
        <v>178</v>
      </c>
      <c r="H128" s="13"/>
      <c r="I128" s="15"/>
      <c r="J128" s="15">
        <v>1</v>
      </c>
      <c r="K128" s="15"/>
      <c r="L128" s="17"/>
      <c r="M128" s="17"/>
      <c r="N128" s="17"/>
      <c r="O128" s="17">
        <v>1</v>
      </c>
      <c r="P128" s="17">
        <v>1</v>
      </c>
      <c r="Q128" s="17"/>
      <c r="R128" s="17"/>
      <c r="S128" s="15"/>
      <c r="T128" s="25">
        <v>46194</v>
      </c>
      <c r="U128" s="13" t="s">
        <v>148</v>
      </c>
      <c r="V128">
        <v>6</v>
      </c>
      <c r="AA128" s="49" t="s">
        <v>85</v>
      </c>
      <c r="AB128" s="50" t="s">
        <v>43</v>
      </c>
    </row>
    <row r="129" spans="1:28" x14ac:dyDescent="0.4">
      <c r="A129" s="153"/>
      <c r="B129" s="143"/>
      <c r="C129" s="85" t="s">
        <v>274</v>
      </c>
      <c r="D129" s="109" t="s">
        <v>181</v>
      </c>
      <c r="E129" s="15" t="s">
        <v>57</v>
      </c>
      <c r="F129" s="16"/>
      <c r="G129" s="12" t="s">
        <v>334</v>
      </c>
      <c r="H129" s="15"/>
      <c r="I129" s="15"/>
      <c r="J129" s="13"/>
      <c r="K129" s="13"/>
      <c r="L129" s="13"/>
      <c r="M129" s="17"/>
      <c r="N129" s="17"/>
      <c r="O129" s="17"/>
      <c r="P129" s="17"/>
      <c r="Q129" s="17"/>
      <c r="R129" s="17"/>
      <c r="S129" s="15"/>
      <c r="T129" s="25">
        <v>46194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53"/>
      <c r="B130" s="143"/>
      <c r="C130" s="85" t="s">
        <v>275</v>
      </c>
      <c r="D130" s="109" t="s">
        <v>181</v>
      </c>
      <c r="E130" s="15" t="s">
        <v>40</v>
      </c>
      <c r="F130" s="16"/>
      <c r="G130" s="12" t="s">
        <v>195</v>
      </c>
      <c r="H130" s="15"/>
      <c r="I130" s="15"/>
      <c r="J130" s="15"/>
      <c r="K130" s="15"/>
      <c r="L130" s="17"/>
      <c r="M130" s="17"/>
      <c r="N130" s="17"/>
      <c r="O130" s="17">
        <v>1</v>
      </c>
      <c r="P130" s="17">
        <v>1</v>
      </c>
      <c r="Q130" s="17"/>
      <c r="R130" s="17"/>
      <c r="S130" s="15"/>
      <c r="T130" s="25">
        <v>46194</v>
      </c>
      <c r="U130" s="13" t="s">
        <v>148</v>
      </c>
      <c r="V130">
        <v>8</v>
      </c>
      <c r="AA130" s="49" t="s">
        <v>87</v>
      </c>
      <c r="AB130" s="50" t="s">
        <v>37</v>
      </c>
    </row>
    <row r="131" spans="1:28" x14ac:dyDescent="0.4">
      <c r="A131" s="153"/>
      <c r="B131" s="143"/>
      <c r="C131" s="85" t="s">
        <v>276</v>
      </c>
      <c r="D131" s="109" t="s">
        <v>181</v>
      </c>
      <c r="E131" s="15" t="s">
        <v>40</v>
      </c>
      <c r="F131" s="16"/>
      <c r="G131" s="12" t="s">
        <v>178</v>
      </c>
      <c r="H131" s="15"/>
      <c r="I131" s="15"/>
      <c r="J131" s="13"/>
      <c r="K131" s="13"/>
      <c r="L131" s="13"/>
      <c r="M131" s="17"/>
      <c r="N131" s="17"/>
      <c r="O131" s="17">
        <v>1</v>
      </c>
      <c r="P131" s="17">
        <v>1</v>
      </c>
      <c r="Q131" s="17"/>
      <c r="R131" s="17"/>
      <c r="S131" s="15"/>
      <c r="T131" s="25">
        <v>46194</v>
      </c>
      <c r="U131" s="13" t="s">
        <v>148</v>
      </c>
      <c r="V131">
        <v>9</v>
      </c>
      <c r="AA131" s="49" t="s">
        <v>88</v>
      </c>
      <c r="AB131" s="50" t="s">
        <v>74</v>
      </c>
    </row>
    <row r="132" spans="1:28" x14ac:dyDescent="0.4">
      <c r="A132" s="153"/>
      <c r="B132" s="143"/>
      <c r="C132" s="85" t="s">
        <v>277</v>
      </c>
      <c r="D132" s="109" t="s">
        <v>181</v>
      </c>
      <c r="E132" s="15" t="s">
        <v>36</v>
      </c>
      <c r="F132" s="16"/>
      <c r="G132" s="12" t="s">
        <v>178</v>
      </c>
      <c r="H132" s="15"/>
      <c r="I132" s="15"/>
      <c r="J132" s="15">
        <v>1</v>
      </c>
      <c r="K132" s="15">
        <v>1</v>
      </c>
      <c r="L132" s="17"/>
      <c r="M132" s="17"/>
      <c r="N132" s="17"/>
      <c r="O132" s="17"/>
      <c r="P132" s="17"/>
      <c r="Q132" s="17"/>
      <c r="R132" s="17"/>
      <c r="S132" s="15"/>
      <c r="T132" s="25">
        <v>46201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53"/>
      <c r="B133" s="143"/>
      <c r="C133" s="85" t="s">
        <v>278</v>
      </c>
      <c r="D133" s="109" t="s">
        <v>181</v>
      </c>
      <c r="E133" s="15" t="s">
        <v>78</v>
      </c>
      <c r="F133" s="16"/>
      <c r="G133" s="12" t="s">
        <v>178</v>
      </c>
      <c r="H133" s="15"/>
      <c r="I133" s="15"/>
      <c r="J133" s="13">
        <v>1</v>
      </c>
      <c r="K133" s="13"/>
      <c r="L133" s="13"/>
      <c r="M133" s="17"/>
      <c r="N133" s="17"/>
      <c r="O133" s="17"/>
      <c r="P133" s="17"/>
      <c r="Q133" s="17"/>
      <c r="R133" s="17"/>
      <c r="S133" s="15"/>
      <c r="T133" s="25">
        <v>46194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53"/>
      <c r="B134" s="143"/>
      <c r="C134" s="85" t="s">
        <v>279</v>
      </c>
      <c r="D134" s="109" t="s">
        <v>197</v>
      </c>
      <c r="E134" s="15" t="s">
        <v>38</v>
      </c>
      <c r="F134" s="16"/>
      <c r="G134" s="12" t="s">
        <v>178</v>
      </c>
      <c r="H134" s="15"/>
      <c r="I134" s="15"/>
      <c r="J134" s="15"/>
      <c r="K134" s="15"/>
      <c r="L134" s="17"/>
      <c r="M134" s="17">
        <v>1</v>
      </c>
      <c r="N134" s="17">
        <v>1</v>
      </c>
      <c r="O134" s="17"/>
      <c r="P134" s="17"/>
      <c r="Q134" s="17">
        <v>1</v>
      </c>
      <c r="R134" s="17"/>
      <c r="S134" s="15"/>
      <c r="T134" s="25">
        <v>46183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53"/>
      <c r="B135" s="143"/>
      <c r="C135" s="85" t="s">
        <v>280</v>
      </c>
      <c r="D135" s="109" t="s">
        <v>181</v>
      </c>
      <c r="E135" s="15" t="s">
        <v>37</v>
      </c>
      <c r="F135" s="16"/>
      <c r="G135" s="12" t="s">
        <v>178</v>
      </c>
      <c r="H135" s="15"/>
      <c r="I135" s="15"/>
      <c r="J135" s="15"/>
      <c r="K135" s="15"/>
      <c r="L135" s="17"/>
      <c r="M135" s="17">
        <v>1</v>
      </c>
      <c r="N135" s="17">
        <v>1</v>
      </c>
      <c r="O135" s="17"/>
      <c r="P135" s="17"/>
      <c r="Q135" s="17"/>
      <c r="R135" s="17"/>
      <c r="S135" s="15"/>
      <c r="T135" s="25">
        <v>46201</v>
      </c>
      <c r="U135" s="13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53"/>
      <c r="B136" s="143"/>
      <c r="C136" s="85" t="s">
        <v>281</v>
      </c>
      <c r="D136" s="109" t="s">
        <v>179</v>
      </c>
      <c r="E136" s="15" t="s">
        <v>40</v>
      </c>
      <c r="F136" s="16"/>
      <c r="G136" s="12" t="s">
        <v>195</v>
      </c>
      <c r="H136" s="15"/>
      <c r="I136" s="15"/>
      <c r="J136" s="15"/>
      <c r="K136" s="15"/>
      <c r="L136" s="17"/>
      <c r="M136" s="17"/>
      <c r="N136" s="17"/>
      <c r="O136" s="17">
        <v>1</v>
      </c>
      <c r="P136" s="17">
        <v>1</v>
      </c>
      <c r="Q136" s="17"/>
      <c r="R136" s="17"/>
      <c r="S136" s="15"/>
      <c r="T136" s="25">
        <v>46197</v>
      </c>
      <c r="U136" s="13" t="s">
        <v>148</v>
      </c>
      <c r="V136">
        <v>14</v>
      </c>
      <c r="AA136" s="49" t="s">
        <v>93</v>
      </c>
      <c r="AB136" s="50" t="s">
        <v>57</v>
      </c>
    </row>
    <row r="137" spans="1:28" x14ac:dyDescent="0.4">
      <c r="A137" s="153"/>
      <c r="B137" s="143"/>
      <c r="C137" s="85" t="s">
        <v>282</v>
      </c>
      <c r="D137" s="109" t="s">
        <v>283</v>
      </c>
      <c r="E137" s="15" t="s">
        <v>38</v>
      </c>
      <c r="F137" s="16"/>
      <c r="G137" s="12" t="s">
        <v>178</v>
      </c>
      <c r="H137" s="15"/>
      <c r="I137" s="15"/>
      <c r="J137" s="15">
        <v>1</v>
      </c>
      <c r="K137" s="15"/>
      <c r="L137" s="17"/>
      <c r="M137" s="17"/>
      <c r="N137" s="17"/>
      <c r="O137" s="17"/>
      <c r="P137" s="17"/>
      <c r="Q137" s="17"/>
      <c r="R137" s="17"/>
      <c r="S137" s="15"/>
      <c r="T137" s="25">
        <v>46195</v>
      </c>
      <c r="U137" s="13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53"/>
      <c r="B138" s="143"/>
      <c r="C138" s="85" t="s">
        <v>284</v>
      </c>
      <c r="D138" s="110" t="s">
        <v>283</v>
      </c>
      <c r="E138" s="15" t="s">
        <v>40</v>
      </c>
      <c r="F138" s="16"/>
      <c r="G138" s="12" t="s">
        <v>178</v>
      </c>
      <c r="H138" s="15"/>
      <c r="I138" s="15"/>
      <c r="J138" s="18"/>
      <c r="K138" s="15"/>
      <c r="L138" s="19"/>
      <c r="M138" s="19"/>
      <c r="N138" s="13"/>
      <c r="O138" s="19">
        <v>1</v>
      </c>
      <c r="P138" s="19">
        <v>1</v>
      </c>
      <c r="Q138" s="19">
        <v>1</v>
      </c>
      <c r="R138" s="19"/>
      <c r="S138" s="15"/>
      <c r="T138" s="25">
        <v>46195</v>
      </c>
      <c r="U138" s="13" t="s">
        <v>148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53"/>
      <c r="B139" s="143"/>
      <c r="C139" s="85" t="s">
        <v>285</v>
      </c>
      <c r="D139" s="110" t="s">
        <v>193</v>
      </c>
      <c r="E139" s="15" t="s">
        <v>41</v>
      </c>
      <c r="F139" s="16"/>
      <c r="G139" s="12" t="s">
        <v>178</v>
      </c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30">
        <v>46191</v>
      </c>
      <c r="U139" s="13" t="s">
        <v>147</v>
      </c>
      <c r="V139">
        <v>17</v>
      </c>
      <c r="AA139" s="49" t="s">
        <v>96</v>
      </c>
      <c r="AB139" s="50" t="s">
        <v>61</v>
      </c>
    </row>
    <row r="140" spans="1:28" x14ac:dyDescent="0.4">
      <c r="A140" s="153"/>
      <c r="B140" s="143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3"/>
      <c r="B141" s="143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3"/>
      <c r="B142" s="143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3"/>
      <c r="B143" s="14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3"/>
      <c r="B144" s="14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3"/>
      <c r="B145" s="14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3"/>
      <c r="B146" s="14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4"/>
      <c r="B147" s="14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17</v>
      </c>
      <c r="D148" s="112"/>
      <c r="E148" s="29"/>
      <c r="F148" s="29" t="s">
        <v>34</v>
      </c>
      <c r="G148" s="29">
        <f>COUNTIF(G123:G147,"S")</f>
        <v>13</v>
      </c>
      <c r="H148" s="29">
        <f>COUNTIF(H123:H147,"E")</f>
        <v>0</v>
      </c>
      <c r="I148" s="29">
        <f>SUM(I123:I147)</f>
        <v>0</v>
      </c>
      <c r="J148" s="29">
        <f t="shared" ref="J148" si="11">SUM(J123:J147)</f>
        <v>8</v>
      </c>
      <c r="K148" s="29">
        <f t="shared" ref="K148" si="12">SUM(K123:K147)</f>
        <v>2</v>
      </c>
      <c r="L148" s="29">
        <f t="shared" ref="L148" si="13">SUM(L123:L147)</f>
        <v>0</v>
      </c>
      <c r="M148" s="29">
        <f t="shared" ref="M148" si="14">SUM(M123:M147)</f>
        <v>2</v>
      </c>
      <c r="N148" s="29">
        <f t="shared" ref="N148" si="15">SUM(N123:N147)</f>
        <v>2</v>
      </c>
      <c r="O148" s="29">
        <f t="shared" ref="O148" si="16">SUM(O123:O147)</f>
        <v>6</v>
      </c>
      <c r="P148" s="29">
        <f t="shared" ref="P148" si="17">SUM(P123:P147)</f>
        <v>6</v>
      </c>
      <c r="Q148" s="29">
        <f t="shared" ref="Q148" si="18">SUM(Q123:Q147)</f>
        <v>2</v>
      </c>
      <c r="R148" s="29">
        <f t="shared" ref="R148" si="19">SUM(R123:R147)</f>
        <v>1</v>
      </c>
      <c r="S148" s="29">
        <f t="shared" ref="S148" si="20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3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29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AYG141</v>
      </c>
      <c r="B151" s="24">
        <f>B1</f>
        <v>46163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51"/>
    </row>
    <row r="153" spans="1:28" ht="20.25" thickTop="1" thickBot="1" x14ac:dyDescent="0.45">
      <c r="A153" s="152">
        <v>6</v>
      </c>
      <c r="B153" s="155">
        <v>19.399999999999999</v>
      </c>
      <c r="C153" s="85" t="s">
        <v>257</v>
      </c>
      <c r="D153" s="109" t="s">
        <v>182</v>
      </c>
      <c r="E153" s="13" t="s">
        <v>58</v>
      </c>
      <c r="F153" s="14"/>
      <c r="G153" s="12" t="s">
        <v>178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>
        <v>1</v>
      </c>
      <c r="T153" s="25">
        <v>46201</v>
      </c>
      <c r="U153" s="13" t="s">
        <v>146</v>
      </c>
      <c r="V153">
        <v>1</v>
      </c>
      <c r="X153" s="51" t="s">
        <v>106</v>
      </c>
      <c r="Y153" s="52">
        <f>COUNTIF(U153:U177,"K")</f>
        <v>5</v>
      </c>
      <c r="AA153" s="59" t="s">
        <v>120</v>
      </c>
      <c r="AB153" s="60" t="s">
        <v>121</v>
      </c>
    </row>
    <row r="154" spans="1:28" x14ac:dyDescent="0.4">
      <c r="A154" s="153"/>
      <c r="B154" s="156"/>
      <c r="C154" s="85" t="s">
        <v>258</v>
      </c>
      <c r="D154" s="109" t="s">
        <v>183</v>
      </c>
      <c r="E154" s="13" t="s">
        <v>36</v>
      </c>
      <c r="F154" s="16"/>
      <c r="G154" s="12" t="s">
        <v>178</v>
      </c>
      <c r="H154" s="15"/>
      <c r="I154" s="15"/>
      <c r="J154" s="15"/>
      <c r="K154" s="15"/>
      <c r="L154" s="17"/>
      <c r="M154" s="17"/>
      <c r="N154" s="17">
        <v>1</v>
      </c>
      <c r="O154" s="17"/>
      <c r="P154" s="17"/>
      <c r="Q154" s="17"/>
      <c r="R154" s="17"/>
      <c r="S154" s="15"/>
      <c r="T154" s="25">
        <v>46197</v>
      </c>
      <c r="U154" s="13" t="s">
        <v>147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53"/>
      <c r="B155" s="156"/>
      <c r="C155" s="85" t="s">
        <v>259</v>
      </c>
      <c r="D155" s="109" t="s">
        <v>183</v>
      </c>
      <c r="E155" s="13" t="s">
        <v>38</v>
      </c>
      <c r="F155" s="16"/>
      <c r="G155" s="12" t="s">
        <v>178</v>
      </c>
      <c r="H155" s="13"/>
      <c r="I155" s="15"/>
      <c r="J155" s="13">
        <v>1</v>
      </c>
      <c r="K155" s="13"/>
      <c r="L155" s="13"/>
      <c r="M155" s="17"/>
      <c r="N155" s="17"/>
      <c r="O155" s="17"/>
      <c r="P155" s="17"/>
      <c r="Q155" s="17"/>
      <c r="R155" s="17"/>
      <c r="S155" s="15"/>
      <c r="T155" s="25">
        <v>46201</v>
      </c>
      <c r="U155" s="13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53"/>
      <c r="B156" s="156"/>
      <c r="C156" s="85" t="s">
        <v>260</v>
      </c>
      <c r="D156" s="109" t="s">
        <v>186</v>
      </c>
      <c r="E156" s="13" t="s">
        <v>59</v>
      </c>
      <c r="F156" s="16"/>
      <c r="G156" s="12" t="s">
        <v>178</v>
      </c>
      <c r="H156" s="15"/>
      <c r="I156" s="15"/>
      <c r="J156" s="15">
        <v>2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5">
        <v>46200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53"/>
      <c r="B157" s="156"/>
      <c r="C157" s="85" t="s">
        <v>261</v>
      </c>
      <c r="D157" s="109" t="s">
        <v>186</v>
      </c>
      <c r="E157" s="13" t="s">
        <v>59</v>
      </c>
      <c r="F157" s="16"/>
      <c r="G157" s="12" t="s">
        <v>178</v>
      </c>
      <c r="H157" s="15"/>
      <c r="I157" s="15"/>
      <c r="J157" s="13">
        <v>2</v>
      </c>
      <c r="K157" s="15"/>
      <c r="L157" s="13"/>
      <c r="M157" s="17"/>
      <c r="N157" s="17"/>
      <c r="O157" s="17"/>
      <c r="P157" s="17"/>
      <c r="Q157" s="17"/>
      <c r="R157" s="17"/>
      <c r="S157" s="15"/>
      <c r="T157" s="25">
        <v>46203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53"/>
      <c r="B158" s="156"/>
      <c r="C158" s="85" t="s">
        <v>262</v>
      </c>
      <c r="D158" s="109" t="s">
        <v>263</v>
      </c>
      <c r="E158" s="13" t="s">
        <v>36</v>
      </c>
      <c r="F158" s="16"/>
      <c r="G158" s="12" t="s">
        <v>178</v>
      </c>
      <c r="H158" s="13"/>
      <c r="I158" s="15"/>
      <c r="J158" s="13">
        <v>1</v>
      </c>
      <c r="K158" s="15">
        <v>1</v>
      </c>
      <c r="L158" s="13"/>
      <c r="M158" s="17"/>
      <c r="N158" s="17"/>
      <c r="O158" s="17"/>
      <c r="P158" s="17"/>
      <c r="Q158" s="17"/>
      <c r="R158" s="17"/>
      <c r="S158" s="15"/>
      <c r="T158" s="25">
        <v>46201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53"/>
      <c r="B159" s="156"/>
      <c r="C159" s="85" t="s">
        <v>264</v>
      </c>
      <c r="D159" s="109" t="s">
        <v>263</v>
      </c>
      <c r="E159" s="13" t="s">
        <v>36</v>
      </c>
      <c r="F159" s="16"/>
      <c r="G159" s="12" t="s">
        <v>178</v>
      </c>
      <c r="H159" s="15"/>
      <c r="I159" s="15"/>
      <c r="J159" s="13">
        <v>1</v>
      </c>
      <c r="K159" s="15">
        <v>1</v>
      </c>
      <c r="L159" s="13"/>
      <c r="M159" s="17"/>
      <c r="N159" s="17"/>
      <c r="O159" s="17"/>
      <c r="P159" s="17"/>
      <c r="Q159" s="17"/>
      <c r="R159" s="17"/>
      <c r="S159" s="15"/>
      <c r="T159" s="25">
        <v>46201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53"/>
      <c r="B160" s="156"/>
      <c r="C160" s="85" t="s">
        <v>265</v>
      </c>
      <c r="D160" s="109" t="s">
        <v>266</v>
      </c>
      <c r="E160" s="13" t="s">
        <v>75</v>
      </c>
      <c r="F160" s="16"/>
      <c r="G160" s="12" t="s">
        <v>178</v>
      </c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/>
      <c r="T160" s="25">
        <v>46197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53"/>
      <c r="B161" s="156"/>
      <c r="C161" s="85" t="s">
        <v>267</v>
      </c>
      <c r="D161" s="109" t="s">
        <v>179</v>
      </c>
      <c r="E161" s="13" t="s">
        <v>37</v>
      </c>
      <c r="F161" s="16"/>
      <c r="G161" s="12" t="s">
        <v>178</v>
      </c>
      <c r="H161" s="15"/>
      <c r="I161" s="15"/>
      <c r="J161" s="13"/>
      <c r="K161" s="15"/>
      <c r="L161" s="13"/>
      <c r="M161" s="17">
        <v>1</v>
      </c>
      <c r="N161" s="17">
        <v>1</v>
      </c>
      <c r="O161" s="17"/>
      <c r="P161" s="17"/>
      <c r="Q161" s="17">
        <v>1</v>
      </c>
      <c r="R161" s="17"/>
      <c r="S161" s="15"/>
      <c r="T161" s="25">
        <v>46200</v>
      </c>
      <c r="U161" s="13" t="s">
        <v>147</v>
      </c>
      <c r="V161">
        <v>9</v>
      </c>
      <c r="AA161" s="49" t="s">
        <v>88</v>
      </c>
      <c r="AB161" s="50" t="s">
        <v>74</v>
      </c>
    </row>
    <row r="162" spans="1:28" x14ac:dyDescent="0.4">
      <c r="A162" s="153"/>
      <c r="B162" s="156"/>
      <c r="C162" s="85"/>
      <c r="D162" s="109"/>
      <c r="E162" s="13"/>
      <c r="F162" s="138"/>
      <c r="G162" s="12"/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6"/>
      <c r="U162" s="13"/>
      <c r="V162">
        <v>10</v>
      </c>
      <c r="AA162" s="49" t="s">
        <v>89</v>
      </c>
      <c r="AB162" s="50" t="s">
        <v>36</v>
      </c>
    </row>
    <row r="163" spans="1:28" x14ac:dyDescent="0.4">
      <c r="A163" s="153"/>
      <c r="B163" s="156"/>
      <c r="C163" s="85"/>
      <c r="D163" s="109"/>
      <c r="E163" s="13"/>
      <c r="F163" s="16"/>
      <c r="G163" s="12"/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6"/>
      <c r="U163" s="13"/>
      <c r="V163">
        <v>11</v>
      </c>
      <c r="AA163" s="49" t="s">
        <v>90</v>
      </c>
      <c r="AB163" s="50" t="s">
        <v>58</v>
      </c>
    </row>
    <row r="164" spans="1:28" x14ac:dyDescent="0.4">
      <c r="A164" s="153"/>
      <c r="B164" s="156"/>
      <c r="C164" s="85"/>
      <c r="D164" s="109"/>
      <c r="E164" s="13"/>
      <c r="F164" s="16"/>
      <c r="G164" s="12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6"/>
      <c r="U164" s="13"/>
      <c r="V164">
        <v>12</v>
      </c>
      <c r="AA164" s="49" t="s">
        <v>91</v>
      </c>
      <c r="AB164" s="50" t="s">
        <v>75</v>
      </c>
    </row>
    <row r="165" spans="1:28" x14ac:dyDescent="0.4">
      <c r="A165" s="153"/>
      <c r="B165" s="156"/>
      <c r="C165" s="85"/>
      <c r="D165" s="109"/>
      <c r="E165" s="13"/>
      <c r="F165" s="16"/>
      <c r="G165" s="12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6"/>
      <c r="U165" s="13"/>
      <c r="V165">
        <v>13</v>
      </c>
      <c r="AA165" s="49" t="s">
        <v>92</v>
      </c>
      <c r="AB165" s="50" t="s">
        <v>40</v>
      </c>
    </row>
    <row r="166" spans="1:28" x14ac:dyDescent="0.4">
      <c r="A166" s="153"/>
      <c r="B166" s="156"/>
      <c r="C166" s="85"/>
      <c r="D166" s="109"/>
      <c r="E166" s="13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6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53"/>
      <c r="B167" s="156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53"/>
      <c r="B168" s="156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3"/>
      <c r="B169" s="15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3"/>
      <c r="B170" s="15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3"/>
      <c r="B171" s="15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3"/>
      <c r="B172" s="15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3"/>
      <c r="B173" s="15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3"/>
      <c r="B174" s="15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3"/>
      <c r="B175" s="15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3"/>
      <c r="B176" s="15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4"/>
      <c r="B177" s="15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9</v>
      </c>
      <c r="D178" s="112"/>
      <c r="E178" s="29"/>
      <c r="F178" s="29" t="s">
        <v>34</v>
      </c>
      <c r="G178" s="29">
        <f>COUNTIF(G153:G177,"S")</f>
        <v>9</v>
      </c>
      <c r="H178" s="29">
        <f>COUNTIF(H153:H177,"E")</f>
        <v>0</v>
      </c>
      <c r="I178" s="29">
        <f>SUM(I153:I177)</f>
        <v>0</v>
      </c>
      <c r="J178" s="29">
        <f t="shared" ref="J178" si="21">SUM(J153:J177)</f>
        <v>7</v>
      </c>
      <c r="K178" s="29">
        <f t="shared" ref="K178" si="22">SUM(K153:K177)</f>
        <v>2</v>
      </c>
      <c r="L178" s="29">
        <f t="shared" ref="L178" si="23">SUM(L153:L177)</f>
        <v>0</v>
      </c>
      <c r="M178" s="29">
        <f t="shared" ref="M178" si="24">SUM(M153:M177)</f>
        <v>1</v>
      </c>
      <c r="N178" s="29">
        <f t="shared" ref="N178" si="25">SUM(N153:N177)</f>
        <v>2</v>
      </c>
      <c r="O178" s="29">
        <f t="shared" ref="O178" si="26">SUM(O153:O177)</f>
        <v>0</v>
      </c>
      <c r="P178" s="29">
        <f t="shared" ref="P178" si="27">SUM(P153:P177)</f>
        <v>0</v>
      </c>
      <c r="Q178" s="29">
        <f t="shared" ref="Q178" si="28">SUM(Q153:Q177)</f>
        <v>1</v>
      </c>
      <c r="R178" s="29">
        <f t="shared" ref="R178" si="29">SUM(R153:R177)</f>
        <v>0</v>
      </c>
      <c r="S178" s="29">
        <f t="shared" ref="S178" si="30">SUM(S153:S177)</f>
        <v>1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14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51"/>
    </row>
    <row r="183" spans="1:28" ht="20.25" thickTop="1" thickBot="1" x14ac:dyDescent="0.45">
      <c r="A183" s="152">
        <v>7</v>
      </c>
      <c r="B183" s="155">
        <v>24.2</v>
      </c>
      <c r="C183" s="85" t="s">
        <v>237</v>
      </c>
      <c r="D183" s="109" t="s">
        <v>179</v>
      </c>
      <c r="E183" s="18" t="s">
        <v>38</v>
      </c>
      <c r="F183" s="16"/>
      <c r="G183" s="18" t="s">
        <v>178</v>
      </c>
      <c r="H183" s="15"/>
      <c r="I183" s="15"/>
      <c r="J183" s="18">
        <v>1</v>
      </c>
      <c r="K183" s="15"/>
      <c r="L183" s="18"/>
      <c r="M183" s="19"/>
      <c r="N183" s="19"/>
      <c r="O183" s="19"/>
      <c r="P183" s="19"/>
      <c r="Q183" s="19"/>
      <c r="R183" s="19"/>
      <c r="S183" s="15"/>
      <c r="T183" s="25">
        <v>46183</v>
      </c>
      <c r="U183" s="15" t="s">
        <v>146</v>
      </c>
      <c r="V183">
        <v>1</v>
      </c>
      <c r="X183" s="51" t="s">
        <v>106</v>
      </c>
      <c r="Y183" s="52">
        <f>COUNTIF(U183:U207,"K")</f>
        <v>11</v>
      </c>
      <c r="AA183" s="59" t="s">
        <v>120</v>
      </c>
      <c r="AB183" s="60" t="s">
        <v>121</v>
      </c>
    </row>
    <row r="184" spans="1:28" x14ac:dyDescent="0.4">
      <c r="A184" s="153"/>
      <c r="B184" s="156"/>
      <c r="C184" s="85" t="s">
        <v>238</v>
      </c>
      <c r="D184" s="109" t="s">
        <v>197</v>
      </c>
      <c r="E184" s="18" t="s">
        <v>74</v>
      </c>
      <c r="F184" s="16"/>
      <c r="G184" s="18" t="s">
        <v>178</v>
      </c>
      <c r="H184" s="15"/>
      <c r="I184" s="15"/>
      <c r="J184" s="18">
        <v>1</v>
      </c>
      <c r="K184" s="15"/>
      <c r="L184" s="18"/>
      <c r="M184" s="19"/>
      <c r="N184" s="19"/>
      <c r="O184" s="19"/>
      <c r="P184" s="19"/>
      <c r="Q184" s="19"/>
      <c r="R184" s="19"/>
      <c r="S184" s="132"/>
      <c r="T184" s="25">
        <v>46193</v>
      </c>
      <c r="U184" s="15" t="s">
        <v>146</v>
      </c>
      <c r="V184">
        <v>2</v>
      </c>
      <c r="X184" s="51" t="s">
        <v>107</v>
      </c>
      <c r="Y184" s="52">
        <f>COUNTIF(U183:U207,"R")</f>
        <v>6</v>
      </c>
      <c r="AA184" s="47" t="s">
        <v>81</v>
      </c>
      <c r="AB184" s="48" t="s">
        <v>60</v>
      </c>
    </row>
    <row r="185" spans="1:28" ht="19.5" thickBot="1" x14ac:dyDescent="0.45">
      <c r="A185" s="153"/>
      <c r="B185" s="156"/>
      <c r="C185" s="85" t="s">
        <v>239</v>
      </c>
      <c r="D185" s="109" t="s">
        <v>197</v>
      </c>
      <c r="E185" s="18" t="s">
        <v>74</v>
      </c>
      <c r="F185" s="16"/>
      <c r="G185" s="18" t="s">
        <v>178</v>
      </c>
      <c r="H185" s="15"/>
      <c r="I185" s="15"/>
      <c r="J185" s="18">
        <v>1</v>
      </c>
      <c r="K185" s="15"/>
      <c r="L185" s="18"/>
      <c r="M185" s="17"/>
      <c r="N185" s="17"/>
      <c r="O185" s="17"/>
      <c r="P185" s="17"/>
      <c r="Q185" s="17"/>
      <c r="R185" s="17"/>
      <c r="S185" s="15"/>
      <c r="T185" s="25">
        <v>46193</v>
      </c>
      <c r="U185" s="15" t="s">
        <v>146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53"/>
      <c r="B186" s="156"/>
      <c r="C186" s="85" t="s">
        <v>240</v>
      </c>
      <c r="D186" s="109" t="s">
        <v>179</v>
      </c>
      <c r="E186" s="18" t="s">
        <v>37</v>
      </c>
      <c r="F186" s="16"/>
      <c r="G186" s="18" t="s">
        <v>178</v>
      </c>
      <c r="H186" s="15"/>
      <c r="I186" s="15"/>
      <c r="J186" s="18"/>
      <c r="K186" s="15"/>
      <c r="L186" s="18"/>
      <c r="M186" s="17">
        <v>1</v>
      </c>
      <c r="N186" s="17">
        <v>1</v>
      </c>
      <c r="O186" s="17"/>
      <c r="P186" s="17"/>
      <c r="Q186" s="17">
        <v>1</v>
      </c>
      <c r="R186" s="17"/>
      <c r="S186" s="15"/>
      <c r="T186" s="25">
        <v>46196</v>
      </c>
      <c r="U186" s="1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53"/>
      <c r="B187" s="156"/>
      <c r="C187" s="85" t="s">
        <v>241</v>
      </c>
      <c r="D187" s="109" t="s">
        <v>184</v>
      </c>
      <c r="E187" s="18" t="s">
        <v>75</v>
      </c>
      <c r="F187" s="16"/>
      <c r="G187" s="18" t="s">
        <v>178</v>
      </c>
      <c r="H187" s="15"/>
      <c r="I187" s="15"/>
      <c r="J187" s="18"/>
      <c r="K187" s="15"/>
      <c r="L187" s="18"/>
      <c r="M187" s="17"/>
      <c r="N187" s="17"/>
      <c r="O187" s="17"/>
      <c r="P187" s="17"/>
      <c r="Q187" s="17"/>
      <c r="R187" s="17"/>
      <c r="S187" s="15"/>
      <c r="T187" s="25">
        <v>46201</v>
      </c>
      <c r="U187" s="1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53"/>
      <c r="B188" s="156"/>
      <c r="C188" s="85" t="s">
        <v>242</v>
      </c>
      <c r="D188" s="109" t="s">
        <v>179</v>
      </c>
      <c r="E188" s="18" t="s">
        <v>36</v>
      </c>
      <c r="F188" s="16"/>
      <c r="G188" s="18" t="s">
        <v>178</v>
      </c>
      <c r="H188" s="13"/>
      <c r="I188" s="15"/>
      <c r="J188" s="18">
        <v>1</v>
      </c>
      <c r="K188" s="15">
        <v>1</v>
      </c>
      <c r="L188" s="18"/>
      <c r="M188" s="17"/>
      <c r="N188" s="17"/>
      <c r="O188" s="17"/>
      <c r="P188" s="17"/>
      <c r="Q188" s="17"/>
      <c r="R188" s="17"/>
      <c r="S188" s="15"/>
      <c r="T188" s="25">
        <v>46193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53"/>
      <c r="B189" s="156"/>
      <c r="C189" s="85" t="s">
        <v>243</v>
      </c>
      <c r="D189" s="109" t="s">
        <v>184</v>
      </c>
      <c r="E189" s="18" t="s">
        <v>36</v>
      </c>
      <c r="F189" s="16"/>
      <c r="G189" s="18" t="s">
        <v>178</v>
      </c>
      <c r="H189" s="15"/>
      <c r="I189" s="15"/>
      <c r="J189" s="18">
        <v>1</v>
      </c>
      <c r="K189" s="15">
        <v>1</v>
      </c>
      <c r="L189" s="18"/>
      <c r="M189" s="17"/>
      <c r="N189" s="17"/>
      <c r="O189" s="17"/>
      <c r="P189" s="17"/>
      <c r="Q189" s="17"/>
      <c r="R189" s="17"/>
      <c r="S189" s="15"/>
      <c r="T189" s="25">
        <v>46206</v>
      </c>
      <c r="U189" s="1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53"/>
      <c r="B190" s="156"/>
      <c r="C190" s="85" t="s">
        <v>244</v>
      </c>
      <c r="D190" s="109" t="s">
        <v>179</v>
      </c>
      <c r="E190" s="18" t="s">
        <v>74</v>
      </c>
      <c r="F190" s="16"/>
      <c r="G190" s="18" t="s">
        <v>178</v>
      </c>
      <c r="H190" s="15"/>
      <c r="I190" s="15"/>
      <c r="J190" s="18">
        <v>1</v>
      </c>
      <c r="K190" s="15"/>
      <c r="L190" s="18"/>
      <c r="M190" s="17"/>
      <c r="N190" s="17"/>
      <c r="O190" s="17"/>
      <c r="P190" s="17"/>
      <c r="Q190" s="17"/>
      <c r="R190" s="17"/>
      <c r="S190" s="15"/>
      <c r="T190" s="25">
        <v>46190</v>
      </c>
      <c r="U190" s="1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53"/>
      <c r="B191" s="156"/>
      <c r="C191" s="85" t="s">
        <v>245</v>
      </c>
      <c r="D191" s="109" t="s">
        <v>179</v>
      </c>
      <c r="E191" s="18" t="s">
        <v>74</v>
      </c>
      <c r="F191" s="16"/>
      <c r="G191" s="18" t="s">
        <v>178</v>
      </c>
      <c r="H191" s="15"/>
      <c r="I191" s="15"/>
      <c r="J191" s="18">
        <v>1</v>
      </c>
      <c r="K191" s="15">
        <v>1</v>
      </c>
      <c r="L191" s="18"/>
      <c r="M191" s="17"/>
      <c r="N191" s="17"/>
      <c r="O191" s="17"/>
      <c r="P191" s="17"/>
      <c r="Q191" s="17"/>
      <c r="R191" s="17"/>
      <c r="S191" s="15"/>
      <c r="T191" s="25">
        <v>46194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53"/>
      <c r="B192" s="156"/>
      <c r="C192" s="85" t="s">
        <v>246</v>
      </c>
      <c r="D192" s="109" t="s">
        <v>247</v>
      </c>
      <c r="E192" s="18" t="s">
        <v>39</v>
      </c>
      <c r="F192" s="16"/>
      <c r="G192" s="18" t="s">
        <v>178</v>
      </c>
      <c r="H192" s="15"/>
      <c r="I192" s="15"/>
      <c r="J192" s="18">
        <v>1</v>
      </c>
      <c r="K192" s="15">
        <v>1</v>
      </c>
      <c r="L192" s="18"/>
      <c r="M192" s="17"/>
      <c r="N192" s="17"/>
      <c r="O192" s="17"/>
      <c r="P192" s="17"/>
      <c r="Q192" s="17"/>
      <c r="R192" s="17"/>
      <c r="S192" s="15"/>
      <c r="T192" s="25">
        <v>46191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53"/>
      <c r="B193" s="156"/>
      <c r="C193" s="85" t="s">
        <v>248</v>
      </c>
      <c r="D193" s="109" t="s">
        <v>247</v>
      </c>
      <c r="E193" s="18" t="s">
        <v>39</v>
      </c>
      <c r="F193" s="16"/>
      <c r="G193" s="18" t="s">
        <v>178</v>
      </c>
      <c r="H193" s="15"/>
      <c r="I193" s="15"/>
      <c r="J193" s="18">
        <v>1</v>
      </c>
      <c r="K193" s="15"/>
      <c r="L193" s="18"/>
      <c r="M193" s="17"/>
      <c r="N193" s="17"/>
      <c r="O193" s="17"/>
      <c r="P193" s="17"/>
      <c r="Q193" s="17"/>
      <c r="R193" s="17"/>
      <c r="S193" s="15"/>
      <c r="T193" s="25">
        <v>46232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53"/>
      <c r="B194" s="156"/>
      <c r="C194" s="85" t="s">
        <v>249</v>
      </c>
      <c r="D194" s="109" t="s">
        <v>247</v>
      </c>
      <c r="E194" s="18" t="s">
        <v>39</v>
      </c>
      <c r="F194" s="16"/>
      <c r="G194" s="18" t="s">
        <v>178</v>
      </c>
      <c r="H194" s="15"/>
      <c r="I194" s="15"/>
      <c r="J194" s="18">
        <v>1</v>
      </c>
      <c r="K194" s="15"/>
      <c r="L194" s="18"/>
      <c r="M194" s="17"/>
      <c r="N194" s="17"/>
      <c r="O194" s="17"/>
      <c r="P194" s="17"/>
      <c r="Q194" s="17"/>
      <c r="R194" s="17"/>
      <c r="S194" s="15"/>
      <c r="T194" s="25">
        <v>46201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53"/>
      <c r="B195" s="156"/>
      <c r="C195" s="85" t="s">
        <v>250</v>
      </c>
      <c r="D195" s="109" t="s">
        <v>179</v>
      </c>
      <c r="E195" s="18" t="s">
        <v>37</v>
      </c>
      <c r="F195" s="16"/>
      <c r="G195" s="18" t="s">
        <v>178</v>
      </c>
      <c r="H195" s="15"/>
      <c r="I195" s="15"/>
      <c r="J195" s="18"/>
      <c r="K195" s="15"/>
      <c r="L195" s="18"/>
      <c r="M195" s="17">
        <v>1</v>
      </c>
      <c r="N195" s="17">
        <v>1</v>
      </c>
      <c r="O195" s="17"/>
      <c r="P195" s="17"/>
      <c r="Q195" s="17">
        <v>1</v>
      </c>
      <c r="R195" s="17"/>
      <c r="S195" s="15"/>
      <c r="T195" s="25">
        <v>46194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53"/>
      <c r="B196" s="156"/>
      <c r="C196" s="85" t="s">
        <v>251</v>
      </c>
      <c r="D196" s="109" t="s">
        <v>182</v>
      </c>
      <c r="E196" s="18" t="s">
        <v>44</v>
      </c>
      <c r="F196" s="16"/>
      <c r="G196" s="18" t="s">
        <v>178</v>
      </c>
      <c r="H196" s="15"/>
      <c r="I196" s="15"/>
      <c r="J196" s="18">
        <v>1</v>
      </c>
      <c r="K196" s="15">
        <v>1</v>
      </c>
      <c r="L196" s="18"/>
      <c r="M196" s="17"/>
      <c r="N196" s="17"/>
      <c r="O196" s="17"/>
      <c r="P196" s="17"/>
      <c r="Q196" s="17"/>
      <c r="R196" s="17"/>
      <c r="S196" s="15"/>
      <c r="T196" s="25">
        <v>46193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53"/>
      <c r="B197" s="156"/>
      <c r="C197" s="85" t="s">
        <v>252</v>
      </c>
      <c r="D197" s="109" t="s">
        <v>253</v>
      </c>
      <c r="E197" s="18" t="s">
        <v>39</v>
      </c>
      <c r="F197" s="16"/>
      <c r="G197" s="18" t="s">
        <v>178</v>
      </c>
      <c r="H197" s="15"/>
      <c r="I197" s="15"/>
      <c r="J197" s="18">
        <v>1</v>
      </c>
      <c r="K197" s="15"/>
      <c r="L197" s="18"/>
      <c r="M197" s="17"/>
      <c r="N197" s="17"/>
      <c r="O197" s="17"/>
      <c r="P197" s="17"/>
      <c r="Q197" s="17"/>
      <c r="R197" s="17"/>
      <c r="S197" s="15"/>
      <c r="T197" s="25">
        <v>46223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53"/>
      <c r="B198" s="156"/>
      <c r="C198" s="85" t="s">
        <v>254</v>
      </c>
      <c r="D198" s="110" t="s">
        <v>255</v>
      </c>
      <c r="E198" s="18" t="s">
        <v>36</v>
      </c>
      <c r="F198" s="16"/>
      <c r="G198" s="18" t="s">
        <v>178</v>
      </c>
      <c r="H198" s="15"/>
      <c r="I198" s="15"/>
      <c r="J198" s="18"/>
      <c r="K198" s="15"/>
      <c r="L198" s="18"/>
      <c r="M198" s="19">
        <v>1</v>
      </c>
      <c r="N198" s="19">
        <v>1</v>
      </c>
      <c r="O198" s="19"/>
      <c r="P198" s="19"/>
      <c r="Q198" s="19">
        <v>1</v>
      </c>
      <c r="R198" s="19"/>
      <c r="S198" s="15"/>
      <c r="T198" s="25">
        <v>46194</v>
      </c>
      <c r="U198" s="132" t="s">
        <v>147</v>
      </c>
      <c r="V198">
        <v>16</v>
      </c>
      <c r="AA198" s="49" t="s">
        <v>95</v>
      </c>
      <c r="AB198" s="50" t="s">
        <v>42</v>
      </c>
    </row>
    <row r="199" spans="1:28" x14ac:dyDescent="0.4">
      <c r="A199" s="153"/>
      <c r="B199" s="156"/>
      <c r="C199" s="85" t="s">
        <v>256</v>
      </c>
      <c r="D199" s="110" t="s">
        <v>185</v>
      </c>
      <c r="E199" s="18" t="s">
        <v>37</v>
      </c>
      <c r="F199" s="16"/>
      <c r="G199" s="18" t="s">
        <v>178</v>
      </c>
      <c r="H199" s="15"/>
      <c r="I199" s="15"/>
      <c r="J199" s="18"/>
      <c r="K199" s="15"/>
      <c r="L199" s="19"/>
      <c r="M199" s="19">
        <v>1</v>
      </c>
      <c r="N199" s="19">
        <v>1</v>
      </c>
      <c r="O199" s="19"/>
      <c r="P199" s="19"/>
      <c r="Q199" s="19">
        <v>1</v>
      </c>
      <c r="R199" s="19"/>
      <c r="S199" s="15"/>
      <c r="T199" s="30">
        <v>46194</v>
      </c>
      <c r="U199" s="15" t="s">
        <v>147</v>
      </c>
      <c r="V199">
        <v>17</v>
      </c>
      <c r="AA199" s="49" t="s">
        <v>96</v>
      </c>
      <c r="AB199" s="50" t="s">
        <v>61</v>
      </c>
    </row>
    <row r="200" spans="1:28" x14ac:dyDescent="0.4">
      <c r="A200" s="153"/>
      <c r="B200" s="15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3"/>
      <c r="B201" s="15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5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3"/>
      <c r="B202" s="15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3"/>
      <c r="B203" s="15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3"/>
      <c r="B204" s="15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3"/>
      <c r="B205" s="15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3"/>
      <c r="B206" s="15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4"/>
      <c r="B207" s="15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17</v>
      </c>
      <c r="D208" s="112"/>
      <c r="E208" s="29"/>
      <c r="F208" s="29" t="s">
        <v>34</v>
      </c>
      <c r="G208" s="29">
        <f>COUNTIF(G183:G207,"S")</f>
        <v>17</v>
      </c>
      <c r="H208" s="29">
        <f>COUNTIF(H183:H207,"E")</f>
        <v>0</v>
      </c>
      <c r="I208" s="29">
        <f>SUM(I183:I207)</f>
        <v>0</v>
      </c>
      <c r="J208" s="29">
        <f t="shared" ref="J208" si="31">SUM(J183:J207)</f>
        <v>12</v>
      </c>
      <c r="K208" s="29">
        <f t="shared" ref="K208" si="32">SUM(K183:K207)</f>
        <v>5</v>
      </c>
      <c r="L208" s="29">
        <f t="shared" ref="L208" si="33">SUM(L183:L207)</f>
        <v>0</v>
      </c>
      <c r="M208" s="29">
        <f t="shared" ref="M208" si="34">SUM(M183:M207)</f>
        <v>4</v>
      </c>
      <c r="N208" s="29">
        <f t="shared" ref="N208" si="35">SUM(N183:N207)</f>
        <v>4</v>
      </c>
      <c r="O208" s="29">
        <f t="shared" ref="O208" si="36">SUM(O183:O207)</f>
        <v>0</v>
      </c>
      <c r="P208" s="29">
        <f t="shared" ref="P208" si="37">SUM(P183:P207)</f>
        <v>0</v>
      </c>
      <c r="Q208" s="29">
        <f t="shared" ref="Q208" si="38">SUM(Q183:Q207)</f>
        <v>4</v>
      </c>
      <c r="R208" s="29">
        <f t="shared" ref="R208" si="39">SUM(R183:R207)</f>
        <v>0</v>
      </c>
      <c r="S208" s="29">
        <f t="shared" ref="S208" si="40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29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AYG141</v>
      </c>
      <c r="B211" s="24">
        <f>B1</f>
        <v>46163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51"/>
    </row>
    <row r="213" spans="1:28" ht="20.25" thickTop="1" thickBot="1" x14ac:dyDescent="0.45">
      <c r="A213" s="152">
        <v>8</v>
      </c>
      <c r="B213" s="155">
        <v>20</v>
      </c>
      <c r="C213" s="85" t="s">
        <v>218</v>
      </c>
      <c r="D213" s="109" t="s">
        <v>179</v>
      </c>
      <c r="E213" s="15" t="s">
        <v>36</v>
      </c>
      <c r="F213" s="16"/>
      <c r="G213" s="15" t="s">
        <v>178</v>
      </c>
      <c r="H213" s="15"/>
      <c r="I213" s="15"/>
      <c r="J213" s="15">
        <v>1</v>
      </c>
      <c r="K213" s="15">
        <v>1</v>
      </c>
      <c r="L213" s="17"/>
      <c r="M213" s="17"/>
      <c r="N213" s="17"/>
      <c r="O213" s="17"/>
      <c r="P213" s="17"/>
      <c r="Q213" s="17"/>
      <c r="R213" s="17"/>
      <c r="S213" s="15"/>
      <c r="T213" s="25">
        <v>46181</v>
      </c>
      <c r="U213" s="15" t="s">
        <v>146</v>
      </c>
      <c r="V213">
        <v>1</v>
      </c>
      <c r="X213" s="51" t="s">
        <v>106</v>
      </c>
      <c r="Y213" s="52">
        <f>COUNTIF(U213:U237,"K")</f>
        <v>10</v>
      </c>
      <c r="AA213" s="59" t="s">
        <v>120</v>
      </c>
      <c r="AB213" s="60" t="s">
        <v>121</v>
      </c>
    </row>
    <row r="214" spans="1:28" x14ac:dyDescent="0.4">
      <c r="A214" s="153"/>
      <c r="B214" s="156"/>
      <c r="C214" s="85" t="s">
        <v>219</v>
      </c>
      <c r="D214" s="109" t="s">
        <v>179</v>
      </c>
      <c r="E214" s="15" t="s">
        <v>36</v>
      </c>
      <c r="F214" s="16"/>
      <c r="G214" s="15" t="s">
        <v>178</v>
      </c>
      <c r="H214" s="15"/>
      <c r="I214" s="15"/>
      <c r="J214" s="15">
        <v>1</v>
      </c>
      <c r="K214" s="15">
        <v>1</v>
      </c>
      <c r="L214" s="15"/>
      <c r="M214" s="19"/>
      <c r="N214" s="19"/>
      <c r="O214" s="19"/>
      <c r="P214" s="19"/>
      <c r="Q214" s="19"/>
      <c r="R214" s="19"/>
      <c r="S214" s="15"/>
      <c r="T214" s="25">
        <v>46181</v>
      </c>
      <c r="U214" s="15" t="s">
        <v>146</v>
      </c>
      <c r="V214">
        <v>2</v>
      </c>
      <c r="X214" s="51" t="s">
        <v>107</v>
      </c>
      <c r="Y214" s="52">
        <f>COUNTIF(U213:U237,"R")</f>
        <v>8</v>
      </c>
      <c r="AA214" s="47" t="s">
        <v>81</v>
      </c>
      <c r="AB214" s="48" t="s">
        <v>60</v>
      </c>
    </row>
    <row r="215" spans="1:28" ht="19.5" thickBot="1" x14ac:dyDescent="0.45">
      <c r="A215" s="153"/>
      <c r="B215" s="156"/>
      <c r="C215" s="85" t="s">
        <v>220</v>
      </c>
      <c r="D215" s="109" t="s">
        <v>198</v>
      </c>
      <c r="E215" s="15" t="s">
        <v>36</v>
      </c>
      <c r="F215" s="16"/>
      <c r="G215" s="15" t="s">
        <v>178</v>
      </c>
      <c r="H215" s="15"/>
      <c r="I215" s="15"/>
      <c r="J215" s="15">
        <v>1</v>
      </c>
      <c r="K215" s="15">
        <v>1</v>
      </c>
      <c r="L215" s="15"/>
      <c r="M215" s="19"/>
      <c r="N215" s="19"/>
      <c r="O215" s="19"/>
      <c r="P215" s="19"/>
      <c r="Q215" s="19"/>
      <c r="R215" s="19"/>
      <c r="S215" s="15"/>
      <c r="T215" s="25">
        <v>46211</v>
      </c>
      <c r="U215" s="15" t="s">
        <v>146</v>
      </c>
      <c r="V215">
        <v>3</v>
      </c>
      <c r="X215" s="53" t="s">
        <v>108</v>
      </c>
      <c r="Y215" s="54">
        <f>COUNTIF(U213:U237,"J")</f>
        <v>1</v>
      </c>
      <c r="AA215" s="49" t="s">
        <v>82</v>
      </c>
      <c r="AB215" s="50" t="s">
        <v>39</v>
      </c>
    </row>
    <row r="216" spans="1:28" x14ac:dyDescent="0.4">
      <c r="A216" s="153"/>
      <c r="B216" s="156"/>
      <c r="C216" s="85" t="s">
        <v>221</v>
      </c>
      <c r="D216" s="109" t="s">
        <v>196</v>
      </c>
      <c r="E216" s="15" t="s">
        <v>37</v>
      </c>
      <c r="F216" s="16"/>
      <c r="G216" s="15" t="s">
        <v>178</v>
      </c>
      <c r="H216" s="15"/>
      <c r="I216" s="15"/>
      <c r="J216" s="15"/>
      <c r="K216" s="15"/>
      <c r="L216" s="15"/>
      <c r="M216" s="19">
        <v>1</v>
      </c>
      <c r="N216" s="19">
        <v>1</v>
      </c>
      <c r="O216" s="19"/>
      <c r="P216" s="19"/>
      <c r="Q216" s="19">
        <v>1</v>
      </c>
      <c r="R216" s="19"/>
      <c r="S216" s="15"/>
      <c r="T216" s="25">
        <v>46190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53"/>
      <c r="B217" s="156"/>
      <c r="C217" s="85" t="s">
        <v>222</v>
      </c>
      <c r="D217" s="109" t="s">
        <v>196</v>
      </c>
      <c r="E217" s="15" t="s">
        <v>58</v>
      </c>
      <c r="F217" s="16"/>
      <c r="G217" s="15" t="s">
        <v>178</v>
      </c>
      <c r="H217" s="15"/>
      <c r="I217" s="15"/>
      <c r="J217" s="15"/>
      <c r="K217" s="15"/>
      <c r="L217" s="15"/>
      <c r="M217" s="19"/>
      <c r="N217" s="19"/>
      <c r="O217" s="19"/>
      <c r="P217" s="19"/>
      <c r="Q217" s="19"/>
      <c r="R217" s="19"/>
      <c r="S217" s="15"/>
      <c r="T217" s="25">
        <v>46204</v>
      </c>
      <c r="U217" s="15" t="s">
        <v>147</v>
      </c>
      <c r="V217">
        <v>5</v>
      </c>
      <c r="AA217" s="49" t="s">
        <v>84</v>
      </c>
      <c r="AB217" s="50" t="s">
        <v>44</v>
      </c>
    </row>
    <row r="218" spans="1:28" x14ac:dyDescent="0.4">
      <c r="A218" s="153"/>
      <c r="B218" s="156"/>
      <c r="C218" s="85" t="s">
        <v>223</v>
      </c>
      <c r="D218" s="109" t="s">
        <v>179</v>
      </c>
      <c r="E218" s="15" t="s">
        <v>44</v>
      </c>
      <c r="F218" s="16"/>
      <c r="G218" s="15" t="s">
        <v>178</v>
      </c>
      <c r="H218" s="15"/>
      <c r="I218" s="15"/>
      <c r="J218" s="15"/>
      <c r="K218" s="15"/>
      <c r="L218" s="15"/>
      <c r="M218" s="19">
        <v>1</v>
      </c>
      <c r="N218" s="19">
        <v>1</v>
      </c>
      <c r="O218" s="19"/>
      <c r="P218" s="19"/>
      <c r="Q218" s="19">
        <v>1</v>
      </c>
      <c r="R218" s="19"/>
      <c r="S218" s="15"/>
      <c r="T218" s="25">
        <v>46197</v>
      </c>
      <c r="U218" s="15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53"/>
      <c r="B219" s="156"/>
      <c r="C219" s="85" t="s">
        <v>224</v>
      </c>
      <c r="D219" s="109" t="s">
        <v>179</v>
      </c>
      <c r="E219" s="15" t="s">
        <v>37</v>
      </c>
      <c r="F219" s="16"/>
      <c r="G219" s="15" t="s">
        <v>178</v>
      </c>
      <c r="H219" s="15"/>
      <c r="I219" s="15"/>
      <c r="J219" s="15"/>
      <c r="K219" s="15"/>
      <c r="L219" s="15"/>
      <c r="M219" s="19">
        <v>1</v>
      </c>
      <c r="N219" s="19">
        <v>1</v>
      </c>
      <c r="O219" s="19"/>
      <c r="P219" s="19"/>
      <c r="Q219" s="19">
        <v>1</v>
      </c>
      <c r="R219" s="19"/>
      <c r="S219" s="15"/>
      <c r="T219" s="25">
        <v>46197</v>
      </c>
      <c r="U219" s="15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53"/>
      <c r="B220" s="156"/>
      <c r="C220" s="85" t="s">
        <v>225</v>
      </c>
      <c r="D220" s="109" t="s">
        <v>180</v>
      </c>
      <c r="E220" s="15" t="s">
        <v>75</v>
      </c>
      <c r="F220" s="16"/>
      <c r="G220" s="15" t="s">
        <v>178</v>
      </c>
      <c r="H220" s="15"/>
      <c r="I220" s="15"/>
      <c r="J220" s="15"/>
      <c r="K220" s="15"/>
      <c r="L220" s="15"/>
      <c r="M220" s="17"/>
      <c r="N220" s="17"/>
      <c r="O220" s="17"/>
      <c r="P220" s="17"/>
      <c r="Q220" s="17"/>
      <c r="R220" s="17"/>
      <c r="S220" s="15">
        <v>1</v>
      </c>
      <c r="T220" s="25">
        <v>46201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53"/>
      <c r="B221" s="156"/>
      <c r="C221" s="85" t="s">
        <v>226</v>
      </c>
      <c r="D221" s="109" t="s">
        <v>180</v>
      </c>
      <c r="E221" s="15" t="s">
        <v>40</v>
      </c>
      <c r="F221" s="16"/>
      <c r="G221" s="15" t="s">
        <v>178</v>
      </c>
      <c r="H221" s="15"/>
      <c r="I221" s="15"/>
      <c r="J221" s="15"/>
      <c r="K221" s="15"/>
      <c r="L221" s="15"/>
      <c r="M221" s="17"/>
      <c r="N221" s="17"/>
      <c r="O221" s="17">
        <v>1</v>
      </c>
      <c r="P221" s="17">
        <v>1</v>
      </c>
      <c r="Q221" s="17">
        <v>1</v>
      </c>
      <c r="R221" s="17"/>
      <c r="S221" s="15"/>
      <c r="T221" s="25">
        <v>46202</v>
      </c>
      <c r="U221" s="15" t="s">
        <v>148</v>
      </c>
      <c r="V221">
        <v>9</v>
      </c>
      <c r="AA221" s="49" t="s">
        <v>88</v>
      </c>
      <c r="AB221" s="50" t="s">
        <v>74</v>
      </c>
    </row>
    <row r="222" spans="1:28" x14ac:dyDescent="0.4">
      <c r="A222" s="153"/>
      <c r="B222" s="156"/>
      <c r="C222" s="85" t="s">
        <v>227</v>
      </c>
      <c r="D222" s="109" t="s">
        <v>228</v>
      </c>
      <c r="E222" s="15" t="s">
        <v>36</v>
      </c>
      <c r="F222" s="138"/>
      <c r="G222" s="15" t="s">
        <v>178</v>
      </c>
      <c r="H222" s="15"/>
      <c r="I222" s="15"/>
      <c r="J222" s="15"/>
      <c r="K222" s="15"/>
      <c r="L222" s="15"/>
      <c r="M222" s="17">
        <v>1</v>
      </c>
      <c r="N222" s="17">
        <v>1</v>
      </c>
      <c r="O222" s="17"/>
      <c r="P222" s="17"/>
      <c r="Q222" s="17">
        <v>1</v>
      </c>
      <c r="R222" s="17"/>
      <c r="S222" s="15"/>
      <c r="T222" s="25">
        <v>46199</v>
      </c>
      <c r="U222" s="15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53"/>
      <c r="B223" s="156"/>
      <c r="C223" s="85" t="s">
        <v>229</v>
      </c>
      <c r="D223" s="109" t="s">
        <v>228</v>
      </c>
      <c r="E223" s="15" t="s">
        <v>38</v>
      </c>
      <c r="F223" s="16"/>
      <c r="G223" s="15" t="s">
        <v>178</v>
      </c>
      <c r="H223" s="15"/>
      <c r="I223" s="15"/>
      <c r="J223" s="15">
        <v>1</v>
      </c>
      <c r="K223" s="15"/>
      <c r="L223" s="15"/>
      <c r="M223" s="17"/>
      <c r="N223" s="17"/>
      <c r="O223" s="17"/>
      <c r="P223" s="17"/>
      <c r="Q223" s="17"/>
      <c r="R223" s="17"/>
      <c r="S223" s="15"/>
      <c r="T223" s="25">
        <v>46199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53"/>
      <c r="B224" s="156"/>
      <c r="C224" s="85" t="s">
        <v>230</v>
      </c>
      <c r="D224" s="109" t="s">
        <v>228</v>
      </c>
      <c r="E224" s="15" t="s">
        <v>37</v>
      </c>
      <c r="F224" s="16"/>
      <c r="G224" s="15" t="s">
        <v>178</v>
      </c>
      <c r="H224" s="15"/>
      <c r="I224" s="15"/>
      <c r="J224" s="15">
        <v>1</v>
      </c>
      <c r="K224" s="15">
        <v>1</v>
      </c>
      <c r="L224" s="15"/>
      <c r="M224" s="17"/>
      <c r="N224" s="17"/>
      <c r="O224" s="17"/>
      <c r="P224" s="17"/>
      <c r="Q224" s="17"/>
      <c r="R224" s="17"/>
      <c r="S224" s="15"/>
      <c r="T224" s="25">
        <v>46199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53"/>
      <c r="B225" s="156"/>
      <c r="C225" s="85" t="s">
        <v>231</v>
      </c>
      <c r="D225" s="109" t="s">
        <v>228</v>
      </c>
      <c r="E225" s="15" t="s">
        <v>38</v>
      </c>
      <c r="F225" s="16"/>
      <c r="G225" s="15" t="s">
        <v>178</v>
      </c>
      <c r="H225" s="15"/>
      <c r="I225" s="15"/>
      <c r="J225" s="15">
        <v>1</v>
      </c>
      <c r="K225" s="15"/>
      <c r="L225" s="15"/>
      <c r="M225" s="17"/>
      <c r="N225" s="17"/>
      <c r="O225" s="17"/>
      <c r="P225" s="17"/>
      <c r="Q225" s="17"/>
      <c r="R225" s="17"/>
      <c r="S225" s="15"/>
      <c r="T225" s="25">
        <v>46199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53"/>
      <c r="B226" s="156"/>
      <c r="C226" s="85" t="s">
        <v>232</v>
      </c>
      <c r="D226" s="109" t="s">
        <v>228</v>
      </c>
      <c r="E226" s="15" t="s">
        <v>36</v>
      </c>
      <c r="F226" s="16"/>
      <c r="G226" s="15" t="s">
        <v>178</v>
      </c>
      <c r="H226" s="15"/>
      <c r="I226" s="15"/>
      <c r="J226" s="15"/>
      <c r="K226" s="15"/>
      <c r="L226" s="15"/>
      <c r="M226" s="17"/>
      <c r="N226" s="17"/>
      <c r="O226" s="17"/>
      <c r="P226" s="17"/>
      <c r="Q226" s="17"/>
      <c r="R226" s="17"/>
      <c r="S226" s="15"/>
      <c r="T226" s="25">
        <v>46199</v>
      </c>
      <c r="U226" s="15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53"/>
      <c r="B227" s="156"/>
      <c r="C227" s="85" t="s">
        <v>233</v>
      </c>
      <c r="D227" s="109">
        <v>1101</v>
      </c>
      <c r="E227" s="15" t="s">
        <v>38</v>
      </c>
      <c r="F227" s="16"/>
      <c r="G227" s="15" t="s">
        <v>178</v>
      </c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/>
      <c r="T227" s="25">
        <v>46196</v>
      </c>
      <c r="U227" s="15" t="s">
        <v>147</v>
      </c>
      <c r="V227">
        <v>15</v>
      </c>
      <c r="AA227" s="49" t="s">
        <v>94</v>
      </c>
      <c r="AB227" s="50" t="s">
        <v>41</v>
      </c>
    </row>
    <row r="228" spans="1:28" x14ac:dyDescent="0.4">
      <c r="A228" s="153"/>
      <c r="B228" s="156"/>
      <c r="C228" s="85" t="s">
        <v>234</v>
      </c>
      <c r="D228" s="110" t="s">
        <v>235</v>
      </c>
      <c r="E228" s="106" t="s">
        <v>37</v>
      </c>
      <c r="F228" s="16"/>
      <c r="G228" s="15" t="s">
        <v>178</v>
      </c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>
        <v>46196</v>
      </c>
      <c r="U228" s="15" t="s">
        <v>147</v>
      </c>
      <c r="V228">
        <v>16</v>
      </c>
      <c r="AA228" s="49" t="s">
        <v>95</v>
      </c>
      <c r="AB228" s="50" t="s">
        <v>42</v>
      </c>
    </row>
    <row r="229" spans="1:28" x14ac:dyDescent="0.4">
      <c r="A229" s="153"/>
      <c r="B229" s="156"/>
      <c r="C229" s="85" t="s">
        <v>236</v>
      </c>
      <c r="D229" s="110" t="s">
        <v>194</v>
      </c>
      <c r="E229" s="106" t="s">
        <v>38</v>
      </c>
      <c r="F229" s="16"/>
      <c r="G229" s="12" t="s">
        <v>178</v>
      </c>
      <c r="H229" s="15"/>
      <c r="I229" s="15"/>
      <c r="J229" s="18">
        <v>1</v>
      </c>
      <c r="K229" s="15"/>
      <c r="L229" s="19"/>
      <c r="M229" s="19"/>
      <c r="N229" s="19"/>
      <c r="O229" s="19"/>
      <c r="P229" s="19"/>
      <c r="Q229" s="19"/>
      <c r="R229" s="19"/>
      <c r="S229" s="15"/>
      <c r="T229" s="30">
        <v>46196</v>
      </c>
      <c r="U229" s="13" t="s">
        <v>146</v>
      </c>
      <c r="V229">
        <v>17</v>
      </c>
      <c r="AA229" s="49" t="s">
        <v>96</v>
      </c>
      <c r="AB229" s="50" t="s">
        <v>61</v>
      </c>
    </row>
    <row r="230" spans="1:28" x14ac:dyDescent="0.4">
      <c r="A230" s="153"/>
      <c r="B230" s="156"/>
      <c r="C230" s="85" t="s">
        <v>336</v>
      </c>
      <c r="D230" s="106" t="s">
        <v>193</v>
      </c>
      <c r="E230" s="18" t="s">
        <v>42</v>
      </c>
      <c r="F230" s="16"/>
      <c r="G230" s="18" t="s">
        <v>178</v>
      </c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>
        <v>1</v>
      </c>
      <c r="T230" s="26">
        <v>46183</v>
      </c>
      <c r="U230" s="15" t="s">
        <v>146</v>
      </c>
      <c r="V230">
        <v>18</v>
      </c>
      <c r="AA230" s="49" t="s">
        <v>97</v>
      </c>
      <c r="AB230" s="50" t="s">
        <v>76</v>
      </c>
    </row>
    <row r="231" spans="1:28" x14ac:dyDescent="0.4">
      <c r="A231" s="153"/>
      <c r="B231" s="156"/>
      <c r="C231" s="85" t="s">
        <v>337</v>
      </c>
      <c r="D231" s="110" t="s">
        <v>193</v>
      </c>
      <c r="E231" s="18" t="s">
        <v>41</v>
      </c>
      <c r="F231" s="16"/>
      <c r="G231" s="18" t="s">
        <v>178</v>
      </c>
      <c r="H231" s="15"/>
      <c r="I231" s="15"/>
      <c r="J231" s="18">
        <v>1</v>
      </c>
      <c r="K231" s="15"/>
      <c r="L231" s="19"/>
      <c r="M231" s="19"/>
      <c r="N231" s="19"/>
      <c r="O231" s="19"/>
      <c r="P231" s="19"/>
      <c r="Q231" s="19"/>
      <c r="R231" s="19"/>
      <c r="S231" s="15"/>
      <c r="T231" s="26">
        <v>46183</v>
      </c>
      <c r="U231" s="15" t="s">
        <v>146</v>
      </c>
      <c r="V231">
        <v>19</v>
      </c>
      <c r="AA231" s="49" t="s">
        <v>98</v>
      </c>
      <c r="AB231" s="50" t="s">
        <v>77</v>
      </c>
    </row>
    <row r="232" spans="1:28" x14ac:dyDescent="0.4">
      <c r="A232" s="153"/>
      <c r="B232" s="156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3"/>
      <c r="B233" s="156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3"/>
      <c r="B234" s="156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3"/>
      <c r="B235" s="156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3"/>
      <c r="B236" s="15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4"/>
      <c r="B237" s="15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19</v>
      </c>
      <c r="D238" s="112"/>
      <c r="E238" s="29"/>
      <c r="F238" s="29" t="s">
        <v>34</v>
      </c>
      <c r="G238" s="29">
        <f>COUNTIF(G213:G237,"S")</f>
        <v>19</v>
      </c>
      <c r="H238" s="29">
        <f>COUNTIF(H213:H237,"E")</f>
        <v>0</v>
      </c>
      <c r="I238" s="29">
        <f>SUM(I213:I237)</f>
        <v>0</v>
      </c>
      <c r="J238" s="29">
        <f t="shared" ref="J238" si="41">SUM(J213:J237)</f>
        <v>8</v>
      </c>
      <c r="K238" s="29">
        <f t="shared" ref="K238" si="42">SUM(K213:K237)</f>
        <v>4</v>
      </c>
      <c r="L238" s="29">
        <f t="shared" ref="L238" si="43">SUM(L213:L237)</f>
        <v>0</v>
      </c>
      <c r="M238" s="29">
        <f t="shared" ref="M238" si="44">SUM(M213:M237)</f>
        <v>4</v>
      </c>
      <c r="N238" s="29">
        <f t="shared" ref="N238" si="45">SUM(N213:N237)</f>
        <v>4</v>
      </c>
      <c r="O238" s="29">
        <f t="shared" ref="O238" si="46">SUM(O213:O237)</f>
        <v>1</v>
      </c>
      <c r="P238" s="29">
        <f t="shared" ref="P238" si="47">SUM(P213:P237)</f>
        <v>1</v>
      </c>
      <c r="Q238" s="29">
        <f t="shared" ref="Q238" si="48">SUM(Q213:Q237)</f>
        <v>5</v>
      </c>
      <c r="R238" s="29">
        <f t="shared" ref="R238" si="49">SUM(R213:R237)</f>
        <v>0</v>
      </c>
      <c r="S238" s="29">
        <f t="shared" ref="S238" si="50">SUM(S213:S237)</f>
        <v>2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29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AYG141</v>
      </c>
      <c r="B241" s="24">
        <f>B1</f>
        <v>46163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2" t="s">
        <v>112</v>
      </c>
      <c r="Y242" s="162"/>
    </row>
    <row r="243" spans="1:28" ht="20.25" thickTop="1" thickBot="1" x14ac:dyDescent="0.45">
      <c r="A243" s="152">
        <v>9</v>
      </c>
      <c r="B243" s="155"/>
      <c r="C243" s="85"/>
      <c r="D243" s="106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53"/>
      <c r="B244" s="156"/>
      <c r="C244" s="85"/>
      <c r="D244" s="106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53"/>
      <c r="B245" s="156"/>
      <c r="C245" s="85"/>
      <c r="D245" s="106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53"/>
      <c r="B246" s="156"/>
      <c r="C246" s="85"/>
      <c r="D246" s="106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53"/>
      <c r="B247" s="156"/>
      <c r="C247" s="85"/>
      <c r="D247" s="106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53"/>
      <c r="B248" s="156"/>
      <c r="C248" s="85"/>
      <c r="D248" s="106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3"/>
      <c r="V248">
        <v>6</v>
      </c>
      <c r="AA248" s="49" t="s">
        <v>85</v>
      </c>
      <c r="AB248" s="50" t="s">
        <v>43</v>
      </c>
    </row>
    <row r="249" spans="1:28" x14ac:dyDescent="0.4">
      <c r="A249" s="153"/>
      <c r="B249" s="156"/>
      <c r="C249" s="85"/>
      <c r="D249" s="106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53"/>
      <c r="B250" s="156"/>
      <c r="C250" s="85"/>
      <c r="D250" s="106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53"/>
      <c r="B251" s="156"/>
      <c r="C251" s="85"/>
      <c r="D251" s="106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53"/>
      <c r="B252" s="156"/>
      <c r="C252" s="85"/>
      <c r="D252" s="106"/>
      <c r="E252" s="106"/>
      <c r="F252" s="138"/>
      <c r="G252" s="137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53"/>
      <c r="B253" s="156"/>
      <c r="C253" s="85"/>
      <c r="D253" s="106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53"/>
      <c r="B254" s="156"/>
      <c r="C254" s="85"/>
      <c r="D254" s="106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53"/>
      <c r="B255" s="156"/>
      <c r="C255" s="85"/>
      <c r="D255" s="106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53"/>
      <c r="B256" s="156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53"/>
      <c r="B257" s="156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53"/>
      <c r="B258" s="156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3"/>
      <c r="B259" s="156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3"/>
      <c r="B260" s="156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3"/>
      <c r="B261" s="156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3"/>
      <c r="B262" s="156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3"/>
      <c r="B263" s="15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3"/>
      <c r="B264" s="15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3"/>
      <c r="B265" s="15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3"/>
      <c r="B266" s="15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4"/>
      <c r="B267" s="15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1">SUM(J243:J267)</f>
        <v>0</v>
      </c>
      <c r="K268" s="29">
        <f t="shared" ref="K268" si="52">SUM(K243:K267)</f>
        <v>0</v>
      </c>
      <c r="L268" s="29">
        <f t="shared" ref="L268" si="53">SUM(L243:L267)</f>
        <v>0</v>
      </c>
      <c r="M268" s="29">
        <f t="shared" ref="M268" si="54">SUM(M243:M267)</f>
        <v>0</v>
      </c>
      <c r="N268" s="29">
        <f t="shared" ref="N268" si="55">SUM(N243:N267)</f>
        <v>0</v>
      </c>
      <c r="O268" s="29">
        <f t="shared" ref="O268" si="56">SUM(O243:O267)</f>
        <v>0</v>
      </c>
      <c r="P268" s="29">
        <f t="shared" ref="P268" si="57">SUM(P243:P267)</f>
        <v>0</v>
      </c>
      <c r="Q268" s="29">
        <f t="shared" ref="Q268" si="58">SUM(Q243:Q267)</f>
        <v>0</v>
      </c>
      <c r="R268" s="29">
        <f t="shared" ref="R268" si="59">SUM(R243:R267)</f>
        <v>0</v>
      </c>
      <c r="S268" s="29">
        <f t="shared" ref="S268" si="60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AYG141</v>
      </c>
      <c r="B271" s="24">
        <f>B1</f>
        <v>46163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51"/>
    </row>
    <row r="273" spans="1:28" ht="20.25" thickTop="1" thickBot="1" x14ac:dyDescent="0.45">
      <c r="A273" s="152">
        <v>10</v>
      </c>
      <c r="B273" s="155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53"/>
      <c r="B274" s="156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3"/>
      <c r="B275" s="156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3"/>
      <c r="B276" s="156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53"/>
      <c r="B277" s="156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53"/>
      <c r="B278" s="156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53"/>
      <c r="B279" s="156"/>
      <c r="C279" s="85"/>
      <c r="D279" s="109"/>
      <c r="E279" s="13"/>
      <c r="F279" s="16"/>
      <c r="G279" s="12"/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53"/>
      <c r="B280" s="156"/>
      <c r="C280" s="85"/>
      <c r="D280" s="109"/>
      <c r="E280" s="13"/>
      <c r="F280" s="16"/>
      <c r="G280" s="12"/>
      <c r="H280" s="15"/>
      <c r="I280" s="15"/>
      <c r="J280" s="15"/>
      <c r="K280" s="15"/>
      <c r="L280" s="15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53"/>
      <c r="B281" s="156"/>
      <c r="C281" s="85"/>
      <c r="D281" s="109"/>
      <c r="E281" s="13"/>
      <c r="F281" s="16"/>
      <c r="G281" s="12"/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53"/>
      <c r="B282" s="156"/>
      <c r="C282" s="85"/>
      <c r="D282" s="109"/>
      <c r="E282" s="13"/>
      <c r="F282" s="16"/>
      <c r="G282" s="12"/>
      <c r="H282" s="15"/>
      <c r="I282" s="15"/>
      <c r="J282" s="15"/>
      <c r="K282" s="15"/>
      <c r="L282" s="15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53"/>
      <c r="B283" s="156"/>
      <c r="C283" s="85"/>
      <c r="D283" s="109"/>
      <c r="E283" s="13"/>
      <c r="F283" s="16"/>
      <c r="G283" s="12"/>
      <c r="H283" s="15"/>
      <c r="I283" s="15"/>
      <c r="J283" s="15"/>
      <c r="K283" s="15"/>
      <c r="L283" s="15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53"/>
      <c r="B284" s="156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3"/>
      <c r="B285" s="156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3"/>
      <c r="B286" s="156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3"/>
      <c r="B287" s="156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53"/>
      <c r="B288" s="156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3"/>
      <c r="B289" s="156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3"/>
      <c r="B290" s="156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3"/>
      <c r="B291" s="15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3"/>
      <c r="B292" s="15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3"/>
      <c r="B293" s="15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3"/>
      <c r="B294" s="15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3"/>
      <c r="B295" s="15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3"/>
      <c r="B296" s="15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4"/>
      <c r="B297" s="15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1">SUM(J273:J297)</f>
        <v>0</v>
      </c>
      <c r="K298" s="29">
        <f t="shared" ref="K298" si="62">SUM(K273:K297)</f>
        <v>0</v>
      </c>
      <c r="L298" s="29">
        <f t="shared" ref="L298" si="63">SUM(L273:L297)</f>
        <v>0</v>
      </c>
      <c r="M298" s="29">
        <f t="shared" ref="M298" si="64">SUM(M273:M297)</f>
        <v>0</v>
      </c>
      <c r="N298" s="29">
        <f t="shared" ref="N298" si="65">SUM(N273:N297)</f>
        <v>0</v>
      </c>
      <c r="O298" s="29">
        <f t="shared" ref="O298" si="66">SUM(O273:O297)</f>
        <v>0</v>
      </c>
      <c r="P298" s="29">
        <f t="shared" ref="P298" si="67">SUM(P273:P297)</f>
        <v>0</v>
      </c>
      <c r="Q298" s="29">
        <f t="shared" ref="Q298" si="68">SUM(Q273:Q297)</f>
        <v>0</v>
      </c>
      <c r="R298" s="29">
        <f t="shared" ref="R298" si="69">SUM(R273:R297)</f>
        <v>0</v>
      </c>
      <c r="S298" s="29">
        <f t="shared" ref="S298" si="70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AYG141</v>
      </c>
      <c r="B301" s="24">
        <f>B1</f>
        <v>46163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51"/>
    </row>
    <row r="303" spans="1:28" ht="20.25" thickTop="1" thickBot="1" x14ac:dyDescent="0.45">
      <c r="A303" s="152">
        <v>11</v>
      </c>
      <c r="B303" s="155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3"/>
      <c r="B304" s="156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3"/>
      <c r="B305" s="156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3"/>
      <c r="B306" s="156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3"/>
      <c r="B307" s="156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3"/>
      <c r="B308" s="156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3"/>
      <c r="B309" s="156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3"/>
      <c r="B310" s="156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3"/>
      <c r="B311" s="156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3"/>
      <c r="B312" s="156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3"/>
      <c r="B313" s="156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3"/>
      <c r="B314" s="156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3"/>
      <c r="B315" s="156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3"/>
      <c r="B316" s="156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3"/>
      <c r="B317" s="156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3"/>
      <c r="B318" s="156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3"/>
      <c r="B319" s="156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3"/>
      <c r="B320" s="156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3"/>
      <c r="B321" s="156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3"/>
      <c r="B322" s="15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3"/>
      <c r="B323" s="15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3"/>
      <c r="B324" s="15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3"/>
      <c r="B325" s="15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3"/>
      <c r="B326" s="15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4"/>
      <c r="B327" s="15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1">SUM(J303:J327)</f>
        <v>0</v>
      </c>
      <c r="K328" s="29">
        <f t="shared" ref="K328" si="72">SUM(K303:K327)</f>
        <v>0</v>
      </c>
      <c r="L328" s="29">
        <f t="shared" ref="L328" si="73">SUM(L303:L327)</f>
        <v>0</v>
      </c>
      <c r="M328" s="29">
        <f t="shared" ref="M328" si="74">SUM(M303:M327)</f>
        <v>0</v>
      </c>
      <c r="N328" s="29">
        <f t="shared" ref="N328" si="75">SUM(N303:N327)</f>
        <v>0</v>
      </c>
      <c r="O328" s="29">
        <f t="shared" ref="O328" si="76">SUM(O303:O327)</f>
        <v>0</v>
      </c>
      <c r="P328" s="29">
        <f t="shared" ref="P328" si="77">SUM(P303:P327)</f>
        <v>0</v>
      </c>
      <c r="Q328" s="29">
        <f t="shared" ref="Q328" si="78">SUM(Q303:Q327)</f>
        <v>0</v>
      </c>
      <c r="R328" s="29">
        <f t="shared" ref="R328" si="79">SUM(R303:R327)</f>
        <v>0</v>
      </c>
      <c r="S328" s="29">
        <f t="shared" ref="S328" si="80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AYG141</v>
      </c>
      <c r="B331" s="24">
        <f>B151</f>
        <v>46163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51"/>
    </row>
    <row r="333" spans="1:28" ht="20.25" thickTop="1" thickBot="1" x14ac:dyDescent="0.45">
      <c r="A333" s="152">
        <v>12</v>
      </c>
      <c r="B333" s="155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3"/>
      <c r="B334" s="156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3"/>
      <c r="B335" s="156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3"/>
      <c r="B336" s="156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3"/>
      <c r="B337" s="156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3"/>
      <c r="B338" s="156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3"/>
      <c r="B339" s="156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3"/>
      <c r="B340" s="156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3"/>
      <c r="B341" s="156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3"/>
      <c r="B342" s="156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3"/>
      <c r="B343" s="156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3"/>
      <c r="B344" s="156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3"/>
      <c r="B345" s="156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3"/>
      <c r="B346" s="156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3"/>
      <c r="B347" s="156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3"/>
      <c r="B348" s="15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3"/>
      <c r="B349" s="15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3"/>
      <c r="B350" s="15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3"/>
      <c r="B351" s="15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3"/>
      <c r="B352" s="15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3"/>
      <c r="B353" s="15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3"/>
      <c r="B354" s="15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3"/>
      <c r="B355" s="15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3"/>
      <c r="B356" s="15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4"/>
      <c r="B357" s="15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1">SUM(J333:J357)</f>
        <v>0</v>
      </c>
      <c r="K358" s="29">
        <f t="shared" si="81"/>
        <v>0</v>
      </c>
      <c r="L358" s="29">
        <f t="shared" si="81"/>
        <v>0</v>
      </c>
      <c r="M358" s="29">
        <f t="shared" si="81"/>
        <v>0</v>
      </c>
      <c r="N358" s="29">
        <f t="shared" si="81"/>
        <v>0</v>
      </c>
      <c r="O358" s="29">
        <f t="shared" si="81"/>
        <v>0</v>
      </c>
      <c r="P358" s="29">
        <f t="shared" si="81"/>
        <v>0</v>
      </c>
      <c r="Q358" s="29">
        <f t="shared" si="81"/>
        <v>0</v>
      </c>
      <c r="R358" s="29">
        <f t="shared" si="81"/>
        <v>0</v>
      </c>
      <c r="S358" s="29">
        <f t="shared" si="81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51"/>
    </row>
    <row r="363" spans="1:28" ht="19.5" thickTop="1" x14ac:dyDescent="0.4">
      <c r="A363" s="152">
        <v>13</v>
      </c>
      <c r="B363" s="15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3"/>
      <c r="B364" s="15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3"/>
      <c r="B365" s="15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3"/>
      <c r="B366" s="15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3"/>
      <c r="B367" s="15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3"/>
      <c r="B368" s="15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3"/>
      <c r="B369" s="15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3"/>
      <c r="B370" s="15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3"/>
      <c r="B371" s="15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3"/>
      <c r="B372" s="15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3"/>
      <c r="B373" s="15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3"/>
      <c r="B374" s="15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3"/>
      <c r="B375" s="15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3"/>
      <c r="B376" s="15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3"/>
      <c r="B377" s="15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3"/>
      <c r="B378" s="15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3"/>
      <c r="B379" s="15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3"/>
      <c r="B380" s="15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3"/>
      <c r="B381" s="15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3"/>
      <c r="B382" s="15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3"/>
      <c r="B383" s="15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3"/>
      <c r="B384" s="15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3"/>
      <c r="B385" s="15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3"/>
      <c r="B386" s="15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4"/>
      <c r="B387" s="15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2">SUM(J363:J387)</f>
        <v>0</v>
      </c>
      <c r="K388" s="29">
        <f t="shared" si="82"/>
        <v>0</v>
      </c>
      <c r="L388" s="29">
        <f t="shared" si="82"/>
        <v>0</v>
      </c>
      <c r="M388" s="29">
        <f t="shared" si="82"/>
        <v>0</v>
      </c>
      <c r="N388" s="29">
        <f t="shared" si="82"/>
        <v>0</v>
      </c>
      <c r="O388" s="29">
        <f t="shared" si="82"/>
        <v>0</v>
      </c>
      <c r="P388" s="29">
        <f t="shared" si="82"/>
        <v>0</v>
      </c>
      <c r="Q388" s="29">
        <f t="shared" si="82"/>
        <v>0</v>
      </c>
      <c r="R388" s="29">
        <f t="shared" si="82"/>
        <v>0</v>
      </c>
      <c r="S388" s="29">
        <f t="shared" si="82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51"/>
    </row>
    <row r="393" spans="1:25" ht="19.5" thickTop="1" x14ac:dyDescent="0.4">
      <c r="A393" s="152">
        <v>14</v>
      </c>
      <c r="B393" s="15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3"/>
      <c r="B394" s="15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3"/>
      <c r="B395" s="15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3"/>
      <c r="B396" s="15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3"/>
      <c r="B397" s="15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3"/>
      <c r="B398" s="15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3"/>
      <c r="B399" s="15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3"/>
      <c r="B400" s="15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3"/>
      <c r="B401" s="15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3"/>
      <c r="B402" s="15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3"/>
      <c r="B403" s="15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3"/>
      <c r="B404" s="15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3"/>
      <c r="B405" s="15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3"/>
      <c r="B406" s="15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3"/>
      <c r="B407" s="15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3"/>
      <c r="B408" s="15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3"/>
      <c r="B409" s="15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3"/>
      <c r="B410" s="15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3"/>
      <c r="B411" s="15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3"/>
      <c r="B412" s="15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3"/>
      <c r="B413" s="15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3"/>
      <c r="B414" s="15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3"/>
      <c r="B415" s="15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3"/>
      <c r="B416" s="15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4"/>
      <c r="B417" s="15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3">SUM(J393:J417)</f>
        <v>0</v>
      </c>
      <c r="K418" s="29">
        <f t="shared" si="83"/>
        <v>0</v>
      </c>
      <c r="L418" s="29">
        <f t="shared" si="83"/>
        <v>0</v>
      </c>
      <c r="M418" s="29">
        <f t="shared" si="83"/>
        <v>0</v>
      </c>
      <c r="N418" s="29">
        <f t="shared" si="83"/>
        <v>0</v>
      </c>
      <c r="O418" s="29">
        <f t="shared" si="83"/>
        <v>0</v>
      </c>
      <c r="P418" s="29">
        <f t="shared" si="83"/>
        <v>0</v>
      </c>
      <c r="Q418" s="29">
        <f t="shared" si="83"/>
        <v>0</v>
      </c>
      <c r="R418" s="29">
        <f t="shared" si="83"/>
        <v>0</v>
      </c>
      <c r="S418" s="29">
        <f t="shared" si="83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51"/>
    </row>
    <row r="423" spans="1:25" ht="19.5" thickTop="1" x14ac:dyDescent="0.4">
      <c r="A423" s="152">
        <v>15</v>
      </c>
      <c r="B423" s="15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3"/>
      <c r="B424" s="15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3"/>
      <c r="B425" s="15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3"/>
      <c r="B426" s="15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3"/>
      <c r="B427" s="15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3"/>
      <c r="B428" s="15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3"/>
      <c r="B429" s="15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3"/>
      <c r="B430" s="15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3"/>
      <c r="B431" s="15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3"/>
      <c r="B432" s="15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3"/>
      <c r="B433" s="15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3"/>
      <c r="B434" s="15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3"/>
      <c r="B435" s="15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3"/>
      <c r="B436" s="15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3"/>
      <c r="B437" s="15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3"/>
      <c r="B438" s="15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3"/>
      <c r="B439" s="15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3"/>
      <c r="B440" s="15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3"/>
      <c r="B441" s="15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3"/>
      <c r="B442" s="15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3"/>
      <c r="B443" s="15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3"/>
      <c r="B444" s="15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3"/>
      <c r="B445" s="15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3"/>
      <c r="B446" s="15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4"/>
      <c r="B447" s="15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4">SUM(J423:J447)</f>
        <v>0</v>
      </c>
      <c r="K448" s="29">
        <f t="shared" si="84"/>
        <v>0</v>
      </c>
      <c r="L448" s="29">
        <f t="shared" si="84"/>
        <v>0</v>
      </c>
      <c r="M448" s="29">
        <f t="shared" si="84"/>
        <v>0</v>
      </c>
      <c r="N448" s="29">
        <f t="shared" si="84"/>
        <v>0</v>
      </c>
      <c r="O448" s="29">
        <f t="shared" si="84"/>
        <v>0</v>
      </c>
      <c r="P448" s="29">
        <f t="shared" si="84"/>
        <v>0</v>
      </c>
      <c r="Q448" s="29">
        <f t="shared" si="84"/>
        <v>0</v>
      </c>
      <c r="R448" s="29">
        <f t="shared" si="84"/>
        <v>0</v>
      </c>
      <c r="S448" s="29">
        <f t="shared" si="84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51"/>
    </row>
    <row r="452" spans="1:25" ht="19.5" thickTop="1" x14ac:dyDescent="0.4">
      <c r="A452" s="152">
        <v>16</v>
      </c>
      <c r="B452" s="14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3"/>
      <c r="B453" s="14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3"/>
      <c r="B454" s="14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3"/>
      <c r="B455" s="14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3"/>
      <c r="B456" s="14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3"/>
      <c r="B457" s="14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3"/>
      <c r="B458" s="14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3"/>
      <c r="B459" s="14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3"/>
      <c r="B460" s="14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3"/>
      <c r="B461" s="14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3"/>
      <c r="B462" s="14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3"/>
      <c r="B463" s="14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3"/>
      <c r="B464" s="14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3"/>
      <c r="B465" s="14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3"/>
      <c r="B466" s="14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3"/>
      <c r="B467" s="14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3"/>
      <c r="B468" s="14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3"/>
      <c r="B469" s="14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3"/>
      <c r="B470" s="14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3"/>
      <c r="B471" s="14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3"/>
      <c r="B472" s="14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3"/>
      <c r="B473" s="14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3"/>
      <c r="B474" s="14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3"/>
      <c r="B475" s="14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4"/>
      <c r="B476" s="14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5">SUM(I452:I476)</f>
        <v>0</v>
      </c>
      <c r="J477" s="29">
        <f t="shared" si="85"/>
        <v>0</v>
      </c>
      <c r="K477" s="29">
        <f t="shared" si="85"/>
        <v>0</v>
      </c>
      <c r="L477" s="29">
        <f t="shared" si="85"/>
        <v>0</v>
      </c>
      <c r="M477" s="29">
        <f t="shared" si="85"/>
        <v>0</v>
      </c>
      <c r="N477" s="29">
        <f t="shared" si="85"/>
        <v>0</v>
      </c>
      <c r="O477" s="29">
        <f t="shared" si="85"/>
        <v>0</v>
      </c>
      <c r="P477" s="29">
        <f t="shared" si="85"/>
        <v>0</v>
      </c>
      <c r="Q477" s="29">
        <f t="shared" si="85"/>
        <v>0</v>
      </c>
      <c r="R477" s="29">
        <f t="shared" si="85"/>
        <v>0</v>
      </c>
      <c r="S477" s="29">
        <f t="shared" si="85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K2146"/>
  <sheetViews>
    <sheetView topLeftCell="A12" zoomScaleNormal="100" workbookViewId="0">
      <selection sqref="A1:D38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62" width="16.625" customWidth="1"/>
    <col min="63" max="63" width="11" customWidth="1"/>
    <col min="64" max="64" width="10.5" style="121" customWidth="1"/>
    <col min="65" max="65" width="10.25" style="121" customWidth="1"/>
    <col min="66" max="66" width="10.875" style="121" customWidth="1"/>
    <col min="67" max="80" width="16.625" customWidth="1"/>
    <col min="81" max="81" width="20.5" customWidth="1"/>
    <col min="86" max="86" width="12.375" customWidth="1"/>
    <col min="87" max="87" width="11.25" customWidth="1"/>
    <col min="88" max="88" width="10.5" customWidth="1"/>
    <col min="89" max="89" width="10.25" customWidth="1"/>
  </cols>
  <sheetData>
    <row r="1" spans="1:85" x14ac:dyDescent="0.4">
      <c r="A1" s="120" t="s">
        <v>189</v>
      </c>
      <c r="B1" s="121"/>
      <c r="C1" s="121"/>
      <c r="D1" s="121"/>
      <c r="K1" t="s">
        <v>143</v>
      </c>
      <c r="L1" t="s">
        <v>144</v>
      </c>
      <c r="BE1" t="s">
        <v>143</v>
      </c>
      <c r="BF1" t="s">
        <v>144</v>
      </c>
      <c r="BK1" s="120"/>
      <c r="CC1" t="s">
        <v>143</v>
      </c>
      <c r="CD1" t="s">
        <v>144</v>
      </c>
    </row>
    <row r="2" spans="1:8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K2" s="25">
        <v>46168</v>
      </c>
      <c r="L2" s="13" t="s">
        <v>147</v>
      </c>
      <c r="AD2" s="127"/>
      <c r="AE2" s="29"/>
      <c r="AT2" s="127"/>
      <c r="AU2" s="29"/>
      <c r="BE2" s="25">
        <v>45669</v>
      </c>
      <c r="BF2" s="13" t="s">
        <v>147</v>
      </c>
      <c r="BK2" s="116"/>
      <c r="BL2" s="123"/>
      <c r="BM2" s="123"/>
      <c r="BN2" s="123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25">
        <v>45258</v>
      </c>
      <c r="CD2" s="13" t="s">
        <v>162</v>
      </c>
      <c r="CG2" s="114"/>
    </row>
    <row r="3" spans="1:85" ht="20.100000000000001" customHeight="1" x14ac:dyDescent="0.4">
      <c r="A3" s="117"/>
      <c r="B3" s="123"/>
      <c r="C3" s="123"/>
      <c r="D3" s="123"/>
      <c r="H3" s="115"/>
      <c r="I3" s="115"/>
      <c r="J3" s="115"/>
      <c r="K3" s="25">
        <v>46181</v>
      </c>
      <c r="L3" s="13" t="s">
        <v>147</v>
      </c>
      <c r="AD3" s="127"/>
      <c r="AE3" s="29"/>
      <c r="AT3" s="127"/>
      <c r="AU3" s="29"/>
      <c r="BE3" s="25"/>
      <c r="BF3" s="13"/>
      <c r="BK3" s="116"/>
      <c r="BL3" s="123"/>
      <c r="BM3" s="123"/>
      <c r="BN3" s="123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25"/>
      <c r="CD3" s="13"/>
      <c r="CG3" s="114"/>
    </row>
    <row r="4" spans="1:85" ht="20.100000000000001" customHeight="1" x14ac:dyDescent="0.4">
      <c r="A4" s="117"/>
      <c r="B4" s="123"/>
      <c r="C4" s="123"/>
      <c r="D4" s="123"/>
      <c r="H4" s="115"/>
      <c r="I4" s="115"/>
      <c r="J4" s="115"/>
      <c r="K4" s="25">
        <v>46186</v>
      </c>
      <c r="L4" s="13" t="s">
        <v>147</v>
      </c>
      <c r="AD4" s="127"/>
      <c r="AE4" s="29"/>
      <c r="AT4" s="127"/>
      <c r="AU4" s="29"/>
      <c r="BE4" s="25"/>
      <c r="BF4" s="13"/>
      <c r="BK4" s="116"/>
      <c r="BL4" s="123"/>
      <c r="BM4" s="123"/>
      <c r="BN4" s="123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25"/>
      <c r="CD4" s="13"/>
      <c r="CG4" s="114"/>
    </row>
    <row r="5" spans="1:85" ht="20.100000000000001" customHeight="1" x14ac:dyDescent="0.4">
      <c r="A5" s="117"/>
      <c r="B5" s="123"/>
      <c r="C5" s="123"/>
      <c r="D5" s="123"/>
      <c r="H5" s="115"/>
      <c r="I5" s="115"/>
      <c r="J5" s="115"/>
      <c r="K5" s="25">
        <v>46190</v>
      </c>
      <c r="L5" s="13" t="s">
        <v>142</v>
      </c>
      <c r="AD5" s="127"/>
      <c r="AE5" s="29"/>
      <c r="AT5" s="127"/>
      <c r="AU5" s="29"/>
      <c r="BE5" s="25"/>
      <c r="BF5" s="13"/>
      <c r="BK5" s="116"/>
      <c r="BL5" s="123"/>
      <c r="BM5" s="123"/>
      <c r="BN5" s="123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25"/>
      <c r="CD5" s="13"/>
      <c r="CG5" s="114"/>
    </row>
    <row r="6" spans="1:85" ht="20.100000000000001" customHeight="1" x14ac:dyDescent="0.4">
      <c r="A6" s="117"/>
      <c r="B6" s="123"/>
      <c r="C6" s="123"/>
      <c r="D6" s="123"/>
      <c r="K6" s="25">
        <v>46187</v>
      </c>
      <c r="L6" s="13" t="s">
        <v>146</v>
      </c>
      <c r="AC6" s="115"/>
      <c r="AD6" s="29"/>
      <c r="AE6" s="29"/>
      <c r="AT6" s="127"/>
      <c r="AU6" s="29"/>
      <c r="BE6" s="25"/>
      <c r="BF6" s="13"/>
      <c r="BK6" s="116"/>
      <c r="BL6" s="123"/>
      <c r="BM6" s="123"/>
      <c r="BN6" s="123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25"/>
      <c r="CD6" s="13"/>
      <c r="CG6" s="114"/>
    </row>
    <row r="7" spans="1:85" ht="20.100000000000001" customHeight="1" x14ac:dyDescent="0.4">
      <c r="A7" s="117"/>
      <c r="B7" s="123"/>
      <c r="C7" s="123"/>
      <c r="D7" s="123"/>
      <c r="K7" s="25">
        <v>46160</v>
      </c>
      <c r="L7" s="13" t="s">
        <v>148</v>
      </c>
      <c r="AA7" s="115"/>
      <c r="AB7" s="115"/>
      <c r="AC7" s="115"/>
      <c r="AD7" s="127"/>
      <c r="AE7" s="29"/>
      <c r="AT7" s="127"/>
      <c r="AU7" s="29"/>
      <c r="BE7" s="25"/>
      <c r="BF7" s="13"/>
      <c r="BK7" s="116"/>
      <c r="BL7" s="123"/>
      <c r="BM7" s="123"/>
      <c r="BN7" s="123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25"/>
      <c r="CD7" s="13"/>
      <c r="CG7" s="114"/>
    </row>
    <row r="8" spans="1:85" ht="20.100000000000001" customHeight="1" x14ac:dyDescent="0.4">
      <c r="A8" s="117"/>
      <c r="B8" s="123"/>
      <c r="C8" s="123"/>
      <c r="D8" s="123"/>
      <c r="K8" s="25">
        <v>46186</v>
      </c>
      <c r="L8" s="13" t="s">
        <v>147</v>
      </c>
      <c r="AA8" s="115"/>
      <c r="AB8" s="115"/>
      <c r="AC8" s="115"/>
      <c r="AD8" s="29"/>
      <c r="AE8" s="29"/>
      <c r="AT8" s="127"/>
      <c r="AU8" s="29"/>
      <c r="BE8" s="25"/>
      <c r="BF8" s="13"/>
      <c r="BK8" s="116"/>
      <c r="BL8" s="123"/>
      <c r="BM8" s="123"/>
      <c r="BN8" s="123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25"/>
      <c r="CD8" s="13"/>
      <c r="CG8" s="114"/>
    </row>
    <row r="9" spans="1:85" ht="20.100000000000001" customHeight="1" x14ac:dyDescent="0.4">
      <c r="A9" s="117"/>
      <c r="B9" s="123"/>
      <c r="C9" s="123"/>
      <c r="D9" s="123"/>
      <c r="H9" s="115"/>
      <c r="I9" s="115"/>
      <c r="J9" s="115"/>
      <c r="K9" s="25">
        <v>46186</v>
      </c>
      <c r="L9" s="13" t="s">
        <v>147</v>
      </c>
      <c r="AA9" s="115"/>
      <c r="AB9" s="115"/>
      <c r="AC9" s="115"/>
      <c r="AD9" s="29"/>
      <c r="AE9" s="29"/>
      <c r="AT9" s="127"/>
      <c r="AU9" s="29"/>
      <c r="BE9" s="25"/>
      <c r="BF9" s="13"/>
      <c r="BK9" s="116"/>
      <c r="BL9" s="123"/>
      <c r="BM9" s="123"/>
      <c r="BN9" s="123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25"/>
      <c r="CD9" s="13"/>
      <c r="CG9" s="114"/>
    </row>
    <row r="10" spans="1:85" ht="20.100000000000001" customHeight="1" x14ac:dyDescent="0.4">
      <c r="A10" s="117"/>
      <c r="B10" s="123"/>
      <c r="C10" s="123"/>
      <c r="D10" s="123"/>
      <c r="H10" s="115"/>
      <c r="I10" s="115"/>
      <c r="J10" s="115"/>
      <c r="K10" s="25">
        <v>46188</v>
      </c>
      <c r="L10" s="13" t="s">
        <v>146</v>
      </c>
      <c r="AA10" s="115"/>
      <c r="AB10" s="115"/>
      <c r="AC10" s="115"/>
      <c r="AD10" s="29"/>
      <c r="AE10" s="29"/>
      <c r="AT10" s="127"/>
      <c r="AU10" s="29"/>
      <c r="BE10" s="25"/>
      <c r="BF10" s="13"/>
      <c r="BK10" s="116"/>
      <c r="BL10" s="123"/>
      <c r="BM10" s="123"/>
      <c r="BN10" s="123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25"/>
      <c r="CD10" s="13"/>
      <c r="CG10" s="114"/>
    </row>
    <row r="11" spans="1:85" ht="20.100000000000001" customHeight="1" x14ac:dyDescent="0.4">
      <c r="A11" s="117"/>
      <c r="B11" s="123"/>
      <c r="C11" s="123"/>
      <c r="D11" s="123"/>
      <c r="K11" s="25">
        <v>46188</v>
      </c>
      <c r="L11" s="13" t="s">
        <v>146</v>
      </c>
      <c r="AA11" s="115"/>
      <c r="AB11" s="115"/>
      <c r="AC11" s="115"/>
      <c r="AD11" s="127"/>
      <c r="AE11" s="29"/>
      <c r="AT11" s="127"/>
      <c r="AU11" s="29"/>
      <c r="BE11" s="25"/>
      <c r="BF11" s="13"/>
      <c r="BK11" s="116"/>
      <c r="BL11" s="123"/>
      <c r="BM11" s="123"/>
      <c r="BN11" s="123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25"/>
      <c r="CD11" s="13"/>
      <c r="CG11" s="114"/>
    </row>
    <row r="12" spans="1:85" ht="20.100000000000001" customHeight="1" x14ac:dyDescent="0.4">
      <c r="A12" s="117"/>
      <c r="B12" s="123"/>
      <c r="C12" s="123"/>
      <c r="D12" s="123"/>
      <c r="H12" s="115"/>
      <c r="I12" s="115"/>
      <c r="J12" s="115"/>
      <c r="K12" s="25">
        <v>46188</v>
      </c>
      <c r="L12" s="13" t="s">
        <v>146</v>
      </c>
      <c r="AA12" s="115"/>
      <c r="AB12" s="115"/>
      <c r="AC12" s="115"/>
      <c r="AD12" s="127"/>
      <c r="AE12" s="29"/>
      <c r="AT12" s="127"/>
      <c r="AU12" s="29"/>
      <c r="BE12" s="25"/>
      <c r="BF12" s="13"/>
      <c r="BK12" s="116"/>
      <c r="BL12" s="123"/>
      <c r="BM12" s="123"/>
      <c r="BN12" s="123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25"/>
      <c r="CD12" s="13"/>
      <c r="CG12" s="114"/>
    </row>
    <row r="13" spans="1:85" ht="20.100000000000001" customHeight="1" x14ac:dyDescent="0.4">
      <c r="A13" s="117"/>
      <c r="B13" s="123"/>
      <c r="C13" s="123"/>
      <c r="D13" s="123"/>
      <c r="H13" s="115"/>
      <c r="I13" s="115"/>
      <c r="J13" s="115"/>
      <c r="K13" s="25">
        <v>46181</v>
      </c>
      <c r="L13" s="13" t="s">
        <v>146</v>
      </c>
      <c r="AA13" s="115"/>
      <c r="AB13" s="115"/>
      <c r="AC13" s="115"/>
      <c r="AD13" s="127"/>
      <c r="AE13" s="29"/>
      <c r="AT13" s="127"/>
      <c r="AU13" s="29"/>
      <c r="BE13" s="25"/>
      <c r="BF13" s="13"/>
      <c r="BK13" s="116"/>
      <c r="BL13" s="123"/>
      <c r="BM13" s="123"/>
      <c r="BN13" s="123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25"/>
      <c r="CD13" s="13"/>
      <c r="CG13" s="114"/>
    </row>
    <row r="14" spans="1:85" ht="20.100000000000001" customHeight="1" x14ac:dyDescent="0.4">
      <c r="A14" s="117"/>
      <c r="B14" s="123"/>
      <c r="C14" s="123"/>
      <c r="D14" s="123"/>
      <c r="H14" s="115"/>
      <c r="I14" s="115"/>
      <c r="J14" s="115"/>
      <c r="K14" s="25">
        <v>46181</v>
      </c>
      <c r="L14" s="13" t="s">
        <v>146</v>
      </c>
      <c r="AA14" s="115"/>
      <c r="AB14" s="115"/>
      <c r="AC14" s="115"/>
      <c r="AD14" s="127"/>
      <c r="AE14" s="29"/>
      <c r="AT14" s="127"/>
      <c r="AU14" s="29"/>
      <c r="BE14" s="25"/>
      <c r="BF14" s="13"/>
      <c r="BK14" s="116"/>
      <c r="BL14" s="123"/>
      <c r="BM14" s="123"/>
      <c r="BN14" s="123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25"/>
      <c r="CD14" s="13"/>
      <c r="CG14" s="114"/>
    </row>
    <row r="15" spans="1:85" ht="20.100000000000001" customHeight="1" x14ac:dyDescent="0.4">
      <c r="A15" s="117"/>
      <c r="B15" s="123"/>
      <c r="C15" s="123"/>
      <c r="D15" s="123"/>
      <c r="K15" s="25">
        <v>46176</v>
      </c>
      <c r="L15" s="13" t="s">
        <v>147</v>
      </c>
      <c r="AA15" s="115"/>
      <c r="AB15" s="115"/>
      <c r="AC15" s="115"/>
      <c r="AD15" s="29"/>
      <c r="AE15" s="29"/>
      <c r="AT15" s="127"/>
      <c r="AU15" s="29"/>
      <c r="BE15" s="25"/>
      <c r="BF15" s="13"/>
      <c r="BK15" s="116"/>
      <c r="BL15" s="123"/>
      <c r="BM15" s="123"/>
      <c r="BN15" s="123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25"/>
      <c r="CD15" s="13"/>
      <c r="CG15" s="114"/>
    </row>
    <row r="16" spans="1:85" ht="20.100000000000001" customHeight="1" x14ac:dyDescent="0.4">
      <c r="A16" s="117"/>
      <c r="B16" s="123"/>
      <c r="C16" s="123"/>
      <c r="D16" s="123"/>
      <c r="I16" s="115"/>
      <c r="J16" s="115"/>
      <c r="K16" s="25">
        <v>46181</v>
      </c>
      <c r="L16" s="13" t="s">
        <v>146</v>
      </c>
      <c r="AA16" s="115"/>
      <c r="AB16" s="115"/>
      <c r="AC16" s="115"/>
      <c r="AD16" s="29"/>
      <c r="AE16" s="29"/>
      <c r="AT16" s="127"/>
      <c r="AU16" s="29"/>
      <c r="BE16" s="25"/>
      <c r="BF16" s="13"/>
      <c r="BK16" s="116"/>
      <c r="BL16" s="123"/>
      <c r="BM16" s="123"/>
      <c r="BN16" s="123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25"/>
      <c r="CD16" s="13"/>
      <c r="CG16" s="114"/>
    </row>
    <row r="17" spans="1:85" ht="20.100000000000001" customHeight="1" x14ac:dyDescent="0.4">
      <c r="A17" s="117"/>
      <c r="B17" s="123"/>
      <c r="C17" s="123"/>
      <c r="D17" s="123"/>
      <c r="H17" s="115"/>
      <c r="I17" s="115"/>
      <c r="J17" s="115"/>
      <c r="K17" s="25">
        <v>46176</v>
      </c>
      <c r="L17" s="13" t="s">
        <v>146</v>
      </c>
      <c r="AA17" s="115"/>
      <c r="AB17" s="115"/>
      <c r="AC17" s="115"/>
      <c r="AD17" s="29"/>
      <c r="AE17" s="29"/>
      <c r="AT17" s="127"/>
      <c r="AU17" s="29"/>
      <c r="BE17" s="25"/>
      <c r="BF17" s="13"/>
      <c r="BK17" s="116"/>
      <c r="BL17" s="123"/>
      <c r="BM17" s="123"/>
      <c r="BN17" s="123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25"/>
      <c r="CD17" s="13"/>
      <c r="CG17" s="114"/>
    </row>
    <row r="18" spans="1:85" ht="20.100000000000001" customHeight="1" x14ac:dyDescent="0.4">
      <c r="A18" s="117"/>
      <c r="B18" s="123"/>
      <c r="C18" s="123"/>
      <c r="D18" s="123"/>
      <c r="H18" s="115"/>
      <c r="I18" s="115"/>
      <c r="J18" s="115"/>
      <c r="K18" s="25">
        <v>46182</v>
      </c>
      <c r="L18" s="13" t="s">
        <v>147</v>
      </c>
      <c r="AA18" s="115"/>
      <c r="AB18" s="115"/>
      <c r="AC18" s="115"/>
      <c r="AD18" s="29"/>
      <c r="AE18" s="29"/>
      <c r="AT18" s="127"/>
      <c r="AU18" s="29"/>
      <c r="BE18" s="25"/>
      <c r="BF18" s="13"/>
      <c r="BK18" s="116"/>
      <c r="BL18" s="123"/>
      <c r="BM18" s="123"/>
      <c r="BN18" s="123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25"/>
      <c r="CD18" s="13"/>
      <c r="CG18" s="114"/>
    </row>
    <row r="19" spans="1:85" ht="20.100000000000001" customHeight="1" x14ac:dyDescent="0.4">
      <c r="A19" s="117"/>
      <c r="B19" s="123"/>
      <c r="C19" s="123"/>
      <c r="D19" s="123"/>
      <c r="H19" s="115"/>
      <c r="I19" s="115"/>
      <c r="J19" s="115"/>
      <c r="K19" s="25">
        <v>46176</v>
      </c>
      <c r="L19" s="13" t="s">
        <v>146</v>
      </c>
      <c r="AA19" s="115"/>
      <c r="AB19" s="115"/>
      <c r="AC19" s="115"/>
      <c r="AD19" s="29"/>
      <c r="AE19" s="29"/>
      <c r="AT19" s="127"/>
      <c r="AU19" s="29"/>
      <c r="BE19" s="25"/>
      <c r="BF19" s="13"/>
      <c r="BK19" s="116"/>
      <c r="BL19" s="123"/>
      <c r="BM19" s="123"/>
      <c r="BN19" s="123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25"/>
      <c r="CD19" s="13"/>
      <c r="CG19" s="114"/>
    </row>
    <row r="20" spans="1:85" ht="20.100000000000001" customHeight="1" x14ac:dyDescent="0.4">
      <c r="A20" s="117"/>
      <c r="B20" s="123"/>
      <c r="C20" s="123"/>
      <c r="D20" s="123"/>
      <c r="K20" s="25">
        <v>46176</v>
      </c>
      <c r="L20" s="13" t="s">
        <v>146</v>
      </c>
      <c r="Z20" s="115"/>
      <c r="AA20" s="115"/>
      <c r="AB20" s="115"/>
      <c r="AC20" s="115"/>
      <c r="AD20" s="127"/>
      <c r="AE20" s="29"/>
      <c r="AT20" s="127"/>
      <c r="AU20" s="29"/>
      <c r="BE20" s="25"/>
      <c r="BF20" s="13"/>
      <c r="BK20" s="116"/>
      <c r="BL20" s="123"/>
      <c r="BM20" s="123"/>
      <c r="BN20" s="123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25"/>
      <c r="CD20" s="13"/>
      <c r="CG20" s="114"/>
    </row>
    <row r="21" spans="1:85" ht="20.100000000000001" customHeight="1" x14ac:dyDescent="0.4">
      <c r="A21" s="117"/>
      <c r="B21" s="123"/>
      <c r="C21" s="123"/>
      <c r="D21" s="123"/>
      <c r="K21" s="25">
        <v>46176</v>
      </c>
      <c r="L21" s="13" t="s">
        <v>146</v>
      </c>
      <c r="Z21" s="115"/>
      <c r="AA21" s="115"/>
      <c r="AB21" s="115"/>
      <c r="AC21" s="115"/>
      <c r="AD21" s="127"/>
      <c r="AE21" s="29"/>
      <c r="AT21" s="127"/>
      <c r="AU21" s="29"/>
      <c r="BE21" s="25"/>
      <c r="BF21" s="13"/>
      <c r="BK21" s="116"/>
      <c r="BL21" s="123"/>
      <c r="BM21" s="123"/>
      <c r="BN21" s="123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25"/>
      <c r="CD21" s="13"/>
      <c r="CG21" s="114"/>
    </row>
    <row r="22" spans="1:85" ht="20.100000000000001" customHeight="1" x14ac:dyDescent="0.4">
      <c r="A22" s="117"/>
      <c r="B22" s="123"/>
      <c r="C22" s="123"/>
      <c r="D22" s="123"/>
      <c r="K22" s="25">
        <v>46179</v>
      </c>
      <c r="L22" s="13" t="s">
        <v>147</v>
      </c>
      <c r="Z22" s="115"/>
      <c r="AA22" s="115"/>
      <c r="AB22" s="115"/>
      <c r="AC22" s="115"/>
      <c r="AD22" s="127"/>
      <c r="AE22" s="29"/>
      <c r="AT22" s="127"/>
      <c r="AU22" s="29"/>
      <c r="BE22" s="25"/>
      <c r="BF22" s="13"/>
      <c r="BK22" s="116"/>
      <c r="BL22" s="123"/>
      <c r="BM22" s="123"/>
      <c r="BN22" s="123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25"/>
      <c r="CD22" s="13"/>
      <c r="CG22" s="114"/>
    </row>
    <row r="23" spans="1:85" ht="20.100000000000001" customHeight="1" x14ac:dyDescent="0.4">
      <c r="A23" s="117"/>
      <c r="B23" s="123"/>
      <c r="C23" s="123"/>
      <c r="D23" s="123"/>
      <c r="J23" s="115"/>
      <c r="K23" s="25">
        <v>46184</v>
      </c>
      <c r="L23" s="13" t="s">
        <v>147</v>
      </c>
      <c r="Z23" s="115"/>
      <c r="AA23" s="115"/>
      <c r="AB23" s="115"/>
      <c r="AC23" s="115"/>
      <c r="AD23" s="127"/>
      <c r="AE23" s="29"/>
      <c r="AT23" s="127"/>
      <c r="AU23" s="29"/>
      <c r="BE23" s="25"/>
      <c r="BF23" s="13"/>
      <c r="BK23" s="116"/>
      <c r="BL23" s="123"/>
      <c r="BM23" s="123"/>
      <c r="BN23" s="123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25"/>
      <c r="CD23" s="13"/>
      <c r="CG23" s="114"/>
    </row>
    <row r="24" spans="1:85" ht="20.100000000000001" customHeight="1" x14ac:dyDescent="0.4">
      <c r="A24" s="117"/>
      <c r="B24" s="123"/>
      <c r="C24" s="123"/>
      <c r="D24" s="123"/>
      <c r="K24" s="25">
        <v>46184</v>
      </c>
      <c r="L24" s="13" t="s">
        <v>147</v>
      </c>
      <c r="Z24" s="115"/>
      <c r="AA24" s="115"/>
      <c r="AB24" s="115"/>
      <c r="AC24" s="115"/>
      <c r="AD24" s="127"/>
      <c r="AE24" s="29"/>
      <c r="AT24" s="127"/>
      <c r="AU24" s="29"/>
      <c r="BE24" s="25"/>
      <c r="BF24" s="13"/>
      <c r="BK24" s="116"/>
      <c r="BL24" s="123"/>
      <c r="BM24" s="123"/>
      <c r="BN24" s="123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25"/>
      <c r="CD24" s="13"/>
      <c r="CG24" s="114"/>
    </row>
    <row r="25" spans="1:85" ht="20.100000000000001" customHeight="1" x14ac:dyDescent="0.4">
      <c r="A25" s="117"/>
      <c r="B25" s="123"/>
      <c r="C25" s="123"/>
      <c r="D25" s="123"/>
      <c r="I25" s="115"/>
      <c r="J25" s="115"/>
      <c r="K25" s="25">
        <v>46184</v>
      </c>
      <c r="L25" s="13" t="s">
        <v>148</v>
      </c>
      <c r="Z25" s="115"/>
      <c r="AA25" s="115"/>
      <c r="AB25" s="115"/>
      <c r="AC25" s="115"/>
      <c r="AD25" s="127"/>
      <c r="AE25" s="29"/>
      <c r="AT25" s="127"/>
      <c r="AU25" s="29"/>
      <c r="BE25" s="25"/>
      <c r="BF25" s="13"/>
      <c r="BK25" s="116"/>
      <c r="BL25" s="123"/>
      <c r="BM25" s="123"/>
      <c r="BN25" s="123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25"/>
      <c r="CD25" s="13"/>
      <c r="CG25" s="114"/>
    </row>
    <row r="26" spans="1:85" ht="20.100000000000001" customHeight="1" x14ac:dyDescent="0.4">
      <c r="A26" s="117"/>
      <c r="B26" s="123"/>
      <c r="C26" s="123"/>
      <c r="D26" s="123"/>
      <c r="I26" s="115"/>
      <c r="J26" s="115"/>
      <c r="K26" s="25">
        <v>46170</v>
      </c>
      <c r="L26" s="13" t="s">
        <v>147</v>
      </c>
      <c r="Z26" s="115"/>
      <c r="AA26" s="115"/>
      <c r="AB26" s="115"/>
      <c r="AC26" s="115"/>
      <c r="AD26" s="127"/>
      <c r="AE26" s="29"/>
      <c r="AT26" s="127"/>
      <c r="AU26" s="29"/>
      <c r="BE26" s="25"/>
      <c r="BF26" s="13"/>
      <c r="BK26" s="116"/>
      <c r="BL26" s="123"/>
      <c r="BM26" s="123"/>
      <c r="BN26" s="123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25"/>
      <c r="CD26" s="13"/>
      <c r="CG26" s="114"/>
    </row>
    <row r="27" spans="1:85" ht="20.100000000000001" customHeight="1" x14ac:dyDescent="0.4">
      <c r="A27" s="117"/>
      <c r="B27" s="123"/>
      <c r="C27" s="123"/>
      <c r="D27" s="123"/>
      <c r="H27" s="115"/>
      <c r="I27" s="115"/>
      <c r="J27" s="115"/>
      <c r="K27" s="25">
        <v>46186</v>
      </c>
      <c r="L27" s="13" t="s">
        <v>146</v>
      </c>
      <c r="Z27" s="115"/>
      <c r="AA27" s="115"/>
      <c r="AB27" s="115"/>
      <c r="AC27" s="115"/>
      <c r="AD27" s="127"/>
      <c r="AE27" s="29"/>
      <c r="AT27" s="127"/>
      <c r="AU27" s="29"/>
      <c r="BE27" s="25"/>
      <c r="BF27" s="13"/>
      <c r="BK27" s="116"/>
      <c r="BL27" s="123"/>
      <c r="BM27" s="123"/>
      <c r="BN27" s="123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25"/>
      <c r="CD27" s="13"/>
      <c r="CG27" s="114"/>
    </row>
    <row r="28" spans="1:85" ht="20.100000000000001" customHeight="1" x14ac:dyDescent="0.4">
      <c r="A28" s="117"/>
      <c r="B28" s="123"/>
      <c r="C28" s="123"/>
      <c r="D28" s="123"/>
      <c r="K28" s="25">
        <v>46186</v>
      </c>
      <c r="L28" s="13" t="s">
        <v>146</v>
      </c>
      <c r="Y28" s="115"/>
      <c r="Z28" s="115"/>
      <c r="AA28" s="115"/>
      <c r="AB28" s="115"/>
      <c r="AC28" s="115"/>
      <c r="AD28" s="127"/>
      <c r="AE28" s="29"/>
      <c r="AT28" s="127"/>
      <c r="AU28" s="29"/>
      <c r="BE28" s="25"/>
      <c r="BF28" s="13"/>
      <c r="BK28" s="116"/>
      <c r="BL28" s="123"/>
      <c r="BM28" s="123"/>
      <c r="BN28" s="123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25"/>
      <c r="CD28" s="13"/>
      <c r="CG28" s="114"/>
    </row>
    <row r="29" spans="1:85" ht="20.100000000000001" customHeight="1" x14ac:dyDescent="0.4">
      <c r="A29" s="117"/>
      <c r="B29" s="123"/>
      <c r="C29" s="123"/>
      <c r="D29" s="123"/>
      <c r="J29" s="115"/>
      <c r="K29" s="25">
        <v>46189</v>
      </c>
      <c r="L29" s="13" t="s">
        <v>146</v>
      </c>
      <c r="Y29" s="115"/>
      <c r="Z29" s="115"/>
      <c r="AA29" s="115"/>
      <c r="AB29" s="115"/>
      <c r="AC29" s="115"/>
      <c r="AD29" s="127"/>
      <c r="AE29" s="29"/>
      <c r="AT29" s="127"/>
      <c r="AU29" s="29"/>
      <c r="BE29" s="25"/>
      <c r="BF29" s="13"/>
      <c r="BK29" s="116"/>
      <c r="BL29" s="123"/>
      <c r="BM29" s="123"/>
      <c r="BN29" s="123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25"/>
      <c r="CD29" s="13"/>
      <c r="CG29" s="114"/>
    </row>
    <row r="30" spans="1:85" ht="20.100000000000001" customHeight="1" x14ac:dyDescent="0.4">
      <c r="A30" s="117"/>
      <c r="B30" s="123"/>
      <c r="C30" s="123"/>
      <c r="D30" s="123"/>
      <c r="H30" s="115"/>
      <c r="I30" s="115"/>
      <c r="J30" s="115"/>
      <c r="K30" s="25">
        <v>46197</v>
      </c>
      <c r="L30" s="13" t="s">
        <v>147</v>
      </c>
      <c r="Y30" s="115"/>
      <c r="Z30" s="115"/>
      <c r="AA30" s="115"/>
      <c r="AB30" s="115"/>
      <c r="AC30" s="115"/>
      <c r="AD30" s="127"/>
      <c r="AE30" s="29"/>
      <c r="AT30" s="127"/>
      <c r="AU30" s="29"/>
      <c r="BE30" s="25"/>
      <c r="BF30" s="13"/>
      <c r="BK30" s="116"/>
      <c r="BL30" s="123"/>
      <c r="BM30" s="123"/>
      <c r="BN30" s="123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25"/>
      <c r="CD30" s="13"/>
      <c r="CG30" s="114"/>
    </row>
    <row r="31" spans="1:85" ht="20.100000000000001" customHeight="1" x14ac:dyDescent="0.4">
      <c r="A31" s="117"/>
      <c r="B31" s="123"/>
      <c r="C31" s="123"/>
      <c r="D31" s="123"/>
      <c r="H31" s="115"/>
      <c r="I31" s="115"/>
      <c r="J31" s="115"/>
      <c r="K31" s="25">
        <v>46180</v>
      </c>
      <c r="L31" s="13" t="s">
        <v>146</v>
      </c>
      <c r="Y31" s="115"/>
      <c r="Z31" s="115"/>
      <c r="AA31" s="115"/>
      <c r="AB31" s="115"/>
      <c r="AC31" s="115"/>
      <c r="AD31" s="127"/>
      <c r="AE31" s="29"/>
      <c r="AT31" s="127"/>
      <c r="AU31" s="29"/>
      <c r="BE31" s="25"/>
      <c r="BF31" s="13"/>
      <c r="BK31" s="116"/>
      <c r="BL31" s="123"/>
      <c r="BM31" s="123"/>
      <c r="BN31" s="123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25"/>
      <c r="CD31" s="13"/>
      <c r="CG31" s="114"/>
    </row>
    <row r="32" spans="1:85" ht="20.100000000000001" customHeight="1" x14ac:dyDescent="0.4">
      <c r="A32" s="117"/>
      <c r="B32" s="123"/>
      <c r="C32" s="123"/>
      <c r="D32" s="123"/>
      <c r="K32" s="25">
        <v>46180</v>
      </c>
      <c r="L32" s="13" t="s">
        <v>146</v>
      </c>
      <c r="X32" s="115"/>
      <c r="Y32" s="115"/>
      <c r="Z32" s="115"/>
      <c r="AA32" s="115"/>
      <c r="AB32" s="115"/>
      <c r="AC32" s="115"/>
      <c r="AD32" s="127"/>
      <c r="AE32" s="29"/>
      <c r="AT32" s="127"/>
      <c r="AU32" s="29"/>
      <c r="BE32" s="25"/>
      <c r="BF32" s="13"/>
      <c r="BK32" s="116"/>
      <c r="BL32" s="123"/>
      <c r="BM32" s="123"/>
      <c r="BN32" s="123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25"/>
      <c r="CD32" s="13"/>
      <c r="CG32" s="114"/>
    </row>
    <row r="33" spans="1:85" ht="20.100000000000001" customHeight="1" x14ac:dyDescent="0.4">
      <c r="A33" s="117"/>
      <c r="B33" s="123"/>
      <c r="C33" s="123"/>
      <c r="D33" s="123"/>
      <c r="I33" s="115"/>
      <c r="J33" s="115"/>
      <c r="K33" s="25">
        <v>46180</v>
      </c>
      <c r="L33" s="13" t="s">
        <v>146</v>
      </c>
      <c r="X33" s="115"/>
      <c r="Y33" s="115"/>
      <c r="Z33" s="115"/>
      <c r="AA33" s="115"/>
      <c r="AB33" s="115"/>
      <c r="AC33" s="115"/>
      <c r="AD33" s="127"/>
      <c r="AE33" s="29"/>
      <c r="AT33" s="127"/>
      <c r="AU33" s="29"/>
      <c r="BE33" s="25"/>
      <c r="BF33" s="13"/>
      <c r="BK33" s="116"/>
      <c r="BL33" s="123"/>
      <c r="BM33" s="123"/>
      <c r="BN33" s="123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25"/>
      <c r="CD33" s="13"/>
      <c r="CG33" s="114"/>
    </row>
    <row r="34" spans="1:85" ht="20.100000000000001" customHeight="1" x14ac:dyDescent="0.4">
      <c r="A34" s="117"/>
      <c r="B34" s="123"/>
      <c r="C34" s="123"/>
      <c r="D34" s="123"/>
      <c r="H34" s="115"/>
      <c r="I34" s="115"/>
      <c r="J34" s="115"/>
      <c r="K34" s="25">
        <v>46180</v>
      </c>
      <c r="L34" s="133" t="s">
        <v>146</v>
      </c>
      <c r="X34" s="115"/>
      <c r="Y34" s="115"/>
      <c r="Z34" s="115"/>
      <c r="AA34" s="115"/>
      <c r="AB34" s="115"/>
      <c r="AC34" s="115"/>
      <c r="AD34" s="127"/>
      <c r="AE34" s="29"/>
      <c r="AT34" s="127"/>
      <c r="AU34" s="29"/>
      <c r="BE34" s="25"/>
      <c r="BF34" s="13"/>
      <c r="BK34" s="116"/>
      <c r="BL34" s="123"/>
      <c r="BM34" s="123"/>
      <c r="BN34" s="123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25"/>
      <c r="CD34" s="13"/>
      <c r="CG34" s="114"/>
    </row>
    <row r="35" spans="1:85" ht="20.100000000000001" customHeight="1" x14ac:dyDescent="0.4">
      <c r="A35" s="117"/>
      <c r="B35" s="123"/>
      <c r="C35" s="123"/>
      <c r="D35" s="123"/>
      <c r="K35" s="25">
        <v>46180</v>
      </c>
      <c r="L35" s="13" t="s">
        <v>146</v>
      </c>
      <c r="X35" s="115"/>
      <c r="Y35" s="115"/>
      <c r="Z35" s="115"/>
      <c r="AA35" s="115"/>
      <c r="AB35" s="115"/>
      <c r="AC35" s="115"/>
      <c r="AD35" s="127"/>
      <c r="AE35" s="29"/>
      <c r="AT35" s="127"/>
      <c r="AU35" s="29"/>
      <c r="BE35" s="25"/>
      <c r="BF35" s="13"/>
      <c r="BK35" s="116"/>
      <c r="BL35" s="123"/>
      <c r="BM35" s="123"/>
      <c r="BN35" s="123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25"/>
      <c r="CD35" s="13"/>
      <c r="CG35" s="114"/>
    </row>
    <row r="36" spans="1:85" ht="20.100000000000001" customHeight="1" x14ac:dyDescent="0.4">
      <c r="A36" s="117"/>
      <c r="B36" s="123"/>
      <c r="C36" s="123"/>
      <c r="D36" s="123"/>
      <c r="K36" s="25">
        <v>46180</v>
      </c>
      <c r="L36" s="13" t="s">
        <v>146</v>
      </c>
      <c r="W36" s="115"/>
      <c r="X36" s="115"/>
      <c r="Y36" s="115"/>
      <c r="Z36" s="115"/>
      <c r="AA36" s="115"/>
      <c r="AB36" s="115"/>
      <c r="AC36" s="115"/>
      <c r="AD36" s="127"/>
      <c r="AE36" s="29"/>
      <c r="AT36" s="127"/>
      <c r="AU36" s="29"/>
      <c r="BE36" s="25"/>
      <c r="BF36" s="13"/>
      <c r="BK36" s="116"/>
      <c r="BL36" s="123"/>
      <c r="BM36" s="123"/>
      <c r="BN36" s="123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25"/>
      <c r="CD36" s="13"/>
      <c r="CG36" s="114"/>
    </row>
    <row r="37" spans="1:85" ht="20.100000000000001" customHeight="1" x14ac:dyDescent="0.4">
      <c r="A37" s="117"/>
      <c r="B37" s="123"/>
      <c r="C37" s="123"/>
      <c r="D37" s="123"/>
      <c r="K37" s="25">
        <v>46180</v>
      </c>
      <c r="L37" s="13" t="s">
        <v>146</v>
      </c>
      <c r="W37" s="115"/>
      <c r="X37" s="115"/>
      <c r="Y37" s="115"/>
      <c r="Z37" s="115"/>
      <c r="AA37" s="115"/>
      <c r="AB37" s="115"/>
      <c r="AC37" s="115"/>
      <c r="AD37" s="127"/>
      <c r="AE37" s="134"/>
      <c r="AT37" s="127"/>
      <c r="AU37" s="29"/>
      <c r="BE37" s="25"/>
      <c r="BF37" s="13"/>
      <c r="BK37" s="116"/>
      <c r="BL37" s="123"/>
      <c r="BM37" s="123"/>
      <c r="BN37" s="123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25"/>
      <c r="CD37" s="13"/>
      <c r="CG37" s="114"/>
    </row>
    <row r="38" spans="1:85" ht="20.100000000000001" customHeight="1" x14ac:dyDescent="0.4">
      <c r="A38" s="117"/>
      <c r="B38" s="123"/>
      <c r="C38" s="123"/>
      <c r="D38" s="123"/>
      <c r="I38" s="115"/>
      <c r="J38" s="115"/>
      <c r="K38" s="25">
        <v>46194</v>
      </c>
      <c r="L38" s="13" t="s">
        <v>147</v>
      </c>
      <c r="W38" s="115"/>
      <c r="X38" s="115"/>
      <c r="Y38" s="115"/>
      <c r="Z38" s="115"/>
      <c r="AA38" s="115"/>
      <c r="AB38" s="115"/>
      <c r="AC38" s="115"/>
      <c r="AD38" s="127"/>
      <c r="AE38" s="134"/>
      <c r="AT38" s="127"/>
      <c r="AU38" s="29"/>
      <c r="BE38" s="25"/>
      <c r="BF38" s="13"/>
      <c r="BK38" s="116"/>
      <c r="BL38" s="123"/>
      <c r="BM38" s="123"/>
      <c r="BN38" s="123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25"/>
      <c r="CD38" s="13"/>
      <c r="CG38" s="114"/>
    </row>
    <row r="39" spans="1:85" ht="20.100000000000001" customHeight="1" x14ac:dyDescent="0.4">
      <c r="A39" s="117"/>
      <c r="B39" s="123"/>
      <c r="C39" s="123"/>
      <c r="D39" s="123"/>
      <c r="I39" s="115"/>
      <c r="J39" s="115"/>
      <c r="K39" s="25">
        <v>46194</v>
      </c>
      <c r="L39" s="15" t="s">
        <v>147</v>
      </c>
      <c r="W39" s="115"/>
      <c r="X39" s="115"/>
      <c r="Y39" s="115"/>
      <c r="Z39" s="115"/>
      <c r="AA39" s="115"/>
      <c r="AB39" s="115"/>
      <c r="AC39" s="115"/>
      <c r="AD39" s="127"/>
      <c r="AE39" s="134"/>
      <c r="AT39" s="127"/>
      <c r="AU39" s="29"/>
      <c r="BE39" s="25"/>
      <c r="BF39" s="13"/>
      <c r="BK39" s="116"/>
      <c r="BL39" s="123"/>
      <c r="BM39" s="123"/>
      <c r="BN39" s="123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25"/>
      <c r="CD39" s="13"/>
      <c r="CG39" s="114"/>
    </row>
    <row r="40" spans="1:85" ht="20.100000000000001" customHeight="1" x14ac:dyDescent="0.4">
      <c r="A40" s="117"/>
      <c r="B40" s="123"/>
      <c r="C40" s="123"/>
      <c r="D40" s="123"/>
      <c r="K40" s="25">
        <v>46194</v>
      </c>
      <c r="L40" s="15" t="s">
        <v>147</v>
      </c>
      <c r="W40" s="115"/>
      <c r="X40" s="115"/>
      <c r="Y40" s="115"/>
      <c r="Z40" s="115"/>
      <c r="AA40" s="115"/>
      <c r="AB40" s="115"/>
      <c r="AC40" s="115"/>
      <c r="AD40" s="127"/>
      <c r="AE40" s="29"/>
      <c r="AT40" s="127"/>
      <c r="AU40" s="29"/>
      <c r="BE40" s="25"/>
      <c r="BF40" s="13"/>
      <c r="BK40" s="116"/>
      <c r="BL40" s="123"/>
      <c r="BM40" s="123"/>
      <c r="BN40" s="123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25"/>
      <c r="CD40" s="13"/>
      <c r="CG40" s="114"/>
    </row>
    <row r="41" spans="1:85" ht="20.100000000000001" customHeight="1" x14ac:dyDescent="0.4">
      <c r="A41" s="117"/>
      <c r="B41" s="123"/>
      <c r="C41" s="123"/>
      <c r="D41" s="123"/>
      <c r="K41" s="25">
        <v>46194</v>
      </c>
      <c r="L41" s="15" t="s">
        <v>147</v>
      </c>
      <c r="W41" s="115"/>
      <c r="X41" s="115"/>
      <c r="Y41" s="115"/>
      <c r="Z41" s="115"/>
      <c r="AA41" s="115"/>
      <c r="AB41" s="115"/>
      <c r="AC41" s="115"/>
      <c r="AD41" s="29"/>
      <c r="AE41" s="29"/>
      <c r="AT41" s="127"/>
      <c r="AU41" s="29"/>
      <c r="BE41" s="25"/>
      <c r="BF41" s="13"/>
      <c r="BK41" s="116"/>
      <c r="BL41" s="123"/>
      <c r="BM41" s="123"/>
      <c r="BN41" s="123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25"/>
      <c r="CD41" s="13"/>
      <c r="CG41" s="114"/>
    </row>
    <row r="42" spans="1:85" ht="20.100000000000001" customHeight="1" x14ac:dyDescent="0.4">
      <c r="A42" s="117"/>
      <c r="B42" s="123"/>
      <c r="C42" s="123"/>
      <c r="D42" s="123"/>
      <c r="K42" s="25">
        <v>46194</v>
      </c>
      <c r="L42" s="15" t="s">
        <v>148</v>
      </c>
      <c r="W42" s="115"/>
      <c r="X42" s="115"/>
      <c r="Y42" s="115"/>
      <c r="Z42" s="115"/>
      <c r="AA42" s="115"/>
      <c r="AB42" s="115"/>
      <c r="AC42" s="115"/>
      <c r="AD42" s="127"/>
      <c r="AE42" s="29"/>
      <c r="AT42" s="127"/>
      <c r="AU42" s="29"/>
      <c r="BE42" s="25"/>
      <c r="BF42" s="13"/>
      <c r="BK42" s="116"/>
      <c r="BL42" s="123"/>
      <c r="BM42" s="123"/>
      <c r="BN42" s="123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25"/>
      <c r="CD42" s="13"/>
      <c r="CG42" s="114"/>
    </row>
    <row r="43" spans="1:85" ht="20.100000000000001" customHeight="1" x14ac:dyDescent="0.4">
      <c r="A43" s="117"/>
      <c r="B43" s="123"/>
      <c r="C43" s="123"/>
      <c r="D43" s="123"/>
      <c r="K43" s="25">
        <v>46194</v>
      </c>
      <c r="L43" s="15" t="s">
        <v>148</v>
      </c>
      <c r="W43" s="115"/>
      <c r="X43" s="115"/>
      <c r="Y43" s="115"/>
      <c r="Z43" s="115"/>
      <c r="AA43" s="115"/>
      <c r="AB43" s="115"/>
      <c r="AC43" s="115"/>
      <c r="AD43" s="127"/>
      <c r="AE43" s="29"/>
      <c r="AT43" s="127"/>
      <c r="AU43" s="29"/>
      <c r="BE43" s="25"/>
      <c r="BF43" s="13"/>
      <c r="BK43" s="116"/>
      <c r="BL43" s="123"/>
      <c r="BM43" s="123"/>
      <c r="BN43" s="123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25"/>
      <c r="CD43" s="13"/>
      <c r="CG43" s="114"/>
    </row>
    <row r="44" spans="1:85" ht="20.100000000000001" customHeight="1" x14ac:dyDescent="0.4">
      <c r="A44" s="117"/>
      <c r="B44" s="123"/>
      <c r="C44" s="123"/>
      <c r="D44" s="123"/>
      <c r="K44" s="25">
        <v>46194</v>
      </c>
      <c r="L44" s="15" t="s">
        <v>147</v>
      </c>
      <c r="W44" s="115"/>
      <c r="X44" s="115"/>
      <c r="Y44" s="115"/>
      <c r="Z44" s="115"/>
      <c r="AA44" s="115"/>
      <c r="AB44" s="115"/>
      <c r="AC44" s="115"/>
      <c r="AD44" s="127"/>
      <c r="AE44" s="29"/>
      <c r="AT44" s="127"/>
      <c r="AU44" s="29"/>
      <c r="BE44" s="25"/>
      <c r="BF44" s="13"/>
      <c r="BK44" s="116"/>
      <c r="BL44" s="123"/>
      <c r="BM44" s="123"/>
      <c r="BN44" s="123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25"/>
      <c r="CD44" s="13"/>
      <c r="CG44" s="114"/>
    </row>
    <row r="45" spans="1:85" ht="20.100000000000001" customHeight="1" x14ac:dyDescent="0.4">
      <c r="A45" s="117"/>
      <c r="B45" s="123"/>
      <c r="C45" s="123"/>
      <c r="D45" s="123"/>
      <c r="K45" s="26">
        <v>46176</v>
      </c>
      <c r="L45" s="15" t="s">
        <v>147</v>
      </c>
      <c r="W45" s="115"/>
      <c r="X45" s="115"/>
      <c r="Y45" s="115"/>
      <c r="Z45" s="115"/>
      <c r="AA45" s="115"/>
      <c r="AB45" s="115"/>
      <c r="AC45" s="115"/>
      <c r="AD45" s="29"/>
      <c r="AE45" s="29"/>
      <c r="AT45" s="127"/>
      <c r="AU45" s="29"/>
      <c r="BE45" s="25"/>
      <c r="BF45" s="13"/>
      <c r="BK45" s="116"/>
      <c r="BL45" s="123"/>
      <c r="BM45" s="123"/>
      <c r="BN45" s="123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25"/>
      <c r="CD45" s="13"/>
      <c r="CG45" s="114"/>
    </row>
    <row r="46" spans="1:85" ht="20.100000000000001" customHeight="1" x14ac:dyDescent="0.4">
      <c r="A46" s="117"/>
      <c r="B46" s="123"/>
      <c r="C46" s="123"/>
      <c r="D46" s="123"/>
      <c r="I46" s="115"/>
      <c r="J46" s="115"/>
      <c r="K46" s="26">
        <v>46186</v>
      </c>
      <c r="L46" s="15" t="s">
        <v>146</v>
      </c>
      <c r="W46" s="115"/>
      <c r="X46" s="115"/>
      <c r="Y46" s="115"/>
      <c r="Z46" s="115"/>
      <c r="AA46" s="115"/>
      <c r="AB46" s="115"/>
      <c r="AC46" s="115"/>
      <c r="AD46" s="29"/>
      <c r="AE46" s="29"/>
      <c r="AT46" s="127"/>
      <c r="AU46" s="29"/>
      <c r="BE46" s="25"/>
      <c r="BF46" s="13"/>
      <c r="BK46" s="116"/>
      <c r="BL46" s="123"/>
      <c r="BM46" s="123"/>
      <c r="BN46" s="123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25"/>
      <c r="CD46" s="13"/>
      <c r="CG46" s="114"/>
    </row>
    <row r="47" spans="1:85" ht="20.100000000000001" customHeight="1" x14ac:dyDescent="0.4">
      <c r="A47" s="117"/>
      <c r="B47" s="139"/>
      <c r="C47" s="123"/>
      <c r="D47" s="123"/>
      <c r="K47" s="25">
        <v>46186</v>
      </c>
      <c r="L47" s="15" t="s">
        <v>148</v>
      </c>
      <c r="V47" s="115"/>
      <c r="W47" s="115"/>
      <c r="X47" s="115"/>
      <c r="Y47" s="115"/>
      <c r="Z47" s="115"/>
      <c r="AA47" s="115"/>
      <c r="AB47" s="115"/>
      <c r="AC47" s="115"/>
      <c r="AD47" s="127"/>
      <c r="AE47" s="29"/>
      <c r="AT47" s="127"/>
      <c r="AU47" s="29"/>
      <c r="BE47" s="25"/>
      <c r="BF47" s="13"/>
      <c r="BK47" s="116"/>
      <c r="BL47" s="123"/>
      <c r="BM47" s="123"/>
      <c r="BN47" s="123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25"/>
      <c r="CD47" s="13"/>
      <c r="CG47" s="114"/>
    </row>
    <row r="48" spans="1:85" ht="20.100000000000001" customHeight="1" x14ac:dyDescent="0.4">
      <c r="A48" s="117"/>
      <c r="B48" s="123"/>
      <c r="C48" s="123"/>
      <c r="D48" s="123"/>
      <c r="K48" s="25">
        <v>46181</v>
      </c>
      <c r="L48" s="13" t="s">
        <v>147</v>
      </c>
      <c r="V48" s="115"/>
      <c r="W48" s="115"/>
      <c r="X48" s="115"/>
      <c r="Y48" s="115"/>
      <c r="Z48" s="115"/>
      <c r="AA48" s="115"/>
      <c r="AB48" s="115"/>
      <c r="AC48" s="115"/>
      <c r="AD48" s="127"/>
      <c r="AE48" s="29"/>
      <c r="AT48" s="127"/>
      <c r="AU48" s="29"/>
      <c r="BE48" s="25"/>
      <c r="BF48" s="13"/>
      <c r="BK48" s="116"/>
      <c r="BL48" s="123"/>
      <c r="BM48" s="123"/>
      <c r="BN48" s="123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25"/>
      <c r="CD48" s="13"/>
      <c r="CG48" s="114"/>
    </row>
    <row r="49" spans="1:85" ht="20.100000000000001" customHeight="1" x14ac:dyDescent="0.4">
      <c r="A49" s="117"/>
      <c r="B49" s="123"/>
      <c r="C49" s="123"/>
      <c r="D49" s="123"/>
      <c r="K49" s="25">
        <v>46186</v>
      </c>
      <c r="L49" s="13" t="s">
        <v>142</v>
      </c>
      <c r="V49" s="115"/>
      <c r="W49" s="115"/>
      <c r="X49" s="115"/>
      <c r="Y49" s="115"/>
      <c r="Z49" s="115"/>
      <c r="AA49" s="115"/>
      <c r="AB49" s="115"/>
      <c r="AC49" s="115"/>
      <c r="AD49" s="127"/>
      <c r="AE49" s="29"/>
      <c r="AT49" s="127"/>
      <c r="AU49" s="29"/>
      <c r="BE49" s="25"/>
      <c r="BF49" s="13"/>
      <c r="BK49" s="116"/>
      <c r="BL49" s="123"/>
      <c r="BM49" s="123"/>
      <c r="BN49" s="123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25"/>
      <c r="CD49" s="13"/>
      <c r="CG49" s="114"/>
    </row>
    <row r="50" spans="1:85" ht="20.100000000000001" customHeight="1" x14ac:dyDescent="0.4">
      <c r="A50" s="117"/>
      <c r="B50" s="123"/>
      <c r="C50" s="123"/>
      <c r="D50" s="123"/>
      <c r="K50" s="25">
        <v>46190</v>
      </c>
      <c r="L50" s="13" t="s">
        <v>146</v>
      </c>
      <c r="V50" s="115"/>
      <c r="W50" s="115"/>
      <c r="X50" s="115"/>
      <c r="Y50" s="115"/>
      <c r="Z50" s="115"/>
      <c r="AA50" s="115"/>
      <c r="AB50" s="115"/>
      <c r="AC50" s="115"/>
      <c r="AD50" s="127"/>
      <c r="AE50" s="29"/>
      <c r="AT50" s="127"/>
      <c r="AU50" s="29"/>
      <c r="BE50" s="25"/>
      <c r="BF50" s="13"/>
      <c r="BK50" s="116"/>
      <c r="BL50" s="123"/>
      <c r="BM50" s="123"/>
      <c r="BN50" s="123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25"/>
      <c r="CD50" s="13"/>
      <c r="CG50" s="114"/>
    </row>
    <row r="51" spans="1:85" ht="20.100000000000001" customHeight="1" x14ac:dyDescent="0.4">
      <c r="A51" s="117"/>
      <c r="B51" s="123"/>
      <c r="C51" s="123"/>
      <c r="D51" s="123"/>
      <c r="K51" s="25">
        <v>46190</v>
      </c>
      <c r="L51" s="13" t="s">
        <v>146</v>
      </c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27"/>
      <c r="AE51" s="29"/>
      <c r="AT51" s="127"/>
      <c r="AU51" s="29"/>
      <c r="BE51" s="25"/>
      <c r="BF51" s="13"/>
      <c r="BK51" s="116"/>
      <c r="BL51" s="123"/>
      <c r="BM51" s="123"/>
      <c r="BN51" s="123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25"/>
      <c r="CD51" s="13"/>
      <c r="CG51" s="114"/>
    </row>
    <row r="52" spans="1:85" ht="20.100000000000001" customHeight="1" x14ac:dyDescent="0.4">
      <c r="A52" s="117"/>
      <c r="B52" s="123"/>
      <c r="C52" s="123"/>
      <c r="D52" s="123"/>
      <c r="K52" s="25">
        <v>46186</v>
      </c>
      <c r="L52" s="13" t="s">
        <v>146</v>
      </c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9"/>
      <c r="AE52" s="29"/>
      <c r="AT52" s="127"/>
      <c r="AU52" s="29"/>
      <c r="BE52" s="25"/>
      <c r="BF52" s="13"/>
      <c r="BK52" s="116"/>
      <c r="BL52" s="123"/>
      <c r="BM52" s="123"/>
      <c r="BN52" s="123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25"/>
      <c r="CD52" s="13"/>
      <c r="CG52" s="114"/>
    </row>
    <row r="53" spans="1:85" ht="20.100000000000001" customHeight="1" x14ac:dyDescent="0.4">
      <c r="A53" s="117"/>
      <c r="B53" s="123"/>
      <c r="C53" s="123"/>
      <c r="D53" s="123"/>
      <c r="K53" s="25">
        <v>46181</v>
      </c>
      <c r="L53" s="13" t="s">
        <v>146</v>
      </c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27"/>
      <c r="AE53" s="29"/>
      <c r="AT53" s="127"/>
      <c r="AU53" s="29"/>
      <c r="BE53" s="25"/>
      <c r="BF53" s="13"/>
      <c r="BK53" s="116"/>
      <c r="BL53" s="123"/>
      <c r="BM53" s="123"/>
      <c r="BN53" s="123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25"/>
      <c r="CD53" s="13"/>
      <c r="CG53" s="114"/>
    </row>
    <row r="54" spans="1:85" ht="20.100000000000001" customHeight="1" x14ac:dyDescent="0.4">
      <c r="A54" s="117"/>
      <c r="B54" s="123"/>
      <c r="C54" s="123"/>
      <c r="D54" s="123"/>
      <c r="K54" s="25">
        <v>46187</v>
      </c>
      <c r="L54" s="13" t="s">
        <v>146</v>
      </c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27"/>
      <c r="AE54" s="29"/>
      <c r="AT54" s="127"/>
      <c r="AU54" s="29"/>
      <c r="BE54" s="25"/>
      <c r="BF54" s="13"/>
      <c r="BK54" s="116"/>
      <c r="BL54" s="123"/>
      <c r="BM54" s="123"/>
      <c r="BN54" s="123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25"/>
      <c r="CD54" s="13"/>
      <c r="CG54" s="114"/>
    </row>
    <row r="55" spans="1:85" ht="20.100000000000001" customHeight="1" x14ac:dyDescent="0.4">
      <c r="A55" s="117"/>
      <c r="B55" s="123"/>
      <c r="C55" s="123"/>
      <c r="D55" s="123"/>
      <c r="K55" s="25">
        <v>46187</v>
      </c>
      <c r="L55" s="13" t="s">
        <v>148</v>
      </c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9"/>
      <c r="AE55" s="29"/>
      <c r="AT55" s="127"/>
      <c r="AU55" s="29"/>
      <c r="BE55" s="25"/>
      <c r="BF55" s="13"/>
      <c r="BK55" s="116"/>
      <c r="BL55" s="123"/>
      <c r="BM55" s="123"/>
      <c r="BN55" s="123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25"/>
      <c r="CD55" s="13"/>
      <c r="CG55" s="114"/>
    </row>
    <row r="56" spans="1:85" ht="20.100000000000001" customHeight="1" x14ac:dyDescent="0.4">
      <c r="A56" s="117"/>
      <c r="B56" s="123"/>
      <c r="C56" s="123"/>
      <c r="D56" s="123"/>
      <c r="K56" s="25">
        <v>46187</v>
      </c>
      <c r="L56" s="13" t="s">
        <v>146</v>
      </c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27"/>
      <c r="AE56" s="29"/>
      <c r="AT56" s="127"/>
      <c r="AU56" s="29"/>
      <c r="BE56" s="25"/>
      <c r="BF56" s="13"/>
      <c r="BK56" s="116"/>
      <c r="BL56" s="123"/>
      <c r="BM56" s="123"/>
      <c r="BN56" s="123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25"/>
      <c r="CD56" s="13"/>
      <c r="CG56" s="114"/>
    </row>
    <row r="57" spans="1:85" ht="20.100000000000001" customHeight="1" x14ac:dyDescent="0.4">
      <c r="A57" s="117"/>
      <c r="B57" s="123"/>
      <c r="C57" s="123"/>
      <c r="D57" s="123"/>
      <c r="H57" s="115"/>
      <c r="I57" s="115"/>
      <c r="J57" s="115"/>
      <c r="K57" s="25">
        <v>46187</v>
      </c>
      <c r="L57" s="13" t="s">
        <v>146</v>
      </c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27"/>
      <c r="AE57" s="29"/>
      <c r="AT57" s="127"/>
      <c r="AU57" s="29"/>
      <c r="BE57" s="25"/>
      <c r="BF57" s="13"/>
      <c r="BK57" s="116"/>
      <c r="BL57" s="123"/>
      <c r="BM57" s="123"/>
      <c r="BN57" s="123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25"/>
      <c r="CD57" s="13"/>
      <c r="CG57" s="114"/>
    </row>
    <row r="58" spans="1:85" ht="20.100000000000001" customHeight="1" x14ac:dyDescent="0.4">
      <c r="A58" s="117"/>
      <c r="B58" s="123"/>
      <c r="C58" s="123"/>
      <c r="D58" s="123"/>
      <c r="K58" s="25">
        <v>46187</v>
      </c>
      <c r="L58" s="13" t="s">
        <v>148</v>
      </c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27"/>
      <c r="AE58" s="29"/>
      <c r="AT58" s="127"/>
      <c r="AU58" s="29"/>
      <c r="BE58" s="25"/>
      <c r="BF58" s="13"/>
      <c r="BK58" s="116"/>
      <c r="BL58" s="123"/>
      <c r="BM58" s="123"/>
      <c r="BN58" s="123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25"/>
      <c r="CD58" s="13"/>
      <c r="CG58" s="114"/>
    </row>
    <row r="59" spans="1:85" ht="20.100000000000001" customHeight="1" x14ac:dyDescent="0.4">
      <c r="A59" s="117"/>
      <c r="B59" s="123"/>
      <c r="C59" s="123"/>
      <c r="D59" s="123"/>
      <c r="K59" s="25">
        <v>46187</v>
      </c>
      <c r="L59" s="13" t="s">
        <v>146</v>
      </c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27"/>
      <c r="AE59" s="29"/>
      <c r="AT59" s="127"/>
      <c r="AU59" s="29"/>
      <c r="BE59" s="25"/>
      <c r="BF59" s="13"/>
      <c r="BK59" s="116"/>
      <c r="BL59" s="123"/>
      <c r="BM59" s="123"/>
      <c r="BN59" s="123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25"/>
      <c r="CD59" s="13"/>
      <c r="CG59" s="114"/>
    </row>
    <row r="60" spans="1:85" ht="20.100000000000001" customHeight="1" x14ac:dyDescent="0.4">
      <c r="A60" s="117"/>
      <c r="B60" s="123"/>
      <c r="C60" s="123"/>
      <c r="D60" s="123"/>
      <c r="K60" s="25">
        <v>46197</v>
      </c>
      <c r="L60" s="13" t="s">
        <v>146</v>
      </c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29"/>
      <c r="AE60" s="29"/>
      <c r="AT60" s="127"/>
      <c r="AU60" s="29"/>
      <c r="BE60" s="25"/>
      <c r="BF60" s="13"/>
      <c r="BK60" s="116"/>
      <c r="BL60" s="123"/>
      <c r="BM60" s="123"/>
      <c r="BN60" s="123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25"/>
      <c r="CD60" s="13"/>
      <c r="CG60" s="114"/>
    </row>
    <row r="61" spans="1:85" ht="20.100000000000001" customHeight="1" x14ac:dyDescent="0.4">
      <c r="A61" s="117"/>
      <c r="B61" s="123"/>
      <c r="C61" s="123"/>
      <c r="D61" s="123"/>
      <c r="K61" s="25">
        <v>46196</v>
      </c>
      <c r="L61" s="13" t="s">
        <v>146</v>
      </c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27"/>
      <c r="AE61" s="29"/>
      <c r="AT61" s="127"/>
      <c r="AU61" s="29"/>
      <c r="BE61" s="25"/>
      <c r="BF61" s="13"/>
      <c r="BK61" s="116"/>
      <c r="BL61" s="123"/>
      <c r="BM61" s="123"/>
      <c r="BN61" s="123"/>
      <c r="BS61" s="115"/>
      <c r="BT61" s="115"/>
      <c r="BU61" s="115"/>
      <c r="BV61" s="115"/>
      <c r="BW61" s="115"/>
      <c r="BX61" s="115"/>
      <c r="BY61" s="115"/>
      <c r="BZ61" s="115"/>
      <c r="CA61" s="115"/>
      <c r="CB61" s="115"/>
      <c r="CC61" s="25"/>
      <c r="CD61" s="13"/>
      <c r="CG61" s="114"/>
    </row>
    <row r="62" spans="1:85" ht="20.100000000000001" customHeight="1" x14ac:dyDescent="0.4">
      <c r="A62" s="117"/>
      <c r="B62" s="123"/>
      <c r="C62" s="123"/>
      <c r="D62" s="123"/>
      <c r="I62" s="115"/>
      <c r="J62" s="115"/>
      <c r="K62" s="25">
        <v>46196</v>
      </c>
      <c r="L62" s="13" t="s">
        <v>146</v>
      </c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27"/>
      <c r="AE62" s="29"/>
      <c r="AT62" s="127"/>
      <c r="AU62" s="29"/>
      <c r="BE62" s="25"/>
      <c r="BF62" s="13"/>
      <c r="BK62" s="116"/>
      <c r="BL62" s="123"/>
      <c r="BM62" s="123"/>
      <c r="BN62" s="123"/>
      <c r="BS62" s="115"/>
      <c r="BT62" s="115"/>
      <c r="BU62" s="115"/>
      <c r="BV62" s="115"/>
      <c r="BW62" s="115"/>
      <c r="BX62" s="115"/>
      <c r="BY62" s="115"/>
      <c r="BZ62" s="115"/>
      <c r="CA62" s="115"/>
      <c r="CB62" s="115"/>
      <c r="CC62" s="25"/>
      <c r="CD62" s="13"/>
      <c r="CG62" s="114"/>
    </row>
    <row r="63" spans="1:85" ht="20.100000000000001" customHeight="1" x14ac:dyDescent="0.4">
      <c r="A63" s="117"/>
      <c r="B63" s="123"/>
      <c r="C63" s="123"/>
      <c r="D63" s="123"/>
      <c r="K63" s="25">
        <v>46196</v>
      </c>
      <c r="L63" s="13" t="s">
        <v>146</v>
      </c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27"/>
      <c r="AE63" s="29"/>
      <c r="AT63" s="127"/>
      <c r="AU63" s="29"/>
      <c r="BE63" s="25"/>
      <c r="BF63" s="13"/>
      <c r="BK63" s="116"/>
      <c r="BL63" s="123"/>
      <c r="BM63" s="123"/>
      <c r="BN63" s="123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25"/>
      <c r="CD63" s="13"/>
      <c r="CG63" s="114"/>
    </row>
    <row r="64" spans="1:85" ht="20.100000000000001" customHeight="1" x14ac:dyDescent="0.4">
      <c r="A64" s="117"/>
      <c r="B64" s="123"/>
      <c r="C64" s="123"/>
      <c r="D64" s="123"/>
      <c r="K64" s="25">
        <v>46196</v>
      </c>
      <c r="L64" s="13" t="s">
        <v>146</v>
      </c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27"/>
      <c r="AE64" s="29"/>
      <c r="AT64" s="127"/>
      <c r="AU64" s="29"/>
      <c r="BE64" s="25"/>
      <c r="BF64" s="13"/>
      <c r="BK64" s="116"/>
      <c r="BL64" s="123"/>
      <c r="BM64" s="123"/>
      <c r="BN64" s="123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25"/>
      <c r="CD64" s="13"/>
      <c r="CG64" s="114"/>
    </row>
    <row r="65" spans="1:85" ht="20.100000000000001" customHeight="1" x14ac:dyDescent="0.4">
      <c r="A65" s="117"/>
      <c r="B65" s="123"/>
      <c r="C65" s="123"/>
      <c r="D65" s="123"/>
      <c r="J65" s="115"/>
      <c r="K65" s="25">
        <v>46196</v>
      </c>
      <c r="L65" s="13" t="s">
        <v>146</v>
      </c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27"/>
      <c r="AE65" s="29"/>
      <c r="AT65" s="127"/>
      <c r="AU65" s="29"/>
      <c r="BE65" s="25"/>
      <c r="BF65" s="13"/>
      <c r="BK65" s="116"/>
      <c r="BL65" s="123"/>
      <c r="BM65" s="123"/>
      <c r="BN65" s="123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25"/>
      <c r="CD65" s="13"/>
      <c r="CG65" s="114"/>
    </row>
    <row r="66" spans="1:85" ht="20.100000000000001" customHeight="1" x14ac:dyDescent="0.4">
      <c r="A66" s="117"/>
      <c r="B66" s="123"/>
      <c r="C66" s="123"/>
      <c r="D66" s="123"/>
      <c r="K66" s="25">
        <v>46196</v>
      </c>
      <c r="L66" s="13" t="s">
        <v>146</v>
      </c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9"/>
      <c r="AE66" s="29"/>
      <c r="AT66" s="127"/>
      <c r="AU66" s="29"/>
      <c r="BE66" s="25"/>
      <c r="BF66" s="13"/>
      <c r="BK66" s="116"/>
      <c r="BL66" s="123"/>
      <c r="BM66" s="123"/>
      <c r="BN66" s="123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25"/>
      <c r="CD66" s="13"/>
      <c r="CG66" s="114"/>
    </row>
    <row r="67" spans="1:85" ht="20.100000000000001" customHeight="1" x14ac:dyDescent="0.4">
      <c r="A67" s="117"/>
      <c r="B67" s="123"/>
      <c r="C67" s="123"/>
      <c r="D67" s="123"/>
      <c r="K67" s="25">
        <v>46189</v>
      </c>
      <c r="L67" s="13" t="s">
        <v>146</v>
      </c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27"/>
      <c r="AE67" s="29"/>
      <c r="AT67" s="127"/>
      <c r="AU67" s="29"/>
      <c r="BE67" s="25"/>
      <c r="BF67" s="13"/>
      <c r="BK67" s="116"/>
      <c r="BL67" s="123"/>
      <c r="BM67" s="123"/>
      <c r="BN67" s="123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25"/>
      <c r="CD67" s="13"/>
      <c r="CG67" s="114"/>
    </row>
    <row r="68" spans="1:85" ht="20.100000000000001" customHeight="1" x14ac:dyDescent="0.4">
      <c r="A68" s="117"/>
      <c r="B68" s="123"/>
      <c r="C68" s="123"/>
      <c r="D68" s="123"/>
      <c r="H68" s="115"/>
      <c r="I68" s="115"/>
      <c r="J68" s="115"/>
      <c r="K68" s="25">
        <v>46194</v>
      </c>
      <c r="L68" s="13" t="s">
        <v>147</v>
      </c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27"/>
      <c r="AE68" s="29"/>
      <c r="AT68" s="127"/>
      <c r="AU68" s="29"/>
      <c r="BE68" s="25"/>
      <c r="BF68" s="13"/>
      <c r="BK68" s="116"/>
      <c r="BL68" s="123"/>
      <c r="BM68" s="123"/>
      <c r="BN68" s="123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25"/>
      <c r="CD68" s="13"/>
      <c r="CG68" s="114"/>
    </row>
    <row r="69" spans="1:85" ht="20.100000000000001" customHeight="1" x14ac:dyDescent="0.4">
      <c r="A69" s="117"/>
      <c r="B69" s="123"/>
      <c r="C69" s="123"/>
      <c r="D69" s="123"/>
      <c r="H69" s="115"/>
      <c r="I69" s="115"/>
      <c r="J69" s="115"/>
      <c r="K69" s="25">
        <v>46194</v>
      </c>
      <c r="L69" s="13" t="s">
        <v>147</v>
      </c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27"/>
      <c r="AE69" s="29"/>
      <c r="AT69" s="127"/>
      <c r="AU69" s="29"/>
      <c r="BE69" s="25"/>
      <c r="BF69" s="13"/>
      <c r="BK69" s="116"/>
      <c r="BL69" s="123"/>
      <c r="BM69" s="123"/>
      <c r="BN69" s="123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25"/>
      <c r="CD69" s="13"/>
      <c r="CG69" s="114"/>
    </row>
    <row r="70" spans="1:85" ht="20.100000000000001" customHeight="1" x14ac:dyDescent="0.4">
      <c r="A70" s="117"/>
      <c r="B70" s="123"/>
      <c r="C70" s="123"/>
      <c r="D70" s="123"/>
      <c r="K70" s="25">
        <v>46188</v>
      </c>
      <c r="L70" s="13" t="s">
        <v>147</v>
      </c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27"/>
      <c r="AE70" s="29"/>
      <c r="AT70" s="127"/>
      <c r="AU70" s="29"/>
      <c r="BE70" s="25"/>
      <c r="BF70" s="13"/>
      <c r="BK70" s="116"/>
      <c r="BL70" s="123"/>
      <c r="BM70" s="123"/>
      <c r="BN70" s="123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25"/>
      <c r="CD70" s="13"/>
      <c r="CG70" s="114"/>
    </row>
    <row r="71" spans="1:85" ht="20.100000000000001" customHeight="1" x14ac:dyDescent="0.4">
      <c r="A71" s="117"/>
      <c r="B71" s="123"/>
      <c r="C71" s="123"/>
      <c r="D71" s="123"/>
      <c r="H71" s="115"/>
      <c r="I71" s="115"/>
      <c r="J71" s="115"/>
      <c r="K71" s="25">
        <v>46187</v>
      </c>
      <c r="L71" s="13" t="s">
        <v>146</v>
      </c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27"/>
      <c r="AE71" s="29"/>
      <c r="AT71" s="127"/>
      <c r="AU71" s="29"/>
      <c r="BE71" s="25"/>
      <c r="BF71" s="13"/>
      <c r="BK71" s="116"/>
      <c r="BL71" s="123"/>
      <c r="BM71" s="123"/>
      <c r="BN71" s="123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25"/>
      <c r="CD71" s="13"/>
      <c r="CG71" s="114"/>
    </row>
    <row r="72" spans="1:85" ht="20.100000000000001" customHeight="1" x14ac:dyDescent="0.4">
      <c r="A72" s="117"/>
      <c r="B72" s="123"/>
      <c r="C72" s="123"/>
      <c r="D72" s="123"/>
      <c r="K72" s="25">
        <v>46188</v>
      </c>
      <c r="L72" s="13" t="s">
        <v>147</v>
      </c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27"/>
      <c r="AE72" s="29"/>
      <c r="AT72" s="127"/>
      <c r="AU72" s="29"/>
      <c r="BE72" s="25"/>
      <c r="BF72" s="13"/>
      <c r="BK72" s="116"/>
      <c r="BL72" s="123"/>
      <c r="BM72" s="123"/>
      <c r="BN72" s="123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25"/>
      <c r="CD72" s="13"/>
      <c r="CG72" s="114"/>
    </row>
    <row r="73" spans="1:85" ht="20.100000000000001" customHeight="1" x14ac:dyDescent="0.4">
      <c r="A73" s="117"/>
      <c r="B73" s="123"/>
      <c r="C73" s="123"/>
      <c r="D73" s="123"/>
      <c r="K73" s="25">
        <v>46193</v>
      </c>
      <c r="L73" s="13" t="s">
        <v>146</v>
      </c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9"/>
      <c r="AE73" s="29"/>
      <c r="AT73" s="127"/>
      <c r="AU73" s="29"/>
      <c r="BE73" s="25"/>
      <c r="BF73" s="13"/>
      <c r="BK73" s="116"/>
      <c r="BL73" s="123"/>
      <c r="BM73" s="123"/>
      <c r="BN73" s="123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25"/>
      <c r="CD73" s="13"/>
      <c r="CG73" s="114"/>
    </row>
    <row r="74" spans="1:85" ht="20.100000000000001" customHeight="1" x14ac:dyDescent="0.4">
      <c r="A74" s="117"/>
      <c r="B74" s="123"/>
      <c r="C74" s="123"/>
      <c r="D74" s="123"/>
      <c r="J74" s="115"/>
      <c r="K74" s="26">
        <v>46170</v>
      </c>
      <c r="L74" s="13" t="s">
        <v>146</v>
      </c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9"/>
      <c r="AE74" s="29"/>
      <c r="AT74" s="127"/>
      <c r="AU74" s="29"/>
      <c r="BE74" s="25"/>
      <c r="BF74" s="13"/>
      <c r="BK74" s="116"/>
      <c r="BL74" s="123"/>
      <c r="BM74" s="123"/>
      <c r="BN74" s="123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25"/>
      <c r="CD74" s="13"/>
      <c r="CG74" s="114"/>
    </row>
    <row r="75" spans="1:85" ht="20.100000000000001" customHeight="1" x14ac:dyDescent="0.4">
      <c r="A75" s="117"/>
      <c r="B75" s="123"/>
      <c r="C75" s="123"/>
      <c r="D75" s="123"/>
      <c r="K75" s="26">
        <v>46170</v>
      </c>
      <c r="L75" s="13" t="s">
        <v>147</v>
      </c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27"/>
      <c r="AE75" s="29"/>
      <c r="AT75" s="127"/>
      <c r="AU75" s="29"/>
      <c r="BE75" s="25"/>
      <c r="BF75" s="13"/>
      <c r="BK75" s="116"/>
      <c r="BL75" s="123"/>
      <c r="BM75" s="123"/>
      <c r="BN75" s="123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25"/>
      <c r="CD75" s="13"/>
      <c r="CG75" s="114"/>
    </row>
    <row r="76" spans="1:85" ht="20.100000000000001" customHeight="1" x14ac:dyDescent="0.4">
      <c r="A76" s="117"/>
      <c r="B76" s="123"/>
      <c r="C76" s="123"/>
      <c r="D76" s="123"/>
      <c r="J76" s="115"/>
      <c r="K76" s="26">
        <v>46170</v>
      </c>
      <c r="L76" s="13" t="s">
        <v>148</v>
      </c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27"/>
      <c r="AE76" s="29"/>
      <c r="AT76" s="127"/>
      <c r="AU76" s="29"/>
      <c r="BE76" s="25"/>
      <c r="BF76" s="13"/>
      <c r="BK76" s="116"/>
      <c r="BL76" s="123"/>
      <c r="BM76" s="123"/>
      <c r="BN76" s="123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25"/>
      <c r="CD76" s="13"/>
      <c r="CG76" s="114"/>
    </row>
    <row r="77" spans="1:85" ht="20.100000000000001" customHeight="1" x14ac:dyDescent="0.4">
      <c r="A77" s="117"/>
      <c r="B77" s="123"/>
      <c r="C77" s="123"/>
      <c r="D77" s="123"/>
      <c r="K77" s="26">
        <v>46160</v>
      </c>
      <c r="L77" s="13" t="s">
        <v>146</v>
      </c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27"/>
      <c r="AE77" s="29"/>
      <c r="AT77" s="127"/>
      <c r="AU77" s="29"/>
      <c r="BE77" s="25"/>
      <c r="BF77" s="13"/>
      <c r="BK77" s="116"/>
      <c r="BL77" s="123"/>
      <c r="BM77" s="123"/>
      <c r="BN77" s="123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25"/>
      <c r="CD77" s="13"/>
      <c r="CG77" s="114"/>
    </row>
    <row r="78" spans="1:85" ht="20.100000000000001" customHeight="1" x14ac:dyDescent="0.4">
      <c r="A78" s="117"/>
      <c r="B78" s="123"/>
      <c r="C78" s="123"/>
      <c r="D78" s="123"/>
      <c r="K78" s="26">
        <v>46179</v>
      </c>
      <c r="L78" s="13" t="s">
        <v>148</v>
      </c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27"/>
      <c r="AE78" s="29"/>
      <c r="AT78" s="127"/>
      <c r="AU78" s="29"/>
      <c r="BE78" s="25"/>
      <c r="BF78" s="13"/>
      <c r="BK78" s="116"/>
      <c r="BL78" s="123"/>
      <c r="BM78" s="123"/>
      <c r="BN78" s="123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25"/>
      <c r="CD78" s="13"/>
      <c r="CG78" s="114"/>
    </row>
    <row r="79" spans="1:85" ht="20.100000000000001" customHeight="1" x14ac:dyDescent="0.4">
      <c r="A79" s="117"/>
      <c r="B79" s="123"/>
      <c r="C79" s="123"/>
      <c r="D79" s="123"/>
      <c r="K79" s="26">
        <v>46179</v>
      </c>
      <c r="L79" s="13" t="s">
        <v>147</v>
      </c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27"/>
      <c r="AE79" s="29"/>
      <c r="AT79" s="127"/>
      <c r="AU79" s="29"/>
      <c r="BE79" s="25"/>
      <c r="BF79" s="13"/>
      <c r="BK79" s="116"/>
      <c r="BL79" s="123"/>
      <c r="BM79" s="123"/>
      <c r="BN79" s="123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25"/>
      <c r="CD79" s="13"/>
      <c r="CG79" s="114"/>
    </row>
    <row r="80" spans="1:85" ht="20.100000000000001" customHeight="1" x14ac:dyDescent="0.4">
      <c r="A80" s="117"/>
      <c r="B80" s="123"/>
      <c r="C80" s="123"/>
      <c r="D80" s="123"/>
      <c r="K80" s="26">
        <v>46189</v>
      </c>
      <c r="L80" s="13" t="s">
        <v>147</v>
      </c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29"/>
      <c r="AE80" s="29"/>
      <c r="AT80" s="127"/>
      <c r="AU80" s="29"/>
      <c r="BE80" s="25"/>
      <c r="BF80" s="13"/>
      <c r="BK80" s="116"/>
      <c r="BL80" s="123"/>
      <c r="BM80" s="123"/>
      <c r="BN80" s="123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25"/>
      <c r="CD80" s="13"/>
      <c r="CG80" s="114"/>
    </row>
    <row r="81" spans="1:85" ht="20.100000000000001" customHeight="1" x14ac:dyDescent="0.4">
      <c r="A81" s="117"/>
      <c r="B81" s="123"/>
      <c r="C81" s="123"/>
      <c r="D81" s="123"/>
      <c r="K81" s="26">
        <v>46191</v>
      </c>
      <c r="L81" s="13" t="s">
        <v>146</v>
      </c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27"/>
      <c r="AE81" s="29"/>
      <c r="AT81" s="127"/>
      <c r="AU81" s="29"/>
      <c r="BE81" s="25"/>
      <c r="BF81" s="13"/>
      <c r="BK81" s="116"/>
      <c r="BL81" s="123"/>
      <c r="BM81" s="123"/>
      <c r="BN81" s="123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25"/>
      <c r="CD81" s="13"/>
      <c r="CG81" s="114"/>
    </row>
    <row r="82" spans="1:85" ht="20.100000000000001" customHeight="1" x14ac:dyDescent="0.4">
      <c r="A82" s="117"/>
      <c r="B82" s="123"/>
      <c r="C82" s="123"/>
      <c r="D82" s="123"/>
      <c r="H82" s="115"/>
      <c r="I82" s="115"/>
      <c r="J82" s="115"/>
      <c r="K82" s="26">
        <v>46191</v>
      </c>
      <c r="L82" s="13" t="s">
        <v>148</v>
      </c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27"/>
      <c r="AE82" s="29"/>
      <c r="AT82" s="127"/>
      <c r="AU82" s="29"/>
      <c r="BE82" s="25"/>
      <c r="BF82" s="13"/>
      <c r="BK82" s="116"/>
      <c r="BL82" s="123"/>
      <c r="BM82" s="123"/>
      <c r="BN82" s="123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25"/>
      <c r="CD82" s="13"/>
      <c r="CG82" s="114"/>
    </row>
    <row r="83" spans="1:85" ht="20.100000000000001" customHeight="1" x14ac:dyDescent="0.4">
      <c r="A83" s="117"/>
      <c r="B83" s="123"/>
      <c r="C83" s="123"/>
      <c r="D83" s="123"/>
      <c r="H83" s="115"/>
      <c r="I83" s="115"/>
      <c r="J83" s="115"/>
      <c r="K83" s="26">
        <v>46189</v>
      </c>
      <c r="L83" s="13" t="s">
        <v>146</v>
      </c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27"/>
      <c r="AE83" s="29"/>
      <c r="AT83" s="127"/>
      <c r="AU83" s="29"/>
      <c r="BE83" s="25"/>
      <c r="BF83" s="13"/>
      <c r="BK83" s="116"/>
      <c r="BL83" s="123"/>
      <c r="BM83" s="123"/>
      <c r="BN83" s="123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25"/>
      <c r="CD83" s="13"/>
      <c r="CG83" s="114"/>
    </row>
    <row r="84" spans="1:85" ht="20.100000000000001" customHeight="1" x14ac:dyDescent="0.4">
      <c r="A84" s="117"/>
      <c r="B84" s="123"/>
      <c r="C84" s="123"/>
      <c r="D84" s="123"/>
      <c r="K84" s="26">
        <v>46189</v>
      </c>
      <c r="L84" s="13" t="s">
        <v>147</v>
      </c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27"/>
      <c r="AE84" s="29"/>
      <c r="AT84" s="127"/>
      <c r="AU84" s="29"/>
      <c r="BE84" s="25"/>
      <c r="BF84" s="13"/>
      <c r="BK84" s="116"/>
      <c r="BL84" s="123"/>
      <c r="BM84" s="123"/>
      <c r="BN84" s="123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25"/>
      <c r="CD84" s="13"/>
      <c r="CG84" s="114"/>
    </row>
    <row r="85" spans="1:85" ht="20.100000000000001" customHeight="1" x14ac:dyDescent="0.4">
      <c r="A85" s="117"/>
      <c r="B85" s="123"/>
      <c r="C85" s="123"/>
      <c r="D85" s="123"/>
      <c r="J85" s="115"/>
      <c r="K85" s="26">
        <v>46186</v>
      </c>
      <c r="L85" s="13" t="s">
        <v>147</v>
      </c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27"/>
      <c r="AE85" s="29"/>
      <c r="AT85" s="127"/>
      <c r="AU85" s="29"/>
      <c r="BE85" s="25"/>
      <c r="BF85" s="13"/>
      <c r="BK85" s="116"/>
      <c r="BL85" s="123"/>
      <c r="BM85" s="123"/>
      <c r="BN85" s="123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25"/>
      <c r="CD85" s="13"/>
      <c r="CG85" s="114"/>
    </row>
    <row r="86" spans="1:85" ht="20.100000000000001" customHeight="1" x14ac:dyDescent="0.4">
      <c r="A86" s="117"/>
      <c r="B86" s="123"/>
      <c r="C86" s="123"/>
      <c r="D86" s="123"/>
      <c r="K86" s="26">
        <v>46191</v>
      </c>
      <c r="L86" s="13" t="s">
        <v>147</v>
      </c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27"/>
      <c r="AE86" s="29"/>
      <c r="AT86" s="127"/>
      <c r="AU86" s="29"/>
      <c r="BE86" s="25"/>
      <c r="BF86" s="13"/>
      <c r="BK86" s="116"/>
      <c r="BL86" s="123"/>
      <c r="BM86" s="123"/>
      <c r="BN86" s="123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25"/>
      <c r="CD86" s="13"/>
      <c r="CG86" s="114"/>
    </row>
    <row r="87" spans="1:85" ht="20.100000000000001" customHeight="1" x14ac:dyDescent="0.4">
      <c r="A87" s="117"/>
      <c r="B87" s="123"/>
      <c r="C87" s="123"/>
      <c r="D87" s="123"/>
      <c r="J87" s="115"/>
      <c r="K87" s="26">
        <v>46191</v>
      </c>
      <c r="L87" s="13" t="s">
        <v>148</v>
      </c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27"/>
      <c r="AE87" s="29"/>
      <c r="AT87" s="127"/>
      <c r="AU87" s="29"/>
      <c r="BE87" s="25"/>
      <c r="BF87" s="13"/>
      <c r="BK87" s="116"/>
      <c r="BL87" s="123"/>
      <c r="BM87" s="123"/>
      <c r="BN87" s="123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25"/>
      <c r="CD87" s="13"/>
      <c r="CG87" s="114"/>
    </row>
    <row r="88" spans="1:85" ht="20.100000000000001" customHeight="1" x14ac:dyDescent="0.4">
      <c r="A88" s="117"/>
      <c r="B88" s="123"/>
      <c r="C88" s="123"/>
      <c r="D88" s="123"/>
      <c r="K88" s="26">
        <v>46190</v>
      </c>
      <c r="L88" s="13" t="s">
        <v>147</v>
      </c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27"/>
      <c r="AE88" s="29"/>
      <c r="AT88" s="127"/>
      <c r="AU88" s="29"/>
      <c r="BE88" s="25"/>
      <c r="BF88" s="13"/>
      <c r="BK88" s="116"/>
      <c r="BL88" s="123"/>
      <c r="BM88" s="123"/>
      <c r="BN88" s="123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25"/>
      <c r="CD88" s="13"/>
      <c r="CG88" s="114"/>
    </row>
    <row r="89" spans="1:85" ht="20.100000000000001" customHeight="1" x14ac:dyDescent="0.4">
      <c r="A89" s="117"/>
      <c r="B89" s="123"/>
      <c r="C89" s="123"/>
      <c r="D89" s="123"/>
      <c r="K89" s="25">
        <v>46193</v>
      </c>
      <c r="L89" s="15" t="s">
        <v>146</v>
      </c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27"/>
      <c r="AE89" s="29"/>
      <c r="AT89" s="127"/>
      <c r="AU89" s="29"/>
      <c r="BE89" s="25"/>
      <c r="BF89" s="13"/>
      <c r="BK89" s="116"/>
      <c r="BL89" s="123"/>
      <c r="BM89" s="123"/>
      <c r="BN89" s="123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25"/>
      <c r="CD89" s="13"/>
      <c r="CG89" s="114"/>
    </row>
    <row r="90" spans="1:85" ht="20.100000000000001" customHeight="1" x14ac:dyDescent="0.4">
      <c r="A90" s="117"/>
      <c r="B90" s="123"/>
      <c r="C90" s="123"/>
      <c r="D90" s="123"/>
      <c r="J90" s="115"/>
      <c r="K90" s="25">
        <v>46193</v>
      </c>
      <c r="L90" s="15" t="s">
        <v>146</v>
      </c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27"/>
      <c r="AE90" s="29"/>
      <c r="AT90" s="127"/>
      <c r="AU90" s="29"/>
      <c r="BE90" s="25"/>
      <c r="BF90" s="13"/>
      <c r="BK90" s="116"/>
      <c r="BL90" s="123"/>
      <c r="BM90" s="123"/>
      <c r="BN90" s="123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25"/>
      <c r="CD90" s="13"/>
      <c r="CG90" s="114"/>
    </row>
    <row r="91" spans="1:85" ht="20.100000000000001" customHeight="1" x14ac:dyDescent="0.4">
      <c r="A91" s="117"/>
      <c r="B91" s="123"/>
      <c r="C91" s="123"/>
      <c r="D91" s="123"/>
      <c r="K91" s="25">
        <v>46196</v>
      </c>
      <c r="L91" s="15" t="s">
        <v>146</v>
      </c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9"/>
      <c r="AE91" s="29"/>
      <c r="AT91" s="127"/>
      <c r="AU91" s="29"/>
      <c r="BE91" s="25"/>
      <c r="BF91" s="13"/>
      <c r="BK91" s="116"/>
      <c r="BL91" s="123"/>
      <c r="BM91" s="123"/>
      <c r="BN91" s="123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25"/>
      <c r="CD91" s="13"/>
      <c r="CG91" s="114"/>
    </row>
    <row r="92" spans="1:85" ht="20.100000000000001" customHeight="1" x14ac:dyDescent="0.4">
      <c r="A92" s="117"/>
      <c r="B92" s="123"/>
      <c r="C92" s="123"/>
      <c r="D92" s="123"/>
      <c r="K92" s="25">
        <v>46193</v>
      </c>
      <c r="L92" s="15" t="s">
        <v>146</v>
      </c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27"/>
      <c r="AE92" s="134"/>
      <c r="AT92" s="127"/>
      <c r="AU92" s="29"/>
      <c r="BE92" s="25"/>
      <c r="BF92" s="13"/>
      <c r="BK92" s="116"/>
      <c r="BL92" s="123"/>
      <c r="BM92" s="123"/>
      <c r="BN92" s="123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25"/>
      <c r="CD92" s="13"/>
      <c r="CG92" s="114"/>
    </row>
    <row r="93" spans="1:85" ht="20.100000000000001" customHeight="1" x14ac:dyDescent="0.4">
      <c r="A93" s="117"/>
      <c r="B93" s="123"/>
      <c r="C93" s="123"/>
      <c r="D93" s="123"/>
      <c r="K93" s="25">
        <v>46183</v>
      </c>
      <c r="L93" s="15" t="s">
        <v>147</v>
      </c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9"/>
      <c r="AE93" s="29"/>
      <c r="AT93" s="127"/>
      <c r="AU93" s="29"/>
      <c r="BE93" s="25"/>
      <c r="BF93" s="13"/>
      <c r="BK93" s="116"/>
      <c r="BL93" s="123"/>
      <c r="BM93" s="123"/>
      <c r="BN93" s="123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25"/>
      <c r="CD93" s="13"/>
      <c r="CG93" s="114"/>
    </row>
    <row r="94" spans="1:85" ht="20.100000000000001" customHeight="1" x14ac:dyDescent="0.4">
      <c r="A94" s="117"/>
      <c r="B94" s="123"/>
      <c r="C94" s="123"/>
      <c r="D94" s="123"/>
      <c r="I94" s="115"/>
      <c r="J94" s="115"/>
      <c r="K94" s="25">
        <v>46180</v>
      </c>
      <c r="L94" s="15" t="s">
        <v>146</v>
      </c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9"/>
      <c r="AE94" s="29"/>
      <c r="AT94" s="127"/>
      <c r="AU94" s="29"/>
      <c r="BE94" s="25"/>
      <c r="BF94" s="13"/>
      <c r="BK94" s="116"/>
      <c r="BL94" s="123"/>
      <c r="BM94" s="123"/>
      <c r="BN94" s="123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25"/>
      <c r="CD94" s="13"/>
      <c r="CG94" s="114"/>
    </row>
    <row r="95" spans="1:85" ht="20.100000000000001" customHeight="1" x14ac:dyDescent="0.4">
      <c r="A95" s="117"/>
      <c r="B95" s="123"/>
      <c r="C95" s="123"/>
      <c r="D95" s="123"/>
      <c r="K95" s="25">
        <v>46180</v>
      </c>
      <c r="L95" s="15" t="s">
        <v>146</v>
      </c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27"/>
      <c r="AE95" s="29"/>
      <c r="AT95" s="127"/>
      <c r="AU95" s="29"/>
      <c r="BE95" s="25"/>
      <c r="BF95" s="13"/>
      <c r="BK95" s="116"/>
      <c r="BL95" s="123"/>
      <c r="BM95" s="123"/>
      <c r="BN95" s="123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25"/>
      <c r="CD95" s="13"/>
      <c r="CG95" s="114"/>
    </row>
    <row r="96" spans="1:85" ht="20.100000000000001" customHeight="1" x14ac:dyDescent="0.4">
      <c r="A96" s="117"/>
      <c r="B96" s="123"/>
      <c r="C96" s="123"/>
      <c r="D96" s="123"/>
      <c r="H96" s="115"/>
      <c r="I96" s="115"/>
      <c r="J96" s="115"/>
      <c r="K96" s="25">
        <v>46180</v>
      </c>
      <c r="L96" s="15" t="s">
        <v>146</v>
      </c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27"/>
      <c r="AE96" s="29"/>
      <c r="AT96" s="127"/>
      <c r="AU96" s="29"/>
      <c r="BE96" s="25"/>
      <c r="BF96" s="13"/>
      <c r="BK96" s="116"/>
      <c r="BL96" s="123"/>
      <c r="BM96" s="123"/>
      <c r="BN96" s="123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25"/>
      <c r="CD96" s="13"/>
      <c r="CG96" s="114"/>
    </row>
    <row r="97" spans="1:85" ht="20.100000000000001" customHeight="1" x14ac:dyDescent="0.4">
      <c r="A97" s="117"/>
      <c r="B97" s="123"/>
      <c r="C97" s="123"/>
      <c r="D97" s="123"/>
      <c r="K97" s="25">
        <v>46180</v>
      </c>
      <c r="L97" s="15" t="s">
        <v>146</v>
      </c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27"/>
      <c r="AE97" s="29"/>
      <c r="AT97" s="127"/>
      <c r="AU97" s="29"/>
      <c r="BE97" s="25"/>
      <c r="BF97" s="13"/>
      <c r="BK97" s="116"/>
      <c r="BL97" s="123"/>
      <c r="BM97" s="123"/>
      <c r="BN97" s="123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25"/>
      <c r="CD97" s="13"/>
      <c r="CG97" s="114"/>
    </row>
    <row r="98" spans="1:85" ht="20.100000000000001" customHeight="1" x14ac:dyDescent="0.4">
      <c r="A98" s="117"/>
      <c r="B98" s="123"/>
      <c r="C98" s="123"/>
      <c r="D98" s="123"/>
      <c r="K98" s="25">
        <v>46180</v>
      </c>
      <c r="L98" s="15" t="s">
        <v>148</v>
      </c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27"/>
      <c r="AE98" s="29"/>
      <c r="AT98" s="127"/>
      <c r="AU98" s="29"/>
      <c r="BE98" s="25"/>
      <c r="BF98" s="13"/>
      <c r="BK98" s="116"/>
      <c r="BL98" s="123"/>
      <c r="BM98" s="123"/>
      <c r="BN98" s="123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25"/>
      <c r="CD98" s="13"/>
      <c r="CG98" s="114"/>
    </row>
    <row r="99" spans="1:85" ht="20.100000000000001" customHeight="1" x14ac:dyDescent="0.4">
      <c r="A99" s="117"/>
      <c r="B99" s="123"/>
      <c r="C99" s="123"/>
      <c r="D99" s="123"/>
      <c r="K99" s="25">
        <v>46180</v>
      </c>
      <c r="L99" s="15" t="s">
        <v>148</v>
      </c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27"/>
      <c r="AE99" s="29"/>
      <c r="AT99" s="127"/>
      <c r="AU99" s="29"/>
      <c r="BE99" s="25"/>
      <c r="BF99" s="13"/>
      <c r="BK99" s="116"/>
      <c r="BL99" s="123"/>
      <c r="BM99" s="123"/>
      <c r="BN99" s="123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25"/>
      <c r="CD99" s="13"/>
      <c r="CG99" s="114"/>
    </row>
    <row r="100" spans="1:85" ht="20.100000000000001" customHeight="1" x14ac:dyDescent="0.4">
      <c r="A100" s="117"/>
      <c r="B100" s="123"/>
      <c r="C100" s="123"/>
      <c r="D100" s="123"/>
      <c r="K100" s="25">
        <v>46194</v>
      </c>
      <c r="L100" s="15" t="s">
        <v>148</v>
      </c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27"/>
      <c r="AE100" s="29"/>
      <c r="AT100" s="127"/>
      <c r="AU100" s="29"/>
      <c r="BE100" s="25"/>
      <c r="BF100" s="13"/>
      <c r="BK100" s="116"/>
      <c r="BL100" s="123"/>
      <c r="BM100" s="123"/>
      <c r="BN100" s="123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25"/>
      <c r="CD100" s="13"/>
      <c r="CG100" s="114"/>
    </row>
    <row r="101" spans="1:85" ht="20.100000000000001" customHeight="1" x14ac:dyDescent="0.4">
      <c r="A101" s="117"/>
      <c r="B101" s="123"/>
      <c r="C101" s="123"/>
      <c r="D101" s="123"/>
      <c r="K101" s="25">
        <v>46194</v>
      </c>
      <c r="L101" s="15" t="s">
        <v>148</v>
      </c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27"/>
      <c r="AE101" s="29"/>
      <c r="AT101" s="127"/>
      <c r="AU101" s="29"/>
      <c r="BE101" s="25"/>
      <c r="BF101" s="13"/>
      <c r="BK101" s="116"/>
      <c r="BL101" s="123"/>
      <c r="BM101" s="123"/>
      <c r="BN101" s="123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25"/>
      <c r="CD101" s="13"/>
      <c r="CG101" s="114"/>
    </row>
    <row r="102" spans="1:85" ht="20.100000000000001" customHeight="1" x14ac:dyDescent="0.4">
      <c r="A102" s="117"/>
      <c r="B102" s="123"/>
      <c r="C102" s="123"/>
      <c r="D102" s="123"/>
      <c r="K102" s="25">
        <v>46194</v>
      </c>
      <c r="L102" s="15" t="s">
        <v>148</v>
      </c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27"/>
      <c r="AE102" s="29"/>
      <c r="AT102" s="127"/>
      <c r="AU102" s="29"/>
      <c r="BE102" s="25"/>
      <c r="BF102" s="13"/>
      <c r="BK102" s="116"/>
      <c r="BL102" s="123"/>
      <c r="BM102" s="123"/>
      <c r="BN102" s="123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25"/>
      <c r="CD102" s="13"/>
      <c r="CG102" s="114"/>
    </row>
    <row r="103" spans="1:85" ht="20.100000000000001" customHeight="1" x14ac:dyDescent="0.4">
      <c r="A103" s="117"/>
      <c r="B103" s="123"/>
      <c r="C103" s="123"/>
      <c r="D103" s="123"/>
      <c r="K103" s="25">
        <v>46180</v>
      </c>
      <c r="L103" s="15" t="s">
        <v>146</v>
      </c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27"/>
      <c r="AE103" s="29"/>
      <c r="AT103" s="127"/>
      <c r="AU103" s="29"/>
      <c r="BE103" s="25"/>
      <c r="BF103" s="13"/>
      <c r="BK103" s="116"/>
      <c r="BL103" s="123"/>
      <c r="BM103" s="123"/>
      <c r="BN103" s="123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25"/>
      <c r="CD103" s="13"/>
      <c r="CG103" s="114"/>
    </row>
    <row r="104" spans="1:85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25">
        <v>46187</v>
      </c>
      <c r="L104" s="15" t="s">
        <v>146</v>
      </c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27"/>
      <c r="AE104" s="29"/>
      <c r="AT104" s="127"/>
      <c r="AU104" s="29"/>
      <c r="BE104" s="25"/>
      <c r="BF104" s="13"/>
      <c r="BK104" s="116"/>
      <c r="BL104" s="123"/>
      <c r="BM104" s="123"/>
      <c r="BN104" s="123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25"/>
      <c r="CD104" s="13"/>
      <c r="CG104" s="114"/>
    </row>
    <row r="105" spans="1:85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25">
        <v>46186</v>
      </c>
      <c r="L105" s="15" t="s">
        <v>146</v>
      </c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27"/>
      <c r="AE105" s="29"/>
      <c r="AT105" s="127"/>
      <c r="AU105" s="29"/>
      <c r="BE105" s="25"/>
      <c r="BF105" s="13"/>
      <c r="BK105" s="116"/>
      <c r="BL105" s="123"/>
      <c r="BM105" s="123"/>
      <c r="BN105" s="123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25"/>
      <c r="CD105" s="13"/>
      <c r="CG105" s="114"/>
    </row>
    <row r="106" spans="1:85" ht="20.100000000000001" customHeight="1" x14ac:dyDescent="0.4">
      <c r="A106" s="117"/>
      <c r="B106" s="123"/>
      <c r="C106" s="123"/>
      <c r="D106" s="123"/>
      <c r="K106" s="25">
        <v>46186</v>
      </c>
      <c r="L106" s="15" t="s">
        <v>148</v>
      </c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27"/>
      <c r="AE106" s="29"/>
      <c r="AT106" s="127"/>
      <c r="AU106" s="29"/>
      <c r="BE106" s="25"/>
      <c r="BF106" s="13"/>
      <c r="BK106" s="116"/>
      <c r="BL106" s="123"/>
      <c r="BM106" s="123"/>
      <c r="BN106" s="123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25"/>
      <c r="CD106" s="13"/>
      <c r="CG106" s="114"/>
    </row>
    <row r="107" spans="1:85" ht="20.100000000000001" customHeight="1" x14ac:dyDescent="0.4">
      <c r="A107" s="117"/>
      <c r="B107" s="123"/>
      <c r="C107" s="123"/>
      <c r="D107" s="123"/>
      <c r="K107" s="25">
        <v>46191</v>
      </c>
      <c r="L107" s="15" t="s">
        <v>147</v>
      </c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9"/>
      <c r="AE107" s="29"/>
      <c r="AT107" s="127"/>
      <c r="AU107" s="29"/>
      <c r="BE107" s="25"/>
      <c r="BF107" s="13"/>
      <c r="BK107" s="116"/>
      <c r="BL107" s="123"/>
      <c r="BM107" s="123"/>
      <c r="BN107" s="123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25"/>
      <c r="CD107" s="13"/>
      <c r="CG107" s="114"/>
    </row>
    <row r="108" spans="1:85" ht="20.100000000000001" customHeight="1" x14ac:dyDescent="0.4">
      <c r="A108" s="117"/>
      <c r="B108" s="123"/>
      <c r="C108" s="123"/>
      <c r="D108" s="123"/>
      <c r="K108" s="25">
        <v>46186</v>
      </c>
      <c r="L108" s="15" t="s">
        <v>147</v>
      </c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27"/>
      <c r="AE108" s="29"/>
      <c r="AT108" s="127"/>
      <c r="AU108" s="29"/>
      <c r="BE108" s="25"/>
      <c r="BF108" s="13"/>
      <c r="BK108" s="116"/>
      <c r="BL108" s="123"/>
      <c r="BM108" s="123"/>
      <c r="BN108" s="123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25"/>
      <c r="CD108" s="13"/>
      <c r="CG108" s="114"/>
    </row>
    <row r="109" spans="1:85" ht="20.100000000000001" customHeight="1" x14ac:dyDescent="0.4">
      <c r="A109" s="117"/>
      <c r="B109" s="123"/>
      <c r="C109" s="123"/>
      <c r="D109" s="123"/>
      <c r="K109" s="25">
        <v>46188</v>
      </c>
      <c r="L109" s="13" t="s">
        <v>142</v>
      </c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9"/>
      <c r="AE109" s="29"/>
      <c r="AT109" s="127"/>
      <c r="AU109" s="29"/>
      <c r="BE109" s="25"/>
      <c r="BF109" s="13"/>
      <c r="BK109" s="116"/>
      <c r="BL109" s="123"/>
      <c r="BM109" s="123"/>
      <c r="BN109" s="123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25"/>
      <c r="CD109" s="13"/>
      <c r="CG109" s="114"/>
    </row>
    <row r="110" spans="1:85" ht="20.100000000000001" customHeight="1" x14ac:dyDescent="0.4">
      <c r="A110" s="117"/>
      <c r="B110" s="123"/>
      <c r="C110" s="123"/>
      <c r="D110" s="123"/>
      <c r="K110" s="25">
        <v>46201</v>
      </c>
      <c r="L110" s="13" t="s">
        <v>146</v>
      </c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27"/>
      <c r="AE110" s="29"/>
      <c r="AT110" s="127"/>
      <c r="AU110" s="29"/>
      <c r="BE110" s="25"/>
      <c r="BF110" s="13"/>
      <c r="BK110" s="116"/>
      <c r="BL110" s="123"/>
      <c r="BM110" s="123"/>
      <c r="BN110" s="123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25"/>
      <c r="CD110" s="13"/>
      <c r="CG110" s="114"/>
    </row>
    <row r="111" spans="1:85" ht="20.100000000000001" customHeight="1" x14ac:dyDescent="0.4">
      <c r="A111" s="117"/>
      <c r="B111" s="123"/>
      <c r="C111" s="123"/>
      <c r="D111" s="123"/>
      <c r="K111" s="25">
        <v>46170</v>
      </c>
      <c r="L111" s="13" t="s">
        <v>146</v>
      </c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9"/>
      <c r="AE111" s="29"/>
      <c r="AT111" s="127"/>
      <c r="AU111" s="29"/>
      <c r="BE111" s="25"/>
      <c r="BF111" s="13"/>
      <c r="BK111" s="116"/>
      <c r="BL111" s="123"/>
      <c r="BM111" s="123"/>
      <c r="BN111" s="123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25"/>
      <c r="CD111" s="13"/>
      <c r="CG111" s="114"/>
    </row>
    <row r="112" spans="1:85" ht="20.100000000000001" customHeight="1" x14ac:dyDescent="0.4">
      <c r="A112" s="117"/>
      <c r="B112" s="123"/>
      <c r="C112" s="123"/>
      <c r="D112" s="123"/>
      <c r="J112" s="115"/>
      <c r="K112" s="25">
        <v>46176</v>
      </c>
      <c r="L112" s="13" t="s">
        <v>146</v>
      </c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9"/>
      <c r="AE112" s="29"/>
      <c r="AT112" s="127"/>
      <c r="AU112" s="29"/>
      <c r="BE112" s="25"/>
      <c r="BF112" s="13"/>
      <c r="BK112" s="116"/>
      <c r="BL112" s="123"/>
      <c r="BM112" s="123"/>
      <c r="BN112" s="123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25"/>
      <c r="CD112" s="13"/>
      <c r="CG112" s="114"/>
    </row>
    <row r="113" spans="1:85" ht="20.100000000000001" customHeight="1" x14ac:dyDescent="0.4">
      <c r="A113" s="117"/>
      <c r="B113" s="123"/>
      <c r="C113" s="123"/>
      <c r="D113" s="123"/>
      <c r="K113" s="25">
        <v>46181</v>
      </c>
      <c r="L113" s="13" t="s">
        <v>147</v>
      </c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27"/>
      <c r="AE113" s="29"/>
      <c r="AT113" s="127"/>
      <c r="AU113" s="29"/>
      <c r="BE113" s="25"/>
      <c r="BF113" s="13"/>
      <c r="BK113" s="116"/>
      <c r="BL113" s="123"/>
      <c r="BM113" s="123"/>
      <c r="BN113" s="123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25"/>
      <c r="CD113" s="13"/>
      <c r="CG113" s="114"/>
    </row>
    <row r="114" spans="1:85" ht="20.100000000000001" customHeight="1" x14ac:dyDescent="0.4">
      <c r="A114" s="117"/>
      <c r="B114" s="123"/>
      <c r="C114" s="123"/>
      <c r="D114" s="123"/>
      <c r="K114" s="25">
        <v>46186</v>
      </c>
      <c r="L114" s="133" t="s">
        <v>146</v>
      </c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27"/>
      <c r="AE114" s="29"/>
      <c r="AT114" s="127"/>
      <c r="AU114" s="29"/>
      <c r="BE114" s="25"/>
      <c r="BF114" s="13"/>
      <c r="BK114" s="116"/>
      <c r="BL114" s="123"/>
      <c r="BM114" s="123"/>
      <c r="BN114" s="123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25"/>
      <c r="CD114" s="13"/>
      <c r="CG114" s="114"/>
    </row>
    <row r="115" spans="1:85" ht="20.100000000000001" customHeight="1" x14ac:dyDescent="0.4">
      <c r="A115" s="117"/>
      <c r="B115" s="123"/>
      <c r="C115" s="123"/>
      <c r="D115" s="123"/>
      <c r="K115" s="25">
        <v>46186</v>
      </c>
      <c r="L115" s="13" t="s">
        <v>148</v>
      </c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27"/>
      <c r="AE115" s="29"/>
      <c r="AT115" s="127"/>
      <c r="AU115" s="29"/>
      <c r="BE115" s="25"/>
      <c r="BF115" s="13"/>
      <c r="BK115" s="116"/>
      <c r="BL115" s="123"/>
      <c r="BM115" s="123"/>
      <c r="BN115" s="123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25"/>
      <c r="CD115" s="13"/>
      <c r="CG115" s="114"/>
    </row>
    <row r="116" spans="1:85" ht="20.100000000000001" customHeight="1" x14ac:dyDescent="0.4">
      <c r="A116" s="117"/>
      <c r="B116" s="123"/>
      <c r="C116" s="123"/>
      <c r="D116" s="123"/>
      <c r="I116" s="115"/>
      <c r="J116" s="115"/>
      <c r="K116" s="25">
        <v>46190</v>
      </c>
      <c r="L116" s="13" t="s">
        <v>146</v>
      </c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27"/>
      <c r="AE116" s="29"/>
      <c r="AT116" s="127"/>
      <c r="AU116" s="29"/>
      <c r="BE116" s="25"/>
      <c r="BF116" s="13"/>
      <c r="BK116" s="116"/>
      <c r="BL116" s="123"/>
      <c r="BM116" s="123"/>
      <c r="BN116" s="123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25"/>
      <c r="CD116" s="13"/>
      <c r="CG116" s="114"/>
    </row>
    <row r="117" spans="1:85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25">
        <v>46190</v>
      </c>
      <c r="L117" s="13" t="s">
        <v>148</v>
      </c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27"/>
      <c r="AE117" s="29"/>
      <c r="AT117" s="127"/>
      <c r="AU117" s="29"/>
      <c r="BE117" s="25"/>
      <c r="BF117" s="13"/>
      <c r="BK117" s="116"/>
      <c r="BL117" s="123"/>
      <c r="BM117" s="123"/>
      <c r="BN117" s="123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25"/>
      <c r="CD117" s="13"/>
      <c r="CG117" s="114"/>
    </row>
    <row r="118" spans="1:85" ht="20.100000000000001" customHeight="1" x14ac:dyDescent="0.4">
      <c r="A118" s="117"/>
      <c r="B118" s="123"/>
      <c r="C118" s="123"/>
      <c r="D118" s="123"/>
      <c r="K118" s="25">
        <v>46190</v>
      </c>
      <c r="L118" s="13" t="s">
        <v>146</v>
      </c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27"/>
      <c r="AE118" s="29"/>
      <c r="AT118" s="127"/>
      <c r="AU118" s="29"/>
      <c r="BE118" s="25"/>
      <c r="BF118" s="13"/>
      <c r="BK118" s="116"/>
      <c r="BL118" s="123"/>
      <c r="BM118" s="123"/>
      <c r="BN118" s="123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25"/>
      <c r="CD118" s="13"/>
      <c r="CG118" s="114"/>
    </row>
    <row r="119" spans="1:85" ht="20.100000000000001" customHeight="1" x14ac:dyDescent="0.4">
      <c r="A119" s="117"/>
      <c r="B119" s="123"/>
      <c r="C119" s="123"/>
      <c r="D119" s="123"/>
      <c r="K119" s="25">
        <v>46190</v>
      </c>
      <c r="L119" s="13" t="s">
        <v>148</v>
      </c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27"/>
      <c r="AE119" s="29"/>
      <c r="AT119" s="127"/>
      <c r="AU119" s="29"/>
      <c r="BE119" s="25"/>
      <c r="BF119" s="13"/>
      <c r="BK119" s="116"/>
      <c r="BL119" s="123"/>
      <c r="BM119" s="123"/>
      <c r="BN119" s="123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25"/>
      <c r="CD119" s="13"/>
      <c r="CG119" s="114"/>
    </row>
    <row r="120" spans="1:85" ht="20.100000000000001" customHeight="1" x14ac:dyDescent="0.4">
      <c r="A120" s="117"/>
      <c r="B120" s="123"/>
      <c r="C120" s="123"/>
      <c r="D120" s="123"/>
      <c r="K120" s="25">
        <v>46186</v>
      </c>
      <c r="L120" s="13" t="s">
        <v>148</v>
      </c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27"/>
      <c r="AE120" s="29"/>
      <c r="AT120" s="127"/>
      <c r="AU120" s="29"/>
      <c r="BE120" s="25"/>
      <c r="BF120" s="13"/>
      <c r="BK120" s="116"/>
      <c r="BL120" s="123"/>
      <c r="BM120" s="123"/>
      <c r="BN120" s="123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25"/>
      <c r="CD120" s="13"/>
      <c r="CG120" s="114"/>
    </row>
    <row r="121" spans="1:85" ht="20.100000000000001" customHeight="1" x14ac:dyDescent="0.4">
      <c r="A121" s="117"/>
      <c r="B121" s="123"/>
      <c r="C121" s="123"/>
      <c r="D121" s="123"/>
      <c r="J121" s="115"/>
      <c r="K121" s="25">
        <v>46186</v>
      </c>
      <c r="L121" s="13" t="s">
        <v>148</v>
      </c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27"/>
      <c r="AE121" s="29"/>
      <c r="AT121" s="127"/>
      <c r="AU121" s="29"/>
      <c r="BE121" s="25"/>
      <c r="BF121" s="13"/>
      <c r="BK121" s="116"/>
      <c r="BL121" s="123"/>
      <c r="BM121" s="123"/>
      <c r="BN121" s="123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25"/>
      <c r="CD121" s="13"/>
      <c r="CG121" s="114"/>
    </row>
    <row r="122" spans="1:85" ht="20.100000000000001" customHeight="1" x14ac:dyDescent="0.4">
      <c r="A122" s="117"/>
      <c r="B122" s="123"/>
      <c r="C122" s="123"/>
      <c r="D122" s="123"/>
      <c r="K122" s="26">
        <v>46180</v>
      </c>
      <c r="L122" s="13" t="s">
        <v>146</v>
      </c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27"/>
      <c r="AE122" s="29"/>
      <c r="AT122" s="127"/>
      <c r="AU122" s="29"/>
      <c r="BE122" s="25"/>
      <c r="BF122" s="13"/>
      <c r="BK122" s="116"/>
      <c r="BL122" s="123"/>
      <c r="BM122" s="123"/>
      <c r="BN122" s="123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25"/>
      <c r="CD122" s="13"/>
      <c r="CG122" s="114"/>
    </row>
    <row r="123" spans="1:85" ht="20.100000000000001" customHeight="1" x14ac:dyDescent="0.4">
      <c r="A123" s="117"/>
      <c r="B123" s="123"/>
      <c r="C123" s="123"/>
      <c r="D123" s="123"/>
      <c r="K123" s="26">
        <v>46176</v>
      </c>
      <c r="L123" s="13" t="s">
        <v>147</v>
      </c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27"/>
      <c r="AE123" s="29"/>
      <c r="AT123" s="127"/>
      <c r="AU123" s="29"/>
      <c r="BE123" s="25"/>
      <c r="BF123" s="13"/>
      <c r="BK123" s="116"/>
      <c r="BL123" s="123"/>
      <c r="BM123" s="123"/>
      <c r="BN123" s="123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25"/>
      <c r="CD123" s="13"/>
      <c r="CG123" s="114"/>
    </row>
    <row r="124" spans="1:85" ht="20.100000000000001" customHeight="1" x14ac:dyDescent="0.4">
      <c r="A124" s="117"/>
      <c r="B124" s="123"/>
      <c r="C124" s="123"/>
      <c r="D124" s="123"/>
      <c r="K124" s="26">
        <v>46168</v>
      </c>
      <c r="L124" s="13" t="s">
        <v>147</v>
      </c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27"/>
      <c r="AE124" s="29"/>
      <c r="AT124" s="127"/>
      <c r="AU124" s="29"/>
      <c r="BE124" s="25"/>
      <c r="BF124" s="13"/>
      <c r="BK124" s="116"/>
      <c r="BL124" s="123"/>
      <c r="BM124" s="123"/>
      <c r="BN124" s="123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25"/>
      <c r="CD124" s="13"/>
      <c r="CG124" s="114"/>
    </row>
    <row r="125" spans="1:85" ht="20.100000000000001" customHeight="1" x14ac:dyDescent="0.4">
      <c r="A125" s="117"/>
      <c r="B125" s="123"/>
      <c r="C125" s="123"/>
      <c r="D125" s="123"/>
      <c r="H125" s="115"/>
      <c r="I125" s="115"/>
      <c r="J125" s="115"/>
      <c r="K125" s="26">
        <v>46181</v>
      </c>
      <c r="L125" s="13" t="s">
        <v>147</v>
      </c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27"/>
      <c r="AE125" s="29"/>
      <c r="AT125" s="127"/>
      <c r="AU125" s="29"/>
      <c r="BE125" s="25"/>
      <c r="BF125" s="13"/>
      <c r="BK125" s="116"/>
      <c r="BL125" s="123"/>
      <c r="BM125" s="123"/>
      <c r="BN125" s="123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25"/>
      <c r="CD125" s="13"/>
      <c r="CG125" s="114"/>
    </row>
    <row r="126" spans="1:85" ht="20.100000000000001" customHeight="1" x14ac:dyDescent="0.4">
      <c r="A126" s="117"/>
      <c r="B126" s="123"/>
      <c r="C126" s="123"/>
      <c r="D126" s="123"/>
      <c r="K126" s="26">
        <v>46186</v>
      </c>
      <c r="L126" s="13" t="s">
        <v>146</v>
      </c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27"/>
      <c r="AE126" s="29"/>
      <c r="AT126" s="127"/>
      <c r="AU126" s="29"/>
      <c r="BE126" s="25"/>
      <c r="BF126" s="13"/>
      <c r="BK126" s="116"/>
      <c r="BL126" s="123"/>
      <c r="BM126" s="123"/>
      <c r="BN126" s="123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25"/>
      <c r="CD126" s="13"/>
      <c r="CG126" s="114"/>
    </row>
    <row r="127" spans="1:85" ht="20.100000000000001" customHeight="1" x14ac:dyDescent="0.4">
      <c r="A127" s="117"/>
      <c r="B127" s="123"/>
      <c r="C127" s="123"/>
      <c r="D127" s="123"/>
      <c r="K127" s="26">
        <v>46186</v>
      </c>
      <c r="L127" s="13" t="s">
        <v>148</v>
      </c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27"/>
      <c r="AE127" s="29"/>
      <c r="AT127" s="127"/>
      <c r="AU127" s="29"/>
      <c r="BE127" s="25"/>
      <c r="BF127" s="13"/>
      <c r="BK127" s="116"/>
      <c r="BL127" s="123"/>
      <c r="BM127" s="123"/>
      <c r="BN127" s="123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25"/>
      <c r="CD127" s="13"/>
      <c r="CG127" s="114"/>
    </row>
    <row r="128" spans="1:85" ht="20.100000000000001" customHeight="1" x14ac:dyDescent="0.4">
      <c r="A128" s="117"/>
      <c r="B128" s="123"/>
      <c r="C128" s="123"/>
      <c r="D128" s="123"/>
      <c r="K128" s="26">
        <v>46184</v>
      </c>
      <c r="L128" s="13" t="s">
        <v>147</v>
      </c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27"/>
      <c r="AE128" s="29"/>
      <c r="AT128" s="127"/>
      <c r="AU128" s="29"/>
      <c r="BE128" s="25"/>
      <c r="BF128" s="13"/>
      <c r="BK128" s="116"/>
      <c r="BL128" s="123"/>
      <c r="BM128" s="123"/>
      <c r="BN128" s="123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25"/>
      <c r="CD128" s="13"/>
      <c r="CG128" s="114"/>
    </row>
    <row r="129" spans="1:85" ht="20.100000000000001" customHeight="1" x14ac:dyDescent="0.4">
      <c r="A129" s="117"/>
      <c r="B129" s="123"/>
      <c r="C129" s="123"/>
      <c r="D129" s="123"/>
      <c r="I129" s="115"/>
      <c r="J129" s="115"/>
      <c r="K129" s="26">
        <v>46193</v>
      </c>
      <c r="L129" s="13" t="s">
        <v>147</v>
      </c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27"/>
      <c r="AE129" s="29"/>
      <c r="AT129" s="127"/>
      <c r="AU129" s="29"/>
      <c r="BE129" s="25"/>
      <c r="BF129" s="13"/>
      <c r="BK129" s="116"/>
      <c r="BL129" s="123"/>
      <c r="BM129" s="123"/>
      <c r="BN129" s="123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25"/>
      <c r="CD129" s="13"/>
      <c r="CG129" s="114"/>
    </row>
    <row r="130" spans="1:85" ht="20.100000000000001" customHeight="1" x14ac:dyDescent="0.4">
      <c r="A130" s="117"/>
      <c r="B130" s="123"/>
      <c r="C130" s="123"/>
      <c r="D130" s="123"/>
      <c r="K130" s="26">
        <v>46189</v>
      </c>
      <c r="L130" s="13" t="s">
        <v>147</v>
      </c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9"/>
      <c r="AE130" s="29"/>
      <c r="AT130" s="127"/>
      <c r="AU130" s="29"/>
      <c r="BE130" s="25"/>
      <c r="BF130" s="13"/>
      <c r="BK130" s="116"/>
      <c r="BL130" s="123"/>
      <c r="BM130" s="123"/>
      <c r="BN130" s="123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25"/>
      <c r="CD130" s="13"/>
      <c r="CG130" s="114"/>
    </row>
    <row r="131" spans="1:85" ht="20.100000000000001" customHeight="1" x14ac:dyDescent="0.4">
      <c r="A131" s="117"/>
      <c r="B131" s="123"/>
      <c r="C131" s="123"/>
      <c r="D131" s="123"/>
      <c r="J131" s="115"/>
      <c r="K131" s="26">
        <v>46189</v>
      </c>
      <c r="L131" s="13" t="s">
        <v>147</v>
      </c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9"/>
      <c r="AE131" s="29"/>
      <c r="AT131" s="127"/>
      <c r="AU131" s="29"/>
      <c r="BE131" s="25"/>
      <c r="BF131" s="13"/>
      <c r="BK131" s="116"/>
      <c r="BL131" s="123"/>
      <c r="BM131" s="123"/>
      <c r="BN131" s="123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25"/>
      <c r="CD131" s="13"/>
      <c r="CG131" s="114"/>
    </row>
    <row r="132" spans="1:85" ht="20.100000000000001" customHeight="1" x14ac:dyDescent="0.4">
      <c r="A132" s="117"/>
      <c r="B132" s="123"/>
      <c r="C132" s="123"/>
      <c r="D132" s="123"/>
      <c r="K132" s="26">
        <v>46196</v>
      </c>
      <c r="L132" s="13" t="s">
        <v>146</v>
      </c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27"/>
      <c r="AE132" s="29"/>
      <c r="AT132" s="127"/>
      <c r="AU132" s="29"/>
      <c r="BE132" s="25"/>
      <c r="BF132" s="13"/>
      <c r="BK132" s="116"/>
      <c r="BL132" s="123"/>
      <c r="BM132" s="123"/>
      <c r="BN132" s="123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25"/>
      <c r="CD132" s="13"/>
      <c r="CG132" s="114"/>
    </row>
    <row r="133" spans="1:85" ht="20.100000000000001" customHeight="1" x14ac:dyDescent="0.4">
      <c r="A133" s="117"/>
      <c r="B133" s="123"/>
      <c r="C133" s="123"/>
      <c r="D133" s="123"/>
      <c r="I133" s="115"/>
      <c r="J133" s="115"/>
      <c r="K133" s="26">
        <v>46186</v>
      </c>
      <c r="L133" s="13" t="s">
        <v>146</v>
      </c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27"/>
      <c r="AE133" s="29"/>
      <c r="AT133" s="127"/>
      <c r="AU133" s="29"/>
      <c r="BE133" s="25"/>
      <c r="BF133" s="13"/>
      <c r="BK133" s="116"/>
      <c r="BL133" s="123"/>
      <c r="BM133" s="123"/>
      <c r="BN133" s="123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25"/>
      <c r="CD133" s="13"/>
      <c r="CG133" s="114"/>
    </row>
    <row r="134" spans="1:85" ht="20.100000000000001" customHeight="1" x14ac:dyDescent="0.4">
      <c r="A134" s="117"/>
      <c r="B134" s="123"/>
      <c r="C134" s="123"/>
      <c r="D134" s="123"/>
      <c r="K134" s="25"/>
      <c r="L134" s="13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9"/>
      <c r="AE134" s="29"/>
      <c r="AT134" s="127"/>
      <c r="AU134" s="29"/>
      <c r="BE134" s="25"/>
      <c r="BF134" s="13"/>
      <c r="BK134" s="116"/>
      <c r="BL134" s="123"/>
      <c r="BM134" s="123"/>
      <c r="BN134" s="123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25"/>
      <c r="CD134" s="13"/>
      <c r="CG134" s="114"/>
    </row>
    <row r="135" spans="1:85" ht="20.100000000000001" customHeight="1" x14ac:dyDescent="0.4">
      <c r="A135" s="117"/>
      <c r="B135" s="123"/>
      <c r="C135" s="123"/>
      <c r="D135" s="123"/>
      <c r="J135" s="115"/>
      <c r="K135" s="13"/>
      <c r="L135" s="13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9"/>
      <c r="AE135" s="29"/>
      <c r="AT135" s="127"/>
      <c r="AU135" s="29"/>
      <c r="BE135" s="25"/>
      <c r="BF135" s="13"/>
      <c r="BK135" s="116"/>
      <c r="BL135" s="123"/>
      <c r="BM135" s="123"/>
      <c r="BN135" s="123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25"/>
      <c r="CD135" s="13"/>
      <c r="CG135" s="114"/>
    </row>
    <row r="136" spans="1:85" ht="20.100000000000001" customHeight="1" x14ac:dyDescent="0.4">
      <c r="A136" s="117"/>
      <c r="B136" s="123"/>
      <c r="C136" s="123"/>
      <c r="D136" s="123"/>
      <c r="K136" s="25"/>
      <c r="L136" s="13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27"/>
      <c r="AE136" s="29"/>
      <c r="AT136" s="127"/>
      <c r="AU136" s="29"/>
      <c r="BE136" s="25"/>
      <c r="BF136" s="13"/>
      <c r="BK136" s="116"/>
      <c r="BL136" s="123"/>
      <c r="BM136" s="123"/>
      <c r="BN136" s="123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25"/>
      <c r="CD136" s="13"/>
      <c r="CG136" s="114"/>
    </row>
    <row r="137" spans="1:85" ht="20.100000000000001" customHeight="1" x14ac:dyDescent="0.4">
      <c r="A137" s="117"/>
      <c r="B137" s="123"/>
      <c r="C137" s="123"/>
      <c r="D137" s="123"/>
      <c r="J137" s="115"/>
      <c r="K137" s="13"/>
      <c r="L137" s="13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27"/>
      <c r="AE137" s="29"/>
      <c r="AT137" s="127"/>
      <c r="AU137" s="29"/>
      <c r="BE137" s="25"/>
      <c r="BF137" s="13"/>
      <c r="BK137" s="116"/>
      <c r="BL137" s="123"/>
      <c r="BM137" s="123"/>
      <c r="BN137" s="123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25"/>
      <c r="CD137" s="13"/>
      <c r="CG137" s="114"/>
    </row>
    <row r="138" spans="1:85" ht="20.100000000000001" customHeight="1" x14ac:dyDescent="0.4">
      <c r="A138" s="117"/>
      <c r="B138" s="123"/>
      <c r="C138" s="123"/>
      <c r="D138" s="123"/>
      <c r="I138" s="115"/>
      <c r="J138" s="115"/>
      <c r="K138" s="25"/>
      <c r="L138" s="13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27"/>
      <c r="AE138" s="29"/>
      <c r="AT138" s="127"/>
      <c r="AU138" s="29"/>
      <c r="BE138" s="25"/>
      <c r="BF138" s="13"/>
      <c r="BK138" s="116"/>
      <c r="BL138" s="123"/>
      <c r="BM138" s="123"/>
      <c r="BN138" s="123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25"/>
      <c r="CD138" s="13"/>
      <c r="CG138" s="114"/>
    </row>
    <row r="139" spans="1:85" ht="20.100000000000001" customHeight="1" x14ac:dyDescent="0.4">
      <c r="A139" s="117"/>
      <c r="B139" s="123"/>
      <c r="C139" s="123"/>
      <c r="D139" s="123"/>
      <c r="I139" s="115"/>
      <c r="J139" s="115"/>
      <c r="K139" s="13"/>
      <c r="L139" s="13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27"/>
      <c r="AE139" s="29"/>
      <c r="AT139" s="127"/>
      <c r="AU139" s="29"/>
      <c r="BE139" s="25"/>
      <c r="BF139" s="13"/>
      <c r="BK139" s="116"/>
      <c r="BL139" s="123"/>
      <c r="BM139" s="123"/>
      <c r="BN139" s="123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25"/>
      <c r="CD139" s="13"/>
      <c r="CG139" s="114"/>
    </row>
    <row r="140" spans="1:85" ht="20.100000000000001" customHeight="1" x14ac:dyDescent="0.4">
      <c r="A140" s="117"/>
      <c r="B140" s="123"/>
      <c r="C140" s="123"/>
      <c r="D140" s="123"/>
      <c r="K140" s="25"/>
      <c r="L140" s="13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27"/>
      <c r="AE140" s="29"/>
      <c r="AT140" s="127"/>
      <c r="AU140" s="29"/>
      <c r="BE140" s="25"/>
      <c r="BF140" s="13"/>
      <c r="BK140" s="116"/>
      <c r="BL140" s="123"/>
      <c r="BM140" s="123"/>
      <c r="BN140" s="123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25"/>
      <c r="CD140" s="13"/>
      <c r="CG140" s="114"/>
    </row>
    <row r="141" spans="1:85" ht="20.100000000000001" customHeight="1" x14ac:dyDescent="0.4">
      <c r="A141" s="117"/>
      <c r="B141" s="123"/>
      <c r="C141" s="123"/>
      <c r="D141" s="123"/>
      <c r="J141" s="115"/>
      <c r="K141" s="13"/>
      <c r="L141" s="13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27"/>
      <c r="AE141" s="29"/>
      <c r="AT141" s="127"/>
      <c r="AU141" s="29"/>
      <c r="BE141" s="25"/>
      <c r="BF141" s="13"/>
      <c r="BK141" s="116"/>
      <c r="BL141" s="123"/>
      <c r="BM141" s="123"/>
      <c r="BN141" s="123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25"/>
      <c r="CD141" s="13"/>
      <c r="CG141" s="114"/>
    </row>
    <row r="142" spans="1:85" ht="20.100000000000001" customHeight="1" x14ac:dyDescent="0.4">
      <c r="A142" s="117"/>
      <c r="B142" s="123"/>
      <c r="C142" s="123"/>
      <c r="D142" s="123"/>
      <c r="I142" s="115"/>
      <c r="J142" s="115"/>
      <c r="K142" s="25"/>
      <c r="L142" s="13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27"/>
      <c r="AE142" s="29"/>
      <c r="AT142" s="127"/>
      <c r="AU142" s="29"/>
      <c r="BE142" s="25"/>
      <c r="BF142" s="13"/>
      <c r="BK142" s="116"/>
      <c r="BL142" s="123"/>
      <c r="BM142" s="123"/>
      <c r="BN142" s="123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25"/>
      <c r="CD142" s="13"/>
      <c r="CG142" s="114"/>
    </row>
    <row r="143" spans="1:85" ht="20.100000000000001" customHeight="1" x14ac:dyDescent="0.4">
      <c r="A143" s="117"/>
      <c r="B143" s="123"/>
      <c r="C143" s="123"/>
      <c r="D143" s="123"/>
      <c r="K143" s="25"/>
      <c r="L143" s="13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27"/>
      <c r="AE143" s="29"/>
      <c r="AT143" s="127"/>
      <c r="AU143" s="29"/>
      <c r="BE143" s="25"/>
      <c r="BF143" s="13"/>
      <c r="BK143" s="116"/>
      <c r="BL143" s="123"/>
      <c r="BM143" s="123"/>
      <c r="BN143" s="123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25"/>
      <c r="CD143" s="13"/>
      <c r="CG143" s="114"/>
    </row>
    <row r="144" spans="1:85" ht="20.100000000000001" customHeight="1" x14ac:dyDescent="0.4">
      <c r="A144" s="117"/>
      <c r="B144" s="123"/>
      <c r="C144" s="123"/>
      <c r="D144" s="123"/>
      <c r="J144" s="115"/>
      <c r="K144" s="13"/>
      <c r="L144" s="13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27"/>
      <c r="AE144" s="29"/>
      <c r="AT144" s="127"/>
      <c r="AU144" s="29"/>
      <c r="BE144" s="25"/>
      <c r="BF144" s="13"/>
      <c r="BK144" s="116"/>
      <c r="BL144" s="123"/>
      <c r="BM144" s="123"/>
      <c r="BN144" s="123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25"/>
      <c r="CD144" s="13"/>
      <c r="CG144" s="114"/>
    </row>
    <row r="145" spans="1:85" ht="20.100000000000001" customHeight="1" x14ac:dyDescent="0.4">
      <c r="A145" s="117"/>
      <c r="B145" s="123"/>
      <c r="C145" s="123"/>
      <c r="D145" s="123"/>
      <c r="K145" s="25"/>
      <c r="L145" s="13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27"/>
      <c r="AE145" s="29"/>
      <c r="AT145" s="127"/>
      <c r="AU145" s="29"/>
      <c r="BE145" s="25"/>
      <c r="BF145" s="13"/>
      <c r="BK145" s="116"/>
      <c r="BL145" s="123"/>
      <c r="BM145" s="123"/>
      <c r="BN145" s="123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25"/>
      <c r="CD145" s="13"/>
      <c r="CG145" s="114"/>
    </row>
    <row r="146" spans="1:85" ht="20.100000000000001" customHeight="1" x14ac:dyDescent="0.4">
      <c r="A146" s="117"/>
      <c r="B146" s="123"/>
      <c r="C146" s="123"/>
      <c r="D146" s="123"/>
      <c r="K146" s="25"/>
      <c r="L146" s="13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27"/>
      <c r="AE146" s="29"/>
      <c r="AT146" s="127"/>
      <c r="AU146" s="29"/>
      <c r="BE146" s="25"/>
      <c r="BF146" s="13"/>
      <c r="BK146" s="116"/>
      <c r="BL146" s="123"/>
      <c r="BM146" s="123"/>
      <c r="BN146" s="123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25"/>
      <c r="CD146" s="13"/>
      <c r="CG146" s="114"/>
    </row>
    <row r="147" spans="1:85" ht="20.100000000000001" customHeight="1" x14ac:dyDescent="0.4">
      <c r="A147" s="117"/>
      <c r="B147" s="123"/>
      <c r="C147" s="123"/>
      <c r="D147" s="123"/>
      <c r="J147" s="115"/>
      <c r="K147" s="13"/>
      <c r="L147" s="13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27"/>
      <c r="AE147" s="29"/>
      <c r="AT147" s="127"/>
      <c r="AU147" s="29"/>
      <c r="BE147" s="25"/>
      <c r="BF147" s="13"/>
      <c r="BK147" s="116"/>
      <c r="BL147" s="123"/>
      <c r="BM147" s="123"/>
      <c r="BN147" s="123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25"/>
      <c r="CD147" s="13"/>
      <c r="CG147" s="114"/>
    </row>
    <row r="148" spans="1:85" ht="20.100000000000001" customHeight="1" x14ac:dyDescent="0.4">
      <c r="A148" s="117"/>
      <c r="B148" s="123"/>
      <c r="C148" s="123"/>
      <c r="D148" s="123"/>
      <c r="J148" s="115"/>
      <c r="K148" s="13"/>
      <c r="L148" s="13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27"/>
      <c r="AE148" s="29"/>
      <c r="AT148" s="127"/>
      <c r="AU148" s="29"/>
      <c r="BE148" s="25"/>
      <c r="BF148" s="13"/>
      <c r="BK148" s="116"/>
      <c r="BL148" s="123"/>
      <c r="BM148" s="123"/>
      <c r="BN148" s="123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25"/>
      <c r="CD148" s="13"/>
      <c r="CG148" s="114"/>
    </row>
    <row r="149" spans="1:85" ht="20.100000000000001" customHeight="1" x14ac:dyDescent="0.4">
      <c r="A149" s="117"/>
      <c r="B149" s="123"/>
      <c r="C149" s="123"/>
      <c r="D149" s="123"/>
      <c r="K149" s="25"/>
      <c r="L149" s="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27"/>
      <c r="AE149" s="29"/>
      <c r="AT149" s="127"/>
      <c r="AU149" s="29"/>
      <c r="BE149" s="25"/>
      <c r="BF149" s="13"/>
      <c r="BK149" s="116"/>
      <c r="BL149" s="123"/>
      <c r="BM149" s="123"/>
      <c r="BN149" s="123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25"/>
      <c r="CD149" s="13"/>
      <c r="CG149" s="114"/>
    </row>
    <row r="150" spans="1:85" ht="20.100000000000001" customHeight="1" x14ac:dyDescent="0.4">
      <c r="A150" s="117"/>
      <c r="B150" s="123"/>
      <c r="C150" s="123"/>
      <c r="D150" s="123"/>
      <c r="K150" s="25"/>
      <c r="L150" s="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9"/>
      <c r="AE150" s="29"/>
      <c r="AT150" s="127"/>
      <c r="AU150" s="29"/>
      <c r="BE150" s="25"/>
      <c r="BF150" s="13"/>
      <c r="BK150" s="116"/>
      <c r="BL150" s="123"/>
      <c r="BM150" s="123"/>
      <c r="BN150" s="123"/>
      <c r="BS150" s="115"/>
      <c r="BT150" s="115"/>
      <c r="BU150" s="115"/>
      <c r="BV150" s="115"/>
      <c r="BW150" s="115"/>
      <c r="BX150" s="115"/>
      <c r="BY150" s="115"/>
      <c r="BZ150" s="115"/>
      <c r="CA150" s="115"/>
      <c r="CB150" s="115"/>
      <c r="CC150" s="25"/>
      <c r="CD150" s="13"/>
      <c r="CG150" s="114"/>
    </row>
    <row r="151" spans="1:85" ht="20.100000000000001" customHeight="1" x14ac:dyDescent="0.4">
      <c r="A151" s="117"/>
      <c r="B151" s="123"/>
      <c r="C151" s="123"/>
      <c r="D151" s="123"/>
      <c r="K151" s="25"/>
      <c r="L151" s="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27"/>
      <c r="AE151" s="29"/>
      <c r="AT151" s="127"/>
      <c r="AU151" s="29"/>
      <c r="BE151" s="25"/>
      <c r="BF151" s="13"/>
      <c r="BK151" s="116"/>
      <c r="BL151" s="123"/>
      <c r="BM151" s="123"/>
      <c r="BN151" s="123"/>
      <c r="BS151" s="115"/>
      <c r="BT151" s="115"/>
      <c r="BU151" s="115"/>
      <c r="BV151" s="115"/>
      <c r="BW151" s="115"/>
      <c r="BX151" s="115"/>
      <c r="BY151" s="115"/>
      <c r="BZ151" s="115"/>
      <c r="CA151" s="115"/>
      <c r="CB151" s="115"/>
      <c r="CC151" s="25"/>
      <c r="CD151" s="13"/>
      <c r="CG151" s="114"/>
    </row>
    <row r="152" spans="1:85" ht="20.100000000000001" customHeight="1" x14ac:dyDescent="0.4">
      <c r="A152" s="117"/>
      <c r="B152" s="123"/>
      <c r="C152" s="123"/>
      <c r="D152" s="123"/>
      <c r="K152" s="25"/>
      <c r="L152" s="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27"/>
      <c r="AE152" s="29"/>
      <c r="AT152" s="127"/>
      <c r="AU152" s="29"/>
      <c r="BE152" s="25"/>
      <c r="BF152" s="13"/>
      <c r="BK152" s="116"/>
      <c r="BL152" s="123"/>
      <c r="BM152" s="123"/>
      <c r="BN152" s="123"/>
      <c r="BS152" s="115"/>
      <c r="BT152" s="115"/>
      <c r="BU152" s="115"/>
      <c r="BV152" s="115"/>
      <c r="BW152" s="115"/>
      <c r="BX152" s="115"/>
      <c r="BY152" s="115"/>
      <c r="BZ152" s="115"/>
      <c r="CA152" s="115"/>
      <c r="CB152" s="115"/>
      <c r="CC152" s="25"/>
      <c r="CD152" s="13"/>
      <c r="CG152" s="114"/>
    </row>
    <row r="153" spans="1:85" ht="20.100000000000001" customHeight="1" x14ac:dyDescent="0.4">
      <c r="A153" s="117"/>
      <c r="B153" s="123"/>
      <c r="C153" s="123"/>
      <c r="D153" s="123"/>
      <c r="K153" s="25"/>
      <c r="L153" s="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27"/>
      <c r="AE153" s="29"/>
      <c r="AT153" s="127"/>
      <c r="AU153" s="29"/>
      <c r="BE153" s="25"/>
      <c r="BF153" s="13"/>
      <c r="BK153" s="116"/>
      <c r="BL153" s="123"/>
      <c r="BM153" s="123"/>
      <c r="BN153" s="123"/>
      <c r="BS153" s="115"/>
      <c r="BT153" s="115"/>
      <c r="BU153" s="115"/>
      <c r="BV153" s="115"/>
      <c r="BW153" s="115"/>
      <c r="BX153" s="115"/>
      <c r="BY153" s="115"/>
      <c r="BZ153" s="115"/>
      <c r="CA153" s="115"/>
      <c r="CB153" s="115"/>
      <c r="CC153" s="25"/>
      <c r="CD153" s="13"/>
      <c r="CG153" s="114"/>
    </row>
    <row r="154" spans="1:85" ht="20.100000000000001" customHeight="1" x14ac:dyDescent="0.4">
      <c r="A154" s="117"/>
      <c r="B154" s="123"/>
      <c r="C154" s="123"/>
      <c r="D154" s="123"/>
      <c r="K154" s="25"/>
      <c r="L154" s="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27"/>
      <c r="AE154" s="29"/>
      <c r="AT154" s="127"/>
      <c r="AU154" s="29"/>
      <c r="BE154" s="25"/>
      <c r="BF154" s="13"/>
      <c r="BK154" s="116"/>
      <c r="BL154" s="123"/>
      <c r="BM154" s="123"/>
      <c r="BN154" s="123"/>
      <c r="BS154" s="115"/>
      <c r="BT154" s="115"/>
      <c r="BU154" s="115"/>
      <c r="BV154" s="115"/>
      <c r="BW154" s="115"/>
      <c r="BX154" s="115"/>
      <c r="BY154" s="115"/>
      <c r="BZ154" s="115"/>
      <c r="CA154" s="115"/>
      <c r="CB154" s="115"/>
      <c r="CC154" s="25"/>
      <c r="CD154" s="13"/>
      <c r="CG154" s="114"/>
    </row>
    <row r="155" spans="1:85" ht="20.100000000000001" customHeight="1" x14ac:dyDescent="0.4">
      <c r="A155" s="117"/>
      <c r="B155" s="123"/>
      <c r="C155" s="123"/>
      <c r="D155" s="123"/>
      <c r="K155" s="25"/>
      <c r="L155" s="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9"/>
      <c r="AE155" s="29"/>
      <c r="AT155" s="127"/>
      <c r="AU155" s="29"/>
      <c r="BE155" s="25"/>
      <c r="BF155" s="13"/>
      <c r="BK155" s="116"/>
      <c r="BL155" s="123"/>
      <c r="BM155" s="123"/>
      <c r="BN155" s="123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115"/>
      <c r="CC155" s="25"/>
      <c r="CD155" s="13"/>
      <c r="CG155" s="114"/>
    </row>
    <row r="156" spans="1:85" ht="20.100000000000001" customHeight="1" x14ac:dyDescent="0.4">
      <c r="A156" s="117"/>
      <c r="B156" s="123"/>
      <c r="C156" s="123"/>
      <c r="D156" s="123"/>
      <c r="K156" s="25"/>
      <c r="L156" s="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27"/>
      <c r="AE156" s="29"/>
      <c r="AT156" s="127"/>
      <c r="AU156" s="29"/>
      <c r="BE156" s="25"/>
      <c r="BF156" s="13"/>
      <c r="BK156" s="116"/>
      <c r="BL156" s="123"/>
      <c r="BM156" s="123"/>
      <c r="BN156" s="123"/>
      <c r="BS156" s="115"/>
      <c r="BT156" s="115"/>
      <c r="BU156" s="115"/>
      <c r="BV156" s="115"/>
      <c r="BW156" s="115"/>
      <c r="BX156" s="115"/>
      <c r="BY156" s="115"/>
      <c r="BZ156" s="115"/>
      <c r="CA156" s="115"/>
      <c r="CB156" s="115"/>
      <c r="CC156" s="25"/>
      <c r="CD156" s="13"/>
      <c r="CG156" s="114"/>
    </row>
    <row r="157" spans="1:85" ht="20.100000000000001" customHeight="1" x14ac:dyDescent="0.4">
      <c r="A157" s="117"/>
      <c r="B157" s="123"/>
      <c r="C157" s="123"/>
      <c r="D157" s="123"/>
      <c r="K157" s="25"/>
      <c r="L157" s="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27"/>
      <c r="AE157" s="29"/>
      <c r="AT157" s="127"/>
      <c r="AU157" s="29"/>
      <c r="BE157" s="25"/>
      <c r="BF157" s="13"/>
      <c r="BK157" s="116"/>
      <c r="BL157" s="123"/>
      <c r="BM157" s="123"/>
      <c r="BN157" s="123"/>
      <c r="BS157" s="115"/>
      <c r="BT157" s="115"/>
      <c r="BU157" s="115"/>
      <c r="BV157" s="115"/>
      <c r="BW157" s="115"/>
      <c r="BX157" s="115"/>
      <c r="BY157" s="115"/>
      <c r="BZ157" s="115"/>
      <c r="CA157" s="115"/>
      <c r="CB157" s="115"/>
      <c r="CC157" s="25"/>
      <c r="CD157" s="13"/>
      <c r="CG157" s="114"/>
    </row>
    <row r="158" spans="1:85" ht="20.100000000000001" customHeight="1" x14ac:dyDescent="0.4">
      <c r="A158" s="117"/>
      <c r="B158" s="123"/>
      <c r="C158" s="123"/>
      <c r="D158" s="123"/>
      <c r="K158" s="25"/>
      <c r="L158" s="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9"/>
      <c r="AE158" s="29"/>
      <c r="AT158" s="127"/>
      <c r="AU158" s="29"/>
      <c r="BE158" s="25"/>
      <c r="BF158" s="13"/>
      <c r="BK158" s="116"/>
      <c r="BL158" s="123"/>
      <c r="BM158" s="123"/>
      <c r="BN158" s="123"/>
      <c r="BS158" s="115"/>
      <c r="BT158" s="115"/>
      <c r="BU158" s="115"/>
      <c r="BV158" s="115"/>
      <c r="BW158" s="115"/>
      <c r="BX158" s="115"/>
      <c r="BY158" s="115"/>
      <c r="BZ158" s="115"/>
      <c r="CA158" s="115"/>
      <c r="CB158" s="115"/>
      <c r="CC158" s="25"/>
      <c r="CD158" s="13"/>
      <c r="CG158" s="114"/>
    </row>
    <row r="159" spans="1:85" ht="20.100000000000001" customHeight="1" x14ac:dyDescent="0.4">
      <c r="A159" s="117"/>
      <c r="B159" s="123"/>
      <c r="C159" s="123"/>
      <c r="D159" s="123"/>
      <c r="K159" s="25"/>
      <c r="L159" s="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27"/>
      <c r="AE159" s="29"/>
      <c r="AT159" s="127"/>
      <c r="AU159" s="29"/>
      <c r="BE159" s="25"/>
      <c r="BF159" s="13"/>
      <c r="BK159" s="116"/>
      <c r="BL159" s="123"/>
      <c r="BM159" s="123"/>
      <c r="BN159" s="123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25"/>
      <c r="CD159" s="13"/>
      <c r="CG159" s="114"/>
    </row>
    <row r="160" spans="1:85" ht="20.100000000000001" customHeight="1" x14ac:dyDescent="0.4">
      <c r="A160" s="117"/>
      <c r="B160" s="123"/>
      <c r="C160" s="123"/>
      <c r="D160" s="123"/>
      <c r="K160" s="25"/>
      <c r="L160" s="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29"/>
      <c r="AE160" s="29"/>
      <c r="AT160" s="127"/>
      <c r="AU160" s="29"/>
      <c r="BE160" s="25"/>
      <c r="BF160" s="13"/>
      <c r="BK160" s="116"/>
      <c r="BL160" s="123"/>
      <c r="BM160" s="123"/>
      <c r="BN160" s="123"/>
      <c r="BS160" s="115"/>
      <c r="BT160" s="115"/>
      <c r="BU160" s="115"/>
      <c r="BV160" s="115"/>
      <c r="BW160" s="115"/>
      <c r="BX160" s="115"/>
      <c r="BY160" s="115"/>
      <c r="BZ160" s="115"/>
      <c r="CA160" s="115"/>
      <c r="CB160" s="115"/>
      <c r="CC160" s="25"/>
      <c r="CD160" s="13"/>
      <c r="CG160" s="114"/>
    </row>
    <row r="161" spans="1:85" ht="20.100000000000001" customHeight="1" x14ac:dyDescent="0.4">
      <c r="A161" s="117"/>
      <c r="B161" s="123"/>
      <c r="C161" s="123"/>
      <c r="D161" s="123"/>
      <c r="K161" s="25"/>
      <c r="L161" s="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29"/>
      <c r="AE161" s="29"/>
      <c r="AT161" s="127"/>
      <c r="AU161" s="29"/>
      <c r="BE161" s="25"/>
      <c r="BF161" s="13"/>
      <c r="BK161" s="116"/>
      <c r="BL161" s="123"/>
      <c r="BM161" s="123"/>
      <c r="BN161" s="123"/>
      <c r="BS161" s="115"/>
      <c r="BT161" s="115"/>
      <c r="BU161" s="115"/>
      <c r="BV161" s="115"/>
      <c r="BW161" s="115"/>
      <c r="BX161" s="115"/>
      <c r="BY161" s="115"/>
      <c r="BZ161" s="115"/>
      <c r="CA161" s="115"/>
      <c r="CB161" s="115"/>
      <c r="CC161" s="25"/>
      <c r="CD161" s="13"/>
      <c r="CG161" s="114"/>
    </row>
    <row r="162" spans="1:85" ht="20.100000000000001" customHeight="1" x14ac:dyDescent="0.4">
      <c r="A162" s="117"/>
      <c r="B162" s="123"/>
      <c r="C162" s="123"/>
      <c r="D162" s="123"/>
      <c r="K162" s="25"/>
      <c r="L162" s="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27"/>
      <c r="AE162" s="29"/>
      <c r="AT162" s="127"/>
      <c r="AU162" s="29"/>
      <c r="BE162" s="25"/>
      <c r="BF162" s="13"/>
      <c r="BK162" s="116"/>
      <c r="BL162" s="123"/>
      <c r="BM162" s="123"/>
      <c r="BN162" s="123"/>
      <c r="BS162" s="115"/>
      <c r="BT162" s="115"/>
      <c r="BU162" s="115"/>
      <c r="BV162" s="115"/>
      <c r="BW162" s="115"/>
      <c r="BX162" s="115"/>
      <c r="BY162" s="115"/>
      <c r="BZ162" s="115"/>
      <c r="CA162" s="115"/>
      <c r="CB162" s="115"/>
      <c r="CC162" s="25"/>
      <c r="CD162" s="13"/>
      <c r="CG162" s="114"/>
    </row>
    <row r="163" spans="1:85" ht="20.100000000000001" customHeight="1" x14ac:dyDescent="0.4">
      <c r="A163" s="117"/>
      <c r="B163" s="123"/>
      <c r="C163" s="123"/>
      <c r="D163" s="123"/>
      <c r="K163" s="25"/>
      <c r="L163" s="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27"/>
      <c r="AE163" s="29"/>
      <c r="AT163" s="127"/>
      <c r="AU163" s="29"/>
      <c r="BE163" s="25"/>
      <c r="BF163" s="13"/>
      <c r="BK163" s="116"/>
      <c r="BL163" s="123"/>
      <c r="BM163" s="123"/>
      <c r="BN163" s="123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25"/>
      <c r="CD163" s="13"/>
      <c r="CG163" s="114"/>
    </row>
    <row r="164" spans="1:85" ht="20.100000000000001" customHeight="1" x14ac:dyDescent="0.4">
      <c r="A164" s="117"/>
      <c r="B164" s="123"/>
      <c r="C164" s="123"/>
      <c r="D164" s="123"/>
      <c r="K164" s="25"/>
      <c r="L164" s="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27"/>
      <c r="AE164" s="29"/>
      <c r="AT164" s="127"/>
      <c r="AU164" s="29"/>
      <c r="BE164" s="25"/>
      <c r="BF164" s="13"/>
      <c r="BK164" s="116"/>
      <c r="BL164" s="123"/>
      <c r="BM164" s="123"/>
      <c r="BN164" s="123"/>
      <c r="BS164" s="115"/>
      <c r="BT164" s="115"/>
      <c r="BU164" s="115"/>
      <c r="BV164" s="115"/>
      <c r="BW164" s="115"/>
      <c r="BX164" s="115"/>
      <c r="BY164" s="115"/>
      <c r="BZ164" s="115"/>
      <c r="CA164" s="115"/>
      <c r="CB164" s="115"/>
      <c r="CC164" s="25"/>
      <c r="CD164" s="13"/>
      <c r="CG164" s="114"/>
    </row>
    <row r="165" spans="1:85" ht="20.100000000000001" customHeight="1" x14ac:dyDescent="0.4">
      <c r="A165" s="117"/>
      <c r="B165" s="123"/>
      <c r="C165" s="123"/>
      <c r="D165" s="123"/>
      <c r="K165" s="25"/>
      <c r="L165" s="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27"/>
      <c r="AE165" s="29"/>
      <c r="AT165" s="127"/>
      <c r="AU165" s="29"/>
      <c r="BE165" s="25"/>
      <c r="BF165" s="13"/>
      <c r="BK165" s="116"/>
      <c r="BL165" s="123"/>
      <c r="BM165" s="123"/>
      <c r="BN165" s="123"/>
      <c r="BS165" s="115"/>
      <c r="BT165" s="115"/>
      <c r="BU165" s="115"/>
      <c r="BV165" s="115"/>
      <c r="BW165" s="115"/>
      <c r="BX165" s="115"/>
      <c r="BY165" s="115"/>
      <c r="BZ165" s="115"/>
      <c r="CA165" s="115"/>
      <c r="CB165" s="115"/>
      <c r="CC165" s="25"/>
      <c r="CD165" s="13"/>
      <c r="CG165" s="114"/>
    </row>
    <row r="166" spans="1:85" ht="20.100000000000001" customHeight="1" x14ac:dyDescent="0.4">
      <c r="A166" s="117"/>
      <c r="B166" s="123"/>
      <c r="C166" s="123"/>
      <c r="D166" s="123"/>
      <c r="K166" s="25"/>
      <c r="L166" s="13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27"/>
      <c r="AE166" s="29"/>
      <c r="AT166" s="127"/>
      <c r="AU166" s="29"/>
      <c r="BE166" s="25"/>
      <c r="BF166" s="13"/>
      <c r="BK166" s="116"/>
      <c r="BL166" s="123"/>
      <c r="BM166" s="123"/>
      <c r="BN166" s="123"/>
      <c r="BS166" s="115"/>
      <c r="BT166" s="115"/>
      <c r="BU166" s="115"/>
      <c r="BV166" s="115"/>
      <c r="BW166" s="115"/>
      <c r="BX166" s="115"/>
      <c r="BY166" s="115"/>
      <c r="BZ166" s="115"/>
      <c r="CA166" s="115"/>
      <c r="CB166" s="115"/>
      <c r="CC166" s="25"/>
      <c r="CD166" s="13"/>
      <c r="CG166" s="114"/>
    </row>
    <row r="167" spans="1:85" ht="20.100000000000001" customHeight="1" x14ac:dyDescent="0.4">
      <c r="A167" s="117"/>
      <c r="B167" s="123"/>
      <c r="C167" s="123"/>
      <c r="D167" s="123"/>
      <c r="I167" s="115"/>
      <c r="J167" s="115"/>
      <c r="K167" s="13"/>
      <c r="L167" s="13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27"/>
      <c r="AE167" s="29"/>
      <c r="AT167" s="127"/>
      <c r="AU167" s="29"/>
      <c r="BE167" s="25"/>
      <c r="BF167" s="13"/>
      <c r="BK167" s="116"/>
      <c r="BL167" s="123"/>
      <c r="BM167" s="123"/>
      <c r="BN167" s="123"/>
      <c r="BS167" s="115"/>
      <c r="BT167" s="115"/>
      <c r="BU167" s="115"/>
      <c r="BV167" s="115"/>
      <c r="BW167" s="115"/>
      <c r="BX167" s="115"/>
      <c r="BY167" s="115"/>
      <c r="BZ167" s="115"/>
      <c r="CA167" s="115"/>
      <c r="CB167" s="115"/>
      <c r="CC167" s="25"/>
      <c r="CD167" s="13"/>
      <c r="CG167" s="114"/>
    </row>
    <row r="168" spans="1:85" ht="20.100000000000001" customHeight="1" x14ac:dyDescent="0.4">
      <c r="A168" s="117"/>
      <c r="B168" s="123"/>
      <c r="C168" s="123"/>
      <c r="D168" s="123"/>
      <c r="K168" s="25"/>
      <c r="L168" s="13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27"/>
      <c r="AE168" s="29"/>
      <c r="AT168" s="127"/>
      <c r="AU168" s="29"/>
      <c r="BE168" s="25"/>
      <c r="BF168" s="13"/>
      <c r="BK168" s="116"/>
      <c r="BL168" s="123"/>
      <c r="BM168" s="123"/>
      <c r="BN168" s="123"/>
      <c r="BS168" s="115"/>
      <c r="BT168" s="115"/>
      <c r="BU168" s="115"/>
      <c r="BV168" s="115"/>
      <c r="BW168" s="115"/>
      <c r="BX168" s="115"/>
      <c r="BY168" s="115"/>
      <c r="BZ168" s="115"/>
      <c r="CA168" s="115"/>
      <c r="CB168" s="115"/>
      <c r="CC168" s="25"/>
      <c r="CD168" s="13"/>
      <c r="CG168" s="114"/>
    </row>
    <row r="169" spans="1:85" ht="20.100000000000001" customHeight="1" x14ac:dyDescent="0.4">
      <c r="A169" s="117"/>
      <c r="B169" s="123"/>
      <c r="C169" s="123"/>
      <c r="D169" s="123"/>
      <c r="K169" s="25"/>
      <c r="L169" s="13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27"/>
      <c r="AE169" s="29"/>
      <c r="AT169" s="127"/>
      <c r="AU169" s="29"/>
      <c r="BE169" s="25"/>
      <c r="BF169" s="13"/>
      <c r="BK169" s="116"/>
      <c r="BL169" s="123"/>
      <c r="BM169" s="123"/>
      <c r="BN169" s="123"/>
      <c r="BS169" s="115"/>
      <c r="BT169" s="115"/>
      <c r="BU169" s="115"/>
      <c r="BV169" s="115"/>
      <c r="BW169" s="115"/>
      <c r="BX169" s="115"/>
      <c r="BY169" s="115"/>
      <c r="BZ169" s="115"/>
      <c r="CA169" s="115"/>
      <c r="CB169" s="115"/>
      <c r="CC169" s="25"/>
      <c r="CD169" s="13"/>
      <c r="CG169" s="114"/>
    </row>
    <row r="170" spans="1:85" ht="20.100000000000001" customHeight="1" x14ac:dyDescent="0.4">
      <c r="A170" s="117"/>
      <c r="B170" s="123"/>
      <c r="C170" s="123"/>
      <c r="D170" s="123"/>
      <c r="K170" s="25"/>
      <c r="L170" s="13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27"/>
      <c r="AE170" s="29"/>
      <c r="AT170" s="127"/>
      <c r="AU170" s="29"/>
      <c r="BE170" s="25"/>
      <c r="BF170" s="13"/>
      <c r="BK170" s="116"/>
      <c r="BL170" s="123"/>
      <c r="BM170" s="123"/>
      <c r="BN170" s="123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25"/>
      <c r="CD170" s="13"/>
      <c r="CG170" s="114"/>
    </row>
    <row r="171" spans="1:85" ht="20.100000000000001" customHeight="1" x14ac:dyDescent="0.4">
      <c r="A171" s="117"/>
      <c r="B171" s="123"/>
      <c r="C171" s="123"/>
      <c r="D171" s="123"/>
      <c r="H171" s="115"/>
      <c r="I171" s="115"/>
      <c r="J171" s="115"/>
      <c r="K171" s="25"/>
      <c r="L171" s="13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27"/>
      <c r="AE171" s="29"/>
      <c r="AT171" s="127"/>
      <c r="AU171" s="29"/>
      <c r="BE171" s="25"/>
      <c r="BF171" s="13"/>
      <c r="BK171" s="116"/>
      <c r="BL171" s="123"/>
      <c r="BM171" s="123"/>
      <c r="BN171" s="123"/>
      <c r="BS171" s="115"/>
      <c r="BT171" s="115"/>
      <c r="BU171" s="115"/>
      <c r="BV171" s="115"/>
      <c r="BW171" s="115"/>
      <c r="BX171" s="115"/>
      <c r="BY171" s="115"/>
      <c r="BZ171" s="115"/>
      <c r="CA171" s="115"/>
      <c r="CB171" s="115"/>
      <c r="CC171" s="25"/>
      <c r="CD171" s="13"/>
      <c r="CG171" s="114"/>
    </row>
    <row r="172" spans="1:85" ht="20.100000000000001" customHeight="1" x14ac:dyDescent="0.4">
      <c r="A172" s="117"/>
      <c r="B172" s="123"/>
      <c r="C172" s="123"/>
      <c r="D172" s="123"/>
      <c r="K172" s="25"/>
      <c r="L172" s="13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27"/>
      <c r="AE172" s="29"/>
      <c r="AT172" s="127"/>
      <c r="AU172" s="29"/>
      <c r="BE172" s="25"/>
      <c r="BF172" s="13"/>
      <c r="BK172" s="116"/>
      <c r="BL172" s="123"/>
      <c r="BM172" s="123"/>
      <c r="BN172" s="123"/>
      <c r="BS172" s="115"/>
      <c r="BT172" s="115"/>
      <c r="BU172" s="115"/>
      <c r="BV172" s="115"/>
      <c r="BW172" s="115"/>
      <c r="BX172" s="115"/>
      <c r="BY172" s="115"/>
      <c r="BZ172" s="115"/>
      <c r="CA172" s="115"/>
      <c r="CB172" s="115"/>
      <c r="CC172" s="25"/>
      <c r="CD172" s="13"/>
      <c r="CG172" s="114"/>
    </row>
    <row r="173" spans="1:85" ht="20.100000000000001" customHeight="1" x14ac:dyDescent="0.4">
      <c r="A173" s="117"/>
      <c r="B173" s="123"/>
      <c r="C173" s="123"/>
      <c r="D173" s="123"/>
      <c r="I173" s="115"/>
      <c r="J173" s="115"/>
      <c r="K173" s="13"/>
      <c r="L173" s="13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27"/>
      <c r="AE173" s="29"/>
      <c r="AT173" s="127"/>
      <c r="AU173" s="29"/>
      <c r="BE173" s="25"/>
      <c r="BF173" s="13"/>
      <c r="BK173" s="116"/>
      <c r="BL173" s="123"/>
      <c r="BM173" s="123"/>
      <c r="BN173" s="123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115"/>
      <c r="CC173" s="25"/>
      <c r="CD173" s="13"/>
      <c r="CG173" s="114"/>
    </row>
    <row r="174" spans="1:85" ht="20.100000000000001" customHeight="1" x14ac:dyDescent="0.4">
      <c r="A174" s="117"/>
      <c r="B174" s="123"/>
      <c r="C174" s="123"/>
      <c r="D174" s="123"/>
      <c r="K174" s="25"/>
      <c r="L174" s="13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27"/>
      <c r="AE174" s="29"/>
      <c r="AT174" s="127"/>
      <c r="AU174" s="29"/>
      <c r="BE174" s="25"/>
      <c r="BF174" s="13"/>
      <c r="BK174" s="116"/>
      <c r="BL174" s="123"/>
      <c r="BM174" s="123"/>
      <c r="BN174" s="123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25"/>
      <c r="CD174" s="13"/>
      <c r="CG174" s="114"/>
    </row>
    <row r="175" spans="1:85" ht="20.100000000000001" customHeight="1" x14ac:dyDescent="0.4">
      <c r="A175" s="117"/>
      <c r="B175" s="123"/>
      <c r="C175" s="123"/>
      <c r="D175" s="123"/>
      <c r="I175" s="115"/>
      <c r="J175" s="115"/>
      <c r="K175" s="13"/>
      <c r="L175" s="13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27"/>
      <c r="AE175" s="29"/>
      <c r="AT175" s="127"/>
      <c r="AU175" s="29"/>
      <c r="BE175" s="25"/>
      <c r="BF175" s="13"/>
      <c r="BK175" s="116"/>
      <c r="BL175" s="123"/>
      <c r="BM175" s="123"/>
      <c r="BN175" s="123"/>
      <c r="BS175" s="115"/>
      <c r="BT175" s="115"/>
      <c r="BU175" s="115"/>
      <c r="BV175" s="115"/>
      <c r="BW175" s="115"/>
      <c r="BX175" s="115"/>
      <c r="BY175" s="115"/>
      <c r="BZ175" s="115"/>
      <c r="CA175" s="115"/>
      <c r="CB175" s="115"/>
      <c r="CC175" s="25"/>
      <c r="CD175" s="13"/>
      <c r="CG175" s="114"/>
    </row>
    <row r="176" spans="1:85" ht="20.100000000000001" customHeight="1" x14ac:dyDescent="0.4">
      <c r="A176" s="117"/>
      <c r="B176" s="123"/>
      <c r="C176" s="123"/>
      <c r="D176" s="123"/>
      <c r="K176" s="25"/>
      <c r="L176" s="13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27"/>
      <c r="AE176" s="29"/>
      <c r="AT176" s="127"/>
      <c r="AU176" s="29"/>
      <c r="BE176" s="25"/>
      <c r="BF176" s="13"/>
      <c r="BK176" s="116"/>
      <c r="BL176" s="123"/>
      <c r="BM176" s="123"/>
      <c r="BN176" s="123"/>
      <c r="BS176" s="115"/>
      <c r="BT176" s="115"/>
      <c r="BU176" s="115"/>
      <c r="BV176" s="115"/>
      <c r="BW176" s="115"/>
      <c r="BX176" s="115"/>
      <c r="BY176" s="115"/>
      <c r="BZ176" s="115"/>
      <c r="CA176" s="115"/>
      <c r="CB176" s="115"/>
      <c r="CC176" s="25"/>
      <c r="CD176" s="13"/>
      <c r="CG176" s="114"/>
    </row>
    <row r="177" spans="1:85" ht="20.100000000000001" customHeight="1" x14ac:dyDescent="0.4">
      <c r="A177" s="117"/>
      <c r="B177" s="123"/>
      <c r="C177" s="123"/>
      <c r="D177" s="123"/>
      <c r="K177" s="25"/>
      <c r="L177" s="13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27"/>
      <c r="AE177" s="29"/>
      <c r="AT177" s="127"/>
      <c r="AU177" s="29"/>
      <c r="BE177" s="25"/>
      <c r="BF177" s="13"/>
      <c r="BK177" s="116"/>
      <c r="BL177" s="123"/>
      <c r="BM177" s="123"/>
      <c r="BN177" s="123"/>
      <c r="BS177" s="115"/>
      <c r="BT177" s="115"/>
      <c r="BU177" s="115"/>
      <c r="BV177" s="115"/>
      <c r="BW177" s="115"/>
      <c r="BX177" s="115"/>
      <c r="BY177" s="115"/>
      <c r="BZ177" s="115"/>
      <c r="CA177" s="115"/>
      <c r="CB177" s="115"/>
      <c r="CC177" s="25"/>
      <c r="CD177" s="13"/>
      <c r="CG177" s="114"/>
    </row>
    <row r="178" spans="1:85" ht="20.100000000000001" customHeight="1" x14ac:dyDescent="0.4">
      <c r="A178" s="117"/>
      <c r="B178" s="123"/>
      <c r="C178" s="123"/>
      <c r="D178" s="123"/>
      <c r="K178" s="25"/>
      <c r="L178" s="13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27"/>
      <c r="AE178" s="29"/>
      <c r="AT178" s="127"/>
      <c r="AU178" s="29"/>
      <c r="BE178" s="25"/>
      <c r="BF178" s="13"/>
      <c r="BK178" s="116"/>
      <c r="BL178" s="123"/>
      <c r="BM178" s="123"/>
      <c r="BN178" s="123"/>
      <c r="BS178" s="115"/>
      <c r="BT178" s="115"/>
      <c r="BU178" s="115"/>
      <c r="BV178" s="115"/>
      <c r="BW178" s="115"/>
      <c r="BX178" s="115"/>
      <c r="BY178" s="115"/>
      <c r="BZ178" s="115"/>
      <c r="CA178" s="115"/>
      <c r="CB178" s="115"/>
      <c r="CC178" s="25"/>
      <c r="CD178" s="13"/>
      <c r="CG178" s="114"/>
    </row>
    <row r="179" spans="1:85" ht="20.100000000000001" customHeight="1" x14ac:dyDescent="0.4">
      <c r="A179" s="117"/>
      <c r="B179" s="123"/>
      <c r="C179" s="123"/>
      <c r="D179" s="123"/>
      <c r="K179" s="25"/>
      <c r="L179" s="13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27"/>
      <c r="AE179" s="29"/>
      <c r="AT179" s="127"/>
      <c r="AU179" s="29"/>
      <c r="BE179" s="25"/>
      <c r="BF179" s="13"/>
      <c r="BK179" s="116"/>
      <c r="BL179" s="123"/>
      <c r="BM179" s="123"/>
      <c r="BN179" s="123"/>
      <c r="BS179" s="115"/>
      <c r="BT179" s="115"/>
      <c r="BU179" s="115"/>
      <c r="BV179" s="115"/>
      <c r="BW179" s="115"/>
      <c r="BX179" s="115"/>
      <c r="BY179" s="115"/>
      <c r="BZ179" s="115"/>
      <c r="CA179" s="115"/>
      <c r="CB179" s="115"/>
      <c r="CC179" s="25"/>
      <c r="CD179" s="13"/>
      <c r="CG179" s="114"/>
    </row>
    <row r="180" spans="1:85" ht="20.100000000000001" customHeight="1" x14ac:dyDescent="0.4">
      <c r="A180" s="117"/>
      <c r="B180" s="123"/>
      <c r="C180" s="123"/>
      <c r="D180" s="123"/>
      <c r="K180" s="25"/>
      <c r="L180" s="13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27"/>
      <c r="AE180" s="29"/>
      <c r="AT180" s="127"/>
      <c r="AU180" s="29"/>
      <c r="BE180" s="25"/>
      <c r="BF180" s="13"/>
      <c r="BK180" s="116"/>
      <c r="BL180" s="123"/>
      <c r="BM180" s="123"/>
      <c r="BN180" s="123"/>
      <c r="BS180" s="115"/>
      <c r="BT180" s="115"/>
      <c r="BU180" s="115"/>
      <c r="BV180" s="115"/>
      <c r="BW180" s="115"/>
      <c r="BX180" s="115"/>
      <c r="BY180" s="115"/>
      <c r="BZ180" s="115"/>
      <c r="CA180" s="115"/>
      <c r="CB180" s="115"/>
      <c r="CC180" s="25"/>
      <c r="CD180" s="13"/>
      <c r="CG180" s="114"/>
    </row>
    <row r="181" spans="1:85" ht="20.100000000000001" customHeight="1" x14ac:dyDescent="0.4">
      <c r="A181" s="117"/>
      <c r="B181" s="123"/>
      <c r="C181" s="123"/>
      <c r="D181" s="123"/>
      <c r="K181" s="25"/>
      <c r="L181" s="13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27"/>
      <c r="AE181" s="29"/>
      <c r="AT181" s="127"/>
      <c r="AU181" s="29"/>
      <c r="BE181" s="25"/>
      <c r="BF181" s="13"/>
      <c r="BK181" s="116"/>
      <c r="BL181" s="123"/>
      <c r="BM181" s="123"/>
      <c r="BN181" s="123"/>
      <c r="BS181" s="115"/>
      <c r="BT181" s="115"/>
      <c r="BU181" s="115"/>
      <c r="BV181" s="115"/>
      <c r="BW181" s="115"/>
      <c r="BX181" s="115"/>
      <c r="BY181" s="115"/>
      <c r="BZ181" s="115"/>
      <c r="CA181" s="115"/>
      <c r="CB181" s="115"/>
      <c r="CC181" s="25"/>
      <c r="CD181" s="13"/>
      <c r="CG181" s="114"/>
    </row>
    <row r="182" spans="1:85" ht="20.100000000000001" customHeight="1" x14ac:dyDescent="0.4">
      <c r="A182" s="117"/>
      <c r="B182" s="123"/>
      <c r="C182" s="123"/>
      <c r="D182" s="123"/>
      <c r="K182" s="25"/>
      <c r="L182" s="13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27"/>
      <c r="AE182" s="29"/>
      <c r="AT182" s="127"/>
      <c r="AU182" s="29"/>
      <c r="BE182" s="25"/>
      <c r="BF182" s="13"/>
      <c r="BK182" s="116"/>
      <c r="BL182" s="123"/>
      <c r="BM182" s="123"/>
      <c r="BN182" s="123"/>
      <c r="BS182" s="115"/>
      <c r="BT182" s="115"/>
      <c r="BU182" s="115"/>
      <c r="BV182" s="115"/>
      <c r="BW182" s="115"/>
      <c r="BX182" s="115"/>
      <c r="BY182" s="115"/>
      <c r="BZ182" s="115"/>
      <c r="CA182" s="115"/>
      <c r="CB182" s="115"/>
      <c r="CC182" s="25"/>
      <c r="CD182" s="13"/>
      <c r="CG182" s="114"/>
    </row>
    <row r="183" spans="1:85" ht="20.100000000000001" customHeight="1" x14ac:dyDescent="0.4">
      <c r="A183" s="117"/>
      <c r="B183" s="123"/>
      <c r="C183" s="123"/>
      <c r="D183" s="123"/>
      <c r="K183" s="26"/>
      <c r="L183" s="13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27"/>
      <c r="AE183" s="29"/>
      <c r="AT183" s="127"/>
      <c r="AU183" s="29"/>
      <c r="BE183" s="25"/>
      <c r="BF183" s="13"/>
      <c r="BK183" s="116"/>
      <c r="BL183" s="123"/>
      <c r="BM183" s="123"/>
      <c r="BN183" s="123"/>
      <c r="BS183" s="115"/>
      <c r="BT183" s="115"/>
      <c r="BU183" s="115"/>
      <c r="BV183" s="115"/>
      <c r="BW183" s="115"/>
      <c r="BX183" s="115"/>
      <c r="BY183" s="115"/>
      <c r="BZ183" s="115"/>
      <c r="CA183" s="115"/>
      <c r="CB183" s="115"/>
      <c r="CC183" s="25"/>
      <c r="CD183" s="13"/>
      <c r="CG183" s="114"/>
    </row>
    <row r="184" spans="1:85" ht="20.100000000000001" customHeight="1" x14ac:dyDescent="0.4">
      <c r="A184" s="117"/>
      <c r="B184" s="123"/>
      <c r="C184" s="123"/>
      <c r="D184" s="123"/>
      <c r="K184" s="26"/>
      <c r="L184" s="13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27"/>
      <c r="AE184" s="29"/>
      <c r="AT184" s="127"/>
      <c r="AU184" s="29"/>
      <c r="BE184" s="25"/>
      <c r="BF184" s="13"/>
      <c r="BK184" s="116"/>
      <c r="BL184" s="123"/>
      <c r="BM184" s="123"/>
      <c r="BN184" s="123"/>
      <c r="BS184" s="115"/>
      <c r="BT184" s="115"/>
      <c r="BU184" s="115"/>
      <c r="BV184" s="115"/>
      <c r="BW184" s="115"/>
      <c r="BX184" s="115"/>
      <c r="BY184" s="115"/>
      <c r="BZ184" s="115"/>
      <c r="CA184" s="115"/>
      <c r="CB184" s="115"/>
      <c r="CC184" s="25"/>
      <c r="CD184" s="13"/>
      <c r="CG184" s="114"/>
    </row>
    <row r="185" spans="1:85" ht="20.100000000000001" customHeight="1" x14ac:dyDescent="0.4">
      <c r="A185" s="117"/>
      <c r="B185" s="123"/>
      <c r="C185" s="123"/>
      <c r="D185" s="123"/>
      <c r="K185" s="26"/>
      <c r="L185" s="13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27"/>
      <c r="AE185" s="29"/>
      <c r="AT185" s="127"/>
      <c r="AU185" s="29"/>
      <c r="BE185" s="25"/>
      <c r="BF185" s="13"/>
      <c r="BK185" s="116"/>
      <c r="BL185" s="123"/>
      <c r="BM185" s="123"/>
      <c r="BN185" s="123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25"/>
      <c r="CD185" s="13"/>
      <c r="CG185" s="114"/>
    </row>
    <row r="186" spans="1:85" ht="20.100000000000001" customHeight="1" x14ac:dyDescent="0.4">
      <c r="A186" s="117"/>
      <c r="B186" s="123"/>
      <c r="C186" s="123"/>
      <c r="D186" s="123"/>
      <c r="K186" s="26"/>
      <c r="L186" s="13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27"/>
      <c r="AE186" s="29"/>
      <c r="AT186" s="127"/>
      <c r="AU186" s="29"/>
      <c r="BE186" s="25"/>
      <c r="BF186" s="13"/>
      <c r="BK186" s="116"/>
      <c r="BL186" s="123"/>
      <c r="BM186" s="123"/>
      <c r="BN186" s="123"/>
      <c r="BS186" s="115"/>
      <c r="BT186" s="115"/>
      <c r="BU186" s="115"/>
      <c r="BV186" s="115"/>
      <c r="BW186" s="115"/>
      <c r="BX186" s="115"/>
      <c r="BY186" s="115"/>
      <c r="BZ186" s="115"/>
      <c r="CA186" s="115"/>
      <c r="CB186" s="115"/>
      <c r="CC186" s="25"/>
      <c r="CD186" s="13"/>
      <c r="CG186" s="114"/>
    </row>
    <row r="187" spans="1:85" ht="20.100000000000001" customHeight="1" x14ac:dyDescent="0.4">
      <c r="A187" s="117"/>
      <c r="B187" s="123"/>
      <c r="C187" s="123"/>
      <c r="D187" s="123"/>
      <c r="K187" s="26"/>
      <c r="L187" s="13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27"/>
      <c r="AE187" s="29"/>
      <c r="AT187" s="127"/>
      <c r="AU187" s="29"/>
      <c r="BE187" s="25"/>
      <c r="BF187" s="13"/>
      <c r="BK187" s="116"/>
      <c r="BL187" s="123"/>
      <c r="BM187" s="123"/>
      <c r="BN187" s="123"/>
      <c r="BS187" s="115"/>
      <c r="BT187" s="115"/>
      <c r="BU187" s="115"/>
      <c r="BV187" s="115"/>
      <c r="BW187" s="115"/>
      <c r="BX187" s="115"/>
      <c r="BY187" s="115"/>
      <c r="BZ187" s="115"/>
      <c r="CA187" s="115"/>
      <c r="CB187" s="115"/>
      <c r="CC187" s="25"/>
      <c r="CD187" s="13"/>
      <c r="CG187" s="114"/>
    </row>
    <row r="188" spans="1:85" ht="20.100000000000001" customHeight="1" x14ac:dyDescent="0.4">
      <c r="A188" s="117"/>
      <c r="B188" s="123"/>
      <c r="C188" s="123"/>
      <c r="D188" s="123"/>
      <c r="H188" s="115"/>
      <c r="I188" s="115"/>
      <c r="J188" s="115"/>
      <c r="K188" s="26"/>
      <c r="L188" s="13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27"/>
      <c r="AE188" s="29"/>
      <c r="AT188" s="127"/>
      <c r="AU188" s="29"/>
      <c r="BE188" s="25"/>
      <c r="BF188" s="13"/>
      <c r="BK188" s="116"/>
      <c r="BL188" s="123"/>
      <c r="BM188" s="123"/>
      <c r="BN188" s="123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25"/>
      <c r="CD188" s="13"/>
      <c r="CG188" s="114"/>
    </row>
    <row r="189" spans="1:85" ht="20.100000000000001" customHeight="1" x14ac:dyDescent="0.4">
      <c r="A189" s="117"/>
      <c r="B189" s="123"/>
      <c r="C189" s="123"/>
      <c r="D189" s="123"/>
      <c r="K189" s="26"/>
      <c r="L189" s="13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27"/>
      <c r="AE189" s="29"/>
      <c r="AT189" s="127"/>
      <c r="AU189" s="29"/>
      <c r="BE189" s="25"/>
      <c r="BF189" s="13"/>
      <c r="BK189" s="116"/>
      <c r="BL189" s="123"/>
      <c r="BM189" s="123"/>
      <c r="BN189" s="123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25"/>
      <c r="CD189" s="13"/>
      <c r="CG189" s="114"/>
    </row>
    <row r="190" spans="1:85" ht="20.100000000000001" customHeight="1" x14ac:dyDescent="0.4">
      <c r="A190" s="117"/>
      <c r="B190" s="123"/>
      <c r="C190" s="123"/>
      <c r="D190" s="123"/>
      <c r="K190" s="26"/>
      <c r="L190" s="13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27"/>
      <c r="AE190" s="29"/>
      <c r="AT190" s="127"/>
      <c r="AU190" s="29"/>
      <c r="BE190" s="25"/>
      <c r="BF190" s="13"/>
      <c r="BK190" s="116"/>
      <c r="BL190" s="123"/>
      <c r="BM190" s="123"/>
      <c r="BN190" s="123"/>
      <c r="BS190" s="115"/>
      <c r="BT190" s="115"/>
      <c r="BU190" s="115"/>
      <c r="BV190" s="115"/>
      <c r="BW190" s="115"/>
      <c r="BX190" s="115"/>
      <c r="BY190" s="115"/>
      <c r="BZ190" s="115"/>
      <c r="CA190" s="115"/>
      <c r="CB190" s="115"/>
      <c r="CC190" s="25"/>
      <c r="CD190" s="13"/>
      <c r="CG190" s="114"/>
    </row>
    <row r="191" spans="1:85" ht="20.100000000000001" customHeight="1" x14ac:dyDescent="0.4">
      <c r="A191" s="117"/>
      <c r="B191" s="123"/>
      <c r="C191" s="123"/>
      <c r="D191" s="123"/>
      <c r="H191" s="115"/>
      <c r="I191" s="115"/>
      <c r="J191" s="115"/>
      <c r="K191" s="26"/>
      <c r="L191" s="13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27"/>
      <c r="AE191" s="29"/>
      <c r="AT191" s="127"/>
      <c r="AU191" s="29"/>
      <c r="BE191" s="25"/>
      <c r="BF191" s="13"/>
      <c r="BK191" s="116"/>
      <c r="BL191" s="123"/>
      <c r="BM191" s="123"/>
      <c r="BN191" s="123"/>
      <c r="BS191" s="115"/>
      <c r="BT191" s="115"/>
      <c r="BU191" s="115"/>
      <c r="BV191" s="115"/>
      <c r="BW191" s="115"/>
      <c r="BX191" s="115"/>
      <c r="BY191" s="115"/>
      <c r="BZ191" s="115"/>
      <c r="CA191" s="115"/>
      <c r="CB191" s="115"/>
      <c r="CC191" s="25"/>
      <c r="CD191" s="13"/>
      <c r="CG191" s="114"/>
    </row>
    <row r="192" spans="1:85" ht="20.100000000000001" customHeight="1" x14ac:dyDescent="0.4">
      <c r="A192" s="117"/>
      <c r="B192" s="123"/>
      <c r="C192" s="123"/>
      <c r="D192" s="123"/>
      <c r="K192" s="26"/>
      <c r="L192" s="13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27"/>
      <c r="AE192" s="29"/>
      <c r="AT192" s="127"/>
      <c r="AU192" s="29"/>
      <c r="BE192" s="25"/>
      <c r="BF192" s="13"/>
      <c r="BK192" s="116"/>
      <c r="BL192" s="123"/>
      <c r="BM192" s="123"/>
      <c r="BN192" s="123"/>
      <c r="BS192" s="115"/>
      <c r="BT192" s="115"/>
      <c r="BU192" s="115"/>
      <c r="BV192" s="115"/>
      <c r="BW192" s="115"/>
      <c r="BX192" s="115"/>
      <c r="BY192" s="115"/>
      <c r="BZ192" s="115"/>
      <c r="CA192" s="115"/>
      <c r="CB192" s="115"/>
      <c r="CC192" s="25"/>
      <c r="CD192" s="13"/>
      <c r="CG192" s="114"/>
    </row>
    <row r="193" spans="1:85" ht="20.100000000000001" customHeight="1" x14ac:dyDescent="0.4">
      <c r="A193" s="117"/>
      <c r="B193" s="123"/>
      <c r="C193" s="123"/>
      <c r="D193" s="123"/>
      <c r="K193" s="26"/>
      <c r="L193" s="13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27"/>
      <c r="AE193" s="29"/>
      <c r="AT193" s="127"/>
      <c r="AU193" s="29"/>
      <c r="BE193" s="25"/>
      <c r="BF193" s="13"/>
      <c r="BK193" s="116"/>
      <c r="BL193" s="123"/>
      <c r="BM193" s="123"/>
      <c r="BN193" s="123"/>
      <c r="BS193" s="115"/>
      <c r="BT193" s="115"/>
      <c r="BU193" s="115"/>
      <c r="BV193" s="115"/>
      <c r="BW193" s="115"/>
      <c r="BX193" s="115"/>
      <c r="BY193" s="115"/>
      <c r="BZ193" s="115"/>
      <c r="CA193" s="115"/>
      <c r="CB193" s="115"/>
      <c r="CC193" s="25"/>
      <c r="CD193" s="13"/>
      <c r="CG193" s="114"/>
    </row>
    <row r="194" spans="1:85" ht="20.100000000000001" customHeight="1" x14ac:dyDescent="0.4">
      <c r="A194" s="117"/>
      <c r="B194" s="123"/>
      <c r="C194" s="123"/>
      <c r="D194" s="123"/>
      <c r="K194" s="26"/>
      <c r="L194" s="13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9"/>
      <c r="AE194" s="29"/>
      <c r="AT194" s="127"/>
      <c r="AU194" s="29"/>
      <c r="BE194" s="25"/>
      <c r="BF194" s="13"/>
      <c r="BK194" s="116"/>
      <c r="BL194" s="123"/>
      <c r="BM194" s="123"/>
      <c r="BN194" s="123"/>
      <c r="BS194" s="115"/>
      <c r="BT194" s="115"/>
      <c r="BU194" s="115"/>
      <c r="BV194" s="115"/>
      <c r="BW194" s="115"/>
      <c r="BX194" s="115"/>
      <c r="BY194" s="115"/>
      <c r="BZ194" s="115"/>
      <c r="CA194" s="115"/>
      <c r="CB194" s="115"/>
      <c r="CC194" s="25"/>
      <c r="CD194" s="13"/>
      <c r="CG194" s="114"/>
    </row>
    <row r="195" spans="1:85" ht="20.100000000000001" customHeight="1" x14ac:dyDescent="0.4">
      <c r="A195" s="117"/>
      <c r="B195" s="123"/>
      <c r="C195" s="123"/>
      <c r="D195" s="123"/>
      <c r="K195" s="26"/>
      <c r="L195" s="13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27"/>
      <c r="AE195" s="29"/>
      <c r="AT195" s="127"/>
      <c r="AU195" s="29"/>
      <c r="BE195" s="25"/>
      <c r="BF195" s="13"/>
      <c r="BK195" s="116"/>
      <c r="BL195" s="123"/>
      <c r="BM195" s="123"/>
      <c r="BN195" s="123"/>
      <c r="BS195" s="115"/>
      <c r="BT195" s="115"/>
      <c r="BU195" s="115"/>
      <c r="BV195" s="115"/>
      <c r="BW195" s="115"/>
      <c r="BX195" s="115"/>
      <c r="BY195" s="115"/>
      <c r="BZ195" s="115"/>
      <c r="CA195" s="115"/>
      <c r="CB195" s="115"/>
      <c r="CC195" s="25"/>
      <c r="CD195" s="13"/>
      <c r="CG195" s="114"/>
    </row>
    <row r="196" spans="1:85" ht="20.100000000000001" customHeight="1" x14ac:dyDescent="0.4">
      <c r="A196" s="117"/>
      <c r="B196" s="123"/>
      <c r="C196" s="123"/>
      <c r="D196" s="123"/>
      <c r="K196" s="26"/>
      <c r="L196" s="13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27"/>
      <c r="AE196" s="29"/>
      <c r="AT196" s="127"/>
      <c r="AU196" s="29"/>
      <c r="BE196" s="25"/>
      <c r="BF196" s="13"/>
      <c r="BK196" s="116"/>
      <c r="BL196" s="123"/>
      <c r="BM196" s="123"/>
      <c r="BN196" s="123"/>
      <c r="BS196" s="115"/>
      <c r="BT196" s="115"/>
      <c r="BU196" s="115"/>
      <c r="BV196" s="115"/>
      <c r="BW196" s="115"/>
      <c r="BX196" s="115"/>
      <c r="BY196" s="115"/>
      <c r="BZ196" s="115"/>
      <c r="CA196" s="115"/>
      <c r="CB196" s="115"/>
      <c r="CC196" s="25"/>
      <c r="CD196" s="13"/>
      <c r="CG196" s="114"/>
    </row>
    <row r="197" spans="1:85" ht="20.100000000000001" customHeight="1" x14ac:dyDescent="0.4">
      <c r="A197" s="117"/>
      <c r="B197" s="123"/>
      <c r="C197" s="123"/>
      <c r="D197" s="123"/>
      <c r="K197" s="26"/>
      <c r="L197" s="13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27"/>
      <c r="AE197" s="29"/>
      <c r="AT197" s="127"/>
      <c r="AU197" s="29"/>
      <c r="BE197" s="25"/>
      <c r="BF197" s="13"/>
      <c r="BK197" s="116"/>
      <c r="BL197" s="123"/>
      <c r="BM197" s="123"/>
      <c r="BN197" s="123"/>
      <c r="BS197" s="115"/>
      <c r="BT197" s="115"/>
      <c r="BU197" s="115"/>
      <c r="BV197" s="115"/>
      <c r="BW197" s="115"/>
      <c r="BX197" s="115"/>
      <c r="BY197" s="115"/>
      <c r="BZ197" s="115"/>
      <c r="CA197" s="115"/>
      <c r="CB197" s="115"/>
      <c r="CC197" s="25"/>
      <c r="CD197" s="13"/>
      <c r="CG197" s="114"/>
    </row>
    <row r="198" spans="1:85" ht="20.100000000000001" customHeight="1" x14ac:dyDescent="0.4">
      <c r="A198" s="117"/>
      <c r="B198" s="123"/>
      <c r="C198" s="123"/>
      <c r="D198" s="123"/>
      <c r="I198" s="115"/>
      <c r="J198" s="115"/>
      <c r="K198" s="17"/>
      <c r="L198" s="13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27"/>
      <c r="AE198" s="29"/>
      <c r="AT198" s="127"/>
      <c r="AU198" s="29"/>
      <c r="BE198" s="25"/>
      <c r="BF198" s="13"/>
      <c r="BK198" s="116"/>
      <c r="BL198" s="123"/>
      <c r="BM198" s="123"/>
      <c r="BN198" s="123"/>
      <c r="BS198" s="115"/>
      <c r="BT198" s="115"/>
      <c r="BU198" s="115"/>
      <c r="BV198" s="115"/>
      <c r="BW198" s="115"/>
      <c r="BX198" s="115"/>
      <c r="BY198" s="115"/>
      <c r="BZ198" s="115"/>
      <c r="CA198" s="115"/>
      <c r="CB198" s="115"/>
      <c r="CC198" s="25"/>
      <c r="CD198" s="13"/>
      <c r="CG198" s="114"/>
    </row>
    <row r="199" spans="1:85" ht="20.100000000000001" customHeight="1" x14ac:dyDescent="0.4">
      <c r="A199" s="117"/>
      <c r="B199" s="123"/>
      <c r="C199" s="123"/>
      <c r="D199" s="123"/>
      <c r="K199" s="26"/>
      <c r="L199" s="13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27"/>
      <c r="AE199" s="29"/>
      <c r="AT199" s="127"/>
      <c r="AU199" s="29"/>
      <c r="BE199" s="25"/>
      <c r="BF199" s="13"/>
      <c r="BK199" s="116"/>
      <c r="BL199" s="123"/>
      <c r="BM199" s="123"/>
      <c r="BN199" s="123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25"/>
      <c r="CD199" s="13"/>
      <c r="CG199" s="114"/>
    </row>
    <row r="200" spans="1:85" ht="20.100000000000001" customHeight="1" x14ac:dyDescent="0.4">
      <c r="A200" s="117"/>
      <c r="B200" s="123"/>
      <c r="C200" s="123"/>
      <c r="D200" s="123"/>
      <c r="K200" s="26"/>
      <c r="L200" s="13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27"/>
      <c r="AE200" s="29"/>
      <c r="AT200" s="127"/>
      <c r="AU200" s="29"/>
      <c r="BE200" s="25"/>
      <c r="BF200" s="13"/>
      <c r="BK200" s="116"/>
      <c r="BL200" s="123"/>
      <c r="BM200" s="123"/>
      <c r="BN200" s="123"/>
      <c r="BS200" s="115"/>
      <c r="BT200" s="115"/>
      <c r="BU200" s="115"/>
      <c r="BV200" s="115"/>
      <c r="BW200" s="115"/>
      <c r="BX200" s="115"/>
      <c r="BY200" s="115"/>
      <c r="BZ200" s="115"/>
      <c r="CA200" s="115"/>
      <c r="CB200" s="115"/>
      <c r="CC200" s="25"/>
      <c r="CD200" s="13"/>
      <c r="CG200" s="114"/>
    </row>
    <row r="201" spans="1:85" ht="20.100000000000001" customHeight="1" x14ac:dyDescent="0.4">
      <c r="A201" s="117"/>
      <c r="B201" s="123"/>
      <c r="C201" s="123"/>
      <c r="D201" s="123"/>
      <c r="K201" s="26"/>
      <c r="L201" s="13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9"/>
      <c r="AE201" s="29"/>
      <c r="AT201" s="127"/>
      <c r="AU201" s="29"/>
      <c r="BE201" s="25"/>
      <c r="BF201" s="13"/>
      <c r="BK201" s="116"/>
      <c r="BL201" s="123"/>
      <c r="BM201" s="123"/>
      <c r="BN201" s="123"/>
      <c r="BS201" s="115"/>
      <c r="BT201" s="115"/>
      <c r="BU201" s="115"/>
      <c r="BV201" s="115"/>
      <c r="BW201" s="115"/>
      <c r="BX201" s="115"/>
      <c r="BY201" s="115"/>
      <c r="BZ201" s="115"/>
      <c r="CA201" s="115"/>
      <c r="CB201" s="115"/>
      <c r="CC201" s="25"/>
      <c r="CD201" s="13"/>
      <c r="CG201" s="114"/>
    </row>
    <row r="202" spans="1:85" ht="20.100000000000001" customHeight="1" x14ac:dyDescent="0.4">
      <c r="A202" s="117"/>
      <c r="B202" s="123"/>
      <c r="C202" s="123"/>
      <c r="D202" s="123"/>
      <c r="K202" s="26"/>
      <c r="L202" s="13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27"/>
      <c r="AE202" s="29"/>
      <c r="AT202" s="127"/>
      <c r="AU202" s="29"/>
      <c r="BE202" s="25"/>
      <c r="BF202" s="13"/>
      <c r="BK202" s="116"/>
      <c r="BL202" s="123"/>
      <c r="BM202" s="123"/>
      <c r="BN202" s="123"/>
      <c r="BS202" s="115"/>
      <c r="BT202" s="115"/>
      <c r="BU202" s="115"/>
      <c r="BV202" s="115"/>
      <c r="BW202" s="115"/>
      <c r="BX202" s="115"/>
      <c r="BY202" s="115"/>
      <c r="BZ202" s="115"/>
      <c r="CA202" s="115"/>
      <c r="CB202" s="115"/>
      <c r="CC202" s="25"/>
      <c r="CD202" s="13"/>
      <c r="CG202" s="114"/>
    </row>
    <row r="203" spans="1:85" ht="20.100000000000001" customHeight="1" x14ac:dyDescent="0.4">
      <c r="A203" s="117"/>
      <c r="B203" s="123"/>
      <c r="C203" s="123"/>
      <c r="D203" s="123"/>
      <c r="K203" s="26"/>
      <c r="L203" s="13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27"/>
      <c r="AE203" s="29"/>
      <c r="AT203" s="127"/>
      <c r="AU203" s="29"/>
      <c r="BE203" s="25"/>
      <c r="BF203" s="13"/>
      <c r="BK203" s="116"/>
      <c r="BL203" s="123"/>
      <c r="BM203" s="123"/>
      <c r="BN203" s="123"/>
      <c r="BS203" s="115"/>
      <c r="BT203" s="115"/>
      <c r="BU203" s="115"/>
      <c r="BV203" s="115"/>
      <c r="BW203" s="115"/>
      <c r="BX203" s="115"/>
      <c r="BY203" s="115"/>
      <c r="BZ203" s="115"/>
      <c r="CA203" s="115"/>
      <c r="CB203" s="115"/>
      <c r="CC203" s="25"/>
      <c r="CD203" s="13"/>
      <c r="CG203" s="114"/>
    </row>
    <row r="204" spans="1:85" ht="20.100000000000001" customHeight="1" x14ac:dyDescent="0.4">
      <c r="A204" s="117"/>
      <c r="B204" s="123"/>
      <c r="C204" s="123"/>
      <c r="D204" s="123"/>
      <c r="K204" s="26"/>
      <c r="L204" s="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27"/>
      <c r="AE204" s="29"/>
      <c r="AT204" s="127"/>
      <c r="AU204" s="29"/>
      <c r="BE204" s="25"/>
      <c r="BF204" s="13"/>
      <c r="BK204" s="116"/>
      <c r="BL204" s="123"/>
      <c r="BM204" s="123"/>
      <c r="BN204" s="123"/>
      <c r="BS204" s="115"/>
      <c r="BT204" s="115"/>
      <c r="BU204" s="115"/>
      <c r="BV204" s="115"/>
      <c r="BW204" s="115"/>
      <c r="BX204" s="115"/>
      <c r="BY204" s="115"/>
      <c r="BZ204" s="115"/>
      <c r="CA204" s="115"/>
      <c r="CB204" s="115"/>
      <c r="CC204" s="25"/>
      <c r="CD204" s="13"/>
      <c r="CG204" s="114"/>
    </row>
    <row r="205" spans="1:85" ht="20.100000000000001" customHeight="1" x14ac:dyDescent="0.4">
      <c r="A205" s="117"/>
      <c r="B205" s="123"/>
      <c r="C205" s="123"/>
      <c r="D205" s="123"/>
      <c r="I205" s="115"/>
      <c r="J205" s="115"/>
      <c r="K205" s="17"/>
      <c r="L205" s="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27"/>
      <c r="AE205" s="29"/>
      <c r="AT205" s="127"/>
      <c r="AU205" s="29"/>
      <c r="BE205" s="25"/>
      <c r="BF205" s="13"/>
      <c r="BK205" s="116"/>
      <c r="BL205" s="123"/>
      <c r="BM205" s="123"/>
      <c r="BN205" s="123"/>
      <c r="BS205" s="115"/>
      <c r="BT205" s="115"/>
      <c r="BU205" s="115"/>
      <c r="BV205" s="115"/>
      <c r="BW205" s="115"/>
      <c r="BX205" s="115"/>
      <c r="BY205" s="115"/>
      <c r="BZ205" s="115"/>
      <c r="CA205" s="115"/>
      <c r="CB205" s="115"/>
      <c r="CC205" s="25"/>
      <c r="CD205" s="13"/>
      <c r="CG205" s="114"/>
    </row>
    <row r="206" spans="1:85" ht="20.100000000000001" customHeight="1" x14ac:dyDescent="0.4">
      <c r="A206" s="117"/>
      <c r="B206" s="123"/>
      <c r="C206" s="123"/>
      <c r="D206" s="123"/>
      <c r="K206" s="26"/>
      <c r="L206" s="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27"/>
      <c r="AE206" s="29"/>
      <c r="AT206" s="127"/>
      <c r="AU206" s="29"/>
      <c r="BE206" s="25"/>
      <c r="BF206" s="13"/>
      <c r="BK206" s="116"/>
      <c r="BL206" s="123"/>
      <c r="BM206" s="123"/>
      <c r="BN206" s="123"/>
      <c r="BS206" s="115"/>
      <c r="BT206" s="115"/>
      <c r="BU206" s="115"/>
      <c r="BV206" s="115"/>
      <c r="BW206" s="115"/>
      <c r="BX206" s="115"/>
      <c r="BY206" s="115"/>
      <c r="BZ206" s="115"/>
      <c r="CA206" s="115"/>
      <c r="CB206" s="115"/>
      <c r="CC206" s="25"/>
      <c r="CD206" s="13"/>
      <c r="CG206" s="114"/>
    </row>
    <row r="207" spans="1:85" ht="20.100000000000001" customHeight="1" x14ac:dyDescent="0.4">
      <c r="A207" s="117"/>
      <c r="B207" s="123"/>
      <c r="C207" s="123"/>
      <c r="D207" s="123"/>
      <c r="K207" s="26"/>
      <c r="L207" s="13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27"/>
      <c r="AE207" s="29"/>
      <c r="AT207" s="127"/>
      <c r="AU207" s="29"/>
      <c r="BE207" s="25"/>
      <c r="BF207" s="13"/>
      <c r="BK207" s="116"/>
      <c r="BL207" s="123"/>
      <c r="BM207" s="123"/>
      <c r="BN207" s="123"/>
      <c r="BS207" s="115"/>
      <c r="BT207" s="115"/>
      <c r="BU207" s="115"/>
      <c r="BV207" s="115"/>
      <c r="BW207" s="115"/>
      <c r="BX207" s="115"/>
      <c r="BY207" s="115"/>
      <c r="BZ207" s="115"/>
      <c r="CA207" s="115"/>
      <c r="CB207" s="115"/>
      <c r="CC207" s="25"/>
      <c r="CD207" s="13"/>
      <c r="CG207" s="114"/>
    </row>
    <row r="208" spans="1:85" ht="20.100000000000001" customHeight="1" x14ac:dyDescent="0.4">
      <c r="A208" s="117"/>
      <c r="B208" s="123"/>
      <c r="C208" s="123"/>
      <c r="D208" s="123"/>
      <c r="K208" s="26"/>
      <c r="L208" s="13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27"/>
      <c r="AE208" s="29"/>
      <c r="AT208" s="127"/>
      <c r="AU208" s="29"/>
      <c r="BE208" s="25"/>
      <c r="BF208" s="13"/>
      <c r="BK208" s="116"/>
      <c r="BL208" s="123"/>
      <c r="BM208" s="123"/>
      <c r="BN208" s="123"/>
      <c r="BS208" s="115"/>
      <c r="BT208" s="115"/>
      <c r="BU208" s="115"/>
      <c r="BV208" s="115"/>
      <c r="BW208" s="115"/>
      <c r="BX208" s="115"/>
      <c r="BY208" s="115"/>
      <c r="BZ208" s="115"/>
      <c r="CA208" s="115"/>
      <c r="CB208" s="115"/>
      <c r="CC208" s="25"/>
      <c r="CD208" s="13"/>
      <c r="CG208" s="114"/>
    </row>
    <row r="209" spans="1:85" ht="20.100000000000001" customHeight="1" x14ac:dyDescent="0.4">
      <c r="A209" s="117"/>
      <c r="B209" s="123"/>
      <c r="C209" s="123"/>
      <c r="D209" s="123"/>
      <c r="K209" s="26"/>
      <c r="L209" s="13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27"/>
      <c r="AE209" s="29"/>
      <c r="AT209" s="127"/>
      <c r="AU209" s="29"/>
      <c r="BE209" s="25"/>
      <c r="BF209" s="13"/>
      <c r="BK209" s="116"/>
      <c r="BL209" s="123"/>
      <c r="BM209" s="123"/>
      <c r="BN209" s="123"/>
      <c r="BS209" s="115"/>
      <c r="BT209" s="115"/>
      <c r="BU209" s="115"/>
      <c r="BV209" s="115"/>
      <c r="BW209" s="115"/>
      <c r="BX209" s="115"/>
      <c r="BY209" s="115"/>
      <c r="BZ209" s="115"/>
      <c r="CA209" s="115"/>
      <c r="CB209" s="115"/>
      <c r="CC209" s="25"/>
      <c r="CD209" s="13"/>
      <c r="CG209" s="114"/>
    </row>
    <row r="210" spans="1:85" ht="20.100000000000001" customHeight="1" x14ac:dyDescent="0.4">
      <c r="A210" s="117"/>
      <c r="B210" s="123"/>
      <c r="C210" s="123"/>
      <c r="D210" s="123"/>
      <c r="I210" s="115"/>
      <c r="J210" s="115"/>
      <c r="K210" s="17"/>
      <c r="L210" s="13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27"/>
      <c r="AE210" s="29"/>
      <c r="AT210" s="127"/>
      <c r="AU210" s="29"/>
      <c r="BE210" s="25"/>
      <c r="BF210" s="13"/>
      <c r="BK210" s="116"/>
      <c r="BL210" s="123"/>
      <c r="BM210" s="123"/>
      <c r="BN210" s="123"/>
      <c r="BS210" s="115"/>
      <c r="BT210" s="115"/>
      <c r="BU210" s="115"/>
      <c r="BV210" s="115"/>
      <c r="BW210" s="115"/>
      <c r="BX210" s="115"/>
      <c r="BY210" s="115"/>
      <c r="BZ210" s="115"/>
      <c r="CA210" s="115"/>
      <c r="CB210" s="115"/>
      <c r="CC210" s="25"/>
      <c r="CD210" s="13"/>
      <c r="CG210" s="114"/>
    </row>
    <row r="211" spans="1:85" ht="20.100000000000001" customHeight="1" x14ac:dyDescent="0.4">
      <c r="A211" s="117"/>
      <c r="B211" s="123"/>
      <c r="C211" s="123"/>
      <c r="D211" s="123"/>
      <c r="K211" s="26"/>
      <c r="L211" s="13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27"/>
      <c r="AE211" s="29"/>
      <c r="AT211" s="127"/>
      <c r="AU211" s="29"/>
      <c r="BE211" s="25"/>
      <c r="BF211" s="13"/>
      <c r="BK211" s="116"/>
      <c r="BL211" s="123"/>
      <c r="BM211" s="123"/>
      <c r="BN211" s="123"/>
      <c r="BS211" s="115"/>
      <c r="BT211" s="115"/>
      <c r="BU211" s="115"/>
      <c r="BV211" s="115"/>
      <c r="BW211" s="115"/>
      <c r="BX211" s="115"/>
      <c r="BY211" s="115"/>
      <c r="BZ211" s="115"/>
      <c r="CA211" s="115"/>
      <c r="CB211" s="115"/>
      <c r="CC211" s="25"/>
      <c r="CD211" s="13"/>
      <c r="CG211" s="114"/>
    </row>
    <row r="212" spans="1:85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26"/>
      <c r="L212" s="13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27"/>
      <c r="AE212" s="29"/>
      <c r="AT212" s="127"/>
      <c r="AU212" s="29"/>
      <c r="BE212" s="25"/>
      <c r="BF212" s="13"/>
      <c r="BK212" s="116"/>
      <c r="BL212" s="123"/>
      <c r="BM212" s="123"/>
      <c r="BN212" s="123"/>
      <c r="BS212" s="115"/>
      <c r="BT212" s="115"/>
      <c r="BU212" s="115"/>
      <c r="BV212" s="115"/>
      <c r="BW212" s="115"/>
      <c r="BX212" s="115"/>
      <c r="BY212" s="115"/>
      <c r="BZ212" s="115"/>
      <c r="CA212" s="115"/>
      <c r="CB212" s="115"/>
      <c r="CC212" s="25"/>
      <c r="CD212" s="13"/>
      <c r="CG212" s="114"/>
    </row>
    <row r="213" spans="1:85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26"/>
      <c r="L213" s="13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27"/>
      <c r="AE213" s="29"/>
      <c r="AT213" s="127"/>
      <c r="AU213" s="29"/>
      <c r="BE213" s="25"/>
      <c r="BF213" s="13"/>
      <c r="BK213" s="116"/>
      <c r="BL213" s="123"/>
      <c r="BM213" s="123"/>
      <c r="BN213" s="123"/>
      <c r="BS213" s="115"/>
      <c r="BT213" s="115"/>
      <c r="BU213" s="115"/>
      <c r="BV213" s="115"/>
      <c r="BW213" s="115"/>
      <c r="BX213" s="115"/>
      <c r="BY213" s="115"/>
      <c r="BZ213" s="115"/>
      <c r="CA213" s="115"/>
      <c r="CB213" s="115"/>
      <c r="CC213" s="25"/>
      <c r="CD213" s="13"/>
      <c r="CG213" s="114"/>
    </row>
    <row r="214" spans="1:85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7"/>
      <c r="L214" s="13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27"/>
      <c r="AE214" s="29"/>
      <c r="AT214" s="127"/>
      <c r="AU214" s="29"/>
      <c r="BE214" s="25"/>
      <c r="BF214" s="13"/>
      <c r="BK214" s="116"/>
      <c r="BL214" s="123"/>
      <c r="BM214" s="123"/>
      <c r="BN214" s="123"/>
      <c r="BS214" s="115"/>
      <c r="BT214" s="115"/>
      <c r="BU214" s="115"/>
      <c r="BV214" s="115"/>
      <c r="BW214" s="115"/>
      <c r="BX214" s="115"/>
      <c r="BY214" s="115"/>
      <c r="BZ214" s="115"/>
      <c r="CA214" s="115"/>
      <c r="CB214" s="115"/>
      <c r="CC214" s="25"/>
      <c r="CD214" s="13"/>
      <c r="CG214" s="114"/>
    </row>
    <row r="215" spans="1:85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26"/>
      <c r="L215" s="13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27"/>
      <c r="AE215" s="29"/>
      <c r="AT215" s="127"/>
      <c r="AU215" s="29"/>
      <c r="BE215" s="25"/>
      <c r="BF215" s="13"/>
      <c r="BK215" s="116"/>
      <c r="BL215" s="123"/>
      <c r="BM215" s="123"/>
      <c r="BN215" s="123"/>
      <c r="BS215" s="115"/>
      <c r="BT215" s="115"/>
      <c r="BU215" s="115"/>
      <c r="BV215" s="115"/>
      <c r="BW215" s="115"/>
      <c r="BX215" s="115"/>
      <c r="BY215" s="115"/>
      <c r="BZ215" s="115"/>
      <c r="CA215" s="115"/>
      <c r="CB215" s="115"/>
      <c r="CC215" s="25"/>
      <c r="CD215" s="13"/>
      <c r="CG215" s="114"/>
    </row>
    <row r="216" spans="1:85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26"/>
      <c r="L216" s="1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27"/>
      <c r="AE216" s="29"/>
      <c r="AT216" s="127"/>
      <c r="AU216" s="29"/>
      <c r="BE216" s="25"/>
      <c r="BF216" s="13"/>
      <c r="BK216" s="116"/>
      <c r="BL216" s="123"/>
      <c r="BM216" s="123"/>
      <c r="BN216" s="123"/>
      <c r="BS216" s="115"/>
      <c r="BT216" s="115"/>
      <c r="BU216" s="115"/>
      <c r="BV216" s="115"/>
      <c r="BW216" s="115"/>
      <c r="BX216" s="115"/>
      <c r="BY216" s="115"/>
      <c r="BZ216" s="115"/>
      <c r="CA216" s="115"/>
      <c r="CB216" s="115"/>
      <c r="CC216" s="25"/>
      <c r="CD216" s="13"/>
      <c r="CG216" s="114"/>
    </row>
    <row r="217" spans="1:85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7"/>
      <c r="L217" s="1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27"/>
      <c r="AE217" s="29"/>
      <c r="AT217" s="127"/>
      <c r="AU217" s="29"/>
      <c r="BE217" s="25"/>
      <c r="BF217" s="13"/>
      <c r="BK217" s="116"/>
      <c r="BL217" s="123"/>
      <c r="BM217" s="123"/>
      <c r="BN217" s="123"/>
      <c r="BS217" s="115"/>
      <c r="BT217" s="115"/>
      <c r="BU217" s="115"/>
      <c r="BV217" s="115"/>
      <c r="BW217" s="115"/>
      <c r="BX217" s="115"/>
      <c r="BY217" s="115"/>
      <c r="BZ217" s="115"/>
      <c r="CA217" s="115"/>
      <c r="CB217" s="115"/>
      <c r="CC217" s="25"/>
      <c r="CD217" s="13"/>
      <c r="CG217" s="114"/>
    </row>
    <row r="218" spans="1:85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26"/>
      <c r="L218" s="1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29"/>
      <c r="AE218" s="29"/>
      <c r="AT218" s="127"/>
      <c r="AU218" s="29"/>
      <c r="BE218" s="25"/>
      <c r="BF218" s="13"/>
      <c r="BK218" s="116"/>
      <c r="BL218" s="123"/>
      <c r="BM218" s="123"/>
      <c r="BN218" s="123"/>
      <c r="BS218" s="115"/>
      <c r="BT218" s="115"/>
      <c r="BU218" s="115"/>
      <c r="BV218" s="115"/>
      <c r="BW218" s="115"/>
      <c r="BX218" s="115"/>
      <c r="BY218" s="115"/>
      <c r="BZ218" s="115"/>
      <c r="CA218" s="115"/>
      <c r="CB218" s="115"/>
      <c r="CC218" s="25"/>
      <c r="CD218" s="13"/>
      <c r="CG218" s="114"/>
    </row>
    <row r="219" spans="1:85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26"/>
      <c r="L219" s="1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27"/>
      <c r="AE219" s="29"/>
      <c r="AT219" s="127"/>
      <c r="AU219" s="29"/>
      <c r="BE219" s="25"/>
      <c r="BF219" s="13"/>
      <c r="BK219" s="116"/>
      <c r="BL219" s="123"/>
      <c r="BM219" s="123"/>
      <c r="BN219" s="123"/>
      <c r="BS219" s="115"/>
      <c r="BT219" s="115"/>
      <c r="BU219" s="115"/>
      <c r="BV219" s="115"/>
      <c r="BW219" s="115"/>
      <c r="BX219" s="115"/>
      <c r="BY219" s="115"/>
      <c r="BZ219" s="115"/>
      <c r="CA219" s="115"/>
      <c r="CB219" s="115"/>
      <c r="CC219" s="25"/>
      <c r="CD219" s="13"/>
      <c r="CG219" s="114"/>
    </row>
    <row r="220" spans="1:85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7"/>
      <c r="L220" s="13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27"/>
      <c r="AE220" s="29"/>
      <c r="AT220" s="127"/>
      <c r="AU220" s="29"/>
      <c r="BE220" s="25"/>
      <c r="BF220" s="13"/>
      <c r="BK220" s="116"/>
      <c r="BL220" s="123"/>
      <c r="BM220" s="123"/>
      <c r="BN220" s="123"/>
      <c r="BS220" s="115"/>
      <c r="BT220" s="115"/>
      <c r="BU220" s="115"/>
      <c r="BV220" s="115"/>
      <c r="BW220" s="115"/>
      <c r="BX220" s="115"/>
      <c r="BY220" s="115"/>
      <c r="BZ220" s="115"/>
      <c r="CA220" s="115"/>
      <c r="CB220" s="115"/>
      <c r="CC220" s="25"/>
      <c r="CD220" s="13"/>
      <c r="CG220" s="114"/>
    </row>
    <row r="221" spans="1:85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26"/>
      <c r="L221" s="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27"/>
      <c r="AE221" s="29"/>
      <c r="AT221" s="127"/>
      <c r="AU221" s="29"/>
      <c r="BE221" s="25"/>
      <c r="BF221" s="13"/>
      <c r="BK221" s="116"/>
      <c r="BL221" s="123"/>
      <c r="BM221" s="123"/>
      <c r="BN221" s="123"/>
      <c r="BS221" s="115"/>
      <c r="BT221" s="115"/>
      <c r="BU221" s="115"/>
      <c r="BV221" s="115"/>
      <c r="BW221" s="115"/>
      <c r="BX221" s="115"/>
      <c r="BY221" s="115"/>
      <c r="BZ221" s="115"/>
      <c r="CA221" s="115"/>
      <c r="CB221" s="115"/>
      <c r="CC221" s="25"/>
      <c r="CD221" s="13"/>
      <c r="CG221" s="114"/>
    </row>
    <row r="222" spans="1:85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26"/>
      <c r="L222" s="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9"/>
      <c r="AE222" s="29"/>
      <c r="AT222" s="127"/>
      <c r="AU222" s="29"/>
      <c r="BE222" s="25"/>
      <c r="BF222" s="13"/>
      <c r="BK222" s="116"/>
      <c r="BL222" s="123"/>
      <c r="BM222" s="123"/>
      <c r="BN222" s="123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115"/>
      <c r="CC222" s="25"/>
      <c r="CD222" s="13"/>
      <c r="CG222" s="114"/>
    </row>
    <row r="223" spans="1:85" ht="20.100000000000001" customHeight="1" x14ac:dyDescent="0.4">
      <c r="A223" s="117"/>
      <c r="B223" s="123"/>
      <c r="C223" s="123"/>
      <c r="D223" s="123"/>
      <c r="K223" s="26"/>
      <c r="L223" s="15"/>
      <c r="AD223" s="127"/>
      <c r="AE223" s="29"/>
      <c r="AS223" s="115"/>
      <c r="AT223" s="29"/>
      <c r="AU223" s="29"/>
      <c r="BE223" s="25"/>
      <c r="BF223" s="13"/>
      <c r="BK223" s="116"/>
      <c r="BL223" s="123"/>
      <c r="BM223" s="123"/>
      <c r="BN223" s="123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115"/>
      <c r="CC223" s="25"/>
      <c r="CD223" s="13"/>
      <c r="CG223" s="114"/>
    </row>
    <row r="224" spans="1:85" ht="20.100000000000001" customHeight="1" x14ac:dyDescent="0.4">
      <c r="A224" s="117"/>
      <c r="B224" s="123"/>
      <c r="C224" s="123"/>
      <c r="D224" s="123"/>
      <c r="I224" s="115"/>
      <c r="J224" s="115"/>
      <c r="K224" s="17"/>
      <c r="L224" s="15"/>
      <c r="AD224" s="127"/>
      <c r="AE224" s="29"/>
      <c r="AS224" s="115"/>
      <c r="AT224" s="29"/>
      <c r="AU224" s="29"/>
      <c r="BE224" s="25"/>
      <c r="BF224" s="13"/>
      <c r="BK224" s="116"/>
      <c r="BL224" s="123"/>
      <c r="BM224" s="123"/>
      <c r="BN224" s="123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115"/>
      <c r="CC224" s="25"/>
      <c r="CD224" s="13"/>
      <c r="CG224" s="114"/>
    </row>
    <row r="225" spans="1:85" ht="20.100000000000001" customHeight="1" x14ac:dyDescent="0.4">
      <c r="A225" s="117"/>
      <c r="B225" s="123"/>
      <c r="C225" s="123"/>
      <c r="D225" s="123"/>
      <c r="K225" s="26"/>
      <c r="L225" s="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27"/>
      <c r="AE225" s="29"/>
      <c r="AS225" s="115"/>
      <c r="AT225" s="29"/>
      <c r="AU225" s="29"/>
      <c r="BE225" s="25"/>
      <c r="BF225" s="13"/>
      <c r="BK225" s="116"/>
      <c r="BL225" s="123"/>
      <c r="BM225" s="123"/>
      <c r="BN225" s="123"/>
      <c r="BS225" s="115"/>
      <c r="BT225" s="115"/>
      <c r="BU225" s="115"/>
      <c r="BV225" s="115"/>
      <c r="BW225" s="115"/>
      <c r="BX225" s="115"/>
      <c r="BY225" s="115"/>
      <c r="BZ225" s="115"/>
      <c r="CA225" s="115"/>
      <c r="CB225" s="115"/>
      <c r="CC225" s="25"/>
      <c r="CD225" s="13"/>
      <c r="CG225" s="114"/>
    </row>
    <row r="226" spans="1:85" ht="20.100000000000001" customHeight="1" x14ac:dyDescent="0.4">
      <c r="A226" s="117"/>
      <c r="B226" s="123"/>
      <c r="C226" s="123"/>
      <c r="D226" s="123"/>
      <c r="I226" s="115"/>
      <c r="J226" s="115"/>
      <c r="K226" s="17"/>
      <c r="L226" s="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7"/>
      <c r="AE226" s="29"/>
      <c r="AS226" s="115"/>
      <c r="AT226" s="29"/>
      <c r="AU226" s="29"/>
      <c r="BE226" s="25"/>
      <c r="BF226" s="13"/>
      <c r="BK226" s="116"/>
      <c r="BL226" s="123"/>
      <c r="BM226" s="123"/>
      <c r="BN226" s="123"/>
      <c r="BS226" s="115"/>
      <c r="BT226" s="115"/>
      <c r="BU226" s="115"/>
      <c r="BV226" s="115"/>
      <c r="BW226" s="115"/>
      <c r="BX226" s="115"/>
      <c r="BY226" s="115"/>
      <c r="BZ226" s="115"/>
      <c r="CA226" s="115"/>
      <c r="CB226" s="115"/>
      <c r="CC226" s="25"/>
      <c r="CD226" s="13"/>
      <c r="CG226" s="114"/>
    </row>
    <row r="227" spans="1:85" ht="20.100000000000001" customHeight="1" x14ac:dyDescent="0.4">
      <c r="A227" s="117"/>
      <c r="B227" s="123"/>
      <c r="C227" s="123"/>
      <c r="D227" s="123"/>
      <c r="K227" s="26"/>
      <c r="L227" s="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27"/>
      <c r="AE227" s="29"/>
      <c r="AS227" s="115"/>
      <c r="AT227" s="29"/>
      <c r="AU227" s="29"/>
      <c r="BE227" s="25"/>
      <c r="BF227" s="13"/>
      <c r="BK227" s="116"/>
      <c r="BL227" s="123"/>
      <c r="BM227" s="123"/>
      <c r="BN227" s="123"/>
      <c r="BS227" s="115"/>
      <c r="BT227" s="115"/>
      <c r="BU227" s="115"/>
      <c r="BV227" s="115"/>
      <c r="BW227" s="115"/>
      <c r="BX227" s="115"/>
      <c r="BY227" s="115"/>
      <c r="BZ227" s="115"/>
      <c r="CA227" s="115"/>
      <c r="CB227" s="115"/>
      <c r="CC227" s="25"/>
      <c r="CD227" s="13"/>
      <c r="CG227" s="114"/>
    </row>
    <row r="228" spans="1:85" ht="20.100000000000001" customHeight="1" x14ac:dyDescent="0.4">
      <c r="A228" s="117"/>
      <c r="B228" s="123"/>
      <c r="C228" s="123"/>
      <c r="D228" s="123"/>
      <c r="I228" s="115"/>
      <c r="J228" s="115"/>
      <c r="K228" s="17"/>
      <c r="L228" s="13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27"/>
      <c r="AE228" s="29"/>
      <c r="AS228" s="115"/>
      <c r="AT228" s="29"/>
      <c r="AU228" s="29"/>
      <c r="BE228" s="25"/>
      <c r="BF228" s="13"/>
      <c r="BK228" s="116"/>
      <c r="BL228" s="123"/>
      <c r="BM228" s="123"/>
      <c r="BN228" s="123"/>
      <c r="BS228" s="115"/>
      <c r="BT228" s="115"/>
      <c r="BU228" s="115"/>
      <c r="BV228" s="115"/>
      <c r="BW228" s="115"/>
      <c r="BX228" s="115"/>
      <c r="BY228" s="115"/>
      <c r="BZ228" s="115"/>
      <c r="CA228" s="115"/>
      <c r="CB228" s="115"/>
      <c r="CC228" s="25"/>
      <c r="CD228" s="13"/>
      <c r="CG228" s="114"/>
    </row>
    <row r="229" spans="1:85" ht="20.100000000000001" customHeight="1" x14ac:dyDescent="0.4">
      <c r="A229" s="117"/>
      <c r="B229" s="123"/>
      <c r="C229" s="123"/>
      <c r="D229" s="123"/>
      <c r="I229" s="115"/>
      <c r="J229" s="115"/>
      <c r="K229" s="17"/>
      <c r="L229" s="13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27"/>
      <c r="AE229" s="29"/>
      <c r="AS229" s="115"/>
      <c r="AT229" s="29"/>
      <c r="AU229" s="29"/>
      <c r="BE229" s="25"/>
      <c r="BF229" s="13"/>
      <c r="BK229" s="116"/>
      <c r="BL229" s="123"/>
      <c r="BM229" s="123"/>
      <c r="BN229" s="123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115"/>
      <c r="CC229" s="25"/>
      <c r="CD229" s="13"/>
      <c r="CG229" s="114"/>
    </row>
    <row r="230" spans="1:85" ht="20.100000000000001" customHeight="1" x14ac:dyDescent="0.4">
      <c r="A230" s="117"/>
      <c r="B230" s="123"/>
      <c r="C230" s="123"/>
      <c r="D230" s="123"/>
      <c r="H230" s="115"/>
      <c r="I230" s="115"/>
      <c r="J230" s="115"/>
      <c r="K230" s="17"/>
      <c r="L230" s="13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27"/>
      <c r="AE230" s="29"/>
      <c r="AS230" s="115"/>
      <c r="AT230" s="29"/>
      <c r="AU230" s="29"/>
      <c r="BE230" s="25"/>
      <c r="BF230" s="13"/>
      <c r="BK230" s="116"/>
      <c r="BL230" s="123"/>
      <c r="BM230" s="123"/>
      <c r="BN230" s="123"/>
      <c r="BS230" s="115"/>
      <c r="BT230" s="115"/>
      <c r="BU230" s="115"/>
      <c r="BV230" s="115"/>
      <c r="BW230" s="115"/>
      <c r="BX230" s="115"/>
      <c r="BY230" s="115"/>
      <c r="BZ230" s="115"/>
      <c r="CA230" s="115"/>
      <c r="CB230" s="115"/>
      <c r="CC230" s="25"/>
      <c r="CD230" s="13"/>
      <c r="CG230" s="114"/>
    </row>
    <row r="231" spans="1:85" ht="20.100000000000001" customHeight="1" x14ac:dyDescent="0.4">
      <c r="A231" s="117"/>
      <c r="B231" s="123"/>
      <c r="C231" s="123"/>
      <c r="D231" s="123"/>
      <c r="K231" s="26"/>
      <c r="L231" s="13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27"/>
      <c r="AE231" s="29"/>
      <c r="AS231" s="115"/>
      <c r="AT231" s="29"/>
      <c r="AU231" s="29"/>
      <c r="BE231" s="25"/>
      <c r="BF231" s="13"/>
      <c r="BK231" s="116"/>
      <c r="BL231" s="123"/>
      <c r="BM231" s="123"/>
      <c r="BN231" s="123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25"/>
      <c r="CD231" s="13"/>
      <c r="CG231" s="114"/>
    </row>
    <row r="232" spans="1:85" ht="20.100000000000001" customHeight="1" x14ac:dyDescent="0.4">
      <c r="A232" s="117"/>
      <c r="B232" s="123"/>
      <c r="C232" s="123"/>
      <c r="D232" s="123"/>
      <c r="K232" s="26"/>
      <c r="L232" s="13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27"/>
      <c r="AE232" s="29"/>
      <c r="AS232" s="115"/>
      <c r="AT232" s="29"/>
      <c r="AU232" s="29"/>
      <c r="BE232" s="25"/>
      <c r="BF232" s="13"/>
      <c r="BK232" s="116"/>
      <c r="BL232" s="123"/>
      <c r="BM232" s="123"/>
      <c r="BN232" s="123"/>
      <c r="BS232" s="115"/>
      <c r="BT232" s="115"/>
      <c r="BU232" s="115"/>
      <c r="BV232" s="115"/>
      <c r="BW232" s="115"/>
      <c r="BX232" s="115"/>
      <c r="BY232" s="115"/>
      <c r="BZ232" s="115"/>
      <c r="CA232" s="115"/>
      <c r="CB232" s="115"/>
      <c r="CC232" s="25"/>
      <c r="CD232" s="13"/>
      <c r="CG232" s="114"/>
    </row>
    <row r="233" spans="1:85" ht="20.100000000000001" customHeight="1" x14ac:dyDescent="0.4">
      <c r="A233" s="117"/>
      <c r="B233" s="123"/>
      <c r="C233" s="123"/>
      <c r="D233" s="123"/>
      <c r="K233" s="26"/>
      <c r="L233" s="13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27"/>
      <c r="AE233" s="29"/>
      <c r="AS233" s="115"/>
      <c r="AT233" s="29"/>
      <c r="AU233" s="29"/>
      <c r="BE233" s="25"/>
      <c r="BF233" s="13"/>
      <c r="BK233" s="116"/>
      <c r="BL233" s="123"/>
      <c r="BM233" s="123"/>
      <c r="BN233" s="123"/>
      <c r="BS233" s="115"/>
      <c r="BT233" s="115"/>
      <c r="BU233" s="115"/>
      <c r="BV233" s="115"/>
      <c r="BW233" s="115"/>
      <c r="BX233" s="115"/>
      <c r="BY233" s="115"/>
      <c r="BZ233" s="115"/>
      <c r="CA233" s="115"/>
      <c r="CB233" s="115"/>
      <c r="CC233" s="25"/>
      <c r="CD233" s="13"/>
      <c r="CG233" s="114"/>
    </row>
    <row r="234" spans="1:85" ht="20.100000000000001" customHeight="1" x14ac:dyDescent="0.4">
      <c r="A234" s="117"/>
      <c r="B234" s="123"/>
      <c r="C234" s="123"/>
      <c r="D234" s="123"/>
      <c r="K234" s="26"/>
      <c r="L234" s="13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27"/>
      <c r="AE234" s="29"/>
      <c r="AS234" s="115"/>
      <c r="AT234" s="29"/>
      <c r="AU234" s="29"/>
      <c r="BE234" s="25"/>
      <c r="BF234" s="13"/>
      <c r="BK234" s="116"/>
      <c r="BL234" s="123"/>
      <c r="BM234" s="123"/>
      <c r="BN234" s="123"/>
      <c r="BS234" s="115"/>
      <c r="BT234" s="115"/>
      <c r="BU234" s="115"/>
      <c r="BV234" s="115"/>
      <c r="BW234" s="115"/>
      <c r="BX234" s="115"/>
      <c r="BY234" s="115"/>
      <c r="BZ234" s="115"/>
      <c r="CA234" s="115"/>
      <c r="CB234" s="115"/>
      <c r="CC234" s="25"/>
      <c r="CD234" s="13"/>
      <c r="CG234" s="114"/>
    </row>
    <row r="235" spans="1:85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9"/>
      <c r="L235" s="119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27"/>
      <c r="AE235" s="29"/>
      <c r="AS235" s="115"/>
      <c r="AT235" s="29"/>
      <c r="AU235" s="29"/>
      <c r="BE235" s="25"/>
      <c r="BF235" s="13"/>
      <c r="BK235" s="116"/>
      <c r="BL235" s="123"/>
      <c r="BM235" s="123"/>
      <c r="BN235" s="123"/>
      <c r="BS235" s="115"/>
      <c r="BT235" s="115"/>
      <c r="BU235" s="115"/>
      <c r="BV235" s="115"/>
      <c r="BW235" s="115"/>
      <c r="BX235" s="115"/>
      <c r="BY235" s="115"/>
      <c r="BZ235" s="115"/>
      <c r="CA235" s="115"/>
      <c r="CB235" s="115"/>
      <c r="CC235" s="25"/>
      <c r="CD235" s="13"/>
      <c r="CG235" s="114"/>
    </row>
    <row r="236" spans="1:85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9"/>
      <c r="L236" s="119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27"/>
      <c r="AE236" s="29"/>
      <c r="AS236" s="115"/>
      <c r="AT236" s="29"/>
      <c r="AU236" s="29"/>
      <c r="BE236" s="25"/>
      <c r="BF236" s="13"/>
      <c r="BK236" s="116"/>
      <c r="BL236" s="123"/>
      <c r="BM236" s="123"/>
      <c r="BN236" s="123"/>
      <c r="BS236" s="115"/>
      <c r="BT236" s="115"/>
      <c r="BU236" s="115"/>
      <c r="BV236" s="115"/>
      <c r="BW236" s="115"/>
      <c r="BX236" s="115"/>
      <c r="BY236" s="115"/>
      <c r="BZ236" s="115"/>
      <c r="CA236" s="115"/>
      <c r="CB236" s="115"/>
      <c r="CC236" s="25"/>
      <c r="CD236" s="13"/>
      <c r="CG236" s="114"/>
    </row>
    <row r="237" spans="1:85" ht="20.100000000000001" customHeight="1" x14ac:dyDescent="0.4">
      <c r="A237" s="117"/>
      <c r="B237" s="123"/>
      <c r="C237" s="123"/>
      <c r="D237" s="123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27"/>
      <c r="AE237" s="29"/>
      <c r="AS237" s="115"/>
      <c r="AT237" s="29"/>
      <c r="AU237" s="29"/>
      <c r="BE237" s="25"/>
      <c r="BF237" s="13"/>
      <c r="BK237" s="116"/>
      <c r="BL237" s="123"/>
      <c r="BM237" s="123"/>
      <c r="BN237" s="123"/>
      <c r="BS237" s="115"/>
      <c r="BT237" s="115"/>
      <c r="BU237" s="115"/>
      <c r="BV237" s="115"/>
      <c r="BW237" s="115"/>
      <c r="BX237" s="115"/>
      <c r="BY237" s="115"/>
      <c r="BZ237" s="115"/>
      <c r="CA237" s="115"/>
      <c r="CB237" s="115"/>
      <c r="CC237" s="25"/>
      <c r="CD237" s="13"/>
      <c r="CG237" s="114"/>
    </row>
    <row r="238" spans="1:85" ht="20.100000000000001" customHeight="1" x14ac:dyDescent="0.4">
      <c r="A238" s="117"/>
      <c r="B238" s="123"/>
      <c r="C238" s="123"/>
      <c r="D238" s="123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27"/>
      <c r="AE238" s="29"/>
      <c r="AS238" s="115"/>
      <c r="AT238" s="29"/>
      <c r="AU238" s="29"/>
      <c r="BE238" s="25"/>
      <c r="BF238" s="13"/>
      <c r="BK238" s="116"/>
      <c r="BL238" s="123"/>
      <c r="BM238" s="123"/>
      <c r="BN238" s="123"/>
      <c r="BS238" s="115"/>
      <c r="BT238" s="115"/>
      <c r="BU238" s="115"/>
      <c r="BV238" s="115"/>
      <c r="BW238" s="115"/>
      <c r="BX238" s="115"/>
      <c r="BY238" s="115"/>
      <c r="BZ238" s="115"/>
      <c r="CA238" s="115"/>
      <c r="CB238" s="115"/>
      <c r="CC238" s="25"/>
      <c r="CD238" s="13"/>
      <c r="CG238" s="114"/>
    </row>
    <row r="239" spans="1:85" ht="20.100000000000001" customHeight="1" x14ac:dyDescent="0.4">
      <c r="A239" s="117"/>
      <c r="B239" s="123"/>
      <c r="C239" s="123"/>
      <c r="D239" s="123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27"/>
      <c r="AE239" s="29"/>
      <c r="AS239" s="115"/>
      <c r="AT239" s="29"/>
      <c r="AU239" s="29"/>
      <c r="BE239" s="25"/>
      <c r="BF239" s="13"/>
      <c r="BK239" s="116"/>
      <c r="BL239" s="123"/>
      <c r="BM239" s="123"/>
      <c r="BN239" s="123"/>
      <c r="BS239" s="115"/>
      <c r="BT239" s="115"/>
      <c r="BU239" s="115"/>
      <c r="BV239" s="115"/>
      <c r="BW239" s="115"/>
      <c r="BX239" s="115"/>
      <c r="BY239" s="115"/>
      <c r="BZ239" s="115"/>
      <c r="CA239" s="115"/>
      <c r="CB239" s="115"/>
      <c r="CC239" s="25"/>
      <c r="CD239" s="13"/>
      <c r="CG239" s="114"/>
    </row>
    <row r="240" spans="1:85" ht="20.100000000000001" customHeight="1" x14ac:dyDescent="0.4">
      <c r="A240" s="117"/>
      <c r="B240" s="123"/>
      <c r="C240" s="123"/>
      <c r="D240" s="123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27"/>
      <c r="AE240" s="29"/>
      <c r="AS240" s="115"/>
      <c r="AT240" s="29"/>
      <c r="AU240" s="29"/>
      <c r="BE240" s="25"/>
      <c r="BF240" s="13"/>
      <c r="BK240" s="116"/>
      <c r="BL240" s="123"/>
      <c r="BM240" s="123"/>
      <c r="BN240" s="123"/>
      <c r="BS240" s="115"/>
      <c r="BT240" s="115"/>
      <c r="BU240" s="115"/>
      <c r="BV240" s="115"/>
      <c r="BW240" s="115"/>
      <c r="BX240" s="115"/>
      <c r="BY240" s="115"/>
      <c r="BZ240" s="115"/>
      <c r="CA240" s="115"/>
      <c r="CB240" s="115"/>
      <c r="CC240" s="25"/>
      <c r="CD240" s="13"/>
      <c r="CG240" s="114"/>
    </row>
    <row r="241" spans="1:85" ht="20.100000000000001" customHeight="1" x14ac:dyDescent="0.4">
      <c r="A241" s="117"/>
      <c r="B241" s="123"/>
      <c r="C241" s="123"/>
      <c r="D241" s="123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27"/>
      <c r="AE241" s="29"/>
      <c r="AS241" s="115"/>
      <c r="AT241" s="29"/>
      <c r="AU241" s="29"/>
      <c r="BE241" s="25"/>
      <c r="BF241" s="13"/>
      <c r="BK241" s="116"/>
      <c r="BL241" s="123"/>
      <c r="BM241" s="123"/>
      <c r="BN241" s="123"/>
      <c r="BS241" s="115"/>
      <c r="BT241" s="115"/>
      <c r="BU241" s="115"/>
      <c r="BV241" s="115"/>
      <c r="BW241" s="115"/>
      <c r="BX241" s="115"/>
      <c r="BY241" s="115"/>
      <c r="BZ241" s="115"/>
      <c r="CA241" s="115"/>
      <c r="CB241" s="115"/>
      <c r="CC241" s="25"/>
      <c r="CD241" s="13"/>
      <c r="CG241" s="114"/>
    </row>
    <row r="242" spans="1:85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27"/>
      <c r="AE242" s="29"/>
      <c r="AS242" s="115"/>
      <c r="AT242" s="29"/>
      <c r="AU242" s="29"/>
      <c r="BE242" s="25"/>
      <c r="BF242" s="13"/>
      <c r="BK242" s="116"/>
      <c r="BL242" s="123"/>
      <c r="BM242" s="123"/>
      <c r="BN242" s="123"/>
      <c r="BS242" s="115"/>
      <c r="BT242" s="115"/>
      <c r="BU242" s="115"/>
      <c r="BV242" s="115"/>
      <c r="BW242" s="115"/>
      <c r="BX242" s="115"/>
      <c r="BY242" s="115"/>
      <c r="BZ242" s="115"/>
      <c r="CA242" s="115"/>
      <c r="CB242" s="115"/>
      <c r="CC242" s="25"/>
      <c r="CD242" s="13"/>
      <c r="CG242" s="114"/>
    </row>
    <row r="243" spans="1:85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27"/>
      <c r="AE243" s="29"/>
      <c r="AS243" s="115"/>
      <c r="AT243" s="29"/>
      <c r="AU243" s="29"/>
      <c r="BE243" s="25"/>
      <c r="BF243" s="13"/>
      <c r="BK243" s="116"/>
      <c r="BL243" s="123"/>
      <c r="BM243" s="123"/>
      <c r="BN243" s="123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115"/>
      <c r="CC243" s="25"/>
      <c r="CD243" s="13"/>
      <c r="CG243" s="114"/>
    </row>
    <row r="244" spans="1:85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27"/>
      <c r="AE244" s="29"/>
      <c r="AS244" s="115"/>
      <c r="AT244" s="29"/>
      <c r="AU244" s="29"/>
      <c r="BE244" s="25"/>
      <c r="BF244" s="13"/>
      <c r="BK244" s="116"/>
      <c r="BL244" s="123"/>
      <c r="BM244" s="123"/>
      <c r="BN244" s="123"/>
      <c r="BS244" s="115"/>
      <c r="BT244" s="115"/>
      <c r="BU244" s="115"/>
      <c r="BV244" s="115"/>
      <c r="BW244" s="115"/>
      <c r="BX244" s="115"/>
      <c r="BY244" s="115"/>
      <c r="BZ244" s="115"/>
      <c r="CA244" s="115"/>
      <c r="CB244" s="115"/>
      <c r="CC244" s="25"/>
      <c r="CD244" s="13"/>
      <c r="CG244" s="114"/>
    </row>
    <row r="245" spans="1:85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7"/>
      <c r="AE245" s="29"/>
      <c r="AS245" s="115"/>
      <c r="AT245" s="29"/>
      <c r="AU245" s="29"/>
      <c r="BE245" s="25"/>
      <c r="BF245" s="13"/>
      <c r="BK245" s="116"/>
      <c r="BL245" s="123"/>
      <c r="BM245" s="123"/>
      <c r="BN245" s="123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25"/>
      <c r="CD245" s="13"/>
      <c r="CG245" s="114"/>
    </row>
    <row r="246" spans="1:85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9"/>
      <c r="AE246" s="29"/>
      <c r="AS246" s="115"/>
      <c r="AT246" s="29"/>
      <c r="AU246" s="29"/>
      <c r="BE246" s="25"/>
      <c r="BF246" s="13"/>
      <c r="BK246" s="116"/>
      <c r="BL246" s="123"/>
      <c r="BM246" s="123"/>
      <c r="BN246" s="123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115"/>
      <c r="CC246" s="25"/>
      <c r="CD246" s="13"/>
      <c r="CG246" s="114"/>
    </row>
    <row r="247" spans="1:85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27"/>
      <c r="AE247" s="29"/>
      <c r="AS247" s="115"/>
      <c r="AT247" s="29"/>
      <c r="AU247" s="29"/>
      <c r="BE247" s="25"/>
      <c r="BF247" s="13"/>
      <c r="BK247" s="116"/>
      <c r="BL247" s="123"/>
      <c r="BM247" s="123"/>
      <c r="BN247" s="123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115"/>
      <c r="CC247" s="25"/>
      <c r="CD247" s="13"/>
      <c r="CG247" s="114"/>
    </row>
    <row r="248" spans="1:85" ht="20.100000000000001" customHeight="1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27"/>
      <c r="AE248" s="29"/>
      <c r="AS248" s="115"/>
      <c r="AT248" s="29"/>
      <c r="AU248" s="29"/>
      <c r="BE248" s="25"/>
      <c r="BF248" s="13"/>
      <c r="BK248" s="116"/>
      <c r="BL248" s="123"/>
      <c r="BM248" s="123"/>
      <c r="BN248" s="123"/>
      <c r="BS248" s="115"/>
      <c r="BT248" s="115"/>
      <c r="BU248" s="115"/>
      <c r="BV248" s="115"/>
      <c r="BW248" s="115"/>
      <c r="BX248" s="115"/>
      <c r="BY248" s="115"/>
      <c r="BZ248" s="115"/>
      <c r="CA248" s="115"/>
      <c r="CB248" s="115"/>
      <c r="CC248" s="25"/>
      <c r="CD248" s="13"/>
      <c r="CG248" s="114"/>
    </row>
    <row r="249" spans="1:85" ht="20.100000000000001" customHeight="1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27"/>
      <c r="AE249" s="29"/>
      <c r="AS249" s="115"/>
      <c r="AT249" s="29"/>
      <c r="AU249" s="29"/>
      <c r="BE249" s="25"/>
      <c r="BF249" s="13"/>
      <c r="BK249" s="116"/>
      <c r="BL249" s="123"/>
      <c r="BM249" s="123"/>
      <c r="BN249" s="123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  <c r="CC249" s="25"/>
      <c r="CD249" s="13"/>
      <c r="CG249" s="114"/>
    </row>
    <row r="250" spans="1:85" ht="20.100000000000001" customHeight="1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27"/>
      <c r="AE250" s="29"/>
      <c r="AS250" s="115"/>
      <c r="AT250" s="29"/>
      <c r="AU250" s="29"/>
      <c r="BE250" s="25"/>
      <c r="BF250" s="13"/>
      <c r="BK250" s="116"/>
      <c r="BL250" s="123"/>
      <c r="BM250" s="123"/>
      <c r="BN250" s="123"/>
      <c r="BS250" s="115"/>
      <c r="BT250" s="115"/>
      <c r="BU250" s="115"/>
      <c r="BV250" s="115"/>
      <c r="BW250" s="115"/>
      <c r="BX250" s="115"/>
      <c r="BY250" s="115"/>
      <c r="BZ250" s="115"/>
      <c r="CA250" s="115"/>
      <c r="CB250" s="115"/>
      <c r="CC250" s="25"/>
      <c r="CD250" s="13"/>
      <c r="CG250" s="114"/>
    </row>
    <row r="251" spans="1:85" ht="20.100000000000001" customHeight="1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27"/>
      <c r="AE251" s="29"/>
      <c r="AS251" s="115"/>
      <c r="AT251" s="29"/>
      <c r="AU251" s="29"/>
      <c r="BE251" s="25"/>
      <c r="BF251" s="13"/>
      <c r="BK251" s="116"/>
      <c r="BL251" s="123"/>
      <c r="BM251" s="123"/>
      <c r="BN251" s="123"/>
      <c r="BS251" s="115"/>
      <c r="BT251" s="115"/>
      <c r="BU251" s="115"/>
      <c r="BV251" s="115"/>
      <c r="BW251" s="115"/>
      <c r="BX251" s="115"/>
      <c r="BY251" s="115"/>
      <c r="BZ251" s="115"/>
      <c r="CA251" s="115"/>
      <c r="CB251" s="115"/>
      <c r="CC251" s="25"/>
      <c r="CD251" s="13"/>
      <c r="CG251" s="114"/>
    </row>
    <row r="252" spans="1:85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27"/>
      <c r="AE252" s="29"/>
      <c r="AS252" s="115"/>
      <c r="AT252" s="29"/>
      <c r="AU252" s="29"/>
      <c r="BE252" s="25"/>
      <c r="BF252" s="13"/>
      <c r="BK252" s="116"/>
      <c r="BL252" s="123"/>
      <c r="BM252" s="123"/>
      <c r="BN252" s="123"/>
      <c r="BS252" s="115"/>
      <c r="BT252" s="115"/>
      <c r="BU252" s="115"/>
      <c r="BV252" s="115"/>
      <c r="BW252" s="115"/>
      <c r="BX252" s="115"/>
      <c r="BY252" s="115"/>
      <c r="BZ252" s="115"/>
      <c r="CA252" s="115"/>
      <c r="CB252" s="115"/>
      <c r="CC252" s="25"/>
      <c r="CD252" s="13"/>
      <c r="CG252" s="114"/>
    </row>
    <row r="253" spans="1:85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27"/>
      <c r="AE253" s="29"/>
      <c r="AS253" s="115"/>
      <c r="AT253" s="29"/>
      <c r="AU253" s="29"/>
      <c r="BE253" s="25"/>
      <c r="BF253" s="13"/>
      <c r="BK253" s="116"/>
      <c r="BL253" s="123"/>
      <c r="BM253" s="123"/>
      <c r="BN253" s="123"/>
      <c r="BS253" s="115"/>
      <c r="BT253" s="115"/>
      <c r="BU253" s="115"/>
      <c r="BV253" s="115"/>
      <c r="BW253" s="115"/>
      <c r="BX253" s="115"/>
      <c r="BY253" s="115"/>
      <c r="BZ253" s="115"/>
      <c r="CA253" s="115"/>
      <c r="CB253" s="115"/>
      <c r="CC253" s="25"/>
      <c r="CD253" s="13"/>
      <c r="CG253" s="114"/>
    </row>
    <row r="254" spans="1:85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27"/>
      <c r="AE254" s="29"/>
      <c r="AS254" s="115"/>
      <c r="AT254" s="29"/>
      <c r="AU254" s="29"/>
      <c r="BE254" s="25"/>
      <c r="BF254" s="13"/>
      <c r="BK254" s="116"/>
      <c r="BL254" s="123"/>
      <c r="BM254" s="123"/>
      <c r="BN254" s="123"/>
      <c r="BS254" s="115"/>
      <c r="BT254" s="115"/>
      <c r="BU254" s="115"/>
      <c r="BV254" s="115"/>
      <c r="BW254" s="115"/>
      <c r="BX254" s="115"/>
      <c r="BY254" s="115"/>
      <c r="BZ254" s="115"/>
      <c r="CA254" s="115"/>
      <c r="CB254" s="115"/>
      <c r="CC254" s="25"/>
      <c r="CD254" s="13"/>
      <c r="CG254" s="114"/>
    </row>
    <row r="255" spans="1:85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27"/>
      <c r="AE255" s="29"/>
      <c r="AS255" s="115"/>
      <c r="AT255" s="29"/>
      <c r="AU255" s="29"/>
      <c r="BE255" s="25"/>
      <c r="BF255" s="13"/>
      <c r="BK255" s="116"/>
      <c r="BL255" s="123"/>
      <c r="BM255" s="123"/>
      <c r="BN255" s="123"/>
      <c r="BS255" s="115"/>
      <c r="BT255" s="115"/>
      <c r="BU255" s="115"/>
      <c r="BV255" s="115"/>
      <c r="BW255" s="115"/>
      <c r="BX255" s="115"/>
      <c r="BY255" s="115"/>
      <c r="BZ255" s="115"/>
      <c r="CA255" s="115"/>
      <c r="CB255" s="115"/>
      <c r="CC255" s="25"/>
      <c r="CD255" s="13"/>
      <c r="CG255" s="114"/>
    </row>
    <row r="256" spans="1:85" ht="20.100000000000001" customHeight="1" x14ac:dyDescent="0.4">
      <c r="A256" s="117"/>
      <c r="B256" s="123"/>
      <c r="C256" s="123"/>
      <c r="D256" s="123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27"/>
      <c r="AE256" s="29"/>
      <c r="AS256" s="115"/>
      <c r="AT256" s="29"/>
      <c r="AU256" s="29"/>
      <c r="BE256" s="25"/>
      <c r="BF256" s="13"/>
      <c r="BK256" s="116"/>
      <c r="BL256" s="123"/>
      <c r="BM256" s="123"/>
      <c r="BN256" s="123"/>
      <c r="BS256" s="115"/>
      <c r="BT256" s="115"/>
      <c r="BU256" s="115"/>
      <c r="BV256" s="115"/>
      <c r="BW256" s="115"/>
      <c r="BX256" s="115"/>
      <c r="BY256" s="115"/>
      <c r="BZ256" s="115"/>
      <c r="CA256" s="115"/>
      <c r="CB256" s="115"/>
      <c r="CC256" s="25"/>
      <c r="CD256" s="13"/>
      <c r="CG256" s="114"/>
    </row>
    <row r="257" spans="1:85" ht="20.100000000000001" customHeight="1" x14ac:dyDescent="0.4">
      <c r="A257" s="117"/>
      <c r="B257" s="123"/>
      <c r="C257" s="123"/>
      <c r="D257" s="123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27"/>
      <c r="AE257" s="29"/>
      <c r="AS257" s="115"/>
      <c r="AT257" s="29"/>
      <c r="AU257" s="29"/>
      <c r="BE257" s="25"/>
      <c r="BF257" s="13"/>
      <c r="BK257" s="116"/>
      <c r="BL257" s="123"/>
      <c r="BM257" s="123"/>
      <c r="BN257" s="123"/>
      <c r="BS257" s="115"/>
      <c r="BT257" s="115"/>
      <c r="BU257" s="115"/>
      <c r="BV257" s="115"/>
      <c r="BW257" s="115"/>
      <c r="BX257" s="115"/>
      <c r="BY257" s="115"/>
      <c r="BZ257" s="115"/>
      <c r="CA257" s="115"/>
      <c r="CB257" s="115"/>
      <c r="CC257" s="25"/>
      <c r="CD257" s="13"/>
      <c r="CG257" s="114"/>
    </row>
    <row r="258" spans="1:85" ht="20.100000000000001" customHeight="1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27"/>
      <c r="AE258" s="29"/>
      <c r="AS258" s="115"/>
      <c r="AT258" s="29"/>
      <c r="AU258" s="29"/>
      <c r="BE258" s="25"/>
      <c r="BF258" s="13"/>
      <c r="BK258" s="116"/>
      <c r="BL258" s="123"/>
      <c r="BM258" s="123"/>
      <c r="BN258" s="123"/>
      <c r="BS258" s="115"/>
      <c r="BT258" s="115"/>
      <c r="BU258" s="115"/>
      <c r="BV258" s="115"/>
      <c r="BW258" s="115"/>
      <c r="BX258" s="115"/>
      <c r="BY258" s="115"/>
      <c r="BZ258" s="115"/>
      <c r="CA258" s="115"/>
      <c r="CB258" s="115"/>
      <c r="CC258" s="25"/>
      <c r="CD258" s="13"/>
      <c r="CG258" s="114"/>
    </row>
    <row r="259" spans="1:85" ht="20.100000000000001" customHeight="1" x14ac:dyDescent="0.4">
      <c r="A259" s="117"/>
      <c r="B259" s="123"/>
      <c r="C259" s="123"/>
      <c r="D259" s="123"/>
      <c r="AD259" s="127"/>
      <c r="AE259" s="29"/>
      <c r="AQ259" s="115"/>
      <c r="AR259" s="115"/>
      <c r="AS259" s="115"/>
      <c r="AT259" s="127"/>
      <c r="AU259" s="29"/>
      <c r="BE259" s="25"/>
      <c r="BF259" s="13"/>
      <c r="BK259" s="116"/>
      <c r="BL259" s="123"/>
      <c r="BM259" s="123"/>
      <c r="BN259" s="123"/>
      <c r="BS259" s="115"/>
      <c r="BT259" s="115"/>
      <c r="BU259" s="115"/>
      <c r="BV259" s="115"/>
      <c r="BW259" s="115"/>
      <c r="BX259" s="115"/>
      <c r="BY259" s="115"/>
      <c r="BZ259" s="115"/>
      <c r="CA259" s="115"/>
      <c r="CB259" s="115"/>
      <c r="CC259" s="25"/>
      <c r="CD259" s="13"/>
      <c r="CG259" s="114"/>
    </row>
    <row r="260" spans="1:85" ht="20.100000000000001" customHeight="1" x14ac:dyDescent="0.4">
      <c r="A260" s="117"/>
      <c r="B260" s="123"/>
      <c r="C260" s="123"/>
      <c r="D260" s="123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27"/>
      <c r="AE260" s="29"/>
      <c r="AQ260" s="115"/>
      <c r="AR260" s="115"/>
      <c r="AS260" s="115"/>
      <c r="AT260" s="127"/>
      <c r="AU260" s="29"/>
      <c r="BE260" s="25"/>
      <c r="BF260" s="13"/>
      <c r="BK260" s="116"/>
      <c r="BL260" s="123"/>
      <c r="BM260" s="123"/>
      <c r="BN260" s="123"/>
      <c r="BS260" s="115"/>
      <c r="BT260" s="115"/>
      <c r="BU260" s="115"/>
      <c r="BV260" s="115"/>
      <c r="BW260" s="115"/>
      <c r="BX260" s="115"/>
      <c r="BY260" s="115"/>
      <c r="BZ260" s="115"/>
      <c r="CA260" s="115"/>
      <c r="CB260" s="115"/>
      <c r="CC260" s="25"/>
      <c r="CD260" s="13"/>
      <c r="CG260" s="114"/>
    </row>
    <row r="261" spans="1:85" ht="20.100000000000001" customHeight="1" x14ac:dyDescent="0.4">
      <c r="A261" s="117"/>
      <c r="B261" s="123"/>
      <c r="C261" s="123"/>
      <c r="D261" s="123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27"/>
      <c r="AE261" s="29"/>
      <c r="AQ261" s="115"/>
      <c r="AR261" s="115"/>
      <c r="AS261" s="115"/>
      <c r="AT261" s="127"/>
      <c r="AU261" s="29"/>
      <c r="BE261" s="25"/>
      <c r="BF261" s="13"/>
      <c r="BK261" s="116"/>
      <c r="BL261" s="123"/>
      <c r="BM261" s="123"/>
      <c r="BN261" s="123"/>
      <c r="BS261" s="115"/>
      <c r="BT261" s="115"/>
      <c r="BU261" s="115"/>
      <c r="BV261" s="115"/>
      <c r="BW261" s="115"/>
      <c r="BX261" s="115"/>
      <c r="BY261" s="115"/>
      <c r="BZ261" s="115"/>
      <c r="CA261" s="115"/>
      <c r="CB261" s="115"/>
      <c r="CC261" s="25"/>
      <c r="CD261" s="13"/>
      <c r="CG261" s="114"/>
    </row>
    <row r="262" spans="1:85" ht="20.100000000000001" customHeight="1" x14ac:dyDescent="0.4">
      <c r="A262" s="117"/>
      <c r="B262" s="123"/>
      <c r="C262" s="123"/>
      <c r="D262" s="123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27"/>
      <c r="AE262" s="29"/>
      <c r="AQ262" s="115"/>
      <c r="AR262" s="115"/>
      <c r="AS262" s="115"/>
      <c r="AT262" s="127"/>
      <c r="AU262" s="29"/>
      <c r="BE262" s="25"/>
      <c r="BF262" s="13"/>
      <c r="BK262" s="116"/>
      <c r="BL262" s="123"/>
      <c r="BM262" s="123"/>
      <c r="BN262" s="123"/>
      <c r="BS262" s="115"/>
      <c r="BT262" s="115"/>
      <c r="BU262" s="115"/>
      <c r="BV262" s="115"/>
      <c r="BW262" s="115"/>
      <c r="BX262" s="115"/>
      <c r="BY262" s="115"/>
      <c r="BZ262" s="115"/>
      <c r="CA262" s="115"/>
      <c r="CB262" s="115"/>
      <c r="CC262" s="25"/>
      <c r="CD262" s="13"/>
      <c r="CG262" s="114"/>
    </row>
    <row r="263" spans="1:85" ht="20.100000000000001" customHeight="1" x14ac:dyDescent="0.4">
      <c r="A263" s="117"/>
      <c r="B263" s="123"/>
      <c r="C263" s="123"/>
      <c r="D263" s="123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27"/>
      <c r="AE263" s="29"/>
      <c r="AQ263" s="115"/>
      <c r="AR263" s="115"/>
      <c r="AS263" s="115"/>
      <c r="AT263" s="127"/>
      <c r="AU263" s="29"/>
      <c r="BE263" s="25"/>
      <c r="BF263" s="13"/>
      <c r="BK263" s="116"/>
      <c r="BL263" s="123"/>
      <c r="BM263" s="123"/>
      <c r="BN263" s="123"/>
      <c r="BS263" s="115"/>
      <c r="BT263" s="115"/>
      <c r="BU263" s="115"/>
      <c r="BV263" s="115"/>
      <c r="BW263" s="115"/>
      <c r="BX263" s="115"/>
      <c r="BY263" s="115"/>
      <c r="BZ263" s="115"/>
      <c r="CA263" s="115"/>
      <c r="CB263" s="115"/>
      <c r="CC263" s="25"/>
      <c r="CD263" s="13"/>
      <c r="CG263" s="114"/>
    </row>
    <row r="264" spans="1:85" ht="20.100000000000001" customHeight="1" x14ac:dyDescent="0.4">
      <c r="A264" s="117"/>
      <c r="B264" s="123"/>
      <c r="C264" s="123"/>
      <c r="D264" s="123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27"/>
      <c r="AE264" s="29"/>
      <c r="AQ264" s="115"/>
      <c r="AR264" s="115"/>
      <c r="AS264" s="115"/>
      <c r="AT264" s="127"/>
      <c r="AU264" s="29"/>
      <c r="BE264" s="25"/>
      <c r="BF264" s="13"/>
      <c r="BK264" s="116"/>
      <c r="BL264" s="123"/>
      <c r="BM264" s="123"/>
      <c r="BN264" s="123"/>
      <c r="BS264" s="115"/>
      <c r="BT264" s="115"/>
      <c r="BU264" s="115"/>
      <c r="BV264" s="115"/>
      <c r="BW264" s="115"/>
      <c r="BX264" s="115"/>
      <c r="BY264" s="115"/>
      <c r="BZ264" s="115"/>
      <c r="CA264" s="115"/>
      <c r="CB264" s="115"/>
      <c r="CC264" s="25"/>
      <c r="CD264" s="13"/>
      <c r="CG264" s="114"/>
    </row>
    <row r="265" spans="1:85" ht="20.100000000000001" customHeight="1" x14ac:dyDescent="0.4">
      <c r="A265" s="117"/>
      <c r="B265" s="123"/>
      <c r="C265" s="123"/>
      <c r="D265" s="123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27"/>
      <c r="AE265" s="29"/>
      <c r="AQ265" s="115"/>
      <c r="AR265" s="115"/>
      <c r="AS265" s="115"/>
      <c r="AT265" s="127"/>
      <c r="AU265" s="29"/>
      <c r="BE265" s="25"/>
      <c r="BF265" s="13"/>
      <c r="BK265" s="116"/>
      <c r="BL265" s="123"/>
      <c r="BM265" s="123"/>
      <c r="BN265" s="123"/>
      <c r="BS265" s="115"/>
      <c r="BT265" s="115"/>
      <c r="BU265" s="115"/>
      <c r="BV265" s="115"/>
      <c r="BW265" s="115"/>
      <c r="BX265" s="115"/>
      <c r="BY265" s="115"/>
      <c r="BZ265" s="115"/>
      <c r="CA265" s="115"/>
      <c r="CB265" s="115"/>
      <c r="CC265" s="25"/>
      <c r="CD265" s="13"/>
      <c r="CG265" s="114"/>
    </row>
    <row r="266" spans="1:85" ht="20.100000000000001" customHeight="1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27"/>
      <c r="AE266" s="29"/>
      <c r="AQ266" s="115"/>
      <c r="AR266" s="115"/>
      <c r="AS266" s="115"/>
      <c r="AT266" s="127"/>
      <c r="AU266" s="29"/>
      <c r="BE266" s="25"/>
      <c r="BF266" s="13"/>
      <c r="BK266" s="116"/>
      <c r="BL266" s="123"/>
      <c r="BM266" s="123"/>
      <c r="BN266" s="123"/>
      <c r="BS266" s="115"/>
      <c r="BT266" s="115"/>
      <c r="BU266" s="115"/>
      <c r="BV266" s="115"/>
      <c r="BW266" s="115"/>
      <c r="BX266" s="115"/>
      <c r="BY266" s="115"/>
      <c r="BZ266" s="115"/>
      <c r="CA266" s="115"/>
      <c r="CB266" s="115"/>
      <c r="CC266" s="25"/>
      <c r="CD266" s="13"/>
      <c r="CG266" s="114"/>
    </row>
    <row r="267" spans="1:85" ht="20.100000000000001" customHeight="1" x14ac:dyDescent="0.4">
      <c r="A267" s="117"/>
      <c r="B267" s="123"/>
      <c r="C267" s="123"/>
      <c r="D267" s="123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27"/>
      <c r="AE267" s="29"/>
      <c r="AQ267" s="115"/>
      <c r="AR267" s="115"/>
      <c r="AS267" s="115"/>
      <c r="AT267" s="127"/>
      <c r="AU267" s="29"/>
      <c r="BE267" s="25"/>
      <c r="BF267" s="13"/>
      <c r="BK267" s="116"/>
      <c r="BL267" s="123"/>
      <c r="BM267" s="123"/>
      <c r="BN267" s="123"/>
      <c r="BS267" s="115"/>
      <c r="BT267" s="115"/>
      <c r="BU267" s="115"/>
      <c r="BV267" s="115"/>
      <c r="BW267" s="115"/>
      <c r="BX267" s="115"/>
      <c r="BY267" s="115"/>
      <c r="BZ267" s="115"/>
      <c r="CA267" s="115"/>
      <c r="CB267" s="115"/>
      <c r="CC267" s="25"/>
      <c r="CD267" s="13"/>
      <c r="CG267" s="114"/>
    </row>
    <row r="268" spans="1:85" ht="20.100000000000001" customHeight="1" x14ac:dyDescent="0.4">
      <c r="A268" s="117"/>
      <c r="B268" s="123"/>
      <c r="C268" s="123"/>
      <c r="D268" s="123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27"/>
      <c r="AE268" s="29"/>
      <c r="AQ268" s="115"/>
      <c r="AR268" s="115"/>
      <c r="AS268" s="115"/>
      <c r="AT268" s="127"/>
      <c r="AU268" s="29"/>
      <c r="BE268" s="25"/>
      <c r="BF268" s="13"/>
      <c r="BK268" s="116"/>
      <c r="BL268" s="123"/>
      <c r="BM268" s="123"/>
      <c r="BN268" s="123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115"/>
      <c r="CC268" s="25"/>
      <c r="CD268" s="13"/>
      <c r="CG268" s="114"/>
    </row>
    <row r="269" spans="1:85" ht="20.100000000000001" customHeight="1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9"/>
      <c r="AE269" s="29"/>
      <c r="AQ269" s="115"/>
      <c r="AR269" s="115"/>
      <c r="AS269" s="115"/>
      <c r="AT269" s="127"/>
      <c r="AU269" s="29"/>
      <c r="BE269" s="25"/>
      <c r="BF269" s="13"/>
      <c r="BK269" s="116"/>
      <c r="BL269" s="123"/>
      <c r="BM269" s="123"/>
      <c r="BN269" s="123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25"/>
      <c r="CD269" s="13"/>
      <c r="CG269" s="114"/>
    </row>
    <row r="270" spans="1:85" ht="20.100000000000001" customHeight="1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27"/>
      <c r="AE270" s="29"/>
      <c r="AQ270" s="115"/>
      <c r="AR270" s="115"/>
      <c r="AS270" s="115"/>
      <c r="AT270" s="127"/>
      <c r="AU270" s="29"/>
      <c r="BE270" s="25"/>
      <c r="BF270" s="13"/>
      <c r="BK270" s="116"/>
      <c r="BL270" s="123"/>
      <c r="BM270" s="123"/>
      <c r="BN270" s="123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25"/>
      <c r="CD270" s="13"/>
      <c r="CG270" s="114"/>
    </row>
    <row r="271" spans="1:85" ht="20.100000000000001" customHeight="1" x14ac:dyDescent="0.4">
      <c r="A271" s="117"/>
      <c r="B271" s="123"/>
      <c r="C271" s="123"/>
      <c r="D271" s="123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9"/>
      <c r="AE271" s="29"/>
      <c r="AQ271" s="115"/>
      <c r="AR271" s="115"/>
      <c r="AS271" s="115"/>
      <c r="AT271" s="127"/>
      <c r="AU271" s="29"/>
      <c r="BE271" s="25"/>
      <c r="BF271" s="13"/>
      <c r="BK271" s="116"/>
      <c r="BL271" s="123"/>
      <c r="BM271" s="123"/>
      <c r="BN271" s="123"/>
      <c r="BS271" s="115"/>
      <c r="BT271" s="115"/>
      <c r="BU271" s="115"/>
      <c r="BV271" s="115"/>
      <c r="BW271" s="115"/>
      <c r="BX271" s="115"/>
      <c r="BY271" s="115"/>
      <c r="BZ271" s="115"/>
      <c r="CA271" s="115"/>
      <c r="CB271" s="115"/>
      <c r="CC271" s="25"/>
      <c r="CD271" s="13"/>
      <c r="CG271" s="114"/>
    </row>
    <row r="272" spans="1:85" ht="20.100000000000001" customHeight="1" x14ac:dyDescent="0.4">
      <c r="A272" s="117"/>
      <c r="B272" s="123"/>
      <c r="C272" s="123"/>
      <c r="D272" s="123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27"/>
      <c r="AE272" s="29"/>
      <c r="AQ272" s="115"/>
      <c r="AR272" s="115"/>
      <c r="AS272" s="115"/>
      <c r="AT272" s="127"/>
      <c r="AU272" s="29"/>
      <c r="BE272" s="25"/>
      <c r="BF272" s="13"/>
      <c r="BK272" s="116"/>
      <c r="BL272" s="123"/>
      <c r="BM272" s="123"/>
      <c r="BN272" s="123"/>
      <c r="BS272" s="115"/>
      <c r="BT272" s="115"/>
      <c r="BU272" s="115"/>
      <c r="BV272" s="115"/>
      <c r="BW272" s="115"/>
      <c r="BX272" s="115"/>
      <c r="BY272" s="115"/>
      <c r="BZ272" s="115"/>
      <c r="CA272" s="115"/>
      <c r="CB272" s="115"/>
      <c r="CC272" s="25"/>
      <c r="CD272" s="13"/>
      <c r="CG272" s="114"/>
    </row>
    <row r="273" spans="1:85" ht="20.100000000000001" customHeight="1" x14ac:dyDescent="0.4">
      <c r="A273" s="117"/>
      <c r="B273" s="123"/>
      <c r="C273" s="123"/>
      <c r="D273" s="123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9"/>
      <c r="AE273" s="29"/>
      <c r="AQ273" s="115"/>
      <c r="AR273" s="115"/>
      <c r="AS273" s="115"/>
      <c r="AT273" s="127"/>
      <c r="AU273" s="29"/>
      <c r="BE273" s="25"/>
      <c r="BF273" s="13"/>
      <c r="BK273" s="116"/>
      <c r="BL273" s="123"/>
      <c r="BM273" s="123"/>
      <c r="BN273" s="123"/>
      <c r="BS273" s="115"/>
      <c r="BT273" s="115"/>
      <c r="BU273" s="115"/>
      <c r="BV273" s="115"/>
      <c r="BW273" s="115"/>
      <c r="BX273" s="115"/>
      <c r="BY273" s="115"/>
      <c r="BZ273" s="115"/>
      <c r="CA273" s="115"/>
      <c r="CB273" s="115"/>
      <c r="CC273" s="25"/>
      <c r="CD273" s="13"/>
      <c r="CG273" s="114"/>
    </row>
    <row r="274" spans="1:85" ht="20.100000000000001" customHeight="1" x14ac:dyDescent="0.4">
      <c r="A274" s="117"/>
      <c r="B274" s="123"/>
      <c r="C274" s="123"/>
      <c r="D274" s="123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27"/>
      <c r="AE274" s="29"/>
      <c r="AQ274" s="115"/>
      <c r="AR274" s="115"/>
      <c r="AS274" s="115"/>
      <c r="AT274" s="127"/>
      <c r="AU274" s="29"/>
      <c r="BE274" s="25"/>
      <c r="BF274" s="13"/>
      <c r="BK274" s="116"/>
      <c r="BL274" s="123"/>
      <c r="BM274" s="123"/>
      <c r="BN274" s="123"/>
      <c r="BS274" s="115"/>
      <c r="BT274" s="115"/>
      <c r="BU274" s="115"/>
      <c r="BV274" s="115"/>
      <c r="BW274" s="115"/>
      <c r="BX274" s="115"/>
      <c r="BY274" s="115"/>
      <c r="BZ274" s="115"/>
      <c r="CA274" s="115"/>
      <c r="CB274" s="115"/>
      <c r="CC274" s="25"/>
      <c r="CD274" s="13"/>
      <c r="CG274" s="114"/>
    </row>
    <row r="275" spans="1:85" ht="20.100000000000001" customHeight="1" x14ac:dyDescent="0.4">
      <c r="A275" s="117"/>
      <c r="B275" s="123"/>
      <c r="C275" s="123"/>
      <c r="D275" s="123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27"/>
      <c r="AE275" s="29"/>
      <c r="AQ275" s="115"/>
      <c r="AR275" s="115"/>
      <c r="AS275" s="115"/>
      <c r="AT275" s="127"/>
      <c r="AU275" s="29"/>
      <c r="BE275" s="25"/>
      <c r="BF275" s="13"/>
      <c r="BK275" s="116"/>
      <c r="BL275" s="123"/>
      <c r="BM275" s="123"/>
      <c r="BN275" s="123"/>
      <c r="BS275" s="115"/>
      <c r="BT275" s="115"/>
      <c r="BU275" s="115"/>
      <c r="BV275" s="115"/>
      <c r="BW275" s="115"/>
      <c r="BX275" s="115"/>
      <c r="BY275" s="115"/>
      <c r="BZ275" s="115"/>
      <c r="CA275" s="115"/>
      <c r="CB275" s="115"/>
      <c r="CC275" s="25"/>
      <c r="CD275" s="13"/>
      <c r="CG275" s="114"/>
    </row>
    <row r="276" spans="1:85" ht="20.100000000000001" customHeight="1" x14ac:dyDescent="0.4">
      <c r="A276" s="117"/>
      <c r="B276" s="123"/>
      <c r="C276" s="123"/>
      <c r="D276" s="123"/>
      <c r="AD276" s="127"/>
      <c r="AE276" s="29"/>
      <c r="AQ276" s="115"/>
      <c r="AR276" s="115"/>
      <c r="AS276" s="115"/>
      <c r="AT276" s="29"/>
      <c r="AU276" s="29"/>
      <c r="BE276" s="25"/>
      <c r="BF276" s="13"/>
      <c r="BK276" s="116"/>
      <c r="BL276" s="123"/>
      <c r="BM276" s="123"/>
      <c r="BN276" s="123"/>
      <c r="BS276" s="115"/>
      <c r="BT276" s="115"/>
      <c r="BU276" s="115"/>
      <c r="BV276" s="115"/>
      <c r="BW276" s="115"/>
      <c r="BX276" s="115"/>
      <c r="BY276" s="115"/>
      <c r="BZ276" s="115"/>
      <c r="CA276" s="115"/>
      <c r="CB276" s="115"/>
      <c r="CC276" s="25"/>
      <c r="CD276" s="13"/>
      <c r="CG276" s="114"/>
    </row>
    <row r="277" spans="1:85" ht="20.100000000000001" customHeight="1" x14ac:dyDescent="0.4">
      <c r="A277" s="117"/>
      <c r="B277" s="123"/>
      <c r="C277" s="123"/>
      <c r="D277" s="123"/>
      <c r="AA277" s="115"/>
      <c r="AB277" s="115"/>
      <c r="AC277" s="115"/>
      <c r="AD277" s="127"/>
      <c r="AE277" s="29"/>
      <c r="AQ277" s="115"/>
      <c r="AR277" s="115"/>
      <c r="AS277" s="115"/>
      <c r="AT277" s="29"/>
      <c r="AU277" s="29"/>
      <c r="BE277" s="25"/>
      <c r="BF277" s="13"/>
      <c r="BK277" s="116"/>
      <c r="BL277" s="123"/>
      <c r="BM277" s="123"/>
      <c r="BN277" s="123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25"/>
      <c r="CD277" s="13"/>
      <c r="CG277" s="114"/>
    </row>
    <row r="278" spans="1:85" ht="20.100000000000001" customHeight="1" x14ac:dyDescent="0.4">
      <c r="A278" s="117"/>
      <c r="B278" s="123"/>
      <c r="C278" s="123"/>
      <c r="D278" s="123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27"/>
      <c r="AE278" s="29"/>
      <c r="AQ278" s="115"/>
      <c r="AR278" s="115"/>
      <c r="AS278" s="115"/>
      <c r="AT278" s="29"/>
      <c r="AU278" s="29"/>
      <c r="BE278" s="25"/>
      <c r="BF278" s="13"/>
      <c r="BK278" s="116"/>
      <c r="BL278" s="123"/>
      <c r="BM278" s="123"/>
      <c r="BN278" s="123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115"/>
      <c r="CC278" s="25"/>
      <c r="CD278" s="13"/>
      <c r="CG278" s="114"/>
    </row>
    <row r="279" spans="1:85" ht="20.100000000000001" customHeight="1" x14ac:dyDescent="0.4">
      <c r="A279" s="117"/>
      <c r="B279" s="123"/>
      <c r="C279" s="123"/>
      <c r="D279" s="123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27"/>
      <c r="AE279" s="29"/>
      <c r="AQ279" s="115"/>
      <c r="AR279" s="115"/>
      <c r="AS279" s="115"/>
      <c r="AT279" s="29"/>
      <c r="AU279" s="29"/>
      <c r="BE279" s="25"/>
      <c r="BF279" s="13"/>
      <c r="BK279" s="116"/>
      <c r="BL279" s="123"/>
      <c r="BM279" s="123"/>
      <c r="BN279" s="123"/>
      <c r="BS279" s="115"/>
      <c r="BT279" s="115"/>
      <c r="BU279" s="115"/>
      <c r="BV279" s="115"/>
      <c r="BW279" s="115"/>
      <c r="BX279" s="115"/>
      <c r="BY279" s="115"/>
      <c r="BZ279" s="115"/>
      <c r="CA279" s="115"/>
      <c r="CB279" s="115"/>
      <c r="CC279" s="25"/>
      <c r="CD279" s="13"/>
      <c r="CG279" s="114"/>
    </row>
    <row r="280" spans="1:85" ht="20.100000000000001" customHeight="1" x14ac:dyDescent="0.4">
      <c r="A280" s="117"/>
      <c r="B280" s="123"/>
      <c r="C280" s="123"/>
      <c r="D280" s="123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27"/>
      <c r="AE280" s="29"/>
      <c r="AQ280" s="115"/>
      <c r="AR280" s="115"/>
      <c r="AS280" s="115"/>
      <c r="AT280" s="29"/>
      <c r="AU280" s="29"/>
      <c r="BE280" s="25"/>
      <c r="BF280" s="13"/>
      <c r="BK280" s="116"/>
      <c r="BL280" s="123"/>
      <c r="BM280" s="123"/>
      <c r="BN280" s="123"/>
      <c r="BS280" s="115"/>
      <c r="BT280" s="115"/>
      <c r="BU280" s="115"/>
      <c r="BV280" s="115"/>
      <c r="BW280" s="115"/>
      <c r="BX280" s="115"/>
      <c r="BY280" s="115"/>
      <c r="BZ280" s="115"/>
      <c r="CA280" s="115"/>
      <c r="CB280" s="115"/>
      <c r="CC280" s="25"/>
      <c r="CD280" s="13"/>
      <c r="CG280" s="114"/>
    </row>
    <row r="281" spans="1:85" ht="20.100000000000001" customHeight="1" x14ac:dyDescent="0.4">
      <c r="A281" s="117"/>
      <c r="B281" s="123"/>
      <c r="C281" s="123"/>
      <c r="D281" s="123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27"/>
      <c r="AE281" s="29"/>
      <c r="AQ281" s="115"/>
      <c r="AR281" s="115"/>
      <c r="AS281" s="115"/>
      <c r="AT281" s="29"/>
      <c r="AU281" s="29"/>
      <c r="BE281" s="25"/>
      <c r="BF281" s="13"/>
      <c r="BK281" s="116"/>
      <c r="BL281" s="123"/>
      <c r="BM281" s="123"/>
      <c r="BN281" s="123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115"/>
      <c r="CC281" s="25"/>
      <c r="CD281" s="13"/>
      <c r="CG281" s="114"/>
    </row>
    <row r="282" spans="1:85" ht="20.100000000000001" customHeight="1" x14ac:dyDescent="0.4">
      <c r="A282" s="117"/>
      <c r="B282" s="123"/>
      <c r="C282" s="123"/>
      <c r="D282" s="123"/>
      <c r="AD282" s="127"/>
      <c r="AE282" s="29"/>
      <c r="AP282" s="115"/>
      <c r="AQ282" s="115"/>
      <c r="AR282" s="115"/>
      <c r="AS282" s="115"/>
      <c r="AT282" s="127"/>
      <c r="AU282" s="29"/>
      <c r="BE282" s="25"/>
      <c r="BF282" s="13"/>
      <c r="BK282" s="116"/>
      <c r="BL282" s="123"/>
      <c r="BM282" s="123"/>
      <c r="BN282" s="123"/>
      <c r="BS282" s="115"/>
      <c r="BT282" s="115"/>
      <c r="BU282" s="115"/>
      <c r="BV282" s="115"/>
      <c r="BW282" s="115"/>
      <c r="BX282" s="115"/>
      <c r="BY282" s="115"/>
      <c r="BZ282" s="115"/>
      <c r="CA282" s="115"/>
      <c r="CB282" s="115"/>
      <c r="CC282" s="25"/>
      <c r="CD282" s="13"/>
      <c r="CG282" s="114"/>
    </row>
    <row r="283" spans="1:85" ht="20.100000000000001" customHeight="1" x14ac:dyDescent="0.4">
      <c r="A283" s="117"/>
      <c r="B283" s="123"/>
      <c r="C283" s="123"/>
      <c r="D283" s="12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27"/>
      <c r="AE283" s="29"/>
      <c r="AP283" s="115"/>
      <c r="AQ283" s="115"/>
      <c r="AR283" s="115"/>
      <c r="AS283" s="115"/>
      <c r="AT283" s="127"/>
      <c r="AU283" s="29"/>
      <c r="BE283" s="25"/>
      <c r="BF283" s="13"/>
      <c r="BK283" s="116"/>
      <c r="BL283" s="123"/>
      <c r="BM283" s="123"/>
      <c r="BN283" s="123"/>
      <c r="BS283" s="115"/>
      <c r="BT283" s="115"/>
      <c r="BU283" s="115"/>
      <c r="BV283" s="115"/>
      <c r="BW283" s="115"/>
      <c r="BX283" s="115"/>
      <c r="BY283" s="115"/>
      <c r="BZ283" s="115"/>
      <c r="CA283" s="115"/>
      <c r="CB283" s="115"/>
      <c r="CC283" s="25"/>
      <c r="CD283" s="13"/>
      <c r="CG283" s="114"/>
    </row>
    <row r="284" spans="1:85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27"/>
      <c r="AE284" s="29"/>
      <c r="AP284" s="115"/>
      <c r="AQ284" s="115"/>
      <c r="AR284" s="115"/>
      <c r="AS284" s="115"/>
      <c r="AT284" s="127"/>
      <c r="AU284" s="29"/>
      <c r="BE284" s="25"/>
      <c r="BF284" s="13"/>
      <c r="BK284" s="116"/>
      <c r="BL284" s="123"/>
      <c r="BM284" s="123"/>
      <c r="BN284" s="123"/>
      <c r="BS284" s="115"/>
      <c r="BT284" s="115"/>
      <c r="BU284" s="115"/>
      <c r="BV284" s="115"/>
      <c r="BW284" s="115"/>
      <c r="BX284" s="115"/>
      <c r="BY284" s="115"/>
      <c r="BZ284" s="115"/>
      <c r="CA284" s="115"/>
      <c r="CB284" s="115"/>
      <c r="CC284" s="25"/>
      <c r="CD284" s="13"/>
      <c r="CG284" s="114"/>
    </row>
    <row r="285" spans="1:85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27"/>
      <c r="AE285" s="29"/>
      <c r="AP285" s="115"/>
      <c r="AQ285" s="115"/>
      <c r="AR285" s="115"/>
      <c r="AS285" s="115"/>
      <c r="AT285" s="127"/>
      <c r="AU285" s="29"/>
      <c r="BE285" s="25"/>
      <c r="BF285" s="13"/>
      <c r="BK285" s="116"/>
      <c r="BL285" s="123"/>
      <c r="BM285" s="123"/>
      <c r="BN285" s="123"/>
      <c r="BS285" s="115"/>
      <c r="BT285" s="115"/>
      <c r="BU285" s="115"/>
      <c r="BV285" s="115"/>
      <c r="BW285" s="115"/>
      <c r="BX285" s="115"/>
      <c r="BY285" s="115"/>
      <c r="BZ285" s="115"/>
      <c r="CA285" s="115"/>
      <c r="CB285" s="115"/>
      <c r="CC285" s="25"/>
      <c r="CD285" s="13"/>
      <c r="CG285" s="114"/>
    </row>
    <row r="286" spans="1:85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27"/>
      <c r="AE286" s="29"/>
      <c r="AP286" s="115"/>
      <c r="AQ286" s="115"/>
      <c r="AR286" s="115"/>
      <c r="AS286" s="115"/>
      <c r="AT286" s="127"/>
      <c r="AU286" s="29"/>
      <c r="BE286" s="25"/>
      <c r="BF286" s="13"/>
      <c r="BK286" s="116"/>
      <c r="BL286" s="123"/>
      <c r="BM286" s="123"/>
      <c r="BN286" s="123"/>
      <c r="BS286" s="115"/>
      <c r="BT286" s="115"/>
      <c r="BU286" s="115"/>
      <c r="BV286" s="115"/>
      <c r="BW286" s="115"/>
      <c r="BX286" s="115"/>
      <c r="BY286" s="115"/>
      <c r="BZ286" s="115"/>
      <c r="CA286" s="115"/>
      <c r="CB286" s="115"/>
      <c r="CC286" s="25"/>
      <c r="CD286" s="13"/>
      <c r="CG286" s="114"/>
    </row>
    <row r="287" spans="1:85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9"/>
      <c r="AE287" s="29"/>
      <c r="AP287" s="115"/>
      <c r="AQ287" s="115"/>
      <c r="AR287" s="115"/>
      <c r="AS287" s="115"/>
      <c r="AT287" s="127"/>
      <c r="AU287" s="29"/>
      <c r="BE287" s="25"/>
      <c r="BF287" s="13"/>
      <c r="BK287" s="116"/>
      <c r="BL287" s="123"/>
      <c r="BM287" s="123"/>
      <c r="BN287" s="123"/>
      <c r="BS287" s="115"/>
      <c r="BT287" s="115"/>
      <c r="BU287" s="115"/>
      <c r="BV287" s="115"/>
      <c r="BW287" s="115"/>
      <c r="BX287" s="115"/>
      <c r="BY287" s="115"/>
      <c r="BZ287" s="115"/>
      <c r="CA287" s="115"/>
      <c r="CB287" s="115"/>
      <c r="CC287" s="25"/>
      <c r="CD287" s="13"/>
      <c r="CG287" s="114"/>
    </row>
    <row r="288" spans="1:85" ht="20.100000000000001" customHeight="1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27"/>
      <c r="AE288" s="29"/>
      <c r="AP288" s="115"/>
      <c r="AQ288" s="115"/>
      <c r="AR288" s="115"/>
      <c r="AS288" s="115"/>
      <c r="AT288" s="127"/>
      <c r="AU288" s="29"/>
      <c r="BE288" s="25"/>
      <c r="BF288" s="13"/>
      <c r="BK288" s="116"/>
      <c r="BL288" s="123"/>
      <c r="BM288" s="123"/>
      <c r="BN288" s="123"/>
      <c r="BS288" s="115"/>
      <c r="BT288" s="115"/>
      <c r="BU288" s="115"/>
      <c r="BV288" s="115"/>
      <c r="BW288" s="115"/>
      <c r="BX288" s="115"/>
      <c r="BY288" s="115"/>
      <c r="BZ288" s="115"/>
      <c r="CA288" s="115"/>
      <c r="CB288" s="115"/>
      <c r="CC288" s="25"/>
      <c r="CD288" s="13"/>
      <c r="CG288" s="114"/>
    </row>
    <row r="289" spans="1:85" ht="20.100000000000001" customHeight="1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27"/>
      <c r="AE289" s="29"/>
      <c r="AP289" s="115"/>
      <c r="AQ289" s="115"/>
      <c r="AR289" s="115"/>
      <c r="AS289" s="115"/>
      <c r="AT289" s="127"/>
      <c r="AU289" s="29"/>
      <c r="BE289" s="25"/>
      <c r="BF289" s="13"/>
      <c r="BK289" s="116"/>
      <c r="BL289" s="123"/>
      <c r="BM289" s="123"/>
      <c r="BN289" s="123"/>
      <c r="BS289" s="115"/>
      <c r="BT289" s="115"/>
      <c r="BU289" s="115"/>
      <c r="BV289" s="115"/>
      <c r="BW289" s="115"/>
      <c r="BX289" s="115"/>
      <c r="BY289" s="115"/>
      <c r="BZ289" s="115"/>
      <c r="CA289" s="115"/>
      <c r="CB289" s="115"/>
      <c r="CC289" s="25"/>
      <c r="CD289" s="13"/>
      <c r="CG289" s="114"/>
    </row>
    <row r="290" spans="1:85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27"/>
      <c r="AE290" s="29"/>
      <c r="AP290" s="115"/>
      <c r="AQ290" s="115"/>
      <c r="AR290" s="115"/>
      <c r="AS290" s="115"/>
      <c r="AT290" s="127"/>
      <c r="AU290" s="29"/>
      <c r="BE290" s="25"/>
      <c r="BF290" s="13"/>
      <c r="BK290" s="116"/>
      <c r="BL290" s="123"/>
      <c r="BM290" s="123"/>
      <c r="BN290" s="123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5"/>
      <c r="CC290" s="25"/>
      <c r="CD290" s="13"/>
      <c r="CG290" s="114"/>
    </row>
    <row r="291" spans="1:85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27"/>
      <c r="AE291" s="29"/>
      <c r="AP291" s="115"/>
      <c r="AQ291" s="115"/>
      <c r="AR291" s="115"/>
      <c r="AS291" s="115"/>
      <c r="AT291" s="127"/>
      <c r="AU291" s="29"/>
      <c r="BE291" s="25"/>
      <c r="BF291" s="13"/>
      <c r="BK291" s="116"/>
      <c r="BL291" s="123"/>
      <c r="BM291" s="123"/>
      <c r="BN291" s="123"/>
      <c r="BS291" s="115"/>
      <c r="BT291" s="115"/>
      <c r="BU291" s="115"/>
      <c r="BV291" s="115"/>
      <c r="BW291" s="115"/>
      <c r="BX291" s="115"/>
      <c r="BY291" s="115"/>
      <c r="BZ291" s="115"/>
      <c r="CA291" s="115"/>
      <c r="CB291" s="115"/>
      <c r="CC291" s="25"/>
      <c r="CD291" s="13"/>
      <c r="CG291" s="114"/>
    </row>
    <row r="292" spans="1:85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9"/>
      <c r="AE292" s="29"/>
      <c r="AP292" s="115"/>
      <c r="AQ292" s="115"/>
      <c r="AR292" s="115"/>
      <c r="AS292" s="115"/>
      <c r="AT292" s="127"/>
      <c r="AU292" s="29"/>
      <c r="BE292" s="25"/>
      <c r="BF292" s="13"/>
      <c r="BK292" s="116"/>
      <c r="BL292" s="123"/>
      <c r="BM292" s="123"/>
      <c r="BN292" s="123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115"/>
      <c r="CC292" s="25"/>
      <c r="CD292" s="13"/>
      <c r="CG292" s="114"/>
    </row>
    <row r="293" spans="1:85" ht="20.100000000000001" customHeight="1" x14ac:dyDescent="0.4">
      <c r="A293" s="117"/>
      <c r="B293" s="123"/>
      <c r="C293" s="123"/>
      <c r="D293" s="123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27"/>
      <c r="AE293" s="29"/>
      <c r="AP293" s="115"/>
      <c r="AQ293" s="115"/>
      <c r="AR293" s="115"/>
      <c r="AS293" s="115"/>
      <c r="AT293" s="127"/>
      <c r="AU293" s="29"/>
      <c r="BE293" s="25"/>
      <c r="BF293" s="13"/>
      <c r="BK293" s="116"/>
      <c r="BL293" s="123"/>
      <c r="BM293" s="123"/>
      <c r="BN293" s="123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115"/>
      <c r="CC293" s="25"/>
      <c r="CD293" s="13"/>
      <c r="CG293" s="114"/>
    </row>
    <row r="294" spans="1:85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27"/>
      <c r="AE294" s="29"/>
      <c r="AP294" s="115"/>
      <c r="AQ294" s="115"/>
      <c r="AR294" s="115"/>
      <c r="AS294" s="115"/>
      <c r="AT294" s="127"/>
      <c r="AU294" s="29"/>
      <c r="BE294" s="25"/>
      <c r="BF294" s="13"/>
      <c r="BK294" s="116"/>
      <c r="BL294" s="123"/>
      <c r="BM294" s="123"/>
      <c r="BN294" s="123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115"/>
      <c r="CC294" s="25"/>
      <c r="CD294" s="13"/>
      <c r="CG294" s="114"/>
    </row>
    <row r="295" spans="1:85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27"/>
      <c r="AE295" s="29"/>
      <c r="AP295" s="115"/>
      <c r="AQ295" s="115"/>
      <c r="AR295" s="115"/>
      <c r="AS295" s="115"/>
      <c r="AT295" s="127"/>
      <c r="AU295" s="29"/>
      <c r="BE295" s="25"/>
      <c r="BF295" s="13"/>
      <c r="BK295" s="116"/>
      <c r="BL295" s="123"/>
      <c r="BM295" s="123"/>
      <c r="BN295" s="123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115"/>
      <c r="CC295" s="25"/>
      <c r="CD295" s="13"/>
      <c r="CG295" s="114"/>
    </row>
    <row r="296" spans="1:85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27"/>
      <c r="AE296" s="29"/>
      <c r="AP296" s="115"/>
      <c r="AQ296" s="115"/>
      <c r="AR296" s="115"/>
      <c r="AS296" s="115"/>
      <c r="AT296" s="127"/>
      <c r="AU296" s="29"/>
      <c r="BE296" s="25"/>
      <c r="BF296" s="13"/>
      <c r="BK296" s="116"/>
      <c r="BL296" s="123"/>
      <c r="BM296" s="123"/>
      <c r="BN296" s="123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115"/>
      <c r="CC296" s="25"/>
      <c r="CD296" s="13"/>
      <c r="CG296" s="114"/>
    </row>
    <row r="297" spans="1:85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27"/>
      <c r="AE297" s="29"/>
      <c r="AP297" s="115"/>
      <c r="AQ297" s="115"/>
      <c r="AR297" s="115"/>
      <c r="AS297" s="115"/>
      <c r="AT297" s="127"/>
      <c r="AU297" s="29"/>
      <c r="BE297" s="25"/>
      <c r="BF297" s="13"/>
      <c r="BK297" s="116"/>
      <c r="BL297" s="123"/>
      <c r="BM297" s="123"/>
      <c r="BN297" s="123"/>
      <c r="BS297" s="115"/>
      <c r="BT297" s="115"/>
      <c r="BU297" s="115"/>
      <c r="BV297" s="115"/>
      <c r="BW297" s="115"/>
      <c r="BX297" s="115"/>
      <c r="BY297" s="115"/>
      <c r="BZ297" s="115"/>
      <c r="CA297" s="115"/>
      <c r="CB297" s="115"/>
      <c r="CC297" s="25"/>
      <c r="CD297" s="13"/>
      <c r="CG297" s="114"/>
    </row>
    <row r="298" spans="1:85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27"/>
      <c r="AE298" s="29"/>
      <c r="AP298" s="115"/>
      <c r="AQ298" s="115"/>
      <c r="AR298" s="115"/>
      <c r="AS298" s="115"/>
      <c r="AT298" s="127"/>
      <c r="AU298" s="29"/>
      <c r="BE298" s="25"/>
      <c r="BF298" s="13"/>
      <c r="BK298" s="116"/>
      <c r="BL298" s="123"/>
      <c r="BM298" s="123"/>
      <c r="BN298" s="123"/>
      <c r="BS298" s="115"/>
      <c r="BT298" s="115"/>
      <c r="BU298" s="115"/>
      <c r="BV298" s="115"/>
      <c r="BW298" s="115"/>
      <c r="BX298" s="115"/>
      <c r="BY298" s="115"/>
      <c r="BZ298" s="115"/>
      <c r="CA298" s="115"/>
      <c r="CB298" s="115"/>
      <c r="CC298" s="25"/>
      <c r="CD298" s="13"/>
      <c r="CG298" s="114"/>
    </row>
    <row r="299" spans="1:85" ht="20.100000000000001" customHeight="1" x14ac:dyDescent="0.4">
      <c r="A299" s="117"/>
      <c r="B299" s="123"/>
      <c r="C299" s="123"/>
      <c r="D299" s="123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9"/>
      <c r="AE299" s="29"/>
      <c r="AP299" s="115"/>
      <c r="AQ299" s="115"/>
      <c r="AR299" s="115"/>
      <c r="AS299" s="115"/>
      <c r="AT299" s="127"/>
      <c r="AU299" s="29"/>
      <c r="BE299" s="25"/>
      <c r="BF299" s="13"/>
      <c r="BK299" s="116"/>
      <c r="BL299" s="123"/>
      <c r="BM299" s="123"/>
      <c r="BN299" s="123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115"/>
      <c r="CC299" s="25"/>
      <c r="CD299" s="13"/>
      <c r="CG299" s="114"/>
    </row>
    <row r="300" spans="1:85" ht="20.100000000000001" customHeight="1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9"/>
      <c r="AE300" s="29"/>
      <c r="AP300" s="115"/>
      <c r="AQ300" s="115"/>
      <c r="AR300" s="115"/>
      <c r="AS300" s="115"/>
      <c r="AT300" s="127"/>
      <c r="AU300" s="29"/>
      <c r="BE300" s="25"/>
      <c r="BF300" s="13"/>
      <c r="BK300" s="116"/>
      <c r="BL300" s="123"/>
      <c r="BM300" s="123"/>
      <c r="BN300" s="123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115"/>
      <c r="CC300" s="25"/>
      <c r="CD300" s="13"/>
      <c r="CG300" s="114"/>
    </row>
    <row r="301" spans="1:85" ht="20.100000000000001" customHeight="1" x14ac:dyDescent="0.4">
      <c r="A301" s="117"/>
      <c r="B301" s="123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27"/>
      <c r="AE301" s="29"/>
      <c r="AP301" s="115"/>
      <c r="AQ301" s="115"/>
      <c r="AR301" s="115"/>
      <c r="AS301" s="115"/>
      <c r="AT301" s="127"/>
      <c r="AU301" s="29"/>
      <c r="BE301" s="25"/>
      <c r="BF301" s="13"/>
      <c r="BK301" s="116"/>
      <c r="BL301" s="123"/>
      <c r="BM301" s="123"/>
      <c r="BN301" s="123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115"/>
      <c r="CC301" s="25"/>
      <c r="CD301" s="13"/>
      <c r="CG301" s="114"/>
    </row>
    <row r="302" spans="1:85" ht="20.100000000000001" customHeight="1" x14ac:dyDescent="0.4">
      <c r="A302" s="117"/>
      <c r="B302" s="123"/>
      <c r="C302" s="123"/>
      <c r="D302" s="123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9"/>
      <c r="AE302" s="29"/>
      <c r="AP302" s="115"/>
      <c r="AQ302" s="115"/>
      <c r="AR302" s="115"/>
      <c r="AS302" s="115"/>
      <c r="AT302" s="127"/>
      <c r="AU302" s="29"/>
      <c r="BE302" s="25"/>
      <c r="BF302" s="13"/>
      <c r="BK302" s="116"/>
      <c r="BL302" s="123"/>
      <c r="BM302" s="123"/>
      <c r="BN302" s="123"/>
      <c r="BS302" s="115"/>
      <c r="BT302" s="115"/>
      <c r="BU302" s="115"/>
      <c r="BV302" s="115"/>
      <c r="BW302" s="115"/>
      <c r="BX302" s="115"/>
      <c r="BY302" s="115"/>
      <c r="BZ302" s="115"/>
      <c r="CA302" s="115"/>
      <c r="CB302" s="115"/>
      <c r="CC302" s="25"/>
      <c r="CD302" s="13"/>
      <c r="CG302" s="114"/>
    </row>
    <row r="303" spans="1:85" ht="20.100000000000001" customHeight="1" x14ac:dyDescent="0.4">
      <c r="A303" s="117"/>
      <c r="B303" s="123"/>
      <c r="C303" s="123"/>
      <c r="D303" s="123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27"/>
      <c r="AE303" s="29"/>
      <c r="AP303" s="115"/>
      <c r="AQ303" s="115"/>
      <c r="AR303" s="115"/>
      <c r="AS303" s="115"/>
      <c r="AT303" s="127"/>
      <c r="AU303" s="29"/>
      <c r="BE303" s="25"/>
      <c r="BF303" s="13"/>
      <c r="BK303" s="116"/>
      <c r="BL303" s="123"/>
      <c r="BM303" s="123"/>
      <c r="BN303" s="123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115"/>
      <c r="CC303" s="25"/>
      <c r="CD303" s="13"/>
      <c r="CG303" s="114"/>
    </row>
    <row r="304" spans="1:85" ht="20.100000000000001" customHeight="1" x14ac:dyDescent="0.4">
      <c r="A304" s="117"/>
      <c r="B304" s="123"/>
      <c r="C304" s="123"/>
      <c r="D304" s="123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27"/>
      <c r="AE304" s="29"/>
      <c r="AP304" s="115"/>
      <c r="AQ304" s="115"/>
      <c r="AR304" s="115"/>
      <c r="AS304" s="115"/>
      <c r="AT304" s="127"/>
      <c r="AU304" s="29"/>
      <c r="BE304" s="25"/>
      <c r="BF304" s="13"/>
      <c r="BK304" s="116"/>
      <c r="BL304" s="123"/>
      <c r="BM304" s="123"/>
      <c r="BN304" s="123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115"/>
      <c r="CC304" s="25"/>
      <c r="CD304" s="13"/>
      <c r="CG304" s="114"/>
    </row>
    <row r="305" spans="1:85" ht="20.100000000000001" customHeight="1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27"/>
      <c r="AE305" s="29"/>
      <c r="AP305" s="115"/>
      <c r="AQ305" s="115"/>
      <c r="AR305" s="115"/>
      <c r="AS305" s="115"/>
      <c r="AT305" s="127"/>
      <c r="AU305" s="29"/>
      <c r="BE305" s="25"/>
      <c r="BF305" s="13"/>
      <c r="BK305" s="116"/>
      <c r="BL305" s="123"/>
      <c r="BM305" s="123"/>
      <c r="BN305" s="123"/>
      <c r="BS305" s="115"/>
      <c r="BT305" s="115"/>
      <c r="BU305" s="115"/>
      <c r="BV305" s="115"/>
      <c r="BW305" s="115"/>
      <c r="BX305" s="115"/>
      <c r="BY305" s="115"/>
      <c r="BZ305" s="115"/>
      <c r="CA305" s="115"/>
      <c r="CB305" s="115"/>
      <c r="CC305" s="25"/>
      <c r="CD305" s="13"/>
      <c r="CG305" s="114"/>
    </row>
    <row r="306" spans="1:85" ht="20.100000000000001" customHeight="1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9"/>
      <c r="AE306" s="29"/>
      <c r="AP306" s="115"/>
      <c r="AQ306" s="115"/>
      <c r="AR306" s="115"/>
      <c r="AS306" s="115"/>
      <c r="AT306" s="127"/>
      <c r="AU306" s="29"/>
      <c r="BE306" s="25"/>
      <c r="BF306" s="13"/>
      <c r="BK306" s="116"/>
      <c r="BL306" s="123"/>
      <c r="BM306" s="123"/>
      <c r="BN306" s="123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115"/>
      <c r="CC306" s="25"/>
      <c r="CD306" s="13"/>
      <c r="CG306" s="114"/>
    </row>
    <row r="307" spans="1:85" ht="20.100000000000001" customHeight="1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27"/>
      <c r="AE307" s="29"/>
      <c r="AP307" s="115"/>
      <c r="AQ307" s="115"/>
      <c r="AR307" s="115"/>
      <c r="AS307" s="115"/>
      <c r="AT307" s="127"/>
      <c r="AU307" s="29"/>
      <c r="BE307" s="25"/>
      <c r="BF307" s="13"/>
      <c r="BK307" s="116"/>
      <c r="BL307" s="123"/>
      <c r="BM307" s="123"/>
      <c r="BN307" s="123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115"/>
      <c r="CC307" s="25"/>
      <c r="CD307" s="13"/>
      <c r="CG307" s="114"/>
    </row>
    <row r="308" spans="1:85" ht="20.100000000000001" customHeight="1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9"/>
      <c r="AE308" s="29"/>
      <c r="AP308" s="115"/>
      <c r="AQ308" s="115"/>
      <c r="AR308" s="115"/>
      <c r="AS308" s="115"/>
      <c r="AT308" s="127"/>
      <c r="AU308" s="29"/>
      <c r="BE308" s="25"/>
      <c r="BF308" s="13"/>
      <c r="BK308" s="116"/>
      <c r="BL308" s="123"/>
      <c r="BM308" s="123"/>
      <c r="BN308" s="123"/>
      <c r="BS308" s="115"/>
      <c r="BT308" s="115"/>
      <c r="BU308" s="115"/>
      <c r="BV308" s="115"/>
      <c r="BW308" s="115"/>
      <c r="BX308" s="115"/>
      <c r="BY308" s="115"/>
      <c r="BZ308" s="115"/>
      <c r="CA308" s="115"/>
      <c r="CB308" s="115"/>
      <c r="CC308" s="25"/>
      <c r="CD308" s="13"/>
      <c r="CG308" s="114"/>
    </row>
    <row r="309" spans="1:85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9"/>
      <c r="AE309" s="29"/>
      <c r="AP309" s="115"/>
      <c r="AQ309" s="115"/>
      <c r="AR309" s="115"/>
      <c r="AS309" s="115"/>
      <c r="AT309" s="127"/>
      <c r="AU309" s="29"/>
      <c r="BE309" s="25"/>
      <c r="BF309" s="13"/>
      <c r="BK309" s="116"/>
      <c r="BL309" s="123"/>
      <c r="BM309" s="123"/>
      <c r="BN309" s="123"/>
      <c r="BS309" s="115"/>
      <c r="BT309" s="115"/>
      <c r="BU309" s="115"/>
      <c r="BV309" s="115"/>
      <c r="BW309" s="115"/>
      <c r="BX309" s="115"/>
      <c r="BY309" s="115"/>
      <c r="BZ309" s="115"/>
      <c r="CA309" s="115"/>
      <c r="CB309" s="115"/>
      <c r="CC309" s="25"/>
      <c r="CD309" s="13"/>
      <c r="CG309" s="114"/>
    </row>
    <row r="310" spans="1:85" ht="20.100000000000001" customHeight="1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27"/>
      <c r="AE310" s="29"/>
      <c r="AP310" s="115"/>
      <c r="AQ310" s="115"/>
      <c r="AR310" s="115"/>
      <c r="AS310" s="115"/>
      <c r="AT310" s="127"/>
      <c r="AU310" s="29"/>
      <c r="BE310" s="25"/>
      <c r="BF310" s="13"/>
      <c r="BK310" s="116"/>
      <c r="BL310" s="123"/>
      <c r="BM310" s="123"/>
      <c r="BN310" s="123"/>
      <c r="BS310" s="115"/>
      <c r="BT310" s="115"/>
      <c r="BU310" s="115"/>
      <c r="BV310" s="115"/>
      <c r="BW310" s="115"/>
      <c r="BX310" s="115"/>
      <c r="BY310" s="115"/>
      <c r="BZ310" s="115"/>
      <c r="CA310" s="115"/>
      <c r="CB310" s="115"/>
      <c r="CC310" s="25"/>
      <c r="CD310" s="13"/>
      <c r="CG310" s="114"/>
    </row>
    <row r="311" spans="1:85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27"/>
      <c r="AE311" s="29"/>
      <c r="AP311" s="115"/>
      <c r="AQ311" s="115"/>
      <c r="AR311" s="115"/>
      <c r="AS311" s="115"/>
      <c r="AT311" s="127"/>
      <c r="AU311" s="29"/>
      <c r="BE311" s="25"/>
      <c r="BF311" s="13"/>
      <c r="BK311" s="116"/>
      <c r="BL311" s="123"/>
      <c r="BM311" s="123"/>
      <c r="BN311" s="123"/>
      <c r="BS311" s="115"/>
      <c r="BT311" s="115"/>
      <c r="BU311" s="115"/>
      <c r="BV311" s="115"/>
      <c r="BW311" s="115"/>
      <c r="BX311" s="115"/>
      <c r="BY311" s="115"/>
      <c r="BZ311" s="115"/>
      <c r="CA311" s="115"/>
      <c r="CB311" s="115"/>
      <c r="CC311" s="25"/>
      <c r="CD311" s="13"/>
      <c r="CG311" s="114"/>
    </row>
    <row r="312" spans="1:85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27"/>
      <c r="AE312" s="29"/>
      <c r="AP312" s="115"/>
      <c r="AQ312" s="115"/>
      <c r="AR312" s="115"/>
      <c r="AS312" s="115"/>
      <c r="AT312" s="127"/>
      <c r="AU312" s="29"/>
      <c r="BE312" s="25"/>
      <c r="BF312" s="13"/>
      <c r="BK312" s="116"/>
      <c r="BL312" s="123"/>
      <c r="BM312" s="123"/>
      <c r="BN312" s="123"/>
      <c r="BS312" s="115"/>
      <c r="BT312" s="115"/>
      <c r="BU312" s="115"/>
      <c r="BV312" s="115"/>
      <c r="BW312" s="115"/>
      <c r="BX312" s="115"/>
      <c r="BY312" s="115"/>
      <c r="BZ312" s="115"/>
      <c r="CA312" s="115"/>
      <c r="CB312" s="115"/>
      <c r="CC312" s="25"/>
      <c r="CD312" s="13"/>
      <c r="CG312" s="114"/>
    </row>
    <row r="313" spans="1:85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27"/>
      <c r="AE313" s="29"/>
      <c r="AP313" s="115"/>
      <c r="AQ313" s="115"/>
      <c r="AR313" s="115"/>
      <c r="AS313" s="115"/>
      <c r="AT313" s="127"/>
      <c r="AU313" s="29"/>
      <c r="BE313" s="25"/>
      <c r="BF313" s="13"/>
      <c r="BK313" s="116"/>
      <c r="BL313" s="123"/>
      <c r="BM313" s="123"/>
      <c r="BN313" s="123"/>
      <c r="BS313" s="115"/>
      <c r="BT313" s="115"/>
      <c r="BU313" s="115"/>
      <c r="BV313" s="115"/>
      <c r="BW313" s="115"/>
      <c r="BX313" s="115"/>
      <c r="BY313" s="115"/>
      <c r="BZ313" s="115"/>
      <c r="CA313" s="115"/>
      <c r="CB313" s="115"/>
      <c r="CC313" s="25"/>
      <c r="CD313" s="13"/>
      <c r="CG313" s="114"/>
    </row>
    <row r="314" spans="1:85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27"/>
      <c r="AE314" s="29"/>
      <c r="AP314" s="115"/>
      <c r="AQ314" s="115"/>
      <c r="AR314" s="115"/>
      <c r="AS314" s="115"/>
      <c r="AT314" s="127"/>
      <c r="AU314" s="29"/>
      <c r="BE314" s="25"/>
      <c r="BF314" s="13"/>
      <c r="BK314" s="116"/>
      <c r="BL314" s="123"/>
      <c r="BM314" s="123"/>
      <c r="BN314" s="123"/>
      <c r="BS314" s="115"/>
      <c r="BT314" s="115"/>
      <c r="BU314" s="115"/>
      <c r="BV314" s="115"/>
      <c r="BW314" s="115"/>
      <c r="BX314" s="115"/>
      <c r="BY314" s="115"/>
      <c r="BZ314" s="115"/>
      <c r="CA314" s="115"/>
      <c r="CB314" s="115"/>
      <c r="CC314" s="25"/>
      <c r="CD314" s="13"/>
      <c r="CG314" s="114"/>
    </row>
    <row r="315" spans="1:85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27"/>
      <c r="AE315" s="29"/>
      <c r="AP315" s="115"/>
      <c r="AQ315" s="115"/>
      <c r="AR315" s="115"/>
      <c r="AS315" s="115"/>
      <c r="AT315" s="127"/>
      <c r="AU315" s="29"/>
      <c r="BE315" s="25"/>
      <c r="BF315" s="13"/>
      <c r="BK315" s="116"/>
      <c r="BL315" s="123"/>
      <c r="BM315" s="123"/>
      <c r="BN315" s="123"/>
      <c r="BS315" s="115"/>
      <c r="BT315" s="115"/>
      <c r="BU315" s="115"/>
      <c r="BV315" s="115"/>
      <c r="BW315" s="115"/>
      <c r="BX315" s="115"/>
      <c r="BY315" s="115"/>
      <c r="BZ315" s="115"/>
      <c r="CA315" s="115"/>
      <c r="CB315" s="115"/>
      <c r="CC315" s="25"/>
      <c r="CD315" s="13"/>
      <c r="CG315" s="114"/>
    </row>
    <row r="316" spans="1:85" ht="20.100000000000001" customHeight="1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29"/>
      <c r="AE316" s="29"/>
      <c r="AP316" s="115"/>
      <c r="AQ316" s="115"/>
      <c r="AR316" s="115"/>
      <c r="AS316" s="115"/>
      <c r="AT316" s="127"/>
      <c r="AU316" s="29"/>
      <c r="BE316" s="25"/>
      <c r="BF316" s="13"/>
      <c r="BK316" s="116"/>
      <c r="BL316" s="123"/>
      <c r="BM316" s="123"/>
      <c r="BN316" s="123"/>
      <c r="BS316" s="115"/>
      <c r="BT316" s="115"/>
      <c r="BU316" s="115"/>
      <c r="BV316" s="115"/>
      <c r="BW316" s="115"/>
      <c r="BX316" s="115"/>
      <c r="BY316" s="115"/>
      <c r="BZ316" s="115"/>
      <c r="CA316" s="115"/>
      <c r="CB316" s="115"/>
      <c r="CC316" s="25"/>
      <c r="CD316" s="13"/>
      <c r="CG316" s="114"/>
    </row>
    <row r="317" spans="1:85" ht="20.100000000000001" customHeight="1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27"/>
      <c r="AE317" s="29"/>
      <c r="AP317" s="115"/>
      <c r="AQ317" s="115"/>
      <c r="AR317" s="115"/>
      <c r="AS317" s="115"/>
      <c r="AT317" s="127"/>
      <c r="AU317" s="29"/>
      <c r="BE317" s="25"/>
      <c r="BF317" s="13"/>
      <c r="BK317" s="116"/>
      <c r="BL317" s="123"/>
      <c r="BM317" s="123"/>
      <c r="BN317" s="123"/>
      <c r="BS317" s="115"/>
      <c r="BT317" s="115"/>
      <c r="BU317" s="115"/>
      <c r="BV317" s="115"/>
      <c r="BW317" s="115"/>
      <c r="BX317" s="115"/>
      <c r="BY317" s="115"/>
      <c r="BZ317" s="115"/>
      <c r="CA317" s="115"/>
      <c r="CB317" s="115"/>
      <c r="CC317" s="25"/>
      <c r="CD317" s="13"/>
      <c r="CG317" s="114"/>
    </row>
    <row r="318" spans="1:85" ht="20.100000000000001" customHeight="1" x14ac:dyDescent="0.4">
      <c r="A318" s="117"/>
      <c r="B318" s="123"/>
      <c r="C318" s="123"/>
      <c r="D318" s="123"/>
      <c r="AD318" s="127"/>
      <c r="AE318" s="29"/>
      <c r="AP318" s="115"/>
      <c r="AQ318" s="115"/>
      <c r="AR318" s="115"/>
      <c r="AS318" s="115"/>
      <c r="AT318" s="29"/>
      <c r="AU318" s="29"/>
      <c r="BE318" s="25"/>
      <c r="BF318" s="13"/>
      <c r="BK318" s="116"/>
      <c r="BL318" s="123"/>
      <c r="BM318" s="123"/>
      <c r="BN318" s="123"/>
      <c r="BS318" s="115"/>
      <c r="BT318" s="115"/>
      <c r="BU318" s="115"/>
      <c r="BV318" s="115"/>
      <c r="BW318" s="115"/>
      <c r="BX318" s="115"/>
      <c r="BY318" s="115"/>
      <c r="BZ318" s="115"/>
      <c r="CA318" s="115"/>
      <c r="CB318" s="115"/>
      <c r="CC318" s="25"/>
      <c r="CD318" s="13"/>
      <c r="CG318" s="114"/>
    </row>
    <row r="319" spans="1:85" ht="20.100000000000001" customHeight="1" x14ac:dyDescent="0.4">
      <c r="A319" s="117"/>
      <c r="B319" s="123"/>
      <c r="C319" s="123"/>
      <c r="D319" s="123"/>
      <c r="Y319" s="115"/>
      <c r="Z319" s="115"/>
      <c r="AA319" s="115"/>
      <c r="AB319" s="115"/>
      <c r="AC319" s="115"/>
      <c r="AD319" s="127"/>
      <c r="AE319" s="29"/>
      <c r="AP319" s="115"/>
      <c r="AQ319" s="115"/>
      <c r="AR319" s="115"/>
      <c r="AS319" s="115"/>
      <c r="AT319" s="29"/>
      <c r="AU319" s="29"/>
      <c r="BE319" s="25"/>
      <c r="BF319" s="13"/>
      <c r="BK319" s="116"/>
      <c r="BL319" s="123"/>
      <c r="BM319" s="123"/>
      <c r="BN319" s="123"/>
      <c r="BS319" s="115"/>
      <c r="BT319" s="115"/>
      <c r="BU319" s="115"/>
      <c r="BV319" s="115"/>
      <c r="BW319" s="115"/>
      <c r="BX319" s="115"/>
      <c r="BY319" s="115"/>
      <c r="BZ319" s="115"/>
      <c r="CA319" s="115"/>
      <c r="CB319" s="115"/>
      <c r="CC319" s="25"/>
      <c r="CD319" s="13"/>
      <c r="CG319" s="114"/>
    </row>
    <row r="320" spans="1:85" ht="20.100000000000001" customHeight="1" x14ac:dyDescent="0.4">
      <c r="A320" s="117"/>
      <c r="B320" s="123"/>
      <c r="C320" s="123"/>
      <c r="D320" s="123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27"/>
      <c r="AE320" s="29"/>
      <c r="AP320" s="115"/>
      <c r="AQ320" s="115"/>
      <c r="AR320" s="115"/>
      <c r="AS320" s="115"/>
      <c r="AT320" s="29"/>
      <c r="AU320" s="29"/>
      <c r="BE320" s="25"/>
      <c r="BF320" s="13"/>
      <c r="BK320" s="116"/>
      <c r="BL320" s="123"/>
      <c r="BM320" s="123"/>
      <c r="BN320" s="123"/>
      <c r="BS320" s="115"/>
      <c r="BT320" s="115"/>
      <c r="BU320" s="115"/>
      <c r="BV320" s="115"/>
      <c r="BW320" s="115"/>
      <c r="BX320" s="115"/>
      <c r="BY320" s="115"/>
      <c r="BZ320" s="115"/>
      <c r="CA320" s="115"/>
      <c r="CB320" s="115"/>
      <c r="CC320" s="25"/>
      <c r="CD320" s="13"/>
      <c r="CG320" s="114"/>
    </row>
    <row r="321" spans="1:85" ht="20.100000000000001" customHeight="1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27"/>
      <c r="AE321" s="29"/>
      <c r="AP321" s="115"/>
      <c r="AQ321" s="115"/>
      <c r="AR321" s="115"/>
      <c r="AS321" s="115"/>
      <c r="AT321" s="29"/>
      <c r="AU321" s="29"/>
      <c r="BE321" s="25"/>
      <c r="BF321" s="13"/>
      <c r="BK321" s="116"/>
      <c r="BL321" s="123"/>
      <c r="BM321" s="123"/>
      <c r="BN321" s="123"/>
      <c r="BS321" s="115"/>
      <c r="BT321" s="115"/>
      <c r="BU321" s="115"/>
      <c r="BV321" s="115"/>
      <c r="BW321" s="115"/>
      <c r="BX321" s="115"/>
      <c r="BY321" s="115"/>
      <c r="BZ321" s="115"/>
      <c r="CA321" s="115"/>
      <c r="CB321" s="115"/>
      <c r="CC321" s="25"/>
      <c r="CD321" s="13"/>
      <c r="CG321" s="114"/>
    </row>
    <row r="322" spans="1:85" ht="20.100000000000001" customHeight="1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27"/>
      <c r="AE322" s="29"/>
      <c r="AP322" s="115"/>
      <c r="AQ322" s="115"/>
      <c r="AR322" s="115"/>
      <c r="AS322" s="115"/>
      <c r="AT322" s="29"/>
      <c r="AU322" s="29"/>
      <c r="BE322" s="25"/>
      <c r="BF322" s="13"/>
      <c r="BK322" s="116"/>
      <c r="BL322" s="123"/>
      <c r="BM322" s="123"/>
      <c r="BN322" s="123"/>
      <c r="BS322" s="115"/>
      <c r="BT322" s="115"/>
      <c r="BU322" s="115"/>
      <c r="BV322" s="115"/>
      <c r="BW322" s="115"/>
      <c r="BX322" s="115"/>
      <c r="BY322" s="115"/>
      <c r="BZ322" s="115"/>
      <c r="CA322" s="115"/>
      <c r="CB322" s="115"/>
      <c r="CC322" s="25"/>
      <c r="CD322" s="13"/>
      <c r="CG322" s="114"/>
    </row>
    <row r="323" spans="1:85" ht="20.100000000000001" customHeight="1" x14ac:dyDescent="0.4">
      <c r="A323" s="117"/>
      <c r="B323" s="139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27"/>
      <c r="AE323" s="29"/>
      <c r="AP323" s="115"/>
      <c r="AQ323" s="115"/>
      <c r="AR323" s="115"/>
      <c r="AS323" s="115"/>
      <c r="AT323" s="29"/>
      <c r="AU323" s="29"/>
      <c r="BE323" s="25"/>
      <c r="BF323" s="13"/>
      <c r="BK323" s="116"/>
      <c r="BL323" s="123"/>
      <c r="BM323" s="123"/>
      <c r="BN323" s="123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25"/>
      <c r="CD323" s="13"/>
      <c r="CG323" s="114"/>
    </row>
    <row r="324" spans="1:85" ht="20.100000000000001" customHeight="1" x14ac:dyDescent="0.4">
      <c r="A324" s="117"/>
      <c r="B324" s="139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27"/>
      <c r="AE324" s="29"/>
      <c r="AP324" s="115"/>
      <c r="AQ324" s="115"/>
      <c r="AR324" s="115"/>
      <c r="AS324" s="115"/>
      <c r="AT324" s="29"/>
      <c r="AU324" s="29"/>
      <c r="BE324" s="25"/>
      <c r="BF324" s="13"/>
      <c r="BK324" s="116"/>
      <c r="BL324" s="123"/>
      <c r="BM324" s="123"/>
      <c r="BN324" s="123"/>
      <c r="BS324" s="115"/>
      <c r="BT324" s="115"/>
      <c r="BU324" s="115"/>
      <c r="BV324" s="115"/>
      <c r="BW324" s="115"/>
      <c r="BX324" s="115"/>
      <c r="BY324" s="115"/>
      <c r="BZ324" s="115"/>
      <c r="CA324" s="115"/>
      <c r="CB324" s="115"/>
      <c r="CC324" s="25"/>
      <c r="CD324" s="13"/>
      <c r="CG324" s="114"/>
    </row>
    <row r="325" spans="1:85" ht="20.100000000000001" customHeight="1" x14ac:dyDescent="0.4">
      <c r="A325" s="117"/>
      <c r="B325" s="139"/>
      <c r="C325" s="123"/>
      <c r="D325" s="123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27"/>
      <c r="AE325" s="29"/>
      <c r="AP325" s="115"/>
      <c r="AQ325" s="115"/>
      <c r="AR325" s="115"/>
      <c r="AS325" s="115"/>
      <c r="AT325" s="29"/>
      <c r="AU325" s="29"/>
      <c r="BE325" s="25"/>
      <c r="BF325" s="13"/>
      <c r="BK325" s="116"/>
      <c r="BL325" s="123"/>
      <c r="BM325" s="123"/>
      <c r="BN325" s="123"/>
      <c r="BS325" s="115"/>
      <c r="BT325" s="115"/>
      <c r="BU325" s="115"/>
      <c r="BV325" s="115"/>
      <c r="BW325" s="115"/>
      <c r="BX325" s="115"/>
      <c r="BY325" s="115"/>
      <c r="BZ325" s="115"/>
      <c r="CA325" s="115"/>
      <c r="CB325" s="115"/>
      <c r="CC325" s="25"/>
      <c r="CD325" s="13"/>
      <c r="CG325" s="114"/>
    </row>
    <row r="326" spans="1:85" ht="20.100000000000001" customHeight="1" x14ac:dyDescent="0.4">
      <c r="A326" s="117"/>
      <c r="B326" s="139"/>
      <c r="C326" s="123"/>
      <c r="D326" s="123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27"/>
      <c r="AE326" s="29"/>
      <c r="AP326" s="115"/>
      <c r="AQ326" s="115"/>
      <c r="AR326" s="115"/>
      <c r="AS326" s="115"/>
      <c r="AT326" s="29"/>
      <c r="AU326" s="29"/>
      <c r="BE326" s="25"/>
      <c r="BF326" s="13"/>
      <c r="BK326" s="116"/>
      <c r="BL326" s="123"/>
      <c r="BM326" s="123"/>
      <c r="BN326" s="123"/>
      <c r="BS326" s="115"/>
      <c r="BT326" s="115"/>
      <c r="BU326" s="115"/>
      <c r="BV326" s="115"/>
      <c r="BW326" s="115"/>
      <c r="BX326" s="115"/>
      <c r="BY326" s="115"/>
      <c r="BZ326" s="115"/>
      <c r="CA326" s="115"/>
      <c r="CB326" s="115"/>
      <c r="CC326" s="25"/>
      <c r="CD326" s="13"/>
      <c r="CG326" s="114"/>
    </row>
    <row r="327" spans="1:85" ht="20.100000000000001" customHeight="1" x14ac:dyDescent="0.4">
      <c r="A327" s="117"/>
      <c r="B327" s="139"/>
      <c r="C327" s="123"/>
      <c r="D327" s="123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27"/>
      <c r="AE327" s="29"/>
      <c r="AP327" s="115"/>
      <c r="AQ327" s="115"/>
      <c r="AR327" s="115"/>
      <c r="AS327" s="115"/>
      <c r="AT327" s="29"/>
      <c r="AU327" s="29"/>
      <c r="BE327" s="25"/>
      <c r="BF327" s="13"/>
      <c r="BK327" s="116"/>
      <c r="BL327" s="123"/>
      <c r="BM327" s="123"/>
      <c r="BN327" s="123"/>
      <c r="BS327" s="115"/>
      <c r="BT327" s="115"/>
      <c r="BU327" s="115"/>
      <c r="BV327" s="115"/>
      <c r="BW327" s="115"/>
      <c r="BX327" s="115"/>
      <c r="BY327" s="115"/>
      <c r="BZ327" s="115"/>
      <c r="CA327" s="115"/>
      <c r="CB327" s="115"/>
      <c r="CC327" s="25"/>
      <c r="CD327" s="13"/>
      <c r="CG327" s="114"/>
    </row>
    <row r="328" spans="1:85" ht="20.100000000000001" customHeight="1" x14ac:dyDescent="0.4">
      <c r="A328" s="117"/>
      <c r="B328" s="139"/>
      <c r="C328" s="123"/>
      <c r="D328" s="123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9"/>
      <c r="AE328" s="29"/>
      <c r="AP328" s="115"/>
      <c r="AQ328" s="115"/>
      <c r="AR328" s="115"/>
      <c r="AS328" s="115"/>
      <c r="AT328" s="29"/>
      <c r="AU328" s="29"/>
      <c r="BE328" s="25"/>
      <c r="BF328" s="13"/>
      <c r="BK328" s="116"/>
      <c r="BL328" s="123"/>
      <c r="BM328" s="123"/>
      <c r="BN328" s="123"/>
      <c r="BS328" s="115"/>
      <c r="BT328" s="115"/>
      <c r="BU328" s="115"/>
      <c r="BV328" s="115"/>
      <c r="BW328" s="115"/>
      <c r="BX328" s="115"/>
      <c r="BY328" s="115"/>
      <c r="BZ328" s="115"/>
      <c r="CA328" s="115"/>
      <c r="CB328" s="115"/>
      <c r="CC328" s="25"/>
      <c r="CD328" s="13"/>
      <c r="CG328" s="114"/>
    </row>
    <row r="329" spans="1:85" ht="20.100000000000001" customHeight="1" x14ac:dyDescent="0.4">
      <c r="A329" s="117"/>
      <c r="B329" s="123"/>
      <c r="C329" s="123"/>
      <c r="D329" s="123"/>
      <c r="AD329" s="127"/>
      <c r="AE329" s="29"/>
      <c r="AP329" s="115"/>
      <c r="AQ329" s="115"/>
      <c r="AR329" s="115"/>
      <c r="AS329" s="115"/>
      <c r="AT329" s="127"/>
      <c r="AU329" s="29"/>
      <c r="BE329" s="25"/>
      <c r="BF329" s="13"/>
      <c r="BK329" s="116"/>
      <c r="BL329" s="123"/>
      <c r="BM329" s="123"/>
      <c r="BN329" s="123"/>
      <c r="BS329" s="115"/>
      <c r="BT329" s="115"/>
      <c r="BU329" s="115"/>
      <c r="BV329" s="115"/>
      <c r="BW329" s="115"/>
      <c r="BX329" s="115"/>
      <c r="BY329" s="115"/>
      <c r="BZ329" s="115"/>
      <c r="CA329" s="115"/>
      <c r="CB329" s="115"/>
      <c r="CC329" s="25"/>
      <c r="CD329" s="13"/>
      <c r="CG329" s="114"/>
    </row>
    <row r="330" spans="1:85" ht="20.100000000000001" customHeight="1" x14ac:dyDescent="0.4">
      <c r="A330" s="117"/>
      <c r="B330" s="123"/>
      <c r="C330" s="123"/>
      <c r="D330" s="123"/>
      <c r="Z330" s="115"/>
      <c r="AA330" s="115"/>
      <c r="AB330" s="115"/>
      <c r="AC330" s="115"/>
      <c r="AD330" s="29"/>
      <c r="AE330" s="29"/>
      <c r="AP330" s="115"/>
      <c r="AQ330" s="115"/>
      <c r="AR330" s="115"/>
      <c r="AS330" s="115"/>
      <c r="AT330" s="127"/>
      <c r="AU330" s="29"/>
      <c r="BE330" s="25"/>
      <c r="BF330" s="13"/>
      <c r="BK330" s="116"/>
      <c r="BL330" s="123"/>
      <c r="BM330" s="123"/>
      <c r="BN330" s="123"/>
      <c r="BS330" s="115"/>
      <c r="BT330" s="115"/>
      <c r="BU330" s="115"/>
      <c r="BV330" s="115"/>
      <c r="BW330" s="115"/>
      <c r="BX330" s="115"/>
      <c r="BY330" s="115"/>
      <c r="BZ330" s="115"/>
      <c r="CA330" s="115"/>
      <c r="CB330" s="115"/>
      <c r="CC330" s="25"/>
      <c r="CD330" s="13"/>
      <c r="CG330" s="114"/>
    </row>
    <row r="331" spans="1:85" ht="20.100000000000001" customHeight="1" x14ac:dyDescent="0.4">
      <c r="A331" s="117"/>
      <c r="B331" s="123"/>
      <c r="C331" s="123"/>
      <c r="D331" s="123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27"/>
      <c r="AE331" s="29"/>
      <c r="AP331" s="115"/>
      <c r="AQ331" s="115"/>
      <c r="AR331" s="115"/>
      <c r="AS331" s="115"/>
      <c r="AT331" s="127"/>
      <c r="AU331" s="29"/>
      <c r="BE331" s="25"/>
      <c r="BF331" s="13"/>
      <c r="BK331" s="116"/>
      <c r="BL331" s="123"/>
      <c r="BM331" s="123"/>
      <c r="BN331" s="123"/>
      <c r="BS331" s="115"/>
      <c r="BT331" s="115"/>
      <c r="BU331" s="115"/>
      <c r="BV331" s="115"/>
      <c r="BW331" s="115"/>
      <c r="BX331" s="115"/>
      <c r="BY331" s="115"/>
      <c r="BZ331" s="115"/>
      <c r="CA331" s="115"/>
      <c r="CB331" s="115"/>
      <c r="CC331" s="25"/>
      <c r="CD331" s="13"/>
      <c r="CG331" s="114"/>
    </row>
    <row r="332" spans="1:85" ht="20.100000000000001" customHeight="1" x14ac:dyDescent="0.4">
      <c r="A332" s="117"/>
      <c r="B332" s="123"/>
      <c r="C332" s="123"/>
      <c r="D332" s="123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27"/>
      <c r="AE332" s="29"/>
      <c r="AP332" s="115"/>
      <c r="AQ332" s="115"/>
      <c r="AR332" s="115"/>
      <c r="AS332" s="115"/>
      <c r="AT332" s="127"/>
      <c r="AU332" s="29"/>
      <c r="BE332" s="25"/>
      <c r="BF332" s="13"/>
      <c r="BK332" s="116"/>
      <c r="BL332" s="123"/>
      <c r="BM332" s="123"/>
      <c r="BN332" s="123"/>
      <c r="BS332" s="115"/>
      <c r="BT332" s="115"/>
      <c r="BU332" s="115"/>
      <c r="BV332" s="115"/>
      <c r="BW332" s="115"/>
      <c r="BX332" s="115"/>
      <c r="BY332" s="115"/>
      <c r="BZ332" s="115"/>
      <c r="CA332" s="115"/>
      <c r="CB332" s="115"/>
      <c r="CC332" s="25"/>
      <c r="CD332" s="13"/>
      <c r="CG332" s="114"/>
    </row>
    <row r="333" spans="1:85" ht="20.100000000000001" customHeight="1" x14ac:dyDescent="0.4">
      <c r="A333" s="117"/>
      <c r="B333" s="123"/>
      <c r="C333" s="123"/>
      <c r="D333" s="123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27"/>
      <c r="AE333" s="29"/>
      <c r="AP333" s="115"/>
      <c r="AQ333" s="115"/>
      <c r="AR333" s="115"/>
      <c r="AS333" s="115"/>
      <c r="AT333" s="127"/>
      <c r="AU333" s="29"/>
      <c r="BE333" s="25"/>
      <c r="BF333" s="13"/>
      <c r="BK333" s="116"/>
      <c r="BL333" s="123"/>
      <c r="BM333" s="123"/>
      <c r="BN333" s="123"/>
      <c r="BS333" s="115"/>
      <c r="BT333" s="115"/>
      <c r="BU333" s="115"/>
      <c r="BV333" s="115"/>
      <c r="BW333" s="115"/>
      <c r="BX333" s="115"/>
      <c r="BY333" s="115"/>
      <c r="BZ333" s="115"/>
      <c r="CA333" s="115"/>
      <c r="CB333" s="115"/>
      <c r="CC333" s="25"/>
      <c r="CD333" s="13"/>
      <c r="CG333" s="114"/>
    </row>
    <row r="334" spans="1:85" ht="20.100000000000001" customHeight="1" x14ac:dyDescent="0.4">
      <c r="A334" s="117"/>
      <c r="B334" s="123"/>
      <c r="C334" s="123"/>
      <c r="D334" s="123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9"/>
      <c r="AE334" s="29"/>
      <c r="AP334" s="115"/>
      <c r="AQ334" s="115"/>
      <c r="AR334" s="115"/>
      <c r="AS334" s="115"/>
      <c r="AT334" s="127"/>
      <c r="AU334" s="29"/>
      <c r="BE334" s="25"/>
      <c r="BF334" s="13"/>
      <c r="BK334" s="116"/>
      <c r="BL334" s="123"/>
      <c r="BM334" s="123"/>
      <c r="BN334" s="123"/>
      <c r="BS334" s="115"/>
      <c r="BT334" s="115"/>
      <c r="BU334" s="115"/>
      <c r="BV334" s="115"/>
      <c r="BW334" s="115"/>
      <c r="BX334" s="115"/>
      <c r="BY334" s="115"/>
      <c r="BZ334" s="115"/>
      <c r="CA334" s="115"/>
      <c r="CB334" s="115"/>
      <c r="CC334" s="25"/>
      <c r="CD334" s="13"/>
      <c r="CG334" s="114"/>
    </row>
    <row r="335" spans="1:85" ht="20.100000000000001" customHeight="1" x14ac:dyDescent="0.4">
      <c r="A335" s="117"/>
      <c r="B335" s="123"/>
      <c r="C335" s="123"/>
      <c r="D335" s="123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27"/>
      <c r="AE335" s="134"/>
      <c r="AP335" s="115"/>
      <c r="AQ335" s="115"/>
      <c r="AR335" s="115"/>
      <c r="AS335" s="115"/>
      <c r="AT335" s="127"/>
      <c r="AU335" s="29"/>
      <c r="BE335" s="25"/>
      <c r="BF335" s="13"/>
      <c r="BK335" s="116"/>
      <c r="BL335" s="123"/>
      <c r="BM335" s="123"/>
      <c r="BN335" s="123"/>
      <c r="BS335" s="115"/>
      <c r="BT335" s="115"/>
      <c r="BU335" s="115"/>
      <c r="BV335" s="115"/>
      <c r="BW335" s="115"/>
      <c r="BX335" s="115"/>
      <c r="BY335" s="115"/>
      <c r="BZ335" s="115"/>
      <c r="CA335" s="115"/>
      <c r="CB335" s="115"/>
      <c r="CC335" s="25"/>
      <c r="CD335" s="13"/>
      <c r="CG335" s="114"/>
    </row>
    <row r="336" spans="1:85" ht="20.100000000000001" customHeight="1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27"/>
      <c r="AE336" s="29"/>
      <c r="AP336" s="115"/>
      <c r="AQ336" s="115"/>
      <c r="AR336" s="115"/>
      <c r="AS336" s="115"/>
      <c r="AT336" s="127"/>
      <c r="AU336" s="29"/>
      <c r="BE336" s="25"/>
      <c r="BF336" s="13"/>
      <c r="BK336" s="116"/>
      <c r="BL336" s="123"/>
      <c r="BM336" s="123"/>
      <c r="BN336" s="123"/>
      <c r="BS336" s="115"/>
      <c r="BT336" s="115"/>
      <c r="BU336" s="115"/>
      <c r="BV336" s="115"/>
      <c r="BW336" s="115"/>
      <c r="BX336" s="115"/>
      <c r="BY336" s="115"/>
      <c r="BZ336" s="115"/>
      <c r="CA336" s="115"/>
      <c r="CB336" s="115"/>
      <c r="CC336" s="25"/>
      <c r="CD336" s="13"/>
      <c r="CG336" s="114"/>
    </row>
    <row r="337" spans="1:85" ht="20.100000000000001" customHeight="1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9"/>
      <c r="AE337" s="29"/>
      <c r="AP337" s="115"/>
      <c r="AQ337" s="115"/>
      <c r="AR337" s="115"/>
      <c r="AS337" s="115"/>
      <c r="AT337" s="127"/>
      <c r="AU337" s="29"/>
      <c r="BE337" s="25"/>
      <c r="BF337" s="13"/>
      <c r="BK337" s="116"/>
      <c r="BL337" s="123"/>
      <c r="BM337" s="123"/>
      <c r="BN337" s="123"/>
      <c r="BS337" s="115"/>
      <c r="BT337" s="115"/>
      <c r="BU337" s="115"/>
      <c r="BV337" s="115"/>
      <c r="BW337" s="115"/>
      <c r="BX337" s="115"/>
      <c r="BY337" s="115"/>
      <c r="BZ337" s="115"/>
      <c r="CA337" s="115"/>
      <c r="CB337" s="115"/>
      <c r="CC337" s="25"/>
      <c r="CD337" s="13"/>
      <c r="CG337" s="114"/>
    </row>
    <row r="338" spans="1:85" ht="20.100000000000001" customHeight="1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27"/>
      <c r="AE338" s="29"/>
      <c r="AP338" s="115"/>
      <c r="AQ338" s="115"/>
      <c r="AR338" s="115"/>
      <c r="AS338" s="115"/>
      <c r="AT338" s="127"/>
      <c r="AU338" s="29"/>
      <c r="BE338" s="25"/>
      <c r="BF338" s="13"/>
      <c r="BK338" s="116"/>
      <c r="BL338" s="123"/>
      <c r="BM338" s="123"/>
      <c r="BN338" s="123"/>
      <c r="BS338" s="115"/>
      <c r="BT338" s="115"/>
      <c r="BU338" s="115"/>
      <c r="BV338" s="115"/>
      <c r="BW338" s="115"/>
      <c r="BX338" s="115"/>
      <c r="BY338" s="115"/>
      <c r="BZ338" s="115"/>
      <c r="CA338" s="115"/>
      <c r="CB338" s="115"/>
      <c r="CC338" s="25"/>
      <c r="CD338" s="13"/>
      <c r="CG338" s="114"/>
    </row>
    <row r="339" spans="1:85" ht="20.100000000000001" customHeight="1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27"/>
      <c r="AE339" s="29"/>
      <c r="AP339" s="115"/>
      <c r="AQ339" s="115"/>
      <c r="AR339" s="115"/>
      <c r="AS339" s="115"/>
      <c r="AT339" s="127"/>
      <c r="AU339" s="29"/>
      <c r="BE339" s="25"/>
      <c r="BF339" s="13"/>
      <c r="BK339" s="116"/>
      <c r="BL339" s="123"/>
      <c r="BM339" s="123"/>
      <c r="BN339" s="123"/>
      <c r="BS339" s="115"/>
      <c r="BT339" s="115"/>
      <c r="BU339" s="115"/>
      <c r="BV339" s="115"/>
      <c r="BW339" s="115"/>
      <c r="BX339" s="115"/>
      <c r="BY339" s="115"/>
      <c r="BZ339" s="115"/>
      <c r="CA339" s="115"/>
      <c r="CB339" s="115"/>
      <c r="CC339" s="25"/>
      <c r="CD339" s="13"/>
      <c r="CG339" s="114"/>
    </row>
    <row r="340" spans="1:85" ht="20.100000000000001" customHeight="1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27"/>
      <c r="AE340" s="29"/>
      <c r="AP340" s="115"/>
      <c r="AQ340" s="115"/>
      <c r="AR340" s="115"/>
      <c r="AS340" s="115"/>
      <c r="AT340" s="127"/>
      <c r="AU340" s="29"/>
      <c r="BE340" s="25"/>
      <c r="BF340" s="13"/>
      <c r="BK340" s="116"/>
      <c r="BL340" s="123"/>
      <c r="BM340" s="123"/>
      <c r="BN340" s="123"/>
      <c r="BS340" s="115"/>
      <c r="BT340" s="115"/>
      <c r="BU340" s="115"/>
      <c r="BV340" s="115"/>
      <c r="BW340" s="115"/>
      <c r="BX340" s="115"/>
      <c r="BY340" s="115"/>
      <c r="BZ340" s="115"/>
      <c r="CA340" s="115"/>
      <c r="CB340" s="115"/>
      <c r="CC340" s="25"/>
      <c r="CD340" s="13"/>
      <c r="CG340" s="114"/>
    </row>
    <row r="341" spans="1:85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27"/>
      <c r="AE341" s="29"/>
      <c r="AP341" s="115"/>
      <c r="AQ341" s="115"/>
      <c r="AR341" s="115"/>
      <c r="AS341" s="115"/>
      <c r="AT341" s="127"/>
      <c r="AU341" s="29"/>
      <c r="BE341" s="25"/>
      <c r="BF341" s="13"/>
      <c r="BK341" s="116"/>
      <c r="BL341" s="123"/>
      <c r="BM341" s="123"/>
      <c r="BN341" s="123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115"/>
      <c r="CC341" s="25"/>
      <c r="CD341" s="13"/>
      <c r="CG341" s="114"/>
    </row>
    <row r="342" spans="1:85" ht="20.100000000000001" customHeight="1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27"/>
      <c r="AE342" s="29"/>
      <c r="AP342" s="115"/>
      <c r="AQ342" s="115"/>
      <c r="AR342" s="115"/>
      <c r="AS342" s="115"/>
      <c r="AT342" s="127"/>
      <c r="AU342" s="29"/>
      <c r="BE342" s="25"/>
      <c r="BF342" s="13"/>
      <c r="BK342" s="116"/>
      <c r="BL342" s="123"/>
      <c r="BM342" s="123"/>
      <c r="BN342" s="123"/>
      <c r="BS342" s="115"/>
      <c r="BT342" s="115"/>
      <c r="BU342" s="115"/>
      <c r="BV342" s="115"/>
      <c r="BW342" s="115"/>
      <c r="BX342" s="115"/>
      <c r="BY342" s="115"/>
      <c r="BZ342" s="115"/>
      <c r="CA342" s="115"/>
      <c r="CB342" s="115"/>
      <c r="CC342" s="25"/>
      <c r="CD342" s="13"/>
      <c r="CG342" s="114"/>
    </row>
    <row r="343" spans="1:85" ht="20.100000000000001" customHeight="1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27"/>
      <c r="AE343" s="29"/>
      <c r="AP343" s="115"/>
      <c r="AQ343" s="115"/>
      <c r="AR343" s="115"/>
      <c r="AS343" s="115"/>
      <c r="AT343" s="127"/>
      <c r="AU343" s="29"/>
      <c r="BE343" s="25"/>
      <c r="BF343" s="13"/>
      <c r="BK343" s="116"/>
      <c r="BL343" s="123"/>
      <c r="BM343" s="123"/>
      <c r="BN343" s="123"/>
      <c r="BS343" s="115"/>
      <c r="BT343" s="115"/>
      <c r="BU343" s="115"/>
      <c r="BV343" s="115"/>
      <c r="BW343" s="115"/>
      <c r="BX343" s="115"/>
      <c r="BY343" s="115"/>
      <c r="BZ343" s="115"/>
      <c r="CA343" s="115"/>
      <c r="CB343" s="115"/>
      <c r="CC343" s="25"/>
      <c r="CD343" s="13"/>
      <c r="CG343" s="114"/>
    </row>
    <row r="344" spans="1:85" ht="20.100000000000001" customHeight="1" x14ac:dyDescent="0.4">
      <c r="A344" s="117"/>
      <c r="B344" s="123"/>
      <c r="C344" s="123"/>
      <c r="D344" s="123"/>
      <c r="AD344" s="127"/>
      <c r="AE344" s="29"/>
      <c r="AP344" s="115"/>
      <c r="AQ344" s="115"/>
      <c r="AR344" s="115"/>
      <c r="AS344" s="115"/>
      <c r="AT344" s="29"/>
      <c r="AU344" s="29"/>
      <c r="BE344" s="25"/>
      <c r="BF344" s="13"/>
      <c r="BK344" s="116"/>
      <c r="BL344" s="123"/>
      <c r="BM344" s="123"/>
      <c r="BN344" s="123"/>
      <c r="BS344" s="115"/>
      <c r="BT344" s="115"/>
      <c r="BU344" s="115"/>
      <c r="BV344" s="115"/>
      <c r="BW344" s="115"/>
      <c r="BX344" s="115"/>
      <c r="BY344" s="115"/>
      <c r="BZ344" s="115"/>
      <c r="CA344" s="115"/>
      <c r="CB344" s="115"/>
      <c r="CC344" s="25"/>
      <c r="CD344" s="13"/>
      <c r="CG344" s="114"/>
    </row>
    <row r="345" spans="1:85" ht="20.100000000000001" customHeight="1" x14ac:dyDescent="0.4">
      <c r="A345" s="117"/>
      <c r="B345" s="123"/>
      <c r="C345" s="123"/>
      <c r="D345" s="123"/>
      <c r="W345" s="115"/>
      <c r="X345" s="115"/>
      <c r="Y345" s="115"/>
      <c r="Z345" s="115"/>
      <c r="AA345" s="115"/>
      <c r="AB345" s="115"/>
      <c r="AC345" s="115"/>
      <c r="AD345" s="127"/>
      <c r="AE345" s="29"/>
      <c r="AP345" s="115"/>
      <c r="AQ345" s="115"/>
      <c r="AR345" s="115"/>
      <c r="AS345" s="115"/>
      <c r="AT345" s="29"/>
      <c r="AU345" s="29"/>
      <c r="BE345" s="25"/>
      <c r="BF345" s="13"/>
      <c r="BK345" s="116"/>
      <c r="BL345" s="123"/>
      <c r="BM345" s="123"/>
      <c r="BN345" s="123"/>
      <c r="BS345" s="115"/>
      <c r="BT345" s="115"/>
      <c r="BU345" s="115"/>
      <c r="BV345" s="115"/>
      <c r="BW345" s="115"/>
      <c r="BX345" s="115"/>
      <c r="BY345" s="115"/>
      <c r="BZ345" s="115"/>
      <c r="CA345" s="115"/>
      <c r="CB345" s="115"/>
      <c r="CC345" s="25"/>
      <c r="CD345" s="13"/>
      <c r="CG345" s="114"/>
    </row>
    <row r="346" spans="1:85" ht="20.100000000000001" customHeight="1" x14ac:dyDescent="0.4">
      <c r="A346" s="117"/>
      <c r="B346" s="123"/>
      <c r="C346" s="123"/>
      <c r="D346" s="123"/>
      <c r="V346" s="115"/>
      <c r="W346" s="115"/>
      <c r="X346" s="115"/>
      <c r="Y346" s="115"/>
      <c r="Z346" s="115"/>
      <c r="AA346" s="115"/>
      <c r="AB346" s="115"/>
      <c r="AC346" s="115"/>
      <c r="AD346" s="127"/>
      <c r="AE346" s="29"/>
      <c r="AP346" s="115"/>
      <c r="AQ346" s="115"/>
      <c r="AR346" s="115"/>
      <c r="AS346" s="115"/>
      <c r="AT346" s="29"/>
      <c r="AU346" s="29"/>
      <c r="BE346" s="25"/>
      <c r="BF346" s="13"/>
      <c r="BK346" s="116"/>
      <c r="BL346" s="123"/>
      <c r="BM346" s="123"/>
      <c r="BN346" s="123"/>
      <c r="BS346" s="115"/>
      <c r="BT346" s="115"/>
      <c r="BU346" s="115"/>
      <c r="BV346" s="115"/>
      <c r="BW346" s="115"/>
      <c r="BX346" s="115"/>
      <c r="BY346" s="115"/>
      <c r="BZ346" s="115"/>
      <c r="CA346" s="115"/>
      <c r="CB346" s="115"/>
      <c r="CC346" s="25"/>
      <c r="CD346" s="13"/>
      <c r="CG346" s="114"/>
    </row>
    <row r="347" spans="1:85" ht="20.100000000000001" customHeight="1" x14ac:dyDescent="0.4">
      <c r="A347" s="117"/>
      <c r="B347" s="123"/>
      <c r="C347" s="123"/>
      <c r="D347" s="123"/>
      <c r="V347" s="115"/>
      <c r="W347" s="115"/>
      <c r="X347" s="115"/>
      <c r="Y347" s="115"/>
      <c r="Z347" s="115"/>
      <c r="AA347" s="115"/>
      <c r="AB347" s="115"/>
      <c r="AC347" s="115"/>
      <c r="AD347" s="127"/>
      <c r="AE347" s="29"/>
      <c r="AP347" s="115"/>
      <c r="AQ347" s="115"/>
      <c r="AR347" s="115"/>
      <c r="AS347" s="115"/>
      <c r="AT347" s="29"/>
      <c r="AU347" s="29"/>
      <c r="BE347" s="25"/>
      <c r="BF347" s="13"/>
      <c r="BK347" s="116"/>
      <c r="BL347" s="123"/>
      <c r="BM347" s="123"/>
      <c r="BN347" s="123"/>
      <c r="BS347" s="115"/>
      <c r="BT347" s="115"/>
      <c r="BU347" s="115"/>
      <c r="BV347" s="115"/>
      <c r="BW347" s="115"/>
      <c r="BX347" s="115"/>
      <c r="BY347" s="115"/>
      <c r="BZ347" s="115"/>
      <c r="CA347" s="115"/>
      <c r="CB347" s="115"/>
      <c r="CC347" s="25"/>
      <c r="CD347" s="13"/>
      <c r="CG347" s="114"/>
    </row>
    <row r="348" spans="1:85" ht="20.100000000000001" customHeight="1" x14ac:dyDescent="0.4">
      <c r="A348" s="117"/>
      <c r="B348" s="123"/>
      <c r="C348" s="123"/>
      <c r="D348" s="123"/>
      <c r="AD348" s="127"/>
      <c r="AE348" s="29"/>
      <c r="AO348" s="115"/>
      <c r="AP348" s="115"/>
      <c r="AQ348" s="115"/>
      <c r="AR348" s="115"/>
      <c r="AS348" s="115"/>
      <c r="AT348" s="127"/>
      <c r="AU348" s="29"/>
      <c r="BE348" s="25"/>
      <c r="BF348" s="13"/>
      <c r="BK348" s="116"/>
      <c r="BL348" s="123"/>
      <c r="BM348" s="123"/>
      <c r="BN348" s="123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115"/>
      <c r="CC348" s="25"/>
      <c r="CD348" s="13"/>
      <c r="CG348" s="114"/>
    </row>
    <row r="349" spans="1:85" ht="20.100000000000001" customHeight="1" x14ac:dyDescent="0.4">
      <c r="A349" s="117"/>
      <c r="B349" s="123"/>
      <c r="C349" s="123"/>
      <c r="D349" s="123"/>
      <c r="Z349" s="115"/>
      <c r="AA349" s="115"/>
      <c r="AB349" s="115"/>
      <c r="AC349" s="115"/>
      <c r="AD349" s="29"/>
      <c r="AE349" s="29"/>
      <c r="AO349" s="115"/>
      <c r="AP349" s="115"/>
      <c r="AQ349" s="115"/>
      <c r="AR349" s="115"/>
      <c r="AS349" s="115"/>
      <c r="AT349" s="127"/>
      <c r="AU349" s="29"/>
      <c r="BE349" s="25"/>
      <c r="BF349" s="13"/>
      <c r="BK349" s="116"/>
      <c r="BL349" s="123"/>
      <c r="BM349" s="123"/>
      <c r="BN349" s="123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115"/>
      <c r="CC349" s="25"/>
      <c r="CD349" s="13"/>
      <c r="CG349" s="114"/>
    </row>
    <row r="350" spans="1:85" ht="20.100000000000001" customHeight="1" x14ac:dyDescent="0.4">
      <c r="A350" s="117"/>
      <c r="B350" s="123"/>
      <c r="C350" s="123"/>
      <c r="D350" s="123"/>
      <c r="X350" s="115"/>
      <c r="Y350" s="115"/>
      <c r="Z350" s="115"/>
      <c r="AA350" s="115"/>
      <c r="AB350" s="115"/>
      <c r="AC350" s="115"/>
      <c r="AD350" s="127"/>
      <c r="AE350" s="29"/>
      <c r="AO350" s="115"/>
      <c r="AP350" s="115"/>
      <c r="AQ350" s="115"/>
      <c r="AR350" s="115"/>
      <c r="AS350" s="115"/>
      <c r="AT350" s="127"/>
      <c r="AU350" s="29"/>
      <c r="BE350" s="25"/>
      <c r="BF350" s="13"/>
      <c r="BK350" s="116"/>
      <c r="BL350" s="123"/>
      <c r="BM350" s="123"/>
      <c r="BN350" s="123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115"/>
      <c r="CC350" s="25"/>
      <c r="CD350" s="13"/>
      <c r="CG350" s="114"/>
    </row>
    <row r="351" spans="1:85" ht="20.100000000000001" customHeight="1" x14ac:dyDescent="0.4">
      <c r="A351" s="117"/>
      <c r="B351" s="123"/>
      <c r="C351" s="123"/>
      <c r="D351" s="123"/>
      <c r="V351" s="115"/>
      <c r="W351" s="115"/>
      <c r="X351" s="115"/>
      <c r="Y351" s="115"/>
      <c r="Z351" s="115"/>
      <c r="AA351" s="115"/>
      <c r="AB351" s="115"/>
      <c r="AC351" s="115"/>
      <c r="AD351" s="127"/>
      <c r="AE351" s="29"/>
      <c r="AO351" s="115"/>
      <c r="AP351" s="115"/>
      <c r="AQ351" s="115"/>
      <c r="AR351" s="115"/>
      <c r="AS351" s="115"/>
      <c r="AT351" s="127"/>
      <c r="AU351" s="29"/>
      <c r="BE351" s="25"/>
      <c r="BF351" s="13"/>
      <c r="BK351" s="116"/>
      <c r="BL351" s="123"/>
      <c r="BM351" s="123"/>
      <c r="BN351" s="123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115"/>
      <c r="CC351" s="25"/>
      <c r="CD351" s="13"/>
      <c r="CG351" s="114"/>
    </row>
    <row r="352" spans="1:85" ht="20.100000000000001" customHeight="1" x14ac:dyDescent="0.4">
      <c r="A352" s="117"/>
      <c r="B352" s="123"/>
      <c r="C352" s="123"/>
      <c r="D352" s="123"/>
      <c r="V352" s="115"/>
      <c r="W352" s="115"/>
      <c r="X352" s="115"/>
      <c r="Y352" s="115"/>
      <c r="Z352" s="115"/>
      <c r="AA352" s="115"/>
      <c r="AB352" s="115"/>
      <c r="AC352" s="115"/>
      <c r="AD352" s="29"/>
      <c r="AE352" s="29"/>
      <c r="AO352" s="115"/>
      <c r="AP352" s="115"/>
      <c r="AQ352" s="115"/>
      <c r="AR352" s="115"/>
      <c r="AS352" s="115"/>
      <c r="AT352" s="127"/>
      <c r="AU352" s="29"/>
      <c r="BE352" s="25"/>
      <c r="BF352" s="13"/>
      <c r="BK352" s="116"/>
      <c r="BL352" s="123"/>
      <c r="BM352" s="123"/>
      <c r="BN352" s="123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115"/>
      <c r="CC352" s="25"/>
      <c r="CD352" s="13"/>
      <c r="CG352" s="114"/>
    </row>
    <row r="353" spans="1:85" ht="20.100000000000001" customHeight="1" x14ac:dyDescent="0.4">
      <c r="A353" s="117"/>
      <c r="B353" s="123"/>
      <c r="C353" s="123"/>
      <c r="D353" s="123"/>
      <c r="V353" s="115"/>
      <c r="W353" s="115"/>
      <c r="X353" s="115"/>
      <c r="Y353" s="115"/>
      <c r="Z353" s="115"/>
      <c r="AA353" s="115"/>
      <c r="AB353" s="115"/>
      <c r="AC353" s="115"/>
      <c r="AD353" s="127"/>
      <c r="AE353" s="29"/>
      <c r="AO353" s="115"/>
      <c r="AP353" s="115"/>
      <c r="AQ353" s="115"/>
      <c r="AR353" s="115"/>
      <c r="AS353" s="115"/>
      <c r="AT353" s="127"/>
      <c r="AU353" s="29"/>
      <c r="BE353" s="25"/>
      <c r="BF353" s="13"/>
      <c r="BK353" s="116"/>
      <c r="BL353" s="123"/>
      <c r="BM353" s="123"/>
      <c r="BN353" s="123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115"/>
      <c r="CC353" s="25"/>
      <c r="CD353" s="13"/>
      <c r="CG353" s="114"/>
    </row>
    <row r="354" spans="1:85" ht="20.100000000000001" customHeight="1" x14ac:dyDescent="0.4">
      <c r="A354" s="117"/>
      <c r="B354" s="123"/>
      <c r="C354" s="123"/>
      <c r="D354" s="123"/>
      <c r="V354" s="115"/>
      <c r="W354" s="115"/>
      <c r="X354" s="115"/>
      <c r="Y354" s="115"/>
      <c r="Z354" s="115"/>
      <c r="AA354" s="115"/>
      <c r="AB354" s="115"/>
      <c r="AC354" s="115"/>
      <c r="AD354" s="29"/>
      <c r="AE354" s="29"/>
      <c r="AO354" s="115"/>
      <c r="AP354" s="115"/>
      <c r="AQ354" s="115"/>
      <c r="AR354" s="115"/>
      <c r="AS354" s="115"/>
      <c r="AT354" s="127"/>
      <c r="AU354" s="29"/>
      <c r="BE354" s="25"/>
      <c r="BF354" s="13"/>
      <c r="BK354" s="116"/>
      <c r="BL354" s="123"/>
      <c r="BM354" s="123"/>
      <c r="BN354" s="123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115"/>
      <c r="CC354" s="25"/>
      <c r="CD354" s="13"/>
      <c r="CG354" s="114"/>
    </row>
    <row r="355" spans="1:85" ht="20.100000000000001" customHeight="1" x14ac:dyDescent="0.4">
      <c r="A355" s="117"/>
      <c r="B355" s="123"/>
      <c r="C355" s="123"/>
      <c r="D355" s="123"/>
      <c r="V355" s="115"/>
      <c r="W355" s="115"/>
      <c r="X355" s="115"/>
      <c r="Y355" s="115"/>
      <c r="Z355" s="115"/>
      <c r="AA355" s="115"/>
      <c r="AB355" s="115"/>
      <c r="AC355" s="115"/>
      <c r="AD355" s="127"/>
      <c r="AE355" s="29"/>
      <c r="AO355" s="115"/>
      <c r="AP355" s="115"/>
      <c r="AQ355" s="115"/>
      <c r="AR355" s="115"/>
      <c r="AS355" s="115"/>
      <c r="AT355" s="127"/>
      <c r="AU355" s="29"/>
      <c r="BE355" s="25"/>
      <c r="BF355" s="13"/>
      <c r="BK355" s="116"/>
      <c r="BL355" s="123"/>
      <c r="BM355" s="123"/>
      <c r="BN355" s="123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115"/>
      <c r="CC355" s="25"/>
      <c r="CD355" s="13"/>
      <c r="CG355" s="114"/>
    </row>
    <row r="356" spans="1:85" ht="20.100000000000001" customHeight="1" x14ac:dyDescent="0.4">
      <c r="A356" s="117"/>
      <c r="B356" s="123"/>
      <c r="C356" s="123"/>
      <c r="D356" s="123"/>
      <c r="V356" s="115"/>
      <c r="W356" s="115"/>
      <c r="X356" s="115"/>
      <c r="Y356" s="115"/>
      <c r="Z356" s="115"/>
      <c r="AA356" s="115"/>
      <c r="AB356" s="115"/>
      <c r="AC356" s="115"/>
      <c r="AD356" s="29"/>
      <c r="AE356" s="29"/>
      <c r="AO356" s="115"/>
      <c r="AP356" s="115"/>
      <c r="AQ356" s="115"/>
      <c r="AR356" s="115"/>
      <c r="AS356" s="115"/>
      <c r="AT356" s="127"/>
      <c r="AU356" s="29"/>
      <c r="BE356" s="25"/>
      <c r="BF356" s="13"/>
      <c r="BK356" s="116"/>
      <c r="BL356" s="123"/>
      <c r="BM356" s="123"/>
      <c r="BN356" s="123"/>
      <c r="BS356" s="115"/>
      <c r="BT356" s="115"/>
      <c r="BU356" s="115"/>
      <c r="BV356" s="115"/>
      <c r="BW356" s="115"/>
      <c r="BX356" s="115"/>
      <c r="BY356" s="115"/>
      <c r="BZ356" s="115"/>
      <c r="CA356" s="115"/>
      <c r="CB356" s="115"/>
      <c r="CC356" s="25"/>
      <c r="CD356" s="13"/>
      <c r="CG356" s="114"/>
    </row>
    <row r="357" spans="1:85" ht="20.100000000000001" customHeight="1" x14ac:dyDescent="0.4">
      <c r="A357" s="117"/>
      <c r="B357" s="123"/>
      <c r="C357" s="123"/>
      <c r="D357" s="123"/>
      <c r="V357" s="115"/>
      <c r="W357" s="115"/>
      <c r="X357" s="115"/>
      <c r="Y357" s="115"/>
      <c r="Z357" s="115"/>
      <c r="AA357" s="115"/>
      <c r="AB357" s="115"/>
      <c r="AC357" s="115"/>
      <c r="AD357" s="29"/>
      <c r="AE357" s="29"/>
      <c r="AO357" s="115"/>
      <c r="AP357" s="115"/>
      <c r="AQ357" s="115"/>
      <c r="AR357" s="115"/>
      <c r="AS357" s="115"/>
      <c r="AT357" s="127"/>
      <c r="AU357" s="29"/>
      <c r="BE357" s="25"/>
      <c r="BF357" s="13"/>
      <c r="BK357" s="116"/>
      <c r="BL357" s="123"/>
      <c r="BM357" s="123"/>
      <c r="BN357" s="123"/>
      <c r="BS357" s="115"/>
      <c r="BT357" s="115"/>
      <c r="BU357" s="115"/>
      <c r="BV357" s="115"/>
      <c r="BW357" s="115"/>
      <c r="BX357" s="115"/>
      <c r="BY357" s="115"/>
      <c r="BZ357" s="115"/>
      <c r="CA357" s="115"/>
      <c r="CB357" s="115"/>
      <c r="CC357" s="25"/>
      <c r="CD357" s="13"/>
      <c r="CG357" s="114"/>
    </row>
    <row r="358" spans="1:85" ht="20.100000000000001" customHeight="1" x14ac:dyDescent="0.4">
      <c r="A358" s="117"/>
      <c r="B358" s="123"/>
      <c r="C358" s="123"/>
      <c r="D358" s="123"/>
      <c r="V358" s="115"/>
      <c r="W358" s="115"/>
      <c r="X358" s="115"/>
      <c r="Y358" s="115"/>
      <c r="Z358" s="115"/>
      <c r="AA358" s="115"/>
      <c r="AB358" s="115"/>
      <c r="AC358" s="115"/>
      <c r="AD358" s="127"/>
      <c r="AE358" s="29"/>
      <c r="AO358" s="115"/>
      <c r="AP358" s="115"/>
      <c r="AQ358" s="115"/>
      <c r="AR358" s="115"/>
      <c r="AS358" s="115"/>
      <c r="AT358" s="127"/>
      <c r="AU358" s="29"/>
      <c r="BE358" s="25"/>
      <c r="BF358" s="13"/>
      <c r="BK358" s="116"/>
      <c r="BL358" s="123"/>
      <c r="BM358" s="123"/>
      <c r="BN358" s="123"/>
      <c r="BS358" s="115"/>
      <c r="BT358" s="115"/>
      <c r="BU358" s="115"/>
      <c r="BV358" s="115"/>
      <c r="BW358" s="115"/>
      <c r="BX358" s="115"/>
      <c r="BY358" s="115"/>
      <c r="BZ358" s="115"/>
      <c r="CA358" s="115"/>
      <c r="CB358" s="115"/>
      <c r="CC358" s="25"/>
      <c r="CD358" s="13"/>
      <c r="CG358" s="114"/>
    </row>
    <row r="359" spans="1:85" ht="20.100000000000001" customHeight="1" x14ac:dyDescent="0.4">
      <c r="A359" s="117"/>
      <c r="B359" s="123"/>
      <c r="C359" s="123"/>
      <c r="D359" s="123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27"/>
      <c r="AE359" s="29"/>
      <c r="AO359" s="115"/>
      <c r="AP359" s="115"/>
      <c r="AQ359" s="115"/>
      <c r="AR359" s="115"/>
      <c r="AS359" s="115"/>
      <c r="AT359" s="127"/>
      <c r="AU359" s="29"/>
      <c r="BE359" s="25"/>
      <c r="BF359" s="13"/>
      <c r="BK359" s="116"/>
      <c r="BL359" s="123"/>
      <c r="BM359" s="123"/>
      <c r="BN359" s="123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115"/>
      <c r="CC359" s="25"/>
      <c r="CD359" s="13"/>
      <c r="CG359" s="114"/>
    </row>
    <row r="360" spans="1:85" ht="20.100000000000001" customHeight="1" x14ac:dyDescent="0.4">
      <c r="A360" s="117"/>
      <c r="B360" s="123"/>
      <c r="C360" s="123"/>
      <c r="D360" s="123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29"/>
      <c r="AE360" s="29"/>
      <c r="AO360" s="115"/>
      <c r="AP360" s="115"/>
      <c r="AQ360" s="115"/>
      <c r="AR360" s="115"/>
      <c r="AS360" s="115"/>
      <c r="AT360" s="127"/>
      <c r="AU360" s="29"/>
      <c r="BE360" s="25"/>
      <c r="BF360" s="13"/>
      <c r="BK360" s="116"/>
      <c r="BL360" s="123"/>
      <c r="BM360" s="123"/>
      <c r="BN360" s="123"/>
      <c r="BS360" s="115"/>
      <c r="BT360" s="115"/>
      <c r="BU360" s="115"/>
      <c r="BV360" s="115"/>
      <c r="BW360" s="115"/>
      <c r="BX360" s="115"/>
      <c r="BY360" s="115"/>
      <c r="BZ360" s="115"/>
      <c r="CA360" s="115"/>
      <c r="CB360" s="115"/>
      <c r="CC360" s="25"/>
      <c r="CD360" s="13"/>
      <c r="CG360" s="114"/>
    </row>
    <row r="361" spans="1:85" ht="20.100000000000001" customHeight="1" x14ac:dyDescent="0.4">
      <c r="A361" s="117"/>
      <c r="B361" s="123"/>
      <c r="C361" s="123"/>
      <c r="D361" s="123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27"/>
      <c r="AE361" s="29"/>
      <c r="AO361" s="115"/>
      <c r="AP361" s="115"/>
      <c r="AQ361" s="115"/>
      <c r="AR361" s="115"/>
      <c r="AS361" s="115"/>
      <c r="AT361" s="127"/>
      <c r="AU361" s="29"/>
      <c r="BE361" s="25"/>
      <c r="BF361" s="13"/>
      <c r="BK361" s="116"/>
      <c r="BL361" s="123"/>
      <c r="BM361" s="123"/>
      <c r="BN361" s="123"/>
      <c r="BS361" s="115"/>
      <c r="BT361" s="115"/>
      <c r="BU361" s="115"/>
      <c r="BV361" s="115"/>
      <c r="BW361" s="115"/>
      <c r="BX361" s="115"/>
      <c r="BY361" s="115"/>
      <c r="BZ361" s="115"/>
      <c r="CA361" s="115"/>
      <c r="CB361" s="115"/>
      <c r="CC361" s="25"/>
      <c r="CD361" s="13"/>
      <c r="CG361" s="114"/>
    </row>
    <row r="362" spans="1:85" ht="20.100000000000001" customHeight="1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9"/>
      <c r="AE362" s="29"/>
      <c r="AO362" s="115"/>
      <c r="AP362" s="115"/>
      <c r="AQ362" s="115"/>
      <c r="AR362" s="115"/>
      <c r="AS362" s="115"/>
      <c r="AT362" s="127"/>
      <c r="AU362" s="29"/>
      <c r="BE362" s="25"/>
      <c r="BF362" s="13"/>
      <c r="BK362" s="116"/>
      <c r="BL362" s="123"/>
      <c r="BM362" s="123"/>
      <c r="BN362" s="123"/>
      <c r="BS362" s="115"/>
      <c r="BT362" s="115"/>
      <c r="BU362" s="115"/>
      <c r="BV362" s="115"/>
      <c r="BW362" s="115"/>
      <c r="BX362" s="115"/>
      <c r="BY362" s="115"/>
      <c r="BZ362" s="115"/>
      <c r="CA362" s="115"/>
      <c r="CB362" s="115"/>
      <c r="CC362" s="25"/>
      <c r="CD362" s="13"/>
      <c r="CG362" s="114"/>
    </row>
    <row r="363" spans="1:85" ht="20.100000000000001" customHeight="1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9"/>
      <c r="AE363" s="29"/>
      <c r="AO363" s="115"/>
      <c r="AP363" s="115"/>
      <c r="AQ363" s="115"/>
      <c r="AR363" s="115"/>
      <c r="AS363" s="115"/>
      <c r="AT363" s="127"/>
      <c r="AU363" s="29"/>
      <c r="BE363" s="25"/>
      <c r="BF363" s="13"/>
      <c r="BK363" s="116"/>
      <c r="BL363" s="123"/>
      <c r="BM363" s="123"/>
      <c r="BN363" s="123"/>
      <c r="BS363" s="115"/>
      <c r="BT363" s="115"/>
      <c r="BU363" s="115"/>
      <c r="BV363" s="115"/>
      <c r="BW363" s="115"/>
      <c r="BX363" s="115"/>
      <c r="BY363" s="115"/>
      <c r="BZ363" s="115"/>
      <c r="CA363" s="115"/>
      <c r="CB363" s="115"/>
      <c r="CC363" s="25"/>
      <c r="CD363" s="13"/>
      <c r="CG363" s="114"/>
    </row>
    <row r="364" spans="1:85" ht="20.100000000000001" customHeight="1" x14ac:dyDescent="0.4">
      <c r="A364" s="117"/>
      <c r="B364" s="123"/>
      <c r="C364" s="123"/>
      <c r="D364" s="123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27"/>
      <c r="AE364" s="29"/>
      <c r="AO364" s="115"/>
      <c r="AP364" s="115"/>
      <c r="AQ364" s="115"/>
      <c r="AR364" s="115"/>
      <c r="AS364" s="115"/>
      <c r="AT364" s="127"/>
      <c r="AU364" s="29"/>
      <c r="BE364" s="25"/>
      <c r="BF364" s="13"/>
      <c r="BK364" s="116"/>
      <c r="BL364" s="123"/>
      <c r="BM364" s="123"/>
      <c r="BN364" s="123"/>
      <c r="BS364" s="115"/>
      <c r="BT364" s="115"/>
      <c r="BU364" s="115"/>
      <c r="BV364" s="115"/>
      <c r="BW364" s="115"/>
      <c r="BX364" s="115"/>
      <c r="BY364" s="115"/>
      <c r="BZ364" s="115"/>
      <c r="CA364" s="115"/>
      <c r="CB364" s="115"/>
      <c r="CC364" s="25"/>
      <c r="CD364" s="13"/>
      <c r="CG364" s="114"/>
    </row>
    <row r="365" spans="1:85" ht="20.100000000000001" customHeight="1" x14ac:dyDescent="0.4">
      <c r="A365" s="117"/>
      <c r="B365" s="123"/>
      <c r="C365" s="123"/>
      <c r="D365" s="123"/>
      <c r="AD365" s="127"/>
      <c r="AE365" s="29"/>
      <c r="AO365" s="115"/>
      <c r="AP365" s="115"/>
      <c r="AQ365" s="115"/>
      <c r="AR365" s="115"/>
      <c r="AS365" s="115"/>
      <c r="AT365" s="29"/>
      <c r="AU365" s="29"/>
      <c r="BE365" s="25"/>
      <c r="BF365" s="13"/>
      <c r="BK365" s="116"/>
      <c r="BL365" s="123"/>
      <c r="BM365" s="123"/>
      <c r="BN365" s="123"/>
      <c r="BS365" s="115"/>
      <c r="BT365" s="115"/>
      <c r="BU365" s="115"/>
      <c r="BV365" s="115"/>
      <c r="BW365" s="115"/>
      <c r="BX365" s="115"/>
      <c r="BY365" s="115"/>
      <c r="BZ365" s="115"/>
      <c r="CA365" s="115"/>
      <c r="CB365" s="115"/>
      <c r="CC365" s="25"/>
      <c r="CD365" s="13"/>
      <c r="CG365" s="114"/>
    </row>
    <row r="366" spans="1:85" ht="20.100000000000001" customHeight="1" x14ac:dyDescent="0.4">
      <c r="A366" s="117"/>
      <c r="B366" s="123"/>
      <c r="C366" s="123"/>
      <c r="D366" s="123"/>
      <c r="W366" s="115"/>
      <c r="X366" s="115"/>
      <c r="Y366" s="115"/>
      <c r="Z366" s="115"/>
      <c r="AA366" s="115"/>
      <c r="AB366" s="115"/>
      <c r="AC366" s="115"/>
      <c r="AD366" s="127"/>
      <c r="AE366" s="29"/>
      <c r="AO366" s="115"/>
      <c r="AP366" s="115"/>
      <c r="AQ366" s="115"/>
      <c r="AR366" s="115"/>
      <c r="AS366" s="115"/>
      <c r="AT366" s="29"/>
      <c r="AU366" s="29"/>
      <c r="BE366" s="25"/>
      <c r="BF366" s="13"/>
      <c r="BK366" s="116"/>
      <c r="BL366" s="123"/>
      <c r="BM366" s="123"/>
      <c r="BN366" s="123"/>
      <c r="BS366" s="115"/>
      <c r="BT366" s="115"/>
      <c r="BU366" s="115"/>
      <c r="BV366" s="115"/>
      <c r="BW366" s="115"/>
      <c r="BX366" s="115"/>
      <c r="BY366" s="115"/>
      <c r="BZ366" s="115"/>
      <c r="CA366" s="115"/>
      <c r="CB366" s="115"/>
      <c r="CC366" s="25"/>
      <c r="CD366" s="13"/>
      <c r="CG366" s="114"/>
    </row>
    <row r="367" spans="1:85" ht="20.100000000000001" customHeight="1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27"/>
      <c r="AE367" s="29"/>
      <c r="AO367" s="115"/>
      <c r="AP367" s="115"/>
      <c r="AQ367" s="115"/>
      <c r="AR367" s="115"/>
      <c r="AS367" s="115"/>
      <c r="AT367" s="29"/>
      <c r="AU367" s="29"/>
      <c r="BE367" s="25"/>
      <c r="BF367" s="13"/>
      <c r="BK367" s="116"/>
      <c r="BL367" s="123"/>
      <c r="BM367" s="123"/>
      <c r="BN367" s="123"/>
      <c r="BS367" s="115"/>
      <c r="BT367" s="115"/>
      <c r="BU367" s="115"/>
      <c r="BV367" s="115"/>
      <c r="BW367" s="115"/>
      <c r="BX367" s="115"/>
      <c r="BY367" s="115"/>
      <c r="BZ367" s="115"/>
      <c r="CA367" s="115"/>
      <c r="CB367" s="115"/>
      <c r="CC367" s="25"/>
      <c r="CD367" s="13"/>
      <c r="CG367" s="114"/>
    </row>
    <row r="368" spans="1:85" ht="20.100000000000001" customHeight="1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27"/>
      <c r="AE368" s="29"/>
      <c r="AO368" s="115"/>
      <c r="AP368" s="115"/>
      <c r="AQ368" s="115"/>
      <c r="AR368" s="115"/>
      <c r="AS368" s="115"/>
      <c r="AT368" s="29"/>
      <c r="AU368" s="29"/>
      <c r="BE368" s="25"/>
      <c r="BF368" s="13"/>
      <c r="BK368" s="116"/>
      <c r="BL368" s="123"/>
      <c r="BM368" s="123"/>
      <c r="BN368" s="123"/>
      <c r="BS368" s="115"/>
      <c r="BT368" s="115"/>
      <c r="BU368" s="115"/>
      <c r="BV368" s="115"/>
      <c r="BW368" s="115"/>
      <c r="BX368" s="115"/>
      <c r="BY368" s="115"/>
      <c r="BZ368" s="115"/>
      <c r="CA368" s="115"/>
      <c r="CB368" s="115"/>
      <c r="CC368" s="25"/>
      <c r="CD368" s="13"/>
      <c r="CG368" s="114"/>
    </row>
    <row r="369" spans="1:85" ht="20.100000000000001" customHeight="1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27"/>
      <c r="AE369" s="29"/>
      <c r="AO369" s="115"/>
      <c r="AP369" s="115"/>
      <c r="AQ369" s="115"/>
      <c r="AR369" s="115"/>
      <c r="AS369" s="115"/>
      <c r="AT369" s="29"/>
      <c r="AU369" s="29"/>
      <c r="BE369" s="25"/>
      <c r="BF369" s="13"/>
      <c r="BK369" s="116"/>
      <c r="BL369" s="123"/>
      <c r="BM369" s="123"/>
      <c r="BN369" s="123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25"/>
      <c r="CD369" s="13"/>
      <c r="CG369" s="114"/>
    </row>
    <row r="370" spans="1:85" ht="20.100000000000001" customHeight="1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9"/>
      <c r="AE370" s="29"/>
      <c r="AO370" s="115"/>
      <c r="AP370" s="115"/>
      <c r="AQ370" s="115"/>
      <c r="AR370" s="115"/>
      <c r="AS370" s="115"/>
      <c r="AT370" s="29"/>
      <c r="AU370" s="29"/>
      <c r="BE370" s="25"/>
      <c r="BF370" s="13"/>
      <c r="BK370" s="116"/>
      <c r="BL370" s="123"/>
      <c r="BM370" s="123"/>
      <c r="BN370" s="123"/>
      <c r="BS370" s="115"/>
      <c r="BT370" s="115"/>
      <c r="BU370" s="115"/>
      <c r="BV370" s="115"/>
      <c r="BW370" s="115"/>
      <c r="BX370" s="115"/>
      <c r="BY370" s="115"/>
      <c r="BZ370" s="115"/>
      <c r="CA370" s="115"/>
      <c r="CB370" s="115"/>
      <c r="CC370" s="25"/>
      <c r="CD370" s="13"/>
      <c r="CG370" s="114"/>
    </row>
    <row r="371" spans="1:85" ht="20.100000000000001" customHeight="1" x14ac:dyDescent="0.4">
      <c r="A371" s="117"/>
      <c r="B371" s="123"/>
      <c r="C371" s="123"/>
      <c r="D371" s="123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27"/>
      <c r="AE371" s="29"/>
      <c r="AO371" s="115"/>
      <c r="AP371" s="115"/>
      <c r="AQ371" s="115"/>
      <c r="AR371" s="115"/>
      <c r="AS371" s="115"/>
      <c r="AT371" s="29"/>
      <c r="AU371" s="29"/>
      <c r="BE371" s="25"/>
      <c r="BF371" s="13"/>
      <c r="BK371" s="116"/>
      <c r="BL371" s="123"/>
      <c r="BM371" s="123"/>
      <c r="BN371" s="123"/>
      <c r="BS371" s="115"/>
      <c r="BT371" s="115"/>
      <c r="BU371" s="115"/>
      <c r="BV371" s="115"/>
      <c r="BW371" s="115"/>
      <c r="BX371" s="115"/>
      <c r="BY371" s="115"/>
      <c r="BZ371" s="115"/>
      <c r="CA371" s="115"/>
      <c r="CB371" s="115"/>
      <c r="CC371" s="25"/>
      <c r="CD371" s="13"/>
      <c r="CG371" s="114"/>
    </row>
    <row r="372" spans="1:85" ht="20.100000000000001" customHeight="1" x14ac:dyDescent="0.4">
      <c r="A372" s="117"/>
      <c r="B372" s="123"/>
      <c r="C372" s="123"/>
      <c r="D372" s="123"/>
      <c r="AD372" s="127"/>
      <c r="AE372" s="29"/>
      <c r="AO372" s="115"/>
      <c r="AP372" s="115"/>
      <c r="AQ372" s="115"/>
      <c r="AR372" s="115"/>
      <c r="AS372" s="115"/>
      <c r="AT372" s="127"/>
      <c r="AU372" s="29"/>
      <c r="BE372" s="25"/>
      <c r="BF372" s="13"/>
      <c r="BK372" s="116"/>
      <c r="BL372" s="123"/>
      <c r="BM372" s="123"/>
      <c r="BN372" s="123"/>
      <c r="BS372" s="115"/>
      <c r="BT372" s="115"/>
      <c r="BU372" s="115"/>
      <c r="BV372" s="115"/>
      <c r="BW372" s="115"/>
      <c r="BX372" s="115"/>
      <c r="BY372" s="115"/>
      <c r="BZ372" s="115"/>
      <c r="CA372" s="115"/>
      <c r="CB372" s="115"/>
      <c r="CC372" s="25"/>
      <c r="CD372" s="13"/>
      <c r="CG372" s="114"/>
    </row>
    <row r="373" spans="1:85" ht="20.100000000000001" customHeight="1" x14ac:dyDescent="0.4">
      <c r="A373" s="117"/>
      <c r="B373" s="123"/>
      <c r="C373" s="123"/>
      <c r="D373" s="123"/>
      <c r="AD373" s="127"/>
      <c r="AE373" s="29"/>
      <c r="AN373" s="115"/>
      <c r="AO373" s="115"/>
      <c r="AP373" s="115"/>
      <c r="AQ373" s="115"/>
      <c r="AR373" s="115"/>
      <c r="AS373" s="115"/>
      <c r="AT373" s="127"/>
      <c r="AU373" s="29"/>
      <c r="BE373" s="25"/>
      <c r="BF373" s="13"/>
      <c r="BK373" s="116"/>
      <c r="BL373" s="123"/>
      <c r="BM373" s="123"/>
      <c r="BN373" s="123"/>
      <c r="BS373" s="115"/>
      <c r="BT373" s="115"/>
      <c r="BU373" s="115"/>
      <c r="BV373" s="115"/>
      <c r="BW373" s="115"/>
      <c r="BX373" s="115"/>
      <c r="BY373" s="115"/>
      <c r="BZ373" s="115"/>
      <c r="CA373" s="115"/>
      <c r="CB373" s="115"/>
      <c r="CC373" s="25"/>
      <c r="CD373" s="13"/>
      <c r="CG373" s="114"/>
    </row>
    <row r="374" spans="1:85" ht="20.100000000000001" customHeight="1" x14ac:dyDescent="0.4">
      <c r="A374" s="117"/>
      <c r="B374" s="123"/>
      <c r="C374" s="123"/>
      <c r="D374" s="123"/>
      <c r="W374" s="115"/>
      <c r="X374" s="115"/>
      <c r="Y374" s="115"/>
      <c r="Z374" s="115"/>
      <c r="AA374" s="115"/>
      <c r="AB374" s="115"/>
      <c r="AC374" s="115"/>
      <c r="AD374" s="127"/>
      <c r="AE374" s="29"/>
      <c r="AN374" s="115"/>
      <c r="AO374" s="115"/>
      <c r="AP374" s="115"/>
      <c r="AQ374" s="115"/>
      <c r="AR374" s="115"/>
      <c r="AS374" s="115"/>
      <c r="AT374" s="127"/>
      <c r="AU374" s="29"/>
      <c r="BE374" s="25"/>
      <c r="BF374" s="13"/>
      <c r="BK374" s="116"/>
      <c r="BL374" s="123"/>
      <c r="BM374" s="123"/>
      <c r="BN374" s="123"/>
      <c r="BS374" s="115"/>
      <c r="BT374" s="115"/>
      <c r="BU374" s="115"/>
      <c r="BV374" s="115"/>
      <c r="BW374" s="115"/>
      <c r="BX374" s="115"/>
      <c r="BY374" s="115"/>
      <c r="BZ374" s="115"/>
      <c r="CA374" s="115"/>
      <c r="CB374" s="115"/>
      <c r="CC374" s="25"/>
      <c r="CD374" s="13"/>
      <c r="CG374" s="114"/>
    </row>
    <row r="375" spans="1:85" ht="20.100000000000001" customHeight="1" x14ac:dyDescent="0.4">
      <c r="A375" s="117"/>
      <c r="B375" s="123"/>
      <c r="C375" s="123"/>
      <c r="D375" s="123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27"/>
      <c r="AE375" s="29"/>
      <c r="AN375" s="115"/>
      <c r="AO375" s="115"/>
      <c r="AP375" s="115"/>
      <c r="AQ375" s="115"/>
      <c r="AR375" s="115"/>
      <c r="AS375" s="115"/>
      <c r="AT375" s="127"/>
      <c r="AU375" s="29"/>
      <c r="BE375" s="25"/>
      <c r="BF375" s="13"/>
      <c r="BK375" s="116"/>
      <c r="BL375" s="123"/>
      <c r="BM375" s="123"/>
      <c r="BN375" s="123"/>
      <c r="BS375" s="115"/>
      <c r="BT375" s="115"/>
      <c r="BU375" s="115"/>
      <c r="BV375" s="115"/>
      <c r="BW375" s="115"/>
      <c r="BX375" s="115"/>
      <c r="BY375" s="115"/>
      <c r="BZ375" s="115"/>
      <c r="CA375" s="115"/>
      <c r="CB375" s="115"/>
      <c r="CC375" s="25"/>
      <c r="CD375" s="13"/>
      <c r="CG375" s="114"/>
    </row>
    <row r="376" spans="1:85" ht="20.100000000000001" customHeight="1" x14ac:dyDescent="0.4">
      <c r="A376" s="117"/>
      <c r="B376" s="123"/>
      <c r="C376" s="123"/>
      <c r="D376" s="123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27"/>
      <c r="AE376" s="29"/>
      <c r="AN376" s="115"/>
      <c r="AO376" s="115"/>
      <c r="AP376" s="115"/>
      <c r="AQ376" s="115"/>
      <c r="AR376" s="115"/>
      <c r="AS376" s="115"/>
      <c r="AT376" s="127"/>
      <c r="AU376" s="29"/>
      <c r="BE376" s="25"/>
      <c r="BF376" s="13"/>
      <c r="BK376" s="116"/>
      <c r="BL376" s="123"/>
      <c r="BM376" s="123"/>
      <c r="BN376" s="123"/>
      <c r="BS376" s="115"/>
      <c r="BT376" s="115"/>
      <c r="BU376" s="115"/>
      <c r="BV376" s="115"/>
      <c r="BW376" s="115"/>
      <c r="BX376" s="115"/>
      <c r="BY376" s="115"/>
      <c r="BZ376" s="115"/>
      <c r="CA376" s="115"/>
      <c r="CB376" s="115"/>
      <c r="CC376" s="25"/>
      <c r="CD376" s="13"/>
      <c r="CG376" s="114"/>
    </row>
    <row r="377" spans="1:85" ht="20.100000000000001" customHeight="1" x14ac:dyDescent="0.4">
      <c r="A377" s="117"/>
      <c r="B377" s="123"/>
      <c r="C377" s="123"/>
      <c r="D377" s="123"/>
      <c r="AD377" s="127"/>
      <c r="AE377" s="29"/>
      <c r="AN377" s="115"/>
      <c r="AO377" s="115"/>
      <c r="AP377" s="115"/>
      <c r="AQ377" s="115"/>
      <c r="AR377" s="115"/>
      <c r="AS377" s="115"/>
      <c r="AT377" s="29"/>
      <c r="AU377" s="29"/>
      <c r="BE377" s="25"/>
      <c r="BF377" s="13"/>
      <c r="BK377" s="116"/>
      <c r="BL377" s="123"/>
      <c r="BM377" s="123"/>
      <c r="BN377" s="123"/>
      <c r="BS377" s="115"/>
      <c r="BT377" s="115"/>
      <c r="BU377" s="115"/>
      <c r="BV377" s="115"/>
      <c r="BW377" s="115"/>
      <c r="BX377" s="115"/>
      <c r="BY377" s="115"/>
      <c r="BZ377" s="115"/>
      <c r="CA377" s="115"/>
      <c r="CB377" s="115"/>
      <c r="CC377" s="25"/>
      <c r="CD377" s="13"/>
      <c r="CG377" s="114"/>
    </row>
    <row r="378" spans="1:85" ht="20.100000000000001" customHeight="1" x14ac:dyDescent="0.4">
      <c r="A378" s="117"/>
      <c r="B378" s="123"/>
      <c r="C378" s="123"/>
      <c r="D378" s="123"/>
      <c r="X378" s="115"/>
      <c r="Y378" s="115"/>
      <c r="Z378" s="115"/>
      <c r="AA378" s="115"/>
      <c r="AB378" s="115"/>
      <c r="AC378" s="115"/>
      <c r="AD378" s="29"/>
      <c r="AE378" s="29"/>
      <c r="AN378" s="115"/>
      <c r="AO378" s="115"/>
      <c r="AP378" s="115"/>
      <c r="AQ378" s="115"/>
      <c r="AR378" s="115"/>
      <c r="AS378" s="115"/>
      <c r="AT378" s="29"/>
      <c r="AU378" s="29"/>
      <c r="BE378" s="25"/>
      <c r="BF378" s="13"/>
      <c r="BK378" s="116"/>
      <c r="BL378" s="123"/>
      <c r="BM378" s="123"/>
      <c r="BN378" s="123"/>
      <c r="BS378" s="115"/>
      <c r="BT378" s="115"/>
      <c r="BU378" s="115"/>
      <c r="BV378" s="115"/>
      <c r="BW378" s="115"/>
      <c r="BX378" s="115"/>
      <c r="BY378" s="115"/>
      <c r="BZ378" s="115"/>
      <c r="CA378" s="115"/>
      <c r="CB378" s="115"/>
      <c r="CC378" s="25"/>
      <c r="CD378" s="13"/>
      <c r="CG378" s="114"/>
    </row>
    <row r="379" spans="1:85" ht="20.100000000000001" customHeight="1" x14ac:dyDescent="0.4">
      <c r="A379" s="117"/>
      <c r="B379" s="123"/>
      <c r="C379" s="123"/>
      <c r="D379" s="123"/>
      <c r="W379" s="115"/>
      <c r="X379" s="115"/>
      <c r="Y379" s="115"/>
      <c r="Z379" s="115"/>
      <c r="AA379" s="115"/>
      <c r="AB379" s="115"/>
      <c r="AC379" s="115"/>
      <c r="AD379" s="127"/>
      <c r="AE379" s="29"/>
      <c r="AN379" s="115"/>
      <c r="AO379" s="115"/>
      <c r="AP379" s="115"/>
      <c r="AQ379" s="115"/>
      <c r="AR379" s="115"/>
      <c r="AS379" s="115"/>
      <c r="AT379" s="29"/>
      <c r="AU379" s="29"/>
      <c r="BE379" s="25"/>
      <c r="BF379" s="13"/>
      <c r="BK379" s="116"/>
      <c r="BL379" s="123"/>
      <c r="BM379" s="123"/>
      <c r="BN379" s="123"/>
      <c r="BS379" s="115"/>
      <c r="BT379" s="115"/>
      <c r="BU379" s="115"/>
      <c r="BV379" s="115"/>
      <c r="BW379" s="115"/>
      <c r="BX379" s="115"/>
      <c r="BY379" s="115"/>
      <c r="BZ379" s="115"/>
      <c r="CA379" s="115"/>
      <c r="CB379" s="115"/>
      <c r="CC379" s="25"/>
      <c r="CD379" s="13"/>
      <c r="CG379" s="114"/>
    </row>
    <row r="380" spans="1:85" ht="20.100000000000001" customHeight="1" x14ac:dyDescent="0.4">
      <c r="A380" s="117"/>
      <c r="B380" s="123"/>
      <c r="C380" s="123"/>
      <c r="D380" s="123"/>
      <c r="AD380" s="127"/>
      <c r="AE380" s="29"/>
      <c r="AN380" s="115"/>
      <c r="AO380" s="115"/>
      <c r="AP380" s="115"/>
      <c r="AQ380" s="115"/>
      <c r="AR380" s="115"/>
      <c r="AS380" s="115"/>
      <c r="AT380" s="127"/>
      <c r="AU380" s="29"/>
      <c r="BE380" s="25"/>
      <c r="BF380" s="13"/>
      <c r="BK380" s="116"/>
      <c r="BL380" s="123"/>
      <c r="BM380" s="123"/>
      <c r="BN380" s="123"/>
      <c r="BS380" s="115"/>
      <c r="BT380" s="115"/>
      <c r="BU380" s="115"/>
      <c r="BV380" s="115"/>
      <c r="BW380" s="115"/>
      <c r="BX380" s="115"/>
      <c r="BY380" s="115"/>
      <c r="BZ380" s="115"/>
      <c r="CA380" s="115"/>
      <c r="CB380" s="115"/>
      <c r="CC380" s="25"/>
      <c r="CD380" s="13"/>
      <c r="CG380" s="114"/>
    </row>
    <row r="381" spans="1:85" ht="20.100000000000001" customHeight="1" x14ac:dyDescent="0.4">
      <c r="A381" s="117"/>
      <c r="B381" s="123"/>
      <c r="C381" s="123"/>
      <c r="D381" s="123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27"/>
      <c r="AE381" s="29"/>
      <c r="AN381" s="115"/>
      <c r="AO381" s="115"/>
      <c r="AP381" s="115"/>
      <c r="AQ381" s="115"/>
      <c r="AR381" s="115"/>
      <c r="AS381" s="115"/>
      <c r="AT381" s="127"/>
      <c r="AU381" s="29"/>
      <c r="BE381" s="25"/>
      <c r="BF381" s="13"/>
      <c r="BK381" s="116"/>
      <c r="BL381" s="123"/>
      <c r="BM381" s="123"/>
      <c r="BN381" s="123"/>
      <c r="BS381" s="115"/>
      <c r="BT381" s="115"/>
      <c r="BU381" s="115"/>
      <c r="BV381" s="115"/>
      <c r="BW381" s="115"/>
      <c r="BX381" s="115"/>
      <c r="BY381" s="115"/>
      <c r="BZ381" s="115"/>
      <c r="CA381" s="115"/>
      <c r="CB381" s="115"/>
      <c r="CC381" s="25"/>
      <c r="CD381" s="13"/>
      <c r="CG381" s="114"/>
    </row>
    <row r="382" spans="1:85" ht="20.100000000000001" customHeight="1" x14ac:dyDescent="0.4">
      <c r="A382" s="117"/>
      <c r="B382" s="123"/>
      <c r="C382" s="123"/>
      <c r="D382" s="123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9"/>
      <c r="AE382" s="29"/>
      <c r="AN382" s="115"/>
      <c r="AO382" s="115"/>
      <c r="AP382" s="115"/>
      <c r="AQ382" s="115"/>
      <c r="AR382" s="115"/>
      <c r="AS382" s="115"/>
      <c r="AT382" s="127"/>
      <c r="AU382" s="29"/>
      <c r="BE382" s="25"/>
      <c r="BF382" s="13"/>
      <c r="BK382" s="116"/>
      <c r="BL382" s="123"/>
      <c r="BM382" s="123"/>
      <c r="BN382" s="123"/>
      <c r="BS382" s="115"/>
      <c r="BT382" s="115"/>
      <c r="BU382" s="115"/>
      <c r="BV382" s="115"/>
      <c r="BW382" s="115"/>
      <c r="BX382" s="115"/>
      <c r="BY382" s="115"/>
      <c r="BZ382" s="115"/>
      <c r="CA382" s="115"/>
      <c r="CB382" s="115"/>
      <c r="CC382" s="25"/>
      <c r="CD382" s="13"/>
      <c r="CG382" s="114"/>
    </row>
    <row r="383" spans="1:85" ht="20.100000000000001" customHeight="1" x14ac:dyDescent="0.4">
      <c r="A383" s="117"/>
      <c r="B383" s="123"/>
      <c r="C383" s="123"/>
      <c r="D383" s="123"/>
      <c r="AD383" s="127"/>
      <c r="AE383" s="29"/>
      <c r="AN383" s="115"/>
      <c r="AO383" s="115"/>
      <c r="AP383" s="115"/>
      <c r="AQ383" s="115"/>
      <c r="AR383" s="115"/>
      <c r="AS383" s="115"/>
      <c r="AT383" s="127"/>
      <c r="AU383" s="29"/>
      <c r="BE383" s="25"/>
      <c r="BF383" s="13"/>
      <c r="BK383" s="116"/>
      <c r="BL383" s="123"/>
      <c r="BM383" s="123"/>
      <c r="BN383" s="123"/>
      <c r="BS383" s="115"/>
      <c r="BT383" s="115"/>
      <c r="BU383" s="115"/>
      <c r="BV383" s="115"/>
      <c r="BW383" s="115"/>
      <c r="BX383" s="115"/>
      <c r="BY383" s="115"/>
      <c r="BZ383" s="115"/>
      <c r="CA383" s="115"/>
      <c r="CB383" s="115"/>
      <c r="CC383" s="25"/>
      <c r="CD383" s="13"/>
      <c r="CG383" s="114"/>
    </row>
    <row r="384" spans="1:85" ht="20.100000000000001" customHeight="1" x14ac:dyDescent="0.4">
      <c r="A384" s="117"/>
      <c r="B384" s="123"/>
      <c r="C384" s="123"/>
      <c r="D384" s="123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27"/>
      <c r="AE384" s="29"/>
      <c r="AN384" s="115"/>
      <c r="AO384" s="115"/>
      <c r="AP384" s="115"/>
      <c r="AQ384" s="115"/>
      <c r="AR384" s="115"/>
      <c r="AS384" s="115"/>
      <c r="AT384" s="127"/>
      <c r="AU384" s="29"/>
      <c r="BE384" s="25"/>
      <c r="BF384" s="13"/>
      <c r="BK384" s="116"/>
      <c r="BL384" s="123"/>
      <c r="BM384" s="123"/>
      <c r="BN384" s="123"/>
      <c r="BS384" s="115"/>
      <c r="BT384" s="115"/>
      <c r="BU384" s="115"/>
      <c r="BV384" s="115"/>
      <c r="BW384" s="115"/>
      <c r="BX384" s="115"/>
      <c r="BY384" s="115"/>
      <c r="BZ384" s="115"/>
      <c r="CA384" s="115"/>
      <c r="CB384" s="115"/>
      <c r="CC384" s="25"/>
      <c r="CD384" s="13"/>
      <c r="CG384" s="114"/>
    </row>
    <row r="385" spans="1:85" ht="20.100000000000001" customHeight="1" x14ac:dyDescent="0.4">
      <c r="A385" s="117"/>
      <c r="B385" s="123"/>
      <c r="C385" s="123"/>
      <c r="D385" s="123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27"/>
      <c r="AE385" s="29"/>
      <c r="AN385" s="115"/>
      <c r="AO385" s="115"/>
      <c r="AP385" s="115"/>
      <c r="AQ385" s="115"/>
      <c r="AR385" s="115"/>
      <c r="AS385" s="115"/>
      <c r="AT385" s="127"/>
      <c r="AU385" s="29"/>
      <c r="BE385" s="25"/>
      <c r="BF385" s="13"/>
      <c r="BK385" s="116"/>
      <c r="BL385" s="123"/>
      <c r="BM385" s="123"/>
      <c r="BN385" s="123"/>
      <c r="BS385" s="115"/>
      <c r="BT385" s="115"/>
      <c r="BU385" s="115"/>
      <c r="BV385" s="115"/>
      <c r="BW385" s="115"/>
      <c r="BX385" s="115"/>
      <c r="BY385" s="115"/>
      <c r="BZ385" s="115"/>
      <c r="CA385" s="115"/>
      <c r="CB385" s="115"/>
      <c r="CC385" s="25"/>
      <c r="CD385" s="13"/>
      <c r="CG385" s="114"/>
    </row>
    <row r="386" spans="1:85" ht="20.100000000000001" customHeight="1" x14ac:dyDescent="0.4">
      <c r="A386" s="117"/>
      <c r="B386" s="123"/>
      <c r="C386" s="123"/>
      <c r="D386" s="123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27"/>
      <c r="AE386" s="29"/>
      <c r="AN386" s="115"/>
      <c r="AO386" s="115"/>
      <c r="AP386" s="115"/>
      <c r="AQ386" s="115"/>
      <c r="AR386" s="115"/>
      <c r="AS386" s="115"/>
      <c r="AT386" s="127"/>
      <c r="AU386" s="29"/>
      <c r="BE386" s="25"/>
      <c r="BF386" s="13"/>
      <c r="BK386" s="116"/>
      <c r="BL386" s="123"/>
      <c r="BM386" s="123"/>
      <c r="BN386" s="123"/>
      <c r="BS386" s="115"/>
      <c r="BT386" s="115"/>
      <c r="BU386" s="115"/>
      <c r="BV386" s="115"/>
      <c r="BW386" s="115"/>
      <c r="BX386" s="115"/>
      <c r="BY386" s="115"/>
      <c r="BZ386" s="115"/>
      <c r="CA386" s="115"/>
      <c r="CB386" s="115"/>
      <c r="CC386" s="25"/>
      <c r="CD386" s="13"/>
      <c r="CG386" s="114"/>
    </row>
    <row r="387" spans="1:85" ht="20.100000000000001" customHeight="1" x14ac:dyDescent="0.4">
      <c r="A387" s="117"/>
      <c r="B387" s="123"/>
      <c r="C387" s="123"/>
      <c r="D387" s="123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29"/>
      <c r="AE387" s="29"/>
      <c r="AN387" s="115"/>
      <c r="AO387" s="115"/>
      <c r="AP387" s="115"/>
      <c r="AQ387" s="115"/>
      <c r="AR387" s="115"/>
      <c r="AS387" s="115"/>
      <c r="AT387" s="127"/>
      <c r="AU387" s="29"/>
      <c r="BE387" s="25"/>
      <c r="BF387" s="13"/>
      <c r="BK387" s="116"/>
      <c r="BL387" s="123"/>
      <c r="BM387" s="123"/>
      <c r="BN387" s="123"/>
      <c r="BS387" s="115"/>
      <c r="BT387" s="115"/>
      <c r="BU387" s="115"/>
      <c r="BV387" s="115"/>
      <c r="BW387" s="115"/>
      <c r="BX387" s="115"/>
      <c r="BY387" s="115"/>
      <c r="BZ387" s="115"/>
      <c r="CA387" s="115"/>
      <c r="CB387" s="115"/>
      <c r="CC387" s="25"/>
      <c r="CD387" s="13"/>
      <c r="CG387" s="114"/>
    </row>
    <row r="388" spans="1:85" ht="20.100000000000001" customHeight="1" x14ac:dyDescent="0.4">
      <c r="A388" s="117"/>
      <c r="B388" s="123"/>
      <c r="C388" s="123"/>
      <c r="D388" s="123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27"/>
      <c r="AE388" s="29"/>
      <c r="AN388" s="115"/>
      <c r="AO388" s="115"/>
      <c r="AP388" s="115"/>
      <c r="AQ388" s="115"/>
      <c r="AR388" s="115"/>
      <c r="AS388" s="115"/>
      <c r="AT388" s="127"/>
      <c r="AU388" s="29"/>
      <c r="BE388" s="25"/>
      <c r="BF388" s="13"/>
      <c r="BK388" s="116"/>
      <c r="BL388" s="123"/>
      <c r="BM388" s="123"/>
      <c r="BN388" s="123"/>
      <c r="BS388" s="115"/>
      <c r="BT388" s="115"/>
      <c r="BU388" s="115"/>
      <c r="BV388" s="115"/>
      <c r="BW388" s="115"/>
      <c r="BX388" s="115"/>
      <c r="BY388" s="115"/>
      <c r="BZ388" s="115"/>
      <c r="CA388" s="115"/>
      <c r="CB388" s="115"/>
      <c r="CC388" s="25"/>
      <c r="CD388" s="13"/>
      <c r="CG388" s="114"/>
    </row>
    <row r="389" spans="1:85" ht="20.100000000000001" customHeight="1" x14ac:dyDescent="0.4">
      <c r="A389" s="117"/>
      <c r="B389" s="123"/>
      <c r="C389" s="123"/>
      <c r="D389" s="123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27"/>
      <c r="AE389" s="29"/>
      <c r="AN389" s="115"/>
      <c r="AO389" s="115"/>
      <c r="AP389" s="115"/>
      <c r="AQ389" s="115"/>
      <c r="AR389" s="115"/>
      <c r="AS389" s="115"/>
      <c r="AT389" s="127"/>
      <c r="AU389" s="29"/>
      <c r="BE389" s="25"/>
      <c r="BF389" s="13"/>
      <c r="BK389" s="116"/>
      <c r="BL389" s="123"/>
      <c r="BM389" s="123"/>
      <c r="BN389" s="123"/>
      <c r="BS389" s="115"/>
      <c r="BT389" s="115"/>
      <c r="BU389" s="115"/>
      <c r="BV389" s="115"/>
      <c r="BW389" s="115"/>
      <c r="BX389" s="115"/>
      <c r="BY389" s="115"/>
      <c r="BZ389" s="115"/>
      <c r="CA389" s="115"/>
      <c r="CB389" s="115"/>
      <c r="CC389" s="25"/>
      <c r="CD389" s="13"/>
      <c r="CG389" s="114"/>
    </row>
    <row r="390" spans="1:85" ht="20.100000000000001" customHeight="1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27"/>
      <c r="AE390" s="29"/>
      <c r="AN390" s="115"/>
      <c r="AO390" s="115"/>
      <c r="AP390" s="115"/>
      <c r="AQ390" s="115"/>
      <c r="AR390" s="115"/>
      <c r="AS390" s="115"/>
      <c r="AT390" s="127"/>
      <c r="AU390" s="29"/>
      <c r="BE390" s="25"/>
      <c r="BF390" s="13"/>
      <c r="BK390" s="116"/>
      <c r="BL390" s="123"/>
      <c r="BM390" s="123"/>
      <c r="BN390" s="123"/>
      <c r="BS390" s="115"/>
      <c r="BT390" s="115"/>
      <c r="BU390" s="115"/>
      <c r="BV390" s="115"/>
      <c r="BW390" s="115"/>
      <c r="BX390" s="115"/>
      <c r="BY390" s="115"/>
      <c r="BZ390" s="115"/>
      <c r="CA390" s="115"/>
      <c r="CB390" s="115"/>
      <c r="CC390" s="25"/>
      <c r="CD390" s="13"/>
      <c r="CG390" s="114"/>
    </row>
    <row r="391" spans="1:85" ht="20.100000000000001" customHeight="1" x14ac:dyDescent="0.4">
      <c r="A391" s="117"/>
      <c r="B391" s="123"/>
      <c r="C391" s="123"/>
      <c r="D391" s="123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27"/>
      <c r="AE391" s="29"/>
      <c r="AN391" s="115"/>
      <c r="AO391" s="115"/>
      <c r="AP391" s="115"/>
      <c r="AQ391" s="115"/>
      <c r="AR391" s="115"/>
      <c r="AS391" s="115"/>
      <c r="AT391" s="127"/>
      <c r="AU391" s="29"/>
      <c r="BE391" s="25"/>
      <c r="BF391" s="13"/>
      <c r="BK391" s="116"/>
      <c r="BL391" s="123"/>
      <c r="BM391" s="123"/>
      <c r="BN391" s="123"/>
      <c r="BS391" s="115"/>
      <c r="BT391" s="115"/>
      <c r="BU391" s="115"/>
      <c r="BV391" s="115"/>
      <c r="BW391" s="115"/>
      <c r="BX391" s="115"/>
      <c r="BY391" s="115"/>
      <c r="BZ391" s="115"/>
      <c r="CA391" s="115"/>
      <c r="CB391" s="115"/>
      <c r="CC391" s="25"/>
      <c r="CD391" s="13"/>
      <c r="CG391" s="114"/>
    </row>
    <row r="392" spans="1:85" ht="20.100000000000001" customHeight="1" x14ac:dyDescent="0.4">
      <c r="A392" s="117"/>
      <c r="B392" s="123"/>
      <c r="C392" s="123"/>
      <c r="D392" s="123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9"/>
      <c r="AE392" s="29"/>
      <c r="AN392" s="115"/>
      <c r="AO392" s="115"/>
      <c r="AP392" s="115"/>
      <c r="AQ392" s="115"/>
      <c r="AR392" s="115"/>
      <c r="AS392" s="115"/>
      <c r="AT392" s="127"/>
      <c r="AU392" s="29"/>
      <c r="BE392" s="25"/>
      <c r="BF392" s="13"/>
      <c r="BK392" s="116"/>
      <c r="BL392" s="123"/>
      <c r="BM392" s="123"/>
      <c r="BN392" s="123"/>
      <c r="BS392" s="115"/>
      <c r="BT392" s="115"/>
      <c r="BU392" s="115"/>
      <c r="BV392" s="115"/>
      <c r="BW392" s="115"/>
      <c r="BX392" s="115"/>
      <c r="BY392" s="115"/>
      <c r="BZ392" s="115"/>
      <c r="CA392" s="115"/>
      <c r="CB392" s="115"/>
      <c r="CC392" s="25"/>
      <c r="CD392" s="13"/>
      <c r="CG392" s="114"/>
    </row>
    <row r="393" spans="1:85" ht="20.100000000000001" customHeight="1" x14ac:dyDescent="0.4">
      <c r="A393" s="117"/>
      <c r="B393" s="123"/>
      <c r="C393" s="123"/>
      <c r="D393" s="123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27"/>
      <c r="AE393" s="29"/>
      <c r="AN393" s="115"/>
      <c r="AO393" s="115"/>
      <c r="AP393" s="115"/>
      <c r="AQ393" s="115"/>
      <c r="AR393" s="115"/>
      <c r="AS393" s="115"/>
      <c r="AT393" s="127"/>
      <c r="AU393" s="29"/>
      <c r="BE393" s="25"/>
      <c r="BF393" s="13"/>
      <c r="BK393" s="116"/>
      <c r="BL393" s="123"/>
      <c r="BM393" s="123"/>
      <c r="BN393" s="123"/>
      <c r="BS393" s="115"/>
      <c r="BT393" s="115"/>
      <c r="BU393" s="115"/>
      <c r="BV393" s="115"/>
      <c r="BW393" s="115"/>
      <c r="BX393" s="115"/>
      <c r="BY393" s="115"/>
      <c r="BZ393" s="115"/>
      <c r="CA393" s="115"/>
      <c r="CB393" s="115"/>
      <c r="CC393" s="25"/>
      <c r="CD393" s="13"/>
      <c r="CG393" s="114"/>
    </row>
    <row r="394" spans="1:85" ht="20.100000000000001" customHeight="1" x14ac:dyDescent="0.4">
      <c r="A394" s="117"/>
      <c r="B394" s="123"/>
      <c r="C394" s="123"/>
      <c r="D394" s="123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9"/>
      <c r="AE394" s="29"/>
      <c r="AN394" s="115"/>
      <c r="AO394" s="115"/>
      <c r="AP394" s="115"/>
      <c r="AQ394" s="115"/>
      <c r="AR394" s="115"/>
      <c r="AS394" s="115"/>
      <c r="AT394" s="127"/>
      <c r="AU394" s="29"/>
      <c r="BE394" s="25"/>
      <c r="BF394" s="13"/>
      <c r="BK394" s="116"/>
      <c r="BL394" s="123"/>
      <c r="BM394" s="123"/>
      <c r="BN394" s="123"/>
      <c r="BS394" s="115"/>
      <c r="BT394" s="115"/>
      <c r="BU394" s="115"/>
      <c r="BV394" s="115"/>
      <c r="BW394" s="115"/>
      <c r="BX394" s="115"/>
      <c r="BY394" s="115"/>
      <c r="BZ394" s="115"/>
      <c r="CA394" s="115"/>
      <c r="CB394" s="115"/>
      <c r="CC394" s="25"/>
      <c r="CD394" s="13"/>
      <c r="CG394" s="114"/>
    </row>
    <row r="395" spans="1:85" ht="20.100000000000001" customHeight="1" x14ac:dyDescent="0.4">
      <c r="A395" s="117"/>
      <c r="B395" s="123"/>
      <c r="C395" s="123"/>
      <c r="D395" s="123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9"/>
      <c r="AE395" s="29"/>
      <c r="AN395" s="115"/>
      <c r="AO395" s="115"/>
      <c r="AP395" s="115"/>
      <c r="AQ395" s="115"/>
      <c r="AR395" s="115"/>
      <c r="AS395" s="115"/>
      <c r="AT395" s="127"/>
      <c r="AU395" s="29"/>
      <c r="BE395" s="25"/>
      <c r="BF395" s="13"/>
      <c r="BK395" s="116"/>
      <c r="BL395" s="123"/>
      <c r="BM395" s="123"/>
      <c r="BN395" s="123"/>
      <c r="BS395" s="115"/>
      <c r="BT395" s="115"/>
      <c r="BU395" s="115"/>
      <c r="BV395" s="115"/>
      <c r="BW395" s="115"/>
      <c r="BX395" s="115"/>
      <c r="BY395" s="115"/>
      <c r="BZ395" s="115"/>
      <c r="CA395" s="115"/>
      <c r="CB395" s="115"/>
      <c r="CC395" s="25"/>
      <c r="CD395" s="13"/>
      <c r="CG395" s="114"/>
    </row>
    <row r="396" spans="1:85" ht="20.100000000000001" customHeight="1" x14ac:dyDescent="0.4">
      <c r="A396" s="117"/>
      <c r="B396" s="123"/>
      <c r="C396" s="123"/>
      <c r="D396" s="123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9"/>
      <c r="AE396" s="29"/>
      <c r="AN396" s="115"/>
      <c r="AO396" s="115"/>
      <c r="AP396" s="115"/>
      <c r="AQ396" s="115"/>
      <c r="AR396" s="115"/>
      <c r="AS396" s="115"/>
      <c r="AT396" s="127"/>
      <c r="AU396" s="29"/>
      <c r="BE396" s="25"/>
      <c r="BF396" s="13"/>
      <c r="BK396" s="116"/>
      <c r="BL396" s="123"/>
      <c r="BM396" s="123"/>
      <c r="BN396" s="123"/>
      <c r="BS396" s="115"/>
      <c r="BT396" s="115"/>
      <c r="BU396" s="115"/>
      <c r="BV396" s="115"/>
      <c r="BW396" s="115"/>
      <c r="BX396" s="115"/>
      <c r="BY396" s="115"/>
      <c r="BZ396" s="115"/>
      <c r="CA396" s="115"/>
      <c r="CB396" s="115"/>
      <c r="CC396" s="25"/>
      <c r="CD396" s="13"/>
      <c r="CG396" s="114"/>
    </row>
    <row r="397" spans="1:85" ht="20.100000000000001" customHeight="1" x14ac:dyDescent="0.4">
      <c r="A397" s="117"/>
      <c r="B397" s="123"/>
      <c r="C397" s="123"/>
      <c r="D397" s="123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9"/>
      <c r="AE397" s="29"/>
      <c r="AN397" s="115"/>
      <c r="AO397" s="115"/>
      <c r="AP397" s="115"/>
      <c r="AQ397" s="115"/>
      <c r="AR397" s="115"/>
      <c r="AS397" s="115"/>
      <c r="AT397" s="127"/>
      <c r="AU397" s="29"/>
      <c r="BE397" s="25"/>
      <c r="BF397" s="13"/>
      <c r="BK397" s="116"/>
      <c r="BL397" s="123"/>
      <c r="BM397" s="123"/>
      <c r="BN397" s="123"/>
      <c r="BS397" s="115"/>
      <c r="BT397" s="115"/>
      <c r="BU397" s="115"/>
      <c r="BV397" s="115"/>
      <c r="BW397" s="115"/>
      <c r="BX397" s="115"/>
      <c r="BY397" s="115"/>
      <c r="BZ397" s="115"/>
      <c r="CA397" s="115"/>
      <c r="CB397" s="115"/>
      <c r="CC397" s="25"/>
      <c r="CD397" s="13"/>
      <c r="CG397" s="114"/>
    </row>
    <row r="398" spans="1:85" ht="20.100000000000001" customHeight="1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27"/>
      <c r="AE398" s="29"/>
      <c r="AN398" s="115"/>
      <c r="AO398" s="115"/>
      <c r="AP398" s="115"/>
      <c r="AQ398" s="115"/>
      <c r="AR398" s="115"/>
      <c r="AS398" s="115"/>
      <c r="AT398" s="127"/>
      <c r="AU398" s="29"/>
      <c r="BE398" s="25"/>
      <c r="BF398" s="13"/>
      <c r="BK398" s="116"/>
      <c r="BL398" s="123"/>
      <c r="BM398" s="123"/>
      <c r="BN398" s="123"/>
      <c r="BS398" s="115"/>
      <c r="BT398" s="115"/>
      <c r="BU398" s="115"/>
      <c r="BV398" s="115"/>
      <c r="BW398" s="115"/>
      <c r="BX398" s="115"/>
      <c r="BY398" s="115"/>
      <c r="BZ398" s="115"/>
      <c r="CA398" s="115"/>
      <c r="CB398" s="115"/>
      <c r="CC398" s="25"/>
      <c r="CD398" s="13"/>
      <c r="CG398" s="114"/>
    </row>
    <row r="399" spans="1:85" ht="20.100000000000001" customHeight="1" x14ac:dyDescent="0.4">
      <c r="A399" s="117"/>
      <c r="B399" s="123"/>
      <c r="C399" s="123"/>
      <c r="D399" s="123"/>
      <c r="AD399" s="127"/>
      <c r="AE399" s="29"/>
      <c r="AN399" s="115"/>
      <c r="AO399" s="115"/>
      <c r="AP399" s="115"/>
      <c r="AQ399" s="115"/>
      <c r="AR399" s="115"/>
      <c r="AS399" s="115"/>
      <c r="AT399" s="127"/>
      <c r="AU399" s="29"/>
      <c r="BE399" s="25"/>
      <c r="BF399" s="13"/>
      <c r="BK399" s="116"/>
      <c r="BL399" s="123"/>
      <c r="BM399" s="123"/>
      <c r="BN399" s="123"/>
      <c r="BS399" s="115"/>
      <c r="BT399" s="115"/>
      <c r="BU399" s="115"/>
      <c r="BV399" s="115"/>
      <c r="BW399" s="115"/>
      <c r="BX399" s="115"/>
      <c r="BY399" s="115"/>
      <c r="BZ399" s="115"/>
      <c r="CA399" s="115"/>
      <c r="CB399" s="115"/>
      <c r="CC399" s="25"/>
      <c r="CD399" s="13"/>
      <c r="CG399" s="114"/>
    </row>
    <row r="400" spans="1:85" ht="20.100000000000001" customHeight="1" x14ac:dyDescent="0.4">
      <c r="A400" s="117"/>
      <c r="B400" s="123"/>
      <c r="C400" s="123"/>
      <c r="D400" s="123"/>
      <c r="AD400" s="127"/>
      <c r="AE400" s="29"/>
      <c r="AN400" s="115"/>
      <c r="AO400" s="115"/>
      <c r="AP400" s="115"/>
      <c r="AQ400" s="115"/>
      <c r="AR400" s="115"/>
      <c r="AS400" s="115"/>
      <c r="AT400" s="29"/>
      <c r="AU400" s="29"/>
      <c r="BE400" s="25"/>
      <c r="BF400" s="13"/>
      <c r="BK400" s="116"/>
      <c r="BL400" s="123"/>
      <c r="BM400" s="123"/>
      <c r="BN400" s="123"/>
      <c r="BS400" s="115"/>
      <c r="BT400" s="115"/>
      <c r="BU400" s="115"/>
      <c r="BV400" s="115"/>
      <c r="BW400" s="115"/>
      <c r="BX400" s="115"/>
      <c r="BY400" s="115"/>
      <c r="BZ400" s="115"/>
      <c r="CA400" s="115"/>
      <c r="CB400" s="115"/>
      <c r="CC400" s="25"/>
      <c r="CD400" s="13"/>
      <c r="CG400" s="114"/>
    </row>
    <row r="401" spans="1:85" ht="20.100000000000001" customHeight="1" x14ac:dyDescent="0.4">
      <c r="A401" s="117"/>
      <c r="B401" s="123"/>
      <c r="C401" s="123"/>
      <c r="D401" s="123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27"/>
      <c r="AE401" s="29"/>
      <c r="AN401" s="115"/>
      <c r="AO401" s="115"/>
      <c r="AP401" s="115"/>
      <c r="AQ401" s="115"/>
      <c r="AR401" s="115"/>
      <c r="AS401" s="115"/>
      <c r="AT401" s="29"/>
      <c r="AU401" s="29"/>
      <c r="BE401" s="25"/>
      <c r="BF401" s="13"/>
      <c r="BK401" s="116"/>
      <c r="BL401" s="123"/>
      <c r="BM401" s="123"/>
      <c r="BN401" s="123"/>
      <c r="BS401" s="115"/>
      <c r="BT401" s="115"/>
      <c r="BU401" s="115"/>
      <c r="BV401" s="115"/>
      <c r="BW401" s="115"/>
      <c r="BX401" s="115"/>
      <c r="BY401" s="115"/>
      <c r="BZ401" s="115"/>
      <c r="CA401" s="115"/>
      <c r="CB401" s="115"/>
      <c r="CC401" s="25"/>
      <c r="CD401" s="13"/>
      <c r="CG401" s="114"/>
    </row>
    <row r="402" spans="1:85" ht="20.100000000000001" customHeight="1" x14ac:dyDescent="0.4">
      <c r="A402" s="117"/>
      <c r="B402" s="123"/>
      <c r="C402" s="123"/>
      <c r="D402" s="123"/>
      <c r="AD402" s="127"/>
      <c r="AE402" s="29"/>
      <c r="AN402" s="115"/>
      <c r="AO402" s="115"/>
      <c r="AP402" s="115"/>
      <c r="AQ402" s="115"/>
      <c r="AR402" s="115"/>
      <c r="AS402" s="115"/>
      <c r="AT402" s="127"/>
      <c r="AU402" s="29"/>
      <c r="BE402" s="25"/>
      <c r="BF402" s="13"/>
      <c r="BK402" s="116"/>
      <c r="BL402" s="123"/>
      <c r="BM402" s="123"/>
      <c r="BN402" s="123"/>
      <c r="BS402" s="115"/>
      <c r="BT402" s="115"/>
      <c r="BU402" s="115"/>
      <c r="BV402" s="115"/>
      <c r="BW402" s="115"/>
      <c r="BX402" s="115"/>
      <c r="BY402" s="115"/>
      <c r="BZ402" s="115"/>
      <c r="CA402" s="115"/>
      <c r="CB402" s="115"/>
      <c r="CC402" s="25"/>
      <c r="CD402" s="13"/>
      <c r="CG402" s="114"/>
    </row>
    <row r="403" spans="1:85" ht="20.100000000000001" customHeight="1" x14ac:dyDescent="0.4">
      <c r="A403" s="117"/>
      <c r="B403" s="123"/>
      <c r="C403" s="123"/>
      <c r="D403" s="123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27"/>
      <c r="AE403" s="29"/>
      <c r="AN403" s="115"/>
      <c r="AO403" s="115"/>
      <c r="AP403" s="115"/>
      <c r="AQ403" s="115"/>
      <c r="AR403" s="115"/>
      <c r="AS403" s="115"/>
      <c r="AT403" s="127"/>
      <c r="AU403" s="29"/>
      <c r="BE403" s="25"/>
      <c r="BF403" s="13"/>
      <c r="BK403" s="116"/>
      <c r="BL403" s="123"/>
      <c r="BM403" s="123"/>
      <c r="BN403" s="123"/>
      <c r="BS403" s="115"/>
      <c r="BT403" s="115"/>
      <c r="BU403" s="115"/>
      <c r="BV403" s="115"/>
      <c r="BW403" s="115"/>
      <c r="BX403" s="115"/>
      <c r="BY403" s="115"/>
      <c r="BZ403" s="115"/>
      <c r="CA403" s="115"/>
      <c r="CB403" s="115"/>
      <c r="CC403" s="25"/>
      <c r="CD403" s="13"/>
      <c r="CG403" s="114"/>
    </row>
    <row r="404" spans="1:85" ht="20.100000000000001" customHeight="1" x14ac:dyDescent="0.4">
      <c r="A404" s="117"/>
      <c r="B404" s="123"/>
      <c r="C404" s="123"/>
      <c r="D404" s="123"/>
      <c r="AD404" s="127"/>
      <c r="AE404" s="29"/>
      <c r="AN404" s="115"/>
      <c r="AO404" s="115"/>
      <c r="AP404" s="115"/>
      <c r="AQ404" s="115"/>
      <c r="AR404" s="115"/>
      <c r="AS404" s="115"/>
      <c r="AT404" s="29"/>
      <c r="AU404" s="29"/>
      <c r="BE404" s="25"/>
      <c r="BF404" s="13"/>
      <c r="BK404" s="116"/>
      <c r="BL404" s="123"/>
      <c r="BM404" s="123"/>
      <c r="BN404" s="123"/>
      <c r="BS404" s="115"/>
      <c r="BT404" s="115"/>
      <c r="BU404" s="115"/>
      <c r="BV404" s="115"/>
      <c r="BW404" s="115"/>
      <c r="BX404" s="115"/>
      <c r="BY404" s="115"/>
      <c r="BZ404" s="115"/>
      <c r="CA404" s="115"/>
      <c r="CB404" s="115"/>
      <c r="CC404" s="25"/>
      <c r="CD404" s="13"/>
      <c r="CG404" s="114"/>
    </row>
    <row r="405" spans="1:85" ht="20.100000000000001" customHeight="1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27"/>
      <c r="AE405" s="29"/>
      <c r="AN405" s="115"/>
      <c r="AO405" s="115"/>
      <c r="AP405" s="115"/>
      <c r="AQ405" s="115"/>
      <c r="AR405" s="115"/>
      <c r="AS405" s="115"/>
      <c r="AT405" s="29"/>
      <c r="AU405" s="29"/>
      <c r="BE405" s="25"/>
      <c r="BF405" s="13"/>
      <c r="BK405" s="116"/>
      <c r="BL405" s="123"/>
      <c r="BM405" s="123"/>
      <c r="BN405" s="123"/>
      <c r="BS405" s="115"/>
      <c r="BT405" s="115"/>
      <c r="BU405" s="115"/>
      <c r="BV405" s="115"/>
      <c r="BW405" s="115"/>
      <c r="BX405" s="115"/>
      <c r="BY405" s="115"/>
      <c r="BZ405" s="115"/>
      <c r="CA405" s="115"/>
      <c r="CB405" s="115"/>
      <c r="CC405" s="25"/>
      <c r="CD405" s="13"/>
      <c r="CG405" s="114"/>
    </row>
    <row r="406" spans="1:85" ht="20.100000000000001" customHeight="1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27"/>
      <c r="AE406" s="29"/>
      <c r="AN406" s="115"/>
      <c r="AO406" s="115"/>
      <c r="AP406" s="115"/>
      <c r="AQ406" s="115"/>
      <c r="AR406" s="115"/>
      <c r="AS406" s="115"/>
      <c r="AT406" s="29"/>
      <c r="AU406" s="29"/>
      <c r="BE406" s="25"/>
      <c r="BF406" s="13"/>
      <c r="BK406" s="116"/>
      <c r="BL406" s="123"/>
      <c r="BM406" s="123"/>
      <c r="BN406" s="123"/>
      <c r="BS406" s="115"/>
      <c r="BT406" s="115"/>
      <c r="BU406" s="115"/>
      <c r="BV406" s="115"/>
      <c r="BW406" s="115"/>
      <c r="BX406" s="115"/>
      <c r="BY406" s="115"/>
      <c r="BZ406" s="115"/>
      <c r="CA406" s="115"/>
      <c r="CB406" s="115"/>
      <c r="CC406" s="25"/>
      <c r="CD406" s="13"/>
      <c r="CG406" s="114"/>
    </row>
    <row r="407" spans="1:85" ht="20.100000000000001" customHeight="1" x14ac:dyDescent="0.4">
      <c r="A407" s="117"/>
      <c r="B407" s="123"/>
      <c r="C407" s="123"/>
      <c r="D407" s="123"/>
      <c r="AD407" s="127"/>
      <c r="AE407" s="29"/>
      <c r="AN407" s="115"/>
      <c r="AO407" s="115"/>
      <c r="AP407" s="115"/>
      <c r="AQ407" s="115"/>
      <c r="AR407" s="115"/>
      <c r="AS407" s="115"/>
      <c r="AT407" s="127"/>
      <c r="AU407" s="29"/>
      <c r="BE407" s="25"/>
      <c r="BF407" s="13"/>
      <c r="BK407" s="116"/>
      <c r="BL407" s="123"/>
      <c r="BM407" s="123"/>
      <c r="BN407" s="123"/>
      <c r="BS407" s="115"/>
      <c r="BT407" s="115"/>
      <c r="BU407" s="115"/>
      <c r="BV407" s="115"/>
      <c r="BW407" s="115"/>
      <c r="BX407" s="115"/>
      <c r="BY407" s="115"/>
      <c r="BZ407" s="115"/>
      <c r="CA407" s="115"/>
      <c r="CB407" s="115"/>
      <c r="CC407" s="25"/>
      <c r="CD407" s="13"/>
      <c r="CG407" s="114"/>
    </row>
    <row r="408" spans="1:85" ht="20.100000000000001" customHeight="1" x14ac:dyDescent="0.4">
      <c r="A408" s="117"/>
      <c r="B408" s="123"/>
      <c r="C408" s="123"/>
      <c r="D408" s="123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27"/>
      <c r="AE408" s="29"/>
      <c r="AN408" s="115"/>
      <c r="AO408" s="115"/>
      <c r="AP408" s="115"/>
      <c r="AQ408" s="115"/>
      <c r="AR408" s="115"/>
      <c r="AS408" s="115"/>
      <c r="AT408" s="127"/>
      <c r="AU408" s="29"/>
      <c r="BE408" s="25"/>
      <c r="BF408" s="13"/>
      <c r="BK408" s="116"/>
      <c r="BL408" s="123"/>
      <c r="BM408" s="123"/>
      <c r="BN408" s="123"/>
      <c r="BS408" s="115"/>
      <c r="BT408" s="115"/>
      <c r="BU408" s="115"/>
      <c r="BV408" s="115"/>
      <c r="BW408" s="115"/>
      <c r="BX408" s="115"/>
      <c r="BY408" s="115"/>
      <c r="BZ408" s="115"/>
      <c r="CA408" s="115"/>
      <c r="CB408" s="115"/>
      <c r="CC408" s="25"/>
      <c r="CD408" s="13"/>
      <c r="CG408" s="114"/>
    </row>
    <row r="409" spans="1:85" ht="20.100000000000001" customHeight="1" x14ac:dyDescent="0.4">
      <c r="A409" s="117"/>
      <c r="B409" s="123"/>
      <c r="C409" s="123"/>
      <c r="D409" s="123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27"/>
      <c r="AE409" s="29"/>
      <c r="AN409" s="115"/>
      <c r="AO409" s="115"/>
      <c r="AP409" s="115"/>
      <c r="AQ409" s="115"/>
      <c r="AR409" s="115"/>
      <c r="AS409" s="115"/>
      <c r="AT409" s="127"/>
      <c r="AU409" s="29"/>
      <c r="BE409" s="25"/>
      <c r="BF409" s="13"/>
      <c r="BK409" s="116"/>
      <c r="BL409" s="123"/>
      <c r="BM409" s="123"/>
      <c r="BN409" s="123"/>
      <c r="BS409" s="115"/>
      <c r="BT409" s="115"/>
      <c r="BU409" s="115"/>
      <c r="BV409" s="115"/>
      <c r="BW409" s="115"/>
      <c r="BX409" s="115"/>
      <c r="BY409" s="115"/>
      <c r="BZ409" s="115"/>
      <c r="CA409" s="115"/>
      <c r="CB409" s="115"/>
      <c r="CC409" s="25"/>
      <c r="CD409" s="13"/>
      <c r="CG409" s="114"/>
    </row>
    <row r="410" spans="1:85" ht="20.100000000000001" customHeight="1" x14ac:dyDescent="0.4">
      <c r="A410" s="117"/>
      <c r="B410" s="123"/>
      <c r="C410" s="123"/>
      <c r="D410" s="123"/>
      <c r="AD410" s="127"/>
      <c r="AE410" s="29"/>
      <c r="AN410" s="115"/>
      <c r="AO410" s="115"/>
      <c r="AP410" s="115"/>
      <c r="AQ410" s="115"/>
      <c r="AR410" s="115"/>
      <c r="AS410" s="115"/>
      <c r="AT410" s="127"/>
      <c r="AU410" s="29"/>
      <c r="BE410" s="25"/>
      <c r="BF410" s="13"/>
      <c r="BK410" s="116"/>
      <c r="BL410" s="123"/>
      <c r="BM410" s="123"/>
      <c r="BN410" s="123"/>
      <c r="BS410" s="115"/>
      <c r="BT410" s="115"/>
      <c r="BU410" s="115"/>
      <c r="BV410" s="115"/>
      <c r="BW410" s="115"/>
      <c r="BX410" s="115"/>
      <c r="BY410" s="115"/>
      <c r="BZ410" s="115"/>
      <c r="CA410" s="115"/>
      <c r="CB410" s="115"/>
      <c r="CC410" s="25"/>
      <c r="CD410" s="13"/>
      <c r="CG410" s="114"/>
    </row>
    <row r="411" spans="1:85" ht="20.100000000000001" customHeight="1" x14ac:dyDescent="0.4">
      <c r="A411" s="117"/>
      <c r="B411" s="123"/>
      <c r="C411" s="123"/>
      <c r="D411" s="123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27"/>
      <c r="AE411" s="29"/>
      <c r="AN411" s="115"/>
      <c r="AO411" s="115"/>
      <c r="AP411" s="115"/>
      <c r="AQ411" s="115"/>
      <c r="AR411" s="115"/>
      <c r="AS411" s="115"/>
      <c r="AT411" s="127"/>
      <c r="AU411" s="29"/>
      <c r="BE411" s="25"/>
      <c r="BF411" s="13"/>
      <c r="BK411" s="116"/>
      <c r="BL411" s="123"/>
      <c r="BM411" s="123"/>
      <c r="BN411" s="123"/>
      <c r="BS411" s="115"/>
      <c r="BT411" s="115"/>
      <c r="BU411" s="115"/>
      <c r="BV411" s="115"/>
      <c r="BW411" s="115"/>
      <c r="BX411" s="115"/>
      <c r="BY411" s="115"/>
      <c r="BZ411" s="115"/>
      <c r="CA411" s="115"/>
      <c r="CB411" s="115"/>
      <c r="CC411" s="25"/>
      <c r="CD411" s="13"/>
      <c r="CG411" s="114"/>
    </row>
    <row r="412" spans="1:85" ht="20.100000000000001" customHeight="1" x14ac:dyDescent="0.4">
      <c r="A412" s="117"/>
      <c r="B412" s="123"/>
      <c r="C412" s="123"/>
      <c r="D412" s="123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27"/>
      <c r="AE412" s="29"/>
      <c r="AN412" s="115"/>
      <c r="AO412" s="115"/>
      <c r="AP412" s="115"/>
      <c r="AQ412" s="115"/>
      <c r="AR412" s="115"/>
      <c r="AS412" s="115"/>
      <c r="AT412" s="127"/>
      <c r="AU412" s="29"/>
      <c r="BE412" s="25"/>
      <c r="BF412" s="13"/>
      <c r="BK412" s="116"/>
      <c r="BL412" s="123"/>
      <c r="BM412" s="123"/>
      <c r="BN412" s="123"/>
      <c r="BS412" s="115"/>
      <c r="BT412" s="115"/>
      <c r="BU412" s="115"/>
      <c r="BV412" s="115"/>
      <c r="BW412" s="115"/>
      <c r="BX412" s="115"/>
      <c r="BY412" s="115"/>
      <c r="BZ412" s="115"/>
      <c r="CA412" s="115"/>
      <c r="CB412" s="115"/>
      <c r="CC412" s="25"/>
      <c r="CD412" s="13"/>
      <c r="CG412" s="114"/>
    </row>
    <row r="413" spans="1:85" ht="20.100000000000001" customHeight="1" x14ac:dyDescent="0.4">
      <c r="A413" s="117"/>
      <c r="B413" s="123"/>
      <c r="C413" s="123"/>
      <c r="D413" s="123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27"/>
      <c r="AE413" s="29"/>
      <c r="AN413" s="115"/>
      <c r="AO413" s="115"/>
      <c r="AP413" s="115"/>
      <c r="AQ413" s="115"/>
      <c r="AR413" s="115"/>
      <c r="AS413" s="115"/>
      <c r="AT413" s="127"/>
      <c r="AU413" s="29"/>
      <c r="BE413" s="25"/>
      <c r="BF413" s="13"/>
      <c r="BK413" s="116"/>
      <c r="BL413" s="123"/>
      <c r="BM413" s="123"/>
      <c r="BN413" s="123"/>
      <c r="BS413" s="115"/>
      <c r="BT413" s="115"/>
      <c r="BU413" s="115"/>
      <c r="BV413" s="115"/>
      <c r="BW413" s="115"/>
      <c r="BX413" s="115"/>
      <c r="BY413" s="115"/>
      <c r="BZ413" s="115"/>
      <c r="CA413" s="115"/>
      <c r="CB413" s="115"/>
      <c r="CC413" s="25"/>
      <c r="CD413" s="13"/>
      <c r="CG413" s="114"/>
    </row>
    <row r="414" spans="1:85" ht="20.100000000000001" customHeight="1" x14ac:dyDescent="0.4">
      <c r="A414" s="117"/>
      <c r="B414" s="123"/>
      <c r="C414" s="123"/>
      <c r="D414" s="123"/>
      <c r="AD414" s="127"/>
      <c r="AE414" s="29"/>
      <c r="AN414" s="115"/>
      <c r="AO414" s="115"/>
      <c r="AP414" s="115"/>
      <c r="AQ414" s="115"/>
      <c r="AR414" s="115"/>
      <c r="AS414" s="115"/>
      <c r="AT414" s="29"/>
      <c r="AU414" s="29"/>
      <c r="BE414" s="25"/>
      <c r="BF414" s="13"/>
      <c r="BK414" s="116"/>
      <c r="BL414" s="123"/>
      <c r="BM414" s="123"/>
      <c r="BN414" s="123"/>
      <c r="BS414" s="115"/>
      <c r="BT414" s="115"/>
      <c r="BU414" s="115"/>
      <c r="BV414" s="115"/>
      <c r="BW414" s="115"/>
      <c r="BX414" s="115"/>
      <c r="BY414" s="115"/>
      <c r="BZ414" s="115"/>
      <c r="CA414" s="115"/>
      <c r="CB414" s="115"/>
      <c r="CC414" s="25"/>
      <c r="CD414" s="13"/>
      <c r="CG414" s="114"/>
    </row>
    <row r="415" spans="1:85" ht="20.100000000000001" customHeight="1" x14ac:dyDescent="0.4">
      <c r="A415" s="117"/>
      <c r="B415" s="123"/>
      <c r="C415" s="123"/>
      <c r="D415" s="123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9"/>
      <c r="AE415" s="29"/>
      <c r="AN415" s="115"/>
      <c r="AO415" s="115"/>
      <c r="AP415" s="115"/>
      <c r="AQ415" s="115"/>
      <c r="AR415" s="115"/>
      <c r="AS415" s="115"/>
      <c r="AT415" s="29"/>
      <c r="AU415" s="29"/>
      <c r="BE415" s="25"/>
      <c r="BF415" s="13"/>
      <c r="BK415" s="116"/>
      <c r="BL415" s="123"/>
      <c r="BM415" s="123"/>
      <c r="BN415" s="123"/>
      <c r="BS415" s="115"/>
      <c r="BT415" s="115"/>
      <c r="BU415" s="115"/>
      <c r="BV415" s="115"/>
      <c r="BW415" s="115"/>
      <c r="BX415" s="115"/>
      <c r="BY415" s="115"/>
      <c r="BZ415" s="115"/>
      <c r="CA415" s="115"/>
      <c r="CB415" s="115"/>
      <c r="CC415" s="25"/>
      <c r="CD415" s="13"/>
      <c r="CG415" s="114"/>
    </row>
    <row r="416" spans="1:85" ht="20.100000000000001" customHeight="1" x14ac:dyDescent="0.4">
      <c r="A416" s="117"/>
      <c r="B416" s="123"/>
      <c r="C416" s="123"/>
      <c r="D416" s="123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27"/>
      <c r="AE416" s="29"/>
      <c r="AN416" s="115"/>
      <c r="AO416" s="115"/>
      <c r="AP416" s="115"/>
      <c r="AQ416" s="115"/>
      <c r="AR416" s="115"/>
      <c r="AS416" s="115"/>
      <c r="AT416" s="29"/>
      <c r="AU416" s="29"/>
      <c r="BE416" s="25"/>
      <c r="BF416" s="13"/>
      <c r="BK416" s="116"/>
      <c r="BL416" s="123"/>
      <c r="BM416" s="123"/>
      <c r="BN416" s="123"/>
      <c r="BS416" s="115"/>
      <c r="BT416" s="115"/>
      <c r="BU416" s="115"/>
      <c r="BV416" s="115"/>
      <c r="BW416" s="115"/>
      <c r="BX416" s="115"/>
      <c r="BY416" s="115"/>
      <c r="BZ416" s="115"/>
      <c r="CA416" s="115"/>
      <c r="CB416" s="115"/>
      <c r="CC416" s="25"/>
      <c r="CD416" s="13"/>
      <c r="CG416" s="114"/>
    </row>
    <row r="417" spans="1:85" ht="20.100000000000001" customHeight="1" x14ac:dyDescent="0.4">
      <c r="A417" s="117"/>
      <c r="B417" s="123"/>
      <c r="C417" s="123"/>
      <c r="D417" s="123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27"/>
      <c r="AE417" s="29"/>
      <c r="AN417" s="115"/>
      <c r="AO417" s="115"/>
      <c r="AP417" s="115"/>
      <c r="AQ417" s="115"/>
      <c r="AR417" s="115"/>
      <c r="AS417" s="115"/>
      <c r="AT417" s="29"/>
      <c r="AU417" s="29"/>
      <c r="BE417" s="25"/>
      <c r="BF417" s="13"/>
      <c r="BK417" s="116"/>
      <c r="BL417" s="123"/>
      <c r="BM417" s="123"/>
      <c r="BN417" s="123"/>
      <c r="BS417" s="115"/>
      <c r="BT417" s="115"/>
      <c r="BU417" s="115"/>
      <c r="BV417" s="115"/>
      <c r="BW417" s="115"/>
      <c r="BX417" s="115"/>
      <c r="BY417" s="115"/>
      <c r="BZ417" s="115"/>
      <c r="CA417" s="115"/>
      <c r="CB417" s="115"/>
      <c r="CC417" s="25"/>
      <c r="CD417" s="13"/>
      <c r="CG417" s="114"/>
    </row>
    <row r="418" spans="1:85" ht="20.100000000000001" customHeight="1" x14ac:dyDescent="0.4">
      <c r="A418" s="117"/>
      <c r="B418" s="123"/>
      <c r="C418" s="123"/>
      <c r="D418" s="123"/>
      <c r="AD418" s="127"/>
      <c r="AE418" s="29"/>
      <c r="AM418" s="115"/>
      <c r="AN418" s="115"/>
      <c r="AO418" s="115"/>
      <c r="AP418" s="115"/>
      <c r="AQ418" s="115"/>
      <c r="AR418" s="115"/>
      <c r="AS418" s="115"/>
      <c r="AT418" s="127"/>
      <c r="AU418" s="29"/>
      <c r="BE418" s="25"/>
      <c r="BF418" s="13"/>
      <c r="BK418" s="116"/>
      <c r="BL418" s="123"/>
      <c r="BM418" s="123"/>
      <c r="BN418" s="123"/>
      <c r="BS418" s="115"/>
      <c r="BT418" s="115"/>
      <c r="BU418" s="115"/>
      <c r="BV418" s="115"/>
      <c r="BW418" s="115"/>
      <c r="BX418" s="115"/>
      <c r="BY418" s="115"/>
      <c r="BZ418" s="115"/>
      <c r="CA418" s="115"/>
      <c r="CB418" s="115"/>
      <c r="CC418" s="25"/>
      <c r="CD418" s="13"/>
      <c r="CG418" s="114"/>
    </row>
    <row r="419" spans="1:85" ht="20.100000000000001" customHeight="1" x14ac:dyDescent="0.4">
      <c r="A419" s="117"/>
      <c r="B419" s="123"/>
      <c r="C419" s="123"/>
      <c r="D419" s="123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27"/>
      <c r="AE419" s="29"/>
      <c r="AM419" s="115"/>
      <c r="AN419" s="115"/>
      <c r="AO419" s="115"/>
      <c r="AP419" s="115"/>
      <c r="AQ419" s="115"/>
      <c r="AR419" s="115"/>
      <c r="AS419" s="115"/>
      <c r="AT419" s="127"/>
      <c r="AU419" s="29"/>
      <c r="BE419" s="25"/>
      <c r="BF419" s="13"/>
      <c r="BK419" s="116"/>
      <c r="BL419" s="123"/>
      <c r="BM419" s="123"/>
      <c r="BN419" s="123"/>
      <c r="BS419" s="115"/>
      <c r="BT419" s="115"/>
      <c r="BU419" s="115"/>
      <c r="BV419" s="115"/>
      <c r="BW419" s="115"/>
      <c r="BX419" s="115"/>
      <c r="BY419" s="115"/>
      <c r="BZ419" s="115"/>
      <c r="CA419" s="115"/>
      <c r="CB419" s="115"/>
      <c r="CC419" s="25"/>
      <c r="CD419" s="13"/>
      <c r="CG419" s="114"/>
    </row>
    <row r="420" spans="1:85" ht="20.100000000000001" customHeight="1" x14ac:dyDescent="0.4">
      <c r="A420" s="117"/>
      <c r="B420" s="123"/>
      <c r="C420" s="123"/>
      <c r="D420" s="123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27"/>
      <c r="AE420" s="29"/>
      <c r="AM420" s="115"/>
      <c r="AN420" s="115"/>
      <c r="AO420" s="115"/>
      <c r="AP420" s="115"/>
      <c r="AQ420" s="115"/>
      <c r="AR420" s="115"/>
      <c r="AS420" s="115"/>
      <c r="AT420" s="127"/>
      <c r="AU420" s="29"/>
      <c r="BE420" s="25"/>
      <c r="BF420" s="13"/>
      <c r="BK420" s="116"/>
      <c r="BL420" s="123"/>
      <c r="BM420" s="123"/>
      <c r="BN420" s="123"/>
      <c r="BS420" s="115"/>
      <c r="BT420" s="115"/>
      <c r="BU420" s="115"/>
      <c r="BV420" s="115"/>
      <c r="BW420" s="115"/>
      <c r="BX420" s="115"/>
      <c r="BY420" s="115"/>
      <c r="BZ420" s="115"/>
      <c r="CA420" s="115"/>
      <c r="CB420" s="115"/>
      <c r="CC420" s="25"/>
      <c r="CD420" s="13"/>
      <c r="CG420" s="114"/>
    </row>
    <row r="421" spans="1:85" ht="20.100000000000001" customHeight="1" x14ac:dyDescent="0.4">
      <c r="A421" s="117"/>
      <c r="B421" s="123"/>
      <c r="C421" s="123"/>
      <c r="D421" s="123"/>
      <c r="AD421" s="127"/>
      <c r="AE421" s="29"/>
      <c r="AM421" s="115"/>
      <c r="AN421" s="115"/>
      <c r="AO421" s="115"/>
      <c r="AP421" s="115"/>
      <c r="AQ421" s="115"/>
      <c r="AR421" s="115"/>
      <c r="AS421" s="115"/>
      <c r="AT421" s="127"/>
      <c r="AU421" s="134"/>
      <c r="BE421" s="25"/>
      <c r="BF421" s="13"/>
      <c r="BK421" s="116"/>
      <c r="BL421" s="123"/>
      <c r="BM421" s="123"/>
      <c r="BN421" s="123"/>
      <c r="BS421" s="115"/>
      <c r="BT421" s="115"/>
      <c r="BU421" s="115"/>
      <c r="BV421" s="115"/>
      <c r="BW421" s="115"/>
      <c r="BX421" s="115"/>
      <c r="BY421" s="115"/>
      <c r="BZ421" s="115"/>
      <c r="CA421" s="115"/>
      <c r="CB421" s="115"/>
      <c r="CC421" s="25"/>
      <c r="CD421" s="13"/>
      <c r="CG421" s="114"/>
    </row>
    <row r="422" spans="1:85" ht="20.100000000000001" customHeight="1" x14ac:dyDescent="0.4">
      <c r="A422" s="117"/>
      <c r="B422" s="123"/>
      <c r="C422" s="123"/>
      <c r="D422" s="123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27"/>
      <c r="AE422" s="29"/>
      <c r="AM422" s="115"/>
      <c r="AN422" s="115"/>
      <c r="AO422" s="115"/>
      <c r="AP422" s="115"/>
      <c r="AQ422" s="115"/>
      <c r="AR422" s="115"/>
      <c r="AS422" s="115"/>
      <c r="AT422" s="127"/>
      <c r="AU422" s="134"/>
      <c r="BE422" s="25"/>
      <c r="BF422" s="13"/>
      <c r="BK422" s="116"/>
      <c r="BL422" s="123"/>
      <c r="BM422" s="123"/>
      <c r="BN422" s="123"/>
      <c r="BS422" s="115"/>
      <c r="BT422" s="115"/>
      <c r="BU422" s="115"/>
      <c r="BV422" s="115"/>
      <c r="BW422" s="115"/>
      <c r="BX422" s="115"/>
      <c r="BY422" s="115"/>
      <c r="BZ422" s="115"/>
      <c r="CA422" s="115"/>
      <c r="CB422" s="115"/>
      <c r="CC422" s="25"/>
      <c r="CD422" s="13"/>
      <c r="CG422" s="114"/>
    </row>
    <row r="423" spans="1:85" ht="20.100000000000001" customHeight="1" x14ac:dyDescent="0.4">
      <c r="A423" s="117"/>
      <c r="B423" s="123"/>
      <c r="C423" s="123"/>
      <c r="D423" s="123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27"/>
      <c r="AE423" s="29"/>
      <c r="AM423" s="115"/>
      <c r="AN423" s="115"/>
      <c r="AO423" s="115"/>
      <c r="AP423" s="115"/>
      <c r="AQ423" s="115"/>
      <c r="AR423" s="115"/>
      <c r="AS423" s="115"/>
      <c r="AT423" s="127"/>
      <c r="AU423" s="134"/>
      <c r="BE423" s="25"/>
      <c r="BF423" s="13"/>
      <c r="BK423" s="116"/>
      <c r="BL423" s="123"/>
      <c r="BM423" s="123"/>
      <c r="BN423" s="123"/>
      <c r="BS423" s="115"/>
      <c r="BT423" s="115"/>
      <c r="BU423" s="115"/>
      <c r="BV423" s="115"/>
      <c r="BW423" s="115"/>
      <c r="BX423" s="115"/>
      <c r="BY423" s="115"/>
      <c r="BZ423" s="115"/>
      <c r="CA423" s="115"/>
      <c r="CB423" s="115"/>
      <c r="CC423" s="25"/>
      <c r="CD423" s="13"/>
      <c r="CG423" s="114"/>
    </row>
    <row r="424" spans="1:85" ht="20.100000000000001" customHeight="1" x14ac:dyDescent="0.4">
      <c r="A424" s="117"/>
      <c r="B424" s="123"/>
      <c r="C424" s="123"/>
      <c r="D424" s="123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27"/>
      <c r="AE424" s="29"/>
      <c r="AM424" s="115"/>
      <c r="AN424" s="115"/>
      <c r="AO424" s="115"/>
      <c r="AP424" s="115"/>
      <c r="AQ424" s="115"/>
      <c r="AR424" s="115"/>
      <c r="AS424" s="115"/>
      <c r="AT424" s="127"/>
      <c r="AU424" s="134"/>
      <c r="BE424" s="25"/>
      <c r="BF424" s="13"/>
      <c r="BK424" s="116"/>
      <c r="BL424" s="123"/>
      <c r="BM424" s="123"/>
      <c r="BN424" s="123"/>
      <c r="BS424" s="115"/>
      <c r="BT424" s="115"/>
      <c r="BU424" s="115"/>
      <c r="BV424" s="115"/>
      <c r="BW424" s="115"/>
      <c r="BX424" s="115"/>
      <c r="BY424" s="115"/>
      <c r="BZ424" s="115"/>
      <c r="CA424" s="115"/>
      <c r="CB424" s="115"/>
      <c r="CC424" s="25"/>
      <c r="CD424" s="13"/>
      <c r="CG424" s="114"/>
    </row>
    <row r="425" spans="1:85" ht="20.100000000000001" customHeight="1" x14ac:dyDescent="0.4">
      <c r="A425" s="117"/>
      <c r="B425" s="123"/>
      <c r="C425" s="123"/>
      <c r="D425" s="123"/>
      <c r="AD425" s="127"/>
      <c r="AE425" s="29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27"/>
      <c r="AU425" s="29"/>
      <c r="BE425" s="25"/>
      <c r="BF425" s="13"/>
      <c r="BK425" s="116"/>
      <c r="BL425" s="123"/>
      <c r="BM425" s="123"/>
      <c r="BN425" s="123"/>
      <c r="BS425" s="115"/>
      <c r="BT425" s="115"/>
      <c r="BU425" s="115"/>
      <c r="BV425" s="115"/>
      <c r="BW425" s="115"/>
      <c r="BX425" s="115"/>
      <c r="BY425" s="115"/>
      <c r="BZ425" s="115"/>
      <c r="CA425" s="115"/>
      <c r="CB425" s="115"/>
      <c r="CC425" s="25"/>
      <c r="CD425" s="13"/>
      <c r="CG425" s="114"/>
    </row>
    <row r="426" spans="1:85" ht="20.100000000000001" customHeight="1" x14ac:dyDescent="0.4">
      <c r="A426" s="117"/>
      <c r="B426" s="123"/>
      <c r="C426" s="123"/>
      <c r="D426" s="123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27"/>
      <c r="AE426" s="29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27"/>
      <c r="AU426" s="29"/>
      <c r="BE426" s="25"/>
      <c r="BF426" s="13"/>
      <c r="BK426" s="116"/>
      <c r="BL426" s="123"/>
      <c r="BM426" s="123"/>
      <c r="BN426" s="123"/>
      <c r="BS426" s="115"/>
      <c r="BT426" s="115"/>
      <c r="BU426" s="115"/>
      <c r="BV426" s="115"/>
      <c r="BW426" s="115"/>
      <c r="BX426" s="115"/>
      <c r="BY426" s="115"/>
      <c r="BZ426" s="115"/>
      <c r="CA426" s="115"/>
      <c r="CB426" s="115"/>
      <c r="CC426" s="25"/>
      <c r="CD426" s="13"/>
      <c r="CG426" s="114"/>
    </row>
    <row r="427" spans="1:85" ht="20.100000000000001" customHeight="1" x14ac:dyDescent="0.4">
      <c r="A427" s="117"/>
      <c r="B427" s="123"/>
      <c r="C427" s="123"/>
      <c r="D427" s="123"/>
      <c r="AD427" s="127"/>
      <c r="AE427" s="29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27"/>
      <c r="AU427" s="29"/>
      <c r="BE427" s="25"/>
      <c r="BF427" s="13"/>
      <c r="BK427" s="116"/>
      <c r="BL427" s="123"/>
      <c r="BM427" s="123"/>
      <c r="BN427" s="123"/>
      <c r="BS427" s="115"/>
      <c r="BT427" s="115"/>
      <c r="BU427" s="115"/>
      <c r="BV427" s="115"/>
      <c r="BW427" s="115"/>
      <c r="BX427" s="115"/>
      <c r="BY427" s="115"/>
      <c r="BZ427" s="115"/>
      <c r="CA427" s="115"/>
      <c r="CB427" s="115"/>
      <c r="CC427" s="25"/>
      <c r="CD427" s="13"/>
      <c r="CG427" s="114"/>
    </row>
    <row r="428" spans="1:85" ht="20.100000000000001" customHeight="1" x14ac:dyDescent="0.4">
      <c r="A428" s="117"/>
      <c r="B428" s="123"/>
      <c r="C428" s="123"/>
      <c r="D428" s="123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27"/>
      <c r="AE428" s="29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27"/>
      <c r="AU428" s="29"/>
      <c r="BE428" s="25"/>
      <c r="BF428" s="13"/>
      <c r="BK428" s="116"/>
      <c r="BL428" s="123"/>
      <c r="BM428" s="123"/>
      <c r="BN428" s="123"/>
      <c r="BS428" s="115"/>
      <c r="BT428" s="115"/>
      <c r="BU428" s="115"/>
      <c r="BV428" s="115"/>
      <c r="BW428" s="115"/>
      <c r="BX428" s="115"/>
      <c r="BY428" s="115"/>
      <c r="BZ428" s="115"/>
      <c r="CA428" s="115"/>
      <c r="CB428" s="115"/>
      <c r="CC428" s="25"/>
      <c r="CD428" s="13"/>
      <c r="CG428" s="114"/>
    </row>
    <row r="429" spans="1:85" ht="20.100000000000001" customHeight="1" x14ac:dyDescent="0.4">
      <c r="A429" s="117"/>
      <c r="B429" s="123"/>
      <c r="C429" s="123"/>
      <c r="D429" s="123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29"/>
      <c r="AE429" s="29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27"/>
      <c r="AU429" s="29"/>
      <c r="BE429" s="25"/>
      <c r="BF429" s="13"/>
      <c r="BK429" s="116"/>
      <c r="BL429" s="123"/>
      <c r="BM429" s="123"/>
      <c r="BN429" s="123"/>
      <c r="BS429" s="115"/>
      <c r="BT429" s="115"/>
      <c r="BU429" s="115"/>
      <c r="BV429" s="115"/>
      <c r="BW429" s="115"/>
      <c r="BX429" s="115"/>
      <c r="BY429" s="115"/>
      <c r="BZ429" s="115"/>
      <c r="CA429" s="115"/>
      <c r="CB429" s="115"/>
      <c r="CC429" s="25"/>
      <c r="CD429" s="13"/>
      <c r="CG429" s="114"/>
    </row>
    <row r="430" spans="1:85" ht="20.100000000000001" customHeight="1" x14ac:dyDescent="0.4">
      <c r="A430" s="117"/>
      <c r="B430" s="123"/>
      <c r="C430" s="123"/>
      <c r="D430" s="123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27"/>
      <c r="AE430" s="134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27"/>
      <c r="AU430" s="29"/>
      <c r="BE430" s="25"/>
      <c r="BF430" s="13"/>
      <c r="BK430" s="116"/>
      <c r="BL430" s="123"/>
      <c r="BM430" s="123"/>
      <c r="BN430" s="123"/>
      <c r="BS430" s="115"/>
      <c r="BT430" s="115"/>
      <c r="BU430" s="115"/>
      <c r="BV430" s="115"/>
      <c r="BW430" s="115"/>
      <c r="BX430" s="115"/>
      <c r="BY430" s="115"/>
      <c r="BZ430" s="115"/>
      <c r="CA430" s="115"/>
      <c r="CB430" s="115"/>
      <c r="CC430" s="25"/>
      <c r="CD430" s="13"/>
      <c r="CG430" s="114"/>
    </row>
    <row r="431" spans="1:85" ht="20.100000000000001" customHeight="1" x14ac:dyDescent="0.4">
      <c r="A431" s="117"/>
      <c r="B431" s="123"/>
      <c r="C431" s="123"/>
      <c r="D431" s="123"/>
      <c r="AD431" s="127"/>
      <c r="AE431" s="29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27"/>
      <c r="AU431" s="29"/>
      <c r="BE431" s="25"/>
      <c r="BF431" s="13"/>
      <c r="BK431" s="116"/>
      <c r="BL431" s="123"/>
      <c r="BM431" s="123"/>
      <c r="BN431" s="123"/>
      <c r="BS431" s="115"/>
      <c r="BT431" s="115"/>
      <c r="BU431" s="115"/>
      <c r="BV431" s="115"/>
      <c r="BW431" s="115"/>
      <c r="BX431" s="115"/>
      <c r="BY431" s="115"/>
      <c r="BZ431" s="115"/>
      <c r="CA431" s="115"/>
      <c r="CB431" s="115"/>
      <c r="CC431" s="25"/>
      <c r="CD431" s="13"/>
      <c r="CG431" s="114"/>
    </row>
    <row r="432" spans="1:85" ht="20.100000000000001" customHeight="1" x14ac:dyDescent="0.4">
      <c r="A432" s="117"/>
      <c r="B432" s="123"/>
      <c r="C432" s="123"/>
      <c r="D432" s="123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27"/>
      <c r="AE432" s="29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27"/>
      <c r="AU432" s="29"/>
      <c r="BE432" s="25"/>
      <c r="BF432" s="13"/>
      <c r="BK432" s="116"/>
      <c r="BL432" s="123"/>
      <c r="BM432" s="123"/>
      <c r="BN432" s="123"/>
      <c r="BS432" s="115"/>
      <c r="BT432" s="115"/>
      <c r="BU432" s="115"/>
      <c r="BV432" s="115"/>
      <c r="BW432" s="115"/>
      <c r="BX432" s="115"/>
      <c r="BY432" s="115"/>
      <c r="BZ432" s="115"/>
      <c r="CA432" s="115"/>
      <c r="CB432" s="115"/>
      <c r="CC432" s="25"/>
      <c r="CD432" s="13"/>
      <c r="CG432" s="114"/>
    </row>
    <row r="433" spans="1:85" ht="20.100000000000001" customHeight="1" x14ac:dyDescent="0.4">
      <c r="A433" s="117"/>
      <c r="B433" s="123"/>
      <c r="C433" s="123"/>
      <c r="D433" s="123"/>
      <c r="AD433" s="127"/>
      <c r="AE433" s="29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29"/>
      <c r="AU433" s="29"/>
      <c r="BE433" s="25"/>
      <c r="BF433" s="13"/>
      <c r="BK433" s="116"/>
      <c r="BL433" s="123"/>
      <c r="BM433" s="123"/>
      <c r="BN433" s="123"/>
      <c r="BS433" s="115"/>
      <c r="BT433" s="115"/>
      <c r="BU433" s="115"/>
      <c r="BV433" s="115"/>
      <c r="BW433" s="115"/>
      <c r="BX433" s="115"/>
      <c r="BY433" s="115"/>
      <c r="BZ433" s="115"/>
      <c r="CA433" s="115"/>
      <c r="CB433" s="115"/>
      <c r="CC433" s="25"/>
      <c r="CD433" s="13"/>
      <c r="CG433" s="114"/>
    </row>
    <row r="434" spans="1:85" ht="20.100000000000001" customHeight="1" x14ac:dyDescent="0.4">
      <c r="A434" s="117"/>
      <c r="B434" s="123"/>
      <c r="C434" s="123"/>
      <c r="D434" s="123"/>
      <c r="AD434" s="127"/>
      <c r="AE434" s="29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27"/>
      <c r="AU434" s="29"/>
      <c r="BE434" s="25"/>
      <c r="BF434" s="13"/>
      <c r="BK434" s="116"/>
      <c r="BL434" s="123"/>
      <c r="BM434" s="123"/>
      <c r="BN434" s="123"/>
      <c r="BS434" s="115"/>
      <c r="BT434" s="115"/>
      <c r="BU434" s="115"/>
      <c r="BV434" s="115"/>
      <c r="BW434" s="115"/>
      <c r="BX434" s="115"/>
      <c r="BY434" s="115"/>
      <c r="BZ434" s="115"/>
      <c r="CA434" s="115"/>
      <c r="CB434" s="115"/>
      <c r="CC434" s="25"/>
      <c r="CD434" s="13"/>
      <c r="CG434" s="114"/>
    </row>
    <row r="435" spans="1:85" ht="20.100000000000001" customHeight="1" x14ac:dyDescent="0.4">
      <c r="A435" s="117"/>
      <c r="B435" s="123"/>
      <c r="C435" s="123"/>
      <c r="D435" s="123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27"/>
      <c r="AE435" s="29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27"/>
      <c r="AU435" s="29"/>
      <c r="BE435" s="25"/>
      <c r="BF435" s="13"/>
      <c r="BK435" s="116"/>
      <c r="BL435" s="123"/>
      <c r="BM435" s="123"/>
      <c r="BN435" s="123"/>
      <c r="BS435" s="115"/>
      <c r="BT435" s="115"/>
      <c r="BU435" s="115"/>
      <c r="BV435" s="115"/>
      <c r="BW435" s="115"/>
      <c r="BX435" s="115"/>
      <c r="BY435" s="115"/>
      <c r="BZ435" s="115"/>
      <c r="CA435" s="115"/>
      <c r="CB435" s="115"/>
      <c r="CC435" s="25"/>
      <c r="CD435" s="13"/>
      <c r="CG435" s="114"/>
    </row>
    <row r="436" spans="1:85" ht="20.100000000000001" customHeight="1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27"/>
      <c r="AE436" s="29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27"/>
      <c r="AU436" s="29"/>
      <c r="BE436" s="25"/>
      <c r="BF436" s="13"/>
      <c r="BK436" s="116"/>
      <c r="BL436" s="123"/>
      <c r="BM436" s="123"/>
      <c r="BN436" s="123"/>
      <c r="BS436" s="115"/>
      <c r="BT436" s="115"/>
      <c r="BU436" s="115"/>
      <c r="BV436" s="115"/>
      <c r="BW436" s="115"/>
      <c r="BX436" s="115"/>
      <c r="BY436" s="115"/>
      <c r="BZ436" s="115"/>
      <c r="CA436" s="115"/>
      <c r="CB436" s="115"/>
      <c r="CC436" s="25"/>
      <c r="CD436" s="13"/>
      <c r="CG436" s="114"/>
    </row>
    <row r="437" spans="1:85" ht="20.100000000000001" customHeight="1" x14ac:dyDescent="0.4">
      <c r="A437" s="117"/>
      <c r="B437" s="123"/>
      <c r="C437" s="123"/>
      <c r="D437" s="123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9"/>
      <c r="AE437" s="29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27"/>
      <c r="AU437" s="29"/>
      <c r="BE437" s="25"/>
      <c r="BF437" s="13"/>
      <c r="BK437" s="116"/>
      <c r="BL437" s="123"/>
      <c r="BM437" s="123"/>
      <c r="BN437" s="123"/>
      <c r="BS437" s="115"/>
      <c r="BT437" s="115"/>
      <c r="BU437" s="115"/>
      <c r="BV437" s="115"/>
      <c r="BW437" s="115"/>
      <c r="BX437" s="115"/>
      <c r="BY437" s="115"/>
      <c r="BZ437" s="115"/>
      <c r="CA437" s="115"/>
      <c r="CB437" s="115"/>
      <c r="CC437" s="25"/>
      <c r="CD437" s="13"/>
      <c r="CG437" s="114"/>
    </row>
    <row r="438" spans="1:85" ht="20.100000000000001" customHeight="1" x14ac:dyDescent="0.4">
      <c r="A438" s="117"/>
      <c r="B438" s="123"/>
      <c r="C438" s="123"/>
      <c r="D438" s="123"/>
      <c r="AD438" s="127"/>
      <c r="AE438" s="29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27"/>
      <c r="AU438" s="29"/>
      <c r="BE438" s="25"/>
      <c r="BF438" s="13"/>
      <c r="BK438" s="116"/>
      <c r="BL438" s="123"/>
      <c r="BM438" s="123"/>
      <c r="BN438" s="123"/>
      <c r="BS438" s="115"/>
      <c r="BT438" s="115"/>
      <c r="BU438" s="115"/>
      <c r="BV438" s="115"/>
      <c r="BW438" s="115"/>
      <c r="BX438" s="115"/>
      <c r="BY438" s="115"/>
      <c r="BZ438" s="115"/>
      <c r="CA438" s="115"/>
      <c r="CB438" s="115"/>
      <c r="CC438" s="25"/>
      <c r="CD438" s="13"/>
      <c r="CG438" s="114"/>
    </row>
    <row r="439" spans="1:85" ht="20.100000000000001" customHeight="1" x14ac:dyDescent="0.4">
      <c r="A439" s="117"/>
      <c r="B439" s="123"/>
      <c r="C439" s="123"/>
      <c r="D439" s="12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27"/>
      <c r="AE439" s="29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27"/>
      <c r="AU439" s="29"/>
      <c r="BE439" s="25"/>
      <c r="BF439" s="13"/>
      <c r="BK439" s="116"/>
      <c r="BL439" s="123"/>
      <c r="BM439" s="123"/>
      <c r="BN439" s="123"/>
      <c r="BS439" s="115"/>
      <c r="BT439" s="115"/>
      <c r="BU439" s="115"/>
      <c r="BV439" s="115"/>
      <c r="BW439" s="115"/>
      <c r="BX439" s="115"/>
      <c r="BY439" s="115"/>
      <c r="BZ439" s="115"/>
      <c r="CA439" s="115"/>
      <c r="CB439" s="115"/>
      <c r="CC439" s="25"/>
      <c r="CD439" s="13"/>
      <c r="CG439" s="114"/>
    </row>
    <row r="440" spans="1:85" ht="20.100000000000001" customHeight="1" x14ac:dyDescent="0.4">
      <c r="A440" s="117"/>
      <c r="B440" s="123"/>
      <c r="C440" s="123"/>
      <c r="D440" s="12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9"/>
      <c r="AE440" s="29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27"/>
      <c r="AU440" s="29"/>
      <c r="BE440" s="25"/>
      <c r="BF440" s="13"/>
      <c r="BK440" s="116"/>
      <c r="BL440" s="123"/>
      <c r="BM440" s="123"/>
      <c r="BN440" s="123"/>
      <c r="BS440" s="115"/>
      <c r="BT440" s="115"/>
      <c r="BU440" s="115"/>
      <c r="BV440" s="115"/>
      <c r="BW440" s="115"/>
      <c r="BX440" s="115"/>
      <c r="BY440" s="115"/>
      <c r="BZ440" s="115"/>
      <c r="CA440" s="115"/>
      <c r="CB440" s="115"/>
      <c r="CC440" s="25"/>
      <c r="CD440" s="13"/>
      <c r="CG440" s="114"/>
    </row>
    <row r="441" spans="1:85" ht="20.100000000000001" customHeight="1" x14ac:dyDescent="0.4">
      <c r="A441" s="117"/>
      <c r="B441" s="123"/>
      <c r="C441" s="123"/>
      <c r="D441" s="123"/>
      <c r="AD441" s="127"/>
      <c r="AE441" s="29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27"/>
      <c r="AU441" s="29"/>
      <c r="BE441" s="25"/>
      <c r="BF441" s="13"/>
      <c r="BK441" s="116"/>
      <c r="BL441" s="123"/>
      <c r="BM441" s="123"/>
      <c r="BN441" s="123"/>
      <c r="BS441" s="115"/>
      <c r="BT441" s="115"/>
      <c r="BU441" s="115"/>
      <c r="BV441" s="115"/>
      <c r="BW441" s="115"/>
      <c r="BX441" s="115"/>
      <c r="BY441" s="115"/>
      <c r="BZ441" s="115"/>
      <c r="CA441" s="115"/>
      <c r="CB441" s="115"/>
      <c r="CC441" s="25"/>
      <c r="CD441" s="13"/>
      <c r="CG441" s="114"/>
    </row>
    <row r="442" spans="1:85" ht="20.100000000000001" customHeight="1" x14ac:dyDescent="0.4">
      <c r="A442" s="117"/>
      <c r="B442" s="123"/>
      <c r="C442" s="123"/>
      <c r="D442" s="123"/>
      <c r="AD442" s="127"/>
      <c r="AE442" s="29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27"/>
      <c r="AU442" s="29"/>
      <c r="BE442" s="25"/>
      <c r="BF442" s="13"/>
      <c r="BK442" s="116"/>
      <c r="BL442" s="123"/>
      <c r="BM442" s="123"/>
      <c r="BN442" s="123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25"/>
      <c r="CD442" s="13"/>
      <c r="CG442" s="114"/>
    </row>
    <row r="443" spans="1:85" ht="20.100000000000001" customHeight="1" x14ac:dyDescent="0.4">
      <c r="A443" s="117"/>
      <c r="B443" s="123"/>
      <c r="C443" s="123"/>
      <c r="D443" s="123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27"/>
      <c r="AE443" s="29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27"/>
      <c r="AU443" s="29"/>
      <c r="BE443" s="25"/>
      <c r="BF443" s="13"/>
      <c r="BK443" s="116"/>
      <c r="BL443" s="123"/>
      <c r="BM443" s="123"/>
      <c r="BN443" s="123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25"/>
      <c r="CD443" s="13"/>
      <c r="CG443" s="114"/>
    </row>
    <row r="444" spans="1:85" ht="20.100000000000001" customHeight="1" x14ac:dyDescent="0.4">
      <c r="A444" s="117"/>
      <c r="B444" s="123"/>
      <c r="C444" s="123"/>
      <c r="D444" s="123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27"/>
      <c r="AE444" s="29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27"/>
      <c r="AU444" s="29"/>
      <c r="BE444" s="25"/>
      <c r="BF444" s="13"/>
      <c r="BK444" s="116"/>
      <c r="BL444" s="123"/>
      <c r="BM444" s="123"/>
      <c r="BN444" s="123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25"/>
      <c r="CD444" s="13"/>
      <c r="CG444" s="114"/>
    </row>
    <row r="445" spans="1:85" ht="20.100000000000001" customHeight="1" x14ac:dyDescent="0.4">
      <c r="A445" s="117"/>
      <c r="B445" s="123"/>
      <c r="C445" s="123"/>
      <c r="D445" s="123"/>
      <c r="AD445" s="127"/>
      <c r="AE445" s="29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27"/>
      <c r="AU445" s="29"/>
      <c r="BE445" s="25"/>
      <c r="BF445" s="13"/>
      <c r="BK445" s="116"/>
      <c r="BL445" s="123"/>
      <c r="BM445" s="123"/>
      <c r="BN445" s="123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25"/>
      <c r="CD445" s="13"/>
      <c r="CG445" s="114"/>
    </row>
    <row r="446" spans="1:85" ht="20.100000000000001" customHeight="1" x14ac:dyDescent="0.4">
      <c r="A446" s="117"/>
      <c r="B446" s="123"/>
      <c r="C446" s="123"/>
      <c r="D446" s="123"/>
      <c r="AD446" s="127"/>
      <c r="AE446" s="29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27"/>
      <c r="AU446" s="29"/>
      <c r="BE446" s="25"/>
      <c r="BF446" s="13"/>
      <c r="BK446" s="116"/>
      <c r="BL446" s="123"/>
      <c r="BM446" s="123"/>
      <c r="BN446" s="123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25"/>
      <c r="CD446" s="13"/>
      <c r="CG446" s="114"/>
    </row>
    <row r="447" spans="1:85" ht="20.100000000000001" customHeight="1" x14ac:dyDescent="0.4">
      <c r="A447" s="117"/>
      <c r="B447" s="123"/>
      <c r="C447" s="123"/>
      <c r="D447" s="123"/>
      <c r="AD447" s="127"/>
      <c r="AE447" s="29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27"/>
      <c r="AU447" s="29"/>
      <c r="BE447" s="25"/>
      <c r="BF447" s="13"/>
      <c r="BK447" s="116"/>
      <c r="BL447" s="123"/>
      <c r="BM447" s="123"/>
      <c r="BN447" s="123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115"/>
      <c r="CC447" s="25"/>
      <c r="CD447" s="13"/>
      <c r="CG447" s="114"/>
    </row>
    <row r="448" spans="1:85" ht="20.100000000000001" customHeight="1" x14ac:dyDescent="0.4">
      <c r="A448" s="117"/>
      <c r="B448" s="123"/>
      <c r="C448" s="123"/>
      <c r="D448" s="123"/>
      <c r="AD448" s="127"/>
      <c r="AE448" s="29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27"/>
      <c r="AU448" s="29"/>
      <c r="BE448" s="25"/>
      <c r="BF448" s="13"/>
      <c r="BK448" s="116"/>
      <c r="BL448" s="123"/>
      <c r="BM448" s="123"/>
      <c r="BN448" s="123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115"/>
      <c r="CC448" s="25"/>
      <c r="CD448" s="13"/>
      <c r="CG448" s="114"/>
    </row>
    <row r="449" spans="1:85" ht="20.100000000000001" customHeight="1" x14ac:dyDescent="0.4">
      <c r="A449" s="117"/>
      <c r="B449" s="123"/>
      <c r="C449" s="123"/>
      <c r="D449" s="123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9"/>
      <c r="AE449" s="29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27"/>
      <c r="AU449" s="29"/>
      <c r="BE449" s="25"/>
      <c r="BF449" s="13"/>
      <c r="BK449" s="116"/>
      <c r="BL449" s="123"/>
      <c r="BM449" s="123"/>
      <c r="BN449" s="123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115"/>
      <c r="CC449" s="25"/>
      <c r="CD449" s="13"/>
      <c r="CG449" s="114"/>
    </row>
    <row r="450" spans="1:85" ht="20.100000000000001" customHeight="1" x14ac:dyDescent="0.4">
      <c r="A450" s="117"/>
      <c r="B450" s="123"/>
      <c r="C450" s="123"/>
      <c r="D450" s="123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27"/>
      <c r="AE450" s="29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27"/>
      <c r="AU450" s="29"/>
      <c r="BE450" s="25"/>
      <c r="BF450" s="13"/>
      <c r="BK450" s="116"/>
      <c r="BL450" s="123"/>
      <c r="BM450" s="123"/>
      <c r="BN450" s="123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25"/>
      <c r="CD450" s="13"/>
      <c r="CG450" s="114"/>
    </row>
    <row r="451" spans="1:85" ht="20.100000000000001" customHeight="1" x14ac:dyDescent="0.4">
      <c r="A451" s="117"/>
      <c r="B451" s="123"/>
      <c r="C451" s="123"/>
      <c r="D451" s="123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9"/>
      <c r="AE451" s="29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27"/>
      <c r="AU451" s="29"/>
      <c r="BE451" s="25"/>
      <c r="BF451" s="13"/>
      <c r="BK451" s="116"/>
      <c r="BL451" s="123"/>
      <c r="BM451" s="123"/>
      <c r="BN451" s="123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115"/>
      <c r="CC451" s="25"/>
      <c r="CD451" s="13"/>
      <c r="CG451" s="114"/>
    </row>
    <row r="452" spans="1:85" ht="20.100000000000001" customHeight="1" x14ac:dyDescent="0.4">
      <c r="A452" s="117"/>
      <c r="B452" s="123"/>
      <c r="C452" s="123"/>
      <c r="D452" s="123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27"/>
      <c r="AE452" s="29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27"/>
      <c r="AU452" s="29"/>
      <c r="BE452" s="25"/>
      <c r="BF452" s="13"/>
      <c r="BK452" s="116"/>
      <c r="BL452" s="123"/>
      <c r="BM452" s="123"/>
      <c r="BN452" s="123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115"/>
      <c r="CC452" s="25"/>
      <c r="CD452" s="13"/>
      <c r="CG452" s="114"/>
    </row>
    <row r="453" spans="1:85" ht="20.100000000000001" customHeight="1" x14ac:dyDescent="0.4">
      <c r="A453" s="117"/>
      <c r="B453" s="123"/>
      <c r="C453" s="123"/>
      <c r="D453" s="123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9"/>
      <c r="AE453" s="29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27"/>
      <c r="AU453" s="29"/>
      <c r="BE453" s="25"/>
      <c r="BF453" s="13"/>
      <c r="BK453" s="116"/>
      <c r="BL453" s="123"/>
      <c r="BM453" s="123"/>
      <c r="BN453" s="123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115"/>
      <c r="CC453" s="25"/>
      <c r="CD453" s="13"/>
      <c r="CG453" s="114"/>
    </row>
    <row r="454" spans="1:85" ht="20.100000000000001" customHeight="1" x14ac:dyDescent="0.4">
      <c r="A454" s="117"/>
      <c r="B454" s="123"/>
      <c r="C454" s="123"/>
      <c r="D454" s="123"/>
      <c r="AD454" s="127"/>
      <c r="AE454" s="29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27"/>
      <c r="AU454" s="29"/>
      <c r="BE454" s="25"/>
      <c r="BF454" s="13"/>
      <c r="BK454" s="116"/>
      <c r="BL454" s="123"/>
      <c r="BM454" s="123"/>
      <c r="BN454" s="123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115"/>
      <c r="CC454" s="25"/>
      <c r="CD454" s="13"/>
      <c r="CG454" s="114"/>
    </row>
    <row r="455" spans="1:85" ht="20.100000000000001" customHeight="1" x14ac:dyDescent="0.4">
      <c r="A455" s="117"/>
      <c r="B455" s="123"/>
      <c r="C455" s="123"/>
      <c r="D455" s="123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9"/>
      <c r="AE455" s="29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27"/>
      <c r="AU455" s="29"/>
      <c r="BE455" s="25"/>
      <c r="BF455" s="13"/>
      <c r="BK455" s="116"/>
      <c r="BL455" s="123"/>
      <c r="BM455" s="123"/>
      <c r="BN455" s="123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25"/>
      <c r="CD455" s="13"/>
      <c r="CG455" s="114"/>
    </row>
    <row r="456" spans="1:85" ht="20.100000000000001" customHeight="1" x14ac:dyDescent="0.4">
      <c r="A456" s="117"/>
      <c r="B456" s="123"/>
      <c r="C456" s="123"/>
      <c r="D456" s="123"/>
      <c r="AD456" s="127"/>
      <c r="AE456" s="29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27"/>
      <c r="AU456" s="29"/>
      <c r="BE456" s="25"/>
      <c r="BF456" s="13"/>
      <c r="BK456" s="116"/>
      <c r="BL456" s="123"/>
      <c r="BM456" s="123"/>
      <c r="BN456" s="123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115"/>
      <c r="CC456" s="25"/>
      <c r="CD456" s="13"/>
      <c r="CG456" s="114"/>
    </row>
    <row r="457" spans="1:85" ht="20.100000000000001" customHeight="1" x14ac:dyDescent="0.4">
      <c r="A457" s="117"/>
      <c r="B457" s="123"/>
      <c r="C457" s="123"/>
      <c r="D457" s="123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27"/>
      <c r="AE457" s="29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27"/>
      <c r="AU457" s="29"/>
      <c r="BE457" s="25"/>
      <c r="BF457" s="13"/>
      <c r="BK457" s="116"/>
      <c r="BL457" s="123"/>
      <c r="BM457" s="123"/>
      <c r="BN457" s="123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25"/>
      <c r="CD457" s="13"/>
      <c r="CG457" s="114"/>
    </row>
    <row r="458" spans="1:85" ht="20.100000000000001" customHeight="1" x14ac:dyDescent="0.4">
      <c r="A458" s="117"/>
      <c r="B458" s="123"/>
      <c r="C458" s="123"/>
      <c r="D458" s="123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9"/>
      <c r="AE458" s="29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27"/>
      <c r="AU458" s="29"/>
      <c r="BE458" s="25"/>
      <c r="BF458" s="13"/>
      <c r="BK458" s="116"/>
      <c r="BL458" s="123"/>
      <c r="BM458" s="123"/>
      <c r="BN458" s="123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25"/>
      <c r="CD458" s="13"/>
      <c r="CG458" s="114"/>
    </row>
    <row r="459" spans="1:85" ht="20.100000000000001" customHeight="1" x14ac:dyDescent="0.4">
      <c r="A459" s="117"/>
      <c r="B459" s="123"/>
      <c r="C459" s="123"/>
      <c r="D459" s="123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9"/>
      <c r="AE459" s="29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27"/>
      <c r="AU459" s="29"/>
      <c r="BE459" s="25"/>
      <c r="BF459" s="13"/>
      <c r="BK459" s="116"/>
      <c r="BL459" s="123"/>
      <c r="BM459" s="123"/>
      <c r="BN459" s="123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115"/>
      <c r="CC459" s="25"/>
      <c r="CD459" s="13"/>
      <c r="CG459" s="114"/>
    </row>
    <row r="460" spans="1:85" ht="20.100000000000001" customHeight="1" x14ac:dyDescent="0.4">
      <c r="A460" s="117"/>
      <c r="B460" s="123"/>
      <c r="C460" s="123"/>
      <c r="D460" s="12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9"/>
      <c r="AE460" s="29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27"/>
      <c r="AU460" s="29"/>
      <c r="BE460" s="25"/>
      <c r="BF460" s="13"/>
      <c r="BK460" s="116"/>
      <c r="BL460" s="123"/>
      <c r="BM460" s="123"/>
      <c r="BN460" s="123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25"/>
      <c r="CD460" s="13"/>
      <c r="CG460" s="114"/>
    </row>
    <row r="461" spans="1:85" ht="20.100000000000001" customHeight="1" x14ac:dyDescent="0.4">
      <c r="A461" s="117"/>
      <c r="B461" s="123"/>
      <c r="C461" s="123"/>
      <c r="D461" s="123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27"/>
      <c r="AE461" s="29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27"/>
      <c r="AU461" s="29"/>
      <c r="BE461" s="25"/>
      <c r="BF461" s="13"/>
      <c r="BK461" s="116"/>
      <c r="BL461" s="123"/>
      <c r="BM461" s="123"/>
      <c r="BN461" s="123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25"/>
      <c r="CD461" s="13"/>
      <c r="CG461" s="114"/>
    </row>
    <row r="462" spans="1:85" ht="20.100000000000001" customHeight="1" x14ac:dyDescent="0.4">
      <c r="A462" s="117"/>
      <c r="B462" s="123"/>
      <c r="C462" s="123"/>
      <c r="D462" s="123"/>
      <c r="AD462" s="127"/>
      <c r="AE462" s="29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29"/>
      <c r="AU462" s="29"/>
      <c r="BE462" s="25"/>
      <c r="BF462" s="13"/>
      <c r="BK462" s="116"/>
      <c r="BL462" s="123"/>
      <c r="BM462" s="123"/>
      <c r="BN462" s="123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115"/>
      <c r="CC462" s="25"/>
      <c r="CD462" s="13"/>
      <c r="CG462" s="114"/>
    </row>
    <row r="463" spans="1:85" ht="20.100000000000001" customHeight="1" x14ac:dyDescent="0.4">
      <c r="A463" s="117"/>
      <c r="B463" s="123"/>
      <c r="C463" s="123"/>
      <c r="D463" s="123"/>
      <c r="AD463" s="127"/>
      <c r="AE463" s="29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27"/>
      <c r="AU463" s="29"/>
      <c r="BE463" s="25"/>
      <c r="BF463" s="13"/>
      <c r="BK463" s="116"/>
      <c r="BL463" s="123"/>
      <c r="BM463" s="123"/>
      <c r="BN463" s="123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115"/>
      <c r="CC463" s="25"/>
      <c r="CD463" s="13"/>
      <c r="CG463" s="114"/>
    </row>
    <row r="464" spans="1:85" ht="20.100000000000001" customHeight="1" x14ac:dyDescent="0.4">
      <c r="A464" s="117"/>
      <c r="B464" s="123"/>
      <c r="C464" s="123"/>
      <c r="D464" s="123"/>
      <c r="AD464" s="127"/>
      <c r="AE464" s="29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27"/>
      <c r="AU464" s="29"/>
      <c r="BE464" s="25"/>
      <c r="BF464" s="13"/>
      <c r="BK464" s="116"/>
      <c r="BL464" s="123"/>
      <c r="BM464" s="123"/>
      <c r="BN464" s="123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115"/>
      <c r="CC464" s="25"/>
      <c r="CD464" s="13"/>
      <c r="CG464" s="114"/>
    </row>
    <row r="465" spans="1:85" ht="20.100000000000001" customHeight="1" x14ac:dyDescent="0.4">
      <c r="A465" s="117"/>
      <c r="B465" s="123"/>
      <c r="C465" s="123"/>
      <c r="D465" s="123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9"/>
      <c r="AE465" s="29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27"/>
      <c r="AU465" s="29"/>
      <c r="BE465" s="25"/>
      <c r="BF465" s="13"/>
      <c r="BK465" s="116"/>
      <c r="BL465" s="123"/>
      <c r="BM465" s="123"/>
      <c r="BN465" s="123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25"/>
      <c r="CD465" s="13"/>
      <c r="CG465" s="114"/>
    </row>
    <row r="466" spans="1:85" ht="20.100000000000001" customHeight="1" x14ac:dyDescent="0.4">
      <c r="A466" s="117"/>
      <c r="B466" s="123"/>
      <c r="C466" s="123"/>
      <c r="D466" s="123"/>
      <c r="AD466" s="127"/>
      <c r="AE466" s="29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29"/>
      <c r="AU466" s="29"/>
      <c r="BE466" s="25"/>
      <c r="BF466" s="13"/>
      <c r="BK466" s="116"/>
      <c r="BL466" s="123"/>
      <c r="BM466" s="123"/>
      <c r="BN466" s="123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25"/>
      <c r="CD466" s="13"/>
      <c r="CG466" s="114"/>
    </row>
    <row r="467" spans="1:85" ht="20.100000000000001" customHeight="1" x14ac:dyDescent="0.4">
      <c r="A467" s="117"/>
      <c r="B467" s="123"/>
      <c r="C467" s="123"/>
      <c r="D467" s="123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27"/>
      <c r="AE467" s="29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29"/>
      <c r="AU467" s="29"/>
      <c r="BE467" s="25"/>
      <c r="BF467" s="13"/>
      <c r="BK467" s="116"/>
      <c r="BL467" s="123"/>
      <c r="BM467" s="123"/>
      <c r="BN467" s="123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25"/>
      <c r="CD467" s="13"/>
      <c r="CG467" s="114"/>
    </row>
    <row r="468" spans="1:85" ht="20.100000000000001" customHeight="1" x14ac:dyDescent="0.4">
      <c r="A468" s="117"/>
      <c r="B468" s="123"/>
      <c r="C468" s="123"/>
      <c r="D468" s="123"/>
      <c r="AD468" s="127"/>
      <c r="AE468" s="29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27"/>
      <c r="AU468" s="29"/>
      <c r="BE468" s="25"/>
      <c r="BF468" s="13"/>
      <c r="BK468" s="116"/>
      <c r="BL468" s="123"/>
      <c r="BM468" s="123"/>
      <c r="BN468" s="123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115"/>
      <c r="CC468" s="25"/>
      <c r="CD468" s="13"/>
      <c r="CG468" s="114"/>
    </row>
    <row r="469" spans="1:85" ht="20.100000000000001" customHeight="1" x14ac:dyDescent="0.4">
      <c r="A469" s="117"/>
      <c r="B469" s="123"/>
      <c r="C469" s="123"/>
      <c r="D469" s="123"/>
      <c r="AD469" s="127"/>
      <c r="AE469" s="29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27"/>
      <c r="AU469" s="29"/>
      <c r="BE469" s="25"/>
      <c r="BF469" s="13"/>
      <c r="BK469" s="116"/>
      <c r="BL469" s="123"/>
      <c r="BM469" s="123"/>
      <c r="BN469" s="123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115"/>
      <c r="CC469" s="25"/>
      <c r="CD469" s="13"/>
      <c r="CG469" s="114"/>
    </row>
    <row r="470" spans="1:85" ht="20.100000000000001" customHeight="1" x14ac:dyDescent="0.4">
      <c r="A470" s="117"/>
      <c r="B470" s="123"/>
      <c r="C470" s="123"/>
      <c r="D470" s="123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29"/>
      <c r="AE470" s="29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27"/>
      <c r="AU470" s="29"/>
      <c r="BE470" s="25"/>
      <c r="BF470" s="13"/>
      <c r="BK470" s="116"/>
      <c r="BL470" s="123"/>
      <c r="BM470" s="123"/>
      <c r="BN470" s="123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25"/>
      <c r="CD470" s="13"/>
      <c r="CG470" s="114"/>
    </row>
    <row r="471" spans="1:85" ht="20.100000000000001" customHeight="1" x14ac:dyDescent="0.4">
      <c r="A471" s="117"/>
      <c r="B471" s="123"/>
      <c r="C471" s="123"/>
      <c r="D471" s="123"/>
      <c r="F471" s="117"/>
      <c r="G471" s="135"/>
      <c r="H471" s="135"/>
      <c r="I471" s="135"/>
      <c r="J471" s="135"/>
      <c r="K471" s="135"/>
      <c r="L471" s="135"/>
      <c r="M471" s="135"/>
      <c r="N471" s="135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27"/>
      <c r="AE471" s="29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27"/>
      <c r="AU471" s="29"/>
      <c r="BE471" s="25"/>
      <c r="BF471" s="13"/>
      <c r="BK471" s="116"/>
      <c r="BL471" s="123"/>
      <c r="BM471" s="123"/>
      <c r="BN471" s="123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25"/>
      <c r="CD471" s="13"/>
      <c r="CG471" s="114"/>
    </row>
    <row r="472" spans="1:85" ht="20.100000000000001" customHeight="1" x14ac:dyDescent="0.4">
      <c r="A472" s="117"/>
      <c r="B472" s="123"/>
      <c r="C472" s="123"/>
      <c r="D472" s="123"/>
      <c r="F472" s="117"/>
      <c r="G472" s="135"/>
      <c r="H472" s="135"/>
      <c r="I472" s="135"/>
      <c r="J472" s="135"/>
      <c r="K472" s="135"/>
      <c r="L472" s="135"/>
      <c r="M472" s="135"/>
      <c r="N472" s="135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27"/>
      <c r="AE472" s="29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27"/>
      <c r="AU472" s="29"/>
      <c r="BE472" s="25"/>
      <c r="BF472" s="13"/>
      <c r="BK472" s="116"/>
      <c r="BL472" s="123"/>
      <c r="BM472" s="123"/>
      <c r="BN472" s="123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25"/>
      <c r="CD472" s="13"/>
      <c r="CG472" s="114"/>
    </row>
    <row r="473" spans="1:85" ht="20.100000000000001" customHeight="1" x14ac:dyDescent="0.4">
      <c r="A473" s="117"/>
      <c r="B473" s="123"/>
      <c r="C473" s="123"/>
      <c r="D473" s="123"/>
      <c r="F473" s="117"/>
      <c r="G473" s="135"/>
      <c r="H473" s="135"/>
      <c r="I473" s="135"/>
      <c r="J473" s="135"/>
      <c r="K473" s="135"/>
      <c r="L473" s="135"/>
      <c r="M473" s="135"/>
      <c r="N473" s="135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29"/>
      <c r="AE473" s="29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27"/>
      <c r="AU473" s="29"/>
      <c r="BE473" s="25"/>
      <c r="BF473" s="13"/>
      <c r="BK473" s="116"/>
      <c r="BL473" s="123"/>
      <c r="BM473" s="123"/>
      <c r="BN473" s="123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115"/>
      <c r="CC473" s="25"/>
      <c r="CD473" s="13"/>
      <c r="CG473" s="114"/>
    </row>
    <row r="474" spans="1:85" ht="20.100000000000001" customHeight="1" x14ac:dyDescent="0.4">
      <c r="A474" s="117"/>
      <c r="B474" s="123"/>
      <c r="C474" s="123"/>
      <c r="D474" s="123"/>
      <c r="F474" s="117"/>
      <c r="G474" s="135"/>
      <c r="H474" s="135"/>
      <c r="I474" s="135"/>
      <c r="J474" s="135"/>
      <c r="K474" s="135"/>
      <c r="L474" s="135"/>
      <c r="M474" s="135"/>
      <c r="N474" s="135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27"/>
      <c r="AE474" s="29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29"/>
      <c r="AU474" s="29"/>
      <c r="BE474" s="25"/>
      <c r="BF474" s="13"/>
      <c r="BK474" s="116"/>
      <c r="BL474" s="123"/>
      <c r="BM474" s="123"/>
      <c r="BN474" s="123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115"/>
      <c r="CC474" s="25"/>
      <c r="CD474" s="13"/>
      <c r="CG474" s="114"/>
    </row>
    <row r="475" spans="1:85" ht="20.100000000000001" customHeight="1" x14ac:dyDescent="0.4">
      <c r="A475" s="117"/>
      <c r="B475" s="123"/>
      <c r="C475" s="123"/>
      <c r="D475" s="123"/>
      <c r="F475" s="117"/>
      <c r="G475" s="135"/>
      <c r="H475" s="135"/>
      <c r="I475" s="135"/>
      <c r="J475" s="135"/>
      <c r="K475" s="135"/>
      <c r="L475" s="135"/>
      <c r="M475" s="135"/>
      <c r="N475" s="135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27"/>
      <c r="AE475" s="29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27"/>
      <c r="AU475" s="29"/>
      <c r="BE475" s="25"/>
      <c r="BF475" s="13"/>
      <c r="BK475" s="116"/>
      <c r="BL475" s="123"/>
      <c r="BM475" s="123"/>
      <c r="BN475" s="123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115"/>
      <c r="CC475" s="25"/>
      <c r="CD475" s="13"/>
      <c r="CG475" s="114"/>
    </row>
    <row r="476" spans="1:85" ht="20.100000000000001" customHeight="1" x14ac:dyDescent="0.4">
      <c r="A476" s="117"/>
      <c r="B476" s="123"/>
      <c r="C476" s="123"/>
      <c r="D476" s="123"/>
      <c r="F476" s="117"/>
      <c r="G476" s="135"/>
      <c r="H476" s="135"/>
      <c r="I476" s="135"/>
      <c r="J476" s="135"/>
      <c r="K476" s="135"/>
      <c r="L476" s="135"/>
      <c r="M476" s="135"/>
      <c r="N476" s="135"/>
      <c r="O476" s="136"/>
      <c r="P476" s="136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27"/>
      <c r="AE476" s="29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27"/>
      <c r="AU476" s="29"/>
      <c r="BE476" s="25"/>
      <c r="BF476" s="13"/>
      <c r="BK476" s="116"/>
      <c r="BL476" s="123"/>
      <c r="BM476" s="123"/>
      <c r="BN476" s="123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25"/>
      <c r="CD476" s="13"/>
      <c r="CG476" s="114"/>
    </row>
    <row r="477" spans="1:85" ht="20.100000000000001" customHeight="1" x14ac:dyDescent="0.4">
      <c r="A477" s="117"/>
      <c r="B477" s="123"/>
      <c r="C477" s="123"/>
      <c r="D477" s="123"/>
      <c r="F477" s="117"/>
      <c r="G477" s="135"/>
      <c r="H477" s="135"/>
      <c r="I477" s="135"/>
      <c r="J477" s="135"/>
      <c r="K477" s="135"/>
      <c r="L477" s="135"/>
      <c r="M477" s="135"/>
      <c r="N477" s="135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27"/>
      <c r="AE477" s="29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27"/>
      <c r="AU477" s="29"/>
      <c r="BE477" s="25"/>
      <c r="BF477" s="13"/>
      <c r="BK477" s="116"/>
      <c r="BL477" s="123"/>
      <c r="BM477" s="123"/>
      <c r="BN477" s="123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25"/>
      <c r="CD477" s="13"/>
      <c r="CG477" s="114"/>
    </row>
    <row r="478" spans="1:85" ht="20.100000000000001" customHeight="1" x14ac:dyDescent="0.4">
      <c r="A478" s="117"/>
      <c r="B478" s="123"/>
      <c r="C478" s="123"/>
      <c r="D478" s="123"/>
      <c r="F478" s="117"/>
      <c r="G478" s="135"/>
      <c r="H478" s="135"/>
      <c r="I478" s="135"/>
      <c r="J478" s="135"/>
      <c r="K478" s="135"/>
      <c r="L478" s="135"/>
      <c r="M478" s="135"/>
      <c r="N478" s="135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27"/>
      <c r="AE478" s="29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29"/>
      <c r="AU478" s="29"/>
      <c r="BE478" s="25"/>
      <c r="BF478" s="13"/>
      <c r="BK478" s="116"/>
      <c r="BL478" s="123"/>
      <c r="BM478" s="123"/>
      <c r="BN478" s="123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25"/>
      <c r="CD478" s="13"/>
      <c r="CG478" s="114"/>
    </row>
    <row r="479" spans="1:85" ht="20.100000000000001" customHeight="1" x14ac:dyDescent="0.4">
      <c r="A479" s="117"/>
      <c r="B479" s="123"/>
      <c r="C479" s="123"/>
      <c r="D479" s="123"/>
      <c r="F479" s="117"/>
      <c r="G479" s="135"/>
      <c r="H479" s="135"/>
      <c r="I479" s="135"/>
      <c r="J479" s="135"/>
      <c r="K479" s="135"/>
      <c r="L479" s="135"/>
      <c r="M479" s="135"/>
      <c r="N479" s="135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27"/>
      <c r="AE479" s="29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29"/>
      <c r="AU479" s="29"/>
      <c r="BE479" s="25"/>
      <c r="BF479" s="13"/>
      <c r="BK479" s="116"/>
      <c r="BL479" s="123"/>
      <c r="BM479" s="123"/>
      <c r="BN479" s="123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25"/>
      <c r="CD479" s="13"/>
      <c r="CG479" s="114"/>
    </row>
    <row r="480" spans="1:85" ht="20.100000000000001" customHeight="1" x14ac:dyDescent="0.4">
      <c r="A480" s="117"/>
      <c r="B480" s="123"/>
      <c r="C480" s="123"/>
      <c r="D480" s="123"/>
      <c r="F480" s="117"/>
      <c r="G480" s="135"/>
      <c r="H480" s="135"/>
      <c r="I480" s="135"/>
      <c r="J480" s="135"/>
      <c r="K480" s="135"/>
      <c r="L480" s="135"/>
      <c r="M480" s="135"/>
      <c r="N480" s="135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27"/>
      <c r="AE480" s="29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29"/>
      <c r="AU480" s="29"/>
      <c r="BE480" s="25"/>
      <c r="BF480" s="13"/>
      <c r="BK480" s="116"/>
      <c r="BL480" s="123"/>
      <c r="BM480" s="123"/>
      <c r="BN480" s="123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25"/>
      <c r="CD480" s="13"/>
      <c r="CG480" s="114"/>
    </row>
    <row r="481" spans="1:85" ht="20.100000000000001" customHeight="1" x14ac:dyDescent="0.4">
      <c r="A481" s="117"/>
      <c r="B481" s="123"/>
      <c r="C481" s="123"/>
      <c r="D481" s="123"/>
      <c r="F481" s="117"/>
      <c r="G481" s="135"/>
      <c r="H481" s="135"/>
      <c r="I481" s="135"/>
      <c r="J481" s="135"/>
      <c r="K481" s="135"/>
      <c r="L481" s="135"/>
      <c r="M481" s="135"/>
      <c r="N481" s="135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27"/>
      <c r="AE481" s="29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27"/>
      <c r="AU481" s="29"/>
      <c r="BE481" s="25"/>
      <c r="BF481" s="13"/>
      <c r="BK481" s="116"/>
      <c r="BL481" s="123"/>
      <c r="BM481" s="123"/>
      <c r="BN481" s="123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115"/>
      <c r="CC481" s="25"/>
      <c r="CD481" s="13"/>
      <c r="CG481" s="114"/>
    </row>
    <row r="482" spans="1:85" ht="20.100000000000001" customHeight="1" x14ac:dyDescent="0.4">
      <c r="A482" s="117"/>
      <c r="B482" s="123"/>
      <c r="C482" s="123"/>
      <c r="D482" s="123"/>
      <c r="F482" s="117"/>
      <c r="G482" s="135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27"/>
      <c r="AE482" s="29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27"/>
      <c r="AU482" s="29"/>
      <c r="BE482" s="25"/>
      <c r="BF482" s="13"/>
      <c r="BK482" s="116"/>
      <c r="BL482" s="123"/>
      <c r="BM482" s="123"/>
      <c r="BN482" s="123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115"/>
      <c r="CC482" s="25"/>
      <c r="CD482" s="13"/>
      <c r="CG482" s="114"/>
    </row>
    <row r="483" spans="1:85" ht="20.100000000000001" customHeight="1" x14ac:dyDescent="0.4">
      <c r="A483" s="117"/>
      <c r="B483" s="123"/>
      <c r="C483" s="123"/>
      <c r="D483" s="123"/>
      <c r="F483" s="117"/>
      <c r="G483" s="135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27"/>
      <c r="AE483" s="29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27"/>
      <c r="AU483" s="29"/>
      <c r="BE483" s="25"/>
      <c r="BF483" s="13"/>
      <c r="BK483" s="116"/>
      <c r="BL483" s="123"/>
      <c r="BM483" s="123"/>
      <c r="BN483" s="123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115"/>
      <c r="CC483" s="25"/>
      <c r="CD483" s="13"/>
      <c r="CG483" s="114"/>
    </row>
    <row r="484" spans="1:85" ht="20.100000000000001" customHeight="1" x14ac:dyDescent="0.4">
      <c r="A484" s="117"/>
      <c r="B484" s="123"/>
      <c r="C484" s="123"/>
      <c r="D484" s="123"/>
      <c r="F484" s="117"/>
      <c r="G484" s="135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29"/>
      <c r="AE484" s="29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27"/>
      <c r="AU484" s="29"/>
      <c r="BE484" s="25"/>
      <c r="BF484" s="13"/>
      <c r="BK484" s="116"/>
      <c r="BL484" s="123"/>
      <c r="BM484" s="123"/>
      <c r="BN484" s="123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115"/>
      <c r="CC484" s="25"/>
      <c r="CD484" s="13"/>
      <c r="CG484" s="114"/>
    </row>
    <row r="485" spans="1:85" ht="20.100000000000001" customHeight="1" x14ac:dyDescent="0.4">
      <c r="A485" s="117"/>
      <c r="B485" s="123"/>
      <c r="C485" s="123"/>
      <c r="D485" s="123"/>
      <c r="F485" s="117"/>
      <c r="G485" s="135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27"/>
      <c r="AE485" s="29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27"/>
      <c r="AU485" s="29"/>
      <c r="BE485" s="25"/>
      <c r="BF485" s="13"/>
      <c r="BK485" s="116"/>
      <c r="BL485" s="123"/>
      <c r="BM485" s="123"/>
      <c r="BN485" s="123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115"/>
      <c r="CC485" s="25"/>
      <c r="CD485" s="13"/>
      <c r="CG485" s="114"/>
    </row>
    <row r="486" spans="1:85" ht="20.100000000000001" customHeight="1" x14ac:dyDescent="0.4">
      <c r="A486" s="117"/>
      <c r="B486" s="123"/>
      <c r="C486" s="123"/>
      <c r="D486" s="123"/>
      <c r="F486" s="117"/>
      <c r="G486" s="135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27"/>
      <c r="AE486" s="29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27"/>
      <c r="AU486" s="29"/>
      <c r="BE486" s="25"/>
      <c r="BF486" s="13"/>
      <c r="BK486" s="116"/>
      <c r="BL486" s="123"/>
      <c r="BM486" s="123"/>
      <c r="BN486" s="123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115"/>
      <c r="CC486" s="25"/>
      <c r="CD486" s="13"/>
      <c r="CG486" s="114"/>
    </row>
    <row r="487" spans="1:85" ht="20.100000000000001" customHeight="1" x14ac:dyDescent="0.4">
      <c r="A487" s="117"/>
      <c r="B487" s="123"/>
      <c r="C487" s="123"/>
      <c r="D487" s="123"/>
      <c r="F487" s="117"/>
      <c r="G487" s="135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27"/>
      <c r="AE487" s="29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27"/>
      <c r="AU487" s="29"/>
      <c r="BE487" s="25"/>
      <c r="BF487" s="13"/>
      <c r="BK487" s="116"/>
      <c r="BL487" s="123"/>
      <c r="BM487" s="123"/>
      <c r="BN487" s="123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115"/>
      <c r="CC487" s="25"/>
      <c r="CD487" s="13"/>
      <c r="CG487" s="114"/>
    </row>
    <row r="488" spans="1:85" ht="20.100000000000001" customHeight="1" x14ac:dyDescent="0.4">
      <c r="A488" s="117"/>
      <c r="B488" s="123"/>
      <c r="C488" s="123"/>
      <c r="D488" s="123"/>
      <c r="F488" s="117"/>
      <c r="G488" s="135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27"/>
      <c r="AE488" s="29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27"/>
      <c r="AU488" s="29"/>
      <c r="BE488" s="25"/>
      <c r="BF488" s="13"/>
      <c r="BK488" s="116"/>
      <c r="BL488" s="123"/>
      <c r="BM488" s="123"/>
      <c r="BN488" s="123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25"/>
      <c r="CD488" s="13"/>
      <c r="CG488" s="114"/>
    </row>
    <row r="489" spans="1:85" ht="20.100000000000001" customHeight="1" x14ac:dyDescent="0.4">
      <c r="A489" s="117"/>
      <c r="B489" s="123"/>
      <c r="C489" s="123"/>
      <c r="D489" s="123"/>
      <c r="F489" s="117"/>
      <c r="G489" s="135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29"/>
      <c r="AE489" s="29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27"/>
      <c r="AU489" s="29"/>
      <c r="BE489" s="25"/>
      <c r="BF489" s="13"/>
      <c r="BK489" s="116"/>
      <c r="BL489" s="123"/>
      <c r="BM489" s="123"/>
      <c r="BN489" s="123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115"/>
      <c r="CC489" s="25"/>
      <c r="CD489" s="13"/>
      <c r="CG489" s="114"/>
    </row>
    <row r="490" spans="1:85" ht="20.100000000000001" customHeight="1" x14ac:dyDescent="0.4">
      <c r="A490" s="117"/>
      <c r="B490" s="123"/>
      <c r="C490" s="123"/>
      <c r="D490" s="123"/>
      <c r="F490" s="117"/>
      <c r="G490" s="135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27"/>
      <c r="AE490" s="29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27"/>
      <c r="AU490" s="29"/>
      <c r="BE490" s="25"/>
      <c r="BF490" s="13"/>
      <c r="BK490" s="116"/>
      <c r="BL490" s="123"/>
      <c r="BM490" s="123"/>
      <c r="BN490" s="123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25"/>
      <c r="CD490" s="13"/>
      <c r="CG490" s="114"/>
    </row>
    <row r="491" spans="1:85" ht="20.100000000000001" customHeight="1" x14ac:dyDescent="0.4">
      <c r="A491" s="117"/>
      <c r="B491" s="123"/>
      <c r="C491" s="123"/>
      <c r="D491" s="123"/>
      <c r="F491" s="117"/>
      <c r="G491" s="135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27"/>
      <c r="AE491" s="29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27"/>
      <c r="AU491" s="29"/>
      <c r="BE491" s="25"/>
      <c r="BF491" s="13"/>
      <c r="BK491" s="116"/>
      <c r="BL491" s="123"/>
      <c r="BM491" s="123"/>
      <c r="BN491" s="123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25"/>
      <c r="CD491" s="13"/>
      <c r="CG491" s="114"/>
    </row>
    <row r="492" spans="1:85" ht="20.100000000000001" customHeight="1" x14ac:dyDescent="0.4">
      <c r="A492" s="117"/>
      <c r="B492" s="123"/>
      <c r="C492" s="123"/>
      <c r="D492" s="123"/>
      <c r="F492" s="117"/>
      <c r="G492" s="135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29"/>
      <c r="AE492" s="29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27"/>
      <c r="AU492" s="29"/>
      <c r="BE492" s="25"/>
      <c r="BF492" s="13"/>
      <c r="BK492" s="116"/>
      <c r="BL492" s="123"/>
      <c r="BM492" s="123"/>
      <c r="BN492" s="123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25"/>
      <c r="CD492" s="13"/>
      <c r="CG492" s="114"/>
    </row>
    <row r="493" spans="1:85" ht="20.100000000000001" customHeight="1" x14ac:dyDescent="0.4">
      <c r="A493" s="117"/>
      <c r="B493" s="123"/>
      <c r="C493" s="123"/>
      <c r="D493" s="123"/>
      <c r="F493" s="117"/>
      <c r="G493" s="135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27"/>
      <c r="AE493" s="29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27"/>
      <c r="AU493" s="29"/>
      <c r="BE493" s="25"/>
      <c r="BF493" s="13"/>
      <c r="BK493" s="116"/>
      <c r="BL493" s="123"/>
      <c r="BM493" s="123"/>
      <c r="BN493" s="123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115"/>
      <c r="CC493" s="25"/>
      <c r="CD493" s="13"/>
      <c r="CG493" s="114"/>
    </row>
    <row r="494" spans="1:85" ht="20.100000000000001" customHeight="1" x14ac:dyDescent="0.4">
      <c r="A494" s="117"/>
      <c r="B494" s="123"/>
      <c r="C494" s="123"/>
      <c r="D494" s="123"/>
      <c r="F494" s="117"/>
      <c r="G494" s="135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29"/>
      <c r="AE494" s="29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27"/>
      <c r="AU494" s="29"/>
      <c r="BE494" s="25"/>
      <c r="BF494" s="13"/>
      <c r="BK494" s="116"/>
      <c r="BL494" s="123"/>
      <c r="BM494" s="123"/>
      <c r="BN494" s="123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25"/>
      <c r="CD494" s="13"/>
      <c r="CG494" s="114"/>
    </row>
    <row r="495" spans="1:85" ht="20.100000000000001" customHeight="1" x14ac:dyDescent="0.4">
      <c r="A495" s="117"/>
      <c r="B495" s="123"/>
      <c r="C495" s="123"/>
      <c r="D495" s="123"/>
      <c r="F495" s="117"/>
      <c r="G495" s="135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27"/>
      <c r="AE495" s="29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27"/>
      <c r="AU495" s="29"/>
      <c r="BE495" s="25"/>
      <c r="BF495" s="13"/>
      <c r="BK495" s="116"/>
      <c r="BL495" s="123"/>
      <c r="BM495" s="123"/>
      <c r="BN495" s="123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115"/>
      <c r="CC495" s="25"/>
      <c r="CD495" s="13"/>
      <c r="CG495" s="114"/>
    </row>
    <row r="496" spans="1:85" ht="20.100000000000001" customHeight="1" x14ac:dyDescent="0.4">
      <c r="A496" s="117"/>
      <c r="B496" s="123"/>
      <c r="C496" s="123"/>
      <c r="D496" s="123"/>
      <c r="F496" s="117"/>
      <c r="G496" s="135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29"/>
      <c r="AE496" s="29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27"/>
      <c r="AU496" s="29"/>
      <c r="BE496" s="25"/>
      <c r="BF496" s="13"/>
      <c r="BK496" s="116"/>
      <c r="BL496" s="123"/>
      <c r="BM496" s="123"/>
      <c r="BN496" s="123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115"/>
      <c r="CC496" s="25"/>
      <c r="CD496" s="13"/>
      <c r="CG496" s="114"/>
    </row>
    <row r="497" spans="1:85" ht="20.100000000000001" customHeight="1" x14ac:dyDescent="0.4">
      <c r="A497" s="117"/>
      <c r="B497" s="123"/>
      <c r="C497" s="123"/>
      <c r="D497" s="123"/>
      <c r="F497" s="117"/>
      <c r="G497" s="135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27"/>
      <c r="AE497" s="29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27"/>
      <c r="AU497" s="29"/>
      <c r="BE497" s="25"/>
      <c r="BF497" s="13"/>
      <c r="BK497" s="116"/>
      <c r="BL497" s="123"/>
      <c r="BM497" s="123"/>
      <c r="BN497" s="123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25"/>
      <c r="CD497" s="13"/>
      <c r="CG497" s="114"/>
    </row>
    <row r="498" spans="1:85" ht="20.100000000000001" customHeight="1" x14ac:dyDescent="0.4">
      <c r="A498" s="117"/>
      <c r="B498" s="123"/>
      <c r="C498" s="123"/>
      <c r="D498" s="123"/>
      <c r="F498" s="117"/>
      <c r="G498" s="135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27"/>
      <c r="AE498" s="29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27"/>
      <c r="AU498" s="29"/>
      <c r="BE498" s="25"/>
      <c r="BF498" s="13"/>
      <c r="BK498" s="116"/>
      <c r="BL498" s="123"/>
      <c r="BM498" s="123"/>
      <c r="BN498" s="123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5"/>
      <c r="CC498" s="25"/>
      <c r="CD498" s="13"/>
      <c r="CG498" s="114"/>
    </row>
    <row r="499" spans="1:85" ht="20.100000000000001" customHeight="1" x14ac:dyDescent="0.4">
      <c r="A499" s="117"/>
      <c r="B499" s="123"/>
      <c r="C499" s="123"/>
      <c r="D499" s="123"/>
      <c r="F499" s="117"/>
      <c r="G499" s="135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27"/>
      <c r="AE499" s="29"/>
      <c r="AT499" s="127"/>
      <c r="AU499" s="29"/>
      <c r="BE499" s="25"/>
      <c r="BF499" s="13"/>
      <c r="BK499" s="116"/>
      <c r="BL499" s="123"/>
      <c r="BM499" s="123"/>
      <c r="BN499" s="123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5"/>
      <c r="CC499" s="25"/>
      <c r="CD499" s="13"/>
      <c r="CG499" s="114"/>
    </row>
    <row r="500" spans="1:85" ht="20.100000000000001" customHeight="1" x14ac:dyDescent="0.4">
      <c r="A500" s="117"/>
      <c r="B500" s="123"/>
      <c r="C500" s="123"/>
      <c r="D500" s="123"/>
      <c r="F500" s="117"/>
      <c r="G500" s="135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29"/>
      <c r="AE500" s="29"/>
      <c r="AT500" s="127"/>
      <c r="AU500" s="29"/>
      <c r="BE500" s="25"/>
      <c r="BF500" s="13"/>
      <c r="BK500" s="116"/>
      <c r="BL500" s="123"/>
      <c r="BM500" s="123"/>
      <c r="BN500" s="123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5"/>
      <c r="CC500" s="25"/>
      <c r="CD500" s="13"/>
      <c r="CG500" s="114"/>
    </row>
    <row r="501" spans="1:85" ht="20.100000000000001" customHeight="1" x14ac:dyDescent="0.4">
      <c r="A501" s="117"/>
      <c r="B501" s="123"/>
      <c r="C501" s="123"/>
      <c r="D501" s="123"/>
      <c r="F501" s="117"/>
      <c r="G501" s="135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27"/>
      <c r="AE501" s="29"/>
      <c r="AP501" s="115"/>
      <c r="AQ501" s="115"/>
      <c r="AR501" s="115"/>
      <c r="AS501" s="115"/>
      <c r="AT501" s="127"/>
      <c r="AU501" s="29"/>
      <c r="BE501" s="25"/>
      <c r="BF501" s="13"/>
      <c r="BK501" s="116"/>
      <c r="BL501" s="123"/>
      <c r="BM501" s="123"/>
      <c r="BN501" s="123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5"/>
      <c r="CC501" s="25"/>
      <c r="CD501" s="13"/>
      <c r="CG501" s="114"/>
    </row>
    <row r="502" spans="1:85" ht="20.100000000000001" customHeight="1" x14ac:dyDescent="0.4">
      <c r="A502" s="117"/>
      <c r="B502" s="123"/>
      <c r="C502" s="123"/>
      <c r="D502" s="123"/>
      <c r="F502" s="117"/>
      <c r="G502" s="135"/>
      <c r="H502" s="136"/>
      <c r="I502" s="136"/>
      <c r="J502" s="136"/>
      <c r="K502" s="136"/>
      <c r="L502" s="136"/>
      <c r="M502" s="136"/>
      <c r="N502" s="136"/>
      <c r="O502" s="136"/>
      <c r="P502" s="136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27"/>
      <c r="AE502" s="29"/>
      <c r="AP502" s="115"/>
      <c r="AQ502" s="115"/>
      <c r="AR502" s="115"/>
      <c r="AS502" s="115"/>
      <c r="AT502" s="127"/>
      <c r="AU502" s="29"/>
      <c r="BE502" s="25"/>
      <c r="BF502" s="13"/>
      <c r="BK502" s="116"/>
      <c r="BL502" s="123"/>
      <c r="BM502" s="123"/>
      <c r="BN502" s="123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5"/>
      <c r="CC502" s="25"/>
      <c r="CD502" s="13"/>
      <c r="CG502" s="114"/>
    </row>
    <row r="503" spans="1:85" ht="20.100000000000001" customHeight="1" x14ac:dyDescent="0.4">
      <c r="A503" s="117"/>
      <c r="B503" s="123"/>
      <c r="C503" s="123"/>
      <c r="D503" s="123"/>
      <c r="F503" s="117"/>
      <c r="G503" s="135"/>
      <c r="H503" s="136"/>
      <c r="I503" s="136"/>
      <c r="J503" s="136"/>
      <c r="K503" s="136"/>
      <c r="L503" s="136"/>
      <c r="M503" s="136"/>
      <c r="N503" s="136"/>
      <c r="O503" s="136"/>
      <c r="P503" s="136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29"/>
      <c r="AE503" s="29"/>
      <c r="AP503" s="115"/>
      <c r="AQ503" s="115"/>
      <c r="AR503" s="115"/>
      <c r="AS503" s="115"/>
      <c r="AT503" s="127"/>
      <c r="AU503" s="29"/>
      <c r="BE503" s="25"/>
      <c r="BF503" s="13"/>
      <c r="BK503" s="116"/>
      <c r="BL503" s="123"/>
      <c r="BM503" s="123"/>
      <c r="BN503" s="123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25"/>
      <c r="CD503" s="13"/>
      <c r="CG503" s="114"/>
    </row>
    <row r="504" spans="1:85" ht="20.100000000000001" customHeight="1" x14ac:dyDescent="0.4">
      <c r="A504" s="117"/>
      <c r="B504" s="123"/>
      <c r="C504" s="123"/>
      <c r="D504" s="123"/>
      <c r="F504" s="117"/>
      <c r="G504" s="135"/>
      <c r="H504" s="136"/>
      <c r="I504" s="136"/>
      <c r="J504" s="136"/>
      <c r="K504" s="136"/>
      <c r="L504" s="136"/>
      <c r="M504" s="136"/>
      <c r="N504" s="136"/>
      <c r="O504" s="136"/>
      <c r="P504" s="136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29"/>
      <c r="AE504" s="29"/>
      <c r="AP504" s="115"/>
      <c r="AQ504" s="115"/>
      <c r="AR504" s="115"/>
      <c r="AS504" s="115"/>
      <c r="AT504" s="127"/>
      <c r="AU504" s="29"/>
      <c r="BE504" s="25"/>
      <c r="BF504" s="13"/>
      <c r="BK504" s="116"/>
      <c r="BL504" s="123"/>
      <c r="BM504" s="123"/>
      <c r="BN504" s="123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25"/>
      <c r="CD504" s="13"/>
      <c r="CG504" s="114"/>
    </row>
    <row r="505" spans="1:85" ht="20.100000000000001" customHeight="1" x14ac:dyDescent="0.4">
      <c r="A505" s="117"/>
      <c r="B505" s="123"/>
      <c r="C505" s="123"/>
      <c r="D505" s="123"/>
      <c r="F505" s="117"/>
      <c r="G505" s="135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27"/>
      <c r="AE505" s="29"/>
      <c r="AP505" s="115"/>
      <c r="AQ505" s="115"/>
      <c r="AR505" s="115"/>
      <c r="AS505" s="115"/>
      <c r="AT505" s="127"/>
      <c r="AU505" s="29"/>
      <c r="BE505" s="25"/>
      <c r="BF505" s="13"/>
      <c r="BK505" s="116"/>
      <c r="BL505" s="123"/>
      <c r="BM505" s="123"/>
      <c r="BN505" s="123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5"/>
      <c r="CC505" s="25"/>
      <c r="CD505" s="13"/>
      <c r="CG505" s="114"/>
    </row>
    <row r="506" spans="1:85" ht="20.100000000000001" customHeight="1" x14ac:dyDescent="0.4">
      <c r="A506" s="117"/>
      <c r="B506" s="123"/>
      <c r="C506" s="123"/>
      <c r="D506" s="123"/>
      <c r="F506" s="117"/>
      <c r="G506" s="135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27"/>
      <c r="AE506" s="29"/>
      <c r="AP506" s="115"/>
      <c r="AQ506" s="115"/>
      <c r="AR506" s="115"/>
      <c r="AS506" s="115"/>
      <c r="AT506" s="127"/>
      <c r="AU506" s="29"/>
      <c r="BE506" s="25"/>
      <c r="BF506" s="13"/>
      <c r="BK506" s="116"/>
      <c r="BL506" s="123"/>
      <c r="BM506" s="123"/>
      <c r="BN506" s="123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25"/>
      <c r="CD506" s="13"/>
      <c r="CG506" s="114"/>
    </row>
    <row r="507" spans="1:85" ht="20.100000000000001" customHeight="1" x14ac:dyDescent="0.4">
      <c r="A507" s="117"/>
      <c r="B507" s="123"/>
      <c r="C507" s="123"/>
      <c r="D507" s="123"/>
      <c r="F507" s="117"/>
      <c r="G507" s="135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27"/>
      <c r="AE507" s="29"/>
      <c r="AL507" s="115"/>
      <c r="AM507" s="115"/>
      <c r="AN507" s="115"/>
      <c r="AO507" s="115"/>
      <c r="AP507" s="115"/>
      <c r="AQ507" s="115"/>
      <c r="AR507" s="115"/>
      <c r="AS507" s="115"/>
      <c r="AT507" s="127"/>
      <c r="AU507" s="29"/>
      <c r="BE507" s="25"/>
      <c r="BF507" s="13"/>
      <c r="BK507" s="116"/>
      <c r="BL507" s="123"/>
      <c r="BM507" s="123"/>
      <c r="BN507" s="123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25"/>
      <c r="CD507" s="13"/>
      <c r="CG507" s="114"/>
    </row>
    <row r="508" spans="1:85" ht="20.100000000000001" customHeight="1" x14ac:dyDescent="0.4">
      <c r="A508" s="117"/>
      <c r="B508" s="123"/>
      <c r="C508" s="123"/>
      <c r="D508" s="123"/>
      <c r="F508" s="117"/>
      <c r="G508" s="135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27"/>
      <c r="AE508" s="29"/>
      <c r="AL508" s="115"/>
      <c r="AM508" s="115"/>
      <c r="AN508" s="115"/>
      <c r="AO508" s="115"/>
      <c r="AP508" s="115"/>
      <c r="AQ508" s="115"/>
      <c r="AR508" s="115"/>
      <c r="AS508" s="115"/>
      <c r="AT508" s="29"/>
      <c r="AU508" s="29"/>
      <c r="BE508" s="25"/>
      <c r="BF508" s="13"/>
      <c r="BK508" s="116"/>
      <c r="BL508" s="123"/>
      <c r="BM508" s="123"/>
      <c r="BN508" s="123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25"/>
      <c r="CD508" s="13"/>
      <c r="CG508" s="114"/>
    </row>
    <row r="509" spans="1:85" ht="20.100000000000001" customHeight="1" x14ac:dyDescent="0.4">
      <c r="A509" s="117"/>
      <c r="B509" s="123"/>
      <c r="C509" s="123"/>
      <c r="D509" s="123"/>
      <c r="F509" s="117"/>
      <c r="G509" s="135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29"/>
      <c r="AE509" s="29"/>
      <c r="AL509" s="115"/>
      <c r="AM509" s="115"/>
      <c r="AN509" s="115"/>
      <c r="AO509" s="115"/>
      <c r="AP509" s="115"/>
      <c r="AQ509" s="115"/>
      <c r="AR509" s="115"/>
      <c r="AS509" s="115"/>
      <c r="AT509" s="29"/>
      <c r="AU509" s="29"/>
      <c r="BE509" s="25"/>
      <c r="BF509" s="13"/>
      <c r="BK509" s="116"/>
      <c r="BL509" s="123"/>
      <c r="BM509" s="123"/>
      <c r="BN509" s="123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25"/>
      <c r="CD509" s="13"/>
      <c r="CG509" s="114"/>
    </row>
    <row r="510" spans="1:85" ht="20.100000000000001" customHeight="1" x14ac:dyDescent="0.4">
      <c r="A510" s="117"/>
      <c r="B510" s="123"/>
      <c r="C510" s="123"/>
      <c r="D510" s="123"/>
      <c r="F510" s="117"/>
      <c r="G510" s="135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27"/>
      <c r="AE510" s="29"/>
      <c r="AL510" s="115"/>
      <c r="AM510" s="115"/>
      <c r="AN510" s="115"/>
      <c r="AO510" s="115"/>
      <c r="AP510" s="115"/>
      <c r="AQ510" s="115"/>
      <c r="AR510" s="115"/>
      <c r="AS510" s="115"/>
      <c r="AT510" s="127"/>
      <c r="AU510" s="29"/>
      <c r="BE510" s="25"/>
      <c r="BF510" s="13"/>
      <c r="BK510" s="116"/>
      <c r="BL510" s="123"/>
      <c r="BM510" s="123"/>
      <c r="BN510" s="123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25"/>
      <c r="CD510" s="13"/>
      <c r="CG510" s="114"/>
    </row>
    <row r="511" spans="1:85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7"/>
      <c r="AE511" s="29"/>
      <c r="AL511" s="115"/>
      <c r="AM511" s="115"/>
      <c r="AN511" s="115"/>
      <c r="AO511" s="115"/>
      <c r="AP511" s="115"/>
      <c r="AQ511" s="115"/>
      <c r="AR511" s="115"/>
      <c r="AS511" s="115"/>
      <c r="AT511" s="127"/>
      <c r="AU511" s="29"/>
      <c r="BE511" s="25"/>
      <c r="BF511" s="13"/>
      <c r="BK511" s="116"/>
      <c r="BL511" s="123"/>
      <c r="BM511" s="123"/>
      <c r="BN511" s="123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25"/>
      <c r="CD511" s="13"/>
      <c r="CG511" s="114"/>
    </row>
    <row r="512" spans="1:85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7"/>
      <c r="AE512" s="29"/>
      <c r="AL512" s="115"/>
      <c r="AM512" s="115"/>
      <c r="AN512" s="115"/>
      <c r="AO512" s="115"/>
      <c r="AP512" s="115"/>
      <c r="AQ512" s="115"/>
      <c r="AR512" s="115"/>
      <c r="AS512" s="115"/>
      <c r="AT512" s="127"/>
      <c r="AU512" s="29"/>
      <c r="BE512" s="25"/>
      <c r="BF512" s="13"/>
      <c r="BK512" s="116"/>
      <c r="BL512" s="123"/>
      <c r="BM512" s="123"/>
      <c r="BN512" s="123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25"/>
      <c r="CD512" s="13"/>
      <c r="CG512" s="114"/>
    </row>
    <row r="513" spans="1:85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7"/>
      <c r="AE513" s="29"/>
      <c r="AL513" s="115"/>
      <c r="AM513" s="115"/>
      <c r="AN513" s="115"/>
      <c r="AO513" s="115"/>
      <c r="AP513" s="115"/>
      <c r="AQ513" s="115"/>
      <c r="AR513" s="115"/>
      <c r="AS513" s="115"/>
      <c r="AT513" s="127"/>
      <c r="AU513" s="29"/>
      <c r="BE513" s="25"/>
      <c r="BF513" s="13"/>
      <c r="BK513" s="116"/>
      <c r="BL513" s="123"/>
      <c r="BM513" s="123"/>
      <c r="BN513" s="123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25"/>
      <c r="CD513" s="13"/>
      <c r="CG513" s="114"/>
    </row>
    <row r="514" spans="1:85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7"/>
      <c r="AE514" s="29"/>
      <c r="AL514" s="115"/>
      <c r="AM514" s="115"/>
      <c r="AN514" s="115"/>
      <c r="AO514" s="115"/>
      <c r="AP514" s="115"/>
      <c r="AQ514" s="115"/>
      <c r="AR514" s="115"/>
      <c r="AS514" s="115"/>
      <c r="AT514" s="127"/>
      <c r="AU514" s="29"/>
      <c r="BE514" s="25"/>
      <c r="BF514" s="13"/>
      <c r="BK514" s="116"/>
      <c r="BL514" s="123"/>
      <c r="BM514" s="123"/>
      <c r="BN514" s="123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25"/>
      <c r="CD514" s="13"/>
      <c r="CG514" s="114"/>
    </row>
    <row r="515" spans="1:85" ht="20.100000000000001" customHeight="1" x14ac:dyDescent="0.4">
      <c r="A515" s="117"/>
      <c r="B515" s="123"/>
      <c r="C515" s="123"/>
      <c r="D515" s="123"/>
      <c r="AD515" s="127"/>
      <c r="AE515" s="29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27"/>
      <c r="AU515" s="29"/>
      <c r="BE515" s="25"/>
      <c r="BF515" s="13"/>
      <c r="BK515" s="116"/>
      <c r="BL515" s="123"/>
      <c r="BM515" s="123"/>
      <c r="BN515" s="123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25"/>
      <c r="CD515" s="13"/>
      <c r="CG515" s="114"/>
    </row>
    <row r="516" spans="1:85" ht="20.100000000000001" customHeight="1" x14ac:dyDescent="0.4">
      <c r="A516" s="117"/>
      <c r="B516" s="123"/>
      <c r="C516" s="123"/>
      <c r="D516" s="123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27"/>
      <c r="AE516" s="29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27"/>
      <c r="AU516" s="29"/>
      <c r="BE516" s="25"/>
      <c r="BF516" s="13"/>
      <c r="BK516" s="116"/>
      <c r="BL516" s="123"/>
      <c r="BM516" s="123"/>
      <c r="BN516" s="123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25"/>
      <c r="CD516" s="13"/>
      <c r="CG516" s="114"/>
    </row>
    <row r="517" spans="1:85" ht="20.100000000000001" customHeight="1" x14ac:dyDescent="0.4">
      <c r="A517" s="117"/>
      <c r="B517" s="123"/>
      <c r="C517" s="123"/>
      <c r="D517" s="123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27"/>
      <c r="AE517" s="29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27"/>
      <c r="AU517" s="29"/>
      <c r="BE517" s="25"/>
      <c r="BF517" s="13"/>
      <c r="BK517" s="116"/>
      <c r="BL517" s="123"/>
      <c r="BM517" s="123"/>
      <c r="BN517" s="123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25"/>
      <c r="CD517" s="13"/>
      <c r="CG517" s="114"/>
    </row>
    <row r="518" spans="1:85" ht="20.100000000000001" customHeight="1" x14ac:dyDescent="0.4">
      <c r="A518" s="117"/>
      <c r="B518" s="123"/>
      <c r="C518" s="123"/>
      <c r="D518" s="123"/>
      <c r="AD518" s="127"/>
      <c r="AE518" s="29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27"/>
      <c r="AU518" s="29"/>
      <c r="BE518" s="25"/>
      <c r="BF518" s="13"/>
      <c r="BK518" s="116"/>
      <c r="BL518" s="123"/>
      <c r="BM518" s="123"/>
      <c r="BN518" s="123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25"/>
      <c r="CD518" s="13"/>
      <c r="CG518" s="114"/>
    </row>
    <row r="519" spans="1:85" ht="20.100000000000001" customHeight="1" x14ac:dyDescent="0.4">
      <c r="A519" s="117"/>
      <c r="B519" s="123"/>
      <c r="C519" s="123"/>
      <c r="D519" s="123"/>
      <c r="AD519" s="127"/>
      <c r="AE519" s="29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27"/>
      <c r="AU519" s="134"/>
      <c r="BE519" s="25"/>
      <c r="BF519" s="13"/>
      <c r="BK519" s="116"/>
      <c r="BL519" s="123"/>
      <c r="BM519" s="123"/>
      <c r="BN519" s="123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25"/>
      <c r="CD519" s="13"/>
      <c r="CG519" s="114"/>
    </row>
    <row r="520" spans="1:85" ht="20.100000000000001" customHeight="1" x14ac:dyDescent="0.4">
      <c r="A520" s="117"/>
      <c r="B520" s="123"/>
      <c r="C520" s="123"/>
      <c r="D520" s="123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27"/>
      <c r="AE520" s="29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27"/>
      <c r="AU520" s="134"/>
      <c r="BE520" s="25"/>
      <c r="BF520" s="13"/>
      <c r="BK520" s="116"/>
      <c r="BL520" s="123"/>
      <c r="BM520" s="123"/>
      <c r="BN520" s="123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25"/>
      <c r="CD520" s="13"/>
      <c r="CG520" s="114"/>
    </row>
    <row r="521" spans="1:85" ht="20.100000000000001" customHeight="1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29"/>
      <c r="AE521" s="29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27"/>
      <c r="AU521" s="134"/>
      <c r="BE521" s="25"/>
      <c r="BF521" s="13"/>
      <c r="BK521" s="116"/>
      <c r="BL521" s="123"/>
      <c r="BM521" s="123"/>
      <c r="BN521" s="123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25"/>
      <c r="CD521" s="13"/>
      <c r="CG521" s="114"/>
    </row>
    <row r="522" spans="1:85" ht="20.100000000000001" customHeight="1" x14ac:dyDescent="0.4">
      <c r="A522" s="117"/>
      <c r="B522" s="123"/>
      <c r="C522" s="123"/>
      <c r="D522" s="123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27"/>
      <c r="AE522" s="29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27"/>
      <c r="AU522" s="134"/>
      <c r="BE522" s="25"/>
      <c r="BF522" s="13"/>
      <c r="BK522" s="116"/>
      <c r="BL522" s="123"/>
      <c r="BM522" s="123"/>
      <c r="BN522" s="123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25"/>
      <c r="CD522" s="13"/>
      <c r="CG522" s="114"/>
    </row>
    <row r="523" spans="1:85" ht="20.100000000000001" customHeight="1" x14ac:dyDescent="0.4">
      <c r="A523" s="117"/>
      <c r="B523" s="123"/>
      <c r="C523" s="123"/>
      <c r="D523" s="123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27"/>
      <c r="AE523" s="29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27"/>
      <c r="AU523" s="134"/>
      <c r="BE523" s="25"/>
      <c r="BF523" s="13"/>
      <c r="BK523" s="116"/>
      <c r="BL523" s="123"/>
      <c r="BM523" s="123"/>
      <c r="BN523" s="123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25"/>
      <c r="CD523" s="13"/>
      <c r="CG523" s="114"/>
    </row>
    <row r="524" spans="1:85" ht="20.100000000000001" customHeight="1" x14ac:dyDescent="0.4">
      <c r="A524" s="117"/>
      <c r="B524" s="123"/>
      <c r="C524" s="123"/>
      <c r="D524" s="123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27"/>
      <c r="AE524" s="29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27"/>
      <c r="AU524" s="134"/>
      <c r="BE524" s="25"/>
      <c r="BF524" s="13"/>
      <c r="BK524" s="116"/>
      <c r="BL524" s="123"/>
      <c r="BM524" s="123"/>
      <c r="BN524" s="123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25"/>
      <c r="CD524" s="13"/>
      <c r="CG524" s="114"/>
    </row>
    <row r="525" spans="1:85" ht="20.100000000000001" customHeight="1" x14ac:dyDescent="0.4">
      <c r="A525" s="117"/>
      <c r="B525" s="123"/>
      <c r="C525" s="123"/>
      <c r="D525" s="123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27"/>
      <c r="AE525" s="29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27"/>
      <c r="AU525" s="134"/>
      <c r="BE525" s="25"/>
      <c r="BF525" s="13"/>
      <c r="BK525" s="116"/>
      <c r="BL525" s="123"/>
      <c r="BM525" s="123"/>
      <c r="BN525" s="123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25"/>
      <c r="CD525" s="13"/>
      <c r="CG525" s="114"/>
    </row>
    <row r="526" spans="1:85" ht="20.100000000000001" customHeight="1" x14ac:dyDescent="0.4">
      <c r="A526" s="117"/>
      <c r="B526" s="123"/>
      <c r="C526" s="123"/>
      <c r="D526" s="123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27"/>
      <c r="AE526" s="29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27"/>
      <c r="AU526" s="134"/>
      <c r="BE526" s="25"/>
      <c r="BF526" s="13"/>
      <c r="BK526" s="116"/>
      <c r="BL526" s="123"/>
      <c r="BM526" s="123"/>
      <c r="BN526" s="123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25"/>
      <c r="CD526" s="13"/>
      <c r="CG526" s="114"/>
    </row>
    <row r="527" spans="1:85" ht="20.100000000000001" customHeight="1" x14ac:dyDescent="0.4">
      <c r="A527" s="117"/>
      <c r="B527" s="123"/>
      <c r="C527" s="123"/>
      <c r="D527" s="123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9"/>
      <c r="AE527" s="29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27"/>
      <c r="AU527" s="134"/>
      <c r="BE527" s="25"/>
      <c r="BF527" s="13"/>
      <c r="BK527" s="116"/>
      <c r="BL527" s="123"/>
      <c r="BM527" s="123"/>
      <c r="BN527" s="123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25"/>
      <c r="CD527" s="13"/>
      <c r="CG527" s="114"/>
    </row>
    <row r="528" spans="1:85" ht="20.100000000000001" customHeight="1" x14ac:dyDescent="0.4">
      <c r="A528" s="117"/>
      <c r="B528" s="123"/>
      <c r="C528" s="123"/>
      <c r="D528" s="123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27"/>
      <c r="AE528" s="29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27"/>
      <c r="AU528" s="134"/>
      <c r="BE528" s="25"/>
      <c r="BF528" s="13"/>
      <c r="BK528" s="116"/>
      <c r="BL528" s="123"/>
      <c r="BM528" s="123"/>
      <c r="BN528" s="123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25"/>
      <c r="CD528" s="13"/>
      <c r="CG528" s="114"/>
    </row>
    <row r="529" spans="1:85" ht="20.100000000000001" customHeight="1" x14ac:dyDescent="0.4">
      <c r="A529" s="117"/>
      <c r="B529" s="123"/>
      <c r="C529" s="123"/>
      <c r="D529" s="123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27"/>
      <c r="AE529" s="29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27"/>
      <c r="AU529" s="134"/>
      <c r="BE529" s="25"/>
      <c r="BF529" s="13"/>
      <c r="BK529" s="116"/>
      <c r="BL529" s="123"/>
      <c r="BM529" s="123"/>
      <c r="BN529" s="123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25"/>
      <c r="CD529" s="13"/>
      <c r="CG529" s="114"/>
    </row>
    <row r="530" spans="1:85" ht="20.100000000000001" customHeight="1" x14ac:dyDescent="0.4">
      <c r="A530" s="117"/>
      <c r="B530" s="123"/>
      <c r="C530" s="123"/>
      <c r="D530" s="123"/>
      <c r="AD530" s="127"/>
      <c r="AE530" s="29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27"/>
      <c r="AU530" s="29"/>
      <c r="BE530" s="25"/>
      <c r="BF530" s="13"/>
      <c r="BK530" s="116"/>
      <c r="BL530" s="123"/>
      <c r="BM530" s="123"/>
      <c r="BN530" s="123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25"/>
      <c r="CD530" s="13"/>
      <c r="CG530" s="114"/>
    </row>
    <row r="531" spans="1:85" ht="20.100000000000001" customHeight="1" x14ac:dyDescent="0.4">
      <c r="A531" s="117"/>
      <c r="B531" s="123"/>
      <c r="C531" s="123"/>
      <c r="D531" s="123"/>
      <c r="AD531" s="127"/>
      <c r="AE531" s="29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29"/>
      <c r="AU531" s="29"/>
      <c r="BE531" s="25"/>
      <c r="BF531" s="13"/>
      <c r="BK531" s="116"/>
      <c r="BL531" s="123"/>
      <c r="BM531" s="123"/>
      <c r="BN531" s="123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25"/>
      <c r="CD531" s="13"/>
      <c r="CG531" s="114"/>
    </row>
    <row r="532" spans="1:85" ht="20.100000000000001" customHeight="1" x14ac:dyDescent="0.4">
      <c r="A532" s="117"/>
      <c r="B532" s="123"/>
      <c r="C532" s="123"/>
      <c r="D532" s="123"/>
      <c r="AD532" s="127"/>
      <c r="AE532" s="29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27"/>
      <c r="AU532" s="29"/>
      <c r="BE532" s="25"/>
      <c r="BF532" s="13"/>
      <c r="BK532" s="116"/>
      <c r="BL532" s="123"/>
      <c r="BM532" s="123"/>
      <c r="BN532" s="123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25"/>
      <c r="CD532" s="13"/>
      <c r="CG532" s="114"/>
    </row>
    <row r="533" spans="1:85" ht="20.100000000000001" customHeight="1" x14ac:dyDescent="0.4">
      <c r="A533" s="117"/>
      <c r="B533" s="123"/>
      <c r="C533" s="123"/>
      <c r="D533" s="123"/>
      <c r="AD533" s="127"/>
      <c r="AE533" s="29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27"/>
      <c r="AU533" s="29"/>
      <c r="BE533" s="25"/>
      <c r="BF533" s="13"/>
      <c r="BK533" s="116"/>
      <c r="BL533" s="123"/>
      <c r="BM533" s="123"/>
      <c r="BN533" s="123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25"/>
      <c r="CD533" s="13"/>
      <c r="CG533" s="114"/>
    </row>
    <row r="534" spans="1:85" ht="20.100000000000001" customHeight="1" x14ac:dyDescent="0.4">
      <c r="A534" s="117"/>
      <c r="B534" s="123"/>
      <c r="C534" s="123"/>
      <c r="D534" s="123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9"/>
      <c r="AE534" s="29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27"/>
      <c r="AU534" s="29"/>
      <c r="BE534" s="25"/>
      <c r="BF534" s="13"/>
      <c r="BK534" s="116"/>
      <c r="BL534" s="123"/>
      <c r="BM534" s="123"/>
      <c r="BN534" s="123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25"/>
      <c r="CD534" s="13"/>
      <c r="CG534" s="114"/>
    </row>
    <row r="535" spans="1:85" ht="20.100000000000001" customHeight="1" x14ac:dyDescent="0.4">
      <c r="A535" s="117"/>
      <c r="B535" s="123"/>
      <c r="C535" s="123"/>
      <c r="D535" s="123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27"/>
      <c r="AE535" s="29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27"/>
      <c r="AU535" s="29"/>
      <c r="BE535" s="25"/>
      <c r="BF535" s="13"/>
      <c r="BK535" s="116"/>
      <c r="BL535" s="123"/>
      <c r="BM535" s="123"/>
      <c r="BN535" s="123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25"/>
      <c r="CD535" s="13"/>
      <c r="CG535" s="114"/>
    </row>
    <row r="536" spans="1:85" ht="20.100000000000001" customHeight="1" x14ac:dyDescent="0.4">
      <c r="A536" s="117"/>
      <c r="B536" s="123"/>
      <c r="C536" s="123"/>
      <c r="D536" s="123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27"/>
      <c r="AE536" s="29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27"/>
      <c r="AU536" s="29"/>
      <c r="BE536" s="25"/>
      <c r="BF536" s="13"/>
      <c r="BK536" s="116"/>
      <c r="BL536" s="123"/>
      <c r="BM536" s="123"/>
      <c r="BN536" s="123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25"/>
      <c r="CD536" s="13"/>
      <c r="CG536" s="114"/>
    </row>
    <row r="537" spans="1:85" ht="20.100000000000001" customHeight="1" x14ac:dyDescent="0.4">
      <c r="A537" s="117"/>
      <c r="B537" s="123"/>
      <c r="C537" s="123"/>
      <c r="D537" s="123"/>
      <c r="AD537" s="127"/>
      <c r="AE537" s="134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27"/>
      <c r="AU537" s="29"/>
      <c r="BE537" s="25"/>
      <c r="BF537" s="13"/>
      <c r="BK537" s="116"/>
      <c r="BL537" s="123"/>
      <c r="BM537" s="123"/>
      <c r="BN537" s="123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25"/>
      <c r="CD537" s="13"/>
      <c r="CG537" s="114"/>
    </row>
    <row r="538" spans="1:85" ht="20.100000000000001" customHeight="1" x14ac:dyDescent="0.4">
      <c r="A538" s="117"/>
      <c r="B538" s="123"/>
      <c r="C538" s="123"/>
      <c r="D538" s="123"/>
      <c r="AD538" s="127"/>
      <c r="AE538" s="29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27"/>
      <c r="AU538" s="29"/>
      <c r="BE538" s="25"/>
      <c r="BF538" s="13"/>
      <c r="BK538" s="116"/>
      <c r="BL538" s="123"/>
      <c r="BM538" s="123"/>
      <c r="BN538" s="123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25"/>
      <c r="CD538" s="13"/>
      <c r="CG538" s="114"/>
    </row>
    <row r="539" spans="1:85" ht="20.100000000000001" customHeight="1" x14ac:dyDescent="0.4">
      <c r="A539" s="117"/>
      <c r="B539" s="123"/>
      <c r="C539" s="123"/>
      <c r="D539" s="123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27"/>
      <c r="AE539" s="29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27"/>
      <c r="AU539" s="29"/>
      <c r="BE539" s="25"/>
      <c r="BF539" s="13"/>
      <c r="BK539" s="116"/>
      <c r="BL539" s="123"/>
      <c r="BM539" s="123"/>
      <c r="BN539" s="123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25"/>
      <c r="CD539" s="13"/>
      <c r="CG539" s="114"/>
    </row>
    <row r="540" spans="1:85" ht="20.100000000000001" customHeight="1" x14ac:dyDescent="0.4">
      <c r="A540" s="117"/>
      <c r="B540" s="123"/>
      <c r="C540" s="123"/>
      <c r="D540" s="123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9"/>
      <c r="AE540" s="29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27"/>
      <c r="AU540" s="29"/>
      <c r="BE540" s="25"/>
      <c r="BF540" s="13"/>
      <c r="BK540" s="116"/>
      <c r="BL540" s="123"/>
      <c r="BM540" s="123"/>
      <c r="BN540" s="123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25"/>
      <c r="CD540" s="13"/>
      <c r="CG540" s="114"/>
    </row>
    <row r="541" spans="1:85" ht="20.100000000000001" customHeight="1" x14ac:dyDescent="0.4">
      <c r="A541" s="117"/>
      <c r="B541" s="123"/>
      <c r="C541" s="123"/>
      <c r="D541" s="123"/>
      <c r="AD541" s="127"/>
      <c r="AE541" s="29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27"/>
      <c r="AU541" s="29"/>
      <c r="BE541" s="25"/>
      <c r="BF541" s="13"/>
      <c r="BK541" s="116"/>
      <c r="BL541" s="123"/>
      <c r="BM541" s="123"/>
      <c r="BN541" s="123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25"/>
      <c r="CD541" s="13"/>
      <c r="CG541" s="114"/>
    </row>
    <row r="542" spans="1:85" ht="20.100000000000001" customHeight="1" x14ac:dyDescent="0.4">
      <c r="A542" s="117"/>
      <c r="B542" s="123"/>
      <c r="C542" s="123"/>
      <c r="D542" s="123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29"/>
      <c r="AE542" s="29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27"/>
      <c r="AU542" s="29"/>
      <c r="BE542" s="25"/>
      <c r="BF542" s="13"/>
      <c r="BK542" s="116"/>
      <c r="BL542" s="123"/>
      <c r="BM542" s="123"/>
      <c r="BN542" s="123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25"/>
      <c r="CD542" s="13"/>
      <c r="CG542" s="114"/>
    </row>
    <row r="543" spans="1:85" ht="20.100000000000001" customHeight="1" x14ac:dyDescent="0.4">
      <c r="A543" s="117"/>
      <c r="B543" s="123"/>
      <c r="C543" s="123"/>
      <c r="D543" s="123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27"/>
      <c r="AE543" s="29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27"/>
      <c r="AU543" s="29"/>
      <c r="BE543" s="25"/>
      <c r="BF543" s="13"/>
      <c r="BK543" s="116"/>
      <c r="BL543" s="123"/>
      <c r="BM543" s="123"/>
      <c r="BN543" s="123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25"/>
      <c r="CD543" s="13"/>
      <c r="CG543" s="114"/>
    </row>
    <row r="544" spans="1:85" ht="20.100000000000001" customHeight="1" x14ac:dyDescent="0.4">
      <c r="A544" s="117"/>
      <c r="B544" s="123"/>
      <c r="C544" s="123"/>
      <c r="D544" s="123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27"/>
      <c r="AE544" s="29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27"/>
      <c r="AU544" s="29"/>
      <c r="BE544" s="25"/>
      <c r="BF544" s="13"/>
      <c r="BK544" s="116"/>
      <c r="BL544" s="123"/>
      <c r="BM544" s="123"/>
      <c r="BN544" s="123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25"/>
      <c r="CD544" s="13"/>
      <c r="CG544" s="114"/>
    </row>
    <row r="545" spans="1:85" ht="20.100000000000001" customHeight="1" x14ac:dyDescent="0.4">
      <c r="A545" s="117"/>
      <c r="B545" s="123"/>
      <c r="C545" s="123"/>
      <c r="D545" s="123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9"/>
      <c r="AE545" s="29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27"/>
      <c r="AU545" s="29"/>
      <c r="BE545" s="25"/>
      <c r="BF545" s="13"/>
      <c r="BK545" s="116"/>
      <c r="BL545" s="123"/>
      <c r="BM545" s="123"/>
      <c r="BN545" s="123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25"/>
      <c r="CD545" s="13"/>
      <c r="CG545" s="114"/>
    </row>
    <row r="546" spans="1:85" ht="20.100000000000001" customHeight="1" x14ac:dyDescent="0.4">
      <c r="A546" s="117"/>
      <c r="B546" s="123"/>
      <c r="C546" s="123"/>
      <c r="D546" s="123"/>
      <c r="AD546" s="127"/>
      <c r="AE546" s="134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29"/>
      <c r="AU546" s="29"/>
      <c r="BE546" s="25"/>
      <c r="BF546" s="13"/>
      <c r="BK546" s="116"/>
      <c r="BL546" s="123"/>
      <c r="BM546" s="123"/>
      <c r="BN546" s="123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25"/>
      <c r="CD546" s="13"/>
      <c r="CG546" s="114"/>
    </row>
    <row r="547" spans="1:85" ht="20.100000000000001" customHeight="1" x14ac:dyDescent="0.4">
      <c r="A547" s="117"/>
      <c r="B547" s="123"/>
      <c r="C547" s="123"/>
      <c r="D547" s="123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29"/>
      <c r="AE547" s="29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29"/>
      <c r="AU547" s="29"/>
      <c r="BE547" s="25"/>
      <c r="BF547" s="13"/>
      <c r="BK547" s="116"/>
      <c r="BL547" s="123"/>
      <c r="BM547" s="123"/>
      <c r="BN547" s="123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25"/>
      <c r="CD547" s="13"/>
      <c r="CG547" s="114"/>
    </row>
    <row r="548" spans="1:85" ht="20.100000000000001" customHeight="1" x14ac:dyDescent="0.4">
      <c r="A548" s="117"/>
      <c r="B548" s="123"/>
      <c r="C548" s="123"/>
      <c r="D548" s="123"/>
      <c r="AD548" s="127"/>
      <c r="AE548" s="29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27"/>
      <c r="AU548" s="29"/>
      <c r="BE548" s="25"/>
      <c r="BF548" s="13"/>
      <c r="BK548" s="116"/>
      <c r="BL548" s="123"/>
      <c r="BM548" s="123"/>
      <c r="BN548" s="123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25"/>
      <c r="CD548" s="13"/>
      <c r="CG548" s="114"/>
    </row>
    <row r="549" spans="1:85" ht="20.100000000000001" customHeight="1" x14ac:dyDescent="0.4">
      <c r="A549" s="117"/>
      <c r="B549" s="123"/>
      <c r="C549" s="123"/>
      <c r="D549" s="123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27"/>
      <c r="AE549" s="29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27"/>
      <c r="AU549" s="29"/>
      <c r="BE549" s="25"/>
      <c r="BF549" s="13"/>
      <c r="BK549" s="116"/>
      <c r="BL549" s="123"/>
      <c r="BM549" s="123"/>
      <c r="BN549" s="123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25"/>
      <c r="CD549" s="13"/>
      <c r="CG549" s="114"/>
    </row>
    <row r="550" spans="1:85" ht="20.100000000000001" customHeight="1" x14ac:dyDescent="0.4">
      <c r="A550" s="117"/>
      <c r="B550" s="123"/>
      <c r="C550" s="123"/>
      <c r="D550" s="123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9"/>
      <c r="AE550" s="29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27"/>
      <c r="AU550" s="29"/>
      <c r="BE550" s="25"/>
      <c r="BF550" s="13"/>
      <c r="BK550" s="116"/>
      <c r="BL550" s="123"/>
      <c r="BM550" s="123"/>
      <c r="BN550" s="123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25"/>
      <c r="CD550" s="13"/>
      <c r="CG550" s="114"/>
    </row>
    <row r="551" spans="1:85" ht="20.100000000000001" customHeight="1" x14ac:dyDescent="0.4">
      <c r="A551" s="117"/>
      <c r="B551" s="123"/>
      <c r="C551" s="123"/>
      <c r="D551" s="123"/>
      <c r="AD551" s="127"/>
      <c r="AE551" s="29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27"/>
      <c r="AU551" s="29"/>
      <c r="BE551" s="25"/>
      <c r="BF551" s="13"/>
      <c r="BK551" s="116"/>
      <c r="BL551" s="123"/>
      <c r="BM551" s="123"/>
      <c r="BN551" s="123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25"/>
      <c r="CD551" s="13"/>
      <c r="CG551" s="114"/>
    </row>
    <row r="552" spans="1:85" ht="20.100000000000001" customHeight="1" x14ac:dyDescent="0.4">
      <c r="A552" s="117"/>
      <c r="B552" s="123"/>
      <c r="C552" s="123"/>
      <c r="D552" s="123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27"/>
      <c r="AE552" s="29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27"/>
      <c r="AU552" s="29"/>
      <c r="BE552" s="25"/>
      <c r="BF552" s="13"/>
      <c r="BK552" s="116"/>
      <c r="BL552" s="123"/>
      <c r="BM552" s="123"/>
      <c r="BN552" s="123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25"/>
      <c r="CD552" s="13"/>
      <c r="CG552" s="114"/>
    </row>
    <row r="553" spans="1:85" ht="20.100000000000001" customHeight="1" x14ac:dyDescent="0.4">
      <c r="A553" s="117"/>
      <c r="B553" s="123"/>
      <c r="C553" s="123"/>
      <c r="D553" s="123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29"/>
      <c r="AE553" s="29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27"/>
      <c r="AU553" s="29"/>
      <c r="BE553" s="25"/>
      <c r="BF553" s="13"/>
      <c r="BK553" s="116"/>
      <c r="BL553" s="123"/>
      <c r="BM553" s="123"/>
      <c r="BN553" s="123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25"/>
      <c r="CD553" s="13"/>
      <c r="CG553" s="114"/>
    </row>
    <row r="554" spans="1:85" ht="20.100000000000001" customHeight="1" x14ac:dyDescent="0.4">
      <c r="A554" s="117"/>
      <c r="B554" s="123"/>
      <c r="C554" s="123"/>
      <c r="D554" s="123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9"/>
      <c r="AE554" s="29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27"/>
      <c r="AU554" s="29"/>
      <c r="BE554" s="25"/>
      <c r="BF554" s="13"/>
      <c r="BK554" s="116"/>
      <c r="BL554" s="123"/>
      <c r="BM554" s="123"/>
      <c r="BN554" s="123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25"/>
      <c r="CD554" s="13"/>
      <c r="CG554" s="114"/>
    </row>
    <row r="555" spans="1:85" ht="20.100000000000001" customHeight="1" x14ac:dyDescent="0.4">
      <c r="A555" s="117"/>
      <c r="B555" s="123"/>
      <c r="C555" s="123"/>
      <c r="D555" s="123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27"/>
      <c r="AE555" s="29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27"/>
      <c r="AU555" s="29"/>
      <c r="BE555" s="25"/>
      <c r="BF555" s="13"/>
      <c r="BK555" s="116"/>
      <c r="BL555" s="123"/>
      <c r="BM555" s="123"/>
      <c r="BN555" s="123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25"/>
      <c r="CD555" s="13"/>
      <c r="CG555" s="114"/>
    </row>
    <row r="556" spans="1:85" ht="20.100000000000001" customHeight="1" x14ac:dyDescent="0.4">
      <c r="A556" s="117"/>
      <c r="B556" s="123"/>
      <c r="C556" s="123"/>
      <c r="D556" s="123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27"/>
      <c r="AE556" s="29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27"/>
      <c r="AU556" s="29"/>
      <c r="BE556" s="25"/>
      <c r="BF556" s="13"/>
      <c r="BK556" s="116"/>
      <c r="BL556" s="123"/>
      <c r="BM556" s="123"/>
      <c r="BN556" s="123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25"/>
      <c r="CD556" s="13"/>
      <c r="CG556" s="114"/>
    </row>
    <row r="557" spans="1:85" ht="20.100000000000001" customHeight="1" x14ac:dyDescent="0.4">
      <c r="A557" s="117"/>
      <c r="B557" s="123"/>
      <c r="C557" s="123"/>
      <c r="D557" s="123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29"/>
      <c r="AE557" s="29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27"/>
      <c r="AU557" s="29"/>
      <c r="BE557" s="25"/>
      <c r="BF557" s="13"/>
      <c r="BK557" s="116"/>
      <c r="BL557" s="123"/>
      <c r="BM557" s="123"/>
      <c r="BN557" s="123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25"/>
      <c r="CD557" s="13"/>
      <c r="CG557" s="114"/>
    </row>
    <row r="558" spans="1:85" ht="20.100000000000001" customHeight="1" x14ac:dyDescent="0.4">
      <c r="A558" s="117"/>
      <c r="B558" s="123"/>
      <c r="C558" s="123"/>
      <c r="D558" s="123"/>
      <c r="AD558" s="127"/>
      <c r="AE558" s="29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27"/>
      <c r="AU558" s="29"/>
      <c r="BE558" s="25"/>
      <c r="BF558" s="13"/>
      <c r="BK558" s="116"/>
      <c r="BL558" s="123"/>
      <c r="BM558" s="123"/>
      <c r="BN558" s="123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25"/>
      <c r="CD558" s="13"/>
      <c r="CG558" s="114"/>
    </row>
    <row r="559" spans="1:85" ht="20.100000000000001" customHeight="1" x14ac:dyDescent="0.4">
      <c r="A559" s="117"/>
      <c r="B559" s="123"/>
      <c r="C559" s="123"/>
      <c r="D559" s="123"/>
      <c r="AD559" s="127"/>
      <c r="AE559" s="29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27"/>
      <c r="AU559" s="29"/>
      <c r="BE559" s="25"/>
      <c r="BF559" s="13"/>
      <c r="BK559" s="116"/>
      <c r="BL559" s="123"/>
      <c r="BM559" s="123"/>
      <c r="BN559" s="123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25"/>
      <c r="CD559" s="13"/>
      <c r="CG559" s="114"/>
    </row>
    <row r="560" spans="1:85" ht="20.100000000000001" customHeight="1" x14ac:dyDescent="0.4">
      <c r="A560" s="117"/>
      <c r="B560" s="123"/>
      <c r="C560" s="123"/>
      <c r="D560" s="123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27"/>
      <c r="AE560" s="29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27"/>
      <c r="AU560" s="29"/>
      <c r="BE560" s="25"/>
      <c r="BF560" s="13"/>
      <c r="BK560" s="116"/>
      <c r="BL560" s="123"/>
      <c r="BM560" s="123"/>
      <c r="BN560" s="123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25"/>
      <c r="CD560" s="13"/>
      <c r="CG560" s="114"/>
    </row>
    <row r="561" spans="1:85" ht="20.100000000000001" customHeight="1" x14ac:dyDescent="0.4">
      <c r="A561" s="117"/>
      <c r="B561" s="123"/>
      <c r="C561" s="123"/>
      <c r="D561" s="123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9"/>
      <c r="AE561" s="29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27"/>
      <c r="AU561" s="29"/>
      <c r="BE561" s="25"/>
      <c r="BF561" s="13"/>
      <c r="BK561" s="116"/>
      <c r="BL561" s="123"/>
      <c r="BM561" s="123"/>
      <c r="BN561" s="123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25"/>
      <c r="CD561" s="13"/>
      <c r="CG561" s="114"/>
    </row>
    <row r="562" spans="1:85" ht="20.100000000000001" customHeight="1" x14ac:dyDescent="0.4">
      <c r="A562" s="117"/>
      <c r="B562" s="123"/>
      <c r="C562" s="123"/>
      <c r="D562" s="123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27"/>
      <c r="AE562" s="29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27"/>
      <c r="AU562" s="29"/>
      <c r="BE562" s="25"/>
      <c r="BF562" s="13"/>
      <c r="BK562" s="116"/>
      <c r="BL562" s="123"/>
      <c r="BM562" s="123"/>
      <c r="BN562" s="123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25"/>
      <c r="CD562" s="13"/>
      <c r="CG562" s="114"/>
    </row>
    <row r="563" spans="1:85" ht="20.100000000000001" customHeight="1" x14ac:dyDescent="0.4">
      <c r="A563" s="117"/>
      <c r="B563" s="123"/>
      <c r="C563" s="123"/>
      <c r="D563" s="123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29"/>
      <c r="AE563" s="29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27"/>
      <c r="AU563" s="29"/>
      <c r="BE563" s="25"/>
      <c r="BF563" s="13"/>
      <c r="BK563" s="116"/>
      <c r="BL563" s="123"/>
      <c r="BM563" s="123"/>
      <c r="BN563" s="123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25"/>
      <c r="CD563" s="13"/>
      <c r="CG563" s="114"/>
    </row>
    <row r="564" spans="1:85" ht="20.100000000000001" customHeight="1" x14ac:dyDescent="0.4">
      <c r="A564" s="117"/>
      <c r="B564" s="123"/>
      <c r="C564" s="123"/>
      <c r="D564" s="123"/>
      <c r="AD564" s="127"/>
      <c r="AE564" s="29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27"/>
      <c r="AU564" s="29"/>
      <c r="BE564" s="25"/>
      <c r="BF564" s="13"/>
      <c r="BK564" s="116"/>
      <c r="BL564" s="123"/>
      <c r="BM564" s="123"/>
      <c r="BN564" s="123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25"/>
      <c r="CD564" s="13"/>
      <c r="CG564" s="114"/>
    </row>
    <row r="565" spans="1:85" ht="20.100000000000001" customHeight="1" x14ac:dyDescent="0.4">
      <c r="A565" s="117"/>
      <c r="B565" s="123"/>
      <c r="C565" s="123"/>
      <c r="D565" s="123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29"/>
      <c r="AE565" s="29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27"/>
      <c r="AU565" s="29"/>
      <c r="BE565" s="25"/>
      <c r="BF565" s="13"/>
      <c r="BK565" s="116"/>
      <c r="BL565" s="123"/>
      <c r="BM565" s="123"/>
      <c r="BN565" s="123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25"/>
      <c r="CD565" s="13"/>
      <c r="CG565" s="114"/>
    </row>
    <row r="566" spans="1:85" ht="20.100000000000001" customHeight="1" x14ac:dyDescent="0.4">
      <c r="A566" s="117"/>
      <c r="B566" s="123"/>
      <c r="C566" s="123"/>
      <c r="D566" s="123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29"/>
      <c r="AE566" s="29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27"/>
      <c r="AU566" s="29"/>
      <c r="BE566" s="25"/>
      <c r="BF566" s="13"/>
      <c r="BK566" s="116"/>
      <c r="BL566" s="123"/>
      <c r="BM566" s="123"/>
      <c r="BN566" s="123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115"/>
      <c r="CC566" s="25"/>
      <c r="CD566" s="13"/>
      <c r="CG566" s="114"/>
    </row>
    <row r="567" spans="1:85" ht="20.100000000000001" customHeight="1" x14ac:dyDescent="0.4">
      <c r="A567" s="117"/>
      <c r="B567" s="123"/>
      <c r="C567" s="123"/>
      <c r="D567" s="123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27"/>
      <c r="AE567" s="29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27"/>
      <c r="AU567" s="29"/>
      <c r="BE567" s="25"/>
      <c r="BF567" s="13"/>
      <c r="BK567" s="116"/>
      <c r="BL567" s="123"/>
      <c r="BM567" s="123"/>
      <c r="BN567" s="123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115"/>
      <c r="CC567" s="25"/>
      <c r="CD567" s="13"/>
      <c r="CG567" s="114"/>
    </row>
    <row r="568" spans="1:85" ht="20.100000000000001" customHeight="1" x14ac:dyDescent="0.4">
      <c r="A568" s="117"/>
      <c r="B568" s="123"/>
      <c r="C568" s="123"/>
      <c r="D568" s="123"/>
      <c r="AD568" s="127"/>
      <c r="AE568" s="29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27"/>
      <c r="AU568" s="29"/>
      <c r="BE568" s="25"/>
      <c r="BF568" s="13"/>
      <c r="BK568" s="116"/>
      <c r="BL568" s="123"/>
      <c r="BM568" s="123"/>
      <c r="BN568" s="123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115"/>
      <c r="CC568" s="25"/>
      <c r="CD568" s="13"/>
      <c r="CG568" s="114"/>
    </row>
    <row r="569" spans="1:85" ht="20.100000000000001" customHeight="1" x14ac:dyDescent="0.4">
      <c r="A569" s="117"/>
      <c r="B569" s="123"/>
      <c r="C569" s="123"/>
      <c r="D569" s="123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27"/>
      <c r="AE569" s="29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27"/>
      <c r="AU569" s="29"/>
      <c r="BE569" s="25"/>
      <c r="BF569" s="13"/>
      <c r="BK569" s="116"/>
      <c r="BL569" s="123"/>
      <c r="BM569" s="123"/>
      <c r="BN569" s="123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115"/>
      <c r="CC569" s="25"/>
      <c r="CD569" s="13"/>
      <c r="CG569" s="114"/>
    </row>
    <row r="570" spans="1:85" ht="20.100000000000001" customHeight="1" x14ac:dyDescent="0.4">
      <c r="A570" s="117"/>
      <c r="B570" s="123"/>
      <c r="C570" s="123"/>
      <c r="D570" s="123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27"/>
      <c r="AE570" s="29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27"/>
      <c r="AU570" s="29"/>
      <c r="BE570" s="25"/>
      <c r="BF570" s="13"/>
      <c r="BK570" s="116"/>
      <c r="BL570" s="123"/>
      <c r="BM570" s="123"/>
      <c r="BN570" s="123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115"/>
      <c r="CC570" s="25"/>
      <c r="CD570" s="13"/>
      <c r="CG570" s="114"/>
    </row>
    <row r="571" spans="1:85" ht="20.100000000000001" customHeight="1" x14ac:dyDescent="0.4">
      <c r="A571" s="117"/>
      <c r="B571" s="123"/>
      <c r="C571" s="123"/>
      <c r="D571" s="123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27"/>
      <c r="AE571" s="29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27"/>
      <c r="AU571" s="29"/>
      <c r="BE571" s="25"/>
      <c r="BF571" s="13"/>
      <c r="BK571" s="116"/>
      <c r="BL571" s="123"/>
      <c r="BM571" s="123"/>
      <c r="BN571" s="123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115"/>
      <c r="CC571" s="25"/>
      <c r="CD571" s="13"/>
      <c r="CG571" s="114"/>
    </row>
    <row r="572" spans="1:85" ht="20.100000000000001" customHeight="1" x14ac:dyDescent="0.4">
      <c r="A572" s="117"/>
      <c r="B572" s="123"/>
      <c r="C572" s="123"/>
      <c r="D572" s="123"/>
      <c r="AD572" s="127"/>
      <c r="AE572" s="29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27"/>
      <c r="AU572" s="29"/>
      <c r="BE572" s="25"/>
      <c r="BF572" s="13"/>
      <c r="BK572" s="116"/>
      <c r="BL572" s="123"/>
      <c r="BM572" s="123"/>
      <c r="BN572" s="123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115"/>
      <c r="CC572" s="25"/>
      <c r="CD572" s="13"/>
      <c r="CG572" s="114"/>
    </row>
    <row r="573" spans="1:85" ht="20.100000000000001" customHeight="1" x14ac:dyDescent="0.4">
      <c r="A573" s="117"/>
      <c r="B573" s="123"/>
      <c r="C573" s="123"/>
      <c r="D573" s="123"/>
      <c r="AD573" s="127"/>
      <c r="AE573" s="29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29"/>
      <c r="AU573" s="29"/>
      <c r="BE573" s="25"/>
      <c r="BF573" s="13"/>
      <c r="BK573" s="116"/>
      <c r="BL573" s="123"/>
      <c r="BM573" s="123"/>
      <c r="BN573" s="123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115"/>
      <c r="CC573" s="25"/>
      <c r="CD573" s="13"/>
      <c r="CG573" s="114"/>
    </row>
    <row r="574" spans="1:85" ht="20.100000000000001" customHeight="1" x14ac:dyDescent="0.4">
      <c r="A574" s="117"/>
      <c r="B574" s="123"/>
      <c r="C574" s="123"/>
      <c r="D574" s="123"/>
      <c r="AD574" s="127"/>
      <c r="AE574" s="29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27"/>
      <c r="AU574" s="29"/>
      <c r="BE574" s="25"/>
      <c r="BF574" s="13"/>
      <c r="BK574" s="116"/>
      <c r="BL574" s="123"/>
      <c r="BM574" s="123"/>
      <c r="BN574" s="123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115"/>
      <c r="CC574" s="25"/>
      <c r="CD574" s="13"/>
      <c r="CG574" s="114"/>
    </row>
    <row r="575" spans="1:85" ht="20.100000000000001" customHeight="1" x14ac:dyDescent="0.4">
      <c r="A575" s="117"/>
      <c r="B575" s="123"/>
      <c r="C575" s="123"/>
      <c r="D575" s="123"/>
      <c r="AD575" s="127"/>
      <c r="AE575" s="29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27"/>
      <c r="AU575" s="29"/>
      <c r="BE575" s="25"/>
      <c r="BF575" s="13"/>
      <c r="BK575" s="116"/>
      <c r="BL575" s="123"/>
      <c r="BM575" s="123"/>
      <c r="BN575" s="123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115"/>
      <c r="CC575" s="25"/>
      <c r="CD575" s="13"/>
      <c r="CG575" s="114"/>
    </row>
    <row r="576" spans="1:85" ht="20.100000000000001" customHeight="1" x14ac:dyDescent="0.4">
      <c r="A576" s="117"/>
      <c r="B576" s="123"/>
      <c r="C576" s="123"/>
      <c r="D576" s="123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27"/>
      <c r="AE576" s="29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27"/>
      <c r="AU576" s="29"/>
      <c r="BE576" s="25"/>
      <c r="BF576" s="13"/>
      <c r="BK576" s="116"/>
      <c r="BL576" s="123"/>
      <c r="BM576" s="123"/>
      <c r="BN576" s="123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115"/>
      <c r="CC576" s="25"/>
      <c r="CD576" s="13"/>
      <c r="CG576" s="114"/>
    </row>
    <row r="577" spans="1:85" ht="20.100000000000001" customHeight="1" x14ac:dyDescent="0.4">
      <c r="A577" s="117"/>
      <c r="B577" s="123"/>
      <c r="C577" s="123"/>
      <c r="D577" s="123"/>
      <c r="AD577" s="127"/>
      <c r="AE577" s="29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27"/>
      <c r="AU577" s="29"/>
      <c r="BE577" s="25"/>
      <c r="BF577" s="13"/>
      <c r="BK577" s="116"/>
      <c r="BL577" s="123"/>
      <c r="BM577" s="123"/>
      <c r="BN577" s="123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115"/>
      <c r="CC577" s="25"/>
      <c r="CD577" s="13"/>
      <c r="CG577" s="114"/>
    </row>
    <row r="578" spans="1:85" ht="20.100000000000001" customHeight="1" x14ac:dyDescent="0.4">
      <c r="A578" s="117"/>
      <c r="B578" s="123"/>
      <c r="C578" s="123"/>
      <c r="D578" s="123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9"/>
      <c r="AE578" s="29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27"/>
      <c r="AU578" s="29"/>
      <c r="BE578" s="25"/>
      <c r="BF578" s="13"/>
      <c r="BK578" s="116"/>
      <c r="BL578" s="123"/>
      <c r="BM578" s="123"/>
      <c r="BN578" s="123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115"/>
      <c r="CC578" s="25"/>
      <c r="CD578" s="13"/>
      <c r="CG578" s="114"/>
    </row>
    <row r="579" spans="1:85" ht="20.100000000000001" customHeight="1" x14ac:dyDescent="0.4">
      <c r="A579" s="117"/>
      <c r="B579" s="123"/>
      <c r="C579" s="123"/>
      <c r="D579" s="123"/>
      <c r="AD579" s="127"/>
      <c r="AE579" s="29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27"/>
      <c r="AU579" s="29"/>
      <c r="BE579" s="25"/>
      <c r="BF579" s="13"/>
      <c r="BK579" s="116"/>
      <c r="BL579" s="123"/>
      <c r="BM579" s="123"/>
      <c r="BN579" s="123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115"/>
      <c r="CC579" s="25"/>
      <c r="CD579" s="13"/>
      <c r="CG579" s="114"/>
    </row>
    <row r="580" spans="1:85" ht="20.100000000000001" customHeight="1" x14ac:dyDescent="0.4">
      <c r="A580" s="117"/>
      <c r="B580" s="123"/>
      <c r="C580" s="123"/>
      <c r="D580" s="123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27"/>
      <c r="AE580" s="29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27"/>
      <c r="AU580" s="29"/>
      <c r="BE580" s="25"/>
      <c r="BF580" s="13"/>
      <c r="BK580" s="116"/>
      <c r="BL580" s="123"/>
      <c r="BM580" s="123"/>
      <c r="BN580" s="123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115"/>
      <c r="CC580" s="25"/>
      <c r="CD580" s="13"/>
      <c r="CG580" s="114"/>
    </row>
    <row r="581" spans="1:85" ht="20.100000000000001" customHeight="1" x14ac:dyDescent="0.4">
      <c r="A581" s="117"/>
      <c r="B581" s="123"/>
      <c r="C581" s="123"/>
      <c r="D581" s="123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27"/>
      <c r="AE581" s="29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27"/>
      <c r="AU581" s="29"/>
      <c r="BE581" s="25"/>
      <c r="BF581" s="13"/>
      <c r="BK581" s="116"/>
      <c r="BL581" s="123"/>
      <c r="BM581" s="123"/>
      <c r="BN581" s="123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115"/>
      <c r="CC581" s="25"/>
      <c r="CD581" s="13"/>
      <c r="CG581" s="114"/>
    </row>
    <row r="582" spans="1:85" ht="20.100000000000001" customHeight="1" x14ac:dyDescent="0.4">
      <c r="A582" s="117"/>
      <c r="B582" s="123"/>
      <c r="C582" s="123"/>
      <c r="D582" s="123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9"/>
      <c r="AE582" s="29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27"/>
      <c r="AU582" s="29"/>
      <c r="BE582" s="25"/>
      <c r="BF582" s="13"/>
      <c r="BK582" s="116"/>
      <c r="BL582" s="123"/>
      <c r="BM582" s="123"/>
      <c r="BN582" s="123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25"/>
      <c r="CD582" s="13"/>
      <c r="CG582" s="114"/>
    </row>
    <row r="583" spans="1:85" ht="20.100000000000001" customHeight="1" x14ac:dyDescent="0.4">
      <c r="A583" s="117"/>
      <c r="B583" s="123"/>
      <c r="C583" s="123"/>
      <c r="D583" s="123"/>
      <c r="AD583" s="127"/>
      <c r="AE583" s="29"/>
      <c r="AT583" s="127"/>
      <c r="AU583" s="29"/>
      <c r="BE583" s="25"/>
      <c r="BF583" s="13"/>
      <c r="BK583" s="116"/>
      <c r="BL583" s="123"/>
      <c r="BM583" s="123"/>
      <c r="BN583" s="123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25"/>
      <c r="CD583" s="13"/>
      <c r="CG583" s="114"/>
    </row>
    <row r="584" spans="1:85" ht="20.100000000000001" customHeight="1" x14ac:dyDescent="0.4">
      <c r="A584" s="117"/>
      <c r="B584" s="123"/>
      <c r="C584" s="123"/>
      <c r="D584" s="123"/>
      <c r="AD584" s="127"/>
      <c r="AE584" s="29"/>
      <c r="AR584" s="115"/>
      <c r="AS584" s="115"/>
      <c r="AT584" s="127"/>
      <c r="AU584" s="29"/>
      <c r="BE584" s="25"/>
      <c r="BF584" s="13"/>
      <c r="BK584" s="116"/>
      <c r="BL584" s="123"/>
      <c r="BM584" s="123"/>
      <c r="BN584" s="123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25"/>
      <c r="CD584" s="13"/>
      <c r="CG584" s="114"/>
    </row>
    <row r="585" spans="1:85" ht="20.100000000000001" customHeight="1" x14ac:dyDescent="0.4">
      <c r="A585" s="117"/>
      <c r="B585" s="123"/>
      <c r="C585" s="123"/>
      <c r="D585" s="123"/>
      <c r="AD585" s="127"/>
      <c r="AE585" s="29"/>
      <c r="AM585" s="115"/>
      <c r="AN585" s="115"/>
      <c r="AO585" s="115"/>
      <c r="AP585" s="115"/>
      <c r="AQ585" s="115"/>
      <c r="AR585" s="115"/>
      <c r="AS585" s="115"/>
      <c r="AT585" s="127"/>
      <c r="AU585" s="29"/>
      <c r="BE585" s="25"/>
      <c r="BF585" s="13"/>
      <c r="BK585" s="116"/>
      <c r="BL585" s="123"/>
      <c r="BM585" s="123"/>
      <c r="BN585" s="123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25"/>
      <c r="CD585" s="13"/>
      <c r="CG585" s="114"/>
    </row>
    <row r="586" spans="1:85" ht="20.100000000000001" customHeight="1" x14ac:dyDescent="0.4">
      <c r="A586" s="117"/>
      <c r="B586" s="123"/>
      <c r="C586" s="123"/>
      <c r="D586" s="123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9"/>
      <c r="AE586" s="29"/>
      <c r="AM586" s="115"/>
      <c r="AN586" s="115"/>
      <c r="AO586" s="115"/>
      <c r="AP586" s="115"/>
      <c r="AQ586" s="115"/>
      <c r="AR586" s="115"/>
      <c r="AS586" s="115"/>
      <c r="AT586" s="127"/>
      <c r="AU586" s="29"/>
      <c r="BE586" s="25"/>
      <c r="BF586" s="13"/>
      <c r="BK586" s="116"/>
      <c r="BL586" s="123"/>
      <c r="BM586" s="123"/>
      <c r="BN586" s="123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25"/>
      <c r="CD586" s="13"/>
      <c r="CG586" s="114"/>
    </row>
    <row r="587" spans="1:85" ht="20.100000000000001" customHeight="1" x14ac:dyDescent="0.4">
      <c r="A587" s="117"/>
      <c r="B587" s="123"/>
      <c r="C587" s="123"/>
      <c r="D587" s="123"/>
      <c r="AD587" s="127"/>
      <c r="AE587" s="29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27"/>
      <c r="AU587" s="29"/>
      <c r="BE587" s="25"/>
      <c r="BF587" s="13"/>
      <c r="BK587" s="116"/>
      <c r="BL587" s="123"/>
      <c r="BM587" s="123"/>
      <c r="BN587" s="123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25"/>
      <c r="CD587" s="13"/>
      <c r="CG587" s="114"/>
    </row>
    <row r="588" spans="1:85" ht="20.100000000000001" customHeight="1" x14ac:dyDescent="0.4">
      <c r="A588" s="117"/>
      <c r="B588" s="123"/>
      <c r="C588" s="123"/>
      <c r="D588" s="123"/>
      <c r="AD588" s="127"/>
      <c r="AE588" s="29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27"/>
      <c r="AU588" s="29"/>
      <c r="BE588" s="25"/>
      <c r="BF588" s="13"/>
      <c r="BK588" s="116"/>
      <c r="BL588" s="123"/>
      <c r="BM588" s="123"/>
      <c r="BN588" s="123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25"/>
      <c r="CD588" s="13"/>
      <c r="CG588" s="114"/>
    </row>
    <row r="589" spans="1:85" ht="20.100000000000001" customHeight="1" x14ac:dyDescent="0.4">
      <c r="A589" s="117"/>
      <c r="B589" s="123"/>
      <c r="C589" s="123"/>
      <c r="D589" s="123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29"/>
      <c r="AE589" s="29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27"/>
      <c r="AU589" s="29"/>
      <c r="BE589" s="25"/>
      <c r="BF589" s="13"/>
      <c r="BK589" s="116"/>
      <c r="BL589" s="123"/>
      <c r="BM589" s="123"/>
      <c r="BN589" s="123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25"/>
      <c r="CD589" s="13"/>
      <c r="CG589" s="114"/>
    </row>
    <row r="590" spans="1:85" ht="20.100000000000001" customHeight="1" x14ac:dyDescent="0.4">
      <c r="A590" s="117"/>
      <c r="B590" s="123"/>
      <c r="C590" s="123"/>
      <c r="D590" s="123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29"/>
      <c r="AE590" s="29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27"/>
      <c r="AU590" s="29"/>
      <c r="BE590" s="25"/>
      <c r="BF590" s="13"/>
      <c r="BK590" s="116"/>
      <c r="BL590" s="123"/>
      <c r="BM590" s="123"/>
      <c r="BN590" s="123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115"/>
      <c r="CC590" s="25"/>
      <c r="CD590" s="13"/>
      <c r="CG590" s="114"/>
    </row>
    <row r="591" spans="1:85" ht="20.100000000000001" customHeight="1" x14ac:dyDescent="0.4">
      <c r="A591" s="117"/>
      <c r="B591" s="123"/>
      <c r="C591" s="123"/>
      <c r="D591" s="123"/>
      <c r="AD591" s="127"/>
      <c r="AE591" s="29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27"/>
      <c r="AU591" s="29"/>
      <c r="BE591" s="25"/>
      <c r="BF591" s="13"/>
      <c r="BK591" s="116"/>
      <c r="BL591" s="123"/>
      <c r="BM591" s="123"/>
      <c r="BN591" s="123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115"/>
      <c r="CC591" s="25"/>
      <c r="CD591" s="13"/>
      <c r="CG591" s="114"/>
    </row>
    <row r="592" spans="1:85" ht="20.100000000000001" customHeight="1" x14ac:dyDescent="0.4">
      <c r="A592" s="117"/>
      <c r="B592" s="123"/>
      <c r="C592" s="123"/>
      <c r="D592" s="123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9"/>
      <c r="AE592" s="29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27"/>
      <c r="AU592" s="29"/>
      <c r="BE592" s="25"/>
      <c r="BF592" s="13"/>
      <c r="BK592" s="116"/>
      <c r="BL592" s="123"/>
      <c r="BM592" s="123"/>
      <c r="BN592" s="123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25"/>
      <c r="CD592" s="13"/>
      <c r="CG592" s="114"/>
    </row>
    <row r="593" spans="1:85" ht="20.100000000000001" customHeight="1" x14ac:dyDescent="0.4">
      <c r="A593" s="117"/>
      <c r="B593" s="123"/>
      <c r="C593" s="123"/>
      <c r="D593" s="123"/>
      <c r="AD593" s="127"/>
      <c r="AE593" s="29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27"/>
      <c r="AU593" s="29"/>
      <c r="BE593" s="25"/>
      <c r="BF593" s="13"/>
      <c r="BK593" s="116"/>
      <c r="BL593" s="123"/>
      <c r="BM593" s="123"/>
      <c r="BN593" s="123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115"/>
      <c r="CC593" s="25"/>
      <c r="CD593" s="13"/>
      <c r="CG593" s="114"/>
    </row>
    <row r="594" spans="1:85" ht="20.100000000000001" customHeight="1" x14ac:dyDescent="0.4">
      <c r="A594" s="117"/>
      <c r="B594" s="123"/>
      <c r="C594" s="123"/>
      <c r="D594" s="123"/>
      <c r="AD594" s="127"/>
      <c r="AE594" s="29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27"/>
      <c r="AU594" s="29"/>
      <c r="BE594" s="25"/>
      <c r="BF594" s="13"/>
      <c r="BK594" s="116"/>
      <c r="BL594" s="123"/>
      <c r="BM594" s="123"/>
      <c r="BN594" s="123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115"/>
      <c r="CC594" s="25"/>
      <c r="CD594" s="13"/>
      <c r="CG594" s="114"/>
    </row>
    <row r="595" spans="1:85" ht="20.100000000000001" customHeight="1" x14ac:dyDescent="0.4">
      <c r="A595" s="117"/>
      <c r="B595" s="123"/>
      <c r="C595" s="123"/>
      <c r="D595" s="123"/>
      <c r="AD595" s="127"/>
      <c r="AE595" s="29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29"/>
      <c r="AU595" s="29"/>
      <c r="BE595" s="25"/>
      <c r="BF595" s="13"/>
      <c r="BK595" s="116"/>
      <c r="BL595" s="123"/>
      <c r="BM595" s="123"/>
      <c r="BN595" s="123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25"/>
      <c r="CD595" s="13"/>
      <c r="CG595" s="114"/>
    </row>
    <row r="596" spans="1:85" ht="20.100000000000001" customHeight="1" x14ac:dyDescent="0.4">
      <c r="A596" s="117"/>
      <c r="B596" s="123"/>
      <c r="C596" s="123"/>
      <c r="D596" s="123"/>
      <c r="AD596" s="127"/>
      <c r="AE596" s="29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27"/>
      <c r="AU596" s="29"/>
      <c r="BE596" s="25"/>
      <c r="BF596" s="13"/>
      <c r="BK596" s="116"/>
      <c r="BL596" s="123"/>
      <c r="BM596" s="123"/>
      <c r="BN596" s="123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115"/>
      <c r="CC596" s="25"/>
      <c r="CD596" s="13"/>
      <c r="CG596" s="114"/>
    </row>
    <row r="597" spans="1:85" ht="20.100000000000001" customHeight="1" x14ac:dyDescent="0.4">
      <c r="A597" s="117"/>
      <c r="B597" s="123"/>
      <c r="C597" s="123"/>
      <c r="D597" s="123"/>
      <c r="AD597" s="127"/>
      <c r="AE597" s="29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29"/>
      <c r="AU597" s="29"/>
      <c r="BE597" s="25"/>
      <c r="BF597" s="13"/>
      <c r="BK597" s="116"/>
      <c r="BL597" s="123"/>
      <c r="BM597" s="123"/>
      <c r="BN597" s="123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115"/>
      <c r="CC597" s="25"/>
      <c r="CD597" s="13"/>
      <c r="CG597" s="114"/>
    </row>
    <row r="598" spans="1:85" ht="20.100000000000001" customHeight="1" x14ac:dyDescent="0.4">
      <c r="A598" s="117"/>
      <c r="B598" s="123"/>
      <c r="C598" s="123"/>
      <c r="D598" s="123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29"/>
      <c r="AE598" s="29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29"/>
      <c r="AU598" s="29"/>
      <c r="BE598" s="25"/>
      <c r="BF598" s="13"/>
      <c r="BK598" s="116"/>
      <c r="BL598" s="123"/>
      <c r="BM598" s="123"/>
      <c r="BN598" s="123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115"/>
      <c r="CC598" s="25"/>
      <c r="CD598" s="13"/>
      <c r="CG598" s="114"/>
    </row>
    <row r="599" spans="1:85" ht="20.100000000000001" customHeight="1" x14ac:dyDescent="0.4">
      <c r="A599" s="117"/>
      <c r="B599" s="123"/>
      <c r="C599" s="123"/>
      <c r="D599" s="123"/>
      <c r="AD599" s="127"/>
      <c r="AE599" s="29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27"/>
      <c r="AU599" s="29"/>
      <c r="BE599" s="25"/>
      <c r="BF599" s="13"/>
      <c r="BK599" s="116"/>
      <c r="BL599" s="123"/>
      <c r="BM599" s="123"/>
      <c r="BN599" s="123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115"/>
      <c r="CC599" s="25"/>
      <c r="CD599" s="13"/>
      <c r="CG599" s="114"/>
    </row>
    <row r="600" spans="1:85" ht="20.100000000000001" customHeight="1" x14ac:dyDescent="0.4">
      <c r="A600" s="117"/>
      <c r="B600" s="123"/>
      <c r="C600" s="123"/>
      <c r="D600" s="123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29"/>
      <c r="AE600" s="29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27"/>
      <c r="AU600" s="29"/>
      <c r="BE600" s="25"/>
      <c r="BF600" s="13"/>
      <c r="BK600" s="116"/>
      <c r="BL600" s="123"/>
      <c r="BM600" s="123"/>
      <c r="BN600" s="123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25"/>
      <c r="CD600" s="13"/>
      <c r="CG600" s="114"/>
    </row>
    <row r="601" spans="1:85" ht="20.100000000000001" customHeight="1" x14ac:dyDescent="0.4">
      <c r="A601" s="117"/>
      <c r="B601" s="123"/>
      <c r="C601" s="123"/>
      <c r="D601" s="123"/>
      <c r="AD601" s="127"/>
      <c r="AE601" s="29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29"/>
      <c r="AU601" s="29"/>
      <c r="BE601" s="25"/>
      <c r="BF601" s="13"/>
      <c r="BK601" s="116"/>
      <c r="BL601" s="123"/>
      <c r="BM601" s="123"/>
      <c r="BN601" s="123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25"/>
      <c r="CD601" s="13"/>
      <c r="CG601" s="114"/>
    </row>
    <row r="602" spans="1:85" ht="20.100000000000001" customHeight="1" x14ac:dyDescent="0.4">
      <c r="A602" s="117"/>
      <c r="B602" s="123"/>
      <c r="C602" s="123"/>
      <c r="D602" s="123"/>
      <c r="AD602" s="127"/>
      <c r="AE602" s="29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27"/>
      <c r="AU602" s="29"/>
      <c r="BE602" s="25"/>
      <c r="BF602" s="13"/>
      <c r="BK602" s="116"/>
      <c r="BL602" s="123"/>
      <c r="BM602" s="123"/>
      <c r="BN602" s="123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25"/>
      <c r="CD602" s="13"/>
      <c r="CG602" s="114"/>
    </row>
    <row r="603" spans="1:85" ht="20.100000000000001" customHeight="1" x14ac:dyDescent="0.4">
      <c r="A603" s="117"/>
      <c r="B603" s="123"/>
      <c r="C603" s="123"/>
      <c r="D603" s="123"/>
      <c r="AD603" s="127"/>
      <c r="AE603" s="29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29"/>
      <c r="AU603" s="29"/>
      <c r="BE603" s="25"/>
      <c r="BF603" s="13"/>
      <c r="BK603" s="116"/>
      <c r="BL603" s="123"/>
      <c r="BM603" s="123"/>
      <c r="BN603" s="123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25"/>
      <c r="CD603" s="13"/>
      <c r="CG603" s="114"/>
    </row>
    <row r="604" spans="1:85" ht="20.100000000000001" customHeight="1" x14ac:dyDescent="0.4">
      <c r="A604" s="117"/>
      <c r="B604" s="123"/>
      <c r="C604" s="123"/>
      <c r="D604" s="123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9"/>
      <c r="AE604" s="29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29"/>
      <c r="AU604" s="29"/>
      <c r="BE604" s="25"/>
      <c r="BF604" s="13"/>
      <c r="BK604" s="116"/>
      <c r="BL604" s="123"/>
      <c r="BM604" s="123"/>
      <c r="BN604" s="123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115"/>
      <c r="CC604" s="25"/>
      <c r="CD604" s="13"/>
      <c r="CG604" s="114"/>
    </row>
    <row r="605" spans="1:85" ht="20.100000000000001" customHeight="1" x14ac:dyDescent="0.4">
      <c r="A605" s="117"/>
      <c r="B605" s="123"/>
      <c r="C605" s="123"/>
      <c r="D605" s="123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27"/>
      <c r="AE605" s="29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29"/>
      <c r="AU605" s="29"/>
      <c r="BE605" s="25"/>
      <c r="BF605" s="13"/>
      <c r="BK605" s="116"/>
      <c r="BL605" s="123"/>
      <c r="BM605" s="123"/>
      <c r="BN605" s="123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115"/>
      <c r="CC605" s="25"/>
      <c r="CD605" s="13"/>
      <c r="CG605" s="114"/>
    </row>
    <row r="606" spans="1:85" ht="20.100000000000001" customHeight="1" x14ac:dyDescent="0.4">
      <c r="A606" s="117"/>
      <c r="B606" s="123"/>
      <c r="C606" s="123"/>
      <c r="D606" s="123"/>
      <c r="AD606" s="127"/>
      <c r="AE606" s="134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27"/>
      <c r="AU606" s="29"/>
      <c r="BE606" s="25"/>
      <c r="BF606" s="13"/>
      <c r="BK606" s="116"/>
      <c r="BL606" s="123"/>
      <c r="BM606" s="123"/>
      <c r="BN606" s="123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115"/>
      <c r="CC606" s="25"/>
      <c r="CD606" s="13"/>
      <c r="CG606" s="114"/>
    </row>
    <row r="607" spans="1:85" ht="20.100000000000001" customHeight="1" x14ac:dyDescent="0.4">
      <c r="A607" s="117"/>
      <c r="B607" s="123"/>
      <c r="C607" s="123"/>
      <c r="D607" s="123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27"/>
      <c r="AE607" s="29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27"/>
      <c r="AU607" s="29"/>
      <c r="BE607" s="25"/>
      <c r="BF607" s="13"/>
      <c r="BK607" s="116"/>
      <c r="BL607" s="123"/>
      <c r="BM607" s="123"/>
      <c r="BN607" s="123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115"/>
      <c r="CC607" s="25"/>
      <c r="CD607" s="13"/>
      <c r="CG607" s="114"/>
    </row>
    <row r="608" spans="1:85" ht="20.100000000000001" customHeight="1" x14ac:dyDescent="0.4">
      <c r="A608" s="117"/>
      <c r="B608" s="123"/>
      <c r="C608" s="123"/>
      <c r="D608" s="123"/>
      <c r="AD608" s="127"/>
      <c r="AE608" s="29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27"/>
      <c r="AU608" s="29"/>
      <c r="BE608" s="25"/>
      <c r="BF608" s="13"/>
      <c r="BK608" s="116"/>
      <c r="BL608" s="123"/>
      <c r="BM608" s="123"/>
      <c r="BN608" s="123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25"/>
      <c r="CD608" s="13"/>
      <c r="CG608" s="114"/>
    </row>
    <row r="609" spans="1:85" ht="20.100000000000001" customHeight="1" x14ac:dyDescent="0.4">
      <c r="A609" s="117"/>
      <c r="B609" s="123"/>
      <c r="C609" s="123"/>
      <c r="D609" s="123"/>
      <c r="AD609" s="127"/>
      <c r="AE609" s="29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29"/>
      <c r="AU609" s="29"/>
      <c r="BE609" s="25"/>
      <c r="BF609" s="13"/>
      <c r="BK609" s="116"/>
      <c r="BL609" s="123"/>
      <c r="BM609" s="123"/>
      <c r="BN609" s="123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115"/>
      <c r="CC609" s="25"/>
      <c r="CD609" s="13"/>
      <c r="CG609" s="114"/>
    </row>
    <row r="610" spans="1:85" ht="20.100000000000001" customHeight="1" x14ac:dyDescent="0.4">
      <c r="A610" s="117"/>
      <c r="B610" s="123"/>
      <c r="C610" s="123"/>
      <c r="D610" s="123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9"/>
      <c r="AE610" s="29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29"/>
      <c r="AU610" s="29"/>
      <c r="BE610" s="25"/>
      <c r="BF610" s="13"/>
      <c r="BK610" s="116"/>
      <c r="BL610" s="123"/>
      <c r="BM610" s="123"/>
      <c r="BN610" s="123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115"/>
      <c r="CC610" s="25"/>
      <c r="CD610" s="13"/>
      <c r="CG610" s="114"/>
    </row>
    <row r="611" spans="1:85" ht="20.100000000000001" customHeight="1" x14ac:dyDescent="0.4">
      <c r="A611" s="117"/>
      <c r="B611" s="123"/>
      <c r="C611" s="123"/>
      <c r="D611" s="123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29"/>
      <c r="AE611" s="29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29"/>
      <c r="AU611" s="29"/>
      <c r="BE611" s="25"/>
      <c r="BF611" s="13"/>
      <c r="BK611" s="116"/>
      <c r="BL611" s="123"/>
      <c r="BM611" s="123"/>
      <c r="BN611" s="123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115"/>
      <c r="CC611" s="25"/>
      <c r="CD611" s="13"/>
      <c r="CG611" s="114"/>
    </row>
    <row r="612" spans="1:85" ht="20.100000000000001" customHeight="1" x14ac:dyDescent="0.4">
      <c r="A612" s="117"/>
      <c r="B612" s="123"/>
      <c r="C612" s="123"/>
      <c r="D612" s="123"/>
      <c r="AD612" s="127"/>
      <c r="AE612" s="29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27"/>
      <c r="AU612" s="29"/>
      <c r="BE612" s="25"/>
      <c r="BF612" s="13"/>
      <c r="BK612" s="116"/>
      <c r="BL612" s="123"/>
      <c r="BM612" s="123"/>
      <c r="BN612" s="123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25"/>
      <c r="CD612" s="13"/>
      <c r="CG612" s="114"/>
    </row>
    <row r="613" spans="1:85" ht="20.100000000000001" customHeight="1" x14ac:dyDescent="0.4">
      <c r="A613" s="117"/>
      <c r="B613" s="123"/>
      <c r="C613" s="123"/>
      <c r="D613" s="123"/>
      <c r="AD613" s="127"/>
      <c r="AE613" s="29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27"/>
      <c r="AU613" s="29"/>
      <c r="BE613" s="25"/>
      <c r="BF613" s="13"/>
      <c r="BK613" s="116"/>
      <c r="BL613" s="123"/>
      <c r="BM613" s="123"/>
      <c r="BN613" s="123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25"/>
      <c r="CD613" s="13"/>
      <c r="CG613" s="114"/>
    </row>
    <row r="614" spans="1:85" ht="20.100000000000001" customHeight="1" x14ac:dyDescent="0.4">
      <c r="A614" s="117"/>
      <c r="B614" s="123"/>
      <c r="C614" s="123"/>
      <c r="D614" s="123"/>
      <c r="AD614" s="127"/>
      <c r="AE614" s="29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29"/>
      <c r="AU614" s="29"/>
      <c r="BE614" s="25"/>
      <c r="BF614" s="13"/>
      <c r="BK614" s="116"/>
      <c r="BL614" s="123"/>
      <c r="BM614" s="123"/>
      <c r="BN614" s="123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25"/>
      <c r="CD614" s="13"/>
      <c r="CG614" s="114"/>
    </row>
    <row r="615" spans="1:85" ht="20.100000000000001" customHeight="1" x14ac:dyDescent="0.4">
      <c r="A615" s="117"/>
      <c r="B615" s="123"/>
      <c r="C615" s="123"/>
      <c r="D615" s="123"/>
      <c r="AD615" s="127"/>
      <c r="AE615" s="29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27"/>
      <c r="AU615" s="29"/>
      <c r="BE615" s="25"/>
      <c r="BF615" s="13"/>
      <c r="BK615" s="116"/>
      <c r="BL615" s="123"/>
      <c r="BM615" s="123"/>
      <c r="BN615" s="123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25"/>
      <c r="CD615" s="13"/>
      <c r="CG615" s="114"/>
    </row>
    <row r="616" spans="1:85" ht="20.100000000000001" customHeight="1" x14ac:dyDescent="0.4">
      <c r="A616" s="117"/>
      <c r="B616" s="123"/>
      <c r="C616" s="123"/>
      <c r="D616" s="123"/>
      <c r="AD616" s="127"/>
      <c r="AE616" s="29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27"/>
      <c r="AU616" s="29"/>
      <c r="BE616" s="25"/>
      <c r="BF616" s="13"/>
      <c r="BK616" s="116"/>
      <c r="BL616" s="123"/>
      <c r="BM616" s="123"/>
      <c r="BN616" s="123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25"/>
      <c r="CD616" s="13"/>
      <c r="CG616" s="114"/>
    </row>
    <row r="617" spans="1:85" ht="20.100000000000001" customHeight="1" x14ac:dyDescent="0.4">
      <c r="A617" s="117"/>
      <c r="B617" s="123"/>
      <c r="C617" s="123"/>
      <c r="D617" s="123"/>
      <c r="AD617" s="127"/>
      <c r="AE617" s="29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27"/>
      <c r="AU617" s="29"/>
      <c r="BE617" s="25"/>
      <c r="BF617" s="13"/>
      <c r="BK617" s="116"/>
      <c r="BL617" s="123"/>
      <c r="BM617" s="123"/>
      <c r="BN617" s="123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115"/>
      <c r="CC617" s="25"/>
      <c r="CD617" s="13"/>
      <c r="CG617" s="114"/>
    </row>
    <row r="618" spans="1:85" ht="20.100000000000001" customHeight="1" x14ac:dyDescent="0.4">
      <c r="A618" s="117"/>
      <c r="B618" s="123"/>
      <c r="C618" s="123"/>
      <c r="D618" s="123"/>
      <c r="AD618" s="127"/>
      <c r="AE618" s="134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29"/>
      <c r="AU618" s="29"/>
      <c r="BE618" s="25"/>
      <c r="BF618" s="13"/>
      <c r="BK618" s="116"/>
      <c r="BL618" s="123"/>
      <c r="BM618" s="123"/>
      <c r="BN618" s="123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115"/>
      <c r="CC618" s="25"/>
      <c r="CD618" s="13"/>
      <c r="CG618" s="114"/>
    </row>
    <row r="619" spans="1:85" ht="20.100000000000001" customHeight="1" x14ac:dyDescent="0.4">
      <c r="A619" s="117"/>
      <c r="B619" s="123"/>
      <c r="C619" s="123"/>
      <c r="D619" s="123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27"/>
      <c r="AE619" s="29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29"/>
      <c r="AU619" s="29"/>
      <c r="BE619" s="25"/>
      <c r="BF619" s="13"/>
      <c r="BK619" s="116"/>
      <c r="BL619" s="123"/>
      <c r="BM619" s="123"/>
      <c r="BN619" s="123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115"/>
      <c r="CC619" s="25"/>
      <c r="CD619" s="13"/>
      <c r="CG619" s="114"/>
    </row>
    <row r="620" spans="1:85" ht="20.100000000000001" customHeight="1" x14ac:dyDescent="0.4">
      <c r="A620" s="117"/>
      <c r="B620" s="123"/>
      <c r="C620" s="123"/>
      <c r="D620" s="123"/>
      <c r="AD620" s="127"/>
      <c r="AE620" s="29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27"/>
      <c r="AU620" s="29"/>
      <c r="BE620" s="25"/>
      <c r="BF620" s="13"/>
      <c r="BK620" s="116"/>
      <c r="BL620" s="123"/>
      <c r="BM620" s="123"/>
      <c r="BN620" s="123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115"/>
      <c r="CC620" s="25"/>
      <c r="CD620" s="13"/>
      <c r="CG620" s="114"/>
    </row>
    <row r="621" spans="1:85" ht="20.100000000000001" customHeight="1" x14ac:dyDescent="0.4">
      <c r="A621" s="117"/>
      <c r="B621" s="123"/>
      <c r="C621" s="123"/>
      <c r="D621" s="123"/>
      <c r="AD621" s="127"/>
      <c r="AE621" s="29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29"/>
      <c r="AU621" s="29"/>
      <c r="BE621" s="25"/>
      <c r="BF621" s="13"/>
      <c r="BK621" s="116"/>
      <c r="BL621" s="123"/>
      <c r="BM621" s="123"/>
      <c r="BN621" s="123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115"/>
      <c r="CC621" s="25"/>
      <c r="CD621" s="13"/>
      <c r="CG621" s="114"/>
    </row>
    <row r="622" spans="1:85" ht="20.100000000000001" customHeight="1" x14ac:dyDescent="0.4">
      <c r="A622" s="117"/>
      <c r="B622" s="123"/>
      <c r="C622" s="123"/>
      <c r="D622" s="123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27"/>
      <c r="AE622" s="29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29"/>
      <c r="AU622" s="29"/>
      <c r="BE622" s="25"/>
      <c r="BF622" s="13"/>
      <c r="BK622" s="116"/>
      <c r="BL622" s="123"/>
      <c r="BM622" s="123"/>
      <c r="BN622" s="123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115"/>
      <c r="CC622" s="25"/>
      <c r="CD622" s="13"/>
      <c r="CG622" s="114"/>
    </row>
    <row r="623" spans="1:85" ht="20.100000000000001" customHeight="1" x14ac:dyDescent="0.4">
      <c r="A623" s="117"/>
      <c r="B623" s="123"/>
      <c r="C623" s="123"/>
      <c r="D623" s="123"/>
      <c r="AD623" s="127"/>
      <c r="AE623" s="29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27"/>
      <c r="AU623" s="29"/>
      <c r="BE623" s="25"/>
      <c r="BF623" s="13"/>
      <c r="BK623" s="116"/>
      <c r="BL623" s="123"/>
      <c r="BM623" s="123"/>
      <c r="BN623" s="123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115"/>
      <c r="CC623" s="25"/>
      <c r="CD623" s="13"/>
      <c r="CG623" s="114"/>
    </row>
    <row r="624" spans="1:85" ht="20.100000000000001" customHeight="1" x14ac:dyDescent="0.4">
      <c r="A624" s="117"/>
      <c r="B624" s="123"/>
      <c r="C624" s="123"/>
      <c r="D624" s="123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29"/>
      <c r="AE624" s="29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27"/>
      <c r="AU624" s="29"/>
      <c r="BE624" s="25"/>
      <c r="BF624" s="13"/>
      <c r="BK624" s="116"/>
      <c r="BL624" s="123"/>
      <c r="BM624" s="123"/>
      <c r="BN624" s="123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25"/>
      <c r="CD624" s="13"/>
      <c r="CG624" s="114"/>
    </row>
    <row r="625" spans="1:85" ht="20.100000000000001" customHeight="1" x14ac:dyDescent="0.4">
      <c r="A625" s="117"/>
      <c r="B625" s="123"/>
      <c r="C625" s="123"/>
      <c r="D625" s="123"/>
      <c r="AD625" s="127"/>
      <c r="AE625" s="29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29"/>
      <c r="AU625" s="29"/>
      <c r="BE625" s="25"/>
      <c r="BF625" s="13"/>
      <c r="BK625" s="116"/>
      <c r="BL625" s="123"/>
      <c r="BM625" s="123"/>
      <c r="BN625" s="123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115"/>
      <c r="CC625" s="25"/>
      <c r="CD625" s="13"/>
      <c r="CG625" s="114"/>
    </row>
    <row r="626" spans="1:85" ht="20.100000000000001" customHeight="1" x14ac:dyDescent="0.4">
      <c r="A626" s="117"/>
      <c r="B626" s="123"/>
      <c r="C626" s="123"/>
      <c r="D626" s="123"/>
      <c r="AD626" s="127"/>
      <c r="AE626" s="29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27"/>
      <c r="AU626" s="29"/>
      <c r="BE626" s="25"/>
      <c r="BF626" s="13"/>
      <c r="BK626" s="116"/>
      <c r="BL626" s="123"/>
      <c r="BM626" s="123"/>
      <c r="BN626" s="123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115"/>
      <c r="CC626" s="25"/>
      <c r="CD626" s="13"/>
      <c r="CG626" s="114"/>
    </row>
    <row r="627" spans="1:85" ht="20.100000000000001" customHeight="1" x14ac:dyDescent="0.4">
      <c r="A627" s="117"/>
      <c r="B627" s="123"/>
      <c r="C627" s="123"/>
      <c r="D627" s="123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9"/>
      <c r="AE627" s="29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27"/>
      <c r="AU627" s="29"/>
      <c r="BE627" s="25"/>
      <c r="BF627" s="13"/>
      <c r="BK627" s="116"/>
      <c r="BL627" s="123"/>
      <c r="BM627" s="123"/>
      <c r="BN627" s="123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115"/>
      <c r="CC627" s="25"/>
      <c r="CD627" s="13"/>
      <c r="CG627" s="114"/>
    </row>
    <row r="628" spans="1:85" ht="20.100000000000001" customHeight="1" x14ac:dyDescent="0.4">
      <c r="A628" s="117"/>
      <c r="B628" s="123"/>
      <c r="C628" s="123"/>
      <c r="D628" s="123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27"/>
      <c r="AE628" s="29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27"/>
      <c r="AU628" s="29"/>
      <c r="BE628" s="25"/>
      <c r="BF628" s="13"/>
      <c r="BK628" s="116"/>
      <c r="BL628" s="123"/>
      <c r="BM628" s="123"/>
      <c r="BN628" s="123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25"/>
      <c r="CD628" s="13"/>
      <c r="CG628" s="114"/>
    </row>
    <row r="629" spans="1:85" ht="20.100000000000001" customHeight="1" x14ac:dyDescent="0.4">
      <c r="A629" s="117"/>
      <c r="B629" s="123"/>
      <c r="C629" s="123"/>
      <c r="D629" s="123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9"/>
      <c r="AE629" s="29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27"/>
      <c r="AU629" s="29"/>
      <c r="BE629" s="25"/>
      <c r="BF629" s="13"/>
      <c r="BK629" s="116"/>
      <c r="BL629" s="123"/>
      <c r="BM629" s="123"/>
      <c r="BN629" s="123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115"/>
      <c r="CC629" s="25"/>
      <c r="CD629" s="13"/>
      <c r="CG629" s="114"/>
    </row>
    <row r="630" spans="1:85" ht="20.100000000000001" customHeight="1" x14ac:dyDescent="0.4">
      <c r="A630" s="117"/>
      <c r="B630" s="123"/>
      <c r="C630" s="123"/>
      <c r="D630" s="123"/>
      <c r="AD630" s="127"/>
      <c r="AE630" s="29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29"/>
      <c r="AU630" s="29"/>
      <c r="BE630" s="25"/>
      <c r="BF630" s="13"/>
      <c r="BK630" s="116"/>
      <c r="BL630" s="123"/>
      <c r="BM630" s="123"/>
      <c r="BN630" s="123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115"/>
      <c r="CC630" s="25"/>
      <c r="CD630" s="13"/>
      <c r="CG630" s="114"/>
    </row>
    <row r="631" spans="1:85" ht="20.100000000000001" customHeight="1" x14ac:dyDescent="0.4">
      <c r="A631" s="117"/>
      <c r="B631" s="123"/>
      <c r="C631" s="123"/>
      <c r="D631" s="123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29"/>
      <c r="AE631" s="29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29"/>
      <c r="AU631" s="29"/>
      <c r="BE631" s="25"/>
      <c r="BF631" s="13"/>
      <c r="BK631" s="116"/>
      <c r="BL631" s="123"/>
      <c r="BM631" s="123"/>
      <c r="BN631" s="123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115"/>
      <c r="CC631" s="25"/>
      <c r="CD631" s="13"/>
      <c r="CG631" s="114"/>
    </row>
    <row r="632" spans="1:85" ht="20.100000000000001" customHeight="1" x14ac:dyDescent="0.4">
      <c r="A632" s="117"/>
      <c r="B632" s="123"/>
      <c r="C632" s="123"/>
      <c r="D632" s="123"/>
      <c r="AD632" s="127"/>
      <c r="AE632" s="29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29"/>
      <c r="AU632" s="29"/>
      <c r="BE632" s="25"/>
      <c r="BF632" s="13"/>
      <c r="BK632" s="116"/>
      <c r="BL632" s="123"/>
      <c r="BM632" s="123"/>
      <c r="BN632" s="123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25"/>
      <c r="CD632" s="13"/>
      <c r="CG632" s="114"/>
    </row>
    <row r="633" spans="1:85" ht="20.100000000000001" customHeight="1" x14ac:dyDescent="0.4">
      <c r="A633" s="117"/>
      <c r="B633" s="123"/>
      <c r="C633" s="123"/>
      <c r="D633" s="123"/>
      <c r="AD633" s="127"/>
      <c r="AE633" s="29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27"/>
      <c r="AU633" s="29"/>
      <c r="BE633" s="25"/>
      <c r="BF633" s="13"/>
      <c r="BK633" s="116"/>
      <c r="BL633" s="123"/>
      <c r="BM633" s="123"/>
      <c r="BN633" s="123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25"/>
      <c r="CD633" s="13"/>
      <c r="CG633" s="114"/>
    </row>
    <row r="634" spans="1:85" ht="20.100000000000001" customHeight="1" x14ac:dyDescent="0.4">
      <c r="A634" s="117"/>
      <c r="B634" s="123"/>
      <c r="C634" s="123"/>
      <c r="D634" s="123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29"/>
      <c r="AE634" s="29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27"/>
      <c r="AU634" s="29"/>
      <c r="BE634" s="25"/>
      <c r="BF634" s="13"/>
      <c r="BK634" s="116"/>
      <c r="BL634" s="123"/>
      <c r="BM634" s="123"/>
      <c r="BN634" s="123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115"/>
      <c r="CC634" s="25"/>
      <c r="CD634" s="13"/>
      <c r="CG634" s="114"/>
    </row>
    <row r="635" spans="1:85" ht="20.100000000000001" customHeight="1" x14ac:dyDescent="0.4">
      <c r="A635" s="117"/>
      <c r="B635" s="123"/>
      <c r="C635" s="123"/>
      <c r="D635" s="123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9"/>
      <c r="AE635" s="29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27"/>
      <c r="AU635" s="29"/>
      <c r="BE635" s="25"/>
      <c r="BF635" s="13"/>
      <c r="BK635" s="116"/>
      <c r="BL635" s="123"/>
      <c r="BM635" s="123"/>
      <c r="BN635" s="123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115"/>
      <c r="CC635" s="25"/>
      <c r="CD635" s="13"/>
      <c r="CG635" s="114"/>
    </row>
    <row r="636" spans="1:85" ht="20.100000000000001" customHeight="1" x14ac:dyDescent="0.4">
      <c r="A636" s="117"/>
      <c r="B636" s="123"/>
      <c r="C636" s="123"/>
      <c r="D636" s="123"/>
      <c r="AD636" s="127"/>
      <c r="AE636" s="29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27"/>
      <c r="AU636" s="29"/>
      <c r="BE636" s="25"/>
      <c r="BF636" s="13"/>
      <c r="BK636" s="116"/>
      <c r="BL636" s="123"/>
      <c r="BM636" s="123"/>
      <c r="BN636" s="123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25"/>
      <c r="CD636" s="13"/>
      <c r="CG636" s="114"/>
    </row>
    <row r="637" spans="1:85" ht="20.100000000000001" customHeight="1" x14ac:dyDescent="0.4">
      <c r="A637" s="117"/>
      <c r="B637" s="123"/>
      <c r="C637" s="123"/>
      <c r="D637" s="123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9"/>
      <c r="AE637" s="29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27"/>
      <c r="AU637" s="29"/>
      <c r="BE637" s="25"/>
      <c r="BF637" s="13"/>
      <c r="BK637" s="116"/>
      <c r="BL637" s="123"/>
      <c r="BM637" s="123"/>
      <c r="BN637" s="123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115"/>
      <c r="CC637" s="25"/>
      <c r="CD637" s="13"/>
      <c r="CG637" s="114"/>
    </row>
    <row r="638" spans="1:85" ht="20.100000000000001" customHeight="1" x14ac:dyDescent="0.4">
      <c r="A638" s="117"/>
      <c r="B638" s="123"/>
      <c r="C638" s="123"/>
      <c r="D638" s="123"/>
      <c r="AD638" s="127"/>
      <c r="AE638" s="29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27"/>
      <c r="AU638" s="29"/>
      <c r="BE638" s="25"/>
      <c r="BF638" s="13"/>
      <c r="BK638" s="116"/>
      <c r="BL638" s="123"/>
      <c r="BM638" s="123"/>
      <c r="BN638" s="123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115"/>
      <c r="CC638" s="25"/>
      <c r="CD638" s="13"/>
      <c r="CG638" s="114"/>
    </row>
    <row r="639" spans="1:85" ht="20.100000000000001" customHeight="1" x14ac:dyDescent="0.4">
      <c r="A639" s="117"/>
      <c r="B639" s="123"/>
      <c r="C639" s="123"/>
      <c r="D639" s="123"/>
      <c r="AD639" s="127"/>
      <c r="AE639" s="29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27"/>
      <c r="AU639" s="29"/>
      <c r="BE639" s="25"/>
      <c r="BF639" s="13"/>
      <c r="BK639" s="116"/>
      <c r="BL639" s="123"/>
      <c r="BM639" s="123"/>
      <c r="BN639" s="123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115"/>
      <c r="CC639" s="25"/>
      <c r="CD639" s="13"/>
      <c r="CG639" s="114"/>
    </row>
    <row r="640" spans="1:85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7"/>
      <c r="AE640" s="29"/>
      <c r="AT640" s="127"/>
      <c r="AU640" s="29"/>
      <c r="BE640" s="25"/>
      <c r="BF640" s="13"/>
      <c r="BK640" s="116"/>
      <c r="BL640" s="123"/>
      <c r="BM640" s="123"/>
      <c r="BN640" s="123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25"/>
      <c r="CD640" s="13"/>
      <c r="CG640" s="114"/>
    </row>
    <row r="641" spans="1:85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7"/>
      <c r="AE641" s="29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27"/>
      <c r="AU641" s="29"/>
      <c r="BE641" s="25"/>
      <c r="BF641" s="13"/>
      <c r="BK641" s="116"/>
      <c r="BL641" s="123"/>
      <c r="BM641" s="123"/>
      <c r="BN641" s="123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115"/>
      <c r="CC641" s="25"/>
      <c r="CD641" s="13"/>
      <c r="CG641" s="114"/>
    </row>
    <row r="642" spans="1:85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7"/>
      <c r="AE642" s="29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29"/>
      <c r="AU642" s="29"/>
      <c r="BE642" s="25"/>
      <c r="BF642" s="13"/>
      <c r="BK642" s="116"/>
      <c r="BL642" s="123"/>
      <c r="BM642" s="123"/>
      <c r="BN642" s="123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115"/>
      <c r="CC642" s="25"/>
      <c r="CD642" s="13"/>
      <c r="CG642" s="114"/>
    </row>
    <row r="643" spans="1:85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7"/>
      <c r="AE643" s="29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27"/>
      <c r="AU643" s="29"/>
      <c r="BE643" s="25"/>
      <c r="BF643" s="13"/>
      <c r="BK643" s="116"/>
      <c r="BL643" s="123"/>
      <c r="BM643" s="123"/>
      <c r="BN643" s="123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115"/>
      <c r="CC643" s="25"/>
      <c r="CD643" s="13"/>
      <c r="CG643" s="114"/>
    </row>
    <row r="644" spans="1:85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7"/>
      <c r="AE644" s="29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27"/>
      <c r="AU644" s="29"/>
      <c r="BE644" s="25"/>
      <c r="BF644" s="13"/>
      <c r="BK644" s="116"/>
      <c r="BL644" s="123"/>
      <c r="BM644" s="123"/>
      <c r="BN644" s="123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25"/>
      <c r="CD644" s="13"/>
      <c r="CG644" s="114"/>
    </row>
    <row r="645" spans="1:85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7"/>
      <c r="AE645" s="29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27"/>
      <c r="AU645" s="29"/>
      <c r="BE645" s="25"/>
      <c r="BF645" s="13"/>
      <c r="BK645" s="116"/>
      <c r="BL645" s="123"/>
      <c r="BM645" s="123"/>
      <c r="BN645" s="123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115"/>
      <c r="CC645" s="25"/>
      <c r="CD645" s="13"/>
      <c r="CG645" s="114"/>
    </row>
    <row r="646" spans="1:85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29"/>
      <c r="AE646" s="29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27"/>
      <c r="AU646" s="29"/>
      <c r="BE646" s="25"/>
      <c r="BF646" s="13"/>
      <c r="BK646" s="116"/>
      <c r="BL646" s="123"/>
      <c r="BM646" s="123"/>
      <c r="BN646" s="123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115"/>
      <c r="CC646" s="25"/>
      <c r="CD646" s="13"/>
      <c r="CG646" s="114"/>
    </row>
    <row r="647" spans="1:85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7"/>
      <c r="AE647" s="29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27"/>
      <c r="AU647" s="29"/>
      <c r="BE647" s="25"/>
      <c r="BF647" s="13"/>
      <c r="BK647" s="116"/>
      <c r="BL647" s="123"/>
      <c r="BM647" s="123"/>
      <c r="BN647" s="123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115"/>
      <c r="CC647" s="25"/>
      <c r="CD647" s="13"/>
      <c r="CG647" s="114"/>
    </row>
    <row r="648" spans="1:85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7"/>
      <c r="AE648" s="29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27"/>
      <c r="AU648" s="29"/>
      <c r="BE648" s="25"/>
      <c r="BF648" s="13"/>
      <c r="BK648" s="116"/>
      <c r="BL648" s="123"/>
      <c r="BM648" s="123"/>
      <c r="BN648" s="123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25"/>
      <c r="CD648" s="13"/>
      <c r="CG648" s="114"/>
    </row>
    <row r="649" spans="1:85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29"/>
      <c r="AE649" s="29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27"/>
      <c r="AU649" s="29"/>
      <c r="BE649" s="25"/>
      <c r="BF649" s="13"/>
      <c r="BK649" s="116"/>
      <c r="BL649" s="123"/>
      <c r="BM649" s="123"/>
      <c r="BN649" s="123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115"/>
      <c r="CC649" s="25"/>
      <c r="CD649" s="13"/>
      <c r="CG649" s="114"/>
    </row>
    <row r="650" spans="1:85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7"/>
      <c r="AE650" s="29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27"/>
      <c r="AU650" s="134"/>
      <c r="BE650" s="25"/>
      <c r="BF650" s="13"/>
      <c r="BK650" s="116"/>
      <c r="BL650" s="123"/>
      <c r="BM650" s="123"/>
      <c r="BN650" s="123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115"/>
      <c r="CC650" s="25"/>
      <c r="CD650" s="13"/>
      <c r="CG650" s="114"/>
    </row>
    <row r="651" spans="1:85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7"/>
      <c r="AE651" s="29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27"/>
      <c r="AU651" s="29"/>
      <c r="BE651" s="25"/>
      <c r="BF651" s="13"/>
      <c r="BK651" s="116"/>
      <c r="BL651" s="123"/>
      <c r="BM651" s="123"/>
      <c r="BN651" s="123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115"/>
      <c r="CC651" s="25"/>
      <c r="CD651" s="13"/>
      <c r="CG651" s="114"/>
    </row>
    <row r="652" spans="1:85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7"/>
      <c r="AE652" s="29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27"/>
      <c r="AU652" s="29"/>
      <c r="BE652" s="25"/>
      <c r="BF652" s="13"/>
      <c r="BK652" s="116"/>
      <c r="BL652" s="123"/>
      <c r="BM652" s="123"/>
      <c r="BN652" s="123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25"/>
      <c r="CD652" s="13"/>
      <c r="CG652" s="114"/>
    </row>
    <row r="653" spans="1:85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7"/>
      <c r="AE653" s="29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27"/>
      <c r="AU653" s="29"/>
      <c r="BE653" s="25"/>
      <c r="BF653" s="13"/>
      <c r="BK653" s="116"/>
      <c r="BL653" s="123"/>
      <c r="BM653" s="123"/>
      <c r="BN653" s="123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25"/>
      <c r="CD653" s="13"/>
      <c r="CG653" s="114"/>
    </row>
    <row r="654" spans="1:85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7"/>
      <c r="AE654" s="29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27"/>
      <c r="AU654" s="29"/>
      <c r="BE654" s="25"/>
      <c r="BF654" s="13"/>
      <c r="BK654" s="116"/>
      <c r="BL654" s="123"/>
      <c r="BM654" s="123"/>
      <c r="BN654" s="123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25"/>
      <c r="CD654" s="13"/>
      <c r="CG654" s="114"/>
    </row>
    <row r="655" spans="1:85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7"/>
      <c r="AE655" s="29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27"/>
      <c r="AU655" s="29"/>
      <c r="BE655" s="25"/>
      <c r="BF655" s="13"/>
      <c r="BK655" s="116"/>
      <c r="BL655" s="123"/>
      <c r="BM655" s="123"/>
      <c r="BN655" s="123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25"/>
      <c r="CD655" s="13"/>
      <c r="CG655" s="114"/>
    </row>
    <row r="656" spans="1:85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7"/>
      <c r="AE656" s="29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27"/>
      <c r="AU656" s="29"/>
      <c r="BE656" s="25"/>
      <c r="BF656" s="13"/>
      <c r="BK656" s="116"/>
      <c r="BL656" s="123"/>
      <c r="BM656" s="123"/>
      <c r="BN656" s="123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115"/>
      <c r="CC656" s="25"/>
      <c r="CD656" s="13"/>
      <c r="CG656" s="114"/>
    </row>
    <row r="657" spans="1:85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29"/>
      <c r="AE657" s="29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27"/>
      <c r="AU657" s="29"/>
      <c r="BE657" s="25"/>
      <c r="BF657" s="13"/>
      <c r="BK657" s="116"/>
      <c r="BL657" s="123"/>
      <c r="BM657" s="123"/>
      <c r="BN657" s="123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115"/>
      <c r="CC657" s="25"/>
      <c r="CD657" s="13"/>
      <c r="CG657" s="114"/>
    </row>
    <row r="658" spans="1:85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7"/>
      <c r="AE658" s="29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27"/>
      <c r="AU658" s="29"/>
      <c r="BE658" s="25"/>
      <c r="BF658" s="13"/>
      <c r="BK658" s="116"/>
      <c r="BL658" s="123"/>
      <c r="BM658" s="123"/>
      <c r="BN658" s="123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115"/>
      <c r="CC658" s="25"/>
      <c r="CD658" s="13"/>
      <c r="CG658" s="114"/>
    </row>
    <row r="659" spans="1:85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7"/>
      <c r="AE659" s="29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27"/>
      <c r="AU659" s="29"/>
      <c r="BE659" s="25"/>
      <c r="BF659" s="13"/>
      <c r="BK659" s="116"/>
      <c r="BL659" s="123"/>
      <c r="BM659" s="123"/>
      <c r="BN659" s="123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25"/>
      <c r="CD659" s="13"/>
      <c r="CG659" s="114"/>
    </row>
    <row r="660" spans="1:85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29"/>
      <c r="AE660" s="29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27"/>
      <c r="AU660" s="29"/>
      <c r="BE660" s="25"/>
      <c r="BF660" s="13"/>
      <c r="BK660" s="116"/>
      <c r="BL660" s="123"/>
      <c r="BM660" s="123"/>
      <c r="BN660" s="123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115"/>
      <c r="CC660" s="25"/>
      <c r="CD660" s="13"/>
      <c r="CG660" s="114"/>
    </row>
    <row r="661" spans="1:85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7"/>
      <c r="AE661" s="29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27"/>
      <c r="AU661" s="134"/>
      <c r="BE661" s="25"/>
      <c r="BF661" s="13"/>
      <c r="BK661" s="116"/>
      <c r="BL661" s="123"/>
      <c r="BM661" s="123"/>
      <c r="BN661" s="123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115"/>
      <c r="CC661" s="25"/>
      <c r="CD661" s="13"/>
      <c r="CG661" s="114"/>
    </row>
    <row r="662" spans="1:85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7"/>
      <c r="AE662" s="29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27"/>
      <c r="AU662" s="29"/>
      <c r="BE662" s="25"/>
      <c r="BF662" s="13"/>
      <c r="BK662" s="116"/>
      <c r="BL662" s="123"/>
      <c r="BM662" s="123"/>
      <c r="BN662" s="123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115"/>
      <c r="CC662" s="25"/>
      <c r="CD662" s="13"/>
      <c r="CG662" s="114"/>
    </row>
    <row r="663" spans="1:85" ht="20.100000000000001" customHeight="1" x14ac:dyDescent="0.4">
      <c r="A663" s="117"/>
      <c r="B663" s="123"/>
      <c r="C663" s="123"/>
      <c r="D663" s="123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7"/>
      <c r="AE663" s="29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27"/>
      <c r="AU663" s="29"/>
      <c r="BE663" s="25"/>
      <c r="BF663" s="13"/>
      <c r="BK663" s="116"/>
      <c r="BL663" s="123"/>
      <c r="BM663" s="123"/>
      <c r="BN663" s="123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115"/>
      <c r="CC663" s="25"/>
      <c r="CD663" s="13"/>
      <c r="CG663" s="114"/>
    </row>
    <row r="664" spans="1:85" ht="20.100000000000001" customHeight="1" x14ac:dyDescent="0.4">
      <c r="A664" s="117"/>
      <c r="B664" s="123"/>
      <c r="C664" s="123"/>
      <c r="D664" s="123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7"/>
      <c r="AE664" s="29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27"/>
      <c r="AU664" s="29"/>
      <c r="BE664" s="25"/>
      <c r="BF664" s="13"/>
      <c r="BK664" s="116"/>
      <c r="BL664" s="123"/>
      <c r="BM664" s="123"/>
      <c r="BN664" s="123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115"/>
      <c r="CC664" s="25"/>
      <c r="CD664" s="13"/>
      <c r="CG664" s="114"/>
    </row>
    <row r="665" spans="1:85" ht="20.100000000000001" customHeight="1" x14ac:dyDescent="0.4">
      <c r="A665" s="117"/>
      <c r="B665" s="123"/>
      <c r="C665" s="123"/>
      <c r="D665" s="123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7"/>
      <c r="AE665" s="29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29"/>
      <c r="AU665" s="29"/>
      <c r="BE665" s="25"/>
      <c r="BF665" s="13"/>
      <c r="BK665" s="116"/>
      <c r="BL665" s="123"/>
      <c r="BM665" s="123"/>
      <c r="BN665" s="123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115"/>
      <c r="CC665" s="25"/>
      <c r="CD665" s="13"/>
      <c r="CG665" s="114"/>
    </row>
    <row r="666" spans="1:85" ht="20.100000000000001" customHeight="1" x14ac:dyDescent="0.4">
      <c r="A666" s="117"/>
      <c r="B666" s="123"/>
      <c r="C666" s="123"/>
      <c r="D666" s="123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7"/>
      <c r="AE666" s="29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27"/>
      <c r="AU666" s="29"/>
      <c r="BE666" s="25"/>
      <c r="BF666" s="13"/>
      <c r="BK666" s="116"/>
      <c r="BL666" s="123"/>
      <c r="BM666" s="123"/>
      <c r="BN666" s="123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25"/>
      <c r="CD666" s="13"/>
      <c r="CG666" s="114"/>
    </row>
    <row r="667" spans="1:85" ht="20.100000000000001" customHeight="1" x14ac:dyDescent="0.4">
      <c r="A667" s="117"/>
      <c r="B667" s="123"/>
      <c r="C667" s="123"/>
      <c r="D667" s="123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7"/>
      <c r="AE667" s="29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27"/>
      <c r="AU667" s="29"/>
      <c r="BE667" s="25"/>
      <c r="BF667" s="13"/>
      <c r="BK667" s="116"/>
      <c r="BL667" s="123"/>
      <c r="BM667" s="123"/>
      <c r="BN667" s="123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115"/>
      <c r="CC667" s="25"/>
      <c r="CD667" s="13"/>
      <c r="CG667" s="114"/>
    </row>
    <row r="668" spans="1:85" ht="20.100000000000001" customHeight="1" x14ac:dyDescent="0.4">
      <c r="A668" s="117"/>
      <c r="B668" s="123"/>
      <c r="C668" s="123"/>
      <c r="D668" s="123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7"/>
      <c r="AE668" s="29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27"/>
      <c r="AU668" s="29"/>
      <c r="BE668" s="25"/>
      <c r="BF668" s="13"/>
      <c r="BK668" s="116"/>
      <c r="BL668" s="123"/>
      <c r="BM668" s="123"/>
      <c r="BN668" s="123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115"/>
      <c r="CC668" s="25"/>
      <c r="CD668" s="13"/>
      <c r="CG668" s="114"/>
    </row>
    <row r="669" spans="1:85" ht="20.100000000000001" customHeight="1" x14ac:dyDescent="0.4">
      <c r="A669" s="117"/>
      <c r="B669" s="123"/>
      <c r="C669" s="123"/>
      <c r="D669" s="123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7"/>
      <c r="AE669" s="29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27"/>
      <c r="AU669" s="29"/>
      <c r="BE669" s="25"/>
      <c r="BF669" s="13"/>
      <c r="BK669" s="116"/>
      <c r="BL669" s="123"/>
      <c r="BM669" s="123"/>
      <c r="BN669" s="123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115"/>
      <c r="CC669" s="25"/>
      <c r="CD669" s="13"/>
      <c r="CG669" s="114"/>
    </row>
    <row r="670" spans="1:85" ht="20.100000000000001" customHeight="1" x14ac:dyDescent="0.4">
      <c r="A670" s="117"/>
      <c r="B670" s="123"/>
      <c r="C670" s="123"/>
      <c r="D670" s="123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7"/>
      <c r="AE670" s="29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29"/>
      <c r="AU670" s="29"/>
      <c r="BE670" s="25"/>
      <c r="BF670" s="13"/>
      <c r="BK670" s="116"/>
      <c r="BL670" s="123"/>
      <c r="BM670" s="123"/>
      <c r="BN670" s="123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25"/>
      <c r="CD670" s="13"/>
      <c r="CG670" s="114"/>
    </row>
    <row r="671" spans="1:85" ht="20.100000000000001" customHeight="1" x14ac:dyDescent="0.4">
      <c r="A671" s="117"/>
      <c r="B671" s="123"/>
      <c r="C671" s="123"/>
      <c r="D671" s="123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7"/>
      <c r="AE671" s="29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27"/>
      <c r="AU671" s="29"/>
      <c r="BE671" s="25"/>
      <c r="BF671" s="13"/>
      <c r="BK671" s="116"/>
      <c r="BL671" s="123"/>
      <c r="BM671" s="123"/>
      <c r="BN671" s="123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115"/>
      <c r="CC671" s="25"/>
      <c r="CD671" s="13"/>
      <c r="CG671" s="114"/>
    </row>
    <row r="672" spans="1:85" ht="20.100000000000001" customHeight="1" x14ac:dyDescent="0.4">
      <c r="A672" s="117"/>
      <c r="B672" s="123"/>
      <c r="C672" s="123"/>
      <c r="D672" s="123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7"/>
      <c r="AE672" s="29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27"/>
      <c r="AU672" s="29"/>
      <c r="BE672" s="25"/>
      <c r="BF672" s="13"/>
      <c r="BK672" s="116"/>
      <c r="BL672" s="123"/>
      <c r="BM672" s="123"/>
      <c r="BN672" s="123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115"/>
      <c r="CC672" s="25"/>
      <c r="CD672" s="13"/>
      <c r="CG672" s="114"/>
    </row>
    <row r="673" spans="1:85" ht="20.100000000000001" customHeight="1" x14ac:dyDescent="0.4">
      <c r="A673" s="117"/>
      <c r="B673" s="123"/>
      <c r="C673" s="123"/>
      <c r="D673" s="123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7"/>
      <c r="AE673" s="29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27"/>
      <c r="AU673" s="29"/>
      <c r="BE673" s="25"/>
      <c r="BF673" s="13"/>
      <c r="BK673" s="116"/>
      <c r="BL673" s="123"/>
      <c r="BM673" s="123"/>
      <c r="BN673" s="123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115"/>
      <c r="CC673" s="25"/>
      <c r="CD673" s="13"/>
      <c r="CG673" s="114"/>
    </row>
    <row r="674" spans="1:85" ht="20.100000000000001" customHeight="1" x14ac:dyDescent="0.4">
      <c r="A674" s="117"/>
      <c r="B674" s="123"/>
      <c r="C674" s="123"/>
      <c r="D674" s="123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7"/>
      <c r="AE674" s="29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27"/>
      <c r="AU674" s="29"/>
      <c r="BE674" s="25"/>
      <c r="BF674" s="13"/>
      <c r="BK674" s="116"/>
      <c r="BL674" s="123"/>
      <c r="BM674" s="123"/>
      <c r="BN674" s="123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25"/>
      <c r="CD674" s="13"/>
      <c r="CG674" s="114"/>
    </row>
    <row r="675" spans="1:85" ht="20.100000000000001" customHeight="1" x14ac:dyDescent="0.4">
      <c r="A675" s="117"/>
      <c r="B675" s="123"/>
      <c r="C675" s="123"/>
      <c r="D675" s="123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29"/>
      <c r="AE675" s="29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27"/>
      <c r="AU675" s="29"/>
      <c r="BE675" s="25"/>
      <c r="BF675" s="13"/>
      <c r="BK675" s="116"/>
      <c r="BL675" s="123"/>
      <c r="BM675" s="123"/>
      <c r="BN675" s="123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25"/>
      <c r="CD675" s="13"/>
      <c r="CG675" s="114"/>
    </row>
    <row r="676" spans="1:85" ht="20.100000000000001" customHeight="1" x14ac:dyDescent="0.4">
      <c r="A676" s="117"/>
      <c r="B676" s="123"/>
      <c r="C676" s="123"/>
      <c r="D676" s="123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7"/>
      <c r="AE676" s="29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27"/>
      <c r="AU676" s="29"/>
      <c r="BE676" s="25"/>
      <c r="BF676" s="13"/>
      <c r="BK676" s="116"/>
      <c r="BL676" s="123"/>
      <c r="BM676" s="123"/>
      <c r="BN676" s="123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25"/>
      <c r="CD676" s="13"/>
      <c r="CG676" s="114"/>
    </row>
    <row r="677" spans="1:85" ht="20.100000000000001" customHeight="1" x14ac:dyDescent="0.4">
      <c r="A677" s="117"/>
      <c r="B677" s="123"/>
      <c r="C677" s="123"/>
      <c r="D677" s="123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7"/>
      <c r="AE677" s="29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27"/>
      <c r="AU677" s="29"/>
      <c r="BE677" s="25"/>
      <c r="BF677" s="13"/>
      <c r="BK677" s="116"/>
      <c r="BL677" s="123"/>
      <c r="BM677" s="123"/>
      <c r="BN677" s="123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115"/>
      <c r="CC677" s="25"/>
      <c r="CD677" s="13"/>
      <c r="CG677" s="114"/>
    </row>
    <row r="678" spans="1:85" ht="20.100000000000001" customHeight="1" x14ac:dyDescent="0.4">
      <c r="A678" s="117"/>
      <c r="B678" s="123"/>
      <c r="C678" s="123"/>
      <c r="D678" s="123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7"/>
      <c r="AE678" s="29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29"/>
      <c r="AU678" s="29"/>
      <c r="BE678" s="25"/>
      <c r="BF678" s="13"/>
      <c r="BK678" s="116"/>
      <c r="BL678" s="123"/>
      <c r="BM678" s="123"/>
      <c r="BN678" s="123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115"/>
      <c r="CC678" s="25"/>
      <c r="CD678" s="13"/>
      <c r="CG678" s="114"/>
    </row>
    <row r="679" spans="1:85" ht="20.100000000000001" customHeight="1" x14ac:dyDescent="0.4">
      <c r="A679" s="117"/>
      <c r="B679" s="123"/>
      <c r="C679" s="123"/>
      <c r="D679" s="123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7"/>
      <c r="AE679" s="29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27"/>
      <c r="AU679" s="29"/>
      <c r="BE679" s="25"/>
      <c r="BF679" s="13"/>
      <c r="BK679" s="116"/>
      <c r="BL679" s="123"/>
      <c r="BM679" s="123"/>
      <c r="BN679" s="123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115"/>
      <c r="CC679" s="25"/>
      <c r="CD679" s="13"/>
      <c r="CG679" s="114"/>
    </row>
    <row r="680" spans="1:85" ht="20.100000000000001" customHeight="1" x14ac:dyDescent="0.4">
      <c r="A680" s="117"/>
      <c r="B680" s="123"/>
      <c r="C680" s="123"/>
      <c r="D680" s="123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7"/>
      <c r="AE680" s="29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27"/>
      <c r="AU680" s="29"/>
      <c r="BE680" s="25"/>
      <c r="BF680" s="13"/>
      <c r="BK680" s="116"/>
      <c r="BL680" s="123"/>
      <c r="BM680" s="123"/>
      <c r="BN680" s="123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115"/>
      <c r="CC680" s="25"/>
      <c r="CD680" s="13"/>
      <c r="CG680" s="114"/>
    </row>
    <row r="681" spans="1:85" ht="20.100000000000001" customHeight="1" x14ac:dyDescent="0.4">
      <c r="A681" s="117"/>
      <c r="B681" s="123"/>
      <c r="C681" s="123"/>
      <c r="D681" s="123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7"/>
      <c r="AE681" s="29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27"/>
      <c r="AU681" s="29"/>
      <c r="BE681" s="25"/>
      <c r="BF681" s="13"/>
      <c r="BK681" s="116"/>
      <c r="BL681" s="123"/>
      <c r="BM681" s="123"/>
      <c r="BN681" s="123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25"/>
      <c r="CD681" s="13"/>
      <c r="CG681" s="114"/>
    </row>
    <row r="682" spans="1:85" ht="20.100000000000001" customHeight="1" x14ac:dyDescent="0.4">
      <c r="A682" s="117"/>
      <c r="B682" s="123"/>
      <c r="C682" s="123"/>
      <c r="D682" s="123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29"/>
      <c r="AE682" s="29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27"/>
      <c r="AU682" s="29"/>
      <c r="BE682" s="25"/>
      <c r="BF682" s="13"/>
      <c r="BK682" s="116"/>
      <c r="BL682" s="123"/>
      <c r="BM682" s="123"/>
      <c r="BN682" s="123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25"/>
      <c r="CD682" s="13"/>
      <c r="CG682" s="114"/>
    </row>
    <row r="683" spans="1:85" ht="20.100000000000001" customHeight="1" x14ac:dyDescent="0.4">
      <c r="A683" s="117"/>
      <c r="B683" s="123"/>
      <c r="C683" s="123"/>
      <c r="D683" s="123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7"/>
      <c r="AE683" s="29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29"/>
      <c r="AU683" s="29"/>
      <c r="BE683" s="25"/>
      <c r="BF683" s="13"/>
      <c r="BK683" s="116"/>
      <c r="BL683" s="123"/>
      <c r="BM683" s="123"/>
      <c r="BN683" s="123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25"/>
      <c r="CD683" s="13"/>
      <c r="CG683" s="114"/>
    </row>
    <row r="684" spans="1:85" ht="20.100000000000001" customHeight="1" x14ac:dyDescent="0.4">
      <c r="A684" s="117"/>
      <c r="B684" s="123"/>
      <c r="C684" s="123"/>
      <c r="D684" s="123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29"/>
      <c r="AE684" s="29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29"/>
      <c r="AU684" s="29"/>
      <c r="BE684" s="25"/>
      <c r="BF684" s="13"/>
      <c r="BK684" s="116"/>
      <c r="BL684" s="123"/>
      <c r="BM684" s="123"/>
      <c r="BN684" s="123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25"/>
      <c r="CD684" s="13"/>
      <c r="CG684" s="114"/>
    </row>
    <row r="685" spans="1:85" ht="20.100000000000001" customHeight="1" x14ac:dyDescent="0.4">
      <c r="A685" s="117"/>
      <c r="B685" s="123"/>
      <c r="C685" s="123"/>
      <c r="D685" s="123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7"/>
      <c r="AE685" s="29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27"/>
      <c r="AU685" s="29"/>
      <c r="BE685" s="25"/>
      <c r="BF685" s="13"/>
      <c r="BK685" s="116"/>
      <c r="BL685" s="123"/>
      <c r="BM685" s="123"/>
      <c r="BN685" s="123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25"/>
      <c r="CD685" s="13"/>
      <c r="CG685" s="114"/>
    </row>
    <row r="686" spans="1:85" ht="20.100000000000001" customHeight="1" x14ac:dyDescent="0.4">
      <c r="A686" s="117"/>
      <c r="B686" s="123"/>
      <c r="C686" s="123"/>
      <c r="D686" s="123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29"/>
      <c r="AE686" s="29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27"/>
      <c r="AU686" s="29"/>
      <c r="BE686" s="25"/>
      <c r="BF686" s="13"/>
      <c r="BK686" s="116"/>
      <c r="BL686" s="123"/>
      <c r="BM686" s="123"/>
      <c r="BN686" s="123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25"/>
      <c r="CD686" s="13"/>
      <c r="CG686" s="114"/>
    </row>
    <row r="687" spans="1:85" ht="20.100000000000001" customHeight="1" x14ac:dyDescent="0.4">
      <c r="A687" s="117"/>
      <c r="B687" s="123"/>
      <c r="C687" s="123"/>
      <c r="D687" s="123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7"/>
      <c r="AE687" s="29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27"/>
      <c r="AU687" s="29"/>
      <c r="BE687" s="25"/>
      <c r="BF687" s="13"/>
      <c r="BK687" s="116"/>
      <c r="BL687" s="123"/>
      <c r="BM687" s="123"/>
      <c r="BN687" s="123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25"/>
      <c r="CD687" s="13"/>
      <c r="CG687" s="114"/>
    </row>
    <row r="688" spans="1:85" ht="20.100000000000001" customHeight="1" x14ac:dyDescent="0.4">
      <c r="A688" s="117"/>
      <c r="B688" s="123"/>
      <c r="C688" s="123"/>
      <c r="D688" s="123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29"/>
      <c r="AE688" s="29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27"/>
      <c r="AU688" s="29"/>
      <c r="BE688" s="25"/>
      <c r="BF688" s="13"/>
      <c r="BK688" s="116"/>
      <c r="BL688" s="123"/>
      <c r="BM688" s="123"/>
      <c r="BN688" s="123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25"/>
      <c r="CD688" s="13"/>
      <c r="CG688" s="114"/>
    </row>
    <row r="689" spans="1:85" ht="20.100000000000001" customHeight="1" x14ac:dyDescent="0.4">
      <c r="A689" s="117"/>
      <c r="B689" s="123"/>
      <c r="C689" s="123"/>
      <c r="D689" s="123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7"/>
      <c r="AE689" s="29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27"/>
      <c r="AU689" s="29"/>
      <c r="BE689" s="25"/>
      <c r="BF689" s="13"/>
      <c r="BK689" s="116"/>
      <c r="BL689" s="123"/>
      <c r="BM689" s="123"/>
      <c r="BN689" s="123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25"/>
      <c r="CD689" s="13"/>
      <c r="CG689" s="114"/>
    </row>
    <row r="690" spans="1:85" ht="20.100000000000001" customHeight="1" x14ac:dyDescent="0.4">
      <c r="A690" s="117"/>
      <c r="B690" s="123"/>
      <c r="C690" s="123"/>
      <c r="D690" s="123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7"/>
      <c r="AE690" s="134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29"/>
      <c r="AU690" s="29"/>
      <c r="BE690" s="25"/>
      <c r="BF690" s="13"/>
      <c r="BK690" s="116"/>
      <c r="BL690" s="123"/>
      <c r="BM690" s="123"/>
      <c r="BN690" s="123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25"/>
      <c r="CD690" s="13"/>
      <c r="CG690" s="114"/>
    </row>
    <row r="691" spans="1:85" ht="20.100000000000001" customHeight="1" x14ac:dyDescent="0.4">
      <c r="A691" s="117"/>
      <c r="B691" s="123"/>
      <c r="C691" s="123"/>
      <c r="D691" s="123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29"/>
      <c r="AE691" s="29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29"/>
      <c r="AU691" s="29"/>
      <c r="BE691" s="25"/>
      <c r="BF691" s="13"/>
      <c r="BK691" s="116"/>
      <c r="BL691" s="123"/>
      <c r="BM691" s="123"/>
      <c r="BN691" s="123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25"/>
      <c r="CD691" s="13"/>
      <c r="CG691" s="114"/>
    </row>
    <row r="692" spans="1:85" ht="20.100000000000001" customHeight="1" x14ac:dyDescent="0.4">
      <c r="A692" s="117"/>
      <c r="B692" s="123"/>
      <c r="C692" s="123"/>
      <c r="D692" s="123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7"/>
      <c r="AE692" s="29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27"/>
      <c r="AU692" s="29"/>
      <c r="BE692" s="25"/>
      <c r="BF692" s="13"/>
      <c r="BK692" s="116"/>
      <c r="BL692" s="123"/>
      <c r="BM692" s="123"/>
      <c r="BN692" s="123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25"/>
      <c r="CD692" s="13"/>
      <c r="CG692" s="114"/>
    </row>
    <row r="693" spans="1:85" ht="20.100000000000001" customHeight="1" x14ac:dyDescent="0.4">
      <c r="A693" s="117"/>
      <c r="B693" s="123"/>
      <c r="C693" s="123"/>
      <c r="D693" s="123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29"/>
      <c r="AE693" s="29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27"/>
      <c r="AU693" s="29"/>
      <c r="BE693" s="25"/>
      <c r="BF693" s="13"/>
      <c r="BK693" s="116"/>
      <c r="BL693" s="123"/>
      <c r="BM693" s="123"/>
      <c r="BN693" s="123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25"/>
      <c r="CD693" s="13"/>
      <c r="CG693" s="114"/>
    </row>
    <row r="694" spans="1:85" ht="20.100000000000001" customHeight="1" x14ac:dyDescent="0.4">
      <c r="A694" s="117"/>
      <c r="B694" s="123"/>
      <c r="C694" s="123"/>
      <c r="D694" s="123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29"/>
      <c r="AE694" s="29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27"/>
      <c r="AU694" s="29"/>
      <c r="BE694" s="25"/>
      <c r="BF694" s="13"/>
      <c r="BK694" s="116"/>
      <c r="BL694" s="123"/>
      <c r="BM694" s="123"/>
      <c r="BN694" s="123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25"/>
      <c r="CD694" s="13"/>
      <c r="CG694" s="114"/>
    </row>
    <row r="695" spans="1:85" ht="20.100000000000001" customHeight="1" x14ac:dyDescent="0.4">
      <c r="A695" s="117"/>
      <c r="B695" s="123"/>
      <c r="C695" s="123"/>
      <c r="D695" s="123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27"/>
      <c r="AU695" s="29"/>
      <c r="BE695" s="25"/>
      <c r="BF695" s="13"/>
      <c r="BK695" s="116"/>
      <c r="BL695" s="123"/>
      <c r="BM695" s="123"/>
      <c r="BN695" s="123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25"/>
      <c r="CD695" s="13"/>
      <c r="CG695" s="114"/>
    </row>
    <row r="696" spans="1:85" ht="20.100000000000001" customHeight="1" x14ac:dyDescent="0.4">
      <c r="A696" s="117"/>
      <c r="B696" s="123"/>
      <c r="C696" s="123"/>
      <c r="D696" s="123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27"/>
      <c r="AU696" s="29"/>
      <c r="BE696" s="25"/>
      <c r="BF696" s="13"/>
      <c r="BK696" s="116"/>
      <c r="BL696" s="123"/>
      <c r="BM696" s="123"/>
      <c r="BN696" s="123"/>
      <c r="BS696" s="115"/>
      <c r="BT696" s="115"/>
      <c r="BU696" s="115"/>
      <c r="BV696" s="115"/>
      <c r="BW696" s="115"/>
      <c r="BX696" s="115"/>
      <c r="BY696" s="115"/>
      <c r="BZ696" s="115"/>
      <c r="CA696" s="115"/>
      <c r="CB696" s="115"/>
      <c r="CC696" s="25"/>
      <c r="CD696" s="13"/>
      <c r="CG696" s="114"/>
    </row>
    <row r="697" spans="1:85" ht="20.100000000000001" customHeight="1" x14ac:dyDescent="0.4">
      <c r="A697" s="117"/>
      <c r="B697" s="123"/>
      <c r="C697" s="123"/>
      <c r="D697" s="123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27"/>
      <c r="AU697" s="29"/>
      <c r="BE697" s="25"/>
      <c r="BF697" s="13"/>
      <c r="BK697" s="116"/>
      <c r="BL697" s="123"/>
      <c r="BM697" s="123"/>
      <c r="BN697" s="123"/>
      <c r="BS697" s="115"/>
      <c r="BT697" s="115"/>
      <c r="BU697" s="115"/>
      <c r="BV697" s="115"/>
      <c r="BW697" s="115"/>
      <c r="BX697" s="115"/>
      <c r="BY697" s="115"/>
      <c r="BZ697" s="115"/>
      <c r="CA697" s="115"/>
      <c r="CB697" s="115"/>
      <c r="CC697" s="25"/>
      <c r="CD697" s="13"/>
      <c r="CG697" s="114"/>
    </row>
    <row r="698" spans="1:85" ht="20.100000000000001" customHeight="1" x14ac:dyDescent="0.4">
      <c r="A698" s="117"/>
      <c r="B698" s="123"/>
      <c r="C698" s="123"/>
      <c r="D698" s="123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29"/>
      <c r="AU698" s="29"/>
      <c r="BE698" s="25"/>
      <c r="BF698" s="13"/>
      <c r="BK698" s="116"/>
      <c r="BL698" s="123"/>
      <c r="BM698" s="123"/>
      <c r="BN698" s="123"/>
      <c r="BS698" s="115"/>
      <c r="BT698" s="115"/>
      <c r="BU698" s="115"/>
      <c r="BV698" s="115"/>
      <c r="BW698" s="115"/>
      <c r="BX698" s="115"/>
      <c r="BY698" s="115"/>
      <c r="BZ698" s="115"/>
      <c r="CA698" s="115"/>
      <c r="CB698" s="115"/>
      <c r="CC698" s="25"/>
      <c r="CD698" s="13"/>
      <c r="CG698" s="114"/>
    </row>
    <row r="699" spans="1:85" ht="20.100000000000001" customHeight="1" x14ac:dyDescent="0.4">
      <c r="A699" s="117"/>
      <c r="B699" s="123"/>
      <c r="C699" s="123"/>
      <c r="D699" s="123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T699" s="127"/>
      <c r="AU699" s="29"/>
      <c r="BA699" s="115"/>
      <c r="BB699" s="115"/>
      <c r="BC699" s="115"/>
      <c r="BD699" s="115"/>
      <c r="BE699" s="25">
        <v>45669</v>
      </c>
      <c r="BF699" s="13" t="s">
        <v>147</v>
      </c>
      <c r="BK699" s="116"/>
      <c r="BL699" s="123"/>
      <c r="BM699" s="123"/>
      <c r="BN699" s="123"/>
      <c r="BS699" s="115"/>
      <c r="BT699" s="115"/>
      <c r="BU699" s="115"/>
      <c r="BV699" s="115"/>
      <c r="BW699" s="115"/>
      <c r="BX699" s="115"/>
      <c r="BY699" s="115"/>
      <c r="BZ699" s="115"/>
      <c r="CA699" s="115"/>
      <c r="CB699" s="115"/>
      <c r="CC699" s="25"/>
      <c r="CD699" s="13"/>
      <c r="CG699" s="114"/>
    </row>
    <row r="700" spans="1:85" ht="20.100000000000001" customHeight="1" x14ac:dyDescent="0.4">
      <c r="A700" s="117"/>
      <c r="B700" s="123"/>
      <c r="C700" s="123"/>
      <c r="D700" s="123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R700" s="115"/>
      <c r="AS700" s="115"/>
      <c r="AT700" s="29"/>
      <c r="AU700" s="29"/>
      <c r="BA700" s="115"/>
      <c r="BB700" s="115"/>
      <c r="BC700" s="115"/>
      <c r="BD700" s="115"/>
      <c r="BE700" s="25"/>
      <c r="BF700" s="13"/>
      <c r="BK700" s="116"/>
      <c r="BL700" s="123"/>
      <c r="BM700" s="123"/>
      <c r="BN700" s="123"/>
      <c r="BS700" s="115"/>
      <c r="BT700" s="115"/>
      <c r="BU700" s="115"/>
      <c r="BV700" s="115"/>
      <c r="BW700" s="115"/>
      <c r="BX700" s="115"/>
      <c r="BY700" s="115"/>
      <c r="BZ700" s="115"/>
      <c r="CA700" s="115"/>
      <c r="CB700" s="115"/>
      <c r="CC700" s="25"/>
      <c r="CD700" s="13"/>
      <c r="CG700" s="114"/>
    </row>
    <row r="701" spans="1:85" ht="20.100000000000001" customHeight="1" x14ac:dyDescent="0.4">
      <c r="A701" s="117"/>
      <c r="B701" s="123"/>
      <c r="C701" s="123"/>
      <c r="D701" s="123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27"/>
      <c r="AU701" s="29"/>
      <c r="BA701" s="115"/>
      <c r="BB701" s="115"/>
      <c r="BC701" s="115"/>
      <c r="BD701" s="115"/>
      <c r="BE701" s="25"/>
      <c r="BF701" s="13"/>
      <c r="BK701" s="116"/>
      <c r="BL701" s="123"/>
      <c r="BM701" s="123"/>
      <c r="BN701" s="123"/>
      <c r="BS701" s="115"/>
      <c r="BT701" s="115"/>
      <c r="BU701" s="115"/>
      <c r="BV701" s="115"/>
      <c r="BW701" s="115"/>
      <c r="BX701" s="115"/>
      <c r="BY701" s="115"/>
      <c r="BZ701" s="115"/>
      <c r="CA701" s="115"/>
      <c r="CB701" s="115"/>
      <c r="CC701" s="25"/>
      <c r="CD701" s="13"/>
      <c r="CG701" s="114"/>
    </row>
    <row r="702" spans="1:85" ht="20.100000000000001" customHeight="1" x14ac:dyDescent="0.4">
      <c r="A702" s="117"/>
      <c r="B702" s="123"/>
      <c r="C702" s="123"/>
      <c r="D702" s="123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T702" s="127"/>
      <c r="AU702" s="29"/>
      <c r="BA702" s="115"/>
      <c r="BB702" s="115"/>
      <c r="BC702" s="115"/>
      <c r="BD702" s="115"/>
      <c r="BE702" s="25"/>
      <c r="BF702" s="13"/>
      <c r="BK702" s="116"/>
      <c r="BL702" s="123"/>
      <c r="BM702" s="123"/>
      <c r="BN702" s="123"/>
      <c r="BS702" s="115"/>
      <c r="BT702" s="115"/>
      <c r="BU702" s="115"/>
      <c r="BV702" s="115"/>
      <c r="BW702" s="115"/>
      <c r="BX702" s="115"/>
      <c r="BY702" s="115"/>
      <c r="BZ702" s="115"/>
      <c r="CA702" s="115"/>
      <c r="CB702" s="115"/>
      <c r="CC702" s="25"/>
      <c r="CD702" s="13"/>
      <c r="CG702" s="114"/>
    </row>
    <row r="703" spans="1:85" ht="20.100000000000001" customHeight="1" x14ac:dyDescent="0.4">
      <c r="A703" s="117"/>
      <c r="B703" s="123"/>
      <c r="C703" s="123"/>
      <c r="D703" s="123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R703" s="115"/>
      <c r="AS703" s="115"/>
      <c r="AT703" s="29"/>
      <c r="AU703" s="29"/>
      <c r="BA703" s="115"/>
      <c r="BB703" s="115"/>
      <c r="BC703" s="115"/>
      <c r="BD703" s="115"/>
      <c r="BE703" s="25"/>
      <c r="BF703" s="13"/>
      <c r="BK703" s="116"/>
      <c r="BL703" s="123"/>
      <c r="BM703" s="123"/>
      <c r="BN703" s="123"/>
      <c r="BS703" s="115"/>
      <c r="BT703" s="115"/>
      <c r="BU703" s="115"/>
      <c r="BV703" s="115"/>
      <c r="BW703" s="115"/>
      <c r="BX703" s="115"/>
      <c r="BY703" s="115"/>
      <c r="BZ703" s="115"/>
      <c r="CA703" s="115"/>
      <c r="CB703" s="115"/>
      <c r="CC703" s="25"/>
      <c r="CD703" s="13"/>
      <c r="CG703" s="114"/>
    </row>
    <row r="704" spans="1:85" ht="20.100000000000001" customHeight="1" x14ac:dyDescent="0.4">
      <c r="A704" s="117"/>
      <c r="B704" s="123"/>
      <c r="C704" s="123"/>
      <c r="D704" s="123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27"/>
      <c r="AU704" s="29"/>
      <c r="BA704" s="115"/>
      <c r="BB704" s="115"/>
      <c r="BC704" s="115"/>
      <c r="BD704" s="115"/>
      <c r="BE704" s="25"/>
      <c r="BF704" s="13"/>
      <c r="BK704" s="116"/>
      <c r="BL704" s="123"/>
      <c r="BM704" s="123"/>
      <c r="BN704" s="123"/>
      <c r="BS704" s="115"/>
      <c r="BT704" s="115"/>
      <c r="BU704" s="115"/>
      <c r="BV704" s="115"/>
      <c r="BW704" s="115"/>
      <c r="BX704" s="115"/>
      <c r="BY704" s="115"/>
      <c r="BZ704" s="115"/>
      <c r="CA704" s="115"/>
      <c r="CB704" s="115"/>
      <c r="CC704" s="25"/>
      <c r="CD704" s="13"/>
      <c r="CG704" s="114"/>
    </row>
    <row r="705" spans="1:85" ht="20.100000000000001" customHeight="1" x14ac:dyDescent="0.4">
      <c r="A705" s="117"/>
      <c r="B705" s="123"/>
      <c r="C705" s="123"/>
      <c r="D705" s="123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27"/>
      <c r="AU705" s="29"/>
      <c r="BA705" s="115"/>
      <c r="BB705" s="115"/>
      <c r="BC705" s="115"/>
      <c r="BD705" s="115"/>
      <c r="BE705" s="25"/>
      <c r="BF705" s="13"/>
      <c r="BK705" s="116"/>
      <c r="BL705" s="123"/>
      <c r="BM705" s="123"/>
      <c r="BN705" s="123"/>
      <c r="BS705" s="115"/>
      <c r="BT705" s="115"/>
      <c r="BU705" s="115"/>
      <c r="BV705" s="115"/>
      <c r="BW705" s="115"/>
      <c r="BX705" s="115"/>
      <c r="BY705" s="115"/>
      <c r="BZ705" s="115"/>
      <c r="CA705" s="115"/>
      <c r="CB705" s="115"/>
      <c r="CC705" s="25"/>
      <c r="CD705" s="13"/>
      <c r="CG705" s="114"/>
    </row>
    <row r="706" spans="1:85" ht="20.100000000000001" customHeight="1" x14ac:dyDescent="0.4">
      <c r="A706" s="117"/>
      <c r="B706" s="123"/>
      <c r="C706" s="123"/>
      <c r="D706" s="123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27"/>
      <c r="AU706" s="29"/>
      <c r="BA706" s="115"/>
      <c r="BB706" s="115"/>
      <c r="BC706" s="115"/>
      <c r="BD706" s="115"/>
      <c r="BE706" s="25"/>
      <c r="BF706" s="13"/>
      <c r="BK706" s="116"/>
      <c r="BL706" s="123"/>
      <c r="BM706" s="123"/>
      <c r="BN706" s="123"/>
      <c r="BS706" s="115"/>
      <c r="BT706" s="115"/>
      <c r="BU706" s="115"/>
      <c r="BV706" s="115"/>
      <c r="BW706" s="115"/>
      <c r="BX706" s="115"/>
      <c r="BY706" s="115"/>
      <c r="BZ706" s="115"/>
      <c r="CA706" s="115"/>
      <c r="CB706" s="115"/>
      <c r="CC706" s="25"/>
      <c r="CD706" s="13"/>
      <c r="CG706" s="114"/>
    </row>
    <row r="707" spans="1:85" ht="20.100000000000001" customHeight="1" x14ac:dyDescent="0.4">
      <c r="A707" s="117"/>
      <c r="B707" s="123"/>
      <c r="C707" s="123"/>
      <c r="D707" s="123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27"/>
      <c r="AU707" s="29"/>
      <c r="BA707" s="115"/>
      <c r="BB707" s="115"/>
      <c r="BC707" s="115"/>
      <c r="BD707" s="115"/>
      <c r="BE707" s="25"/>
      <c r="BF707" s="13"/>
      <c r="BK707" s="116"/>
      <c r="BL707" s="123"/>
      <c r="BM707" s="123"/>
      <c r="BN707" s="123"/>
      <c r="BS707" s="115"/>
      <c r="BT707" s="115"/>
      <c r="BU707" s="115"/>
      <c r="BV707" s="115"/>
      <c r="BW707" s="115"/>
      <c r="BX707" s="115"/>
      <c r="BY707" s="115"/>
      <c r="BZ707" s="115"/>
      <c r="CA707" s="115"/>
      <c r="CB707" s="115"/>
      <c r="CC707" s="25"/>
      <c r="CD707" s="13"/>
      <c r="CG707" s="114"/>
    </row>
    <row r="708" spans="1:85" ht="20.100000000000001" customHeight="1" x14ac:dyDescent="0.4">
      <c r="A708" s="117"/>
      <c r="B708" s="123"/>
      <c r="C708" s="123"/>
      <c r="D708" s="123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27"/>
      <c r="AU708" s="29"/>
      <c r="BA708" s="115"/>
      <c r="BB708" s="115"/>
      <c r="BC708" s="115"/>
      <c r="BD708" s="115"/>
      <c r="BE708" s="25"/>
      <c r="BF708" s="13"/>
      <c r="BK708" s="116"/>
      <c r="BL708" s="123"/>
      <c r="BM708" s="123"/>
      <c r="BN708" s="123"/>
      <c r="BS708" s="115"/>
      <c r="BT708" s="115"/>
      <c r="BU708" s="115"/>
      <c r="BV708" s="115"/>
      <c r="BW708" s="115"/>
      <c r="BX708" s="115"/>
      <c r="BY708" s="115"/>
      <c r="BZ708" s="115"/>
      <c r="CA708" s="115"/>
      <c r="CB708" s="115"/>
      <c r="CC708" s="25"/>
      <c r="CD708" s="13"/>
      <c r="CG708" s="114"/>
    </row>
    <row r="709" spans="1:85" ht="20.100000000000001" customHeight="1" x14ac:dyDescent="0.4">
      <c r="A709" s="117"/>
      <c r="B709" s="123"/>
      <c r="C709" s="123"/>
      <c r="D709" s="123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29"/>
      <c r="AU709" s="29"/>
      <c r="BA709" s="115"/>
      <c r="BB709" s="115"/>
      <c r="BC709" s="115"/>
      <c r="BD709" s="115"/>
      <c r="BE709" s="25"/>
      <c r="BF709" s="13"/>
      <c r="BK709" s="116"/>
      <c r="BL709" s="123"/>
      <c r="BM709" s="123"/>
      <c r="BN709" s="123"/>
      <c r="BS709" s="115"/>
      <c r="BT709" s="115"/>
      <c r="BU709" s="115"/>
      <c r="BV709" s="115"/>
      <c r="BW709" s="115"/>
      <c r="BX709" s="115"/>
      <c r="BY709" s="115"/>
      <c r="BZ709" s="115"/>
      <c r="CA709" s="115"/>
      <c r="CB709" s="115"/>
      <c r="CC709" s="25"/>
      <c r="CD709" s="13"/>
      <c r="CG709" s="114"/>
    </row>
    <row r="710" spans="1:85" ht="20.100000000000001" customHeight="1" x14ac:dyDescent="0.4">
      <c r="A710" s="117"/>
      <c r="B710" s="123"/>
      <c r="C710" s="123"/>
      <c r="D710" s="123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27"/>
      <c r="AU710" s="29"/>
      <c r="BA710" s="115"/>
      <c r="BB710" s="115"/>
      <c r="BC710" s="115"/>
      <c r="BD710" s="115"/>
      <c r="BE710" s="25"/>
      <c r="BF710" s="13"/>
      <c r="BK710" s="116"/>
      <c r="BL710" s="123"/>
      <c r="BM710" s="123"/>
      <c r="BN710" s="123"/>
      <c r="BS710" s="115"/>
      <c r="BT710" s="115"/>
      <c r="BU710" s="115"/>
      <c r="BV710" s="115"/>
      <c r="BW710" s="115"/>
      <c r="BX710" s="115"/>
      <c r="BY710" s="115"/>
      <c r="BZ710" s="115"/>
      <c r="CA710" s="115"/>
      <c r="CB710" s="115"/>
      <c r="CC710" s="25"/>
      <c r="CD710" s="13"/>
      <c r="CG710" s="114"/>
    </row>
    <row r="711" spans="1:85" ht="20.100000000000001" customHeight="1" x14ac:dyDescent="0.4">
      <c r="A711" s="117"/>
      <c r="B711" s="123"/>
      <c r="C711" s="123"/>
      <c r="D711" s="123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27"/>
      <c r="AU711" s="29"/>
      <c r="BA711" s="115"/>
      <c r="BB711" s="115"/>
      <c r="BC711" s="115"/>
      <c r="BD711" s="115"/>
      <c r="BE711" s="25"/>
      <c r="BF711" s="13"/>
      <c r="BK711" s="116"/>
      <c r="BL711" s="123"/>
      <c r="BM711" s="123"/>
      <c r="BN711" s="123"/>
      <c r="BS711" s="115"/>
      <c r="BT711" s="115"/>
      <c r="BU711" s="115"/>
      <c r="BV711" s="115"/>
      <c r="BW711" s="115"/>
      <c r="BX711" s="115"/>
      <c r="BY711" s="115"/>
      <c r="BZ711" s="115"/>
      <c r="CA711" s="115"/>
      <c r="CB711" s="115"/>
      <c r="CC711" s="25"/>
      <c r="CD711" s="13"/>
      <c r="CG711" s="114"/>
    </row>
    <row r="712" spans="1:85" ht="20.100000000000001" customHeight="1" x14ac:dyDescent="0.4">
      <c r="A712" s="117"/>
      <c r="B712" s="123"/>
      <c r="C712" s="123"/>
      <c r="D712" s="123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27"/>
      <c r="AU712" s="29"/>
      <c r="BA712" s="115"/>
      <c r="BB712" s="115"/>
      <c r="BC712" s="115"/>
      <c r="BD712" s="115"/>
      <c r="BE712" s="25"/>
      <c r="BF712" s="13"/>
      <c r="BK712" s="116"/>
      <c r="BL712" s="123"/>
      <c r="BM712" s="123"/>
      <c r="BN712" s="123"/>
      <c r="BS712" s="115"/>
      <c r="BT712" s="115"/>
      <c r="BU712" s="115"/>
      <c r="BV712" s="115"/>
      <c r="BW712" s="115"/>
      <c r="BX712" s="115"/>
      <c r="BY712" s="115"/>
      <c r="BZ712" s="115"/>
      <c r="CA712" s="115"/>
      <c r="CB712" s="115"/>
      <c r="CC712" s="25"/>
      <c r="CD712" s="13"/>
      <c r="CG712" s="114"/>
    </row>
    <row r="713" spans="1:85" ht="20.100000000000001" customHeight="1" x14ac:dyDescent="0.4">
      <c r="A713" s="117"/>
      <c r="B713" s="123"/>
      <c r="C713" s="123"/>
      <c r="D713" s="123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27"/>
      <c r="AU713" s="29"/>
      <c r="BA713" s="115"/>
      <c r="BB713" s="115"/>
      <c r="BC713" s="115"/>
      <c r="BD713" s="115"/>
      <c r="BE713" s="25"/>
      <c r="BF713" s="13"/>
      <c r="BK713" s="116"/>
      <c r="BL713" s="123"/>
      <c r="BM713" s="123"/>
      <c r="BN713" s="123"/>
      <c r="BS713" s="115"/>
      <c r="BT713" s="115"/>
      <c r="BU713" s="115"/>
      <c r="BV713" s="115"/>
      <c r="BW713" s="115"/>
      <c r="BX713" s="115"/>
      <c r="BY713" s="115"/>
      <c r="BZ713" s="115"/>
      <c r="CA713" s="115"/>
      <c r="CB713" s="115"/>
      <c r="CC713" s="25"/>
      <c r="CD713" s="13"/>
      <c r="CG713" s="114"/>
    </row>
    <row r="714" spans="1:85" ht="20.100000000000001" customHeight="1" x14ac:dyDescent="0.4">
      <c r="A714" s="117"/>
      <c r="B714" s="123"/>
      <c r="C714" s="123"/>
      <c r="D714" s="123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27"/>
      <c r="AU714" s="29"/>
      <c r="BA714" s="115"/>
      <c r="BB714" s="115"/>
      <c r="BC714" s="115"/>
      <c r="BD714" s="115"/>
      <c r="BE714" s="25"/>
      <c r="BF714" s="13"/>
      <c r="BK714" s="116"/>
      <c r="BL714" s="123"/>
      <c r="BM714" s="123"/>
      <c r="BN714" s="123"/>
      <c r="BS714" s="115"/>
      <c r="BT714" s="115"/>
      <c r="BU714" s="115"/>
      <c r="BV714" s="115"/>
      <c r="BW714" s="115"/>
      <c r="BX714" s="115"/>
      <c r="BY714" s="115"/>
      <c r="BZ714" s="115"/>
      <c r="CA714" s="115"/>
      <c r="CB714" s="115"/>
      <c r="CC714" s="25"/>
      <c r="CD714" s="13"/>
      <c r="CG714" s="114"/>
    </row>
    <row r="715" spans="1:85" ht="20.100000000000001" customHeight="1" x14ac:dyDescent="0.4">
      <c r="A715" s="117"/>
      <c r="B715" s="123"/>
      <c r="C715" s="123"/>
      <c r="D715" s="123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27"/>
      <c r="AU715" s="29"/>
      <c r="BA715" s="115"/>
      <c r="BB715" s="115"/>
      <c r="BC715" s="115"/>
      <c r="BD715" s="115"/>
      <c r="BE715" s="25"/>
      <c r="BF715" s="13"/>
      <c r="BK715" s="116"/>
      <c r="BL715" s="123"/>
      <c r="BM715" s="123"/>
      <c r="BN715" s="123"/>
      <c r="BS715" s="115"/>
      <c r="BT715" s="115"/>
      <c r="BU715" s="115"/>
      <c r="BV715" s="115"/>
      <c r="BW715" s="115"/>
      <c r="BX715" s="115"/>
      <c r="BY715" s="115"/>
      <c r="BZ715" s="115"/>
      <c r="CA715" s="115"/>
      <c r="CB715" s="115"/>
      <c r="CC715" s="25"/>
      <c r="CD715" s="13"/>
      <c r="CG715" s="114"/>
    </row>
    <row r="716" spans="1:85" ht="20.100000000000001" customHeight="1" x14ac:dyDescent="0.4">
      <c r="A716" s="117"/>
      <c r="B716" s="123"/>
      <c r="C716" s="123"/>
      <c r="D716" s="123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27"/>
      <c r="AU716" s="29"/>
      <c r="BA716" s="115"/>
      <c r="BB716" s="115"/>
      <c r="BC716" s="115"/>
      <c r="BD716" s="115"/>
      <c r="BE716" s="25"/>
      <c r="BF716" s="13"/>
      <c r="BK716" s="116"/>
      <c r="BL716" s="123"/>
      <c r="BM716" s="123"/>
      <c r="BN716" s="123"/>
      <c r="BS716" s="115"/>
      <c r="BT716" s="115"/>
      <c r="BU716" s="115"/>
      <c r="BV716" s="115"/>
      <c r="BW716" s="115"/>
      <c r="BX716" s="115"/>
      <c r="BY716" s="115"/>
      <c r="BZ716" s="115"/>
      <c r="CA716" s="115"/>
      <c r="CB716" s="115"/>
      <c r="CC716" s="25"/>
      <c r="CD716" s="13"/>
      <c r="CG716" s="114"/>
    </row>
    <row r="717" spans="1:85" ht="20.100000000000001" customHeight="1" x14ac:dyDescent="0.4">
      <c r="A717" s="117"/>
      <c r="B717" s="123"/>
      <c r="C717" s="123"/>
      <c r="D717" s="123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27"/>
      <c r="AU717" s="29"/>
      <c r="BA717" s="115"/>
      <c r="BB717" s="115"/>
      <c r="BC717" s="115"/>
      <c r="BD717" s="115"/>
      <c r="BE717" s="25"/>
      <c r="BF717" s="13"/>
      <c r="BK717" s="116"/>
      <c r="BL717" s="123"/>
      <c r="BM717" s="123"/>
      <c r="BN717" s="123"/>
      <c r="BS717" s="115"/>
      <c r="BT717" s="115"/>
      <c r="BU717" s="115"/>
      <c r="BV717" s="115"/>
      <c r="BW717" s="115"/>
      <c r="BX717" s="115"/>
      <c r="BY717" s="115"/>
      <c r="BZ717" s="115"/>
      <c r="CA717" s="115"/>
      <c r="CB717" s="115"/>
      <c r="CC717" s="25"/>
      <c r="CD717" s="13"/>
      <c r="CG717" s="114"/>
    </row>
    <row r="718" spans="1:85" ht="20.100000000000001" customHeight="1" x14ac:dyDescent="0.4">
      <c r="A718" s="117"/>
      <c r="B718" s="123"/>
      <c r="C718" s="123"/>
      <c r="D718" s="123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27"/>
      <c r="AU718" s="29"/>
      <c r="BA718" s="115"/>
      <c r="BB718" s="115"/>
      <c r="BC718" s="115"/>
      <c r="BD718" s="115"/>
      <c r="BE718" s="25"/>
      <c r="BF718" s="13"/>
      <c r="BK718" s="116"/>
      <c r="BL718" s="123"/>
      <c r="BM718" s="123"/>
      <c r="BN718" s="123"/>
      <c r="BS718" s="115"/>
      <c r="BT718" s="115"/>
      <c r="BU718" s="115"/>
      <c r="BV718" s="115"/>
      <c r="BW718" s="115"/>
      <c r="BX718" s="115"/>
      <c r="BY718" s="115"/>
      <c r="BZ718" s="115"/>
      <c r="CA718" s="115"/>
      <c r="CB718" s="115"/>
      <c r="CC718" s="25"/>
      <c r="CD718" s="13"/>
      <c r="CG718" s="114"/>
    </row>
    <row r="719" spans="1:85" ht="20.100000000000001" customHeight="1" x14ac:dyDescent="0.4">
      <c r="A719" s="117"/>
      <c r="B719" s="123"/>
      <c r="C719" s="123"/>
      <c r="D719" s="123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27"/>
      <c r="AU719" s="29"/>
      <c r="BA719" s="115"/>
      <c r="BB719" s="115"/>
      <c r="BC719" s="115"/>
      <c r="BD719" s="115"/>
      <c r="BE719" s="25"/>
      <c r="BF719" s="13"/>
      <c r="BK719" s="116"/>
      <c r="BL719" s="123"/>
      <c r="BM719" s="123"/>
      <c r="BN719" s="123"/>
      <c r="BS719" s="115"/>
      <c r="BT719" s="115"/>
      <c r="BU719" s="115"/>
      <c r="BV719" s="115"/>
      <c r="BW719" s="115"/>
      <c r="BX719" s="115"/>
      <c r="BY719" s="115"/>
      <c r="BZ719" s="115"/>
      <c r="CA719" s="115"/>
      <c r="CB719" s="115"/>
      <c r="CC719" s="25"/>
      <c r="CD719" s="13"/>
      <c r="CG719" s="114"/>
    </row>
    <row r="720" spans="1:85" ht="20.100000000000001" customHeight="1" x14ac:dyDescent="0.4">
      <c r="A720" s="117"/>
      <c r="B720" s="123"/>
      <c r="C720" s="123"/>
      <c r="D720" s="123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27"/>
      <c r="AU720" s="29"/>
      <c r="BA720" s="115"/>
      <c r="BB720" s="115"/>
      <c r="BC720" s="115"/>
      <c r="BD720" s="115"/>
      <c r="BE720" s="25"/>
      <c r="BF720" s="13"/>
      <c r="BK720" s="116"/>
      <c r="BL720" s="123"/>
      <c r="BM720" s="123"/>
      <c r="BN720" s="123"/>
      <c r="BS720" s="115"/>
      <c r="BT720" s="115"/>
      <c r="BU720" s="115"/>
      <c r="BV720" s="115"/>
      <c r="BW720" s="115"/>
      <c r="BX720" s="115"/>
      <c r="BY720" s="115"/>
      <c r="BZ720" s="115"/>
      <c r="CA720" s="115"/>
      <c r="CB720" s="115"/>
      <c r="CC720" s="25"/>
      <c r="CD720" s="13"/>
      <c r="CG720" s="114"/>
    </row>
    <row r="721" spans="1:85" ht="20.100000000000001" customHeight="1" x14ac:dyDescent="0.4">
      <c r="A721" s="117"/>
      <c r="B721" s="123"/>
      <c r="C721" s="123"/>
      <c r="D721" s="123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29"/>
      <c r="AU721" s="29"/>
      <c r="BA721" s="115"/>
      <c r="BB721" s="115"/>
      <c r="BC721" s="115"/>
      <c r="BD721" s="115"/>
      <c r="BE721" s="25"/>
      <c r="BF721" s="13"/>
      <c r="BK721" s="116"/>
      <c r="BL721" s="123"/>
      <c r="BM721" s="123"/>
      <c r="BN721" s="123"/>
      <c r="BS721" s="115"/>
      <c r="BT721" s="115"/>
      <c r="BU721" s="115"/>
      <c r="BV721" s="115"/>
      <c r="BW721" s="115"/>
      <c r="BX721" s="115"/>
      <c r="BY721" s="115"/>
      <c r="BZ721" s="115"/>
      <c r="CA721" s="115"/>
      <c r="CB721" s="115"/>
      <c r="CC721" s="25"/>
      <c r="CD721" s="13"/>
      <c r="CG721" s="114"/>
    </row>
    <row r="722" spans="1:85" ht="20.100000000000001" customHeight="1" x14ac:dyDescent="0.4">
      <c r="A722" s="117"/>
      <c r="B722" s="123"/>
      <c r="C722" s="123"/>
      <c r="D722" s="123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27"/>
      <c r="AU722" s="29"/>
      <c r="BA722" s="115"/>
      <c r="BB722" s="115"/>
      <c r="BC722" s="115"/>
      <c r="BD722" s="115"/>
      <c r="BE722" s="25"/>
      <c r="BF722" s="13"/>
      <c r="BK722" s="116"/>
      <c r="BL722" s="123"/>
      <c r="BM722" s="123"/>
      <c r="BN722" s="123"/>
      <c r="BS722" s="115"/>
      <c r="BT722" s="115"/>
      <c r="BU722" s="115"/>
      <c r="BV722" s="115"/>
      <c r="BW722" s="115"/>
      <c r="BX722" s="115"/>
      <c r="BY722" s="115"/>
      <c r="BZ722" s="115"/>
      <c r="CA722" s="115"/>
      <c r="CB722" s="115"/>
      <c r="CC722" s="25"/>
      <c r="CD722" s="13"/>
      <c r="CG722" s="114"/>
    </row>
    <row r="723" spans="1:85" ht="20.100000000000001" customHeight="1" x14ac:dyDescent="0.4">
      <c r="A723" s="117"/>
      <c r="B723" s="123"/>
      <c r="C723" s="123"/>
      <c r="D723" s="123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27"/>
      <c r="AU723" s="29"/>
      <c r="BA723" s="115"/>
      <c r="BB723" s="115"/>
      <c r="BC723" s="115"/>
      <c r="BD723" s="115"/>
      <c r="BE723" s="25"/>
      <c r="BF723" s="13"/>
      <c r="BK723" s="116"/>
      <c r="BL723" s="123"/>
      <c r="BM723" s="123"/>
      <c r="BN723" s="123"/>
      <c r="BS723" s="115"/>
      <c r="BT723" s="115"/>
      <c r="BU723" s="115"/>
      <c r="BV723" s="115"/>
      <c r="BW723" s="115"/>
      <c r="BX723" s="115"/>
      <c r="BY723" s="115"/>
      <c r="BZ723" s="115"/>
      <c r="CA723" s="115"/>
      <c r="CB723" s="115"/>
      <c r="CC723" s="25"/>
      <c r="CD723" s="13"/>
      <c r="CG723" s="114"/>
    </row>
    <row r="724" spans="1:85" ht="20.100000000000001" customHeight="1" x14ac:dyDescent="0.4">
      <c r="A724" s="117"/>
      <c r="B724" s="123"/>
      <c r="C724" s="123"/>
      <c r="D724" s="123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29"/>
      <c r="AU724" s="29"/>
      <c r="BA724" s="115"/>
      <c r="BB724" s="115"/>
      <c r="BC724" s="115"/>
      <c r="BD724" s="115"/>
      <c r="BE724" s="25"/>
      <c r="BF724" s="13"/>
      <c r="BK724" s="116"/>
      <c r="BL724" s="123"/>
      <c r="BM724" s="123"/>
      <c r="BN724" s="123"/>
      <c r="BS724" s="115"/>
      <c r="BT724" s="115"/>
      <c r="BU724" s="115"/>
      <c r="BV724" s="115"/>
      <c r="BW724" s="115"/>
      <c r="BX724" s="115"/>
      <c r="BY724" s="115"/>
      <c r="BZ724" s="115"/>
      <c r="CA724" s="115"/>
      <c r="CB724" s="115"/>
      <c r="CC724" s="25"/>
      <c r="CD724" s="13"/>
      <c r="CG724" s="114"/>
    </row>
    <row r="725" spans="1:85" ht="20.100000000000001" customHeight="1" x14ac:dyDescent="0.4">
      <c r="A725" s="117"/>
      <c r="B725" s="123"/>
      <c r="C725" s="123"/>
      <c r="D725" s="123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27"/>
      <c r="AU725" s="29"/>
      <c r="BA725" s="115"/>
      <c r="BB725" s="115"/>
      <c r="BC725" s="115"/>
      <c r="BD725" s="115"/>
      <c r="BE725" s="25"/>
      <c r="BF725" s="13"/>
      <c r="BK725" s="116"/>
      <c r="BL725" s="123"/>
      <c r="BM725" s="123"/>
      <c r="BN725" s="123"/>
      <c r="BS725" s="115"/>
      <c r="BT725" s="115"/>
      <c r="BU725" s="115"/>
      <c r="BV725" s="115"/>
      <c r="BW725" s="115"/>
      <c r="BX725" s="115"/>
      <c r="BY725" s="115"/>
      <c r="BZ725" s="115"/>
      <c r="CA725" s="115"/>
      <c r="CB725" s="115"/>
      <c r="CC725" s="25"/>
      <c r="CD725" s="13"/>
      <c r="CG725" s="114"/>
    </row>
    <row r="726" spans="1:85" ht="20.100000000000001" customHeight="1" x14ac:dyDescent="0.4">
      <c r="A726" s="117"/>
      <c r="B726" s="123"/>
      <c r="C726" s="123"/>
      <c r="D726" s="123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27"/>
      <c r="AU726" s="29"/>
      <c r="BA726" s="115"/>
      <c r="BB726" s="115"/>
      <c r="BC726" s="115"/>
      <c r="BD726" s="115"/>
      <c r="BE726" s="25"/>
      <c r="BF726" s="13"/>
      <c r="BK726" s="116"/>
      <c r="BL726" s="123"/>
      <c r="BM726" s="123"/>
      <c r="BN726" s="123"/>
      <c r="BS726" s="115"/>
      <c r="BT726" s="115"/>
      <c r="BU726" s="115"/>
      <c r="BV726" s="115"/>
      <c r="BW726" s="115"/>
      <c r="BX726" s="115"/>
      <c r="BY726" s="115"/>
      <c r="BZ726" s="115"/>
      <c r="CA726" s="115"/>
      <c r="CB726" s="115"/>
      <c r="CC726" s="25"/>
      <c r="CD726" s="13"/>
      <c r="CG726" s="114"/>
    </row>
    <row r="727" spans="1:85" ht="20.100000000000001" customHeight="1" x14ac:dyDescent="0.4">
      <c r="A727" s="117"/>
      <c r="B727" s="123"/>
      <c r="C727" s="123"/>
      <c r="D727" s="123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T727" s="127"/>
      <c r="AU727" s="29"/>
      <c r="BA727" s="115"/>
      <c r="BB727" s="115"/>
      <c r="BC727" s="115"/>
      <c r="BD727" s="115"/>
      <c r="BE727" s="25">
        <v>45671</v>
      </c>
      <c r="BF727" s="13" t="s">
        <v>146</v>
      </c>
      <c r="BK727" s="116"/>
      <c r="BL727" s="123"/>
      <c r="BM727" s="123"/>
      <c r="BN727" s="123"/>
      <c r="BS727" s="115"/>
      <c r="BT727" s="115"/>
      <c r="BU727" s="115"/>
      <c r="BV727" s="115"/>
      <c r="BW727" s="115"/>
      <c r="BX727" s="115"/>
      <c r="BY727" s="115"/>
      <c r="BZ727" s="115"/>
      <c r="CA727" s="115"/>
      <c r="CB727" s="115"/>
      <c r="CC727" s="25"/>
      <c r="CD727" s="13"/>
      <c r="CG727" s="114"/>
    </row>
    <row r="728" spans="1:85" ht="20.100000000000001" customHeight="1" x14ac:dyDescent="0.4">
      <c r="A728" s="117"/>
      <c r="B728" s="123"/>
      <c r="C728" s="123"/>
      <c r="D728" s="123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27"/>
      <c r="AU728" s="29"/>
      <c r="BA728" s="115"/>
      <c r="BB728" s="115"/>
      <c r="BC728" s="115"/>
      <c r="BD728" s="115"/>
      <c r="BE728" s="25"/>
      <c r="BF728" s="13"/>
      <c r="BK728" s="116"/>
      <c r="BL728" s="123"/>
      <c r="BM728" s="123"/>
      <c r="BN728" s="123"/>
      <c r="BS728" s="115"/>
      <c r="BT728" s="115"/>
      <c r="BU728" s="115"/>
      <c r="BV728" s="115"/>
      <c r="BW728" s="115"/>
      <c r="BX728" s="115"/>
      <c r="BY728" s="115"/>
      <c r="BZ728" s="115"/>
      <c r="CA728" s="115"/>
      <c r="CB728" s="115"/>
      <c r="CC728" s="25"/>
      <c r="CD728" s="13"/>
      <c r="CG728" s="114"/>
    </row>
    <row r="729" spans="1:85" ht="20.100000000000001" customHeight="1" x14ac:dyDescent="0.4">
      <c r="A729" s="117"/>
      <c r="B729" s="123"/>
      <c r="C729" s="123"/>
      <c r="D729" s="123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29"/>
      <c r="AU729" s="29"/>
      <c r="BA729" s="115"/>
      <c r="BB729" s="115"/>
      <c r="BC729" s="115"/>
      <c r="BD729" s="115"/>
      <c r="BE729" s="25"/>
      <c r="BF729" s="13"/>
      <c r="BK729" s="116"/>
      <c r="BL729" s="123"/>
      <c r="BM729" s="123"/>
      <c r="BN729" s="123"/>
      <c r="BS729" s="115"/>
      <c r="BT729" s="115"/>
      <c r="BU729" s="115"/>
      <c r="BV729" s="115"/>
      <c r="BW729" s="115"/>
      <c r="BX729" s="115"/>
      <c r="BY729" s="115"/>
      <c r="BZ729" s="115"/>
      <c r="CA729" s="115"/>
      <c r="CB729" s="115"/>
      <c r="CC729" s="25"/>
      <c r="CD729" s="13"/>
      <c r="CG729" s="114"/>
    </row>
    <row r="730" spans="1:85" ht="20.100000000000001" customHeight="1" x14ac:dyDescent="0.4">
      <c r="A730" s="117"/>
      <c r="B730" s="123"/>
      <c r="C730" s="123"/>
      <c r="D730" s="123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27"/>
      <c r="AU730" s="29"/>
      <c r="BA730" s="115"/>
      <c r="BB730" s="115"/>
      <c r="BC730" s="115"/>
      <c r="BD730" s="115"/>
      <c r="BE730" s="25"/>
      <c r="BF730" s="13"/>
      <c r="BK730" s="116"/>
      <c r="BL730" s="123"/>
      <c r="BM730" s="123"/>
      <c r="BN730" s="123"/>
      <c r="BS730" s="115"/>
      <c r="BT730" s="115"/>
      <c r="BU730" s="115"/>
      <c r="BV730" s="115"/>
      <c r="BW730" s="115"/>
      <c r="BX730" s="115"/>
      <c r="BY730" s="115"/>
      <c r="BZ730" s="115"/>
      <c r="CA730" s="115"/>
      <c r="CB730" s="115"/>
      <c r="CC730" s="25"/>
      <c r="CD730" s="13"/>
      <c r="CG730" s="114"/>
    </row>
    <row r="731" spans="1:85" ht="20.100000000000001" customHeight="1" x14ac:dyDescent="0.4">
      <c r="A731" s="117"/>
      <c r="B731" s="123"/>
      <c r="C731" s="123"/>
      <c r="D731" s="123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29"/>
      <c r="AU731" s="29"/>
      <c r="BA731" s="115"/>
      <c r="BB731" s="115"/>
      <c r="BC731" s="115"/>
      <c r="BD731" s="115"/>
      <c r="BE731" s="25"/>
      <c r="BF731" s="13"/>
      <c r="BK731" s="116"/>
      <c r="BL731" s="123"/>
      <c r="BM731" s="123"/>
      <c r="BN731" s="123"/>
      <c r="BS731" s="115"/>
      <c r="BT731" s="115"/>
      <c r="BU731" s="115"/>
      <c r="BV731" s="115"/>
      <c r="BW731" s="115"/>
      <c r="BX731" s="115"/>
      <c r="BY731" s="115"/>
      <c r="BZ731" s="115"/>
      <c r="CA731" s="115"/>
      <c r="CB731" s="115"/>
      <c r="CC731" s="25"/>
      <c r="CD731" s="13"/>
      <c r="CG731" s="114"/>
    </row>
    <row r="732" spans="1:85" ht="20.100000000000001" customHeight="1" x14ac:dyDescent="0.4">
      <c r="A732" s="117"/>
      <c r="B732" s="123"/>
      <c r="C732" s="123"/>
      <c r="D732" s="123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T732" s="127"/>
      <c r="AU732" s="29"/>
      <c r="AY732" s="115"/>
      <c r="AZ732" s="115"/>
      <c r="BA732" s="115"/>
      <c r="BB732" s="115"/>
      <c r="BC732" s="115"/>
      <c r="BD732" s="115"/>
      <c r="BE732" s="25">
        <v>45671</v>
      </c>
      <c r="BF732" s="13" t="s">
        <v>148</v>
      </c>
      <c r="BK732" s="116"/>
      <c r="BL732" s="123"/>
      <c r="BM732" s="123"/>
      <c r="BN732" s="123"/>
      <c r="BS732" s="115"/>
      <c r="BT732" s="115"/>
      <c r="BU732" s="115"/>
      <c r="BV732" s="115"/>
      <c r="BW732" s="115"/>
      <c r="BX732" s="115"/>
      <c r="BY732" s="115"/>
      <c r="BZ732" s="115"/>
      <c r="CA732" s="115"/>
      <c r="CB732" s="115"/>
      <c r="CC732" s="25"/>
      <c r="CD732" s="13"/>
      <c r="CG732" s="114"/>
    </row>
    <row r="733" spans="1:85" ht="20.100000000000001" customHeight="1" x14ac:dyDescent="0.4">
      <c r="A733" s="117"/>
      <c r="B733" s="123"/>
      <c r="C733" s="123"/>
      <c r="D733" s="123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R733" s="115"/>
      <c r="AS733" s="115"/>
      <c r="AT733" s="29"/>
      <c r="AU733" s="29"/>
      <c r="AY733" s="115"/>
      <c r="AZ733" s="115"/>
      <c r="BA733" s="115"/>
      <c r="BB733" s="115"/>
      <c r="BC733" s="115"/>
      <c r="BD733" s="115"/>
      <c r="BE733" s="25"/>
      <c r="BF733" s="13"/>
      <c r="BK733" s="116"/>
      <c r="BL733" s="123"/>
      <c r="BM733" s="123"/>
      <c r="BN733" s="123"/>
      <c r="BS733" s="115"/>
      <c r="BT733" s="115"/>
      <c r="BU733" s="115"/>
      <c r="BV733" s="115"/>
      <c r="BW733" s="115"/>
      <c r="BX733" s="115"/>
      <c r="BY733" s="115"/>
      <c r="BZ733" s="115"/>
      <c r="CA733" s="115"/>
      <c r="CB733" s="115"/>
      <c r="CC733" s="25"/>
      <c r="CD733" s="13"/>
      <c r="CG733" s="114"/>
    </row>
    <row r="734" spans="1:85" ht="20.100000000000001" customHeight="1" x14ac:dyDescent="0.4">
      <c r="A734" s="117"/>
      <c r="B734" s="123"/>
      <c r="C734" s="123"/>
      <c r="D734" s="123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N734" s="115"/>
      <c r="AO734" s="115"/>
      <c r="AP734" s="115"/>
      <c r="AQ734" s="115"/>
      <c r="AR734" s="115"/>
      <c r="AS734" s="115"/>
      <c r="AT734" s="127"/>
      <c r="AU734" s="29"/>
      <c r="AY734" s="115"/>
      <c r="AZ734" s="115"/>
      <c r="BA734" s="115"/>
      <c r="BB734" s="115"/>
      <c r="BC734" s="115"/>
      <c r="BD734" s="115"/>
      <c r="BE734" s="25"/>
      <c r="BF734" s="13"/>
      <c r="BK734" s="116"/>
      <c r="BL734" s="123"/>
      <c r="BM734" s="123"/>
      <c r="BN734" s="123"/>
      <c r="BS734" s="115"/>
      <c r="BT734" s="115"/>
      <c r="BU734" s="115"/>
      <c r="BV734" s="115"/>
      <c r="BW734" s="115"/>
      <c r="BX734" s="115"/>
      <c r="BY734" s="115"/>
      <c r="BZ734" s="115"/>
      <c r="CA734" s="115"/>
      <c r="CB734" s="115"/>
      <c r="CC734" s="25"/>
      <c r="CD734" s="13"/>
      <c r="CG734" s="114"/>
    </row>
    <row r="735" spans="1:85" ht="20.100000000000001" customHeight="1" x14ac:dyDescent="0.4">
      <c r="A735" s="117"/>
      <c r="B735" s="123"/>
      <c r="C735" s="123"/>
      <c r="D735" s="123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N735" s="115"/>
      <c r="AO735" s="115"/>
      <c r="AP735" s="115"/>
      <c r="AQ735" s="115"/>
      <c r="AR735" s="115"/>
      <c r="AS735" s="115"/>
      <c r="AT735" s="29"/>
      <c r="AU735" s="29"/>
      <c r="AY735" s="115"/>
      <c r="AZ735" s="115"/>
      <c r="BA735" s="115"/>
      <c r="BB735" s="115"/>
      <c r="BC735" s="115"/>
      <c r="BD735" s="115"/>
      <c r="BE735" s="25"/>
      <c r="BF735" s="13"/>
      <c r="BK735" s="116"/>
      <c r="BL735" s="123"/>
      <c r="BM735" s="123"/>
      <c r="BN735" s="123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115"/>
      <c r="CC735" s="25"/>
      <c r="CD735" s="13"/>
      <c r="CG735" s="114"/>
    </row>
    <row r="736" spans="1:85" ht="20.100000000000001" customHeight="1" x14ac:dyDescent="0.4">
      <c r="A736" s="117"/>
      <c r="B736" s="123"/>
      <c r="C736" s="123"/>
      <c r="D736" s="123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N736" s="115"/>
      <c r="AO736" s="115"/>
      <c r="AP736" s="115"/>
      <c r="AQ736" s="115"/>
      <c r="AR736" s="115"/>
      <c r="AS736" s="115"/>
      <c r="AT736" s="29"/>
      <c r="AU736" s="29"/>
      <c r="AY736" s="115"/>
      <c r="AZ736" s="115"/>
      <c r="BA736" s="115"/>
      <c r="BB736" s="115"/>
      <c r="BC736" s="115"/>
      <c r="BD736" s="115"/>
      <c r="BE736" s="25"/>
      <c r="BF736" s="13"/>
      <c r="BK736" s="116"/>
      <c r="BL736" s="123"/>
      <c r="BM736" s="123"/>
      <c r="BN736" s="123"/>
      <c r="BS736" s="115"/>
      <c r="BT736" s="115"/>
      <c r="BU736" s="115"/>
      <c r="BV736" s="115"/>
      <c r="BW736" s="115"/>
      <c r="BX736" s="115"/>
      <c r="BY736" s="115"/>
      <c r="BZ736" s="115"/>
      <c r="CA736" s="115"/>
      <c r="CB736" s="115"/>
      <c r="CC736" s="25"/>
      <c r="CD736" s="13"/>
      <c r="CG736" s="114"/>
    </row>
    <row r="737" spans="1:85" ht="20.100000000000001" customHeight="1" x14ac:dyDescent="0.4">
      <c r="A737" s="117"/>
      <c r="B737" s="123"/>
      <c r="C737" s="123"/>
      <c r="D737" s="123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M737" s="115"/>
      <c r="AN737" s="115"/>
      <c r="AO737" s="115"/>
      <c r="AP737" s="115"/>
      <c r="AQ737" s="115"/>
      <c r="AR737" s="115"/>
      <c r="AS737" s="115"/>
      <c r="AT737" s="127"/>
      <c r="AU737" s="29"/>
      <c r="AY737" s="115"/>
      <c r="AZ737" s="115"/>
      <c r="BA737" s="115"/>
      <c r="BB737" s="115"/>
      <c r="BC737" s="115"/>
      <c r="BD737" s="115"/>
      <c r="BE737" s="25"/>
      <c r="BF737" s="13"/>
      <c r="BK737" s="116"/>
      <c r="BL737" s="123"/>
      <c r="BM737" s="123"/>
      <c r="BN737" s="123"/>
      <c r="BS737" s="115"/>
      <c r="BT737" s="115"/>
      <c r="BU737" s="115"/>
      <c r="BV737" s="115"/>
      <c r="BW737" s="115"/>
      <c r="BX737" s="115"/>
      <c r="BY737" s="115"/>
      <c r="BZ737" s="115"/>
      <c r="CA737" s="115"/>
      <c r="CB737" s="115"/>
      <c r="CC737" s="25"/>
      <c r="CD737" s="13"/>
      <c r="CG737" s="114"/>
    </row>
    <row r="738" spans="1:85" ht="20.100000000000001" customHeight="1" x14ac:dyDescent="0.4">
      <c r="A738" s="117"/>
      <c r="B738" s="123"/>
      <c r="C738" s="123"/>
      <c r="D738" s="123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M738" s="115"/>
      <c r="AN738" s="115"/>
      <c r="AO738" s="115"/>
      <c r="AP738" s="115"/>
      <c r="AQ738" s="115"/>
      <c r="AR738" s="115"/>
      <c r="AS738" s="115"/>
      <c r="AT738" s="127"/>
      <c r="AU738" s="29"/>
      <c r="AY738" s="115"/>
      <c r="AZ738" s="115"/>
      <c r="BA738" s="115"/>
      <c r="BB738" s="115"/>
      <c r="BC738" s="115"/>
      <c r="BD738" s="115"/>
      <c r="BE738" s="25"/>
      <c r="BF738" s="13"/>
      <c r="BK738" s="116"/>
      <c r="BL738" s="123"/>
      <c r="BM738" s="123"/>
      <c r="BN738" s="123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115"/>
      <c r="CC738" s="25"/>
      <c r="CD738" s="13"/>
      <c r="CG738" s="114"/>
    </row>
    <row r="739" spans="1:85" ht="20.100000000000001" customHeight="1" x14ac:dyDescent="0.4">
      <c r="A739" s="117"/>
      <c r="B739" s="123"/>
      <c r="C739" s="123"/>
      <c r="D739" s="123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M739" s="115"/>
      <c r="AN739" s="115"/>
      <c r="AO739" s="115"/>
      <c r="AP739" s="115"/>
      <c r="AQ739" s="115"/>
      <c r="AR739" s="115"/>
      <c r="AS739" s="115"/>
      <c r="AT739" s="127"/>
      <c r="AU739" s="29"/>
      <c r="AY739" s="115"/>
      <c r="AZ739" s="115"/>
      <c r="BA739" s="115"/>
      <c r="BB739" s="115"/>
      <c r="BC739" s="115"/>
      <c r="BD739" s="115"/>
      <c r="BE739" s="25"/>
      <c r="BF739" s="13"/>
      <c r="BK739" s="116"/>
      <c r="BL739" s="123"/>
      <c r="BM739" s="123"/>
      <c r="BN739" s="123"/>
      <c r="BS739" s="115"/>
      <c r="BT739" s="115"/>
      <c r="BU739" s="115"/>
      <c r="BV739" s="115"/>
      <c r="BW739" s="115"/>
      <c r="BX739" s="115"/>
      <c r="BY739" s="115"/>
      <c r="BZ739" s="115"/>
      <c r="CA739" s="115"/>
      <c r="CB739" s="115"/>
      <c r="CC739" s="25"/>
      <c r="CD739" s="13"/>
      <c r="CG739" s="114"/>
    </row>
    <row r="740" spans="1:85" ht="20.100000000000001" customHeight="1" x14ac:dyDescent="0.4">
      <c r="A740" s="117"/>
      <c r="B740" s="123"/>
      <c r="C740" s="123"/>
      <c r="D740" s="123"/>
      <c r="AT740" s="127"/>
      <c r="AU740" s="29"/>
      <c r="AY740" s="115"/>
      <c r="AZ740" s="115"/>
      <c r="BA740" s="115"/>
      <c r="BB740" s="115"/>
      <c r="BC740" s="115"/>
      <c r="BD740" s="115"/>
      <c r="BE740" s="25"/>
      <c r="BF740" s="13"/>
      <c r="BK740" s="116"/>
      <c r="BL740" s="123"/>
      <c r="BM740" s="123"/>
      <c r="BN740" s="123"/>
      <c r="BS740" s="115"/>
      <c r="BT740" s="115"/>
      <c r="BU740" s="115"/>
      <c r="BV740" s="115"/>
      <c r="BW740" s="115"/>
      <c r="BX740" s="115"/>
      <c r="BY740" s="115"/>
      <c r="BZ740" s="115"/>
      <c r="CA740" s="115"/>
      <c r="CB740" s="115"/>
      <c r="CC740" s="25"/>
      <c r="CD740" s="13"/>
      <c r="CG740" s="114"/>
    </row>
    <row r="741" spans="1:85" ht="20.100000000000001" customHeight="1" x14ac:dyDescent="0.4">
      <c r="A741" s="117"/>
      <c r="B741" s="123"/>
      <c r="C741" s="123"/>
      <c r="D741" s="123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27"/>
      <c r="AU741" s="29"/>
      <c r="AY741" s="115"/>
      <c r="AZ741" s="115"/>
      <c r="BA741" s="115"/>
      <c r="BB741" s="115"/>
      <c r="BC741" s="115"/>
      <c r="BD741" s="115"/>
      <c r="BE741" s="25"/>
      <c r="BF741" s="13"/>
      <c r="BK741" s="116"/>
      <c r="BL741" s="123"/>
      <c r="BM741" s="123"/>
      <c r="BN741" s="123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115"/>
      <c r="CC741" s="25"/>
      <c r="CD741" s="13"/>
      <c r="CG741" s="114"/>
    </row>
    <row r="742" spans="1:85" ht="20.100000000000001" customHeight="1" x14ac:dyDescent="0.4">
      <c r="A742" s="117"/>
      <c r="B742" s="123"/>
      <c r="C742" s="123"/>
      <c r="D742" s="123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27"/>
      <c r="AU742" s="29"/>
      <c r="AY742" s="115"/>
      <c r="AZ742" s="115"/>
      <c r="BA742" s="115"/>
      <c r="BB742" s="115"/>
      <c r="BC742" s="115"/>
      <c r="BD742" s="115"/>
      <c r="BE742" s="25"/>
      <c r="BF742" s="13"/>
      <c r="BK742" s="116"/>
      <c r="BL742" s="123"/>
      <c r="BM742" s="123"/>
      <c r="BN742" s="123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115"/>
      <c r="CC742" s="25"/>
      <c r="CD742" s="13"/>
      <c r="CG742" s="114"/>
    </row>
    <row r="743" spans="1:85" ht="20.100000000000001" customHeight="1" x14ac:dyDescent="0.4">
      <c r="A743" s="117"/>
      <c r="B743" s="123"/>
      <c r="C743" s="123"/>
      <c r="D743" s="123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27"/>
      <c r="AU743" s="29"/>
      <c r="AY743" s="115"/>
      <c r="AZ743" s="115"/>
      <c r="BA743" s="115"/>
      <c r="BB743" s="115"/>
      <c r="BC743" s="115"/>
      <c r="BD743" s="115"/>
      <c r="BE743" s="25"/>
      <c r="BF743" s="13"/>
      <c r="BK743" s="116"/>
      <c r="BL743" s="123"/>
      <c r="BM743" s="123"/>
      <c r="BN743" s="123"/>
      <c r="BS743" s="115"/>
      <c r="BT743" s="115"/>
      <c r="BU743" s="115"/>
      <c r="BV743" s="115"/>
      <c r="BW743" s="115"/>
      <c r="BX743" s="115"/>
      <c r="BY743" s="115"/>
      <c r="BZ743" s="115"/>
      <c r="CA743" s="115"/>
      <c r="CB743" s="115"/>
      <c r="CC743" s="25"/>
      <c r="CD743" s="13"/>
      <c r="CG743" s="114"/>
    </row>
    <row r="744" spans="1:85" ht="20.100000000000001" customHeight="1" x14ac:dyDescent="0.4">
      <c r="A744" s="117"/>
      <c r="B744" s="123"/>
      <c r="C744" s="123"/>
      <c r="D744" s="123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29"/>
      <c r="AU744" s="29"/>
      <c r="AY744" s="115"/>
      <c r="AZ744" s="115"/>
      <c r="BA744" s="115"/>
      <c r="BB744" s="115"/>
      <c r="BC744" s="115"/>
      <c r="BD744" s="115"/>
      <c r="BE744" s="25"/>
      <c r="BF744" s="13"/>
      <c r="BK744" s="116"/>
      <c r="BL744" s="123"/>
      <c r="BM744" s="123"/>
      <c r="BN744" s="123"/>
      <c r="BS744" s="115"/>
      <c r="BT744" s="115"/>
      <c r="BU744" s="115"/>
      <c r="BV744" s="115"/>
      <c r="BW744" s="115"/>
      <c r="BX744" s="115"/>
      <c r="BY744" s="115"/>
      <c r="BZ744" s="115"/>
      <c r="CA744" s="115"/>
      <c r="CB744" s="115"/>
      <c r="CC744" s="25"/>
      <c r="CD744" s="13"/>
      <c r="CG744" s="114"/>
    </row>
    <row r="745" spans="1:85" ht="20.100000000000001" customHeight="1" x14ac:dyDescent="0.4">
      <c r="A745" s="117"/>
      <c r="B745" s="123"/>
      <c r="C745" s="123"/>
      <c r="D745" s="123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27"/>
      <c r="AU745" s="29"/>
      <c r="AY745" s="115"/>
      <c r="AZ745" s="115"/>
      <c r="BA745" s="115"/>
      <c r="BB745" s="115"/>
      <c r="BC745" s="115"/>
      <c r="BD745" s="115"/>
      <c r="BE745" s="25"/>
      <c r="BF745" s="13"/>
      <c r="BK745" s="116"/>
      <c r="BL745" s="123"/>
      <c r="BM745" s="123"/>
      <c r="BN745" s="123"/>
      <c r="BS745" s="115"/>
      <c r="BT745" s="115"/>
      <c r="BU745" s="115"/>
      <c r="BV745" s="115"/>
      <c r="BW745" s="115"/>
      <c r="BX745" s="115"/>
      <c r="BY745" s="115"/>
      <c r="BZ745" s="115"/>
      <c r="CA745" s="115"/>
      <c r="CB745" s="115"/>
      <c r="CC745" s="25"/>
      <c r="CD745" s="13"/>
      <c r="CG745" s="114"/>
    </row>
    <row r="746" spans="1:85" ht="20.100000000000001" customHeight="1" x14ac:dyDescent="0.4">
      <c r="A746" s="117"/>
      <c r="B746" s="123"/>
      <c r="C746" s="123"/>
      <c r="D746" s="123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27"/>
      <c r="AU746" s="29"/>
      <c r="AY746" s="115"/>
      <c r="AZ746" s="115"/>
      <c r="BA746" s="115"/>
      <c r="BB746" s="115"/>
      <c r="BC746" s="115"/>
      <c r="BD746" s="115"/>
      <c r="BE746" s="25"/>
      <c r="BF746" s="13"/>
      <c r="BK746" s="116"/>
      <c r="BL746" s="123"/>
      <c r="BM746" s="123"/>
      <c r="BN746" s="123"/>
      <c r="BS746" s="115"/>
      <c r="BT746" s="115"/>
      <c r="BU746" s="115"/>
      <c r="BV746" s="115"/>
      <c r="BW746" s="115"/>
      <c r="BX746" s="115"/>
      <c r="BY746" s="115"/>
      <c r="BZ746" s="115"/>
      <c r="CA746" s="115"/>
      <c r="CB746" s="115"/>
      <c r="CC746" s="25"/>
      <c r="CD746" s="13"/>
      <c r="CG746" s="114"/>
    </row>
    <row r="747" spans="1:85" ht="20.100000000000001" customHeight="1" x14ac:dyDescent="0.4">
      <c r="A747" s="117"/>
      <c r="B747" s="123"/>
      <c r="C747" s="123"/>
      <c r="D747" s="123"/>
      <c r="AT747" s="127"/>
      <c r="AU747" s="29"/>
      <c r="AY747" s="115"/>
      <c r="AZ747" s="115"/>
      <c r="BA747" s="115"/>
      <c r="BB747" s="115"/>
      <c r="BC747" s="115"/>
      <c r="BD747" s="115"/>
      <c r="BE747" s="25"/>
      <c r="BF747" s="13"/>
      <c r="BK747" s="116"/>
      <c r="BL747" s="123"/>
      <c r="BM747" s="123"/>
      <c r="BN747" s="123"/>
      <c r="BS747" s="115"/>
      <c r="BT747" s="115"/>
      <c r="BU747" s="115"/>
      <c r="BV747" s="115"/>
      <c r="BW747" s="115"/>
      <c r="BX747" s="115"/>
      <c r="BY747" s="115"/>
      <c r="BZ747" s="115"/>
      <c r="CA747" s="115"/>
      <c r="CB747" s="115"/>
      <c r="CC747" s="25"/>
      <c r="CD747" s="13"/>
      <c r="CG747" s="114"/>
    </row>
    <row r="748" spans="1:85" ht="20.100000000000001" customHeight="1" x14ac:dyDescent="0.4">
      <c r="A748" s="117"/>
      <c r="B748" s="123"/>
      <c r="C748" s="123"/>
      <c r="D748" s="123"/>
      <c r="AP748" s="115"/>
      <c r="AQ748" s="115"/>
      <c r="AR748" s="115"/>
      <c r="AS748" s="115"/>
      <c r="AT748" s="127"/>
      <c r="AU748" s="29"/>
      <c r="AY748" s="115"/>
      <c r="AZ748" s="115"/>
      <c r="BA748" s="115"/>
      <c r="BB748" s="115"/>
      <c r="BC748" s="115"/>
      <c r="BD748" s="115"/>
      <c r="BE748" s="25"/>
      <c r="BF748" s="13"/>
      <c r="BK748" s="116"/>
      <c r="BL748" s="123"/>
      <c r="BM748" s="123"/>
      <c r="BN748" s="123"/>
      <c r="BS748" s="115"/>
      <c r="BT748" s="115"/>
      <c r="BU748" s="115"/>
      <c r="BV748" s="115"/>
      <c r="BW748" s="115"/>
      <c r="BX748" s="115"/>
      <c r="BY748" s="115"/>
      <c r="BZ748" s="115"/>
      <c r="CA748" s="115"/>
      <c r="CB748" s="115"/>
      <c r="CC748" s="25"/>
      <c r="CD748" s="13"/>
      <c r="CG748" s="114"/>
    </row>
    <row r="749" spans="1:85" ht="20.100000000000001" customHeight="1" x14ac:dyDescent="0.4">
      <c r="A749" s="117"/>
      <c r="B749" s="123"/>
      <c r="C749" s="123"/>
      <c r="D749" s="123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27"/>
      <c r="AU749" s="29"/>
      <c r="AY749" s="115"/>
      <c r="AZ749" s="115"/>
      <c r="BA749" s="115"/>
      <c r="BB749" s="115"/>
      <c r="BC749" s="115"/>
      <c r="BD749" s="115"/>
      <c r="BE749" s="25"/>
      <c r="BF749" s="13"/>
      <c r="BK749" s="116"/>
      <c r="BL749" s="123"/>
      <c r="BM749" s="123"/>
      <c r="BN749" s="123"/>
      <c r="BS749" s="115"/>
      <c r="BT749" s="115"/>
      <c r="BU749" s="115"/>
      <c r="BV749" s="115"/>
      <c r="BW749" s="115"/>
      <c r="BX749" s="115"/>
      <c r="BY749" s="115"/>
      <c r="BZ749" s="115"/>
      <c r="CA749" s="115"/>
      <c r="CB749" s="115"/>
      <c r="CC749" s="25"/>
      <c r="CD749" s="13"/>
      <c r="CG749" s="114"/>
    </row>
    <row r="750" spans="1:85" ht="20.100000000000001" customHeight="1" x14ac:dyDescent="0.4">
      <c r="A750" s="117"/>
      <c r="B750" s="123"/>
      <c r="C750" s="123"/>
      <c r="D750" s="123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27"/>
      <c r="AU750" s="29"/>
      <c r="AY750" s="115"/>
      <c r="AZ750" s="115"/>
      <c r="BA750" s="115"/>
      <c r="BB750" s="115"/>
      <c r="BC750" s="115"/>
      <c r="BD750" s="115"/>
      <c r="BE750" s="25"/>
      <c r="BF750" s="13"/>
      <c r="BK750" s="116"/>
      <c r="BL750" s="123"/>
      <c r="BM750" s="123"/>
      <c r="BN750" s="123"/>
      <c r="BS750" s="115"/>
      <c r="BT750" s="115"/>
      <c r="BU750" s="115"/>
      <c r="BV750" s="115"/>
      <c r="BW750" s="115"/>
      <c r="BX750" s="115"/>
      <c r="BY750" s="115"/>
      <c r="BZ750" s="115"/>
      <c r="CA750" s="115"/>
      <c r="CB750" s="115"/>
      <c r="CC750" s="25"/>
      <c r="CD750" s="13"/>
      <c r="CG750" s="114"/>
    </row>
    <row r="751" spans="1:85" ht="20.100000000000001" customHeight="1" x14ac:dyDescent="0.4">
      <c r="A751" s="117"/>
      <c r="B751" s="123"/>
      <c r="C751" s="123"/>
      <c r="D751" s="123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27"/>
      <c r="AU751" s="29"/>
      <c r="AY751" s="115"/>
      <c r="AZ751" s="115"/>
      <c r="BA751" s="115"/>
      <c r="BB751" s="115"/>
      <c r="BC751" s="115"/>
      <c r="BD751" s="115"/>
      <c r="BE751" s="25"/>
      <c r="BF751" s="13"/>
      <c r="BK751" s="116"/>
      <c r="BL751" s="123"/>
      <c r="BM751" s="123"/>
      <c r="BN751" s="123"/>
      <c r="BS751" s="115"/>
      <c r="BT751" s="115"/>
      <c r="BU751" s="115"/>
      <c r="BV751" s="115"/>
      <c r="BW751" s="115"/>
      <c r="BX751" s="115"/>
      <c r="BY751" s="115"/>
      <c r="BZ751" s="115"/>
      <c r="CA751" s="115"/>
      <c r="CB751" s="115"/>
      <c r="CC751" s="25"/>
      <c r="CD751" s="13"/>
      <c r="CG751" s="114"/>
    </row>
    <row r="752" spans="1:85" ht="20.100000000000001" customHeight="1" x14ac:dyDescent="0.4">
      <c r="A752" s="117"/>
      <c r="B752" s="123"/>
      <c r="C752" s="123"/>
      <c r="D752" s="123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27"/>
      <c r="AU752" s="29"/>
      <c r="AY752" s="115"/>
      <c r="AZ752" s="115"/>
      <c r="BA752" s="115"/>
      <c r="BB752" s="115"/>
      <c r="BC752" s="115"/>
      <c r="BD752" s="115"/>
      <c r="BE752" s="25"/>
      <c r="BF752" s="13"/>
      <c r="BK752" s="116"/>
      <c r="BL752" s="123"/>
      <c r="BM752" s="123"/>
      <c r="BN752" s="123"/>
      <c r="BS752" s="115"/>
      <c r="BT752" s="115"/>
      <c r="BU752" s="115"/>
      <c r="BV752" s="115"/>
      <c r="BW752" s="115"/>
      <c r="BX752" s="115"/>
      <c r="BY752" s="115"/>
      <c r="BZ752" s="115"/>
      <c r="CA752" s="115"/>
      <c r="CB752" s="115"/>
      <c r="CC752" s="25"/>
      <c r="CD752" s="13"/>
      <c r="CG752" s="114"/>
    </row>
    <row r="753" spans="1:85" ht="20.100000000000001" customHeight="1" x14ac:dyDescent="0.4">
      <c r="A753" s="117"/>
      <c r="B753" s="123"/>
      <c r="C753" s="123"/>
      <c r="D753" s="123"/>
      <c r="AT753" s="127"/>
      <c r="AU753" s="29"/>
      <c r="AY753" s="115"/>
      <c r="AZ753" s="115"/>
      <c r="BA753" s="115"/>
      <c r="BB753" s="115"/>
      <c r="BC753" s="115"/>
      <c r="BD753" s="115"/>
      <c r="BE753" s="25"/>
      <c r="BF753" s="13"/>
      <c r="BK753" s="116"/>
      <c r="BL753" s="123"/>
      <c r="BM753" s="123"/>
      <c r="BN753" s="123"/>
      <c r="BS753" s="115"/>
      <c r="BT753" s="115"/>
      <c r="BU753" s="115"/>
      <c r="BV753" s="115"/>
      <c r="BW753" s="115"/>
      <c r="BX753" s="115"/>
      <c r="BY753" s="115"/>
      <c r="BZ753" s="115"/>
      <c r="CA753" s="115"/>
      <c r="CB753" s="115"/>
      <c r="CC753" s="25"/>
      <c r="CD753" s="13"/>
      <c r="CG753" s="114"/>
    </row>
    <row r="754" spans="1:85" ht="20.100000000000001" customHeight="1" x14ac:dyDescent="0.4">
      <c r="A754" s="117"/>
      <c r="B754" s="123"/>
      <c r="C754" s="123"/>
      <c r="D754" s="123"/>
      <c r="AP754" s="115"/>
      <c r="AQ754" s="115"/>
      <c r="AR754" s="115"/>
      <c r="AS754" s="115"/>
      <c r="AT754" s="127"/>
      <c r="AU754" s="29"/>
      <c r="AY754" s="115"/>
      <c r="AZ754" s="115"/>
      <c r="BA754" s="115"/>
      <c r="BB754" s="115"/>
      <c r="BC754" s="115"/>
      <c r="BD754" s="115"/>
      <c r="BE754" s="25"/>
      <c r="BF754" s="13"/>
      <c r="BK754" s="116"/>
      <c r="BL754" s="123"/>
      <c r="BM754" s="123"/>
      <c r="BN754" s="123"/>
      <c r="BS754" s="115"/>
      <c r="BT754" s="115"/>
      <c r="BU754" s="115"/>
      <c r="BV754" s="115"/>
      <c r="BW754" s="115"/>
      <c r="BX754" s="115"/>
      <c r="BY754" s="115"/>
      <c r="BZ754" s="115"/>
      <c r="CA754" s="115"/>
      <c r="CB754" s="115"/>
      <c r="CC754" s="25"/>
      <c r="CD754" s="13"/>
      <c r="CG754" s="114"/>
    </row>
    <row r="755" spans="1:85" ht="20.100000000000001" customHeight="1" x14ac:dyDescent="0.4">
      <c r="A755" s="117"/>
      <c r="B755" s="123"/>
      <c r="C755" s="123"/>
      <c r="D755" s="123"/>
      <c r="AP755" s="115"/>
      <c r="AQ755" s="115"/>
      <c r="AR755" s="115"/>
      <c r="AS755" s="115"/>
      <c r="AT755" s="29"/>
      <c r="AU755" s="29"/>
      <c r="AY755" s="115"/>
      <c r="AZ755" s="115"/>
      <c r="BA755" s="115"/>
      <c r="BB755" s="115"/>
      <c r="BC755" s="115"/>
      <c r="BD755" s="115"/>
      <c r="BE755" s="25"/>
      <c r="BF755" s="13"/>
      <c r="BK755" s="116"/>
      <c r="BL755" s="123"/>
      <c r="BM755" s="123"/>
      <c r="BN755" s="123"/>
      <c r="BS755" s="115"/>
      <c r="BT755" s="115"/>
      <c r="BU755" s="115"/>
      <c r="BV755" s="115"/>
      <c r="BW755" s="115"/>
      <c r="BX755" s="115"/>
      <c r="BY755" s="115"/>
      <c r="BZ755" s="115"/>
      <c r="CA755" s="115"/>
      <c r="CB755" s="115"/>
      <c r="CC755" s="25"/>
      <c r="CD755" s="13"/>
      <c r="CG755" s="114"/>
    </row>
    <row r="756" spans="1:85" ht="20.100000000000001" customHeight="1" x14ac:dyDescent="0.4">
      <c r="A756" s="117"/>
      <c r="B756" s="123"/>
      <c r="C756" s="123"/>
      <c r="D756" s="123"/>
      <c r="AP756" s="115"/>
      <c r="AQ756" s="115"/>
      <c r="AR756" s="115"/>
      <c r="AS756" s="115"/>
      <c r="AT756" s="127"/>
      <c r="AU756" s="29"/>
      <c r="AY756" s="115"/>
      <c r="AZ756" s="115"/>
      <c r="BA756" s="115"/>
      <c r="BB756" s="115"/>
      <c r="BC756" s="115"/>
      <c r="BD756" s="115"/>
      <c r="BE756" s="25"/>
      <c r="BF756" s="13"/>
      <c r="BK756" s="116"/>
      <c r="BL756" s="123"/>
      <c r="BM756" s="123"/>
      <c r="BN756" s="123"/>
      <c r="BS756" s="115"/>
      <c r="BT756" s="115"/>
      <c r="BU756" s="115"/>
      <c r="BV756" s="115"/>
      <c r="BW756" s="115"/>
      <c r="BX756" s="115"/>
      <c r="BY756" s="115"/>
      <c r="BZ756" s="115"/>
      <c r="CA756" s="115"/>
      <c r="CB756" s="115"/>
      <c r="CC756" s="25"/>
      <c r="CD756" s="13"/>
      <c r="CG756" s="114"/>
    </row>
    <row r="757" spans="1:85" ht="20.100000000000001" customHeight="1" x14ac:dyDescent="0.4">
      <c r="A757" s="117"/>
      <c r="B757" s="123"/>
      <c r="C757" s="123"/>
      <c r="D757" s="123"/>
      <c r="AP757" s="115"/>
      <c r="AQ757" s="115"/>
      <c r="AR757" s="115"/>
      <c r="AS757" s="115"/>
      <c r="AT757" s="29"/>
      <c r="AU757" s="29"/>
      <c r="AY757" s="115"/>
      <c r="AZ757" s="115"/>
      <c r="BA757" s="115"/>
      <c r="BB757" s="115"/>
      <c r="BC757" s="115"/>
      <c r="BD757" s="115"/>
      <c r="BE757" s="25"/>
      <c r="BF757" s="13"/>
      <c r="BK757" s="116"/>
      <c r="BL757" s="123"/>
      <c r="BM757" s="123"/>
      <c r="BN757" s="123"/>
      <c r="BS757" s="115"/>
      <c r="BT757" s="115"/>
      <c r="BU757" s="115"/>
      <c r="BV757" s="115"/>
      <c r="BW757" s="115"/>
      <c r="BX757" s="115"/>
      <c r="BY757" s="115"/>
      <c r="BZ757" s="115"/>
      <c r="CA757" s="115"/>
      <c r="CB757" s="115"/>
      <c r="CC757" s="25"/>
      <c r="CD757" s="13"/>
      <c r="CG757" s="114"/>
    </row>
    <row r="758" spans="1:85" ht="20.100000000000001" customHeight="1" x14ac:dyDescent="0.4">
      <c r="A758" s="117"/>
      <c r="B758" s="123"/>
      <c r="C758" s="123"/>
      <c r="D758" s="123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27"/>
      <c r="AU758" s="29"/>
      <c r="AY758" s="115"/>
      <c r="AZ758" s="115"/>
      <c r="BA758" s="115"/>
      <c r="BB758" s="115"/>
      <c r="BC758" s="115"/>
      <c r="BD758" s="115"/>
      <c r="BE758" s="25"/>
      <c r="BF758" s="13"/>
      <c r="BK758" s="116"/>
      <c r="BL758" s="123"/>
      <c r="BM758" s="123"/>
      <c r="BN758" s="123"/>
      <c r="BS758" s="115"/>
      <c r="BT758" s="115"/>
      <c r="BU758" s="115"/>
      <c r="BV758" s="115"/>
      <c r="BW758" s="115"/>
      <c r="BX758" s="115"/>
      <c r="BY758" s="115"/>
      <c r="BZ758" s="115"/>
      <c r="CA758" s="115"/>
      <c r="CB758" s="115"/>
      <c r="CC758" s="25"/>
      <c r="CD758" s="13"/>
      <c r="CG758" s="114"/>
    </row>
    <row r="759" spans="1:85" ht="20.100000000000001" customHeight="1" x14ac:dyDescent="0.4">
      <c r="A759" s="117"/>
      <c r="B759" s="123"/>
      <c r="C759" s="123"/>
      <c r="D759" s="123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27"/>
      <c r="AU759" s="29"/>
      <c r="AY759" s="115"/>
      <c r="AZ759" s="115"/>
      <c r="BA759" s="115"/>
      <c r="BB759" s="115"/>
      <c r="BC759" s="115"/>
      <c r="BD759" s="115"/>
      <c r="BE759" s="25"/>
      <c r="BF759" s="13"/>
      <c r="BK759" s="116"/>
      <c r="BL759" s="123"/>
      <c r="BM759" s="123"/>
      <c r="BN759" s="123"/>
      <c r="BS759" s="115"/>
      <c r="BT759" s="115"/>
      <c r="BU759" s="115"/>
      <c r="BV759" s="115"/>
      <c r="BW759" s="115"/>
      <c r="BX759" s="115"/>
      <c r="BY759" s="115"/>
      <c r="BZ759" s="115"/>
      <c r="CA759" s="115"/>
      <c r="CB759" s="115"/>
      <c r="CC759" s="25"/>
      <c r="CD759" s="13"/>
      <c r="CG759" s="114"/>
    </row>
    <row r="760" spans="1:85" ht="20.100000000000001" customHeight="1" x14ac:dyDescent="0.4">
      <c r="A760" s="117"/>
      <c r="B760" s="123"/>
      <c r="C760" s="123"/>
      <c r="D760" s="123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27"/>
      <c r="AU760" s="29"/>
      <c r="AY760" s="115"/>
      <c r="AZ760" s="115"/>
      <c r="BA760" s="115"/>
      <c r="BB760" s="115"/>
      <c r="BC760" s="115"/>
      <c r="BD760" s="115"/>
      <c r="BE760" s="25"/>
      <c r="BF760" s="13"/>
      <c r="BK760" s="116"/>
      <c r="BL760" s="123"/>
      <c r="BM760" s="123"/>
      <c r="BN760" s="123"/>
      <c r="BS760" s="115"/>
      <c r="BT760" s="115"/>
      <c r="BU760" s="115"/>
      <c r="BV760" s="115"/>
      <c r="BW760" s="115"/>
      <c r="BX760" s="115"/>
      <c r="BY760" s="115"/>
      <c r="BZ760" s="115"/>
      <c r="CA760" s="115"/>
      <c r="CB760" s="115"/>
      <c r="CC760" s="25"/>
      <c r="CD760" s="13"/>
      <c r="CG760" s="114"/>
    </row>
    <row r="761" spans="1:85" ht="20.100000000000001" customHeight="1" x14ac:dyDescent="0.4">
      <c r="A761" s="117"/>
      <c r="B761" s="123"/>
      <c r="C761" s="123"/>
      <c r="D761" s="123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27"/>
      <c r="AU761" s="29"/>
      <c r="AY761" s="115"/>
      <c r="AZ761" s="115"/>
      <c r="BA761" s="115"/>
      <c r="BB761" s="115"/>
      <c r="BC761" s="115"/>
      <c r="BD761" s="115"/>
      <c r="BE761" s="25"/>
      <c r="BF761" s="13"/>
      <c r="BK761" s="116"/>
      <c r="BL761" s="123"/>
      <c r="BM761" s="123"/>
      <c r="BN761" s="123"/>
      <c r="BS761" s="115"/>
      <c r="BT761" s="115"/>
      <c r="BU761" s="115"/>
      <c r="BV761" s="115"/>
      <c r="BW761" s="115"/>
      <c r="BX761" s="115"/>
      <c r="BY761" s="115"/>
      <c r="BZ761" s="115"/>
      <c r="CA761" s="115"/>
      <c r="CB761" s="115"/>
      <c r="CC761" s="25"/>
      <c r="CD761" s="13"/>
      <c r="CG761" s="114"/>
    </row>
    <row r="762" spans="1:85" ht="20.100000000000001" customHeight="1" x14ac:dyDescent="0.4">
      <c r="A762" s="117"/>
      <c r="B762" s="123"/>
      <c r="C762" s="123"/>
      <c r="D762" s="123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29"/>
      <c r="AU762" s="29"/>
      <c r="AY762" s="115"/>
      <c r="AZ762" s="115"/>
      <c r="BA762" s="115"/>
      <c r="BB762" s="115"/>
      <c r="BC762" s="115"/>
      <c r="BD762" s="115"/>
      <c r="BE762" s="25"/>
      <c r="BF762" s="13"/>
      <c r="BK762" s="116"/>
      <c r="BL762" s="123"/>
      <c r="BM762" s="123"/>
      <c r="BN762" s="123"/>
      <c r="BS762" s="115"/>
      <c r="BT762" s="115"/>
      <c r="BU762" s="115"/>
      <c r="BV762" s="115"/>
      <c r="BW762" s="115"/>
      <c r="BX762" s="115"/>
      <c r="BY762" s="115"/>
      <c r="BZ762" s="115"/>
      <c r="CA762" s="115"/>
      <c r="CB762" s="115"/>
      <c r="CC762" s="25"/>
      <c r="CD762" s="13"/>
      <c r="CG762" s="114"/>
    </row>
    <row r="763" spans="1:85" ht="20.100000000000001" customHeight="1" x14ac:dyDescent="0.4">
      <c r="A763" s="117"/>
      <c r="B763" s="123"/>
      <c r="C763" s="123"/>
      <c r="D763" s="123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27"/>
      <c r="AU763" s="29"/>
      <c r="AY763" s="115"/>
      <c r="AZ763" s="115"/>
      <c r="BA763" s="115"/>
      <c r="BB763" s="115"/>
      <c r="BC763" s="115"/>
      <c r="BD763" s="115"/>
      <c r="BE763" s="25"/>
      <c r="BF763" s="13"/>
      <c r="BK763" s="116"/>
      <c r="BL763" s="123"/>
      <c r="BM763" s="123"/>
      <c r="BN763" s="123"/>
      <c r="BS763" s="115"/>
      <c r="BT763" s="115"/>
      <c r="BU763" s="115"/>
      <c r="BV763" s="115"/>
      <c r="BW763" s="115"/>
      <c r="BX763" s="115"/>
      <c r="BY763" s="115"/>
      <c r="BZ763" s="115"/>
      <c r="CA763" s="115"/>
      <c r="CB763" s="115"/>
      <c r="CC763" s="25"/>
      <c r="CD763" s="13"/>
      <c r="CG763" s="114"/>
    </row>
    <row r="764" spans="1:85" ht="20.100000000000001" customHeight="1" x14ac:dyDescent="0.4">
      <c r="A764" s="117"/>
      <c r="B764" s="123"/>
      <c r="C764" s="123"/>
      <c r="D764" s="123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27"/>
      <c r="AU764" s="29"/>
      <c r="AY764" s="115"/>
      <c r="AZ764" s="115"/>
      <c r="BA764" s="115"/>
      <c r="BB764" s="115"/>
      <c r="BC764" s="115"/>
      <c r="BD764" s="115"/>
      <c r="BE764" s="25"/>
      <c r="BF764" s="13"/>
      <c r="BK764" s="116"/>
      <c r="BL764" s="123"/>
      <c r="BM764" s="123"/>
      <c r="BN764" s="123"/>
      <c r="BS764" s="115"/>
      <c r="BT764" s="115"/>
      <c r="BU764" s="115"/>
      <c r="BV764" s="115"/>
      <c r="BW764" s="115"/>
      <c r="BX764" s="115"/>
      <c r="BY764" s="115"/>
      <c r="BZ764" s="115"/>
      <c r="CA764" s="115"/>
      <c r="CB764" s="115"/>
      <c r="CC764" s="25"/>
      <c r="CD764" s="13"/>
      <c r="CG764" s="114"/>
    </row>
    <row r="765" spans="1:85" ht="20.100000000000001" customHeight="1" x14ac:dyDescent="0.4">
      <c r="A765" s="117"/>
      <c r="B765" s="123"/>
      <c r="C765" s="123"/>
      <c r="D765" s="123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29"/>
      <c r="AU765" s="29"/>
      <c r="AY765" s="115"/>
      <c r="AZ765" s="115"/>
      <c r="BA765" s="115"/>
      <c r="BB765" s="115"/>
      <c r="BC765" s="115"/>
      <c r="BD765" s="115"/>
      <c r="BE765" s="25"/>
      <c r="BF765" s="13"/>
      <c r="BK765" s="116"/>
      <c r="BL765" s="123"/>
      <c r="BM765" s="123"/>
      <c r="BN765" s="123"/>
      <c r="BS765" s="115"/>
      <c r="BT765" s="115"/>
      <c r="BU765" s="115"/>
      <c r="BV765" s="115"/>
      <c r="BW765" s="115"/>
      <c r="BX765" s="115"/>
      <c r="BY765" s="115"/>
      <c r="BZ765" s="115"/>
      <c r="CA765" s="115"/>
      <c r="CB765" s="115"/>
      <c r="CC765" s="25"/>
      <c r="CD765" s="13"/>
      <c r="CG765" s="114"/>
    </row>
    <row r="766" spans="1:85" ht="20.100000000000001" customHeight="1" x14ac:dyDescent="0.4">
      <c r="A766" s="117"/>
      <c r="B766" s="123"/>
      <c r="C766" s="123"/>
      <c r="D766" s="123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27"/>
      <c r="AU766" s="29"/>
      <c r="AY766" s="115"/>
      <c r="AZ766" s="115"/>
      <c r="BA766" s="115"/>
      <c r="BB766" s="115"/>
      <c r="BC766" s="115"/>
      <c r="BD766" s="115"/>
      <c r="BE766" s="25"/>
      <c r="BF766" s="13"/>
      <c r="BK766" s="116"/>
      <c r="BL766" s="123"/>
      <c r="BM766" s="123"/>
      <c r="BN766" s="123"/>
      <c r="BS766" s="115"/>
      <c r="BT766" s="115"/>
      <c r="BU766" s="115"/>
      <c r="BV766" s="115"/>
      <c r="BW766" s="115"/>
      <c r="BX766" s="115"/>
      <c r="BY766" s="115"/>
      <c r="BZ766" s="115"/>
      <c r="CA766" s="115"/>
      <c r="CB766" s="115"/>
      <c r="CC766" s="25"/>
      <c r="CD766" s="13"/>
      <c r="CG766" s="114"/>
    </row>
    <row r="767" spans="1:85" ht="20.100000000000001" customHeight="1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29"/>
      <c r="AU767" s="29"/>
      <c r="AY767" s="115"/>
      <c r="AZ767" s="115"/>
      <c r="BA767" s="115"/>
      <c r="BB767" s="115"/>
      <c r="BC767" s="115"/>
      <c r="BD767" s="115"/>
      <c r="BE767" s="25"/>
      <c r="BF767" s="13"/>
      <c r="BK767" s="116"/>
      <c r="BL767" s="123"/>
      <c r="BM767" s="123"/>
      <c r="BN767" s="123"/>
      <c r="BS767" s="115"/>
      <c r="BT767" s="115"/>
      <c r="BU767" s="115"/>
      <c r="BV767" s="115"/>
      <c r="BW767" s="115"/>
      <c r="BX767" s="115"/>
      <c r="BY767" s="115"/>
      <c r="BZ767" s="115"/>
      <c r="CA767" s="115"/>
      <c r="CB767" s="115"/>
      <c r="CC767" s="25"/>
      <c r="CD767" s="13"/>
      <c r="CG767" s="114"/>
    </row>
    <row r="768" spans="1:85" ht="20.100000000000001" customHeight="1" x14ac:dyDescent="0.4">
      <c r="A768" s="117"/>
      <c r="B768" s="123"/>
      <c r="C768" s="123"/>
      <c r="D768" s="123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29"/>
      <c r="AU768" s="29"/>
      <c r="AY768" s="115"/>
      <c r="AZ768" s="115"/>
      <c r="BA768" s="115"/>
      <c r="BB768" s="115"/>
      <c r="BC768" s="115"/>
      <c r="BD768" s="115"/>
      <c r="BE768" s="25"/>
      <c r="BF768" s="13"/>
      <c r="BK768" s="116"/>
      <c r="BL768" s="123"/>
      <c r="BM768" s="123"/>
      <c r="BN768" s="123"/>
      <c r="BS768" s="115"/>
      <c r="BT768" s="115"/>
      <c r="BU768" s="115"/>
      <c r="BV768" s="115"/>
      <c r="BW768" s="115"/>
      <c r="BX768" s="115"/>
      <c r="BY768" s="115"/>
      <c r="BZ768" s="115"/>
      <c r="CA768" s="115"/>
      <c r="CB768" s="115"/>
      <c r="CC768" s="25"/>
      <c r="CD768" s="13"/>
      <c r="CG768" s="114"/>
    </row>
    <row r="769" spans="1:85" ht="20.100000000000001" customHeight="1" x14ac:dyDescent="0.4">
      <c r="A769" s="117"/>
      <c r="B769" s="123"/>
      <c r="C769" s="123"/>
      <c r="D769" s="123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27"/>
      <c r="AU769" s="29"/>
      <c r="AY769" s="115"/>
      <c r="AZ769" s="115"/>
      <c r="BA769" s="115"/>
      <c r="BB769" s="115"/>
      <c r="BC769" s="115"/>
      <c r="BD769" s="115"/>
      <c r="BE769" s="25"/>
      <c r="BF769" s="13"/>
      <c r="BK769" s="116"/>
      <c r="BL769" s="123"/>
      <c r="BM769" s="123"/>
      <c r="BN769" s="123"/>
      <c r="BS769" s="115"/>
      <c r="BT769" s="115"/>
      <c r="BU769" s="115"/>
      <c r="BV769" s="115"/>
      <c r="BW769" s="115"/>
      <c r="BX769" s="115"/>
      <c r="BY769" s="115"/>
      <c r="BZ769" s="115"/>
      <c r="CA769" s="115"/>
      <c r="CB769" s="115"/>
      <c r="CC769" s="25"/>
      <c r="CD769" s="13"/>
      <c r="CG769" s="114"/>
    </row>
    <row r="770" spans="1:85" ht="20.100000000000001" customHeight="1" x14ac:dyDescent="0.4">
      <c r="A770" s="117"/>
      <c r="B770" s="123"/>
      <c r="C770" s="123"/>
      <c r="D770" s="123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29"/>
      <c r="AU770" s="29"/>
      <c r="AY770" s="115"/>
      <c r="AZ770" s="115"/>
      <c r="BA770" s="115"/>
      <c r="BB770" s="115"/>
      <c r="BC770" s="115"/>
      <c r="BD770" s="115"/>
      <c r="BE770" s="25"/>
      <c r="BF770" s="13"/>
      <c r="BK770" s="116"/>
      <c r="BL770" s="123"/>
      <c r="BM770" s="123"/>
      <c r="BN770" s="123"/>
      <c r="BS770" s="115"/>
      <c r="BT770" s="115"/>
      <c r="BU770" s="115"/>
      <c r="BV770" s="115"/>
      <c r="BW770" s="115"/>
      <c r="BX770" s="115"/>
      <c r="BY770" s="115"/>
      <c r="BZ770" s="115"/>
      <c r="CA770" s="115"/>
      <c r="CB770" s="115"/>
      <c r="CC770" s="25"/>
      <c r="CD770" s="13"/>
      <c r="CG770" s="114"/>
    </row>
    <row r="771" spans="1:85" ht="20.100000000000001" customHeight="1" x14ac:dyDescent="0.4">
      <c r="A771" s="117"/>
      <c r="B771" s="123"/>
      <c r="C771" s="123"/>
      <c r="D771" s="123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27"/>
      <c r="AU771" s="29"/>
      <c r="AY771" s="115"/>
      <c r="AZ771" s="115"/>
      <c r="BA771" s="115"/>
      <c r="BB771" s="115"/>
      <c r="BC771" s="115"/>
      <c r="BD771" s="115"/>
      <c r="BE771" s="25"/>
      <c r="BF771" s="13"/>
      <c r="BK771" s="116"/>
      <c r="BL771" s="123"/>
      <c r="BM771" s="123"/>
      <c r="BN771" s="123"/>
      <c r="BS771" s="115"/>
      <c r="BT771" s="115"/>
      <c r="BU771" s="115"/>
      <c r="BV771" s="115"/>
      <c r="BW771" s="115"/>
      <c r="BX771" s="115"/>
      <c r="BY771" s="115"/>
      <c r="BZ771" s="115"/>
      <c r="CA771" s="115"/>
      <c r="CB771" s="115"/>
      <c r="CC771" s="25"/>
      <c r="CD771" s="13"/>
      <c r="CG771" s="114"/>
    </row>
    <row r="772" spans="1:85" ht="20.100000000000001" customHeight="1" x14ac:dyDescent="0.4">
      <c r="A772" s="117"/>
      <c r="B772" s="123"/>
      <c r="C772" s="123"/>
      <c r="D772" s="123"/>
      <c r="AT772" s="127"/>
      <c r="AU772" s="127"/>
      <c r="AY772" s="115"/>
      <c r="AZ772" s="115"/>
      <c r="BA772" s="115"/>
      <c r="BB772" s="115"/>
      <c r="BC772" s="115"/>
      <c r="BD772" s="115"/>
      <c r="BE772" s="25">
        <v>45672</v>
      </c>
      <c r="BF772" s="13" t="s">
        <v>146</v>
      </c>
      <c r="BK772" s="116"/>
      <c r="BL772" s="123"/>
      <c r="BM772" s="123"/>
      <c r="BN772" s="123"/>
      <c r="BS772" s="115"/>
      <c r="BT772" s="115"/>
      <c r="BU772" s="115"/>
      <c r="BV772" s="115"/>
      <c r="BW772" s="115"/>
      <c r="BX772" s="115"/>
      <c r="BY772" s="115"/>
      <c r="BZ772" s="115"/>
      <c r="CA772" s="115"/>
      <c r="CB772" s="115"/>
      <c r="CC772" s="25"/>
      <c r="CD772" s="13"/>
      <c r="CG772" s="114"/>
    </row>
    <row r="773" spans="1:85" ht="20.100000000000001" customHeight="1" x14ac:dyDescent="0.4">
      <c r="A773" s="117"/>
      <c r="B773" s="123"/>
      <c r="C773" s="123"/>
      <c r="D773" s="123"/>
      <c r="AO773" s="115"/>
      <c r="AP773" s="115"/>
      <c r="AQ773" s="115"/>
      <c r="AR773" s="115"/>
      <c r="AS773" s="115"/>
      <c r="AT773" s="29"/>
      <c r="AU773" s="29"/>
      <c r="AY773" s="115"/>
      <c r="AZ773" s="115"/>
      <c r="BA773" s="115"/>
      <c r="BB773" s="115"/>
      <c r="BC773" s="115"/>
      <c r="BD773" s="115"/>
      <c r="BE773" s="25"/>
      <c r="BF773" s="13"/>
      <c r="BK773" s="116"/>
      <c r="BL773" s="123"/>
      <c r="BM773" s="123"/>
      <c r="BN773" s="123"/>
      <c r="BS773" s="115"/>
      <c r="BT773" s="115"/>
      <c r="BU773" s="115"/>
      <c r="BV773" s="115"/>
      <c r="BW773" s="115"/>
      <c r="BX773" s="115"/>
      <c r="BY773" s="115"/>
      <c r="BZ773" s="115"/>
      <c r="CA773" s="115"/>
      <c r="CB773" s="115"/>
      <c r="CC773" s="25"/>
      <c r="CD773" s="13"/>
      <c r="CG773" s="114"/>
    </row>
    <row r="774" spans="1:85" ht="20.100000000000001" customHeight="1" x14ac:dyDescent="0.4">
      <c r="A774" s="117"/>
      <c r="B774" s="123"/>
      <c r="C774" s="123"/>
      <c r="D774" s="123"/>
      <c r="AL774" s="115"/>
      <c r="AM774" s="115"/>
      <c r="AN774" s="115"/>
      <c r="AO774" s="115"/>
      <c r="AP774" s="115"/>
      <c r="AQ774" s="115"/>
      <c r="AR774" s="115"/>
      <c r="AS774" s="115"/>
      <c r="AT774" s="127"/>
      <c r="AU774" s="29"/>
      <c r="AY774" s="115"/>
      <c r="AZ774" s="115"/>
      <c r="BA774" s="115"/>
      <c r="BB774" s="115"/>
      <c r="BC774" s="115"/>
      <c r="BD774" s="115"/>
      <c r="BE774" s="25"/>
      <c r="BF774" s="13"/>
      <c r="BK774" s="116"/>
      <c r="BL774" s="123"/>
      <c r="BM774" s="123"/>
      <c r="BN774" s="123"/>
      <c r="BS774" s="115"/>
      <c r="BT774" s="115"/>
      <c r="BU774" s="115"/>
      <c r="BV774" s="115"/>
      <c r="BW774" s="115"/>
      <c r="BX774" s="115"/>
      <c r="BY774" s="115"/>
      <c r="BZ774" s="115"/>
      <c r="CA774" s="115"/>
      <c r="CB774" s="115"/>
      <c r="CC774" s="25"/>
      <c r="CD774" s="13"/>
      <c r="CG774" s="114"/>
    </row>
    <row r="775" spans="1:85" ht="20.100000000000001" customHeight="1" x14ac:dyDescent="0.4">
      <c r="A775" s="117"/>
      <c r="B775" s="123"/>
      <c r="C775" s="123"/>
      <c r="D775" s="123"/>
      <c r="AL775" s="115"/>
      <c r="AM775" s="115"/>
      <c r="AN775" s="115"/>
      <c r="AO775" s="115"/>
      <c r="AP775" s="115"/>
      <c r="AQ775" s="115"/>
      <c r="AR775" s="115"/>
      <c r="AS775" s="115"/>
      <c r="AT775" s="29"/>
      <c r="AU775" s="29"/>
      <c r="AY775" s="115"/>
      <c r="AZ775" s="115"/>
      <c r="BA775" s="115"/>
      <c r="BB775" s="115"/>
      <c r="BC775" s="115"/>
      <c r="BD775" s="115"/>
      <c r="BE775" s="25"/>
      <c r="BF775" s="13"/>
      <c r="BK775" s="116"/>
      <c r="BL775" s="123"/>
      <c r="BM775" s="123"/>
      <c r="BN775" s="123"/>
      <c r="BS775" s="115"/>
      <c r="BT775" s="115"/>
      <c r="BU775" s="115"/>
      <c r="BV775" s="115"/>
      <c r="BW775" s="115"/>
      <c r="BX775" s="115"/>
      <c r="BY775" s="115"/>
      <c r="BZ775" s="115"/>
      <c r="CA775" s="115"/>
      <c r="CB775" s="115"/>
      <c r="CC775" s="25"/>
      <c r="CD775" s="13"/>
      <c r="CG775" s="114"/>
    </row>
    <row r="776" spans="1:85" ht="20.100000000000001" customHeight="1" x14ac:dyDescent="0.4">
      <c r="A776" s="117"/>
      <c r="B776" s="123"/>
      <c r="C776" s="123"/>
      <c r="D776" s="123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27"/>
      <c r="AU776" s="29"/>
      <c r="AY776" s="115"/>
      <c r="AZ776" s="115"/>
      <c r="BA776" s="115"/>
      <c r="BB776" s="115"/>
      <c r="BC776" s="115"/>
      <c r="BD776" s="115"/>
      <c r="BE776" s="25"/>
      <c r="BF776" s="13"/>
      <c r="BK776" s="116"/>
      <c r="BL776" s="123"/>
      <c r="BM776" s="123"/>
      <c r="BN776" s="123"/>
      <c r="BS776" s="115"/>
      <c r="BT776" s="115"/>
      <c r="BU776" s="115"/>
      <c r="BV776" s="115"/>
      <c r="BW776" s="115"/>
      <c r="BX776" s="115"/>
      <c r="BY776" s="115"/>
      <c r="BZ776" s="115"/>
      <c r="CA776" s="115"/>
      <c r="CB776" s="115"/>
      <c r="CC776" s="25"/>
      <c r="CD776" s="13"/>
      <c r="CG776" s="114"/>
    </row>
    <row r="777" spans="1:85" ht="20.100000000000001" customHeight="1" x14ac:dyDescent="0.4">
      <c r="A777" s="117"/>
      <c r="B777" s="123"/>
      <c r="C777" s="123"/>
      <c r="D777" s="123"/>
      <c r="AT777" s="127"/>
      <c r="AU777" s="29"/>
      <c r="AY777" s="115"/>
      <c r="AZ777" s="115"/>
      <c r="BA777" s="115"/>
      <c r="BB777" s="115"/>
      <c r="BC777" s="115"/>
      <c r="BD777" s="115"/>
      <c r="BE777" s="25">
        <v>45672</v>
      </c>
      <c r="BF777" s="13" t="s">
        <v>146</v>
      </c>
      <c r="BK777" s="116"/>
      <c r="BL777" s="123"/>
      <c r="BM777" s="123"/>
      <c r="BN777" s="123"/>
      <c r="BS777" s="115"/>
      <c r="BT777" s="115"/>
      <c r="BU777" s="115"/>
      <c r="BV777" s="115"/>
      <c r="BW777" s="115"/>
      <c r="BX777" s="115"/>
      <c r="BY777" s="115"/>
      <c r="BZ777" s="115"/>
      <c r="CA777" s="115"/>
      <c r="CB777" s="115"/>
      <c r="CC777" s="25"/>
      <c r="CD777" s="13"/>
      <c r="CG777" s="114"/>
    </row>
    <row r="778" spans="1:85" ht="20.100000000000001" customHeight="1" x14ac:dyDescent="0.4">
      <c r="A778" s="117"/>
      <c r="B778" s="123"/>
      <c r="C778" s="123"/>
      <c r="D778" s="123"/>
      <c r="AT778" s="127"/>
      <c r="AU778" s="29"/>
      <c r="AY778" s="115"/>
      <c r="AZ778" s="115"/>
      <c r="BA778" s="115"/>
      <c r="BB778" s="115"/>
      <c r="BC778" s="115"/>
      <c r="BD778" s="115"/>
      <c r="BE778" s="25"/>
      <c r="BF778" s="13"/>
      <c r="BK778" s="116"/>
      <c r="BL778" s="123"/>
      <c r="BM778" s="123"/>
      <c r="BN778" s="123"/>
      <c r="BS778" s="115"/>
      <c r="BT778" s="115"/>
      <c r="BU778" s="115"/>
      <c r="BV778" s="115"/>
      <c r="BW778" s="115"/>
      <c r="BX778" s="115"/>
      <c r="BY778" s="115"/>
      <c r="BZ778" s="115"/>
      <c r="CA778" s="115"/>
      <c r="CB778" s="115"/>
      <c r="CC778" s="25"/>
      <c r="CD778" s="13"/>
      <c r="CG778" s="114"/>
    </row>
    <row r="779" spans="1:85" ht="20.100000000000001" customHeight="1" x14ac:dyDescent="0.4">
      <c r="A779" s="117"/>
      <c r="B779" s="123"/>
      <c r="C779" s="123"/>
      <c r="D779" s="123"/>
      <c r="AO779" s="115"/>
      <c r="AP779" s="115"/>
      <c r="AQ779" s="115"/>
      <c r="AR779" s="115"/>
      <c r="AS779" s="115"/>
      <c r="AT779" s="29"/>
      <c r="AU779" s="29"/>
      <c r="AY779" s="115"/>
      <c r="AZ779" s="115"/>
      <c r="BA779" s="115"/>
      <c r="BB779" s="115"/>
      <c r="BC779" s="115"/>
      <c r="BD779" s="115"/>
      <c r="BE779" s="25"/>
      <c r="BF779" s="13"/>
      <c r="BK779" s="116"/>
      <c r="BL779" s="123"/>
      <c r="BM779" s="123"/>
      <c r="BN779" s="123"/>
      <c r="BS779" s="115"/>
      <c r="BT779" s="115"/>
      <c r="BU779" s="115"/>
      <c r="BV779" s="115"/>
      <c r="BW779" s="115"/>
      <c r="BX779" s="115"/>
      <c r="BY779" s="115"/>
      <c r="BZ779" s="115"/>
      <c r="CA779" s="115"/>
      <c r="CB779" s="115"/>
      <c r="CC779" s="25"/>
      <c r="CD779" s="13"/>
      <c r="CG779" s="114"/>
    </row>
    <row r="780" spans="1:85" ht="20.100000000000001" customHeight="1" x14ac:dyDescent="0.4">
      <c r="A780" s="117"/>
      <c r="B780" s="123"/>
      <c r="C780" s="123"/>
      <c r="D780" s="123"/>
      <c r="AT780" s="127"/>
      <c r="AU780" s="29"/>
      <c r="AY780" s="115"/>
      <c r="AZ780" s="115"/>
      <c r="BA780" s="115"/>
      <c r="BB780" s="115"/>
      <c r="BC780" s="115"/>
      <c r="BD780" s="115"/>
      <c r="BE780" s="25">
        <v>45672</v>
      </c>
      <c r="BF780" s="25" t="s">
        <v>147</v>
      </c>
      <c r="BK780" s="116"/>
      <c r="BL780" s="123"/>
      <c r="BM780" s="123"/>
      <c r="BN780" s="123"/>
      <c r="BS780" s="115"/>
      <c r="BT780" s="115"/>
      <c r="BU780" s="115"/>
      <c r="BV780" s="115"/>
      <c r="BW780" s="115"/>
      <c r="BX780" s="115"/>
      <c r="BY780" s="115"/>
      <c r="BZ780" s="115"/>
      <c r="CA780" s="115"/>
      <c r="CB780" s="115"/>
      <c r="CC780" s="25"/>
      <c r="CD780" s="13"/>
      <c r="CG780" s="114"/>
    </row>
    <row r="781" spans="1:85" ht="20.100000000000001" customHeight="1" x14ac:dyDescent="0.4">
      <c r="A781" s="117"/>
      <c r="B781" s="123"/>
      <c r="C781" s="123"/>
      <c r="D781" s="123"/>
      <c r="AT781" s="127"/>
      <c r="AU781" s="29"/>
      <c r="AY781" s="115"/>
      <c r="AZ781" s="115"/>
      <c r="BA781" s="115"/>
      <c r="BB781" s="115"/>
      <c r="BC781" s="115"/>
      <c r="BD781" s="115"/>
      <c r="BE781" s="25"/>
      <c r="BF781" s="25"/>
      <c r="BK781" s="116"/>
      <c r="BL781" s="123"/>
      <c r="BM781" s="123"/>
      <c r="BN781" s="123"/>
      <c r="BS781" s="115"/>
      <c r="BT781" s="115"/>
      <c r="BU781" s="115"/>
      <c r="BV781" s="115"/>
      <c r="BW781" s="115"/>
      <c r="BX781" s="115"/>
      <c r="BY781" s="115"/>
      <c r="BZ781" s="115"/>
      <c r="CA781" s="115"/>
      <c r="CB781" s="115"/>
      <c r="CC781" s="25"/>
      <c r="CD781" s="13"/>
      <c r="CG781" s="114"/>
    </row>
    <row r="782" spans="1:85" ht="20.100000000000001" customHeight="1" x14ac:dyDescent="0.4">
      <c r="A782" s="117"/>
      <c r="B782" s="123"/>
      <c r="C782" s="123"/>
      <c r="D782" s="123"/>
      <c r="AO782" s="115"/>
      <c r="AP782" s="115"/>
      <c r="AQ782" s="115"/>
      <c r="AR782" s="115"/>
      <c r="AS782" s="115"/>
      <c r="AT782" s="29"/>
      <c r="AU782" s="29"/>
      <c r="AY782" s="115"/>
      <c r="AZ782" s="115"/>
      <c r="BA782" s="115"/>
      <c r="BB782" s="115"/>
      <c r="BC782" s="115"/>
      <c r="BD782" s="115"/>
      <c r="BE782" s="25"/>
      <c r="BF782" s="25"/>
      <c r="BK782" s="116"/>
      <c r="BL782" s="123"/>
      <c r="BM782" s="123"/>
      <c r="BN782" s="123"/>
      <c r="BS782" s="115"/>
      <c r="BT782" s="115"/>
      <c r="BU782" s="115"/>
      <c r="BV782" s="115"/>
      <c r="BW782" s="115"/>
      <c r="BX782" s="115"/>
      <c r="BY782" s="115"/>
      <c r="BZ782" s="115"/>
      <c r="CA782" s="115"/>
      <c r="CB782" s="115"/>
      <c r="CC782" s="25"/>
      <c r="CD782" s="13"/>
      <c r="CG782" s="114"/>
    </row>
    <row r="783" spans="1:85" ht="20.100000000000001" customHeight="1" x14ac:dyDescent="0.4">
      <c r="A783" s="117"/>
      <c r="B783" s="123"/>
      <c r="C783" s="123"/>
      <c r="D783" s="123"/>
      <c r="AO783" s="115"/>
      <c r="AP783" s="115"/>
      <c r="AQ783" s="115"/>
      <c r="AR783" s="115"/>
      <c r="AS783" s="115"/>
      <c r="AT783" s="29"/>
      <c r="AU783" s="29"/>
      <c r="AY783" s="115"/>
      <c r="AZ783" s="115"/>
      <c r="BA783" s="115"/>
      <c r="BB783" s="115"/>
      <c r="BC783" s="115"/>
      <c r="BD783" s="115"/>
      <c r="BE783" s="25"/>
      <c r="BF783" s="25"/>
      <c r="BK783" s="116"/>
      <c r="BL783" s="123"/>
      <c r="BM783" s="123"/>
      <c r="BN783" s="123"/>
      <c r="BS783" s="115"/>
      <c r="BT783" s="115"/>
      <c r="BU783" s="115"/>
      <c r="BV783" s="115"/>
      <c r="BW783" s="115"/>
      <c r="BX783" s="115"/>
      <c r="BY783" s="115"/>
      <c r="BZ783" s="115"/>
      <c r="CA783" s="115"/>
      <c r="CB783" s="115"/>
      <c r="CC783" s="25"/>
      <c r="CD783" s="13"/>
      <c r="CG783" s="114"/>
    </row>
    <row r="784" spans="1:85" ht="20.100000000000001" customHeight="1" x14ac:dyDescent="0.4">
      <c r="A784" s="117"/>
      <c r="B784" s="123"/>
      <c r="C784" s="123"/>
      <c r="D784" s="123"/>
      <c r="AL784" s="115"/>
      <c r="AM784" s="115"/>
      <c r="AN784" s="115"/>
      <c r="AO784" s="115"/>
      <c r="AP784" s="115"/>
      <c r="AQ784" s="115"/>
      <c r="AR784" s="115"/>
      <c r="AS784" s="115"/>
      <c r="AT784" s="127"/>
      <c r="AU784" s="29"/>
      <c r="AY784" s="115"/>
      <c r="AZ784" s="115"/>
      <c r="BA784" s="115"/>
      <c r="BB784" s="115"/>
      <c r="BC784" s="115"/>
      <c r="BD784" s="115"/>
      <c r="BE784" s="25"/>
      <c r="BF784" s="25"/>
      <c r="BK784" s="116"/>
      <c r="BL784" s="123"/>
      <c r="BM784" s="123"/>
      <c r="BN784" s="123"/>
      <c r="BS784" s="115"/>
      <c r="BT784" s="115"/>
      <c r="BU784" s="115"/>
      <c r="BV784" s="115"/>
      <c r="BW784" s="115"/>
      <c r="BX784" s="115"/>
      <c r="BY784" s="115"/>
      <c r="BZ784" s="115"/>
      <c r="CA784" s="115"/>
      <c r="CB784" s="115"/>
      <c r="CC784" s="25"/>
      <c r="CD784" s="13"/>
      <c r="CG784" s="114"/>
    </row>
    <row r="785" spans="1:85" ht="20.100000000000001" customHeight="1" x14ac:dyDescent="0.4">
      <c r="A785" s="117"/>
      <c r="B785" s="123"/>
      <c r="C785" s="123"/>
      <c r="D785" s="123"/>
      <c r="AL785" s="115"/>
      <c r="AM785" s="115"/>
      <c r="AN785" s="115"/>
      <c r="AO785" s="115"/>
      <c r="AP785" s="115"/>
      <c r="AQ785" s="115"/>
      <c r="AR785" s="115"/>
      <c r="AS785" s="115"/>
      <c r="AT785" s="29"/>
      <c r="AU785" s="29"/>
      <c r="AY785" s="115"/>
      <c r="AZ785" s="115"/>
      <c r="BA785" s="115"/>
      <c r="BB785" s="115"/>
      <c r="BC785" s="115"/>
      <c r="BD785" s="115"/>
      <c r="BE785" s="25"/>
      <c r="BF785" s="25"/>
      <c r="BK785" s="116"/>
      <c r="BL785" s="123"/>
      <c r="BM785" s="123"/>
      <c r="BN785" s="123"/>
      <c r="BS785" s="115"/>
      <c r="BT785" s="115"/>
      <c r="BU785" s="115"/>
      <c r="BV785" s="115"/>
      <c r="BW785" s="115"/>
      <c r="BX785" s="115"/>
      <c r="BY785" s="115"/>
      <c r="BZ785" s="115"/>
      <c r="CA785" s="115"/>
      <c r="CB785" s="115"/>
      <c r="CC785" s="25"/>
      <c r="CD785" s="13"/>
      <c r="CG785" s="114"/>
    </row>
    <row r="786" spans="1:85" ht="20.100000000000001" customHeight="1" x14ac:dyDescent="0.4">
      <c r="A786" s="117"/>
      <c r="B786" s="123"/>
      <c r="C786" s="123"/>
      <c r="D786" s="123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27"/>
      <c r="AU786" s="29"/>
      <c r="AY786" s="115"/>
      <c r="AZ786" s="115"/>
      <c r="BA786" s="115"/>
      <c r="BB786" s="115"/>
      <c r="BC786" s="115"/>
      <c r="BD786" s="115"/>
      <c r="BE786" s="25"/>
      <c r="BF786" s="25"/>
      <c r="BK786" s="116"/>
      <c r="BL786" s="123"/>
      <c r="BM786" s="123"/>
      <c r="BN786" s="123"/>
      <c r="BS786" s="115"/>
      <c r="BT786" s="115"/>
      <c r="BU786" s="115"/>
      <c r="BV786" s="115"/>
      <c r="BW786" s="115"/>
      <c r="BX786" s="115"/>
      <c r="BY786" s="115"/>
      <c r="BZ786" s="115"/>
      <c r="CA786" s="115"/>
      <c r="CB786" s="115"/>
      <c r="CC786" s="25"/>
      <c r="CD786" s="13"/>
      <c r="CG786" s="114"/>
    </row>
    <row r="787" spans="1:85" ht="20.100000000000001" customHeight="1" x14ac:dyDescent="0.4">
      <c r="A787" s="117"/>
      <c r="B787" s="123"/>
      <c r="C787" s="123"/>
      <c r="D787" s="123"/>
      <c r="AT787" s="127"/>
      <c r="AU787" s="29"/>
      <c r="AY787" s="115"/>
      <c r="AZ787" s="115"/>
      <c r="BA787" s="115"/>
      <c r="BB787" s="115"/>
      <c r="BC787" s="115"/>
      <c r="BD787" s="115"/>
      <c r="BE787" s="25">
        <v>45673</v>
      </c>
      <c r="BF787" s="13" t="s">
        <v>147</v>
      </c>
      <c r="BK787" s="116"/>
      <c r="BL787" s="123"/>
      <c r="BM787" s="123"/>
      <c r="BN787" s="123"/>
      <c r="BS787" s="115"/>
      <c r="BT787" s="115"/>
      <c r="BU787" s="115"/>
      <c r="BV787" s="115"/>
      <c r="BW787" s="115"/>
      <c r="BX787" s="115"/>
      <c r="BY787" s="115"/>
      <c r="BZ787" s="115"/>
      <c r="CA787" s="115"/>
      <c r="CB787" s="115"/>
      <c r="CC787" s="25"/>
      <c r="CD787" s="13"/>
      <c r="CG787" s="114"/>
    </row>
    <row r="788" spans="1:85" ht="20.100000000000001" customHeight="1" x14ac:dyDescent="0.4">
      <c r="A788" s="117"/>
      <c r="B788" s="123"/>
      <c r="C788" s="123"/>
      <c r="D788" s="123"/>
      <c r="AM788" s="115"/>
      <c r="AN788" s="115"/>
      <c r="AO788" s="115"/>
      <c r="AP788" s="115"/>
      <c r="AQ788" s="115"/>
      <c r="AR788" s="115"/>
      <c r="AS788" s="115"/>
      <c r="AT788" s="127"/>
      <c r="AU788" s="29"/>
      <c r="AY788" s="115"/>
      <c r="AZ788" s="115"/>
      <c r="BA788" s="115"/>
      <c r="BB788" s="115"/>
      <c r="BC788" s="115"/>
      <c r="BD788" s="115"/>
      <c r="BE788" s="25"/>
      <c r="BF788" s="13"/>
      <c r="BK788" s="116"/>
      <c r="BL788" s="123"/>
      <c r="BM788" s="123"/>
      <c r="BN788" s="123"/>
      <c r="BS788" s="115"/>
      <c r="BT788" s="115"/>
      <c r="BU788" s="115"/>
      <c r="BV788" s="115"/>
      <c r="BW788" s="115"/>
      <c r="BX788" s="115"/>
      <c r="BY788" s="115"/>
      <c r="BZ788" s="115"/>
      <c r="CA788" s="115"/>
      <c r="CB788" s="115"/>
      <c r="CC788" s="25"/>
      <c r="CD788" s="13"/>
      <c r="CG788" s="114"/>
    </row>
    <row r="789" spans="1:85" ht="20.100000000000001" customHeight="1" x14ac:dyDescent="0.4">
      <c r="A789" s="117"/>
      <c r="B789" s="123"/>
      <c r="C789" s="123"/>
      <c r="D789" s="123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27"/>
      <c r="AU789" s="29"/>
      <c r="AY789" s="115"/>
      <c r="AZ789" s="115"/>
      <c r="BA789" s="115"/>
      <c r="BB789" s="115"/>
      <c r="BC789" s="115"/>
      <c r="BD789" s="115"/>
      <c r="BE789" s="25"/>
      <c r="BF789" s="13"/>
      <c r="BK789" s="116"/>
      <c r="BL789" s="123"/>
      <c r="BM789" s="123"/>
      <c r="BN789" s="123"/>
      <c r="BS789" s="115"/>
      <c r="BT789" s="115"/>
      <c r="BU789" s="115"/>
      <c r="BV789" s="115"/>
      <c r="BW789" s="115"/>
      <c r="BX789" s="115"/>
      <c r="BY789" s="115"/>
      <c r="BZ789" s="115"/>
      <c r="CA789" s="115"/>
      <c r="CB789" s="115"/>
      <c r="CC789" s="25"/>
      <c r="CD789" s="13"/>
      <c r="CG789" s="114"/>
    </row>
    <row r="790" spans="1:85" ht="20.100000000000001" customHeight="1" x14ac:dyDescent="0.4">
      <c r="A790" s="117"/>
      <c r="B790" s="123"/>
      <c r="C790" s="123"/>
      <c r="D790" s="123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29"/>
      <c r="AU790" s="29"/>
      <c r="AY790" s="115"/>
      <c r="AZ790" s="115"/>
      <c r="BA790" s="115"/>
      <c r="BB790" s="115"/>
      <c r="BC790" s="115"/>
      <c r="BD790" s="115"/>
      <c r="BE790" s="25"/>
      <c r="BF790" s="13"/>
      <c r="BK790" s="116"/>
      <c r="BL790" s="123"/>
      <c r="BM790" s="123"/>
      <c r="BN790" s="123"/>
      <c r="BS790" s="115"/>
      <c r="BT790" s="115"/>
      <c r="BU790" s="115"/>
      <c r="BV790" s="115"/>
      <c r="BW790" s="115"/>
      <c r="BX790" s="115"/>
      <c r="BY790" s="115"/>
      <c r="BZ790" s="115"/>
      <c r="CA790" s="115"/>
      <c r="CB790" s="115"/>
      <c r="CC790" s="25"/>
      <c r="CD790" s="13"/>
      <c r="CG790" s="114"/>
    </row>
    <row r="791" spans="1:85" ht="20.100000000000001" customHeight="1" x14ac:dyDescent="0.4">
      <c r="A791" s="117"/>
      <c r="B791" s="123"/>
      <c r="C791" s="123"/>
      <c r="D791" s="123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27"/>
      <c r="AU791" s="29"/>
      <c r="AY791" s="115"/>
      <c r="AZ791" s="115"/>
      <c r="BA791" s="115"/>
      <c r="BB791" s="115"/>
      <c r="BC791" s="115"/>
      <c r="BD791" s="115"/>
      <c r="BE791" s="25"/>
      <c r="BF791" s="13"/>
      <c r="BK791" s="116"/>
      <c r="BL791" s="123"/>
      <c r="BM791" s="123"/>
      <c r="BN791" s="123"/>
      <c r="BS791" s="115"/>
      <c r="BT791" s="115"/>
      <c r="BU791" s="115"/>
      <c r="BV791" s="115"/>
      <c r="BW791" s="115"/>
      <c r="BX791" s="115"/>
      <c r="BY791" s="115"/>
      <c r="BZ791" s="115"/>
      <c r="CA791" s="115"/>
      <c r="CB791" s="115"/>
      <c r="CC791" s="25"/>
      <c r="CD791" s="13"/>
      <c r="CG791" s="114"/>
    </row>
    <row r="792" spans="1:85" ht="20.100000000000001" customHeight="1" x14ac:dyDescent="0.4">
      <c r="A792" s="117"/>
      <c r="B792" s="123"/>
      <c r="C792" s="123"/>
      <c r="D792" s="123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29"/>
      <c r="AU792" s="29"/>
      <c r="AY792" s="115"/>
      <c r="AZ792" s="115"/>
      <c r="BA792" s="115"/>
      <c r="BB792" s="115"/>
      <c r="BC792" s="115"/>
      <c r="BD792" s="115"/>
      <c r="BE792" s="25"/>
      <c r="BF792" s="13"/>
      <c r="BK792" s="116"/>
      <c r="BL792" s="123"/>
      <c r="BM792" s="123"/>
      <c r="BN792" s="123"/>
      <c r="BS792" s="115"/>
      <c r="BT792" s="115"/>
      <c r="BU792" s="115"/>
      <c r="BV792" s="115"/>
      <c r="BW792" s="115"/>
      <c r="BX792" s="115"/>
      <c r="BY792" s="115"/>
      <c r="BZ792" s="115"/>
      <c r="CA792" s="115"/>
      <c r="CB792" s="115"/>
      <c r="CC792" s="25"/>
      <c r="CD792" s="13"/>
      <c r="CG792" s="114"/>
    </row>
    <row r="793" spans="1:85" ht="20.100000000000001" customHeight="1" x14ac:dyDescent="0.4">
      <c r="A793" s="117"/>
      <c r="B793" s="123"/>
      <c r="C793" s="123"/>
      <c r="D793" s="123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27"/>
      <c r="AU793" s="29"/>
      <c r="AY793" s="115"/>
      <c r="AZ793" s="115"/>
      <c r="BA793" s="115"/>
      <c r="BB793" s="115"/>
      <c r="BC793" s="115"/>
      <c r="BD793" s="115"/>
      <c r="BE793" s="25"/>
      <c r="BF793" s="13"/>
      <c r="BK793" s="116"/>
      <c r="BL793" s="123"/>
      <c r="BM793" s="123"/>
      <c r="BN793" s="123"/>
      <c r="BS793" s="115"/>
      <c r="BT793" s="115"/>
      <c r="BU793" s="115"/>
      <c r="BV793" s="115"/>
      <c r="BW793" s="115"/>
      <c r="BX793" s="115"/>
      <c r="BY793" s="115"/>
      <c r="BZ793" s="115"/>
      <c r="CA793" s="115"/>
      <c r="CB793" s="115"/>
      <c r="CC793" s="25"/>
      <c r="CD793" s="13"/>
      <c r="CG793" s="114"/>
    </row>
    <row r="794" spans="1:85" ht="20.100000000000001" customHeight="1" x14ac:dyDescent="0.4">
      <c r="A794" s="117"/>
      <c r="B794" s="123"/>
      <c r="C794" s="123"/>
      <c r="D794" s="123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29"/>
      <c r="AU794" s="29"/>
      <c r="AY794" s="115"/>
      <c r="AZ794" s="115"/>
      <c r="BA794" s="115"/>
      <c r="BB794" s="115"/>
      <c r="BC794" s="115"/>
      <c r="BD794" s="115"/>
      <c r="BE794" s="25"/>
      <c r="BF794" s="13"/>
      <c r="BK794" s="116"/>
      <c r="BL794" s="123"/>
      <c r="BM794" s="123"/>
      <c r="BN794" s="123"/>
      <c r="BS794" s="115"/>
      <c r="BT794" s="115"/>
      <c r="BU794" s="115"/>
      <c r="BV794" s="115"/>
      <c r="BW794" s="115"/>
      <c r="BX794" s="115"/>
      <c r="BY794" s="115"/>
      <c r="BZ794" s="115"/>
      <c r="CA794" s="115"/>
      <c r="CB794" s="115"/>
      <c r="CC794" s="25"/>
      <c r="CD794" s="13"/>
      <c r="CG794" s="114"/>
    </row>
    <row r="795" spans="1:85" ht="20.100000000000001" customHeight="1" x14ac:dyDescent="0.4">
      <c r="A795" s="117"/>
      <c r="B795" s="123"/>
      <c r="C795" s="123"/>
      <c r="D795" s="123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27"/>
      <c r="AU795" s="127"/>
      <c r="AY795" s="115"/>
      <c r="AZ795" s="115"/>
      <c r="BA795" s="115"/>
      <c r="BB795" s="115"/>
      <c r="BC795" s="115"/>
      <c r="BD795" s="115"/>
      <c r="BE795" s="25"/>
      <c r="BF795" s="13"/>
      <c r="BK795" s="116"/>
      <c r="BL795" s="123"/>
      <c r="BM795" s="123"/>
      <c r="BN795" s="123"/>
      <c r="BS795" s="115"/>
      <c r="BT795" s="115"/>
      <c r="BU795" s="115"/>
      <c r="BV795" s="115"/>
      <c r="BW795" s="115"/>
      <c r="BX795" s="115"/>
      <c r="BY795" s="115"/>
      <c r="BZ795" s="115"/>
      <c r="CA795" s="115"/>
      <c r="CB795" s="115"/>
      <c r="CC795" s="25"/>
      <c r="CD795" s="13"/>
      <c r="CG795" s="114"/>
    </row>
    <row r="796" spans="1:85" ht="20.100000000000001" customHeight="1" x14ac:dyDescent="0.4">
      <c r="A796" s="117"/>
      <c r="B796" s="123"/>
      <c r="C796" s="123"/>
      <c r="D796" s="123"/>
      <c r="AT796" s="127"/>
      <c r="AU796" s="127"/>
      <c r="AY796" s="115"/>
      <c r="AZ796" s="115"/>
      <c r="BA796" s="115"/>
      <c r="BB796" s="115"/>
      <c r="BC796" s="115"/>
      <c r="BD796" s="115"/>
      <c r="BE796" s="25">
        <v>45673</v>
      </c>
      <c r="BF796" s="13" t="s">
        <v>147</v>
      </c>
      <c r="BK796" s="116"/>
      <c r="BL796" s="123"/>
      <c r="BM796" s="123"/>
      <c r="BN796" s="123"/>
      <c r="BS796" s="115"/>
      <c r="BT796" s="115"/>
      <c r="BU796" s="115"/>
      <c r="BV796" s="115"/>
      <c r="BW796" s="115"/>
      <c r="BX796" s="115"/>
      <c r="BY796" s="115"/>
      <c r="BZ796" s="115"/>
      <c r="CA796" s="115"/>
      <c r="CB796" s="115"/>
      <c r="CC796" s="25"/>
      <c r="CD796" s="13"/>
      <c r="CG796" s="114"/>
    </row>
    <row r="797" spans="1:85" ht="20.100000000000001" customHeight="1" x14ac:dyDescent="0.4">
      <c r="A797" s="117"/>
      <c r="B797" s="123"/>
      <c r="C797" s="123"/>
      <c r="D797" s="123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27"/>
      <c r="AU797" s="29"/>
      <c r="AY797" s="115"/>
      <c r="AZ797" s="115"/>
      <c r="BA797" s="115"/>
      <c r="BB797" s="115"/>
      <c r="BC797" s="115"/>
      <c r="BD797" s="115"/>
      <c r="BE797" s="25"/>
      <c r="BF797" s="13"/>
      <c r="BK797" s="116"/>
      <c r="BL797" s="123"/>
      <c r="BM797" s="123"/>
      <c r="BN797" s="123"/>
      <c r="BS797" s="115"/>
      <c r="BT797" s="115"/>
      <c r="BU797" s="115"/>
      <c r="BV797" s="115"/>
      <c r="BW797" s="115"/>
      <c r="BX797" s="115"/>
      <c r="BY797" s="115"/>
      <c r="BZ797" s="115"/>
      <c r="CA797" s="115"/>
      <c r="CB797" s="115"/>
      <c r="CC797" s="25"/>
      <c r="CD797" s="13"/>
      <c r="CG797" s="114"/>
    </row>
    <row r="798" spans="1:85" ht="20.100000000000001" customHeight="1" x14ac:dyDescent="0.4">
      <c r="A798" s="117"/>
      <c r="B798" s="123"/>
      <c r="C798" s="123"/>
      <c r="D798" s="123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27"/>
      <c r="AU798" s="29"/>
      <c r="AY798" s="115"/>
      <c r="AZ798" s="115"/>
      <c r="BA798" s="115"/>
      <c r="BB798" s="115"/>
      <c r="BC798" s="115"/>
      <c r="BD798" s="115"/>
      <c r="BE798" s="25"/>
      <c r="BF798" s="13"/>
      <c r="BK798" s="116"/>
      <c r="BL798" s="123"/>
      <c r="BM798" s="123"/>
      <c r="BN798" s="123"/>
      <c r="BS798" s="115"/>
      <c r="BT798" s="115"/>
      <c r="BU798" s="115"/>
      <c r="BV798" s="115"/>
      <c r="BW798" s="115"/>
      <c r="BX798" s="115"/>
      <c r="BY798" s="115"/>
      <c r="BZ798" s="115"/>
      <c r="CA798" s="115"/>
      <c r="CB798" s="115"/>
      <c r="CC798" s="25"/>
      <c r="CD798" s="13"/>
      <c r="CG798" s="114"/>
    </row>
    <row r="799" spans="1:85" ht="20.100000000000001" customHeight="1" x14ac:dyDescent="0.4">
      <c r="A799" s="117"/>
      <c r="B799" s="123"/>
      <c r="C799" s="123"/>
      <c r="D799" s="123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27"/>
      <c r="AU799" s="29"/>
      <c r="AY799" s="115"/>
      <c r="AZ799" s="115"/>
      <c r="BA799" s="115"/>
      <c r="BB799" s="115"/>
      <c r="BC799" s="115"/>
      <c r="BD799" s="115"/>
      <c r="BE799" s="25"/>
      <c r="BF799" s="13"/>
      <c r="BK799" s="116"/>
      <c r="BL799" s="123"/>
      <c r="BM799" s="123"/>
      <c r="BN799" s="123"/>
      <c r="BS799" s="115"/>
      <c r="BT799" s="115"/>
      <c r="BU799" s="115"/>
      <c r="BV799" s="115"/>
      <c r="BW799" s="115"/>
      <c r="BX799" s="115"/>
      <c r="BY799" s="115"/>
      <c r="BZ799" s="115"/>
      <c r="CA799" s="115"/>
      <c r="CB799" s="115"/>
      <c r="CC799" s="25"/>
      <c r="CD799" s="13"/>
      <c r="CG799" s="114"/>
    </row>
    <row r="800" spans="1:85" ht="20.100000000000001" customHeight="1" x14ac:dyDescent="0.4">
      <c r="A800" s="117"/>
      <c r="B800" s="123"/>
      <c r="C800" s="123"/>
      <c r="D800" s="123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27"/>
      <c r="AU800" s="29"/>
      <c r="AY800" s="115"/>
      <c r="AZ800" s="115"/>
      <c r="BA800" s="115"/>
      <c r="BB800" s="115"/>
      <c r="BC800" s="115"/>
      <c r="BD800" s="115"/>
      <c r="BE800" s="25"/>
      <c r="BF800" s="13"/>
      <c r="BK800" s="116"/>
      <c r="BL800" s="123"/>
      <c r="BM800" s="123"/>
      <c r="BN800" s="123"/>
      <c r="BS800" s="115"/>
      <c r="BT800" s="115"/>
      <c r="BU800" s="115"/>
      <c r="BV800" s="115"/>
      <c r="BW800" s="115"/>
      <c r="BX800" s="115"/>
      <c r="BY800" s="115"/>
      <c r="BZ800" s="115"/>
      <c r="CA800" s="115"/>
      <c r="CB800" s="115"/>
      <c r="CC800" s="25"/>
      <c r="CD800" s="13"/>
      <c r="CG800" s="114"/>
    </row>
    <row r="801" spans="1:85" ht="20.100000000000001" customHeight="1" x14ac:dyDescent="0.4">
      <c r="A801" s="117"/>
      <c r="B801" s="123"/>
      <c r="C801" s="123"/>
      <c r="D801" s="123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29"/>
      <c r="AU801" s="29"/>
      <c r="AY801" s="115"/>
      <c r="AZ801" s="115"/>
      <c r="BA801" s="115"/>
      <c r="BB801" s="115"/>
      <c r="BC801" s="115"/>
      <c r="BD801" s="115"/>
      <c r="BE801" s="25"/>
      <c r="BF801" s="13"/>
      <c r="BK801" s="116"/>
      <c r="BL801" s="123"/>
      <c r="BM801" s="123"/>
      <c r="BN801" s="123"/>
      <c r="BS801" s="115"/>
      <c r="BT801" s="115"/>
      <c r="BU801" s="115"/>
      <c r="BV801" s="115"/>
      <c r="BW801" s="115"/>
      <c r="BX801" s="115"/>
      <c r="BY801" s="115"/>
      <c r="BZ801" s="115"/>
      <c r="CA801" s="115"/>
      <c r="CB801" s="115"/>
      <c r="CC801" s="25"/>
      <c r="CD801" s="13"/>
      <c r="CG801" s="114"/>
    </row>
    <row r="802" spans="1:85" ht="20.100000000000001" customHeight="1" x14ac:dyDescent="0.4">
      <c r="A802" s="117"/>
      <c r="B802" s="123"/>
      <c r="C802" s="123"/>
      <c r="D802" s="123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29"/>
      <c r="AU802" s="29"/>
      <c r="AY802" s="115"/>
      <c r="AZ802" s="115"/>
      <c r="BA802" s="115"/>
      <c r="BB802" s="115"/>
      <c r="BC802" s="115"/>
      <c r="BD802" s="115"/>
      <c r="BE802" s="25"/>
      <c r="BF802" s="13"/>
      <c r="BK802" s="116"/>
      <c r="BL802" s="123"/>
      <c r="BM802" s="123"/>
      <c r="BN802" s="123"/>
      <c r="BS802" s="115"/>
      <c r="BT802" s="115"/>
      <c r="BU802" s="115"/>
      <c r="BV802" s="115"/>
      <c r="BW802" s="115"/>
      <c r="BX802" s="115"/>
      <c r="BY802" s="115"/>
      <c r="BZ802" s="115"/>
      <c r="CA802" s="115"/>
      <c r="CB802" s="115"/>
      <c r="CC802" s="25"/>
      <c r="CD802" s="13"/>
      <c r="CG802" s="114"/>
    </row>
    <row r="803" spans="1:85" ht="20.100000000000001" customHeight="1" x14ac:dyDescent="0.4">
      <c r="A803" s="117"/>
      <c r="B803" s="123"/>
      <c r="C803" s="123"/>
      <c r="D803" s="123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27"/>
      <c r="AU803" s="29"/>
      <c r="AY803" s="115"/>
      <c r="AZ803" s="115"/>
      <c r="BA803" s="115"/>
      <c r="BB803" s="115"/>
      <c r="BC803" s="115"/>
      <c r="BD803" s="115"/>
      <c r="BE803" s="25"/>
      <c r="BF803" s="13"/>
      <c r="BK803" s="116"/>
      <c r="BL803" s="123"/>
      <c r="BM803" s="123"/>
      <c r="BN803" s="123"/>
      <c r="BS803" s="115"/>
      <c r="BT803" s="115"/>
      <c r="BU803" s="115"/>
      <c r="BV803" s="115"/>
      <c r="BW803" s="115"/>
      <c r="BX803" s="115"/>
      <c r="BY803" s="115"/>
      <c r="BZ803" s="115"/>
      <c r="CA803" s="115"/>
      <c r="CB803" s="115"/>
      <c r="CC803" s="25"/>
      <c r="CD803" s="13"/>
      <c r="CG803" s="114"/>
    </row>
    <row r="804" spans="1:85" ht="20.100000000000001" customHeight="1" x14ac:dyDescent="0.4">
      <c r="A804" s="117"/>
      <c r="B804" s="123"/>
      <c r="C804" s="123"/>
      <c r="D804" s="123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27"/>
      <c r="AU804" s="29"/>
      <c r="AY804" s="115"/>
      <c r="AZ804" s="115"/>
      <c r="BA804" s="115"/>
      <c r="BB804" s="115"/>
      <c r="BC804" s="115"/>
      <c r="BD804" s="115"/>
      <c r="BE804" s="25"/>
      <c r="BF804" s="13"/>
      <c r="BK804" s="116"/>
      <c r="BL804" s="123"/>
      <c r="BM804" s="123"/>
      <c r="BN804" s="123"/>
      <c r="BS804" s="115"/>
      <c r="BT804" s="115"/>
      <c r="BU804" s="115"/>
      <c r="BV804" s="115"/>
      <c r="BW804" s="115"/>
      <c r="BX804" s="115"/>
      <c r="BY804" s="115"/>
      <c r="BZ804" s="115"/>
      <c r="CA804" s="115"/>
      <c r="CB804" s="115"/>
      <c r="CC804" s="25"/>
      <c r="CD804" s="13"/>
      <c r="CG804" s="114"/>
    </row>
    <row r="805" spans="1:85" ht="20.100000000000001" customHeight="1" x14ac:dyDescent="0.4">
      <c r="A805" s="117"/>
      <c r="B805" s="123"/>
      <c r="C805" s="123"/>
      <c r="D805" s="123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27"/>
      <c r="AU805" s="29"/>
      <c r="AY805" s="115"/>
      <c r="AZ805" s="115"/>
      <c r="BA805" s="115"/>
      <c r="BB805" s="115"/>
      <c r="BC805" s="115"/>
      <c r="BD805" s="115"/>
      <c r="BE805" s="25"/>
      <c r="BF805" s="13"/>
      <c r="BK805" s="116"/>
      <c r="BL805" s="123"/>
      <c r="BM805" s="123"/>
      <c r="BN805" s="123"/>
      <c r="BS805" s="115"/>
      <c r="BT805" s="115"/>
      <c r="BU805" s="115"/>
      <c r="BV805" s="115"/>
      <c r="BW805" s="115"/>
      <c r="BX805" s="115"/>
      <c r="BY805" s="115"/>
      <c r="BZ805" s="115"/>
      <c r="CA805" s="115"/>
      <c r="CB805" s="115"/>
      <c r="CC805" s="25"/>
      <c r="CD805" s="13"/>
      <c r="CG805" s="114"/>
    </row>
    <row r="806" spans="1:85" ht="20.100000000000001" customHeight="1" x14ac:dyDescent="0.4">
      <c r="A806" s="117"/>
      <c r="B806" s="123"/>
      <c r="C806" s="123"/>
      <c r="D806" s="123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27"/>
      <c r="AU806" s="29"/>
      <c r="AY806" s="115"/>
      <c r="AZ806" s="115"/>
      <c r="BA806" s="115"/>
      <c r="BB806" s="115"/>
      <c r="BC806" s="115"/>
      <c r="BD806" s="115"/>
      <c r="BE806" s="25"/>
      <c r="BF806" s="13"/>
      <c r="BK806" s="116"/>
      <c r="BL806" s="123"/>
      <c r="BM806" s="123"/>
      <c r="BN806" s="123"/>
      <c r="BS806" s="115"/>
      <c r="BT806" s="115"/>
      <c r="BU806" s="115"/>
      <c r="BV806" s="115"/>
      <c r="BW806" s="115"/>
      <c r="BX806" s="115"/>
      <c r="BY806" s="115"/>
      <c r="BZ806" s="115"/>
      <c r="CA806" s="115"/>
      <c r="CB806" s="115"/>
      <c r="CC806" s="25"/>
      <c r="CD806" s="13"/>
      <c r="CG806" s="114"/>
    </row>
    <row r="807" spans="1:85" ht="20.100000000000001" customHeight="1" x14ac:dyDescent="0.4">
      <c r="A807" s="117"/>
      <c r="B807" s="123"/>
      <c r="C807" s="123"/>
      <c r="D807" s="123"/>
      <c r="AT807" s="127"/>
      <c r="AU807" s="29"/>
      <c r="AW807" s="115"/>
      <c r="AX807" s="115"/>
      <c r="AY807" s="115"/>
      <c r="AZ807" s="115"/>
      <c r="BA807" s="115"/>
      <c r="BB807" s="115"/>
      <c r="BC807" s="115"/>
      <c r="BD807" s="115"/>
      <c r="BE807" s="25">
        <v>45673</v>
      </c>
      <c r="BF807" s="13" t="s">
        <v>148</v>
      </c>
      <c r="BK807" s="116"/>
      <c r="BL807" s="123"/>
      <c r="BM807" s="123"/>
      <c r="BN807" s="123"/>
      <c r="BS807" s="115"/>
      <c r="BT807" s="115"/>
      <c r="BU807" s="115"/>
      <c r="BV807" s="115"/>
      <c r="BW807" s="115"/>
      <c r="BX807" s="115"/>
      <c r="BY807" s="115"/>
      <c r="BZ807" s="115"/>
      <c r="CA807" s="115"/>
      <c r="CB807" s="115"/>
      <c r="CC807" s="25"/>
      <c r="CD807" s="13"/>
      <c r="CG807" s="114"/>
    </row>
    <row r="808" spans="1:85" ht="20.100000000000001" customHeight="1" x14ac:dyDescent="0.4">
      <c r="A808" s="117"/>
      <c r="B808" s="123"/>
      <c r="C808" s="123"/>
      <c r="D808" s="123"/>
      <c r="AM808" s="115"/>
      <c r="AN808" s="115"/>
      <c r="AO808" s="115"/>
      <c r="AP808" s="115"/>
      <c r="AQ808" s="115"/>
      <c r="AR808" s="115"/>
      <c r="AS808" s="115"/>
      <c r="AT808" s="29"/>
      <c r="AU808" s="29"/>
      <c r="AW808" s="115"/>
      <c r="AX808" s="115"/>
      <c r="AY808" s="115"/>
      <c r="AZ808" s="115"/>
      <c r="BA808" s="115"/>
      <c r="BB808" s="115"/>
      <c r="BC808" s="115"/>
      <c r="BD808" s="115"/>
      <c r="BE808" s="25"/>
      <c r="BF808" s="13"/>
      <c r="BK808" s="116"/>
      <c r="BL808" s="123"/>
      <c r="BM808" s="123"/>
      <c r="BN808" s="123"/>
      <c r="BS808" s="115"/>
      <c r="BT808" s="115"/>
      <c r="BU808" s="115"/>
      <c r="BV808" s="115"/>
      <c r="BW808" s="115"/>
      <c r="BX808" s="115"/>
      <c r="BY808" s="115"/>
      <c r="BZ808" s="115"/>
      <c r="CA808" s="115"/>
      <c r="CB808" s="115"/>
      <c r="CC808" s="25"/>
      <c r="CD808" s="13"/>
      <c r="CG808" s="114"/>
    </row>
    <row r="809" spans="1:85" ht="20.100000000000001" customHeight="1" x14ac:dyDescent="0.4">
      <c r="A809" s="117"/>
      <c r="B809" s="123"/>
      <c r="C809" s="123"/>
      <c r="D809" s="123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27"/>
      <c r="AU809" s="29"/>
      <c r="AW809" s="115"/>
      <c r="AX809" s="115"/>
      <c r="AY809" s="115"/>
      <c r="AZ809" s="115"/>
      <c r="BA809" s="115"/>
      <c r="BB809" s="115"/>
      <c r="BC809" s="115"/>
      <c r="BD809" s="115"/>
      <c r="BE809" s="25"/>
      <c r="BF809" s="13"/>
      <c r="BK809" s="116"/>
      <c r="BL809" s="123"/>
      <c r="BM809" s="123"/>
      <c r="BN809" s="123"/>
      <c r="BS809" s="115"/>
      <c r="BT809" s="115"/>
      <c r="BU809" s="115"/>
      <c r="BV809" s="115"/>
      <c r="BW809" s="115"/>
      <c r="BX809" s="115"/>
      <c r="BY809" s="115"/>
      <c r="BZ809" s="115"/>
      <c r="CA809" s="115"/>
      <c r="CB809" s="115"/>
      <c r="CC809" s="25"/>
      <c r="CD809" s="13"/>
      <c r="CG809" s="114"/>
    </row>
    <row r="810" spans="1:85" ht="20.100000000000001" customHeight="1" x14ac:dyDescent="0.4">
      <c r="A810" s="117"/>
      <c r="B810" s="123"/>
      <c r="C810" s="123"/>
      <c r="D810" s="123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27"/>
      <c r="AU810" s="29"/>
      <c r="AW810" s="115"/>
      <c r="AX810" s="115"/>
      <c r="AY810" s="115"/>
      <c r="AZ810" s="115"/>
      <c r="BA810" s="115"/>
      <c r="BB810" s="115"/>
      <c r="BC810" s="115"/>
      <c r="BD810" s="115"/>
      <c r="BE810" s="25"/>
      <c r="BF810" s="13"/>
      <c r="BK810" s="116"/>
      <c r="BL810" s="123"/>
      <c r="BM810" s="123"/>
      <c r="BN810" s="123"/>
      <c r="BS810" s="115"/>
      <c r="BT810" s="115"/>
      <c r="BU810" s="115"/>
      <c r="BV810" s="115"/>
      <c r="BW810" s="115"/>
      <c r="BX810" s="115"/>
      <c r="BY810" s="115"/>
      <c r="BZ810" s="115"/>
      <c r="CA810" s="115"/>
      <c r="CB810" s="115"/>
      <c r="CC810" s="25"/>
      <c r="CD810" s="13"/>
      <c r="CG810" s="114"/>
    </row>
    <row r="811" spans="1:85" ht="20.100000000000001" customHeight="1" x14ac:dyDescent="0.4">
      <c r="A811" s="117"/>
      <c r="B811" s="123"/>
      <c r="C811" s="123"/>
      <c r="D811" s="123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27"/>
      <c r="AU811" s="29"/>
      <c r="AW811" s="115"/>
      <c r="AX811" s="115"/>
      <c r="AY811" s="115"/>
      <c r="AZ811" s="115"/>
      <c r="BA811" s="115"/>
      <c r="BB811" s="115"/>
      <c r="BC811" s="115"/>
      <c r="BD811" s="115"/>
      <c r="BE811" s="25"/>
      <c r="BF811" s="13"/>
      <c r="BK811" s="116"/>
      <c r="BL811" s="123"/>
      <c r="BM811" s="123"/>
      <c r="BN811" s="123"/>
      <c r="BS811" s="115"/>
      <c r="BT811" s="115"/>
      <c r="BU811" s="115"/>
      <c r="BV811" s="115"/>
      <c r="BW811" s="115"/>
      <c r="BX811" s="115"/>
      <c r="BY811" s="115"/>
      <c r="BZ811" s="115"/>
      <c r="CA811" s="115"/>
      <c r="CB811" s="115"/>
      <c r="CC811" s="25"/>
      <c r="CD811" s="13"/>
      <c r="CG811" s="114"/>
    </row>
    <row r="812" spans="1:85" ht="20.100000000000001" customHeight="1" x14ac:dyDescent="0.4">
      <c r="A812" s="117"/>
      <c r="B812" s="123"/>
      <c r="C812" s="123"/>
      <c r="D812" s="123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27"/>
      <c r="AU812" s="29"/>
      <c r="AW812" s="115"/>
      <c r="AX812" s="115"/>
      <c r="AY812" s="115"/>
      <c r="AZ812" s="115"/>
      <c r="BA812" s="115"/>
      <c r="BB812" s="115"/>
      <c r="BC812" s="115"/>
      <c r="BD812" s="115"/>
      <c r="BE812" s="25"/>
      <c r="BF812" s="13"/>
      <c r="BK812" s="116"/>
      <c r="BL812" s="123"/>
      <c r="BM812" s="123"/>
      <c r="BN812" s="123"/>
      <c r="BS812" s="115"/>
      <c r="BT812" s="115"/>
      <c r="BU812" s="115"/>
      <c r="BV812" s="115"/>
      <c r="BW812" s="115"/>
      <c r="BX812" s="115"/>
      <c r="BY812" s="115"/>
      <c r="BZ812" s="115"/>
      <c r="CA812" s="115"/>
      <c r="CB812" s="115"/>
      <c r="CC812" s="25"/>
      <c r="CD812" s="13"/>
      <c r="CG812" s="114"/>
    </row>
    <row r="813" spans="1:85" ht="20.100000000000001" customHeight="1" x14ac:dyDescent="0.4">
      <c r="A813" s="117"/>
      <c r="B813" s="123"/>
      <c r="C813" s="123"/>
      <c r="D813" s="123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29"/>
      <c r="AU813" s="29"/>
      <c r="AW813" s="115"/>
      <c r="AX813" s="115"/>
      <c r="AY813" s="115"/>
      <c r="AZ813" s="115"/>
      <c r="BA813" s="115"/>
      <c r="BB813" s="115"/>
      <c r="BC813" s="115"/>
      <c r="BD813" s="115"/>
      <c r="BE813" s="25"/>
      <c r="BF813" s="13"/>
      <c r="BK813" s="116"/>
      <c r="BL813" s="123"/>
      <c r="BM813" s="123"/>
      <c r="BN813" s="123"/>
      <c r="BS813" s="115"/>
      <c r="BT813" s="115"/>
      <c r="BU813" s="115"/>
      <c r="BV813" s="115"/>
      <c r="BW813" s="115"/>
      <c r="BX813" s="115"/>
      <c r="BY813" s="115"/>
      <c r="BZ813" s="115"/>
      <c r="CA813" s="115"/>
      <c r="CB813" s="115"/>
      <c r="CC813" s="25"/>
      <c r="CD813" s="13"/>
      <c r="CG813" s="114"/>
    </row>
    <row r="814" spans="1:85" ht="20.100000000000001" customHeight="1" x14ac:dyDescent="0.4">
      <c r="A814" s="117"/>
      <c r="B814" s="123"/>
      <c r="C814" s="123"/>
      <c r="D814" s="123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27"/>
      <c r="AU814" s="29"/>
      <c r="AW814" s="115"/>
      <c r="AX814" s="115"/>
      <c r="AY814" s="115"/>
      <c r="AZ814" s="115"/>
      <c r="BA814" s="115"/>
      <c r="BB814" s="115"/>
      <c r="BC814" s="115"/>
      <c r="BD814" s="115"/>
      <c r="BE814" s="25"/>
      <c r="BF814" s="13"/>
      <c r="BK814" s="116"/>
      <c r="BL814" s="123"/>
      <c r="BM814" s="123"/>
      <c r="BN814" s="123"/>
      <c r="BS814" s="115"/>
      <c r="BT814" s="115"/>
      <c r="BU814" s="115"/>
      <c r="BV814" s="115"/>
      <c r="BW814" s="115"/>
      <c r="BX814" s="115"/>
      <c r="BY814" s="115"/>
      <c r="BZ814" s="115"/>
      <c r="CA814" s="115"/>
      <c r="CB814" s="115"/>
      <c r="CC814" s="25"/>
      <c r="CD814" s="13"/>
      <c r="CG814" s="114"/>
    </row>
    <row r="815" spans="1:85" ht="20.100000000000001" customHeight="1" x14ac:dyDescent="0.4">
      <c r="A815" s="117"/>
      <c r="B815" s="123"/>
      <c r="C815" s="123"/>
      <c r="D815" s="123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27"/>
      <c r="AU815" s="29"/>
      <c r="AW815" s="115"/>
      <c r="AX815" s="115"/>
      <c r="AY815" s="115"/>
      <c r="AZ815" s="115"/>
      <c r="BA815" s="115"/>
      <c r="BB815" s="115"/>
      <c r="BC815" s="115"/>
      <c r="BD815" s="115"/>
      <c r="BE815" s="25"/>
      <c r="BF815" s="13"/>
      <c r="BK815" s="116"/>
      <c r="BL815" s="123"/>
      <c r="BM815" s="123"/>
      <c r="BN815" s="123"/>
      <c r="BS815" s="115"/>
      <c r="BT815" s="115"/>
      <c r="BU815" s="115"/>
      <c r="BV815" s="115"/>
      <c r="BW815" s="115"/>
      <c r="BX815" s="115"/>
      <c r="BY815" s="115"/>
      <c r="BZ815" s="115"/>
      <c r="CA815" s="115"/>
      <c r="CB815" s="115"/>
      <c r="CC815" s="25"/>
      <c r="CD815" s="13"/>
      <c r="CG815" s="114"/>
    </row>
    <row r="816" spans="1:85" ht="20.100000000000001" customHeight="1" x14ac:dyDescent="0.4">
      <c r="A816" s="117"/>
      <c r="B816" s="123"/>
      <c r="C816" s="123"/>
      <c r="D816" s="123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27"/>
      <c r="AU816" s="29"/>
      <c r="AW816" s="115"/>
      <c r="AX816" s="115"/>
      <c r="AY816" s="115"/>
      <c r="AZ816" s="115"/>
      <c r="BA816" s="115"/>
      <c r="BB816" s="115"/>
      <c r="BC816" s="115"/>
      <c r="BD816" s="115"/>
      <c r="BE816" s="25"/>
      <c r="BF816" s="13"/>
      <c r="BK816" s="116"/>
      <c r="BL816" s="123"/>
      <c r="BM816" s="123"/>
      <c r="BN816" s="123"/>
      <c r="BS816" s="115"/>
      <c r="BT816" s="115"/>
      <c r="BU816" s="115"/>
      <c r="BV816" s="115"/>
      <c r="BW816" s="115"/>
      <c r="BX816" s="115"/>
      <c r="BY816" s="115"/>
      <c r="BZ816" s="115"/>
      <c r="CA816" s="115"/>
      <c r="CB816" s="115"/>
      <c r="CC816" s="25"/>
      <c r="CD816" s="13"/>
      <c r="CG816" s="114"/>
    </row>
    <row r="817" spans="1:85" ht="20.100000000000001" customHeight="1" x14ac:dyDescent="0.4">
      <c r="A817" s="117"/>
      <c r="B817" s="123"/>
      <c r="C817" s="123"/>
      <c r="D817" s="123"/>
      <c r="AT817" s="127"/>
      <c r="AU817" s="29"/>
      <c r="AW817" s="115"/>
      <c r="AX817" s="115"/>
      <c r="AY817" s="115"/>
      <c r="AZ817" s="115"/>
      <c r="BA817" s="115"/>
      <c r="BB817" s="115"/>
      <c r="BC817" s="115"/>
      <c r="BD817" s="115"/>
      <c r="BE817" s="25">
        <v>45673</v>
      </c>
      <c r="BF817" s="13" t="s">
        <v>147</v>
      </c>
      <c r="BK817" s="116"/>
      <c r="BL817" s="123"/>
      <c r="BM817" s="123"/>
      <c r="BN817" s="123"/>
      <c r="BS817" s="115"/>
      <c r="BT817" s="115"/>
      <c r="BU817" s="115"/>
      <c r="BV817" s="115"/>
      <c r="BW817" s="115"/>
      <c r="BX817" s="115"/>
      <c r="BY817" s="115"/>
      <c r="BZ817" s="115"/>
      <c r="CA817" s="115"/>
      <c r="CB817" s="115"/>
      <c r="CC817" s="25"/>
      <c r="CD817" s="13"/>
      <c r="CG817" s="114"/>
    </row>
    <row r="818" spans="1:85" ht="20.100000000000001" customHeight="1" x14ac:dyDescent="0.4">
      <c r="A818" s="117"/>
      <c r="B818" s="123"/>
      <c r="C818" s="123"/>
      <c r="D818" s="123"/>
      <c r="AM818" s="115"/>
      <c r="AN818" s="115"/>
      <c r="AO818" s="115"/>
      <c r="AP818" s="115"/>
      <c r="AQ818" s="115"/>
      <c r="AR818" s="115"/>
      <c r="AS818" s="115"/>
      <c r="AT818" s="29"/>
      <c r="AU818" s="29"/>
      <c r="AW818" s="115"/>
      <c r="AX818" s="115"/>
      <c r="AY818" s="115"/>
      <c r="AZ818" s="115"/>
      <c r="BA818" s="115"/>
      <c r="BB818" s="115"/>
      <c r="BC818" s="115"/>
      <c r="BD818" s="115"/>
      <c r="BE818" s="25"/>
      <c r="BF818" s="13"/>
      <c r="BK818" s="116"/>
      <c r="BL818" s="123"/>
      <c r="BM818" s="123"/>
      <c r="BN818" s="123"/>
      <c r="BS818" s="115"/>
      <c r="BT818" s="115"/>
      <c r="BU818" s="115"/>
      <c r="BV818" s="115"/>
      <c r="BW818" s="115"/>
      <c r="BX818" s="115"/>
      <c r="BY818" s="115"/>
      <c r="BZ818" s="115"/>
      <c r="CA818" s="115"/>
      <c r="CB818" s="115"/>
      <c r="CC818" s="25"/>
      <c r="CD818" s="13"/>
      <c r="CG818" s="114"/>
    </row>
    <row r="819" spans="1:85" ht="20.100000000000001" customHeight="1" x14ac:dyDescent="0.4">
      <c r="A819" s="117"/>
      <c r="B819" s="123"/>
      <c r="C819" s="123"/>
      <c r="D819" s="123"/>
      <c r="AT819" s="127"/>
      <c r="AU819" s="29"/>
      <c r="AW819" s="115"/>
      <c r="AX819" s="115"/>
      <c r="AY819" s="115"/>
      <c r="AZ819" s="115"/>
      <c r="BA819" s="115"/>
      <c r="BB819" s="115"/>
      <c r="BC819" s="115"/>
      <c r="BD819" s="115"/>
      <c r="BE819" s="25"/>
      <c r="BF819" s="13"/>
      <c r="BK819" s="116"/>
      <c r="BL819" s="123"/>
      <c r="BM819" s="123"/>
      <c r="BN819" s="123"/>
      <c r="BS819" s="115"/>
      <c r="BT819" s="115"/>
      <c r="BU819" s="115"/>
      <c r="BV819" s="115"/>
      <c r="BW819" s="115"/>
      <c r="BX819" s="115"/>
      <c r="BY819" s="115"/>
      <c r="BZ819" s="115"/>
      <c r="CA819" s="115"/>
      <c r="CB819" s="115"/>
      <c r="CC819" s="25"/>
      <c r="CD819" s="13"/>
      <c r="CG819" s="114"/>
    </row>
    <row r="820" spans="1:85" ht="20.100000000000001" customHeight="1" x14ac:dyDescent="0.4">
      <c r="A820" s="117"/>
      <c r="B820" s="123"/>
      <c r="C820" s="123"/>
      <c r="D820" s="123"/>
      <c r="AM820" s="115"/>
      <c r="AN820" s="115"/>
      <c r="AO820" s="115"/>
      <c r="AP820" s="115"/>
      <c r="AQ820" s="115"/>
      <c r="AR820" s="115"/>
      <c r="AS820" s="115"/>
      <c r="AT820" s="29"/>
      <c r="AU820" s="29"/>
      <c r="AW820" s="115"/>
      <c r="AX820" s="115"/>
      <c r="AY820" s="115"/>
      <c r="AZ820" s="115"/>
      <c r="BA820" s="115"/>
      <c r="BB820" s="115"/>
      <c r="BC820" s="115"/>
      <c r="BD820" s="115"/>
      <c r="BE820" s="25"/>
      <c r="BF820" s="13"/>
      <c r="BK820" s="116"/>
      <c r="BL820" s="123"/>
      <c r="BM820" s="123"/>
      <c r="BN820" s="123"/>
      <c r="BS820" s="115"/>
      <c r="BT820" s="115"/>
      <c r="BU820" s="115"/>
      <c r="BV820" s="115"/>
      <c r="BW820" s="115"/>
      <c r="BX820" s="115"/>
      <c r="BY820" s="115"/>
      <c r="BZ820" s="115"/>
      <c r="CA820" s="115"/>
      <c r="CB820" s="115"/>
      <c r="CC820" s="25"/>
      <c r="CD820" s="13"/>
      <c r="CG820" s="114"/>
    </row>
    <row r="821" spans="1:85" ht="20.100000000000001" customHeight="1" x14ac:dyDescent="0.4">
      <c r="A821" s="117"/>
      <c r="B821" s="123"/>
      <c r="C821" s="123"/>
      <c r="D821" s="123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27"/>
      <c r="AU821" s="29"/>
      <c r="AW821" s="115"/>
      <c r="AX821" s="115"/>
      <c r="AY821" s="115"/>
      <c r="AZ821" s="115"/>
      <c r="BA821" s="115"/>
      <c r="BB821" s="115"/>
      <c r="BC821" s="115"/>
      <c r="BD821" s="115"/>
      <c r="BE821" s="25"/>
      <c r="BF821" s="13"/>
      <c r="BK821" s="116"/>
      <c r="BL821" s="123"/>
      <c r="BM821" s="123"/>
      <c r="BN821" s="123"/>
      <c r="BS821" s="115"/>
      <c r="BT821" s="115"/>
      <c r="BU821" s="115"/>
      <c r="BV821" s="115"/>
      <c r="BW821" s="115"/>
      <c r="BX821" s="115"/>
      <c r="BY821" s="115"/>
      <c r="BZ821" s="115"/>
      <c r="CA821" s="115"/>
      <c r="CB821" s="115"/>
      <c r="CC821" s="25"/>
      <c r="CD821" s="13"/>
      <c r="CG821" s="114"/>
    </row>
    <row r="822" spans="1:85" ht="20.100000000000001" customHeight="1" x14ac:dyDescent="0.4">
      <c r="A822" s="117"/>
      <c r="B822" s="123"/>
      <c r="C822" s="123"/>
      <c r="D822" s="123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29"/>
      <c r="AU822" s="29"/>
      <c r="AW822" s="115"/>
      <c r="AX822" s="115"/>
      <c r="AY822" s="115"/>
      <c r="AZ822" s="115"/>
      <c r="BA822" s="115"/>
      <c r="BB822" s="115"/>
      <c r="BC822" s="115"/>
      <c r="BD822" s="115"/>
      <c r="BE822" s="25"/>
      <c r="BF822" s="13"/>
      <c r="BK822" s="116"/>
      <c r="BL822" s="123"/>
      <c r="BM822" s="123"/>
      <c r="BN822" s="123"/>
      <c r="BS822" s="115"/>
      <c r="BT822" s="115"/>
      <c r="BU822" s="115"/>
      <c r="BV822" s="115"/>
      <c r="BW822" s="115"/>
      <c r="BX822" s="115"/>
      <c r="BY822" s="115"/>
      <c r="BZ822" s="115"/>
      <c r="CA822" s="115"/>
      <c r="CB822" s="115"/>
      <c r="CC822" s="25"/>
      <c r="CD822" s="13"/>
      <c r="CG822" s="114"/>
    </row>
    <row r="823" spans="1:85" ht="20.100000000000001" customHeight="1" x14ac:dyDescent="0.4">
      <c r="A823" s="117"/>
      <c r="B823" s="123"/>
      <c r="C823" s="123"/>
      <c r="D823" s="123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29"/>
      <c r="AU823" s="29"/>
      <c r="AW823" s="115"/>
      <c r="AX823" s="115"/>
      <c r="AY823" s="115"/>
      <c r="AZ823" s="115"/>
      <c r="BA823" s="115"/>
      <c r="BB823" s="115"/>
      <c r="BC823" s="115"/>
      <c r="BD823" s="115"/>
      <c r="BE823" s="25"/>
      <c r="BF823" s="13"/>
      <c r="BK823" s="116"/>
      <c r="BL823" s="123"/>
      <c r="BM823" s="123"/>
      <c r="BN823" s="123"/>
      <c r="BS823" s="115"/>
      <c r="BT823" s="115"/>
      <c r="BU823" s="115"/>
      <c r="BV823" s="115"/>
      <c r="BW823" s="115"/>
      <c r="BX823" s="115"/>
      <c r="BY823" s="115"/>
      <c r="BZ823" s="115"/>
      <c r="CA823" s="115"/>
      <c r="CB823" s="115"/>
      <c r="CC823" s="25"/>
      <c r="CD823" s="13"/>
      <c r="CG823" s="114"/>
    </row>
    <row r="824" spans="1:85" ht="20.100000000000001" customHeight="1" x14ac:dyDescent="0.4">
      <c r="A824" s="117"/>
      <c r="B824" s="123"/>
      <c r="C824" s="123"/>
      <c r="D824" s="123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29"/>
      <c r="AU824" s="29"/>
      <c r="AW824" s="115"/>
      <c r="AX824" s="115"/>
      <c r="AY824" s="115"/>
      <c r="AZ824" s="115"/>
      <c r="BA824" s="115"/>
      <c r="BB824" s="115"/>
      <c r="BC824" s="115"/>
      <c r="BD824" s="115"/>
      <c r="BE824" s="25"/>
      <c r="BF824" s="13"/>
      <c r="BK824" s="116"/>
      <c r="BL824" s="123"/>
      <c r="BM824" s="123"/>
      <c r="BN824" s="123"/>
      <c r="BS824" s="115"/>
      <c r="BT824" s="115"/>
      <c r="BU824" s="115"/>
      <c r="BV824" s="115"/>
      <c r="BW824" s="115"/>
      <c r="BX824" s="115"/>
      <c r="BY824" s="115"/>
      <c r="BZ824" s="115"/>
      <c r="CA824" s="115"/>
      <c r="CB824" s="115"/>
      <c r="CC824" s="25"/>
      <c r="CD824" s="13"/>
      <c r="CG824" s="114"/>
    </row>
    <row r="825" spans="1:85" ht="20.100000000000001" customHeight="1" x14ac:dyDescent="0.4">
      <c r="A825" s="117"/>
      <c r="B825" s="123"/>
      <c r="C825" s="123"/>
      <c r="D825" s="123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27"/>
      <c r="AU825" s="29"/>
      <c r="AW825" s="115"/>
      <c r="AX825" s="115"/>
      <c r="AY825" s="115"/>
      <c r="AZ825" s="115"/>
      <c r="BA825" s="115"/>
      <c r="BB825" s="115"/>
      <c r="BC825" s="115"/>
      <c r="BD825" s="115"/>
      <c r="BE825" s="25"/>
      <c r="BF825" s="13"/>
      <c r="BK825" s="116"/>
      <c r="BL825" s="123"/>
      <c r="BM825" s="123"/>
      <c r="BN825" s="123"/>
      <c r="BS825" s="115"/>
      <c r="BT825" s="115"/>
      <c r="BU825" s="115"/>
      <c r="BV825" s="115"/>
      <c r="BW825" s="115"/>
      <c r="BX825" s="115"/>
      <c r="BY825" s="115"/>
      <c r="BZ825" s="115"/>
      <c r="CA825" s="115"/>
      <c r="CB825" s="115"/>
      <c r="CC825" s="25"/>
      <c r="CD825" s="13"/>
      <c r="CG825" s="114"/>
    </row>
    <row r="826" spans="1:85" ht="20.100000000000001" customHeight="1" x14ac:dyDescent="0.4">
      <c r="A826" s="117"/>
      <c r="B826" s="123"/>
      <c r="C826" s="123"/>
      <c r="D826" s="123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29"/>
      <c r="AU826" s="29"/>
      <c r="AW826" s="115"/>
      <c r="AX826" s="115"/>
      <c r="AY826" s="115"/>
      <c r="AZ826" s="115"/>
      <c r="BA826" s="115"/>
      <c r="BB826" s="115"/>
      <c r="BC826" s="115"/>
      <c r="BD826" s="115"/>
      <c r="BE826" s="25"/>
      <c r="BF826" s="13"/>
      <c r="BK826" s="116"/>
      <c r="BL826" s="123"/>
      <c r="BM826" s="123"/>
      <c r="BN826" s="123"/>
      <c r="BS826" s="115"/>
      <c r="BT826" s="115"/>
      <c r="BU826" s="115"/>
      <c r="BV826" s="115"/>
      <c r="BW826" s="115"/>
      <c r="BX826" s="115"/>
      <c r="BY826" s="115"/>
      <c r="BZ826" s="115"/>
      <c r="CA826" s="115"/>
      <c r="CB826" s="115"/>
      <c r="CC826" s="25"/>
      <c r="CD826" s="13"/>
      <c r="CG826" s="114"/>
    </row>
    <row r="827" spans="1:85" ht="20.100000000000001" customHeight="1" x14ac:dyDescent="0.4">
      <c r="A827" s="117"/>
      <c r="B827" s="123"/>
      <c r="C827" s="123"/>
      <c r="D827" s="123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27"/>
      <c r="AU827" s="29"/>
      <c r="AW827" s="115"/>
      <c r="AX827" s="115"/>
      <c r="AY827" s="115"/>
      <c r="AZ827" s="115"/>
      <c r="BA827" s="115"/>
      <c r="BB827" s="115"/>
      <c r="BC827" s="115"/>
      <c r="BD827" s="115"/>
      <c r="BE827" s="25"/>
      <c r="BF827" s="13"/>
      <c r="BK827" s="116"/>
      <c r="BL827" s="123"/>
      <c r="BM827" s="123"/>
      <c r="BN827" s="123"/>
      <c r="BS827" s="115"/>
      <c r="BT827" s="115"/>
      <c r="BU827" s="115"/>
      <c r="BV827" s="115"/>
      <c r="BW827" s="115"/>
      <c r="BX827" s="115"/>
      <c r="BY827" s="115"/>
      <c r="BZ827" s="115"/>
      <c r="CA827" s="115"/>
      <c r="CB827" s="115"/>
      <c r="CC827" s="25"/>
      <c r="CD827" s="13"/>
      <c r="CG827" s="114"/>
    </row>
    <row r="828" spans="1:85" ht="20.100000000000001" customHeight="1" x14ac:dyDescent="0.4">
      <c r="A828" s="117"/>
      <c r="B828" s="123"/>
      <c r="C828" s="123"/>
      <c r="D828" s="123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27"/>
      <c r="AU828" s="29"/>
      <c r="AW828" s="115"/>
      <c r="AX828" s="115"/>
      <c r="AY828" s="115"/>
      <c r="AZ828" s="115"/>
      <c r="BA828" s="115"/>
      <c r="BB828" s="115"/>
      <c r="BC828" s="115"/>
      <c r="BD828" s="115"/>
      <c r="BE828" s="25"/>
      <c r="BF828" s="13"/>
      <c r="BK828" s="116"/>
      <c r="BL828" s="123"/>
      <c r="BM828" s="123"/>
      <c r="BN828" s="123"/>
      <c r="BS828" s="115"/>
      <c r="BT828" s="115"/>
      <c r="BU828" s="115"/>
      <c r="BV828" s="115"/>
      <c r="BW828" s="115"/>
      <c r="BX828" s="115"/>
      <c r="BY828" s="115"/>
      <c r="BZ828" s="115"/>
      <c r="CA828" s="115"/>
      <c r="CB828" s="115"/>
      <c r="CC828" s="25"/>
      <c r="CD828" s="13"/>
      <c r="CG828" s="114"/>
    </row>
    <row r="829" spans="1:85" ht="20.100000000000001" customHeight="1" x14ac:dyDescent="0.4">
      <c r="A829" s="117"/>
      <c r="B829" s="123"/>
      <c r="C829" s="123"/>
      <c r="D829" s="123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27"/>
      <c r="AU829" s="29"/>
      <c r="AW829" s="115"/>
      <c r="AX829" s="115"/>
      <c r="AY829" s="115"/>
      <c r="AZ829" s="115"/>
      <c r="BA829" s="115"/>
      <c r="BB829" s="115"/>
      <c r="BC829" s="115"/>
      <c r="BD829" s="115"/>
      <c r="BE829" s="25"/>
      <c r="BF829" s="13"/>
      <c r="BK829" s="116"/>
      <c r="BL829" s="123"/>
      <c r="BM829" s="123"/>
      <c r="BN829" s="123"/>
      <c r="BS829" s="115"/>
      <c r="BT829" s="115"/>
      <c r="BU829" s="115"/>
      <c r="BV829" s="115"/>
      <c r="BW829" s="115"/>
      <c r="BX829" s="115"/>
      <c r="BY829" s="115"/>
      <c r="BZ829" s="115"/>
      <c r="CA829" s="115"/>
      <c r="CB829" s="115"/>
      <c r="CC829" s="25"/>
      <c r="CD829" s="13"/>
      <c r="CG829" s="114"/>
    </row>
    <row r="830" spans="1:85" ht="20.100000000000001" customHeight="1" x14ac:dyDescent="0.4">
      <c r="A830" s="117"/>
      <c r="B830" s="123"/>
      <c r="C830" s="123"/>
      <c r="D830" s="123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27"/>
      <c r="AU830" s="29"/>
      <c r="AW830" s="115"/>
      <c r="AX830" s="115"/>
      <c r="AY830" s="115"/>
      <c r="AZ830" s="115"/>
      <c r="BA830" s="115"/>
      <c r="BB830" s="115"/>
      <c r="BC830" s="115"/>
      <c r="BD830" s="115"/>
      <c r="BE830" s="25"/>
      <c r="BF830" s="13"/>
      <c r="BK830" s="116"/>
      <c r="BL830" s="123"/>
      <c r="BM830" s="123"/>
      <c r="BN830" s="123"/>
      <c r="BS830" s="115"/>
      <c r="BT830" s="115"/>
      <c r="BU830" s="115"/>
      <c r="BV830" s="115"/>
      <c r="BW830" s="115"/>
      <c r="BX830" s="115"/>
      <c r="BY830" s="115"/>
      <c r="BZ830" s="115"/>
      <c r="CA830" s="115"/>
      <c r="CB830" s="115"/>
      <c r="CC830" s="25"/>
      <c r="CD830" s="13"/>
      <c r="CG830" s="114"/>
    </row>
    <row r="831" spans="1:85" ht="20.100000000000001" customHeight="1" x14ac:dyDescent="0.4">
      <c r="A831" s="117"/>
      <c r="B831" s="123"/>
      <c r="C831" s="123"/>
      <c r="D831" s="123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27"/>
      <c r="AU831" s="29"/>
      <c r="AW831" s="115"/>
      <c r="AX831" s="115"/>
      <c r="AY831" s="115"/>
      <c r="AZ831" s="115"/>
      <c r="BA831" s="115"/>
      <c r="BB831" s="115"/>
      <c r="BC831" s="115"/>
      <c r="BD831" s="115"/>
      <c r="BE831" s="25"/>
      <c r="BF831" s="13"/>
      <c r="BK831" s="116"/>
      <c r="BL831" s="123"/>
      <c r="BM831" s="123"/>
      <c r="BN831" s="123"/>
      <c r="BS831" s="115"/>
      <c r="BT831" s="115"/>
      <c r="BU831" s="115"/>
      <c r="BV831" s="115"/>
      <c r="BW831" s="115"/>
      <c r="BX831" s="115"/>
      <c r="BY831" s="115"/>
      <c r="BZ831" s="115"/>
      <c r="CA831" s="115"/>
      <c r="CB831" s="115"/>
      <c r="CC831" s="25"/>
      <c r="CD831" s="13"/>
      <c r="CG831" s="114"/>
    </row>
    <row r="832" spans="1:85" ht="20.100000000000001" customHeight="1" x14ac:dyDescent="0.4">
      <c r="A832" s="117"/>
      <c r="B832" s="123"/>
      <c r="C832" s="123"/>
      <c r="D832" s="123"/>
      <c r="AT832" s="127"/>
      <c r="AU832" s="29"/>
      <c r="AW832" s="115"/>
      <c r="AX832" s="115"/>
      <c r="AY832" s="115"/>
      <c r="AZ832" s="115"/>
      <c r="BA832" s="115"/>
      <c r="BB832" s="115"/>
      <c r="BC832" s="115"/>
      <c r="BD832" s="115"/>
      <c r="BE832" s="25">
        <v>45673</v>
      </c>
      <c r="BF832" s="13" t="s">
        <v>147</v>
      </c>
      <c r="BK832" s="116"/>
      <c r="BL832" s="123"/>
      <c r="BM832" s="123"/>
      <c r="BN832" s="123"/>
      <c r="BS832" s="115"/>
      <c r="BT832" s="115"/>
      <c r="BU832" s="115"/>
      <c r="BV832" s="115"/>
      <c r="BW832" s="115"/>
      <c r="BX832" s="115"/>
      <c r="BY832" s="115"/>
      <c r="BZ832" s="115"/>
      <c r="CA832" s="115"/>
      <c r="CB832" s="115"/>
      <c r="CC832" s="25"/>
      <c r="CD832" s="13"/>
      <c r="CG832" s="114"/>
    </row>
    <row r="833" spans="1:85" ht="20.100000000000001" customHeight="1" x14ac:dyDescent="0.4">
      <c r="A833" s="117"/>
      <c r="B833" s="123"/>
      <c r="C833" s="123"/>
      <c r="D833" s="123"/>
      <c r="AT833" s="127"/>
      <c r="AU833" s="29"/>
      <c r="AW833" s="115"/>
      <c r="AX833" s="115"/>
      <c r="AY833" s="115"/>
      <c r="AZ833" s="115"/>
      <c r="BA833" s="115"/>
      <c r="BB833" s="115"/>
      <c r="BC833" s="115"/>
      <c r="BD833" s="115"/>
      <c r="BE833" s="25">
        <v>45673</v>
      </c>
      <c r="BF833" s="13" t="s">
        <v>147</v>
      </c>
      <c r="BK833" s="116"/>
      <c r="BL833" s="123"/>
      <c r="BM833" s="123"/>
      <c r="BN833" s="123"/>
      <c r="BS833" s="115"/>
      <c r="BT833" s="115"/>
      <c r="BU833" s="115"/>
      <c r="BV833" s="115"/>
      <c r="BW833" s="115"/>
      <c r="BX833" s="115"/>
      <c r="BY833" s="115"/>
      <c r="BZ833" s="115"/>
      <c r="CA833" s="115"/>
      <c r="CB833" s="115"/>
      <c r="CC833" s="25"/>
      <c r="CD833" s="13"/>
      <c r="CG833" s="114"/>
    </row>
    <row r="834" spans="1:85" ht="20.100000000000001" customHeight="1" x14ac:dyDescent="0.4">
      <c r="A834" s="117"/>
      <c r="B834" s="123"/>
      <c r="C834" s="123"/>
      <c r="D834" s="123"/>
      <c r="AT834" s="127"/>
      <c r="AU834" s="29"/>
      <c r="AW834" s="115"/>
      <c r="AX834" s="115"/>
      <c r="AY834" s="115"/>
      <c r="AZ834" s="115"/>
      <c r="BA834" s="115"/>
      <c r="BB834" s="115"/>
      <c r="BC834" s="115"/>
      <c r="BD834" s="115"/>
      <c r="BE834" s="25">
        <v>45675</v>
      </c>
      <c r="BF834" s="13" t="s">
        <v>147</v>
      </c>
      <c r="BK834" s="116"/>
      <c r="BL834" s="123"/>
      <c r="BM834" s="123"/>
      <c r="BN834" s="123"/>
      <c r="BS834" s="115"/>
      <c r="BT834" s="115"/>
      <c r="BU834" s="115"/>
      <c r="BV834" s="115"/>
      <c r="BW834" s="115"/>
      <c r="BX834" s="115"/>
      <c r="BY834" s="115"/>
      <c r="BZ834" s="115"/>
      <c r="CA834" s="115"/>
      <c r="CB834" s="115"/>
      <c r="CC834" s="25"/>
      <c r="CD834" s="13"/>
      <c r="CG834" s="114"/>
    </row>
    <row r="835" spans="1:85" ht="20.100000000000001" customHeight="1" x14ac:dyDescent="0.4">
      <c r="A835" s="117"/>
      <c r="B835" s="123"/>
      <c r="C835" s="123"/>
      <c r="D835" s="123"/>
      <c r="AT835" s="127"/>
      <c r="AU835" s="29"/>
      <c r="AW835" s="115"/>
      <c r="AX835" s="115"/>
      <c r="AY835" s="115"/>
      <c r="AZ835" s="115"/>
      <c r="BA835" s="115"/>
      <c r="BB835" s="115"/>
      <c r="BC835" s="115"/>
      <c r="BD835" s="115"/>
      <c r="BE835" s="25"/>
      <c r="BF835" s="13"/>
      <c r="BK835" s="116"/>
      <c r="BL835" s="123"/>
      <c r="BM835" s="123"/>
      <c r="BN835" s="123"/>
      <c r="BS835" s="115"/>
      <c r="BT835" s="115"/>
      <c r="BU835" s="115"/>
      <c r="BV835" s="115"/>
      <c r="BW835" s="115"/>
      <c r="BX835" s="115"/>
      <c r="BY835" s="115"/>
      <c r="BZ835" s="115"/>
      <c r="CA835" s="115"/>
      <c r="CB835" s="115"/>
      <c r="CC835" s="25"/>
      <c r="CD835" s="13"/>
      <c r="CG835" s="114"/>
    </row>
    <row r="836" spans="1:85" ht="20.100000000000001" customHeight="1" x14ac:dyDescent="0.4">
      <c r="A836" s="117"/>
      <c r="B836" s="123"/>
      <c r="C836" s="123"/>
      <c r="D836" s="123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27"/>
      <c r="AU836" s="29"/>
      <c r="AW836" s="115"/>
      <c r="AX836" s="115"/>
      <c r="AY836" s="115"/>
      <c r="AZ836" s="115"/>
      <c r="BA836" s="115"/>
      <c r="BB836" s="115"/>
      <c r="BC836" s="115"/>
      <c r="BD836" s="115"/>
      <c r="BE836" s="25"/>
      <c r="BF836" s="13"/>
      <c r="BK836" s="116"/>
      <c r="BL836" s="123"/>
      <c r="BM836" s="123"/>
      <c r="BN836" s="123"/>
      <c r="BS836" s="115"/>
      <c r="BT836" s="115"/>
      <c r="BU836" s="115"/>
      <c r="BV836" s="115"/>
      <c r="BW836" s="115"/>
      <c r="BX836" s="115"/>
      <c r="BY836" s="115"/>
      <c r="BZ836" s="115"/>
      <c r="CA836" s="115"/>
      <c r="CB836" s="115"/>
      <c r="CC836" s="25"/>
      <c r="CD836" s="13"/>
      <c r="CG836" s="114"/>
    </row>
    <row r="837" spans="1:85" ht="20.100000000000001" customHeight="1" x14ac:dyDescent="0.4">
      <c r="A837" s="117"/>
      <c r="B837" s="123"/>
      <c r="C837" s="123"/>
      <c r="D837" s="123"/>
      <c r="AT837" s="127"/>
      <c r="AU837" s="29"/>
      <c r="AW837" s="115"/>
      <c r="AX837" s="115"/>
      <c r="AY837" s="115"/>
      <c r="AZ837" s="115"/>
      <c r="BA837" s="115"/>
      <c r="BB837" s="115"/>
      <c r="BC837" s="115"/>
      <c r="BD837" s="115"/>
      <c r="BE837" s="25">
        <v>45675</v>
      </c>
      <c r="BF837" s="15" t="s">
        <v>147</v>
      </c>
      <c r="BK837" s="116"/>
      <c r="BL837" s="123"/>
      <c r="BM837" s="123"/>
      <c r="BN837" s="123"/>
      <c r="BS837" s="115"/>
      <c r="BT837" s="115"/>
      <c r="BU837" s="115"/>
      <c r="BV837" s="115"/>
      <c r="BW837" s="115"/>
      <c r="BX837" s="115"/>
      <c r="BY837" s="115"/>
      <c r="BZ837" s="115"/>
      <c r="CA837" s="115"/>
      <c r="CB837" s="115"/>
      <c r="CC837" s="25"/>
      <c r="CD837" s="13"/>
      <c r="CG837" s="114"/>
    </row>
    <row r="838" spans="1:85" ht="20.100000000000001" customHeight="1" x14ac:dyDescent="0.4">
      <c r="A838" s="117"/>
      <c r="B838" s="123"/>
      <c r="C838" s="123"/>
      <c r="D838" s="123"/>
      <c r="AT838" s="127"/>
      <c r="AU838" s="29"/>
      <c r="AW838" s="115"/>
      <c r="AX838" s="115"/>
      <c r="AY838" s="115"/>
      <c r="AZ838" s="115"/>
      <c r="BA838" s="115"/>
      <c r="BB838" s="115"/>
      <c r="BC838" s="115"/>
      <c r="BD838" s="115"/>
      <c r="BE838" s="25"/>
      <c r="BF838" s="13"/>
      <c r="BK838" s="116"/>
      <c r="BL838" s="123"/>
      <c r="BM838" s="123"/>
      <c r="BN838" s="123"/>
      <c r="BS838" s="115"/>
      <c r="BT838" s="115"/>
      <c r="BU838" s="115"/>
      <c r="BV838" s="115"/>
      <c r="BW838" s="115"/>
      <c r="BX838" s="115"/>
      <c r="BY838" s="115"/>
      <c r="BZ838" s="115"/>
      <c r="CA838" s="115"/>
      <c r="CB838" s="115"/>
      <c r="CC838" s="25"/>
      <c r="CD838" s="13"/>
      <c r="CG838" s="114"/>
    </row>
    <row r="839" spans="1:85" ht="20.100000000000001" customHeight="1" x14ac:dyDescent="0.4">
      <c r="A839" s="117"/>
      <c r="B839" s="123"/>
      <c r="C839" s="123"/>
      <c r="D839" s="123"/>
      <c r="AT839" s="127"/>
      <c r="AU839" s="29"/>
      <c r="AW839" s="115"/>
      <c r="AX839" s="115"/>
      <c r="AY839" s="115"/>
      <c r="AZ839" s="115"/>
      <c r="BA839" s="115"/>
      <c r="BB839" s="115"/>
      <c r="BC839" s="115"/>
      <c r="BD839" s="115"/>
      <c r="BE839" s="25">
        <v>45675</v>
      </c>
      <c r="BF839" s="13" t="s">
        <v>147</v>
      </c>
      <c r="BK839" s="116"/>
      <c r="BL839" s="123"/>
      <c r="BM839" s="123"/>
      <c r="BN839" s="123"/>
      <c r="BS839" s="115"/>
      <c r="BT839" s="115"/>
      <c r="BU839" s="115"/>
      <c r="BV839" s="115"/>
      <c r="BW839" s="115"/>
      <c r="BX839" s="115"/>
      <c r="BY839" s="115"/>
      <c r="BZ839" s="115"/>
      <c r="CA839" s="115"/>
      <c r="CB839" s="115"/>
      <c r="CC839" s="25"/>
      <c r="CD839" s="13"/>
      <c r="CG839" s="114"/>
    </row>
    <row r="840" spans="1:85" ht="20.100000000000001" customHeight="1" x14ac:dyDescent="0.4">
      <c r="A840" s="117"/>
      <c r="B840" s="123"/>
      <c r="C840" s="123"/>
      <c r="D840" s="123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27"/>
      <c r="AU840" s="29"/>
      <c r="AW840" s="115"/>
      <c r="AX840" s="115"/>
      <c r="AY840" s="115"/>
      <c r="AZ840" s="115"/>
      <c r="BA840" s="115"/>
      <c r="BB840" s="115"/>
      <c r="BC840" s="115"/>
      <c r="BD840" s="115"/>
      <c r="BE840" s="25"/>
      <c r="BF840" s="13"/>
      <c r="BK840" s="116"/>
      <c r="BL840" s="123"/>
      <c r="BM840" s="123"/>
      <c r="BN840" s="123"/>
      <c r="BS840" s="115"/>
      <c r="BT840" s="115"/>
      <c r="BU840" s="115"/>
      <c r="BV840" s="115"/>
      <c r="BW840" s="115"/>
      <c r="BX840" s="115"/>
      <c r="BY840" s="115"/>
      <c r="BZ840" s="115"/>
      <c r="CA840" s="115"/>
      <c r="CB840" s="115"/>
      <c r="CC840" s="25"/>
      <c r="CD840" s="13"/>
      <c r="CG840" s="114"/>
    </row>
    <row r="841" spans="1:85" ht="20.100000000000001" customHeight="1" x14ac:dyDescent="0.4">
      <c r="A841" s="117"/>
      <c r="B841" s="123"/>
      <c r="C841" s="123"/>
      <c r="D841" s="123"/>
      <c r="AT841" s="127"/>
      <c r="AU841" s="29"/>
      <c r="AW841" s="115"/>
      <c r="AX841" s="115"/>
      <c r="AY841" s="115"/>
      <c r="AZ841" s="115"/>
      <c r="BA841" s="115"/>
      <c r="BB841" s="115"/>
      <c r="BC841" s="115"/>
      <c r="BD841" s="115"/>
      <c r="BE841" s="25"/>
      <c r="BF841" s="13"/>
      <c r="BK841" s="116"/>
      <c r="BL841" s="123"/>
      <c r="BM841" s="123"/>
      <c r="BN841" s="123"/>
      <c r="BS841" s="115"/>
      <c r="BT841" s="115"/>
      <c r="BU841" s="115"/>
      <c r="BV841" s="115"/>
      <c r="BW841" s="115"/>
      <c r="BX841" s="115"/>
      <c r="BY841" s="115"/>
      <c r="BZ841" s="115"/>
      <c r="CA841" s="115"/>
      <c r="CB841" s="115"/>
      <c r="CC841" s="25"/>
      <c r="CD841" s="13"/>
      <c r="CG841" s="114"/>
    </row>
    <row r="842" spans="1:85" ht="20.100000000000001" customHeight="1" x14ac:dyDescent="0.4">
      <c r="A842" s="117"/>
      <c r="B842" s="123"/>
      <c r="C842" s="123"/>
      <c r="D842" s="123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27"/>
      <c r="AU842" s="29"/>
      <c r="AW842" s="115"/>
      <c r="AX842" s="115"/>
      <c r="AY842" s="115"/>
      <c r="AZ842" s="115"/>
      <c r="BA842" s="115"/>
      <c r="BB842" s="115"/>
      <c r="BC842" s="115"/>
      <c r="BD842" s="115"/>
      <c r="BE842" s="25"/>
      <c r="BF842" s="13"/>
      <c r="BK842" s="116"/>
      <c r="BL842" s="123"/>
      <c r="BM842" s="123"/>
      <c r="BN842" s="123"/>
      <c r="BS842" s="115"/>
      <c r="BT842" s="115"/>
      <c r="BU842" s="115"/>
      <c r="BV842" s="115"/>
      <c r="BW842" s="115"/>
      <c r="BX842" s="115"/>
      <c r="BY842" s="115"/>
      <c r="BZ842" s="115"/>
      <c r="CA842" s="115"/>
      <c r="CB842" s="115"/>
      <c r="CC842" s="25"/>
      <c r="CD842" s="13"/>
      <c r="CG842" s="114"/>
    </row>
    <row r="843" spans="1:85" ht="20.100000000000001" customHeight="1" x14ac:dyDescent="0.4">
      <c r="A843" s="117"/>
      <c r="B843" s="123"/>
      <c r="C843" s="123"/>
      <c r="D843" s="123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29"/>
      <c r="AU843" s="29"/>
      <c r="AW843" s="115"/>
      <c r="AX843" s="115"/>
      <c r="AY843" s="115"/>
      <c r="AZ843" s="115"/>
      <c r="BA843" s="115"/>
      <c r="BB843" s="115"/>
      <c r="BC843" s="115"/>
      <c r="BD843" s="115"/>
      <c r="BE843" s="25"/>
      <c r="BF843" s="13"/>
      <c r="BK843" s="116"/>
      <c r="BL843" s="123"/>
      <c r="BM843" s="123"/>
      <c r="BN843" s="123"/>
      <c r="BS843" s="115"/>
      <c r="BT843" s="115"/>
      <c r="BU843" s="115"/>
      <c r="BV843" s="115"/>
      <c r="BW843" s="115"/>
      <c r="BX843" s="115"/>
      <c r="BY843" s="115"/>
      <c r="BZ843" s="115"/>
      <c r="CA843" s="115"/>
      <c r="CB843" s="115"/>
      <c r="CC843" s="25"/>
      <c r="CD843" s="13"/>
      <c r="CG843" s="114"/>
    </row>
    <row r="844" spans="1:85" ht="20.100000000000001" customHeight="1" x14ac:dyDescent="0.4">
      <c r="A844" s="117"/>
      <c r="B844" s="123"/>
      <c r="C844" s="123"/>
      <c r="D844" s="123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27"/>
      <c r="AU844" s="127"/>
      <c r="AW844" s="115"/>
      <c r="AX844" s="115"/>
      <c r="AY844" s="115"/>
      <c r="AZ844" s="115"/>
      <c r="BA844" s="115"/>
      <c r="BB844" s="115"/>
      <c r="BC844" s="115"/>
      <c r="BD844" s="115"/>
      <c r="BE844" s="25"/>
      <c r="BF844" s="13"/>
      <c r="BK844" s="116"/>
      <c r="BL844" s="123"/>
      <c r="BM844" s="123"/>
      <c r="BN844" s="123"/>
      <c r="BS844" s="115"/>
      <c r="BT844" s="115"/>
      <c r="BU844" s="115"/>
      <c r="BV844" s="115"/>
      <c r="BW844" s="115"/>
      <c r="BX844" s="115"/>
      <c r="BY844" s="115"/>
      <c r="BZ844" s="115"/>
      <c r="CA844" s="115"/>
      <c r="CB844" s="115"/>
      <c r="CC844" s="25"/>
      <c r="CD844" s="13"/>
      <c r="CG844" s="114"/>
    </row>
    <row r="845" spans="1:85" ht="20.100000000000001" customHeight="1" x14ac:dyDescent="0.4">
      <c r="A845" s="117"/>
      <c r="B845" s="123"/>
      <c r="C845" s="123"/>
      <c r="D845" s="123"/>
      <c r="AT845" s="127"/>
      <c r="AU845" s="127"/>
      <c r="AW845" s="115"/>
      <c r="AX845" s="115"/>
      <c r="AY845" s="115"/>
      <c r="AZ845" s="115"/>
      <c r="BA845" s="115"/>
      <c r="BB845" s="115"/>
      <c r="BC845" s="115"/>
      <c r="BD845" s="115"/>
      <c r="BE845" s="25"/>
      <c r="BF845" s="13"/>
      <c r="BK845" s="116"/>
      <c r="BL845" s="123"/>
      <c r="BM845" s="123"/>
      <c r="BN845" s="123"/>
      <c r="BS845" s="115"/>
      <c r="BT845" s="115"/>
      <c r="BU845" s="115"/>
      <c r="BV845" s="115"/>
      <c r="BW845" s="115"/>
      <c r="BX845" s="115"/>
      <c r="BY845" s="115"/>
      <c r="BZ845" s="115"/>
      <c r="CA845" s="115"/>
      <c r="CB845" s="115"/>
      <c r="CC845" s="25"/>
      <c r="CD845" s="13"/>
      <c r="CG845" s="114"/>
    </row>
    <row r="846" spans="1:85" ht="20.100000000000001" customHeight="1" x14ac:dyDescent="0.4">
      <c r="A846" s="117"/>
      <c r="B846" s="123"/>
      <c r="C846" s="123"/>
      <c r="D846" s="123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27"/>
      <c r="AU846" s="127"/>
      <c r="AW846" s="115"/>
      <c r="AX846" s="115"/>
      <c r="AY846" s="115"/>
      <c r="AZ846" s="115"/>
      <c r="BA846" s="115"/>
      <c r="BB846" s="115"/>
      <c r="BC846" s="115"/>
      <c r="BD846" s="115"/>
      <c r="BE846" s="25"/>
      <c r="BF846" s="13"/>
      <c r="BK846" s="116"/>
      <c r="BL846" s="123"/>
      <c r="BM846" s="123"/>
      <c r="BN846" s="123"/>
      <c r="BS846" s="115"/>
      <c r="BT846" s="115"/>
      <c r="BU846" s="115"/>
      <c r="BV846" s="115"/>
      <c r="BW846" s="115"/>
      <c r="BX846" s="115"/>
      <c r="BY846" s="115"/>
      <c r="BZ846" s="115"/>
      <c r="CA846" s="115"/>
      <c r="CB846" s="115"/>
      <c r="CC846" s="25"/>
      <c r="CD846" s="13"/>
      <c r="CG846" s="114"/>
    </row>
    <row r="847" spans="1:85" ht="20.100000000000001" customHeight="1" x14ac:dyDescent="0.4">
      <c r="A847" s="117"/>
      <c r="B847" s="123"/>
      <c r="C847" s="123"/>
      <c r="D847" s="123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27"/>
      <c r="AU847" s="29"/>
      <c r="AW847" s="115"/>
      <c r="AX847" s="115"/>
      <c r="AY847" s="115"/>
      <c r="AZ847" s="115"/>
      <c r="BA847" s="115"/>
      <c r="BB847" s="115"/>
      <c r="BC847" s="115"/>
      <c r="BD847" s="115"/>
      <c r="BE847" s="25"/>
      <c r="BF847" s="13"/>
      <c r="BK847" s="116"/>
      <c r="BL847" s="123"/>
      <c r="BM847" s="123"/>
      <c r="BN847" s="123"/>
      <c r="BS847" s="115"/>
      <c r="BT847" s="115"/>
      <c r="BU847" s="115"/>
      <c r="BV847" s="115"/>
      <c r="BW847" s="115"/>
      <c r="BX847" s="115"/>
      <c r="BY847" s="115"/>
      <c r="BZ847" s="115"/>
      <c r="CA847" s="115"/>
      <c r="CB847" s="115"/>
      <c r="CC847" s="25"/>
      <c r="CD847" s="13"/>
      <c r="CG847" s="114"/>
    </row>
    <row r="848" spans="1:85" ht="20.100000000000001" customHeight="1" x14ac:dyDescent="0.4">
      <c r="A848" s="117"/>
      <c r="B848" s="123"/>
      <c r="C848" s="123"/>
      <c r="D848" s="123"/>
      <c r="AT848" s="127"/>
      <c r="AU848" s="29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25">
        <v>45675</v>
      </c>
      <c r="BF848" s="13" t="s">
        <v>146</v>
      </c>
      <c r="BK848" s="116"/>
      <c r="BL848" s="123"/>
      <c r="BM848" s="123"/>
      <c r="BN848" s="123"/>
      <c r="BS848" s="115"/>
      <c r="BT848" s="115"/>
      <c r="BU848" s="115"/>
      <c r="BV848" s="115"/>
      <c r="BW848" s="115"/>
      <c r="BX848" s="115"/>
      <c r="BY848" s="115"/>
      <c r="BZ848" s="115"/>
      <c r="CA848" s="115"/>
      <c r="CB848" s="115"/>
      <c r="CC848" s="25"/>
      <c r="CD848" s="13"/>
      <c r="CG848" s="114"/>
    </row>
    <row r="849" spans="1:85" ht="20.100000000000001" customHeight="1" x14ac:dyDescent="0.4">
      <c r="A849" s="117"/>
      <c r="B849" s="123"/>
      <c r="C849" s="123"/>
      <c r="D849" s="123"/>
      <c r="AL849" s="115"/>
      <c r="AM849" s="115"/>
      <c r="AN849" s="115"/>
      <c r="AO849" s="115"/>
      <c r="AP849" s="115"/>
      <c r="AQ849" s="115"/>
      <c r="AR849" s="115"/>
      <c r="AS849" s="115"/>
      <c r="AT849" s="29"/>
      <c r="AU849" s="29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25"/>
      <c r="BF849" s="13"/>
      <c r="BK849" s="116"/>
      <c r="BL849" s="123"/>
      <c r="BM849" s="123"/>
      <c r="BN849" s="123"/>
      <c r="BS849" s="115"/>
      <c r="BT849" s="115"/>
      <c r="BU849" s="115"/>
      <c r="BV849" s="115"/>
      <c r="BW849" s="115"/>
      <c r="BX849" s="115"/>
      <c r="BY849" s="115"/>
      <c r="BZ849" s="115"/>
      <c r="CA849" s="115"/>
      <c r="CB849" s="115"/>
      <c r="CC849" s="25"/>
      <c r="CD849" s="13"/>
      <c r="CG849" s="114"/>
    </row>
    <row r="850" spans="1:85" ht="20.100000000000001" customHeight="1" x14ac:dyDescent="0.4">
      <c r="A850" s="117"/>
      <c r="B850" s="123"/>
      <c r="C850" s="123"/>
      <c r="D850" s="123"/>
      <c r="AT850" s="127"/>
      <c r="AU850" s="29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25">
        <v>45676</v>
      </c>
      <c r="BF850" s="13" t="s">
        <v>148</v>
      </c>
      <c r="BK850" s="116"/>
      <c r="BL850" s="123"/>
      <c r="BM850" s="123"/>
      <c r="BN850" s="123"/>
      <c r="BS850" s="115"/>
      <c r="BT850" s="115"/>
      <c r="BU850" s="115"/>
      <c r="BV850" s="115"/>
      <c r="BW850" s="115"/>
      <c r="BX850" s="115"/>
      <c r="BY850" s="115"/>
      <c r="BZ850" s="115"/>
      <c r="CA850" s="115"/>
      <c r="CB850" s="115"/>
      <c r="CC850" s="25"/>
      <c r="CD850" s="13"/>
      <c r="CG850" s="114"/>
    </row>
    <row r="851" spans="1:85" ht="20.100000000000001" customHeight="1" x14ac:dyDescent="0.4">
      <c r="A851" s="117"/>
      <c r="B851" s="123"/>
      <c r="C851" s="123"/>
      <c r="D851" s="123"/>
      <c r="AL851" s="115"/>
      <c r="AM851" s="115"/>
      <c r="AN851" s="115"/>
      <c r="AO851" s="115"/>
      <c r="AP851" s="115"/>
      <c r="AQ851" s="115"/>
      <c r="AR851" s="115"/>
      <c r="AS851" s="115"/>
      <c r="AT851" s="29"/>
      <c r="AU851" s="29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25"/>
      <c r="BF851" s="13"/>
      <c r="BK851" s="116"/>
      <c r="BL851" s="123"/>
      <c r="BM851" s="123"/>
      <c r="BN851" s="123"/>
      <c r="BS851" s="115"/>
      <c r="BT851" s="115"/>
      <c r="BU851" s="115"/>
      <c r="BV851" s="115"/>
      <c r="BW851" s="115"/>
      <c r="BX851" s="115"/>
      <c r="BY851" s="115"/>
      <c r="BZ851" s="115"/>
      <c r="CA851" s="115"/>
      <c r="CB851" s="115"/>
      <c r="CC851" s="25"/>
      <c r="CD851" s="13"/>
      <c r="CG851" s="114"/>
    </row>
    <row r="852" spans="1:85" ht="20.100000000000001" customHeight="1" x14ac:dyDescent="0.4">
      <c r="A852" s="117"/>
      <c r="B852" s="123"/>
      <c r="C852" s="123"/>
      <c r="D852" s="123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27"/>
      <c r="AU852" s="29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25"/>
      <c r="BF852" s="13"/>
      <c r="BK852" s="116"/>
      <c r="BL852" s="123"/>
      <c r="BM852" s="123"/>
      <c r="BN852" s="123"/>
      <c r="BS852" s="115"/>
      <c r="BT852" s="115"/>
      <c r="BU852" s="115"/>
      <c r="BV852" s="115"/>
      <c r="BW852" s="115"/>
      <c r="BX852" s="115"/>
      <c r="BY852" s="115"/>
      <c r="BZ852" s="115"/>
      <c r="CA852" s="115"/>
      <c r="CB852" s="115"/>
      <c r="CC852" s="25"/>
      <c r="CD852" s="13"/>
      <c r="CG852" s="114"/>
    </row>
    <row r="853" spans="1:85" ht="20.100000000000001" customHeight="1" x14ac:dyDescent="0.4">
      <c r="A853" s="117"/>
      <c r="B853" s="123"/>
      <c r="C853" s="123"/>
      <c r="D853" s="123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29"/>
      <c r="AU853" s="29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25"/>
      <c r="BF853" s="13"/>
      <c r="BK853" s="116"/>
      <c r="BL853" s="123"/>
      <c r="BM853" s="123"/>
      <c r="BN853" s="123"/>
      <c r="BS853" s="115"/>
      <c r="BT853" s="115"/>
      <c r="BU853" s="115"/>
      <c r="BV853" s="115"/>
      <c r="BW853" s="115"/>
      <c r="BX853" s="115"/>
      <c r="BY853" s="115"/>
      <c r="BZ853" s="115"/>
      <c r="CA853" s="115"/>
      <c r="CB853" s="115"/>
      <c r="CC853" s="25"/>
      <c r="CD853" s="13"/>
      <c r="CG853" s="114"/>
    </row>
    <row r="854" spans="1:85" ht="20.100000000000001" customHeight="1" x14ac:dyDescent="0.4">
      <c r="A854" s="117"/>
      <c r="B854" s="123"/>
      <c r="C854" s="123"/>
      <c r="D854" s="123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27"/>
      <c r="AU854" s="29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25"/>
      <c r="BF854" s="13"/>
      <c r="BK854" s="116"/>
      <c r="BL854" s="123"/>
      <c r="BM854" s="123"/>
      <c r="BN854" s="123"/>
      <c r="BS854" s="115"/>
      <c r="BT854" s="115"/>
      <c r="BU854" s="115"/>
      <c r="BV854" s="115"/>
      <c r="BW854" s="115"/>
      <c r="BX854" s="115"/>
      <c r="BY854" s="115"/>
      <c r="BZ854" s="115"/>
      <c r="CA854" s="115"/>
      <c r="CB854" s="115"/>
      <c r="CC854" s="25"/>
      <c r="CD854" s="13"/>
      <c r="CG854" s="114"/>
    </row>
    <row r="855" spans="1:85" ht="20.100000000000001" customHeight="1" x14ac:dyDescent="0.4">
      <c r="A855" s="117"/>
      <c r="B855" s="123"/>
      <c r="C855" s="123"/>
      <c r="D855" s="123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27"/>
      <c r="AU855" s="29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25"/>
      <c r="BF855" s="13"/>
      <c r="BK855" s="116"/>
      <c r="BL855" s="123"/>
      <c r="BM855" s="123"/>
      <c r="BN855" s="123"/>
      <c r="BS855" s="115"/>
      <c r="BT855" s="115"/>
      <c r="BU855" s="115"/>
      <c r="BV855" s="115"/>
      <c r="BW855" s="115"/>
      <c r="BX855" s="115"/>
      <c r="BY855" s="115"/>
      <c r="BZ855" s="115"/>
      <c r="CA855" s="115"/>
      <c r="CB855" s="115"/>
      <c r="CC855" s="25"/>
      <c r="CD855" s="13"/>
      <c r="CG855" s="114"/>
    </row>
    <row r="856" spans="1:85" ht="20.100000000000001" customHeight="1" x14ac:dyDescent="0.4">
      <c r="A856" s="117"/>
      <c r="B856" s="123"/>
      <c r="C856" s="123"/>
      <c r="D856" s="123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27"/>
      <c r="AU856" s="29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25"/>
      <c r="BF856" s="13"/>
      <c r="BK856" s="116"/>
      <c r="BL856" s="123"/>
      <c r="BM856" s="123"/>
      <c r="BN856" s="123"/>
      <c r="BS856" s="115"/>
      <c r="BT856" s="115"/>
      <c r="BU856" s="115"/>
      <c r="BV856" s="115"/>
      <c r="BW856" s="115"/>
      <c r="BX856" s="115"/>
      <c r="BY856" s="115"/>
      <c r="BZ856" s="115"/>
      <c r="CA856" s="115"/>
      <c r="CB856" s="115"/>
      <c r="CC856" s="25"/>
      <c r="CD856" s="13"/>
      <c r="CG856" s="114"/>
    </row>
    <row r="857" spans="1:85" ht="20.100000000000001" customHeight="1" x14ac:dyDescent="0.4">
      <c r="A857" s="117"/>
      <c r="B857" s="123"/>
      <c r="C857" s="123"/>
      <c r="D857" s="123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27"/>
      <c r="AU857" s="29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25"/>
      <c r="BF857" s="13"/>
      <c r="BK857" s="116"/>
      <c r="BL857" s="123"/>
      <c r="BM857" s="123"/>
      <c r="BN857" s="123"/>
      <c r="BS857" s="115"/>
      <c r="BT857" s="115"/>
      <c r="BU857" s="115"/>
      <c r="BV857" s="115"/>
      <c r="BW857" s="115"/>
      <c r="BX857" s="115"/>
      <c r="BY857" s="115"/>
      <c r="BZ857" s="115"/>
      <c r="CA857" s="115"/>
      <c r="CB857" s="115"/>
      <c r="CC857" s="25"/>
      <c r="CD857" s="13"/>
      <c r="CG857" s="114"/>
    </row>
    <row r="858" spans="1:85" ht="20.100000000000001" customHeight="1" x14ac:dyDescent="0.4">
      <c r="A858" s="117"/>
      <c r="B858" s="123"/>
      <c r="C858" s="123"/>
      <c r="D858" s="123"/>
      <c r="AT858" s="127"/>
      <c r="AU858" s="29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25">
        <v>45677</v>
      </c>
      <c r="BF858" s="13" t="s">
        <v>146</v>
      </c>
      <c r="BK858" s="116"/>
      <c r="BL858" s="123"/>
      <c r="BM858" s="123"/>
      <c r="BN858" s="123"/>
      <c r="BS858" s="115"/>
      <c r="BT858" s="115"/>
      <c r="BU858" s="115"/>
      <c r="BV858" s="115"/>
      <c r="BW858" s="115"/>
      <c r="BX858" s="115"/>
      <c r="BY858" s="115"/>
      <c r="BZ858" s="115"/>
      <c r="CA858" s="115"/>
      <c r="CB858" s="115"/>
      <c r="CC858" s="25"/>
      <c r="CD858" s="13"/>
      <c r="CG858" s="114"/>
    </row>
    <row r="859" spans="1:85" ht="20.100000000000001" customHeight="1" x14ac:dyDescent="0.4">
      <c r="A859" s="117"/>
      <c r="B859" s="123"/>
      <c r="C859" s="123"/>
      <c r="D859" s="123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27"/>
      <c r="AU859" s="29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25"/>
      <c r="BF859" s="13"/>
      <c r="BK859" s="116"/>
      <c r="BL859" s="123"/>
      <c r="BM859" s="123"/>
      <c r="BN859" s="123"/>
      <c r="BS859" s="115"/>
      <c r="BT859" s="115"/>
      <c r="BU859" s="115"/>
      <c r="BV859" s="115"/>
      <c r="BW859" s="115"/>
      <c r="BX859" s="115"/>
      <c r="BY859" s="115"/>
      <c r="BZ859" s="115"/>
      <c r="CA859" s="115"/>
      <c r="CB859" s="115"/>
      <c r="CC859" s="25"/>
      <c r="CD859" s="13"/>
      <c r="CG859" s="114"/>
    </row>
    <row r="860" spans="1:85" ht="20.100000000000001" customHeight="1" x14ac:dyDescent="0.4">
      <c r="A860" s="117"/>
      <c r="B860" s="123"/>
      <c r="C860" s="123"/>
      <c r="D860" s="123"/>
      <c r="AT860" s="127"/>
      <c r="AU860" s="29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25"/>
      <c r="BF860" s="13"/>
      <c r="BK860" s="116"/>
      <c r="BL860" s="123"/>
      <c r="BM860" s="123"/>
      <c r="BN860" s="123"/>
      <c r="BS860" s="115"/>
      <c r="BT860" s="115"/>
      <c r="BU860" s="115"/>
      <c r="BV860" s="115"/>
      <c r="BW860" s="115"/>
      <c r="BX860" s="115"/>
      <c r="BY860" s="115"/>
      <c r="BZ860" s="115"/>
      <c r="CA860" s="115"/>
      <c r="CB860" s="115"/>
      <c r="CC860" s="25"/>
      <c r="CD860" s="13"/>
      <c r="CG860" s="114"/>
    </row>
    <row r="861" spans="1:85" ht="20.100000000000001" customHeight="1" x14ac:dyDescent="0.4">
      <c r="A861" s="117"/>
      <c r="B861" s="123"/>
      <c r="C861" s="123"/>
      <c r="D861" s="123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27"/>
      <c r="AU861" s="29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25"/>
      <c r="BF861" s="13"/>
      <c r="BK861" s="116"/>
      <c r="BL861" s="123"/>
      <c r="BM861" s="123"/>
      <c r="BN861" s="123"/>
      <c r="BS861" s="115"/>
      <c r="BT861" s="115"/>
      <c r="BU861" s="115"/>
      <c r="BV861" s="115"/>
      <c r="BW861" s="115"/>
      <c r="BX861" s="115"/>
      <c r="BY861" s="115"/>
      <c r="BZ861" s="115"/>
      <c r="CA861" s="115"/>
      <c r="CB861" s="115"/>
      <c r="CC861" s="25"/>
      <c r="CD861" s="13"/>
      <c r="CG861" s="114"/>
    </row>
    <row r="862" spans="1:85" ht="20.100000000000001" customHeight="1" x14ac:dyDescent="0.4">
      <c r="A862" s="117"/>
      <c r="B862" s="123"/>
      <c r="C862" s="123"/>
      <c r="D862" s="123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27"/>
      <c r="AU862" s="29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25"/>
      <c r="BF862" s="13"/>
      <c r="BK862" s="116"/>
      <c r="BL862" s="123"/>
      <c r="BM862" s="123"/>
      <c r="BN862" s="123"/>
      <c r="BS862" s="115"/>
      <c r="BT862" s="115"/>
      <c r="BU862" s="115"/>
      <c r="BV862" s="115"/>
      <c r="BW862" s="115"/>
      <c r="BX862" s="115"/>
      <c r="BY862" s="115"/>
      <c r="BZ862" s="115"/>
      <c r="CA862" s="115"/>
      <c r="CB862" s="115"/>
      <c r="CC862" s="25"/>
      <c r="CD862" s="13"/>
      <c r="CG862" s="114"/>
    </row>
    <row r="863" spans="1:85" ht="20.100000000000001" customHeight="1" x14ac:dyDescent="0.4">
      <c r="A863" s="117"/>
      <c r="B863" s="123"/>
      <c r="C863" s="123"/>
      <c r="D863" s="123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27"/>
      <c r="AU863" s="29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25"/>
      <c r="BF863" s="13"/>
      <c r="BK863" s="116"/>
      <c r="BL863" s="123"/>
      <c r="BM863" s="123"/>
      <c r="BN863" s="123"/>
      <c r="BS863" s="115"/>
      <c r="BT863" s="115"/>
      <c r="BU863" s="115"/>
      <c r="BV863" s="115"/>
      <c r="BW863" s="115"/>
      <c r="BX863" s="115"/>
      <c r="BY863" s="115"/>
      <c r="BZ863" s="115"/>
      <c r="CA863" s="115"/>
      <c r="CB863" s="115"/>
      <c r="CC863" s="25"/>
      <c r="CD863" s="13"/>
      <c r="CG863" s="114"/>
    </row>
    <row r="864" spans="1:85" ht="20.100000000000001" customHeight="1" x14ac:dyDescent="0.4">
      <c r="A864" s="117"/>
      <c r="B864" s="123"/>
      <c r="C864" s="123"/>
      <c r="D864" s="123"/>
      <c r="AT864" s="127"/>
      <c r="AU864" s="29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25">
        <v>45677</v>
      </c>
      <c r="BF864" s="13" t="s">
        <v>146</v>
      </c>
      <c r="BK864" s="116"/>
      <c r="BL864" s="123"/>
      <c r="BM864" s="123"/>
      <c r="BN864" s="123"/>
      <c r="BS864" s="115"/>
      <c r="BT864" s="115"/>
      <c r="BU864" s="115"/>
      <c r="BV864" s="115"/>
      <c r="BW864" s="115"/>
      <c r="BX864" s="115"/>
      <c r="BY864" s="115"/>
      <c r="BZ864" s="115"/>
      <c r="CA864" s="115"/>
      <c r="CB864" s="115"/>
      <c r="CC864" s="25"/>
      <c r="CD864" s="13"/>
      <c r="CG864" s="114"/>
    </row>
    <row r="865" spans="1:85" ht="20.100000000000001" customHeight="1" x14ac:dyDescent="0.4">
      <c r="A865" s="117"/>
      <c r="B865" s="123"/>
      <c r="C865" s="123"/>
      <c r="D865" s="123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27"/>
      <c r="AU865" s="29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25"/>
      <c r="BF865" s="13"/>
      <c r="BK865" s="116"/>
      <c r="BL865" s="123"/>
      <c r="BM865" s="123"/>
      <c r="BN865" s="123"/>
      <c r="BS865" s="115"/>
      <c r="BT865" s="115"/>
      <c r="BU865" s="115"/>
      <c r="BV865" s="115"/>
      <c r="BW865" s="115"/>
      <c r="BX865" s="115"/>
      <c r="BY865" s="115"/>
      <c r="BZ865" s="115"/>
      <c r="CA865" s="115"/>
      <c r="CB865" s="115"/>
      <c r="CC865" s="25"/>
      <c r="CD865" s="13"/>
      <c r="CG865" s="114"/>
    </row>
    <row r="866" spans="1:85" ht="20.100000000000001" customHeight="1" x14ac:dyDescent="0.4">
      <c r="A866" s="117"/>
      <c r="B866" s="123"/>
      <c r="C866" s="123"/>
      <c r="D866" s="123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27"/>
      <c r="AU866" s="29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25"/>
      <c r="BF866" s="13"/>
      <c r="BK866" s="116"/>
      <c r="BL866" s="123"/>
      <c r="BM866" s="123"/>
      <c r="BN866" s="123"/>
      <c r="BS866" s="115"/>
      <c r="BT866" s="115"/>
      <c r="BU866" s="115"/>
      <c r="BV866" s="115"/>
      <c r="BW866" s="115"/>
      <c r="BX866" s="115"/>
      <c r="BY866" s="115"/>
      <c r="BZ866" s="115"/>
      <c r="CA866" s="115"/>
      <c r="CB866" s="115"/>
      <c r="CC866" s="25"/>
      <c r="CD866" s="13"/>
      <c r="CG866" s="114"/>
    </row>
    <row r="867" spans="1:85" ht="20.100000000000001" customHeight="1" x14ac:dyDescent="0.4">
      <c r="A867" s="117"/>
      <c r="B867" s="123"/>
      <c r="C867" s="123"/>
      <c r="D867" s="123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29"/>
      <c r="AU867" s="29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25"/>
      <c r="BF867" s="13"/>
      <c r="BK867" s="116"/>
      <c r="BL867" s="123"/>
      <c r="BM867" s="123"/>
      <c r="BN867" s="123"/>
      <c r="BS867" s="115"/>
      <c r="BT867" s="115"/>
      <c r="BU867" s="115"/>
      <c r="BV867" s="115"/>
      <c r="BW867" s="115"/>
      <c r="BX867" s="115"/>
      <c r="BY867" s="115"/>
      <c r="BZ867" s="115"/>
      <c r="CA867" s="115"/>
      <c r="CB867" s="115"/>
      <c r="CC867" s="25"/>
      <c r="CD867" s="13"/>
      <c r="CG867" s="114"/>
    </row>
    <row r="868" spans="1:85" ht="20.100000000000001" customHeight="1" x14ac:dyDescent="0.4">
      <c r="A868" s="117"/>
      <c r="B868" s="123"/>
      <c r="C868" s="123"/>
      <c r="D868" s="123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27"/>
      <c r="AU868" s="29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25"/>
      <c r="BF868" s="13"/>
      <c r="BK868" s="116"/>
      <c r="BL868" s="123"/>
      <c r="BM868" s="123"/>
      <c r="BN868" s="123"/>
      <c r="BS868" s="115"/>
      <c r="BT868" s="115"/>
      <c r="BU868" s="115"/>
      <c r="BV868" s="115"/>
      <c r="BW868" s="115"/>
      <c r="BX868" s="115"/>
      <c r="BY868" s="115"/>
      <c r="BZ868" s="115"/>
      <c r="CA868" s="115"/>
      <c r="CB868" s="115"/>
      <c r="CC868" s="25"/>
      <c r="CD868" s="13"/>
      <c r="CG868" s="114"/>
    </row>
    <row r="869" spans="1:85" ht="20.100000000000001" customHeight="1" x14ac:dyDescent="0.4">
      <c r="A869" s="117"/>
      <c r="B869" s="123"/>
      <c r="C869" s="123"/>
      <c r="D869" s="123"/>
      <c r="AT869" s="127"/>
      <c r="AU869" s="29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25">
        <v>45677</v>
      </c>
      <c r="BF869" s="13" t="s">
        <v>148</v>
      </c>
      <c r="BK869" s="116"/>
      <c r="BL869" s="123"/>
      <c r="BM869" s="123"/>
      <c r="BN869" s="123"/>
      <c r="BS869" s="115"/>
      <c r="BT869" s="115"/>
      <c r="BU869" s="115"/>
      <c r="BV869" s="115"/>
      <c r="BW869" s="115"/>
      <c r="BX869" s="115"/>
      <c r="BY869" s="115"/>
      <c r="BZ869" s="115"/>
      <c r="CA869" s="115"/>
      <c r="CB869" s="115"/>
      <c r="CC869" s="25"/>
      <c r="CD869" s="13"/>
      <c r="CG869" s="114"/>
    </row>
    <row r="870" spans="1:85" ht="19.5" x14ac:dyDescent="0.4">
      <c r="A870" s="117"/>
      <c r="B870" s="123"/>
      <c r="C870" s="123"/>
      <c r="D870" s="123"/>
      <c r="AT870" s="127"/>
      <c r="AU870" s="29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25"/>
      <c r="BF870" s="13"/>
      <c r="BK870" s="116"/>
      <c r="BL870" s="123"/>
      <c r="BM870" s="123"/>
      <c r="BN870" s="123"/>
      <c r="BS870" s="115"/>
      <c r="BT870" s="115"/>
      <c r="BU870" s="115"/>
      <c r="BV870" s="115"/>
      <c r="BW870" s="115"/>
      <c r="BX870" s="115"/>
      <c r="BY870" s="115"/>
      <c r="BZ870" s="115"/>
      <c r="CA870" s="115"/>
      <c r="CB870" s="115"/>
      <c r="CC870" s="25"/>
      <c r="CD870" s="13"/>
      <c r="CG870" s="114"/>
    </row>
    <row r="871" spans="1:85" ht="19.5" x14ac:dyDescent="0.4">
      <c r="A871" s="117"/>
      <c r="B871" s="123"/>
      <c r="C871" s="123"/>
      <c r="D871" s="123"/>
      <c r="AL871" s="115"/>
      <c r="AM871" s="115"/>
      <c r="AN871" s="115"/>
      <c r="AO871" s="115"/>
      <c r="AP871" s="115"/>
      <c r="AQ871" s="115"/>
      <c r="AR871" s="115"/>
      <c r="AS871" s="115"/>
      <c r="AT871" s="29"/>
      <c r="AU871" s="29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25"/>
      <c r="BF871" s="13"/>
      <c r="BK871" s="116"/>
      <c r="BL871" s="123"/>
      <c r="BM871" s="123"/>
      <c r="BN871" s="123"/>
      <c r="BS871" s="115"/>
      <c r="BT871" s="115"/>
      <c r="BU871" s="115"/>
      <c r="BV871" s="115"/>
      <c r="BW871" s="115"/>
      <c r="BX871" s="115"/>
      <c r="BY871" s="115"/>
      <c r="BZ871" s="115"/>
      <c r="CA871" s="115"/>
      <c r="CB871" s="115"/>
      <c r="CC871" s="25"/>
      <c r="CD871" s="13"/>
      <c r="CG871" s="114"/>
    </row>
    <row r="872" spans="1:85" ht="19.5" x14ac:dyDescent="0.4">
      <c r="A872" s="117"/>
      <c r="B872" s="123"/>
      <c r="C872" s="123"/>
      <c r="D872" s="123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27"/>
      <c r="AU872" s="29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25"/>
      <c r="BF872" s="13"/>
      <c r="BK872" s="116"/>
      <c r="BL872" s="123"/>
      <c r="BM872" s="123"/>
      <c r="BN872" s="123"/>
      <c r="BS872" s="115"/>
      <c r="BT872" s="115"/>
      <c r="BU872" s="115"/>
      <c r="BV872" s="115"/>
      <c r="BW872" s="115"/>
      <c r="BX872" s="115"/>
      <c r="BY872" s="115"/>
      <c r="BZ872" s="115"/>
      <c r="CA872" s="115"/>
      <c r="CB872" s="115"/>
      <c r="CC872" s="25"/>
      <c r="CD872" s="13"/>
      <c r="CG872" s="114"/>
    </row>
    <row r="873" spans="1:85" ht="19.5" x14ac:dyDescent="0.4">
      <c r="A873" s="117"/>
      <c r="B873" s="123"/>
      <c r="C873" s="123"/>
      <c r="D873" s="123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29"/>
      <c r="AU873" s="29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25"/>
      <c r="BF873" s="13"/>
      <c r="BK873" s="116"/>
      <c r="BL873" s="123"/>
      <c r="BM873" s="123"/>
      <c r="BN873" s="123"/>
      <c r="BS873" s="115"/>
      <c r="BT873" s="115"/>
      <c r="BU873" s="115"/>
      <c r="BV873" s="115"/>
      <c r="BW873" s="115"/>
      <c r="BX873" s="115"/>
      <c r="BY873" s="115"/>
      <c r="BZ873" s="115"/>
      <c r="CA873" s="115"/>
      <c r="CB873" s="115"/>
      <c r="CC873" s="25"/>
      <c r="CD873" s="13"/>
      <c r="CG873" s="114"/>
    </row>
    <row r="874" spans="1:85" ht="19.5" x14ac:dyDescent="0.4">
      <c r="A874" s="117"/>
      <c r="B874" s="123"/>
      <c r="C874" s="123"/>
      <c r="D874" s="123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27"/>
      <c r="AU874" s="29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25"/>
      <c r="BF874" s="13"/>
      <c r="BK874" s="116"/>
      <c r="BL874" s="123"/>
      <c r="BM874" s="123"/>
      <c r="BN874" s="123"/>
      <c r="BS874" s="115"/>
      <c r="BT874" s="115"/>
      <c r="BU874" s="115"/>
      <c r="BV874" s="115"/>
      <c r="BW874" s="115"/>
      <c r="BX874" s="115"/>
      <c r="BY874" s="115"/>
      <c r="BZ874" s="115"/>
      <c r="CA874" s="115"/>
      <c r="CB874" s="115"/>
      <c r="CC874" s="25"/>
      <c r="CD874" s="13"/>
      <c r="CG874" s="114"/>
    </row>
    <row r="875" spans="1:85" ht="19.5" x14ac:dyDescent="0.4">
      <c r="A875" s="117"/>
      <c r="B875" s="123"/>
      <c r="C875" s="123"/>
      <c r="D875" s="123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29"/>
      <c r="AU875" s="29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25"/>
      <c r="BF875" s="13"/>
      <c r="BK875" s="116"/>
      <c r="BL875" s="123"/>
      <c r="BM875" s="123"/>
      <c r="BN875" s="123"/>
      <c r="BS875" s="115"/>
      <c r="BT875" s="115"/>
      <c r="BU875" s="115"/>
      <c r="BV875" s="115"/>
      <c r="BW875" s="115"/>
      <c r="BX875" s="115"/>
      <c r="BY875" s="115"/>
      <c r="BZ875" s="115"/>
      <c r="CA875" s="115"/>
      <c r="CB875" s="115"/>
      <c r="CC875" s="25"/>
      <c r="CD875" s="13"/>
      <c r="CG875" s="114"/>
    </row>
    <row r="876" spans="1:85" ht="19.5" x14ac:dyDescent="0.4">
      <c r="A876" s="117"/>
      <c r="B876" s="123"/>
      <c r="C876" s="123"/>
      <c r="D876" s="123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27"/>
      <c r="AU876" s="29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25"/>
      <c r="BF876" s="13"/>
      <c r="BK876" s="116"/>
      <c r="BL876" s="123"/>
      <c r="BM876" s="123"/>
      <c r="BN876" s="123"/>
      <c r="BS876" s="115"/>
      <c r="BT876" s="115"/>
      <c r="BU876" s="115"/>
      <c r="BV876" s="115"/>
      <c r="BW876" s="115"/>
      <c r="BX876" s="115"/>
      <c r="BY876" s="115"/>
      <c r="BZ876" s="115"/>
      <c r="CA876" s="115"/>
      <c r="CB876" s="115"/>
      <c r="CC876" s="25"/>
      <c r="CD876" s="13"/>
      <c r="CG876" s="114"/>
    </row>
    <row r="877" spans="1:85" ht="19.5" x14ac:dyDescent="0.4">
      <c r="A877" s="117"/>
      <c r="B877" s="123"/>
      <c r="C877" s="123"/>
      <c r="D877" s="123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27"/>
      <c r="AU877" s="29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25"/>
      <c r="BF877" s="13"/>
      <c r="BK877" s="116"/>
      <c r="BL877" s="123"/>
      <c r="BM877" s="123"/>
      <c r="BN877" s="123"/>
      <c r="BS877" s="115"/>
      <c r="BT877" s="115"/>
      <c r="BU877" s="115"/>
      <c r="BV877" s="115"/>
      <c r="BW877" s="115"/>
      <c r="BX877" s="115"/>
      <c r="BY877" s="115"/>
      <c r="BZ877" s="115"/>
      <c r="CA877" s="115"/>
      <c r="CB877" s="115"/>
      <c r="CC877" s="25"/>
      <c r="CD877" s="13"/>
      <c r="CG877" s="114"/>
    </row>
    <row r="878" spans="1:85" ht="19.5" x14ac:dyDescent="0.4">
      <c r="A878" s="117"/>
      <c r="B878" s="123"/>
      <c r="C878" s="123"/>
      <c r="D878" s="123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27"/>
      <c r="AU878" s="29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25"/>
      <c r="BF878" s="13"/>
      <c r="BK878" s="116"/>
      <c r="BL878" s="123"/>
      <c r="BM878" s="123"/>
      <c r="BN878" s="123"/>
      <c r="BS878" s="115"/>
      <c r="BT878" s="115"/>
      <c r="BU878" s="115"/>
      <c r="BV878" s="115"/>
      <c r="BW878" s="115"/>
      <c r="BX878" s="115"/>
      <c r="BY878" s="115"/>
      <c r="BZ878" s="115"/>
      <c r="CA878" s="115"/>
      <c r="CB878" s="115"/>
      <c r="CC878" s="25"/>
      <c r="CD878" s="13"/>
      <c r="CG878" s="114"/>
    </row>
    <row r="879" spans="1:85" ht="19.5" x14ac:dyDescent="0.4">
      <c r="A879" s="117"/>
      <c r="B879" s="123"/>
      <c r="C879" s="123"/>
      <c r="D879" s="123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29"/>
      <c r="AU879" s="29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25"/>
      <c r="BF879" s="13"/>
      <c r="BK879" s="116"/>
      <c r="BL879" s="123"/>
      <c r="BM879" s="123"/>
      <c r="BN879" s="123"/>
      <c r="BS879" s="115"/>
      <c r="BT879" s="115"/>
      <c r="BU879" s="115"/>
      <c r="BV879" s="115"/>
      <c r="BW879" s="115"/>
      <c r="BX879" s="115"/>
      <c r="BY879" s="115"/>
      <c r="BZ879" s="115"/>
      <c r="CA879" s="115"/>
      <c r="CB879" s="115"/>
      <c r="CC879" s="25"/>
      <c r="CD879" s="13"/>
      <c r="CG879" s="114"/>
    </row>
    <row r="880" spans="1:85" ht="19.5" x14ac:dyDescent="0.4">
      <c r="A880" s="117"/>
      <c r="B880" s="123"/>
      <c r="C880" s="123"/>
      <c r="D880" s="123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27"/>
      <c r="AU880" s="29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25"/>
      <c r="BF880" s="13"/>
      <c r="BK880" s="116"/>
      <c r="BL880" s="123"/>
      <c r="BM880" s="123"/>
      <c r="BN880" s="123"/>
      <c r="BS880" s="115"/>
      <c r="BT880" s="115"/>
      <c r="BU880" s="115"/>
      <c r="BV880" s="115"/>
      <c r="BW880" s="115"/>
      <c r="BX880" s="115"/>
      <c r="BY880" s="115"/>
      <c r="BZ880" s="115"/>
      <c r="CA880" s="115"/>
      <c r="CB880" s="115"/>
      <c r="CC880" s="25"/>
      <c r="CD880" s="13"/>
      <c r="CG880" s="114"/>
    </row>
    <row r="881" spans="1:85" ht="19.5" x14ac:dyDescent="0.4">
      <c r="A881" s="117"/>
      <c r="B881" s="123"/>
      <c r="C881" s="123"/>
      <c r="D881" s="123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29"/>
      <c r="AU881" s="29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25"/>
      <c r="BF881" s="13"/>
      <c r="BK881" s="116"/>
      <c r="BL881" s="123"/>
      <c r="BM881" s="123"/>
      <c r="BN881" s="123"/>
      <c r="BS881" s="115"/>
      <c r="BT881" s="115"/>
      <c r="BU881" s="115"/>
      <c r="BV881" s="115"/>
      <c r="BW881" s="115"/>
      <c r="BX881" s="115"/>
      <c r="BY881" s="115"/>
      <c r="BZ881" s="115"/>
      <c r="CA881" s="115"/>
      <c r="CB881" s="115"/>
      <c r="CC881" s="25"/>
      <c r="CD881" s="13"/>
      <c r="CG881" s="114"/>
    </row>
    <row r="882" spans="1:85" ht="19.5" x14ac:dyDescent="0.4">
      <c r="A882" s="117"/>
      <c r="B882" s="123"/>
      <c r="C882" s="123"/>
      <c r="D882" s="123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27"/>
      <c r="AU882" s="29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25"/>
      <c r="BF882" s="13"/>
      <c r="BK882" s="116"/>
      <c r="BL882" s="123"/>
      <c r="BM882" s="123"/>
      <c r="BN882" s="123"/>
      <c r="BS882" s="115"/>
      <c r="BT882" s="115"/>
      <c r="BU882" s="115"/>
      <c r="BV882" s="115"/>
      <c r="BW882" s="115"/>
      <c r="BX882" s="115"/>
      <c r="BY882" s="115"/>
      <c r="BZ882" s="115"/>
      <c r="CA882" s="115"/>
      <c r="CB882" s="115"/>
      <c r="CC882" s="25"/>
      <c r="CD882" s="13"/>
      <c r="CG882" s="114"/>
    </row>
    <row r="883" spans="1:85" ht="19.5" x14ac:dyDescent="0.4">
      <c r="A883" s="117"/>
      <c r="B883" s="123"/>
      <c r="C883" s="123"/>
      <c r="D883" s="123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29"/>
      <c r="AU883" s="29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25"/>
      <c r="BF883" s="13"/>
      <c r="BK883" s="116"/>
      <c r="BL883" s="123"/>
      <c r="BM883" s="123"/>
      <c r="BN883" s="123"/>
      <c r="BS883" s="115"/>
      <c r="BT883" s="115"/>
      <c r="BU883" s="115"/>
      <c r="BV883" s="115"/>
      <c r="BW883" s="115"/>
      <c r="BX883" s="115"/>
      <c r="BY883" s="115"/>
      <c r="BZ883" s="115"/>
      <c r="CA883" s="115"/>
      <c r="CB883" s="115"/>
      <c r="CC883" s="25"/>
      <c r="CD883" s="13"/>
      <c r="CG883" s="114"/>
    </row>
    <row r="884" spans="1:85" ht="19.5" x14ac:dyDescent="0.4">
      <c r="A884" s="117"/>
      <c r="B884" s="123"/>
      <c r="C884" s="123"/>
      <c r="D884" s="123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29"/>
      <c r="AU884" s="29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25"/>
      <c r="BF884" s="13"/>
      <c r="BK884" s="116"/>
      <c r="BL884" s="123"/>
      <c r="BM884" s="123"/>
      <c r="BN884" s="123"/>
      <c r="BS884" s="115"/>
      <c r="BT884" s="115"/>
      <c r="BU884" s="115"/>
      <c r="BV884" s="115"/>
      <c r="BW884" s="115"/>
      <c r="BX884" s="115"/>
      <c r="BY884" s="115"/>
      <c r="BZ884" s="115"/>
      <c r="CA884" s="115"/>
      <c r="CB884" s="115"/>
      <c r="CC884" s="25"/>
      <c r="CD884" s="13"/>
      <c r="CG884" s="114"/>
    </row>
    <row r="885" spans="1:85" ht="19.5" x14ac:dyDescent="0.4">
      <c r="A885" s="117"/>
      <c r="B885" s="123"/>
      <c r="C885" s="123"/>
      <c r="D885" s="123"/>
      <c r="AT885" s="127"/>
      <c r="AU885" s="29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25">
        <v>45677</v>
      </c>
      <c r="BF885" s="13" t="s">
        <v>146</v>
      </c>
      <c r="BK885" s="116"/>
      <c r="BL885" s="123"/>
      <c r="BM885" s="123"/>
      <c r="BN885" s="123"/>
      <c r="BS885" s="115"/>
      <c r="BT885" s="115"/>
      <c r="BU885" s="115"/>
      <c r="BV885" s="115"/>
      <c r="BW885" s="115"/>
      <c r="BX885" s="115"/>
      <c r="BY885" s="115"/>
      <c r="BZ885" s="115"/>
      <c r="CA885" s="115"/>
      <c r="CB885" s="115"/>
      <c r="CC885" s="25"/>
      <c r="CD885" s="13"/>
      <c r="CG885" s="114"/>
    </row>
    <row r="886" spans="1:85" ht="19.5" x14ac:dyDescent="0.4">
      <c r="A886" s="117"/>
      <c r="B886" s="123"/>
      <c r="C886" s="123"/>
      <c r="D886" s="123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27"/>
      <c r="AU886" s="29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25"/>
      <c r="BF886" s="13"/>
      <c r="BK886" s="116"/>
      <c r="BL886" s="123"/>
      <c r="BM886" s="123"/>
      <c r="BN886" s="123"/>
      <c r="BS886" s="115"/>
      <c r="BT886" s="115"/>
      <c r="BU886" s="115"/>
      <c r="BV886" s="115"/>
      <c r="BW886" s="115"/>
      <c r="BX886" s="115"/>
      <c r="BY886" s="115"/>
      <c r="BZ886" s="115"/>
      <c r="CA886" s="115"/>
      <c r="CB886" s="115"/>
      <c r="CC886" s="25"/>
      <c r="CD886" s="13"/>
      <c r="CG886" s="114"/>
    </row>
    <row r="887" spans="1:85" ht="19.5" x14ac:dyDescent="0.4">
      <c r="A887" s="117"/>
      <c r="B887" s="123"/>
      <c r="C887" s="123"/>
      <c r="D887" s="123"/>
      <c r="AT887" s="127"/>
      <c r="AU887" s="29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25"/>
      <c r="BF887" s="13"/>
      <c r="BK887" s="116"/>
      <c r="BL887" s="123"/>
      <c r="BM887" s="123"/>
      <c r="BN887" s="123"/>
      <c r="BS887" s="115"/>
      <c r="BT887" s="115"/>
      <c r="BU887" s="115"/>
      <c r="BV887" s="115"/>
      <c r="BW887" s="115"/>
      <c r="BX887" s="115"/>
      <c r="BY887" s="115"/>
      <c r="BZ887" s="115"/>
      <c r="CA887" s="115"/>
      <c r="CB887" s="115"/>
      <c r="CC887" s="25"/>
      <c r="CD887" s="13"/>
      <c r="CG887" s="114"/>
    </row>
    <row r="888" spans="1:85" ht="19.5" x14ac:dyDescent="0.4">
      <c r="A888" s="117"/>
      <c r="B888" s="123"/>
      <c r="C888" s="123"/>
      <c r="D888" s="123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27"/>
      <c r="AU888" s="29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25"/>
      <c r="BF888" s="13"/>
      <c r="BK888" s="116"/>
      <c r="BL888" s="123"/>
      <c r="BM888" s="123"/>
      <c r="BN888" s="123"/>
      <c r="BS888" s="115"/>
      <c r="BT888" s="115"/>
      <c r="BU888" s="115"/>
      <c r="BV888" s="115"/>
      <c r="BW888" s="115"/>
      <c r="BX888" s="115"/>
      <c r="BY888" s="115"/>
      <c r="BZ888" s="115"/>
      <c r="CA888" s="115"/>
      <c r="CB888" s="115"/>
      <c r="CC888" s="25"/>
      <c r="CD888" s="13"/>
      <c r="CG888" s="114"/>
    </row>
    <row r="889" spans="1:85" ht="19.5" x14ac:dyDescent="0.4">
      <c r="A889" s="117"/>
      <c r="B889" s="123"/>
      <c r="C889" s="123"/>
      <c r="D889" s="123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27"/>
      <c r="AU889" s="29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25"/>
      <c r="BF889" s="13"/>
      <c r="BK889" s="116"/>
      <c r="BL889" s="123"/>
      <c r="BM889" s="123"/>
      <c r="BN889" s="123"/>
      <c r="BS889" s="115"/>
      <c r="BT889" s="115"/>
      <c r="BU889" s="115"/>
      <c r="BV889" s="115"/>
      <c r="BW889" s="115"/>
      <c r="BX889" s="115"/>
      <c r="BY889" s="115"/>
      <c r="BZ889" s="115"/>
      <c r="CA889" s="115"/>
      <c r="CB889" s="115"/>
      <c r="CC889" s="25"/>
      <c r="CD889" s="13"/>
      <c r="CG889" s="114"/>
    </row>
    <row r="890" spans="1:85" ht="19.5" x14ac:dyDescent="0.4">
      <c r="A890" s="117"/>
      <c r="B890" s="123"/>
      <c r="C890" s="123"/>
      <c r="D890" s="123"/>
      <c r="AT890" s="127"/>
      <c r="AU890" s="29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25"/>
      <c r="BF890" s="13"/>
      <c r="BK890" s="116"/>
      <c r="BL890" s="123"/>
      <c r="BM890" s="123"/>
      <c r="BN890" s="123"/>
      <c r="BS890" s="115"/>
      <c r="BT890" s="115"/>
      <c r="BU890" s="115"/>
      <c r="BV890" s="115"/>
      <c r="BW890" s="115"/>
      <c r="BX890" s="115"/>
      <c r="BY890" s="115"/>
      <c r="BZ890" s="115"/>
      <c r="CA890" s="115"/>
      <c r="CB890" s="115"/>
      <c r="CC890" s="25"/>
      <c r="CD890" s="13"/>
      <c r="CG890" s="114"/>
    </row>
    <row r="891" spans="1:85" ht="19.5" x14ac:dyDescent="0.4">
      <c r="A891" s="117"/>
      <c r="B891" s="123"/>
      <c r="C891" s="123"/>
      <c r="D891" s="123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27"/>
      <c r="AU891" s="29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25"/>
      <c r="BF891" s="13"/>
      <c r="BK891" s="116"/>
      <c r="BL891" s="123"/>
      <c r="BM891" s="123"/>
      <c r="BN891" s="123"/>
      <c r="BS891" s="115"/>
      <c r="BT891" s="115"/>
      <c r="BU891" s="115"/>
      <c r="BV891" s="115"/>
      <c r="BW891" s="115"/>
      <c r="BX891" s="115"/>
      <c r="BY891" s="115"/>
      <c r="BZ891" s="115"/>
      <c r="CA891" s="115"/>
      <c r="CB891" s="115"/>
      <c r="CC891" s="25"/>
      <c r="CD891" s="13"/>
      <c r="CG891" s="114"/>
    </row>
    <row r="892" spans="1:85" ht="19.5" x14ac:dyDescent="0.4">
      <c r="A892" s="117"/>
      <c r="B892" s="123"/>
      <c r="C892" s="123"/>
      <c r="D892" s="123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27"/>
      <c r="AU892" s="29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25"/>
      <c r="BF892" s="13"/>
      <c r="BK892" s="116"/>
      <c r="BL892" s="123"/>
      <c r="BM892" s="123"/>
      <c r="BN892" s="123"/>
      <c r="BS892" s="115"/>
      <c r="BT892" s="115"/>
      <c r="BU892" s="115"/>
      <c r="BV892" s="115"/>
      <c r="BW892" s="115"/>
      <c r="BX892" s="115"/>
      <c r="BY892" s="115"/>
      <c r="BZ892" s="115"/>
      <c r="CA892" s="115"/>
      <c r="CB892" s="115"/>
      <c r="CC892" s="25"/>
      <c r="CD892" s="13"/>
      <c r="CG892" s="114"/>
    </row>
    <row r="893" spans="1:85" ht="19.5" x14ac:dyDescent="0.4">
      <c r="A893" s="117"/>
      <c r="B893" s="123"/>
      <c r="C893" s="123"/>
      <c r="D893" s="123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27"/>
      <c r="AU893" s="29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25"/>
      <c r="BF893" s="13"/>
      <c r="BK893" s="116"/>
      <c r="BL893" s="123"/>
      <c r="BM893" s="123"/>
      <c r="BN893" s="123"/>
      <c r="BS893" s="115"/>
      <c r="BT893" s="115"/>
      <c r="BU893" s="115"/>
      <c r="BV893" s="115"/>
      <c r="BW893" s="115"/>
      <c r="BX893" s="115"/>
      <c r="BY893" s="115"/>
      <c r="BZ893" s="115"/>
      <c r="CA893" s="115"/>
      <c r="CB893" s="115"/>
      <c r="CC893" s="25"/>
      <c r="CD893" s="13"/>
      <c r="CG893" s="114"/>
    </row>
    <row r="894" spans="1:85" ht="19.5" x14ac:dyDescent="0.4">
      <c r="A894" s="117"/>
      <c r="B894" s="123"/>
      <c r="C894" s="123"/>
      <c r="D894" s="123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29"/>
      <c r="AU894" s="29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25"/>
      <c r="BF894" s="13"/>
      <c r="BK894" s="116"/>
      <c r="BL894" s="123"/>
      <c r="BM894" s="123"/>
      <c r="BN894" s="123"/>
      <c r="BS894" s="115"/>
      <c r="BT894" s="115"/>
      <c r="BU894" s="115"/>
      <c r="BV894" s="115"/>
      <c r="BW894" s="115"/>
      <c r="BX894" s="115"/>
      <c r="BY894" s="115"/>
      <c r="BZ894" s="115"/>
      <c r="CA894" s="115"/>
      <c r="CB894" s="115"/>
      <c r="CC894" s="25"/>
      <c r="CD894" s="13"/>
      <c r="CG894" s="114"/>
    </row>
    <row r="895" spans="1:85" ht="19.5" x14ac:dyDescent="0.4">
      <c r="A895" s="117"/>
      <c r="B895" s="123"/>
      <c r="C895" s="123"/>
      <c r="D895" s="123"/>
      <c r="AT895" s="127"/>
      <c r="AU895" s="29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25">
        <v>45677</v>
      </c>
      <c r="BF895" s="13" t="s">
        <v>147</v>
      </c>
      <c r="BK895" s="116"/>
      <c r="BL895" s="123"/>
      <c r="BM895" s="123"/>
      <c r="BN895" s="123"/>
      <c r="BS895" s="115"/>
      <c r="BT895" s="115"/>
      <c r="BU895" s="115"/>
      <c r="BV895" s="115"/>
      <c r="BW895" s="115"/>
      <c r="BX895" s="115"/>
      <c r="BY895" s="115"/>
      <c r="BZ895" s="115"/>
      <c r="CA895" s="115"/>
      <c r="CB895" s="115"/>
      <c r="CC895" s="25"/>
      <c r="CD895" s="13"/>
      <c r="CG895" s="114"/>
    </row>
    <row r="896" spans="1:85" ht="19.5" x14ac:dyDescent="0.4">
      <c r="A896" s="117"/>
      <c r="B896" s="123"/>
      <c r="C896" s="123"/>
      <c r="D896" s="123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27"/>
      <c r="AU896" s="29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25"/>
      <c r="BF896" s="13"/>
      <c r="BK896" s="116"/>
      <c r="BL896" s="123"/>
      <c r="BM896" s="123"/>
      <c r="BN896" s="123"/>
      <c r="BS896" s="115"/>
      <c r="BT896" s="115"/>
      <c r="BU896" s="115"/>
      <c r="BV896" s="115"/>
      <c r="BW896" s="115"/>
      <c r="BX896" s="115"/>
      <c r="BY896" s="115"/>
      <c r="BZ896" s="115"/>
      <c r="CA896" s="115"/>
      <c r="CB896" s="115"/>
      <c r="CC896" s="25"/>
      <c r="CD896" s="13"/>
      <c r="CG896" s="114"/>
    </row>
    <row r="897" spans="1:85" ht="19.5" x14ac:dyDescent="0.4">
      <c r="A897" s="117"/>
      <c r="B897" s="123"/>
      <c r="C897" s="123"/>
      <c r="D897" s="123"/>
      <c r="AT897" s="127"/>
      <c r="AU897" s="29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25">
        <v>45677</v>
      </c>
      <c r="BF897" s="25" t="s">
        <v>147</v>
      </c>
      <c r="BK897" s="116"/>
      <c r="BL897" s="123"/>
      <c r="BM897" s="123"/>
      <c r="BN897" s="123"/>
      <c r="BS897" s="115"/>
      <c r="BT897" s="115"/>
      <c r="BU897" s="115"/>
      <c r="BV897" s="115"/>
      <c r="BW897" s="115"/>
      <c r="BX897" s="115"/>
      <c r="BY897" s="115"/>
      <c r="BZ897" s="115"/>
      <c r="CA897" s="115"/>
      <c r="CB897" s="115"/>
      <c r="CC897" s="25"/>
      <c r="CD897" s="13"/>
      <c r="CG897" s="114"/>
    </row>
    <row r="898" spans="1:85" ht="19.5" x14ac:dyDescent="0.4">
      <c r="A898" s="117"/>
      <c r="B898" s="123"/>
      <c r="C898" s="123"/>
      <c r="D898" s="123"/>
      <c r="AT898" s="127"/>
      <c r="AU898" s="29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25"/>
      <c r="BF898" s="25"/>
      <c r="BK898" s="116"/>
      <c r="BL898" s="123"/>
      <c r="BM898" s="123"/>
      <c r="BN898" s="123"/>
      <c r="BS898" s="115"/>
      <c r="BT898" s="115"/>
      <c r="BU898" s="115"/>
      <c r="BV898" s="115"/>
      <c r="BW898" s="115"/>
      <c r="BX898" s="115"/>
      <c r="BY898" s="115"/>
      <c r="BZ898" s="115"/>
      <c r="CA898" s="115"/>
      <c r="CB898" s="115"/>
      <c r="CC898" s="25"/>
      <c r="CD898" s="13"/>
      <c r="CG898" s="114"/>
    </row>
    <row r="899" spans="1:85" ht="19.5" x14ac:dyDescent="0.4">
      <c r="A899" s="117"/>
      <c r="B899" s="123"/>
      <c r="C899" s="123"/>
      <c r="D899" s="123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27"/>
      <c r="AU899" s="29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25"/>
      <c r="BF899" s="25"/>
      <c r="BK899" s="116"/>
      <c r="BL899" s="123"/>
      <c r="BM899" s="123"/>
      <c r="BN899" s="123"/>
      <c r="BS899" s="115"/>
      <c r="BT899" s="115"/>
      <c r="BU899" s="115"/>
      <c r="BV899" s="115"/>
      <c r="BW899" s="115"/>
      <c r="BX899" s="115"/>
      <c r="BY899" s="115"/>
      <c r="BZ899" s="115"/>
      <c r="CA899" s="115"/>
      <c r="CB899" s="115"/>
      <c r="CC899" s="25"/>
      <c r="CD899" s="13"/>
      <c r="CG899" s="114"/>
    </row>
    <row r="900" spans="1:85" ht="19.5" x14ac:dyDescent="0.4">
      <c r="A900" s="117"/>
      <c r="B900" s="123"/>
      <c r="C900" s="123"/>
      <c r="D900" s="123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27"/>
      <c r="AU900" s="29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25"/>
      <c r="BF900" s="25"/>
      <c r="BK900" s="116"/>
      <c r="BL900" s="123"/>
      <c r="BM900" s="123"/>
      <c r="BN900" s="123"/>
      <c r="BS900" s="115"/>
      <c r="BT900" s="115"/>
      <c r="BU900" s="115"/>
      <c r="BV900" s="115"/>
      <c r="BW900" s="115"/>
      <c r="BX900" s="115"/>
      <c r="BY900" s="115"/>
      <c r="BZ900" s="115"/>
      <c r="CA900" s="115"/>
      <c r="CB900" s="115"/>
      <c r="CC900" s="25"/>
      <c r="CD900" s="13"/>
      <c r="CG900" s="114"/>
    </row>
    <row r="901" spans="1:85" ht="19.5" x14ac:dyDescent="0.4">
      <c r="A901" s="117"/>
      <c r="B901" s="123"/>
      <c r="C901" s="123"/>
      <c r="D901" s="123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27"/>
      <c r="AU901" s="29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25"/>
      <c r="BF901" s="25"/>
      <c r="BK901" s="116"/>
      <c r="BL901" s="123"/>
      <c r="BM901" s="123"/>
      <c r="BN901" s="123"/>
      <c r="BS901" s="115"/>
      <c r="BT901" s="115"/>
      <c r="BU901" s="115"/>
      <c r="BV901" s="115"/>
      <c r="BW901" s="115"/>
      <c r="BX901" s="115"/>
      <c r="BY901" s="115"/>
      <c r="BZ901" s="115"/>
      <c r="CA901" s="115"/>
      <c r="CB901" s="115"/>
      <c r="CC901" s="25"/>
      <c r="CD901" s="13"/>
      <c r="CG901" s="114"/>
    </row>
    <row r="902" spans="1:85" ht="19.5" x14ac:dyDescent="0.4">
      <c r="A902" s="117"/>
      <c r="B902" s="123"/>
      <c r="C902" s="123"/>
      <c r="D902" s="123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29"/>
      <c r="AU902" s="29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25"/>
      <c r="BF902" s="25"/>
      <c r="BK902" s="116"/>
      <c r="BL902" s="123"/>
      <c r="BM902" s="123"/>
      <c r="BN902" s="123"/>
      <c r="BS902" s="115"/>
      <c r="BT902" s="115"/>
      <c r="BU902" s="115"/>
      <c r="BV902" s="115"/>
      <c r="BW902" s="115"/>
      <c r="BX902" s="115"/>
      <c r="BY902" s="115"/>
      <c r="BZ902" s="115"/>
      <c r="CA902" s="115"/>
      <c r="CB902" s="115"/>
      <c r="CC902" s="25"/>
      <c r="CD902" s="13"/>
      <c r="CG902" s="114"/>
    </row>
    <row r="903" spans="1:85" ht="19.5" x14ac:dyDescent="0.4">
      <c r="A903" s="117"/>
      <c r="B903" s="123"/>
      <c r="C903" s="123"/>
      <c r="D903" s="123"/>
      <c r="AT903" s="127"/>
      <c r="AU903" s="29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25">
        <v>45678</v>
      </c>
      <c r="BF903" s="13" t="s">
        <v>147</v>
      </c>
      <c r="BK903" s="116"/>
      <c r="BL903" s="123"/>
      <c r="BM903" s="123"/>
      <c r="BN903" s="123"/>
      <c r="BS903" s="115"/>
      <c r="BT903" s="115"/>
      <c r="BU903" s="115"/>
      <c r="BV903" s="115"/>
      <c r="BW903" s="115"/>
      <c r="BX903" s="115"/>
      <c r="BY903" s="115"/>
      <c r="BZ903" s="115"/>
      <c r="CA903" s="115"/>
      <c r="CB903" s="115"/>
      <c r="CC903" s="25"/>
      <c r="CD903" s="13"/>
      <c r="CG903" s="114"/>
    </row>
    <row r="904" spans="1:85" ht="19.5" x14ac:dyDescent="0.4">
      <c r="A904" s="117"/>
      <c r="B904" s="123"/>
      <c r="C904" s="123"/>
      <c r="D904" s="123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27"/>
      <c r="AU904" s="29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25"/>
      <c r="BF904" s="13"/>
      <c r="BK904" s="116"/>
      <c r="BL904" s="123"/>
      <c r="BM904" s="123"/>
      <c r="BN904" s="123"/>
      <c r="BS904" s="115"/>
      <c r="BT904" s="115"/>
      <c r="BU904" s="115"/>
      <c r="BV904" s="115"/>
      <c r="BW904" s="115"/>
      <c r="BX904" s="115"/>
      <c r="BY904" s="115"/>
      <c r="BZ904" s="115"/>
      <c r="CA904" s="115"/>
      <c r="CB904" s="115"/>
      <c r="CC904" s="25"/>
      <c r="CD904" s="13"/>
      <c r="CG904" s="114"/>
    </row>
    <row r="905" spans="1:85" ht="19.5" x14ac:dyDescent="0.4">
      <c r="A905" s="117"/>
      <c r="B905" s="123"/>
      <c r="C905" s="123"/>
      <c r="D905" s="123"/>
      <c r="AT905" s="127"/>
      <c r="AU905" s="29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25">
        <v>45678</v>
      </c>
      <c r="BF905" s="13" t="s">
        <v>146</v>
      </c>
      <c r="BK905" s="116"/>
      <c r="BL905" s="123"/>
      <c r="BM905" s="123"/>
      <c r="BN905" s="123"/>
      <c r="BS905" s="115"/>
      <c r="BT905" s="115"/>
      <c r="BU905" s="115"/>
      <c r="BV905" s="115"/>
      <c r="BW905" s="115"/>
      <c r="BX905" s="115"/>
      <c r="BY905" s="115"/>
      <c r="BZ905" s="115"/>
      <c r="CA905" s="115"/>
      <c r="CB905" s="115"/>
      <c r="CC905" s="25"/>
      <c r="CD905" s="13"/>
      <c r="CG905" s="114"/>
    </row>
    <row r="906" spans="1:85" ht="19.5" x14ac:dyDescent="0.4">
      <c r="A906" s="117"/>
      <c r="B906" s="123"/>
      <c r="C906" s="123"/>
      <c r="D906" s="123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27"/>
      <c r="AU906" s="29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25"/>
      <c r="BF906" s="13"/>
      <c r="BK906" s="116"/>
      <c r="BL906" s="123"/>
      <c r="BM906" s="123"/>
      <c r="BN906" s="123"/>
      <c r="BS906" s="115"/>
      <c r="BT906" s="115"/>
      <c r="BU906" s="115"/>
      <c r="BV906" s="115"/>
      <c r="BW906" s="115"/>
      <c r="BX906" s="115"/>
      <c r="BY906" s="115"/>
      <c r="BZ906" s="115"/>
      <c r="CA906" s="115"/>
      <c r="CB906" s="115"/>
      <c r="CC906" s="25"/>
      <c r="CD906" s="13"/>
      <c r="CG906" s="114"/>
    </row>
    <row r="907" spans="1:85" ht="19.5" x14ac:dyDescent="0.4">
      <c r="A907" s="117"/>
      <c r="B907" s="123"/>
      <c r="C907" s="123"/>
      <c r="D907" s="123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27"/>
      <c r="AU907" s="29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25"/>
      <c r="BF907" s="13"/>
      <c r="BK907" s="116"/>
      <c r="BL907" s="123"/>
      <c r="BM907" s="123"/>
      <c r="BN907" s="123"/>
      <c r="BS907" s="115"/>
      <c r="BT907" s="115"/>
      <c r="BU907" s="115"/>
      <c r="BV907" s="115"/>
      <c r="BW907" s="115"/>
      <c r="BX907" s="115"/>
      <c r="BY907" s="115"/>
      <c r="BZ907" s="115"/>
      <c r="CA907" s="115"/>
      <c r="CB907" s="115"/>
      <c r="CC907" s="25"/>
      <c r="CD907" s="13"/>
      <c r="CG907" s="114"/>
    </row>
    <row r="908" spans="1:85" ht="19.5" x14ac:dyDescent="0.4">
      <c r="A908" s="117"/>
      <c r="B908" s="123"/>
      <c r="C908" s="123"/>
      <c r="D908" s="123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27"/>
      <c r="AU908" s="29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25"/>
      <c r="BF908" s="13"/>
      <c r="BK908" s="116"/>
      <c r="BL908" s="123"/>
      <c r="BM908" s="123"/>
      <c r="BN908" s="123"/>
      <c r="BS908" s="115"/>
      <c r="BT908" s="115"/>
      <c r="BU908" s="115"/>
      <c r="BV908" s="115"/>
      <c r="BW908" s="115"/>
      <c r="BX908" s="115"/>
      <c r="BY908" s="115"/>
      <c r="BZ908" s="115"/>
      <c r="CA908" s="115"/>
      <c r="CB908" s="115"/>
      <c r="CC908" s="25"/>
      <c r="CD908" s="13"/>
      <c r="CG908" s="114"/>
    </row>
    <row r="909" spans="1:85" ht="19.5" x14ac:dyDescent="0.4">
      <c r="A909" s="117"/>
      <c r="B909" s="123"/>
      <c r="C909" s="123"/>
      <c r="D909" s="123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27"/>
      <c r="AU909" s="29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25"/>
      <c r="BF909" s="13"/>
      <c r="BK909" s="116"/>
      <c r="BL909" s="123"/>
      <c r="BM909" s="123"/>
      <c r="BN909" s="123"/>
      <c r="BS909" s="115"/>
      <c r="BT909" s="115"/>
      <c r="BU909" s="115"/>
      <c r="BV909" s="115"/>
      <c r="BW909" s="115"/>
      <c r="BX909" s="115"/>
      <c r="BY909" s="115"/>
      <c r="BZ909" s="115"/>
      <c r="CA909" s="115"/>
      <c r="CB909" s="115"/>
      <c r="CC909" s="25"/>
      <c r="CD909" s="13"/>
      <c r="CG909" s="114"/>
    </row>
    <row r="910" spans="1:85" ht="19.5" x14ac:dyDescent="0.4">
      <c r="A910" s="117"/>
      <c r="B910" s="123"/>
      <c r="C910" s="123"/>
      <c r="D910" s="123"/>
      <c r="AT910" s="127"/>
      <c r="AU910" s="29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25">
        <v>45678</v>
      </c>
      <c r="BF910" s="13" t="s">
        <v>148</v>
      </c>
      <c r="BK910" s="116"/>
      <c r="BL910" s="123"/>
      <c r="BM910" s="123"/>
      <c r="BN910" s="123"/>
      <c r="BS910" s="115"/>
      <c r="BT910" s="115"/>
      <c r="BU910" s="115"/>
      <c r="BV910" s="115"/>
      <c r="BW910" s="115"/>
      <c r="BX910" s="115"/>
      <c r="BY910" s="115"/>
      <c r="BZ910" s="115"/>
      <c r="CA910" s="115"/>
      <c r="CB910" s="115"/>
      <c r="CC910" s="25"/>
      <c r="CD910" s="13"/>
      <c r="CG910" s="114"/>
    </row>
    <row r="911" spans="1:85" ht="19.5" x14ac:dyDescent="0.4">
      <c r="A911" s="117"/>
      <c r="B911" s="123"/>
      <c r="C911" s="123"/>
      <c r="D911" s="123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27"/>
      <c r="AU911" s="29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25"/>
      <c r="BF911" s="13"/>
      <c r="BK911" s="116"/>
      <c r="BL911" s="123"/>
      <c r="BM911" s="123"/>
      <c r="BN911" s="123"/>
      <c r="BS911" s="115"/>
      <c r="BT911" s="115"/>
      <c r="BU911" s="115"/>
      <c r="BV911" s="115"/>
      <c r="BW911" s="115"/>
      <c r="BX911" s="115"/>
      <c r="BY911" s="115"/>
      <c r="BZ911" s="115"/>
      <c r="CA911" s="115"/>
      <c r="CB911" s="115"/>
      <c r="CC911" s="25"/>
      <c r="CD911" s="13"/>
      <c r="CG911" s="114"/>
    </row>
    <row r="912" spans="1:85" ht="19.5" x14ac:dyDescent="0.4">
      <c r="A912" s="117"/>
      <c r="B912" s="123"/>
      <c r="C912" s="123"/>
      <c r="D912" s="123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29"/>
      <c r="AU912" s="29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25"/>
      <c r="BF912" s="13"/>
      <c r="BK912" s="116"/>
      <c r="BL912" s="123"/>
      <c r="BM912" s="123"/>
      <c r="BN912" s="123"/>
      <c r="BS912" s="115"/>
      <c r="BT912" s="115"/>
      <c r="BU912" s="115"/>
      <c r="BV912" s="115"/>
      <c r="BW912" s="115"/>
      <c r="BX912" s="115"/>
      <c r="BY912" s="115"/>
      <c r="BZ912" s="115"/>
      <c r="CA912" s="115"/>
      <c r="CB912" s="115"/>
      <c r="CC912" s="25"/>
      <c r="CD912" s="13"/>
      <c r="CG912" s="114"/>
    </row>
    <row r="913" spans="1:85" ht="19.5" x14ac:dyDescent="0.4">
      <c r="A913" s="117"/>
      <c r="B913" s="123"/>
      <c r="C913" s="123"/>
      <c r="D913" s="123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27"/>
      <c r="AU913" s="134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25"/>
      <c r="BF913" s="13"/>
      <c r="BK913" s="116"/>
      <c r="BL913" s="123"/>
      <c r="BM913" s="123"/>
      <c r="BN913" s="123"/>
      <c r="BS913" s="115"/>
      <c r="BT913" s="115"/>
      <c r="BU913" s="115"/>
      <c r="BV913" s="115"/>
      <c r="BW913" s="115"/>
      <c r="BX913" s="115"/>
      <c r="BY913" s="115"/>
      <c r="BZ913" s="115"/>
      <c r="CA913" s="115"/>
      <c r="CB913" s="115"/>
      <c r="CC913" s="25"/>
      <c r="CD913" s="13"/>
      <c r="CG913" s="114"/>
    </row>
    <row r="914" spans="1:85" ht="19.5" x14ac:dyDescent="0.4">
      <c r="A914" s="117"/>
      <c r="B914" s="123"/>
      <c r="C914" s="123"/>
      <c r="D914" s="123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27"/>
      <c r="AU914" s="29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25"/>
      <c r="BF914" s="13"/>
      <c r="BK914" s="116"/>
      <c r="BL914" s="123"/>
      <c r="BM914" s="123"/>
      <c r="BN914" s="123"/>
      <c r="BS914" s="115"/>
      <c r="BT914" s="115"/>
      <c r="BU914" s="115"/>
      <c r="BV914" s="115"/>
      <c r="BW914" s="115"/>
      <c r="BX914" s="115"/>
      <c r="BY914" s="115"/>
      <c r="BZ914" s="115"/>
      <c r="CA914" s="115"/>
      <c r="CB914" s="115"/>
      <c r="CC914" s="25"/>
      <c r="CD914" s="13"/>
      <c r="CG914" s="114"/>
    </row>
    <row r="915" spans="1:85" ht="19.5" x14ac:dyDescent="0.4">
      <c r="A915" s="117"/>
      <c r="B915" s="123"/>
      <c r="C915" s="123"/>
      <c r="D915" s="123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27"/>
      <c r="AU915" s="29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25"/>
      <c r="BF915" s="13"/>
      <c r="BK915" s="116"/>
      <c r="BL915" s="123"/>
      <c r="BM915" s="123"/>
      <c r="BN915" s="123"/>
      <c r="BS915" s="115"/>
      <c r="BT915" s="115"/>
      <c r="BU915" s="115"/>
      <c r="BV915" s="115"/>
      <c r="BW915" s="115"/>
      <c r="BX915" s="115"/>
      <c r="BY915" s="115"/>
      <c r="BZ915" s="115"/>
      <c r="CA915" s="115"/>
      <c r="CB915" s="115"/>
      <c r="CC915" s="25"/>
      <c r="CD915" s="13"/>
      <c r="CG915" s="114"/>
    </row>
    <row r="916" spans="1:85" ht="19.5" x14ac:dyDescent="0.4">
      <c r="A916" s="117"/>
      <c r="B916" s="123"/>
      <c r="C916" s="123"/>
      <c r="D916" s="123"/>
      <c r="AT916" s="127"/>
      <c r="AU916" s="29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25">
        <v>45678</v>
      </c>
      <c r="BF916" s="13" t="s">
        <v>148</v>
      </c>
      <c r="BK916" s="116"/>
      <c r="BL916" s="123"/>
      <c r="BM916" s="123"/>
      <c r="BN916" s="123"/>
      <c r="BS916" s="115"/>
      <c r="BT916" s="115"/>
      <c r="BU916" s="115"/>
      <c r="BV916" s="115"/>
      <c r="BW916" s="115"/>
      <c r="BX916" s="115"/>
      <c r="BY916" s="115"/>
      <c r="BZ916" s="115"/>
      <c r="CA916" s="115"/>
      <c r="CB916" s="115"/>
      <c r="CC916" s="25"/>
      <c r="CD916" s="13"/>
      <c r="CG916" s="114"/>
    </row>
    <row r="917" spans="1:85" ht="19.5" x14ac:dyDescent="0.4">
      <c r="A917" s="117"/>
      <c r="B917" s="123"/>
      <c r="C917" s="123"/>
      <c r="D917" s="123"/>
      <c r="AT917" s="127"/>
      <c r="AU917" s="29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25">
        <v>45678</v>
      </c>
      <c r="BF917" s="13" t="s">
        <v>148</v>
      </c>
      <c r="BK917" s="116"/>
      <c r="BL917" s="123"/>
      <c r="BM917" s="123"/>
      <c r="BN917" s="123"/>
      <c r="BS917" s="115"/>
      <c r="BT917" s="115"/>
      <c r="BU917" s="115"/>
      <c r="BV917" s="115"/>
      <c r="BW917" s="115"/>
      <c r="BX917" s="115"/>
      <c r="BY917" s="115"/>
      <c r="BZ917" s="115"/>
      <c r="CA917" s="115"/>
      <c r="CB917" s="115"/>
      <c r="CC917" s="25"/>
      <c r="CD917" s="13"/>
      <c r="CG917" s="114"/>
    </row>
    <row r="918" spans="1:85" ht="19.5" x14ac:dyDescent="0.4">
      <c r="A918" s="117"/>
      <c r="B918" s="123"/>
      <c r="C918" s="123"/>
      <c r="D918" s="123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27"/>
      <c r="AU918" s="29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25"/>
      <c r="BF918" s="13"/>
      <c r="BK918" s="116"/>
      <c r="BL918" s="123"/>
      <c r="BM918" s="123"/>
      <c r="BN918" s="123"/>
      <c r="BS918" s="115"/>
      <c r="BT918" s="115"/>
      <c r="BU918" s="115"/>
      <c r="BV918" s="115"/>
      <c r="BW918" s="115"/>
      <c r="BX918" s="115"/>
      <c r="BY918" s="115"/>
      <c r="BZ918" s="115"/>
      <c r="CA918" s="115"/>
      <c r="CB918" s="115"/>
      <c r="CC918" s="25"/>
      <c r="CD918" s="13"/>
      <c r="CG918" s="114"/>
    </row>
    <row r="919" spans="1:85" ht="19.5" x14ac:dyDescent="0.4">
      <c r="A919" s="117"/>
      <c r="B919" s="123"/>
      <c r="C919" s="123"/>
      <c r="D919" s="123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27"/>
      <c r="AU919" s="29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25"/>
      <c r="BF919" s="13"/>
      <c r="BK919" s="116"/>
      <c r="BL919" s="123"/>
      <c r="BM919" s="123"/>
      <c r="BN919" s="123"/>
      <c r="BS919" s="115"/>
      <c r="BT919" s="115"/>
      <c r="BU919" s="115"/>
      <c r="BV919" s="115"/>
      <c r="BW919" s="115"/>
      <c r="BX919" s="115"/>
      <c r="BY919" s="115"/>
      <c r="BZ919" s="115"/>
      <c r="CA919" s="115"/>
      <c r="CB919" s="115"/>
      <c r="CC919" s="25"/>
      <c r="CD919" s="13"/>
      <c r="CG919" s="114"/>
    </row>
    <row r="920" spans="1:85" ht="19.5" x14ac:dyDescent="0.4">
      <c r="A920" s="117"/>
      <c r="B920" s="123"/>
      <c r="C920" s="123"/>
      <c r="D920" s="123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27"/>
      <c r="AU920" s="29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25"/>
      <c r="BF920" s="13"/>
      <c r="BK920" s="116"/>
      <c r="BL920" s="123"/>
      <c r="BM920" s="123"/>
      <c r="BN920" s="123"/>
      <c r="BS920" s="115"/>
      <c r="BT920" s="115"/>
      <c r="BU920" s="115"/>
      <c r="BV920" s="115"/>
      <c r="BW920" s="115"/>
      <c r="BX920" s="115"/>
      <c r="BY920" s="115"/>
      <c r="BZ920" s="115"/>
      <c r="CA920" s="115"/>
      <c r="CB920" s="115"/>
      <c r="CC920" s="25"/>
      <c r="CD920" s="13"/>
      <c r="CG920" s="114"/>
    </row>
    <row r="921" spans="1:85" ht="19.5" x14ac:dyDescent="0.4">
      <c r="A921" s="117"/>
      <c r="B921" s="123"/>
      <c r="C921" s="123"/>
      <c r="D921" s="123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27"/>
      <c r="AU921" s="29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25"/>
      <c r="BF921" s="13"/>
      <c r="BK921" s="116"/>
      <c r="BL921" s="123"/>
      <c r="BM921" s="123"/>
      <c r="BN921" s="123"/>
      <c r="BS921" s="115"/>
      <c r="BT921" s="115"/>
      <c r="BU921" s="115"/>
      <c r="BV921" s="115"/>
      <c r="BW921" s="115"/>
      <c r="BX921" s="115"/>
      <c r="BY921" s="115"/>
      <c r="BZ921" s="115"/>
      <c r="CA921" s="115"/>
      <c r="CB921" s="115"/>
      <c r="CC921" s="25"/>
      <c r="CD921" s="13"/>
      <c r="CG921" s="114"/>
    </row>
    <row r="922" spans="1:85" ht="19.5" x14ac:dyDescent="0.4">
      <c r="A922" s="117"/>
      <c r="B922" s="123"/>
      <c r="C922" s="123"/>
      <c r="D922" s="123"/>
      <c r="AT922" s="127"/>
      <c r="AU922" s="29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25">
        <v>45679</v>
      </c>
      <c r="BF922" s="15" t="s">
        <v>146</v>
      </c>
      <c r="BK922" s="116"/>
      <c r="BL922" s="123"/>
      <c r="BM922" s="123"/>
      <c r="BN922" s="123"/>
      <c r="BS922" s="115"/>
      <c r="BT922" s="115"/>
      <c r="BU922" s="115"/>
      <c r="BV922" s="115"/>
      <c r="BW922" s="115"/>
      <c r="BX922" s="115"/>
      <c r="BY922" s="115"/>
      <c r="BZ922" s="115"/>
      <c r="CA922" s="115"/>
      <c r="CB922" s="115"/>
      <c r="CC922" s="25"/>
      <c r="CD922" s="13"/>
      <c r="CG922" s="114"/>
    </row>
    <row r="923" spans="1:85" ht="19.5" x14ac:dyDescent="0.4">
      <c r="A923" s="117"/>
      <c r="B923" s="123"/>
      <c r="C923" s="123"/>
      <c r="D923" s="123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27"/>
      <c r="AU923" s="29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25"/>
      <c r="BF923" s="15"/>
      <c r="BK923" s="116"/>
      <c r="BL923" s="123"/>
      <c r="BM923" s="123"/>
      <c r="BN923" s="123"/>
      <c r="BS923" s="115"/>
      <c r="BT923" s="115"/>
      <c r="BU923" s="115"/>
      <c r="BV923" s="115"/>
      <c r="BW923" s="115"/>
      <c r="BX923" s="115"/>
      <c r="BY923" s="115"/>
      <c r="BZ923" s="115"/>
      <c r="CA923" s="115"/>
      <c r="CB923" s="115"/>
      <c r="CC923" s="25"/>
      <c r="CD923" s="13"/>
      <c r="CG923" s="114"/>
    </row>
    <row r="924" spans="1:85" ht="19.5" x14ac:dyDescent="0.4">
      <c r="A924" s="117"/>
      <c r="B924" s="123"/>
      <c r="C924" s="123"/>
      <c r="D924" s="123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29"/>
      <c r="AU924" s="29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25"/>
      <c r="BF924" s="15"/>
      <c r="BK924" s="116"/>
      <c r="BL924" s="123"/>
      <c r="BM924" s="123"/>
      <c r="BN924" s="123"/>
      <c r="BS924" s="115"/>
      <c r="BT924" s="115"/>
      <c r="BU924" s="115"/>
      <c r="BV924" s="115"/>
      <c r="BW924" s="115"/>
      <c r="BX924" s="115"/>
      <c r="BY924" s="115"/>
      <c r="BZ924" s="115"/>
      <c r="CA924" s="115"/>
      <c r="CB924" s="115"/>
      <c r="CC924" s="25"/>
      <c r="CD924" s="13"/>
      <c r="CG924" s="114"/>
    </row>
    <row r="925" spans="1:85" ht="19.5" x14ac:dyDescent="0.4">
      <c r="A925" s="117"/>
      <c r="B925" s="123"/>
      <c r="C925" s="123"/>
      <c r="D925" s="123"/>
      <c r="AT925" s="127"/>
      <c r="AU925" s="29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25"/>
      <c r="BF925" s="15"/>
      <c r="BK925" s="116"/>
      <c r="BL925" s="123"/>
      <c r="BM925" s="123"/>
      <c r="BN925" s="123"/>
      <c r="BS925" s="115"/>
      <c r="BT925" s="115"/>
      <c r="BU925" s="115"/>
      <c r="BV925" s="115"/>
      <c r="BW925" s="115"/>
      <c r="BX925" s="115"/>
      <c r="BY925" s="115"/>
      <c r="BZ925" s="115"/>
      <c r="CA925" s="115"/>
      <c r="CB925" s="115"/>
      <c r="CC925" s="25"/>
      <c r="CD925" s="13"/>
      <c r="CG925" s="114"/>
    </row>
    <row r="926" spans="1:85" ht="19.5" x14ac:dyDescent="0.4">
      <c r="A926" s="117"/>
      <c r="B926" s="123"/>
      <c r="C926" s="123"/>
      <c r="D926" s="123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27"/>
      <c r="AU926" s="29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25"/>
      <c r="BF926" s="15"/>
      <c r="BK926" s="116"/>
      <c r="BL926" s="123"/>
      <c r="BM926" s="123"/>
      <c r="BN926" s="123"/>
      <c r="BS926" s="115"/>
      <c r="BT926" s="115"/>
      <c r="BU926" s="115"/>
      <c r="BV926" s="115"/>
      <c r="BW926" s="115"/>
      <c r="BX926" s="115"/>
      <c r="BY926" s="115"/>
      <c r="BZ926" s="115"/>
      <c r="CA926" s="115"/>
      <c r="CB926" s="115"/>
      <c r="CC926" s="25"/>
      <c r="CD926" s="13"/>
      <c r="CG926" s="114"/>
    </row>
    <row r="927" spans="1:85" ht="19.5" x14ac:dyDescent="0.4">
      <c r="A927" s="117"/>
      <c r="B927" s="123"/>
      <c r="C927" s="123"/>
      <c r="D927" s="123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29"/>
      <c r="AU927" s="29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25"/>
      <c r="BF927" s="15"/>
      <c r="BK927" s="116"/>
      <c r="BL927" s="123"/>
      <c r="BM927" s="123"/>
      <c r="BN927" s="123"/>
      <c r="BS927" s="115"/>
      <c r="BT927" s="115"/>
      <c r="BU927" s="115"/>
      <c r="BV927" s="115"/>
      <c r="BW927" s="115"/>
      <c r="BX927" s="115"/>
      <c r="BY927" s="115"/>
      <c r="BZ927" s="115"/>
      <c r="CA927" s="115"/>
      <c r="CB927" s="115"/>
      <c r="CC927" s="25"/>
      <c r="CD927" s="13"/>
      <c r="CG927" s="114"/>
    </row>
    <row r="928" spans="1:85" ht="19.5" x14ac:dyDescent="0.4">
      <c r="A928" s="117"/>
      <c r="B928" s="123"/>
      <c r="C928" s="123"/>
      <c r="D928" s="123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27"/>
      <c r="AU928" s="29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25"/>
      <c r="BF928" s="15"/>
      <c r="BK928" s="116"/>
      <c r="BL928" s="123"/>
      <c r="BM928" s="123"/>
      <c r="BN928" s="123"/>
      <c r="BS928" s="115"/>
      <c r="BT928" s="115"/>
      <c r="BU928" s="115"/>
      <c r="BV928" s="115"/>
      <c r="BW928" s="115"/>
      <c r="BX928" s="115"/>
      <c r="BY928" s="115"/>
      <c r="BZ928" s="115"/>
      <c r="CA928" s="115"/>
      <c r="CB928" s="115"/>
      <c r="CC928" s="25"/>
      <c r="CD928" s="13"/>
      <c r="CG928" s="114"/>
    </row>
    <row r="929" spans="1:85" ht="19.5" x14ac:dyDescent="0.4">
      <c r="A929" s="117"/>
      <c r="B929" s="123"/>
      <c r="C929" s="123"/>
      <c r="D929" s="123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27"/>
      <c r="AU929" s="29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25"/>
      <c r="BF929" s="15"/>
      <c r="BK929" s="116"/>
      <c r="BL929" s="123"/>
      <c r="BM929" s="123"/>
      <c r="BN929" s="123"/>
      <c r="BS929" s="115"/>
      <c r="BT929" s="115"/>
      <c r="BU929" s="115"/>
      <c r="BV929" s="115"/>
      <c r="BW929" s="115"/>
      <c r="BX929" s="115"/>
      <c r="BY929" s="115"/>
      <c r="BZ929" s="115"/>
      <c r="CA929" s="115"/>
      <c r="CB929" s="115"/>
      <c r="CC929" s="25"/>
      <c r="CD929" s="13"/>
      <c r="CG929" s="114"/>
    </row>
    <row r="930" spans="1:85" ht="19.5" x14ac:dyDescent="0.4">
      <c r="A930" s="117"/>
      <c r="B930" s="123"/>
      <c r="C930" s="123"/>
      <c r="D930" s="123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27"/>
      <c r="AU930" s="29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25"/>
      <c r="BF930" s="15"/>
      <c r="BK930" s="116"/>
      <c r="BL930" s="123"/>
      <c r="BM930" s="123"/>
      <c r="BN930" s="123"/>
      <c r="BS930" s="115"/>
      <c r="BT930" s="115"/>
      <c r="BU930" s="115"/>
      <c r="BV930" s="115"/>
      <c r="BW930" s="115"/>
      <c r="BX930" s="115"/>
      <c r="BY930" s="115"/>
      <c r="BZ930" s="115"/>
      <c r="CA930" s="115"/>
      <c r="CB930" s="115"/>
      <c r="CC930" s="25"/>
      <c r="CD930" s="13"/>
      <c r="CG930" s="114"/>
    </row>
    <row r="931" spans="1:85" ht="19.5" x14ac:dyDescent="0.4">
      <c r="A931" s="117"/>
      <c r="B931" s="123"/>
      <c r="C931" s="123"/>
      <c r="D931" s="123"/>
      <c r="AT931" s="127"/>
      <c r="AU931" s="29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25">
        <v>45679</v>
      </c>
      <c r="BF931" s="15" t="s">
        <v>148</v>
      </c>
      <c r="BK931" s="116"/>
      <c r="BL931" s="123"/>
      <c r="BM931" s="123"/>
      <c r="BN931" s="123"/>
      <c r="BS931" s="115"/>
      <c r="BT931" s="115"/>
      <c r="BU931" s="115"/>
      <c r="BV931" s="115"/>
      <c r="BW931" s="115"/>
      <c r="BX931" s="115"/>
      <c r="BY931" s="115"/>
      <c r="BZ931" s="115"/>
      <c r="CA931" s="115"/>
      <c r="CB931" s="115"/>
      <c r="CC931" s="25"/>
      <c r="CD931" s="13"/>
      <c r="CG931" s="114"/>
    </row>
    <row r="932" spans="1:85" ht="19.5" x14ac:dyDescent="0.4">
      <c r="A932" s="117"/>
      <c r="B932" s="123"/>
      <c r="C932" s="123"/>
      <c r="D932" s="123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27"/>
      <c r="AU932" s="29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25"/>
      <c r="BF932" s="13"/>
      <c r="BK932" s="116"/>
      <c r="BL932" s="123"/>
      <c r="BM932" s="123"/>
      <c r="BN932" s="123"/>
      <c r="BS932" s="115"/>
      <c r="BT932" s="115"/>
      <c r="BU932" s="115"/>
      <c r="BV932" s="115"/>
      <c r="BW932" s="115"/>
      <c r="BX932" s="115"/>
      <c r="BY932" s="115"/>
      <c r="BZ932" s="115"/>
      <c r="CA932" s="115"/>
      <c r="CB932" s="115"/>
      <c r="CC932" s="25"/>
      <c r="CD932" s="13"/>
      <c r="CG932" s="114"/>
    </row>
    <row r="933" spans="1:85" ht="19.5" x14ac:dyDescent="0.4">
      <c r="A933" s="117"/>
      <c r="B933" s="123"/>
      <c r="C933" s="123"/>
      <c r="D933" s="123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27"/>
      <c r="AU933" s="29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25"/>
      <c r="BF933" s="13"/>
      <c r="BK933" s="116"/>
      <c r="BL933" s="123"/>
      <c r="BM933" s="123"/>
      <c r="BN933" s="123"/>
      <c r="BS933" s="115"/>
      <c r="BT933" s="115"/>
      <c r="BU933" s="115"/>
      <c r="BV933" s="115"/>
      <c r="BW933" s="115"/>
      <c r="BX933" s="115"/>
      <c r="BY933" s="115"/>
      <c r="BZ933" s="115"/>
      <c r="CA933" s="115"/>
      <c r="CB933" s="115"/>
      <c r="CC933" s="25"/>
      <c r="CD933" s="13"/>
      <c r="CG933" s="114"/>
    </row>
    <row r="934" spans="1:85" ht="19.5" x14ac:dyDescent="0.4">
      <c r="A934" s="117"/>
      <c r="B934" s="123"/>
      <c r="C934" s="123"/>
      <c r="D934" s="123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27"/>
      <c r="AU934" s="29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25"/>
      <c r="BF934" s="13"/>
      <c r="BK934" s="116"/>
      <c r="BL934" s="123"/>
      <c r="BM934" s="123"/>
      <c r="BN934" s="123"/>
      <c r="BS934" s="115"/>
      <c r="BT934" s="115"/>
      <c r="BU934" s="115"/>
      <c r="BV934" s="115"/>
      <c r="BW934" s="115"/>
      <c r="BX934" s="115"/>
      <c r="BY934" s="115"/>
      <c r="BZ934" s="115"/>
      <c r="CA934" s="115"/>
      <c r="CB934" s="115"/>
      <c r="CC934" s="25"/>
      <c r="CD934" s="13"/>
      <c r="CG934" s="114"/>
    </row>
    <row r="935" spans="1:85" ht="19.5" x14ac:dyDescent="0.4">
      <c r="A935" s="117"/>
      <c r="B935" s="123"/>
      <c r="C935" s="123"/>
      <c r="D935" s="123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29"/>
      <c r="AU935" s="29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25"/>
      <c r="BF935" s="13"/>
      <c r="BK935" s="116"/>
      <c r="BL935" s="123"/>
      <c r="BM935" s="123"/>
      <c r="BN935" s="123"/>
      <c r="BS935" s="115"/>
      <c r="BT935" s="115"/>
      <c r="BU935" s="115"/>
      <c r="BV935" s="115"/>
      <c r="BW935" s="115"/>
      <c r="BX935" s="115"/>
      <c r="BY935" s="115"/>
      <c r="BZ935" s="115"/>
      <c r="CA935" s="115"/>
      <c r="CB935" s="115"/>
      <c r="CC935" s="25"/>
      <c r="CD935" s="13"/>
      <c r="CG935" s="114"/>
    </row>
    <row r="936" spans="1:85" ht="19.5" x14ac:dyDescent="0.4">
      <c r="A936" s="117"/>
      <c r="B936" s="123"/>
      <c r="C936" s="123"/>
      <c r="D936" s="123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27"/>
      <c r="AU936" s="29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25"/>
      <c r="BF936" s="13"/>
      <c r="BK936" s="116"/>
      <c r="BL936" s="123"/>
      <c r="BM936" s="123"/>
      <c r="BN936" s="123"/>
      <c r="BS936" s="115"/>
      <c r="BT936" s="115"/>
      <c r="BU936" s="115"/>
      <c r="BV936" s="115"/>
      <c r="BW936" s="115"/>
      <c r="BX936" s="115"/>
      <c r="BY936" s="115"/>
      <c r="BZ936" s="115"/>
      <c r="CA936" s="115"/>
      <c r="CB936" s="115"/>
      <c r="CC936" s="25"/>
      <c r="CD936" s="13"/>
      <c r="CG936" s="114"/>
    </row>
    <row r="937" spans="1:85" ht="19.5" x14ac:dyDescent="0.4">
      <c r="A937" s="117"/>
      <c r="B937" s="123"/>
      <c r="C937" s="123"/>
      <c r="D937" s="123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29"/>
      <c r="AU937" s="29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25"/>
      <c r="BF937" s="13"/>
      <c r="BK937" s="116"/>
      <c r="BL937" s="123"/>
      <c r="BM937" s="123"/>
      <c r="BN937" s="123"/>
      <c r="BS937" s="115"/>
      <c r="BT937" s="115"/>
      <c r="BU937" s="115"/>
      <c r="BV937" s="115"/>
      <c r="BW937" s="115"/>
      <c r="BX937" s="115"/>
      <c r="BY937" s="115"/>
      <c r="BZ937" s="115"/>
      <c r="CA937" s="115"/>
      <c r="CB937" s="115"/>
      <c r="CC937" s="25"/>
      <c r="CD937" s="13"/>
      <c r="CG937" s="114"/>
    </row>
    <row r="938" spans="1:85" ht="19.5" x14ac:dyDescent="0.4">
      <c r="A938" s="117"/>
      <c r="B938" s="123"/>
      <c r="C938" s="123"/>
      <c r="D938" s="123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27"/>
      <c r="AU938" s="29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25"/>
      <c r="BF938" s="13"/>
      <c r="BK938" s="116"/>
      <c r="BL938" s="123"/>
      <c r="BM938" s="123"/>
      <c r="BN938" s="123"/>
      <c r="BS938" s="115"/>
      <c r="BT938" s="115"/>
      <c r="BU938" s="115"/>
      <c r="BV938" s="115"/>
      <c r="BW938" s="115"/>
      <c r="BX938" s="115"/>
      <c r="BY938" s="115"/>
      <c r="BZ938" s="115"/>
      <c r="CA938" s="115"/>
      <c r="CB938" s="115"/>
      <c r="CC938" s="25"/>
      <c r="CD938" s="13"/>
      <c r="CG938" s="114"/>
    </row>
    <row r="939" spans="1:85" ht="19.5" x14ac:dyDescent="0.4">
      <c r="A939" s="117"/>
      <c r="B939" s="123"/>
      <c r="C939" s="123"/>
      <c r="D939" s="123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29"/>
      <c r="AU939" s="29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25"/>
      <c r="BF939" s="13"/>
      <c r="BK939" s="116"/>
      <c r="BL939" s="123"/>
      <c r="BM939" s="123"/>
      <c r="BN939" s="123"/>
      <c r="BS939" s="115"/>
      <c r="BT939" s="115"/>
      <c r="BU939" s="115"/>
      <c r="BV939" s="115"/>
      <c r="BW939" s="115"/>
      <c r="BX939" s="115"/>
      <c r="BY939" s="115"/>
      <c r="BZ939" s="115"/>
      <c r="CA939" s="115"/>
      <c r="CB939" s="115"/>
      <c r="CC939" s="25"/>
      <c r="CD939" s="13"/>
      <c r="CG939" s="114"/>
    </row>
    <row r="940" spans="1:85" ht="19.5" x14ac:dyDescent="0.4">
      <c r="A940" s="117"/>
      <c r="B940" s="123"/>
      <c r="C940" s="123"/>
      <c r="D940" s="123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27"/>
      <c r="AU940" s="29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25"/>
      <c r="BF940" s="13"/>
      <c r="BK940" s="116"/>
      <c r="BL940" s="123"/>
      <c r="BM940" s="123"/>
      <c r="BN940" s="123"/>
      <c r="BS940" s="115"/>
      <c r="BT940" s="115"/>
      <c r="BU940" s="115"/>
      <c r="BV940" s="115"/>
      <c r="BW940" s="115"/>
      <c r="BX940" s="115"/>
      <c r="BY940" s="115"/>
      <c r="BZ940" s="115"/>
      <c r="CA940" s="115"/>
      <c r="CB940" s="115"/>
      <c r="CC940" s="25"/>
      <c r="CD940" s="13"/>
      <c r="CG940" s="114"/>
    </row>
    <row r="941" spans="1:85" ht="19.5" x14ac:dyDescent="0.4">
      <c r="A941" s="117"/>
      <c r="B941" s="123"/>
      <c r="C941" s="123"/>
      <c r="D941" s="123"/>
      <c r="AT941" s="127"/>
      <c r="AU941" s="29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25">
        <v>45679</v>
      </c>
      <c r="BF941" s="13" t="s">
        <v>147</v>
      </c>
      <c r="BK941" s="116"/>
      <c r="BL941" s="123"/>
      <c r="BM941" s="123"/>
      <c r="BN941" s="123"/>
      <c r="BS941" s="115"/>
      <c r="BT941" s="115"/>
      <c r="BU941" s="115"/>
      <c r="BV941" s="115"/>
      <c r="BW941" s="115"/>
      <c r="BX941" s="115"/>
      <c r="BY941" s="115"/>
      <c r="BZ941" s="115"/>
      <c r="CA941" s="115"/>
      <c r="CB941" s="115"/>
      <c r="CC941" s="25"/>
      <c r="CD941" s="13"/>
      <c r="CG941" s="114"/>
    </row>
    <row r="942" spans="1:85" ht="19.5" x14ac:dyDescent="0.4">
      <c r="A942" s="117"/>
      <c r="B942" s="123"/>
      <c r="C942" s="123"/>
      <c r="D942" s="123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29"/>
      <c r="AU942" s="29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25"/>
      <c r="BF942" s="13"/>
      <c r="BK942" s="116"/>
      <c r="BL942" s="123"/>
      <c r="BM942" s="123"/>
      <c r="BN942" s="123"/>
      <c r="BS942" s="115"/>
      <c r="BT942" s="115"/>
      <c r="BU942" s="115"/>
      <c r="BV942" s="115"/>
      <c r="BW942" s="115"/>
      <c r="BX942" s="115"/>
      <c r="BY942" s="115"/>
      <c r="BZ942" s="115"/>
      <c r="CA942" s="115"/>
      <c r="CB942" s="115"/>
      <c r="CC942" s="25"/>
      <c r="CD942" s="13"/>
      <c r="CG942" s="114"/>
    </row>
    <row r="943" spans="1:85" ht="19.5" x14ac:dyDescent="0.4">
      <c r="A943" s="117"/>
      <c r="B943" s="123"/>
      <c r="C943" s="123"/>
      <c r="D943" s="123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27"/>
      <c r="AU943" s="29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25"/>
      <c r="BF943" s="13"/>
      <c r="BK943" s="116"/>
      <c r="BL943" s="123"/>
      <c r="BM943" s="123"/>
      <c r="BN943" s="123"/>
      <c r="BS943" s="115"/>
      <c r="BT943" s="115"/>
      <c r="BU943" s="115"/>
      <c r="BV943" s="115"/>
      <c r="BW943" s="115"/>
      <c r="BX943" s="115"/>
      <c r="BY943" s="115"/>
      <c r="BZ943" s="115"/>
      <c r="CA943" s="115"/>
      <c r="CB943" s="115"/>
      <c r="CC943" s="25"/>
      <c r="CD943" s="13"/>
      <c r="CG943" s="114"/>
    </row>
    <row r="944" spans="1:85" ht="19.5" x14ac:dyDescent="0.4">
      <c r="A944" s="117"/>
      <c r="B944" s="123"/>
      <c r="C944" s="123"/>
      <c r="D944" s="123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27"/>
      <c r="AU944" s="29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25"/>
      <c r="BF944" s="13"/>
      <c r="BK944" s="116"/>
      <c r="BL944" s="123"/>
      <c r="BM944" s="123"/>
      <c r="BN944" s="123"/>
      <c r="BS944" s="115"/>
      <c r="BT944" s="115"/>
      <c r="BU944" s="115"/>
      <c r="BV944" s="115"/>
      <c r="BW944" s="115"/>
      <c r="BX944" s="115"/>
      <c r="BY944" s="115"/>
      <c r="BZ944" s="115"/>
      <c r="CA944" s="115"/>
      <c r="CB944" s="115"/>
      <c r="CC944" s="25"/>
      <c r="CD944" s="13"/>
      <c r="CG944" s="114"/>
    </row>
    <row r="945" spans="1:85" ht="19.5" x14ac:dyDescent="0.4">
      <c r="A945" s="117"/>
      <c r="B945" s="123"/>
      <c r="C945" s="123"/>
      <c r="D945" s="123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29"/>
      <c r="AU945" s="29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25"/>
      <c r="BF945" s="13"/>
      <c r="BK945" s="116"/>
      <c r="BL945" s="123"/>
      <c r="BM945" s="123"/>
      <c r="BN945" s="123"/>
      <c r="BS945" s="115"/>
      <c r="BT945" s="115"/>
      <c r="BU945" s="115"/>
      <c r="BV945" s="115"/>
      <c r="BW945" s="115"/>
      <c r="BX945" s="115"/>
      <c r="BY945" s="115"/>
      <c r="BZ945" s="115"/>
      <c r="CA945" s="115"/>
      <c r="CB945" s="115"/>
      <c r="CC945" s="25"/>
      <c r="CD945" s="13"/>
      <c r="CG945" s="114"/>
    </row>
    <row r="946" spans="1:85" ht="19.5" x14ac:dyDescent="0.4">
      <c r="A946" s="117"/>
      <c r="B946" s="123"/>
      <c r="C946" s="123"/>
      <c r="D946" s="123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29"/>
      <c r="AU946" s="29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25"/>
      <c r="BF946" s="13"/>
      <c r="BK946" s="116"/>
      <c r="BL946" s="123"/>
      <c r="BM946" s="123"/>
      <c r="BN946" s="123"/>
      <c r="BS946" s="115"/>
      <c r="BT946" s="115"/>
      <c r="BU946" s="115"/>
      <c r="BV946" s="115"/>
      <c r="BW946" s="115"/>
      <c r="BX946" s="115"/>
      <c r="BY946" s="115"/>
      <c r="BZ946" s="115"/>
      <c r="CA946" s="115"/>
      <c r="CB946" s="115"/>
      <c r="CC946" s="25"/>
      <c r="CD946" s="13"/>
      <c r="CG946" s="114"/>
    </row>
    <row r="947" spans="1:85" ht="19.5" x14ac:dyDescent="0.4">
      <c r="A947" s="117"/>
      <c r="B947" s="123"/>
      <c r="C947" s="123"/>
      <c r="D947" s="123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27"/>
      <c r="AU947" s="29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25"/>
      <c r="BF947" s="13"/>
      <c r="BK947" s="116"/>
      <c r="BL947" s="123"/>
      <c r="BM947" s="123"/>
      <c r="BN947" s="123"/>
      <c r="BS947" s="115"/>
      <c r="BT947" s="115"/>
      <c r="BU947" s="115"/>
      <c r="BV947" s="115"/>
      <c r="BW947" s="115"/>
      <c r="BX947" s="115"/>
      <c r="BY947" s="115"/>
      <c r="BZ947" s="115"/>
      <c r="CA947" s="115"/>
      <c r="CB947" s="115"/>
      <c r="CC947" s="25"/>
      <c r="CD947" s="13"/>
      <c r="CG947" s="114"/>
    </row>
    <row r="948" spans="1:85" ht="19.5" x14ac:dyDescent="0.4">
      <c r="A948" s="117"/>
      <c r="B948" s="123"/>
      <c r="C948" s="123"/>
      <c r="D948" s="123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29"/>
      <c r="AU948" s="29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25"/>
      <c r="BF948" s="13"/>
      <c r="BK948" s="116"/>
      <c r="BL948" s="123"/>
      <c r="BM948" s="123"/>
      <c r="BN948" s="123"/>
      <c r="BS948" s="115"/>
      <c r="BT948" s="115"/>
      <c r="BU948" s="115"/>
      <c r="BV948" s="115"/>
      <c r="BW948" s="115"/>
      <c r="BX948" s="115"/>
      <c r="BY948" s="115"/>
      <c r="BZ948" s="115"/>
      <c r="CA948" s="115"/>
      <c r="CB948" s="115"/>
      <c r="CC948" s="25"/>
      <c r="CD948" s="13"/>
      <c r="CG948" s="114"/>
    </row>
    <row r="949" spans="1:85" ht="19.5" x14ac:dyDescent="0.4">
      <c r="A949" s="117"/>
      <c r="B949" s="123"/>
      <c r="C949" s="123"/>
      <c r="D949" s="123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27"/>
      <c r="AU949" s="29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25"/>
      <c r="BF949" s="13"/>
      <c r="BK949" s="116"/>
      <c r="BL949" s="123"/>
      <c r="BM949" s="123"/>
      <c r="BN949" s="123"/>
      <c r="BS949" s="115"/>
      <c r="BT949" s="115"/>
      <c r="BU949" s="115"/>
      <c r="BV949" s="115"/>
      <c r="BW949" s="115"/>
      <c r="BX949" s="115"/>
      <c r="BY949" s="115"/>
      <c r="BZ949" s="115"/>
      <c r="CA949" s="115"/>
      <c r="CB949" s="115"/>
      <c r="CC949" s="25"/>
      <c r="CD949" s="13"/>
      <c r="CG949" s="114"/>
    </row>
    <row r="950" spans="1:85" ht="19.5" x14ac:dyDescent="0.4">
      <c r="A950" s="117"/>
      <c r="B950" s="123"/>
      <c r="C950" s="123"/>
      <c r="D950" s="123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27"/>
      <c r="AU950" s="29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25"/>
      <c r="BF950" s="13"/>
      <c r="BK950" s="116"/>
      <c r="BL950" s="123"/>
      <c r="BM950" s="123"/>
      <c r="BN950" s="123"/>
      <c r="BS950" s="115"/>
      <c r="BT950" s="115"/>
      <c r="BU950" s="115"/>
      <c r="BV950" s="115"/>
      <c r="BW950" s="115"/>
      <c r="BX950" s="115"/>
      <c r="BY950" s="115"/>
      <c r="BZ950" s="115"/>
      <c r="CA950" s="115"/>
      <c r="CB950" s="115"/>
      <c r="CC950" s="25"/>
      <c r="CD950" s="13"/>
      <c r="CG950" s="114"/>
    </row>
    <row r="951" spans="1:85" ht="19.5" x14ac:dyDescent="0.4">
      <c r="A951" s="117"/>
      <c r="B951" s="123"/>
      <c r="C951" s="123"/>
      <c r="D951" s="123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27"/>
      <c r="AU951" s="29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25"/>
      <c r="BF951" s="13"/>
      <c r="BK951" s="116"/>
      <c r="BL951" s="123"/>
      <c r="BM951" s="123"/>
      <c r="BN951" s="123"/>
      <c r="BS951" s="115"/>
      <c r="BT951" s="115"/>
      <c r="BU951" s="115"/>
      <c r="BV951" s="115"/>
      <c r="BW951" s="115"/>
      <c r="BX951" s="115"/>
      <c r="BY951" s="115"/>
      <c r="BZ951" s="115"/>
      <c r="CA951" s="115"/>
      <c r="CB951" s="115"/>
      <c r="CC951" s="25"/>
      <c r="CD951" s="13"/>
      <c r="CG951" s="114"/>
    </row>
    <row r="952" spans="1:85" ht="19.5" x14ac:dyDescent="0.4">
      <c r="A952" s="117"/>
      <c r="B952" s="123"/>
      <c r="C952" s="123"/>
      <c r="D952" s="123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27"/>
      <c r="AU952" s="29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25"/>
      <c r="BF952" s="13"/>
      <c r="BK952" s="116"/>
      <c r="BL952" s="123"/>
      <c r="BM952" s="123"/>
      <c r="BN952" s="123"/>
      <c r="BS952" s="115"/>
      <c r="BT952" s="115"/>
      <c r="BU952" s="115"/>
      <c r="BV952" s="115"/>
      <c r="BW952" s="115"/>
      <c r="BX952" s="115"/>
      <c r="BY952" s="115"/>
      <c r="BZ952" s="115"/>
      <c r="CA952" s="115"/>
      <c r="CB952" s="115"/>
      <c r="CC952" s="25"/>
      <c r="CD952" s="13"/>
      <c r="CG952" s="114"/>
    </row>
    <row r="953" spans="1:85" ht="19.5" x14ac:dyDescent="0.4">
      <c r="A953" s="117"/>
      <c r="B953" s="123"/>
      <c r="C953" s="123"/>
      <c r="D953" s="123"/>
      <c r="AT953" s="127"/>
      <c r="AU953" s="29"/>
      <c r="BE953" s="25">
        <v>45679</v>
      </c>
      <c r="BF953" s="13" t="s">
        <v>147</v>
      </c>
      <c r="BK953" s="116"/>
      <c r="BL953" s="123"/>
      <c r="BM953" s="123"/>
      <c r="BN953" s="123"/>
      <c r="BS953" s="115"/>
      <c r="BT953" s="115"/>
      <c r="BU953" s="115"/>
      <c r="BV953" s="115"/>
      <c r="BW953" s="115"/>
      <c r="BX953" s="115"/>
      <c r="BY953" s="115"/>
      <c r="BZ953" s="115"/>
      <c r="CA953" s="115"/>
      <c r="CB953" s="115"/>
      <c r="CC953" s="25"/>
      <c r="CD953" s="13"/>
      <c r="CG953" s="114"/>
    </row>
    <row r="954" spans="1:85" ht="19.5" x14ac:dyDescent="0.4">
      <c r="A954" s="117"/>
      <c r="B954" s="123"/>
      <c r="C954" s="123"/>
      <c r="D954" s="123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27"/>
      <c r="AU954" s="29"/>
      <c r="BE954" s="25"/>
      <c r="BF954" s="13"/>
      <c r="BK954" s="116"/>
      <c r="BL954" s="123"/>
      <c r="BM954" s="123"/>
      <c r="BN954" s="123"/>
      <c r="BS954" s="115"/>
      <c r="BT954" s="115"/>
      <c r="BU954" s="115"/>
      <c r="BV954" s="115"/>
      <c r="BW954" s="115"/>
      <c r="BX954" s="115"/>
      <c r="BY954" s="115"/>
      <c r="BZ954" s="115"/>
      <c r="CA954" s="115"/>
      <c r="CB954" s="115"/>
      <c r="CC954" s="25"/>
      <c r="CD954" s="13"/>
      <c r="CG954" s="114"/>
    </row>
    <row r="955" spans="1:85" ht="19.5" x14ac:dyDescent="0.4">
      <c r="A955" s="117"/>
      <c r="B955" s="123"/>
      <c r="C955" s="123"/>
      <c r="D955" s="123"/>
      <c r="AT955" s="127"/>
      <c r="AU955" s="29"/>
      <c r="BE955" s="25"/>
      <c r="BF955" s="13"/>
      <c r="BK955" s="116"/>
      <c r="BL955" s="123"/>
      <c r="BM955" s="123"/>
      <c r="BN955" s="123"/>
      <c r="BS955" s="115"/>
      <c r="BT955" s="115"/>
      <c r="BU955" s="115"/>
      <c r="BV955" s="115"/>
      <c r="BW955" s="115"/>
      <c r="BX955" s="115"/>
      <c r="BY955" s="115"/>
      <c r="BZ955" s="115"/>
      <c r="CA955" s="115"/>
      <c r="CB955" s="115"/>
      <c r="CC955" s="25"/>
      <c r="CD955" s="13"/>
      <c r="CG955" s="114"/>
    </row>
    <row r="956" spans="1:85" ht="19.5" x14ac:dyDescent="0.4">
      <c r="A956" s="117"/>
      <c r="B956" s="123"/>
      <c r="C956" s="123"/>
      <c r="D956" s="123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27"/>
      <c r="AU956" s="29"/>
      <c r="BE956" s="25"/>
      <c r="BF956" s="13"/>
      <c r="BK956" s="116"/>
      <c r="BL956" s="123"/>
      <c r="BM956" s="123"/>
      <c r="BN956" s="123"/>
      <c r="BS956" s="115"/>
      <c r="BT956" s="115"/>
      <c r="BU956" s="115"/>
      <c r="BV956" s="115"/>
      <c r="BW956" s="115"/>
      <c r="BX956" s="115"/>
      <c r="BY956" s="115"/>
      <c r="BZ956" s="115"/>
      <c r="CA956" s="115"/>
      <c r="CB956" s="115"/>
      <c r="CC956" s="25"/>
      <c r="CD956" s="13"/>
      <c r="CG956" s="114"/>
    </row>
    <row r="957" spans="1:85" ht="19.5" x14ac:dyDescent="0.4">
      <c r="A957" s="117"/>
      <c r="B957" s="123"/>
      <c r="C957" s="123"/>
      <c r="D957" s="123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29"/>
      <c r="AU957" s="29"/>
      <c r="BE957" s="25"/>
      <c r="BF957" s="13"/>
      <c r="BK957" s="116"/>
      <c r="BL957" s="123"/>
      <c r="BM957" s="123"/>
      <c r="BN957" s="123"/>
      <c r="BS957" s="115"/>
      <c r="BT957" s="115"/>
      <c r="BU957" s="115"/>
      <c r="BV957" s="115"/>
      <c r="BW957" s="115"/>
      <c r="BX957" s="115"/>
      <c r="BY957" s="115"/>
      <c r="BZ957" s="115"/>
      <c r="CA957" s="115"/>
      <c r="CB957" s="115"/>
      <c r="CC957" s="25"/>
      <c r="CD957" s="13"/>
      <c r="CG957" s="114"/>
    </row>
    <row r="958" spans="1:85" ht="19.5" x14ac:dyDescent="0.4">
      <c r="A958" s="117"/>
      <c r="B958" s="123"/>
      <c r="C958" s="123"/>
      <c r="D958" s="123"/>
      <c r="AT958" s="127"/>
      <c r="AU958" s="29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25">
        <v>45679</v>
      </c>
      <c r="BF958" s="13" t="s">
        <v>146</v>
      </c>
      <c r="BK958" s="116"/>
      <c r="BL958" s="123"/>
      <c r="BM958" s="123"/>
      <c r="BN958" s="123"/>
      <c r="BS958" s="115"/>
      <c r="BT958" s="115"/>
      <c r="BU958" s="115"/>
      <c r="BV958" s="115"/>
      <c r="BW958" s="115"/>
      <c r="BX958" s="115"/>
      <c r="BY958" s="115"/>
      <c r="BZ958" s="115"/>
      <c r="CA958" s="115"/>
      <c r="CB958" s="115"/>
      <c r="CC958" s="25"/>
      <c r="CD958" s="13"/>
      <c r="CG958" s="114"/>
    </row>
    <row r="959" spans="1:85" ht="19.5" x14ac:dyDescent="0.4">
      <c r="A959" s="117"/>
      <c r="B959" s="123"/>
      <c r="C959" s="123"/>
      <c r="D959" s="123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27"/>
      <c r="AU959" s="29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25"/>
      <c r="BF959" s="13"/>
      <c r="BK959" s="116"/>
      <c r="BL959" s="123"/>
      <c r="BM959" s="123"/>
      <c r="BN959" s="123"/>
      <c r="BS959" s="115"/>
      <c r="BT959" s="115"/>
      <c r="BU959" s="115"/>
      <c r="BV959" s="115"/>
      <c r="BW959" s="115"/>
      <c r="BX959" s="115"/>
      <c r="BY959" s="115"/>
      <c r="BZ959" s="115"/>
      <c r="CA959" s="115"/>
      <c r="CB959" s="115"/>
      <c r="CC959" s="25"/>
      <c r="CD959" s="13"/>
      <c r="CG959" s="114"/>
    </row>
    <row r="960" spans="1:85" ht="19.5" x14ac:dyDescent="0.4">
      <c r="A960" s="117"/>
      <c r="B960" s="123"/>
      <c r="C960" s="123"/>
      <c r="D960" s="123"/>
      <c r="AT960" s="127"/>
      <c r="AU960" s="29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25"/>
      <c r="BF960" s="13"/>
      <c r="BK960" s="116"/>
      <c r="BL960" s="123"/>
      <c r="BM960" s="123"/>
      <c r="BN960" s="123"/>
      <c r="BS960" s="115"/>
      <c r="BT960" s="115"/>
      <c r="BU960" s="115"/>
      <c r="BV960" s="115"/>
      <c r="BW960" s="115"/>
      <c r="BX960" s="115"/>
      <c r="BY960" s="115"/>
      <c r="BZ960" s="115"/>
      <c r="CA960" s="115"/>
      <c r="CB960" s="115"/>
      <c r="CC960" s="25"/>
      <c r="CD960" s="13"/>
      <c r="CG960" s="114"/>
    </row>
    <row r="961" spans="1:85" ht="19.5" x14ac:dyDescent="0.4">
      <c r="A961" s="117"/>
      <c r="B961" s="123"/>
      <c r="C961" s="123"/>
      <c r="D961" s="123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27"/>
      <c r="AU961" s="29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25"/>
      <c r="BF961" s="13"/>
      <c r="BK961" s="116"/>
      <c r="BL961" s="123"/>
      <c r="BM961" s="123"/>
      <c r="BN961" s="123"/>
      <c r="BS961" s="115"/>
      <c r="BT961" s="115"/>
      <c r="BU961" s="115"/>
      <c r="BV961" s="115"/>
      <c r="BW961" s="115"/>
      <c r="BX961" s="115"/>
      <c r="BY961" s="115"/>
      <c r="BZ961" s="115"/>
      <c r="CA961" s="115"/>
      <c r="CB961" s="115"/>
      <c r="CC961" s="25"/>
      <c r="CD961" s="13"/>
      <c r="CG961" s="114"/>
    </row>
    <row r="962" spans="1:85" ht="19.5" x14ac:dyDescent="0.4">
      <c r="A962" s="117"/>
      <c r="B962" s="123"/>
      <c r="C962" s="123"/>
      <c r="D962" s="123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27"/>
      <c r="AU962" s="29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25"/>
      <c r="BF962" s="13"/>
      <c r="BK962" s="116"/>
      <c r="BL962" s="123"/>
      <c r="BM962" s="123"/>
      <c r="BN962" s="123"/>
      <c r="BS962" s="115"/>
      <c r="BT962" s="115"/>
      <c r="BU962" s="115"/>
      <c r="BV962" s="115"/>
      <c r="BW962" s="115"/>
      <c r="BX962" s="115"/>
      <c r="BY962" s="115"/>
      <c r="BZ962" s="115"/>
      <c r="CA962" s="115"/>
      <c r="CB962" s="115"/>
      <c r="CC962" s="25"/>
      <c r="CD962" s="13"/>
      <c r="CG962" s="114"/>
    </row>
    <row r="963" spans="1:85" ht="19.5" x14ac:dyDescent="0.4">
      <c r="A963" s="117"/>
      <c r="B963" s="123"/>
      <c r="C963" s="123"/>
      <c r="D963" s="123"/>
      <c r="AT963" s="127"/>
      <c r="AU963" s="29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25">
        <v>45679</v>
      </c>
      <c r="BF963" s="13" t="s">
        <v>147</v>
      </c>
      <c r="BK963" s="116"/>
      <c r="BL963" s="123"/>
      <c r="BM963" s="123"/>
      <c r="BN963" s="123"/>
      <c r="BS963" s="115"/>
      <c r="BT963" s="115"/>
      <c r="BU963" s="115"/>
      <c r="BV963" s="115"/>
      <c r="BW963" s="115"/>
      <c r="BX963" s="115"/>
      <c r="BY963" s="115"/>
      <c r="BZ963" s="115"/>
      <c r="CA963" s="115"/>
      <c r="CB963" s="115"/>
      <c r="CC963" s="25"/>
      <c r="CD963" s="13"/>
      <c r="CG963" s="114"/>
    </row>
    <row r="964" spans="1:85" ht="19.5" x14ac:dyDescent="0.4">
      <c r="A964" s="117"/>
      <c r="B964" s="123"/>
      <c r="C964" s="123"/>
      <c r="D964" s="123"/>
      <c r="AT964" s="127"/>
      <c r="AU964" s="29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25">
        <v>45680</v>
      </c>
      <c r="BF964" s="13" t="s">
        <v>148</v>
      </c>
      <c r="BK964" s="116"/>
      <c r="BL964" s="123"/>
      <c r="BM964" s="123"/>
      <c r="BN964" s="123"/>
      <c r="BS964" s="115"/>
      <c r="BT964" s="115"/>
      <c r="BU964" s="115"/>
      <c r="BV964" s="115"/>
      <c r="BW964" s="115"/>
      <c r="BX964" s="115"/>
      <c r="BY964" s="115"/>
      <c r="BZ964" s="115"/>
      <c r="CA964" s="115"/>
      <c r="CB964" s="115"/>
      <c r="CC964" s="25"/>
      <c r="CD964" s="13"/>
      <c r="CG964" s="114"/>
    </row>
    <row r="965" spans="1:85" ht="19.5" x14ac:dyDescent="0.4">
      <c r="A965" s="117"/>
      <c r="B965" s="123"/>
      <c r="C965" s="123"/>
      <c r="D965" s="123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29"/>
      <c r="AU965" s="29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25"/>
      <c r="BF965" s="13"/>
      <c r="BK965" s="116"/>
      <c r="BL965" s="123"/>
      <c r="BM965" s="123"/>
      <c r="BN965" s="123"/>
      <c r="BS965" s="115"/>
      <c r="BT965" s="115"/>
      <c r="BU965" s="115"/>
      <c r="BV965" s="115"/>
      <c r="BW965" s="115"/>
      <c r="BX965" s="115"/>
      <c r="BY965" s="115"/>
      <c r="BZ965" s="115"/>
      <c r="CA965" s="115"/>
      <c r="CB965" s="115"/>
      <c r="CC965" s="25"/>
      <c r="CD965" s="13"/>
      <c r="CG965" s="114"/>
    </row>
    <row r="966" spans="1:85" ht="19.5" x14ac:dyDescent="0.4">
      <c r="A966" s="117"/>
      <c r="B966" s="123"/>
      <c r="C966" s="123"/>
      <c r="D966" s="123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27"/>
      <c r="AU966" s="29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25"/>
      <c r="BF966" s="13"/>
      <c r="BK966" s="116"/>
      <c r="BL966" s="123"/>
      <c r="BM966" s="123"/>
      <c r="BN966" s="123"/>
      <c r="BS966" s="115"/>
      <c r="BT966" s="115"/>
      <c r="BU966" s="115"/>
      <c r="BV966" s="115"/>
      <c r="BW966" s="115"/>
      <c r="BX966" s="115"/>
      <c r="BY966" s="115"/>
      <c r="BZ966" s="115"/>
      <c r="CA966" s="115"/>
      <c r="CB966" s="115"/>
      <c r="CC966" s="25"/>
      <c r="CD966" s="13"/>
      <c r="CG966" s="114"/>
    </row>
    <row r="967" spans="1:85" ht="19.5" x14ac:dyDescent="0.4">
      <c r="A967" s="117"/>
      <c r="B967" s="123"/>
      <c r="C967" s="123"/>
      <c r="D967" s="123"/>
      <c r="AT967" s="127"/>
      <c r="AU967" s="29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25">
        <v>45680</v>
      </c>
      <c r="BF967" s="13" t="s">
        <v>147</v>
      </c>
      <c r="BK967" s="116"/>
      <c r="BL967" s="123"/>
      <c r="BM967" s="123"/>
      <c r="BN967" s="123"/>
      <c r="BS967" s="115"/>
      <c r="BT967" s="115"/>
      <c r="BU967" s="115"/>
      <c r="BV967" s="115"/>
      <c r="BW967" s="115"/>
      <c r="BX967" s="115"/>
      <c r="BY967" s="115"/>
      <c r="BZ967" s="115"/>
      <c r="CA967" s="115"/>
      <c r="CB967" s="115"/>
      <c r="CC967" s="25"/>
      <c r="CD967" s="13"/>
      <c r="CG967" s="114"/>
    </row>
    <row r="968" spans="1:85" ht="19.5" x14ac:dyDescent="0.4">
      <c r="A968" s="117"/>
      <c r="B968" s="123"/>
      <c r="C968" s="123"/>
      <c r="D968" s="123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27"/>
      <c r="AU968" s="29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25"/>
      <c r="BF968" s="13"/>
      <c r="BK968" s="116"/>
      <c r="BL968" s="123"/>
      <c r="BM968" s="123"/>
      <c r="BN968" s="123"/>
      <c r="BS968" s="115"/>
      <c r="BT968" s="115"/>
      <c r="BU968" s="115"/>
      <c r="BV968" s="115"/>
      <c r="BW968" s="115"/>
      <c r="BX968" s="115"/>
      <c r="BY968" s="115"/>
      <c r="BZ968" s="115"/>
      <c r="CA968" s="115"/>
      <c r="CB968" s="115"/>
      <c r="CC968" s="25"/>
      <c r="CD968" s="13"/>
      <c r="CG968" s="114"/>
    </row>
    <row r="969" spans="1:85" ht="19.5" x14ac:dyDescent="0.4">
      <c r="A969" s="117"/>
      <c r="B969" s="123"/>
      <c r="C969" s="123"/>
      <c r="D969" s="123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27"/>
      <c r="AU969" s="29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25"/>
      <c r="BF969" s="13"/>
      <c r="BK969" s="116"/>
      <c r="BL969" s="123"/>
      <c r="BM969" s="123"/>
      <c r="BN969" s="123"/>
      <c r="BS969" s="115"/>
      <c r="BT969" s="115"/>
      <c r="BU969" s="115"/>
      <c r="BV969" s="115"/>
      <c r="BW969" s="115"/>
      <c r="BX969" s="115"/>
      <c r="BY969" s="115"/>
      <c r="BZ969" s="115"/>
      <c r="CA969" s="115"/>
      <c r="CB969" s="115"/>
      <c r="CC969" s="25"/>
      <c r="CD969" s="13"/>
      <c r="CG969" s="114"/>
    </row>
    <row r="970" spans="1:85" ht="19.5" x14ac:dyDescent="0.4">
      <c r="A970" s="117"/>
      <c r="B970" s="123"/>
      <c r="C970" s="123"/>
      <c r="D970" s="123"/>
      <c r="AT970" s="127"/>
      <c r="AU970" s="29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25">
        <v>45680</v>
      </c>
      <c r="BF970" s="13" t="s">
        <v>147</v>
      </c>
      <c r="BK970" s="116"/>
      <c r="BL970" s="123"/>
      <c r="BM970" s="123"/>
      <c r="BN970" s="123"/>
      <c r="BS970" s="115"/>
      <c r="BT970" s="115"/>
      <c r="BU970" s="115"/>
      <c r="BV970" s="115"/>
      <c r="BW970" s="115"/>
      <c r="BX970" s="115"/>
      <c r="BY970" s="115"/>
      <c r="BZ970" s="115"/>
      <c r="CA970" s="115"/>
      <c r="CB970" s="115"/>
      <c r="CC970" s="25"/>
      <c r="CD970" s="13"/>
      <c r="CG970" s="114"/>
    </row>
    <row r="971" spans="1:85" ht="19.5" x14ac:dyDescent="0.4">
      <c r="A971" s="117"/>
      <c r="B971" s="123"/>
      <c r="C971" s="123"/>
      <c r="D971" s="123"/>
      <c r="AT971" s="127"/>
      <c r="AU971" s="29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25"/>
      <c r="BF971" s="13"/>
      <c r="BK971" s="116"/>
      <c r="BL971" s="123"/>
      <c r="BM971" s="123"/>
      <c r="BN971" s="123"/>
      <c r="BS971" s="115"/>
      <c r="BT971" s="115"/>
      <c r="BU971" s="115"/>
      <c r="BV971" s="115"/>
      <c r="BW971" s="115"/>
      <c r="BX971" s="115"/>
      <c r="BY971" s="115"/>
      <c r="BZ971" s="115"/>
      <c r="CA971" s="115"/>
      <c r="CB971" s="115"/>
      <c r="CC971" s="25"/>
      <c r="CD971" s="13"/>
      <c r="CG971" s="114"/>
    </row>
    <row r="972" spans="1:85" ht="19.5" x14ac:dyDescent="0.4">
      <c r="A972" s="117"/>
      <c r="B972" s="123"/>
      <c r="C972" s="123"/>
      <c r="D972" s="123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27"/>
      <c r="AU972" s="29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25"/>
      <c r="BF972" s="13"/>
      <c r="BK972" s="116"/>
      <c r="BL972" s="123"/>
      <c r="BM972" s="123"/>
      <c r="BN972" s="123"/>
      <c r="BS972" s="115"/>
      <c r="BT972" s="115"/>
      <c r="BU972" s="115"/>
      <c r="BV972" s="115"/>
      <c r="BW972" s="115"/>
      <c r="BX972" s="115"/>
      <c r="BY972" s="115"/>
      <c r="BZ972" s="115"/>
      <c r="CA972" s="115"/>
      <c r="CB972" s="115"/>
      <c r="CC972" s="25"/>
      <c r="CD972" s="13"/>
      <c r="CG972" s="114"/>
    </row>
    <row r="973" spans="1:85" ht="19.5" x14ac:dyDescent="0.4">
      <c r="A973" s="117"/>
      <c r="B973" s="123"/>
      <c r="C973" s="123"/>
      <c r="D973" s="123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27"/>
      <c r="AU973" s="29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25"/>
      <c r="BF973" s="13"/>
      <c r="BK973" s="116"/>
      <c r="BL973" s="123"/>
      <c r="BM973" s="123"/>
      <c r="BN973" s="123"/>
      <c r="BS973" s="115"/>
      <c r="BT973" s="115"/>
      <c r="BU973" s="115"/>
      <c r="BV973" s="115"/>
      <c r="BW973" s="115"/>
      <c r="BX973" s="115"/>
      <c r="BY973" s="115"/>
      <c r="BZ973" s="115"/>
      <c r="CA973" s="115"/>
      <c r="CB973" s="115"/>
      <c r="CC973" s="25"/>
      <c r="CD973" s="13"/>
      <c r="CG973" s="114"/>
    </row>
    <row r="974" spans="1:85" ht="19.5" x14ac:dyDescent="0.4">
      <c r="A974" s="117"/>
      <c r="B974" s="123"/>
      <c r="C974" s="123"/>
      <c r="D974" s="123"/>
      <c r="AT974" s="127"/>
      <c r="AU974" s="29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25">
        <v>45680</v>
      </c>
      <c r="BF974" s="13" t="s">
        <v>146</v>
      </c>
      <c r="BK974" s="116"/>
      <c r="BL974" s="123"/>
      <c r="BM974" s="123"/>
      <c r="BN974" s="123"/>
      <c r="BS974" s="115"/>
      <c r="BT974" s="115"/>
      <c r="BU974" s="115"/>
      <c r="BV974" s="115"/>
      <c r="BW974" s="115"/>
      <c r="BX974" s="115"/>
      <c r="BY974" s="115"/>
      <c r="BZ974" s="115"/>
      <c r="CA974" s="115"/>
      <c r="CB974" s="115"/>
      <c r="CC974" s="25"/>
      <c r="CD974" s="13"/>
      <c r="CG974" s="114"/>
    </row>
    <row r="975" spans="1:85" ht="19.5" x14ac:dyDescent="0.4">
      <c r="A975" s="117"/>
      <c r="B975" s="123"/>
      <c r="C975" s="123"/>
      <c r="D975" s="123"/>
      <c r="AT975" s="127"/>
      <c r="AU975" s="29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25">
        <v>45680</v>
      </c>
      <c r="BF975" s="13" t="s">
        <v>146</v>
      </c>
      <c r="BK975" s="116"/>
      <c r="BL975" s="123"/>
      <c r="BM975" s="123"/>
      <c r="BN975" s="123"/>
      <c r="BS975" s="115"/>
      <c r="BT975" s="115"/>
      <c r="BU975" s="115"/>
      <c r="BV975" s="115"/>
      <c r="BW975" s="115"/>
      <c r="BX975" s="115"/>
      <c r="BY975" s="115"/>
      <c r="BZ975" s="115"/>
      <c r="CA975" s="115"/>
      <c r="CB975" s="115"/>
      <c r="CC975" s="25"/>
      <c r="CD975" s="13"/>
      <c r="CG975" s="114"/>
    </row>
    <row r="976" spans="1:85" ht="19.5" x14ac:dyDescent="0.4">
      <c r="A976" s="117"/>
      <c r="B976" s="123"/>
      <c r="C976" s="123"/>
      <c r="D976" s="123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27"/>
      <c r="AU976" s="29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25">
        <v>45680</v>
      </c>
      <c r="BF976" s="13" t="s">
        <v>147</v>
      </c>
      <c r="BK976" s="116"/>
      <c r="BL976" s="123"/>
      <c r="BM976" s="123"/>
      <c r="BN976" s="123"/>
      <c r="BS976" s="115"/>
      <c r="BT976" s="115"/>
      <c r="BU976" s="115"/>
      <c r="BV976" s="115"/>
      <c r="BW976" s="115"/>
      <c r="BX976" s="115"/>
      <c r="BY976" s="115"/>
      <c r="BZ976" s="115"/>
      <c r="CA976" s="115"/>
      <c r="CB976" s="115"/>
      <c r="CC976" s="25"/>
      <c r="CD976" s="13"/>
      <c r="CG976" s="114"/>
    </row>
    <row r="977" spans="1:85" ht="19.5" x14ac:dyDescent="0.4">
      <c r="A977" s="117"/>
      <c r="B977" s="123"/>
      <c r="C977" s="123"/>
      <c r="D977" s="123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27"/>
      <c r="AU977" s="29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25"/>
      <c r="BF977" s="13"/>
      <c r="BK977" s="116"/>
      <c r="BL977" s="123"/>
      <c r="BM977" s="123"/>
      <c r="BN977" s="123"/>
      <c r="BS977" s="115"/>
      <c r="BT977" s="115"/>
      <c r="BU977" s="115"/>
      <c r="BV977" s="115"/>
      <c r="BW977" s="115"/>
      <c r="BX977" s="115"/>
      <c r="BY977" s="115"/>
      <c r="BZ977" s="115"/>
      <c r="CA977" s="115"/>
      <c r="CB977" s="115"/>
      <c r="CC977" s="25"/>
      <c r="CD977" s="13"/>
      <c r="CG977" s="114"/>
    </row>
    <row r="978" spans="1:85" ht="19.5" x14ac:dyDescent="0.4">
      <c r="A978" s="117"/>
      <c r="B978" s="123"/>
      <c r="C978" s="123"/>
      <c r="D978" s="123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29"/>
      <c r="AU978" s="29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25"/>
      <c r="BF978" s="13"/>
      <c r="BK978" s="116"/>
      <c r="BL978" s="123"/>
      <c r="BM978" s="123"/>
      <c r="BN978" s="123"/>
      <c r="BS978" s="115"/>
      <c r="BT978" s="115"/>
      <c r="BU978" s="115"/>
      <c r="BV978" s="115"/>
      <c r="BW978" s="115"/>
      <c r="BX978" s="115"/>
      <c r="BY978" s="115"/>
      <c r="BZ978" s="115"/>
      <c r="CA978" s="115"/>
      <c r="CB978" s="115"/>
      <c r="CC978" s="25"/>
      <c r="CD978" s="13"/>
      <c r="CG978" s="114"/>
    </row>
    <row r="979" spans="1:85" ht="19.5" x14ac:dyDescent="0.4">
      <c r="A979" s="117"/>
      <c r="B979" s="123"/>
      <c r="C979" s="123"/>
      <c r="D979" s="123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27"/>
      <c r="AU979" s="29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25"/>
      <c r="BF979" s="13"/>
      <c r="BK979" s="116"/>
      <c r="BL979" s="123"/>
      <c r="BM979" s="123"/>
      <c r="BN979" s="123"/>
      <c r="BS979" s="115"/>
      <c r="BT979" s="115"/>
      <c r="BU979" s="115"/>
      <c r="BV979" s="115"/>
      <c r="BW979" s="115"/>
      <c r="BX979" s="115"/>
      <c r="BY979" s="115"/>
      <c r="BZ979" s="115"/>
      <c r="CA979" s="115"/>
      <c r="CB979" s="115"/>
      <c r="CC979" s="25"/>
      <c r="CD979" s="13"/>
      <c r="CG979" s="114"/>
    </row>
    <row r="980" spans="1:85" ht="19.5" x14ac:dyDescent="0.4">
      <c r="A980" s="117"/>
      <c r="B980" s="123"/>
      <c r="C980" s="123"/>
      <c r="D980" s="123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29"/>
      <c r="AU980" s="29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25"/>
      <c r="BF980" s="13"/>
      <c r="BK980" s="116"/>
      <c r="BL980" s="123"/>
      <c r="BM980" s="123"/>
      <c r="BN980" s="123"/>
      <c r="BS980" s="115"/>
      <c r="BT980" s="115"/>
      <c r="BU980" s="115"/>
      <c r="BV980" s="115"/>
      <c r="BW980" s="115"/>
      <c r="BX980" s="115"/>
      <c r="BY980" s="115"/>
      <c r="BZ980" s="115"/>
      <c r="CA980" s="115"/>
      <c r="CB980" s="115"/>
      <c r="CC980" s="25"/>
      <c r="CD980" s="13"/>
      <c r="CG980" s="114"/>
    </row>
    <row r="981" spans="1:85" ht="19.5" x14ac:dyDescent="0.4">
      <c r="A981" s="117"/>
      <c r="B981" s="123"/>
      <c r="C981" s="123"/>
      <c r="D981" s="123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27"/>
      <c r="AU981" s="29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25">
        <v>45680</v>
      </c>
      <c r="BF981" s="15" t="s">
        <v>142</v>
      </c>
      <c r="BK981" s="116"/>
      <c r="BL981" s="123"/>
      <c r="BM981" s="123"/>
      <c r="BN981" s="123"/>
      <c r="BS981" s="115"/>
      <c r="BT981" s="115"/>
      <c r="BU981" s="115"/>
      <c r="BV981" s="115"/>
      <c r="BW981" s="115"/>
      <c r="BX981" s="115"/>
      <c r="BY981" s="115"/>
      <c r="BZ981" s="115"/>
      <c r="CA981" s="115"/>
      <c r="CB981" s="115"/>
      <c r="CC981" s="25"/>
      <c r="CD981" s="13"/>
      <c r="CG981" s="114"/>
    </row>
    <row r="982" spans="1:85" ht="19.5" x14ac:dyDescent="0.4">
      <c r="A982" s="117"/>
      <c r="B982" s="123"/>
      <c r="C982" s="123"/>
      <c r="D982" s="123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29"/>
      <c r="AU982" s="29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25"/>
      <c r="BF982" s="15"/>
      <c r="BK982" s="116"/>
      <c r="BL982" s="123"/>
      <c r="BM982" s="123"/>
      <c r="BN982" s="123"/>
      <c r="BS982" s="115"/>
      <c r="BT982" s="115"/>
      <c r="BU982" s="115"/>
      <c r="BV982" s="115"/>
      <c r="BW982" s="115"/>
      <c r="BX982" s="115"/>
      <c r="BY982" s="115"/>
      <c r="BZ982" s="115"/>
      <c r="CA982" s="115"/>
      <c r="CB982" s="115"/>
      <c r="CC982" s="25"/>
      <c r="CD982" s="13"/>
      <c r="CG982" s="114"/>
    </row>
    <row r="983" spans="1:85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27"/>
      <c r="AU983" s="29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25"/>
      <c r="BF983" s="15"/>
      <c r="BK983" s="116"/>
      <c r="BL983" s="123"/>
      <c r="BM983" s="123"/>
      <c r="BN983" s="123"/>
      <c r="BS983" s="115"/>
      <c r="BT983" s="115"/>
      <c r="BU983" s="115"/>
      <c r="BV983" s="115"/>
      <c r="BW983" s="115"/>
      <c r="BX983" s="115"/>
      <c r="BY983" s="115"/>
      <c r="BZ983" s="115"/>
      <c r="CA983" s="115"/>
      <c r="CB983" s="115"/>
      <c r="CC983" s="25"/>
      <c r="CD983" s="13"/>
      <c r="CG983" s="114"/>
    </row>
    <row r="984" spans="1:85" ht="19.5" x14ac:dyDescent="0.4">
      <c r="A984" s="117"/>
      <c r="B984" s="123"/>
      <c r="C984" s="123"/>
      <c r="D984" s="123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27"/>
      <c r="AU984" s="29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25">
        <v>45680</v>
      </c>
      <c r="BF984" s="15" t="s">
        <v>146</v>
      </c>
      <c r="BK984" s="116"/>
      <c r="BL984" s="123"/>
      <c r="BM984" s="123"/>
      <c r="BN984" s="123"/>
      <c r="BS984" s="115"/>
      <c r="BT984" s="115"/>
      <c r="BU984" s="115"/>
      <c r="BV984" s="115"/>
      <c r="BW984" s="115"/>
      <c r="BX984" s="115"/>
      <c r="BY984" s="115"/>
      <c r="BZ984" s="115"/>
      <c r="CA984" s="115"/>
      <c r="CB984" s="115"/>
      <c r="CC984" s="25"/>
      <c r="CD984" s="13"/>
      <c r="CG984" s="114"/>
    </row>
    <row r="985" spans="1:85" ht="19.5" x14ac:dyDescent="0.4">
      <c r="A985" s="117"/>
      <c r="B985" s="123"/>
      <c r="C985" s="123"/>
      <c r="D985" s="123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27"/>
      <c r="AU985" s="29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25"/>
      <c r="BF985" s="15"/>
      <c r="BK985" s="116"/>
      <c r="BL985" s="123"/>
      <c r="BM985" s="123"/>
      <c r="BN985" s="123"/>
      <c r="BS985" s="115"/>
      <c r="BT985" s="115"/>
      <c r="BU985" s="115"/>
      <c r="BV985" s="115"/>
      <c r="BW985" s="115"/>
      <c r="BX985" s="115"/>
      <c r="BY985" s="115"/>
      <c r="BZ985" s="115"/>
      <c r="CA985" s="115"/>
      <c r="CB985" s="115"/>
      <c r="CC985" s="25"/>
      <c r="CD985" s="13"/>
      <c r="CG985" s="114"/>
    </row>
    <row r="986" spans="1:85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27"/>
      <c r="AU986" s="29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25">
        <v>45680</v>
      </c>
      <c r="BF986" s="15" t="s">
        <v>146</v>
      </c>
      <c r="BK986" s="116"/>
      <c r="BL986" s="123"/>
      <c r="BM986" s="123"/>
      <c r="BN986" s="123"/>
      <c r="BS986" s="115"/>
      <c r="BT986" s="115"/>
      <c r="BU986" s="115"/>
      <c r="BV986" s="115"/>
      <c r="BW986" s="115"/>
      <c r="BX986" s="115"/>
      <c r="BY986" s="115"/>
      <c r="BZ986" s="115"/>
      <c r="CA986" s="115"/>
      <c r="CB986" s="115"/>
      <c r="CC986" s="25"/>
      <c r="CD986" s="13"/>
      <c r="CG986" s="114"/>
    </row>
    <row r="987" spans="1:85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27"/>
      <c r="AU987" s="29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25"/>
      <c r="BF987" s="15"/>
      <c r="BK987" s="116"/>
      <c r="BL987" s="123"/>
      <c r="BM987" s="123"/>
      <c r="BN987" s="123"/>
      <c r="BS987" s="115"/>
      <c r="BT987" s="115"/>
      <c r="BU987" s="115"/>
      <c r="BV987" s="115"/>
      <c r="BW987" s="115"/>
      <c r="BX987" s="115"/>
      <c r="BY987" s="115"/>
      <c r="BZ987" s="115"/>
      <c r="CA987" s="115"/>
      <c r="CB987" s="115"/>
      <c r="CC987" s="25"/>
      <c r="CD987" s="13"/>
      <c r="CG987" s="114"/>
    </row>
    <row r="988" spans="1:85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27"/>
      <c r="AU988" s="29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25"/>
      <c r="BF988" s="15"/>
      <c r="BK988" s="116"/>
      <c r="BL988" s="123"/>
      <c r="BM988" s="123"/>
      <c r="BN988" s="123"/>
      <c r="BS988" s="115"/>
      <c r="BT988" s="115"/>
      <c r="BU988" s="115"/>
      <c r="BV988" s="115"/>
      <c r="BW988" s="115"/>
      <c r="BX988" s="115"/>
      <c r="BY988" s="115"/>
      <c r="BZ988" s="115"/>
      <c r="CA988" s="115"/>
      <c r="CB988" s="115"/>
      <c r="CC988" s="25"/>
      <c r="CD988" s="13"/>
      <c r="CG988" s="114"/>
    </row>
    <row r="989" spans="1:85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27"/>
      <c r="AU989" s="29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25"/>
      <c r="BF989" s="15"/>
      <c r="BK989" s="116"/>
      <c r="BL989" s="123"/>
      <c r="BM989" s="123"/>
      <c r="BN989" s="123"/>
      <c r="BS989" s="115"/>
      <c r="BT989" s="115"/>
      <c r="BU989" s="115"/>
      <c r="BV989" s="115"/>
      <c r="BW989" s="115"/>
      <c r="BX989" s="115"/>
      <c r="BY989" s="115"/>
      <c r="BZ989" s="115"/>
      <c r="CA989" s="115"/>
      <c r="CB989" s="115"/>
      <c r="CC989" s="25"/>
      <c r="CD989" s="13"/>
      <c r="CG989" s="114"/>
    </row>
    <row r="990" spans="1:85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27"/>
      <c r="AU990" s="29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25">
        <v>45680</v>
      </c>
      <c r="BF990" s="15" t="s">
        <v>146</v>
      </c>
      <c r="BK990" s="116"/>
      <c r="BL990" s="123"/>
      <c r="BM990" s="123"/>
      <c r="BN990" s="123"/>
      <c r="BS990" s="115"/>
      <c r="BT990" s="115"/>
      <c r="BU990" s="115"/>
      <c r="BV990" s="115"/>
      <c r="BW990" s="115"/>
      <c r="BX990" s="115"/>
      <c r="BY990" s="115"/>
      <c r="BZ990" s="115"/>
      <c r="CA990" s="115"/>
      <c r="CB990" s="115"/>
      <c r="CC990" s="25"/>
      <c r="CD990" s="13"/>
      <c r="CG990" s="114"/>
    </row>
    <row r="991" spans="1:85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27"/>
      <c r="AU991" s="29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25"/>
      <c r="BF991" s="15"/>
      <c r="BK991" s="116"/>
      <c r="BL991" s="123"/>
      <c r="BM991" s="123"/>
      <c r="BN991" s="123"/>
      <c r="BS991" s="115"/>
      <c r="BT991" s="115"/>
      <c r="BU991" s="115"/>
      <c r="BV991" s="115"/>
      <c r="BW991" s="115"/>
      <c r="BX991" s="115"/>
      <c r="BY991" s="115"/>
      <c r="BZ991" s="115"/>
      <c r="CA991" s="115"/>
      <c r="CB991" s="115"/>
      <c r="CC991" s="25"/>
      <c r="CD991" s="13"/>
      <c r="CG991" s="114"/>
    </row>
    <row r="992" spans="1:85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29"/>
      <c r="AU992" s="29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25"/>
      <c r="BF992" s="15"/>
      <c r="BK992" s="116"/>
      <c r="BL992" s="123"/>
      <c r="BM992" s="123"/>
      <c r="BN992" s="123"/>
      <c r="BS992" s="115"/>
      <c r="BT992" s="115"/>
      <c r="BU992" s="115"/>
      <c r="BV992" s="115"/>
      <c r="BW992" s="115"/>
      <c r="BX992" s="115"/>
      <c r="BY992" s="115"/>
      <c r="BZ992" s="115"/>
      <c r="CA992" s="115"/>
      <c r="CB992" s="115"/>
      <c r="CC992" s="25"/>
      <c r="CD992" s="13"/>
      <c r="CG992" s="114"/>
    </row>
    <row r="993" spans="1:85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27"/>
      <c r="AU993" s="29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25">
        <v>45680</v>
      </c>
      <c r="BF993" s="15" t="s">
        <v>147</v>
      </c>
      <c r="BK993" s="116"/>
      <c r="BL993" s="123"/>
      <c r="BM993" s="123"/>
      <c r="BN993" s="123"/>
      <c r="BS993" s="115"/>
      <c r="BT993" s="115"/>
      <c r="BU993" s="115"/>
      <c r="BV993" s="115"/>
      <c r="BW993" s="115"/>
      <c r="BX993" s="115"/>
      <c r="BY993" s="115"/>
      <c r="BZ993" s="115"/>
      <c r="CA993" s="115"/>
      <c r="CB993" s="115"/>
      <c r="CC993" s="25"/>
      <c r="CD993" s="13"/>
      <c r="CG993" s="114"/>
    </row>
    <row r="994" spans="1:85" ht="19.5" x14ac:dyDescent="0.4">
      <c r="A994" s="117"/>
      <c r="B994" s="123"/>
      <c r="C994" s="123"/>
      <c r="D994" s="123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29"/>
      <c r="AU994" s="29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25"/>
      <c r="BF994" s="13"/>
      <c r="BK994" s="116"/>
      <c r="BL994" s="123"/>
      <c r="BM994" s="123"/>
      <c r="BN994" s="123"/>
      <c r="BS994" s="115"/>
      <c r="BT994" s="115"/>
      <c r="BU994" s="115"/>
      <c r="BV994" s="115"/>
      <c r="BW994" s="115"/>
      <c r="BX994" s="115"/>
      <c r="BY994" s="115"/>
      <c r="BZ994" s="115"/>
      <c r="CA994" s="115"/>
      <c r="CB994" s="115"/>
      <c r="CC994" s="25"/>
      <c r="CD994" s="13"/>
      <c r="CG994" s="114"/>
    </row>
    <row r="995" spans="1:85" ht="19.5" x14ac:dyDescent="0.4">
      <c r="A995" s="117"/>
      <c r="B995" s="123"/>
      <c r="C995" s="123"/>
      <c r="D995" s="123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27"/>
      <c r="AU995" s="29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25"/>
      <c r="BF995" s="13"/>
      <c r="BK995" s="116"/>
      <c r="BL995" s="123"/>
      <c r="BM995" s="123"/>
      <c r="BN995" s="123"/>
      <c r="BS995" s="115"/>
      <c r="BT995" s="115"/>
      <c r="BU995" s="115"/>
      <c r="BV995" s="115"/>
      <c r="BW995" s="115"/>
      <c r="BX995" s="115"/>
      <c r="BY995" s="115"/>
      <c r="BZ995" s="115"/>
      <c r="CA995" s="115"/>
      <c r="CB995" s="115"/>
      <c r="CC995" s="25"/>
      <c r="CD995" s="13"/>
      <c r="CG995" s="114"/>
    </row>
    <row r="996" spans="1:85" ht="19.5" x14ac:dyDescent="0.4">
      <c r="A996" s="117"/>
      <c r="B996" s="123"/>
      <c r="C996" s="123"/>
      <c r="D996" s="123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27"/>
      <c r="AU996" s="29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25"/>
      <c r="BF996" s="13"/>
      <c r="BK996" s="116"/>
      <c r="BL996" s="123"/>
      <c r="BM996" s="123"/>
      <c r="BN996" s="123"/>
      <c r="BS996" s="115"/>
      <c r="BT996" s="115"/>
      <c r="BU996" s="115"/>
      <c r="BV996" s="115"/>
      <c r="BW996" s="115"/>
      <c r="BX996" s="115"/>
      <c r="BY996" s="115"/>
      <c r="BZ996" s="115"/>
      <c r="CA996" s="115"/>
      <c r="CB996" s="115"/>
      <c r="CC996" s="25"/>
      <c r="CD996" s="13"/>
      <c r="CG996" s="114"/>
    </row>
    <row r="997" spans="1:85" ht="19.5" x14ac:dyDescent="0.4">
      <c r="A997" s="117"/>
      <c r="B997" s="123"/>
      <c r="C997" s="123"/>
      <c r="D997" s="123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29"/>
      <c r="AU997" s="29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25"/>
      <c r="BF997" s="13"/>
      <c r="BK997" s="116"/>
      <c r="BL997" s="123"/>
      <c r="BM997" s="123"/>
      <c r="BN997" s="123"/>
      <c r="BS997" s="115"/>
      <c r="BT997" s="115"/>
      <c r="BU997" s="115"/>
      <c r="BV997" s="115"/>
      <c r="BW997" s="115"/>
      <c r="BX997" s="115"/>
      <c r="BY997" s="115"/>
      <c r="BZ997" s="115"/>
      <c r="CA997" s="115"/>
      <c r="CB997" s="115"/>
      <c r="CC997" s="25"/>
      <c r="CD997" s="13"/>
      <c r="CG997" s="114"/>
    </row>
    <row r="998" spans="1:85" ht="19.5" x14ac:dyDescent="0.4">
      <c r="A998" s="117"/>
      <c r="B998" s="123"/>
      <c r="C998" s="123"/>
      <c r="D998" s="123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29"/>
      <c r="AU998" s="29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25"/>
      <c r="BF998" s="13"/>
      <c r="BK998" s="116"/>
      <c r="BL998" s="123"/>
      <c r="BM998" s="123"/>
      <c r="BN998" s="123"/>
      <c r="BS998" s="115"/>
      <c r="BT998" s="115"/>
      <c r="BU998" s="115"/>
      <c r="BV998" s="115"/>
      <c r="BW998" s="115"/>
      <c r="BX998" s="115"/>
      <c r="BY998" s="115"/>
      <c r="BZ998" s="115"/>
      <c r="CA998" s="115"/>
      <c r="CB998" s="115"/>
      <c r="CC998" s="25"/>
      <c r="CD998" s="13"/>
      <c r="CG998" s="114"/>
    </row>
    <row r="999" spans="1:85" ht="19.5" x14ac:dyDescent="0.4">
      <c r="A999" s="117"/>
      <c r="B999" s="123"/>
      <c r="C999" s="123"/>
      <c r="D999" s="123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27"/>
      <c r="AU999" s="29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25"/>
      <c r="BF999" s="13"/>
      <c r="BK999" s="116"/>
      <c r="BL999" s="123"/>
      <c r="BM999" s="123"/>
      <c r="BN999" s="123"/>
      <c r="BS999" s="115"/>
      <c r="BT999" s="115"/>
      <c r="BU999" s="115"/>
      <c r="BV999" s="115"/>
      <c r="BW999" s="115"/>
      <c r="BX999" s="115"/>
      <c r="BY999" s="115"/>
      <c r="BZ999" s="115"/>
      <c r="CA999" s="115"/>
      <c r="CB999" s="115"/>
      <c r="CC999" s="25"/>
      <c r="CD999" s="13"/>
      <c r="CG999" s="114"/>
    </row>
    <row r="1000" spans="1:85" ht="19.5" x14ac:dyDescent="0.4">
      <c r="A1000" s="117"/>
      <c r="B1000" s="123"/>
      <c r="C1000" s="123"/>
      <c r="D1000" s="123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27"/>
      <c r="AU1000" s="29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25"/>
      <c r="BF1000" s="13"/>
      <c r="BK1000" s="116"/>
      <c r="BL1000" s="123"/>
      <c r="BM1000" s="123"/>
      <c r="BN1000" s="123"/>
      <c r="BS1000" s="115"/>
      <c r="BT1000" s="115"/>
      <c r="BU1000" s="115"/>
      <c r="BV1000" s="115"/>
      <c r="BW1000" s="115"/>
      <c r="BX1000" s="115"/>
      <c r="BY1000" s="115"/>
      <c r="BZ1000" s="115"/>
      <c r="CA1000" s="115"/>
      <c r="CB1000" s="115"/>
      <c r="CC1000" s="25"/>
      <c r="CD1000" s="13"/>
      <c r="CG1000" s="114"/>
    </row>
    <row r="1001" spans="1:85" ht="19.5" x14ac:dyDescent="0.4">
      <c r="A1001" s="117"/>
      <c r="B1001" s="123"/>
      <c r="C1001" s="123"/>
      <c r="D1001" s="123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27"/>
      <c r="AU1001" s="29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25"/>
      <c r="BF1001" s="13"/>
      <c r="BK1001" s="116"/>
      <c r="BL1001" s="123"/>
      <c r="BM1001" s="123"/>
      <c r="BN1001" s="123"/>
      <c r="BS1001" s="115"/>
      <c r="BT1001" s="115"/>
      <c r="BU1001" s="115"/>
      <c r="BV1001" s="115"/>
      <c r="BW1001" s="115"/>
      <c r="BX1001" s="115"/>
      <c r="BY1001" s="115"/>
      <c r="BZ1001" s="115"/>
      <c r="CA1001" s="115"/>
      <c r="CB1001" s="115"/>
      <c r="CC1001" s="25"/>
      <c r="CD1001" s="13"/>
      <c r="CG1001" s="114"/>
    </row>
    <row r="1002" spans="1:85" ht="19.5" x14ac:dyDescent="0.4">
      <c r="A1002" s="117"/>
      <c r="B1002" s="123"/>
      <c r="C1002" s="123"/>
      <c r="D1002" s="123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27"/>
      <c r="AU1002" s="29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25"/>
      <c r="BF1002" s="13"/>
      <c r="BK1002" s="116"/>
      <c r="BL1002" s="123"/>
      <c r="BM1002" s="123"/>
      <c r="BN1002" s="123"/>
      <c r="BS1002" s="115"/>
      <c r="BT1002" s="115"/>
      <c r="BU1002" s="115"/>
      <c r="BV1002" s="115"/>
      <c r="BW1002" s="115"/>
      <c r="BX1002" s="115"/>
      <c r="BY1002" s="115"/>
      <c r="BZ1002" s="115"/>
      <c r="CA1002" s="115"/>
      <c r="CB1002" s="115"/>
      <c r="CC1002" s="25"/>
      <c r="CD1002" s="13"/>
      <c r="CG1002" s="114"/>
    </row>
    <row r="1003" spans="1:85" ht="19.5" x14ac:dyDescent="0.4">
      <c r="A1003" s="117"/>
      <c r="B1003" s="123"/>
      <c r="C1003" s="123"/>
      <c r="D1003" s="123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27"/>
      <c r="AU1003" s="29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25">
        <v>45680</v>
      </c>
      <c r="BF1003" s="13" t="s">
        <v>146</v>
      </c>
      <c r="BK1003" s="116"/>
      <c r="BL1003" s="123"/>
      <c r="BM1003" s="123"/>
      <c r="BN1003" s="123"/>
      <c r="BS1003" s="115"/>
      <c r="BT1003" s="115"/>
      <c r="BU1003" s="115"/>
      <c r="BV1003" s="115"/>
      <c r="BW1003" s="115"/>
      <c r="BX1003" s="115"/>
      <c r="BY1003" s="115"/>
      <c r="BZ1003" s="115"/>
      <c r="CA1003" s="115"/>
      <c r="CB1003" s="115"/>
      <c r="CC1003" s="25"/>
      <c r="CD1003" s="13"/>
      <c r="CG1003" s="114"/>
    </row>
    <row r="1004" spans="1:85" ht="19.5" x14ac:dyDescent="0.4">
      <c r="A1004" s="117"/>
      <c r="B1004" s="123"/>
      <c r="C1004" s="123"/>
      <c r="D1004" s="123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29"/>
      <c r="AU1004" s="29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25"/>
      <c r="BF1004" s="13"/>
      <c r="BK1004" s="116"/>
      <c r="BL1004" s="123"/>
      <c r="BM1004" s="123"/>
      <c r="BN1004" s="123"/>
      <c r="BS1004" s="115"/>
      <c r="BT1004" s="115"/>
      <c r="BU1004" s="115"/>
      <c r="BV1004" s="115"/>
      <c r="BW1004" s="115"/>
      <c r="BX1004" s="115"/>
      <c r="BY1004" s="115"/>
      <c r="BZ1004" s="115"/>
      <c r="CA1004" s="115"/>
      <c r="CB1004" s="115"/>
      <c r="CC1004" s="25"/>
      <c r="CD1004" s="13"/>
      <c r="CG1004" s="114"/>
    </row>
    <row r="1005" spans="1:85" ht="19.5" x14ac:dyDescent="0.4">
      <c r="A1005" s="117"/>
      <c r="B1005" s="123"/>
      <c r="C1005" s="123"/>
      <c r="D1005" s="123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27"/>
      <c r="AU1005" s="29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25">
        <v>45680</v>
      </c>
      <c r="BF1005" s="13" t="s">
        <v>147</v>
      </c>
      <c r="BK1005" s="116"/>
      <c r="BL1005" s="123"/>
      <c r="BM1005" s="123"/>
      <c r="BN1005" s="123"/>
      <c r="BS1005" s="115"/>
      <c r="BT1005" s="115"/>
      <c r="BU1005" s="115"/>
      <c r="BV1005" s="115"/>
      <c r="BW1005" s="115"/>
      <c r="BX1005" s="115"/>
      <c r="BY1005" s="115"/>
      <c r="BZ1005" s="115"/>
      <c r="CA1005" s="115"/>
      <c r="CB1005" s="115"/>
      <c r="CC1005" s="25"/>
      <c r="CD1005" s="13"/>
      <c r="CG1005" s="114"/>
    </row>
    <row r="1006" spans="1:85" ht="19.5" x14ac:dyDescent="0.4">
      <c r="A1006" s="117"/>
      <c r="B1006" s="123"/>
      <c r="C1006" s="123"/>
      <c r="D1006" s="123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27"/>
      <c r="AU1006" s="29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25">
        <v>45680</v>
      </c>
      <c r="BF1006" s="13" t="s">
        <v>146</v>
      </c>
      <c r="BK1006" s="116"/>
      <c r="BL1006" s="123"/>
      <c r="BM1006" s="123"/>
      <c r="BN1006" s="123"/>
      <c r="BS1006" s="115"/>
      <c r="BT1006" s="115"/>
      <c r="BU1006" s="115"/>
      <c r="BV1006" s="115"/>
      <c r="BW1006" s="115"/>
      <c r="BX1006" s="115"/>
      <c r="BY1006" s="115"/>
      <c r="BZ1006" s="115"/>
      <c r="CA1006" s="115"/>
      <c r="CB1006" s="115"/>
      <c r="CC1006" s="25"/>
      <c r="CD1006" s="13"/>
      <c r="CG1006" s="114"/>
    </row>
    <row r="1007" spans="1:85" ht="19.5" x14ac:dyDescent="0.4">
      <c r="A1007" s="117"/>
      <c r="B1007" s="123"/>
      <c r="C1007" s="123"/>
      <c r="D1007" s="123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29"/>
      <c r="AU1007" s="29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25"/>
      <c r="BF1007" s="13"/>
      <c r="BK1007" s="116"/>
      <c r="BL1007" s="123"/>
      <c r="BM1007" s="123"/>
      <c r="BN1007" s="123"/>
      <c r="BS1007" s="115"/>
      <c r="BT1007" s="115"/>
      <c r="BU1007" s="115"/>
      <c r="BV1007" s="115"/>
      <c r="BW1007" s="115"/>
      <c r="BX1007" s="115"/>
      <c r="BY1007" s="115"/>
      <c r="BZ1007" s="115"/>
      <c r="CA1007" s="115"/>
      <c r="CB1007" s="115"/>
      <c r="CC1007" s="25"/>
      <c r="CD1007" s="13"/>
      <c r="CG1007" s="114"/>
    </row>
    <row r="1008" spans="1:85" ht="19.5" x14ac:dyDescent="0.4">
      <c r="A1008" s="117"/>
      <c r="B1008" s="123"/>
      <c r="C1008" s="123"/>
      <c r="D1008" s="123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27"/>
      <c r="AU1008" s="29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25"/>
      <c r="BF1008" s="13"/>
      <c r="BK1008" s="116"/>
      <c r="BL1008" s="123"/>
      <c r="BM1008" s="123"/>
      <c r="BN1008" s="123"/>
      <c r="BS1008" s="115"/>
      <c r="BT1008" s="115"/>
      <c r="BU1008" s="115"/>
      <c r="BV1008" s="115"/>
      <c r="BW1008" s="115"/>
      <c r="BX1008" s="115"/>
      <c r="BY1008" s="115"/>
      <c r="BZ1008" s="115"/>
      <c r="CA1008" s="115"/>
      <c r="CB1008" s="115"/>
      <c r="CC1008" s="25"/>
      <c r="CD1008" s="13"/>
      <c r="CG1008" s="114"/>
    </row>
    <row r="1009" spans="1:85" ht="19.5" x14ac:dyDescent="0.4">
      <c r="A1009" s="117"/>
      <c r="B1009" s="123"/>
      <c r="C1009" s="123"/>
      <c r="D1009" s="123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29"/>
      <c r="AU1009" s="29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25"/>
      <c r="BF1009" s="13"/>
      <c r="BK1009" s="116"/>
      <c r="BL1009" s="123"/>
      <c r="BM1009" s="123"/>
      <c r="BN1009" s="123"/>
      <c r="BS1009" s="115"/>
      <c r="BT1009" s="115"/>
      <c r="BU1009" s="115"/>
      <c r="BV1009" s="115"/>
      <c r="BW1009" s="115"/>
      <c r="BX1009" s="115"/>
      <c r="BY1009" s="115"/>
      <c r="BZ1009" s="115"/>
      <c r="CA1009" s="115"/>
      <c r="CB1009" s="115"/>
      <c r="CC1009" s="25"/>
      <c r="CD1009" s="13"/>
      <c r="CG1009" s="114"/>
    </row>
    <row r="1010" spans="1:85" ht="19.5" x14ac:dyDescent="0.4">
      <c r="A1010" s="117"/>
      <c r="B1010" s="123"/>
      <c r="C1010" s="123"/>
      <c r="D1010" s="123"/>
      <c r="AT1010" s="127"/>
      <c r="AU1010" s="29"/>
      <c r="BE1010" s="25">
        <v>45680</v>
      </c>
      <c r="BF1010" s="13" t="s">
        <v>146</v>
      </c>
      <c r="BK1010" s="117"/>
      <c r="BL1010" s="123"/>
      <c r="BM1010" s="123"/>
      <c r="BN1010" s="123"/>
      <c r="BS1010" s="115"/>
      <c r="BT1010" s="115"/>
      <c r="BU1010" s="115"/>
      <c r="BV1010" s="115"/>
      <c r="BW1010" s="115"/>
      <c r="BX1010" s="115"/>
      <c r="BY1010" s="115"/>
      <c r="BZ1010" s="115"/>
      <c r="CA1010" s="115"/>
      <c r="CB1010" s="115" t="s">
        <v>149</v>
      </c>
      <c r="CC1010" s="13">
        <f>SUBTOTAL(3,CC2:CC2)</f>
        <v>1</v>
      </c>
      <c r="CD1010" s="13">
        <f>SUBTOTAL(3,CD2:CD2)</f>
        <v>1</v>
      </c>
      <c r="CG1010" s="114"/>
    </row>
    <row r="1011" spans="1:85" ht="19.5" x14ac:dyDescent="0.4">
      <c r="A1011" s="117"/>
      <c r="B1011" s="123"/>
      <c r="C1011" s="123"/>
      <c r="D1011" s="123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29"/>
      <c r="AU1011" s="29"/>
      <c r="BE1011" s="25"/>
      <c r="BF1011" s="13"/>
      <c r="BK1011" s="117"/>
      <c r="BL1011" s="123"/>
      <c r="BM1011" s="123"/>
      <c r="BN1011" s="123"/>
      <c r="BS1011" s="115"/>
      <c r="BT1011" s="115"/>
      <c r="BU1011" s="115"/>
      <c r="BV1011" s="115"/>
      <c r="BW1011" s="115"/>
      <c r="BX1011" s="115"/>
      <c r="BY1011" s="115"/>
      <c r="BZ1011" s="115"/>
      <c r="CA1011" s="115"/>
      <c r="CB1011" s="115"/>
      <c r="CC1011" s="13"/>
      <c r="CD1011" s="13"/>
      <c r="CG1011" s="114"/>
    </row>
    <row r="1012" spans="1:85" ht="19.5" x14ac:dyDescent="0.4">
      <c r="A1012" s="117"/>
      <c r="B1012" s="123"/>
      <c r="C1012" s="123"/>
      <c r="D1012" s="123"/>
      <c r="AT1012" s="127"/>
      <c r="AU1012" s="29"/>
      <c r="BE1012" s="25"/>
      <c r="BF1012" s="13"/>
      <c r="BK1012" s="117"/>
      <c r="BL1012" s="123"/>
      <c r="BM1012" s="123"/>
      <c r="BN1012" s="123"/>
      <c r="BS1012" s="115"/>
      <c r="BT1012" s="115"/>
      <c r="BU1012" s="115"/>
      <c r="BV1012" s="115"/>
      <c r="BW1012" s="115"/>
      <c r="BX1012" s="115"/>
      <c r="BY1012" s="115"/>
      <c r="BZ1012" s="115"/>
      <c r="CA1012" s="115"/>
      <c r="CB1012" s="115"/>
      <c r="CC1012" s="13"/>
      <c r="CD1012" s="13"/>
      <c r="CG1012" s="114"/>
    </row>
    <row r="1013" spans="1:85" ht="19.5" x14ac:dyDescent="0.4">
      <c r="A1013" s="117"/>
      <c r="B1013" s="123"/>
      <c r="C1013" s="123"/>
      <c r="D1013" s="123"/>
      <c r="AT1013" s="127"/>
      <c r="AU1013" s="29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25">
        <v>45682</v>
      </c>
      <c r="BF1013" s="13" t="s">
        <v>147</v>
      </c>
      <c r="BK1013" s="117"/>
      <c r="BL1013" s="123"/>
      <c r="BM1013" s="123"/>
      <c r="BN1013" s="123"/>
      <c r="BS1013" s="115"/>
      <c r="BT1013" s="115"/>
      <c r="BU1013" s="115"/>
      <c r="BV1013" s="115"/>
      <c r="BW1013" s="115"/>
      <c r="BX1013" s="115"/>
      <c r="BY1013" s="115"/>
      <c r="BZ1013" s="115"/>
      <c r="CA1013" s="115"/>
      <c r="CB1013" s="115"/>
      <c r="CC1013" s="13"/>
      <c r="CD1013" s="13"/>
      <c r="CG1013" s="114"/>
    </row>
    <row r="1014" spans="1:85" ht="19.5" x14ac:dyDescent="0.4">
      <c r="A1014" s="117"/>
      <c r="B1014" s="123"/>
      <c r="C1014" s="123"/>
      <c r="D1014" s="123"/>
      <c r="AT1014" s="127"/>
      <c r="AU1014" s="29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25">
        <v>45682</v>
      </c>
      <c r="BF1014" s="13" t="s">
        <v>146</v>
      </c>
      <c r="BK1014" s="117"/>
      <c r="BL1014" s="123"/>
      <c r="BM1014" s="123"/>
      <c r="BN1014" s="123"/>
      <c r="BS1014" s="115"/>
      <c r="BT1014" s="115"/>
      <c r="BU1014" s="115"/>
      <c r="BV1014" s="115"/>
      <c r="BW1014" s="115"/>
      <c r="BX1014" s="115"/>
      <c r="BY1014" s="115"/>
      <c r="BZ1014" s="115"/>
      <c r="CA1014" s="115"/>
      <c r="CB1014" s="115"/>
      <c r="CC1014" s="13"/>
      <c r="CD1014" s="13"/>
      <c r="CG1014" s="114"/>
    </row>
    <row r="1015" spans="1:85" ht="19.5" x14ac:dyDescent="0.4">
      <c r="A1015" s="117"/>
      <c r="B1015" s="123"/>
      <c r="C1015" s="123"/>
      <c r="D1015" s="123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27"/>
      <c r="AU1015" s="29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25"/>
      <c r="BF1015" s="13"/>
      <c r="BK1015" s="117"/>
      <c r="BL1015" s="123"/>
      <c r="BM1015" s="123"/>
      <c r="BN1015" s="123"/>
      <c r="BS1015" s="115"/>
      <c r="BT1015" s="115"/>
      <c r="BU1015" s="115"/>
      <c r="BV1015" s="115"/>
      <c r="BW1015" s="115"/>
      <c r="BX1015" s="115"/>
      <c r="BY1015" s="115"/>
      <c r="BZ1015" s="115"/>
      <c r="CA1015" s="115"/>
      <c r="CB1015" s="115"/>
      <c r="CC1015" s="13"/>
      <c r="CD1015" s="13"/>
      <c r="CG1015" s="114"/>
    </row>
    <row r="1016" spans="1:85" ht="19.5" x14ac:dyDescent="0.4">
      <c r="A1016" s="117"/>
      <c r="B1016" s="123"/>
      <c r="C1016" s="123"/>
      <c r="D1016" s="123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27"/>
      <c r="AU1016" s="29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25"/>
      <c r="BF1016" s="13"/>
      <c r="BK1016" s="117"/>
      <c r="BL1016" s="123"/>
      <c r="BM1016" s="123"/>
      <c r="BN1016" s="123"/>
      <c r="BS1016" s="115"/>
      <c r="BT1016" s="115"/>
      <c r="BU1016" s="115"/>
      <c r="BV1016" s="115"/>
      <c r="BW1016" s="115"/>
      <c r="BX1016" s="115"/>
      <c r="BY1016" s="115"/>
      <c r="BZ1016" s="115"/>
      <c r="CA1016" s="115"/>
      <c r="CB1016" s="115"/>
      <c r="CC1016" s="13"/>
      <c r="CD1016" s="13"/>
      <c r="CG1016" s="114"/>
    </row>
    <row r="1017" spans="1:85" ht="19.5" x14ac:dyDescent="0.4">
      <c r="A1017" s="117"/>
      <c r="B1017" s="123"/>
      <c r="C1017" s="123"/>
      <c r="D1017" s="123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29"/>
      <c r="AU1017" s="29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25"/>
      <c r="BF1017" s="13"/>
      <c r="BK1017" s="117"/>
      <c r="BL1017" s="123"/>
      <c r="BM1017" s="123"/>
      <c r="BN1017" s="123"/>
      <c r="BS1017" s="115"/>
      <c r="BT1017" s="115"/>
      <c r="BU1017" s="115"/>
      <c r="BV1017" s="115"/>
      <c r="BW1017" s="115"/>
      <c r="BX1017" s="115"/>
      <c r="BY1017" s="115"/>
      <c r="BZ1017" s="115"/>
      <c r="CA1017" s="115"/>
      <c r="CB1017" s="115"/>
      <c r="CC1017" s="13"/>
      <c r="CD1017" s="13"/>
      <c r="CG1017" s="114"/>
    </row>
    <row r="1018" spans="1:85" ht="19.5" x14ac:dyDescent="0.4">
      <c r="A1018" s="117"/>
      <c r="B1018" s="123"/>
      <c r="C1018" s="123"/>
      <c r="D1018" s="123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27"/>
      <c r="AU1018" s="29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25"/>
      <c r="BF1018" s="13"/>
      <c r="BK1018" s="117"/>
      <c r="BL1018" s="123"/>
      <c r="BM1018" s="123"/>
      <c r="BN1018" s="123"/>
      <c r="BS1018" s="115"/>
      <c r="BT1018" s="115"/>
      <c r="BU1018" s="115"/>
      <c r="BV1018" s="115"/>
      <c r="BW1018" s="115"/>
      <c r="BX1018" s="115"/>
      <c r="BY1018" s="115"/>
      <c r="BZ1018" s="115"/>
      <c r="CA1018" s="115"/>
      <c r="CB1018" s="115"/>
      <c r="CC1018" s="13"/>
      <c r="CD1018" s="13"/>
      <c r="CG1018" s="114"/>
    </row>
    <row r="1019" spans="1:85" ht="19.5" x14ac:dyDescent="0.4">
      <c r="A1019" s="117"/>
      <c r="B1019" s="123"/>
      <c r="C1019" s="123"/>
      <c r="D1019" s="123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29"/>
      <c r="AU1019" s="29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25"/>
      <c r="BF1019" s="13"/>
      <c r="BK1019" s="117"/>
      <c r="BL1019" s="123"/>
      <c r="BM1019" s="123"/>
      <c r="BN1019" s="123"/>
      <c r="BS1019" s="115"/>
      <c r="BT1019" s="115"/>
      <c r="BU1019" s="115"/>
      <c r="BV1019" s="115"/>
      <c r="BW1019" s="115"/>
      <c r="BX1019" s="115"/>
      <c r="BY1019" s="115"/>
      <c r="BZ1019" s="115"/>
      <c r="CA1019" s="115"/>
      <c r="CB1019" s="115"/>
      <c r="CC1019" s="13"/>
      <c r="CD1019" s="13"/>
      <c r="CG1019" s="114"/>
    </row>
    <row r="1020" spans="1:85" ht="19.5" x14ac:dyDescent="0.4">
      <c r="A1020" s="117"/>
      <c r="B1020" s="123"/>
      <c r="C1020" s="123"/>
      <c r="D1020" s="123"/>
      <c r="AT1020" s="127"/>
      <c r="AU1020" s="29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25">
        <v>45682</v>
      </c>
      <c r="BF1020" s="13" t="s">
        <v>147</v>
      </c>
      <c r="BK1020" s="117"/>
      <c r="BL1020" s="123"/>
      <c r="BM1020" s="123"/>
      <c r="BN1020" s="123"/>
      <c r="BS1020" s="115"/>
      <c r="BT1020" s="115"/>
      <c r="BU1020" s="115"/>
      <c r="BV1020" s="115"/>
      <c r="BW1020" s="115"/>
      <c r="BX1020" s="115"/>
      <c r="BY1020" s="115"/>
      <c r="BZ1020" s="115"/>
      <c r="CA1020" s="115"/>
      <c r="CB1020" s="115"/>
      <c r="CC1020" s="13"/>
      <c r="CD1020" s="13"/>
      <c r="CG1020" s="114"/>
    </row>
    <row r="1021" spans="1:85" ht="19.5" x14ac:dyDescent="0.4">
      <c r="A1021" s="117"/>
      <c r="B1021" s="123"/>
      <c r="C1021" s="123"/>
      <c r="D1021" s="123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29"/>
      <c r="AU1021" s="29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25"/>
      <c r="BF1021" s="13"/>
      <c r="BK1021" s="117"/>
      <c r="BL1021" s="123"/>
      <c r="BM1021" s="123"/>
      <c r="BN1021" s="123"/>
      <c r="BS1021" s="115"/>
      <c r="BT1021" s="115"/>
      <c r="BU1021" s="115"/>
      <c r="BV1021" s="115"/>
      <c r="BW1021" s="115"/>
      <c r="BX1021" s="115"/>
      <c r="BY1021" s="115"/>
      <c r="BZ1021" s="115"/>
      <c r="CA1021" s="115"/>
      <c r="CB1021" s="115"/>
      <c r="CC1021" s="13"/>
      <c r="CD1021" s="13"/>
      <c r="CG1021" s="114"/>
    </row>
    <row r="1022" spans="1:85" ht="19.5" x14ac:dyDescent="0.4">
      <c r="A1022" s="117"/>
      <c r="B1022" s="123"/>
      <c r="C1022" s="123"/>
      <c r="D1022" s="123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29"/>
      <c r="AU1022" s="29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25"/>
      <c r="BF1022" s="13"/>
      <c r="BK1022" s="117"/>
      <c r="BL1022" s="123"/>
      <c r="BM1022" s="123"/>
      <c r="BN1022" s="123"/>
      <c r="BS1022" s="115"/>
      <c r="BT1022" s="115"/>
      <c r="BU1022" s="115"/>
      <c r="BV1022" s="115"/>
      <c r="BW1022" s="115"/>
      <c r="BX1022" s="115"/>
      <c r="BY1022" s="115"/>
      <c r="BZ1022" s="115"/>
      <c r="CA1022" s="115"/>
      <c r="CB1022" s="115"/>
      <c r="CC1022" s="13"/>
      <c r="CD1022" s="13"/>
      <c r="CG1022" s="114"/>
    </row>
    <row r="1023" spans="1:85" ht="19.5" x14ac:dyDescent="0.4">
      <c r="A1023" s="117"/>
      <c r="B1023" s="123"/>
      <c r="C1023" s="123"/>
      <c r="D1023" s="123"/>
      <c r="AT1023" s="128"/>
      <c r="AU1023" s="29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25"/>
      <c r="BF1023" s="13"/>
      <c r="BK1023" s="117"/>
      <c r="BL1023" s="123"/>
      <c r="BM1023" s="123"/>
      <c r="BN1023" s="123"/>
      <c r="BS1023" s="115"/>
      <c r="BT1023" s="115"/>
      <c r="BU1023" s="115"/>
      <c r="BV1023" s="115"/>
      <c r="BW1023" s="115"/>
      <c r="BX1023" s="115"/>
      <c r="BY1023" s="115"/>
      <c r="BZ1023" s="115"/>
      <c r="CA1023" s="115"/>
      <c r="CB1023" s="115"/>
      <c r="CC1023" s="13"/>
      <c r="CD1023" s="13"/>
      <c r="CG1023" s="114"/>
    </row>
    <row r="1024" spans="1:85" ht="19.5" x14ac:dyDescent="0.4">
      <c r="A1024" s="117"/>
      <c r="B1024" s="123"/>
      <c r="C1024" s="123"/>
      <c r="D1024" s="123"/>
      <c r="AT1024" s="127"/>
      <c r="AU1024" s="29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25"/>
      <c r="BF1024" s="13"/>
      <c r="BK1024" s="117"/>
      <c r="BL1024" s="123"/>
      <c r="BM1024" s="123"/>
      <c r="BN1024" s="123"/>
      <c r="BS1024" s="115"/>
      <c r="BT1024" s="115"/>
      <c r="BU1024" s="115"/>
      <c r="BV1024" s="115"/>
      <c r="BW1024" s="115"/>
      <c r="BX1024" s="115"/>
      <c r="BY1024" s="115"/>
      <c r="BZ1024" s="115"/>
      <c r="CA1024" s="115"/>
      <c r="CB1024" s="115"/>
      <c r="CC1024" s="13"/>
      <c r="CD1024" s="13"/>
      <c r="CG1024" s="114"/>
    </row>
    <row r="1025" spans="1:85" ht="19.5" x14ac:dyDescent="0.4">
      <c r="A1025" s="117"/>
      <c r="B1025" s="123"/>
      <c r="C1025" s="123"/>
      <c r="D1025" s="123"/>
      <c r="AT1025" s="127"/>
      <c r="AU1025" s="29"/>
      <c r="BE1025" s="25">
        <v>45682</v>
      </c>
      <c r="BF1025" s="15" t="s">
        <v>146</v>
      </c>
      <c r="BK1025" s="117"/>
      <c r="BL1025" s="123"/>
      <c r="BM1025" s="123"/>
      <c r="BN1025" s="123"/>
      <c r="BS1025" s="115"/>
      <c r="BT1025" s="115"/>
      <c r="BU1025" s="115"/>
      <c r="BV1025" s="115"/>
      <c r="BW1025" s="115"/>
      <c r="BX1025" s="115"/>
      <c r="BY1025" s="115"/>
      <c r="BZ1025" s="115"/>
      <c r="CA1025" s="115"/>
      <c r="CB1025" s="115"/>
      <c r="CC1025" s="13"/>
      <c r="CD1025" s="13"/>
      <c r="CG1025" s="114"/>
    </row>
    <row r="1026" spans="1:85" ht="19.5" x14ac:dyDescent="0.4">
      <c r="A1026" s="117"/>
      <c r="B1026" s="123"/>
      <c r="C1026" s="123"/>
      <c r="D1026" s="123"/>
      <c r="AT1026" s="128"/>
      <c r="AU1026" s="29"/>
      <c r="BE1026" s="25"/>
      <c r="BF1026" s="15"/>
      <c r="BK1026" s="117"/>
      <c r="BL1026" s="123"/>
      <c r="BM1026" s="123"/>
      <c r="BN1026" s="123"/>
      <c r="BS1026" s="115"/>
      <c r="BT1026" s="115"/>
      <c r="BU1026" s="115"/>
      <c r="BV1026" s="115"/>
      <c r="BW1026" s="115"/>
      <c r="BX1026" s="115"/>
      <c r="BY1026" s="115"/>
      <c r="BZ1026" s="115"/>
      <c r="CA1026" s="115"/>
      <c r="CB1026" s="115"/>
      <c r="CC1026" s="13"/>
      <c r="CD1026" s="13"/>
      <c r="CG1026" s="114"/>
    </row>
    <row r="1027" spans="1:85" ht="19.5" x14ac:dyDescent="0.4">
      <c r="A1027" s="117"/>
      <c r="B1027" s="123"/>
      <c r="C1027" s="123"/>
      <c r="D1027" s="123"/>
      <c r="AT1027" s="127"/>
      <c r="AU1027" s="29"/>
      <c r="BE1027" s="25"/>
      <c r="BF1027" s="15"/>
      <c r="BK1027" s="117"/>
      <c r="BL1027" s="123"/>
      <c r="BM1027" s="123"/>
      <c r="BN1027" s="123"/>
      <c r="BS1027" s="115"/>
      <c r="BT1027" s="115"/>
      <c r="BU1027" s="115"/>
      <c r="BV1027" s="115"/>
      <c r="BW1027" s="115"/>
      <c r="BX1027" s="115"/>
      <c r="BY1027" s="115"/>
      <c r="BZ1027" s="115"/>
      <c r="CA1027" s="115"/>
      <c r="CB1027" s="115"/>
      <c r="CC1027" s="13"/>
      <c r="CD1027" s="13"/>
      <c r="CG1027" s="114"/>
    </row>
    <row r="1028" spans="1:85" ht="19.5" x14ac:dyDescent="0.4">
      <c r="A1028" s="117"/>
      <c r="B1028" s="123"/>
      <c r="C1028" s="123"/>
      <c r="D1028" s="123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27"/>
      <c r="AU1028" s="29"/>
      <c r="BE1028" s="25"/>
      <c r="BF1028" s="15"/>
      <c r="BK1028" s="117"/>
      <c r="BL1028" s="123"/>
      <c r="BM1028" s="123"/>
      <c r="BN1028" s="123"/>
      <c r="BS1028" s="115"/>
      <c r="BT1028" s="115"/>
      <c r="BU1028" s="115"/>
      <c r="BV1028" s="115"/>
      <c r="BW1028" s="115"/>
      <c r="BX1028" s="115"/>
      <c r="BY1028" s="115"/>
      <c r="BZ1028" s="115"/>
      <c r="CA1028" s="115"/>
      <c r="CB1028" s="115"/>
      <c r="CC1028" s="13"/>
      <c r="CD1028" s="13"/>
      <c r="CG1028" s="114"/>
    </row>
    <row r="1029" spans="1:85" ht="19.5" x14ac:dyDescent="0.4">
      <c r="A1029" s="117"/>
      <c r="B1029" s="123"/>
      <c r="C1029" s="123"/>
      <c r="D1029" s="123"/>
      <c r="AT1029" s="127"/>
      <c r="AU1029" s="29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25">
        <v>45682</v>
      </c>
      <c r="BF1029" s="15" t="s">
        <v>146</v>
      </c>
      <c r="BK1029" s="117"/>
      <c r="BL1029" s="123"/>
      <c r="BM1029" s="123"/>
      <c r="BN1029" s="123"/>
      <c r="BS1029" s="115"/>
      <c r="BT1029" s="115"/>
      <c r="BU1029" s="115"/>
      <c r="BV1029" s="115"/>
      <c r="BW1029" s="115"/>
      <c r="BX1029" s="115"/>
      <c r="BY1029" s="115"/>
      <c r="BZ1029" s="115"/>
      <c r="CA1029" s="115"/>
      <c r="CB1029" s="115"/>
      <c r="CC1029" s="13"/>
      <c r="CD1029" s="13"/>
      <c r="CG1029" s="114"/>
    </row>
    <row r="1030" spans="1:85" ht="19.5" x14ac:dyDescent="0.4">
      <c r="A1030" s="117"/>
      <c r="B1030" s="123"/>
      <c r="C1030" s="123"/>
      <c r="D1030" s="123"/>
      <c r="AT1030" s="128"/>
      <c r="AU1030" s="29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25"/>
      <c r="BF1030" s="15"/>
      <c r="BK1030" s="117"/>
      <c r="BL1030" s="123"/>
      <c r="BM1030" s="123"/>
      <c r="BN1030" s="123"/>
      <c r="BS1030" s="115"/>
      <c r="BT1030" s="115"/>
      <c r="BU1030" s="115"/>
      <c r="BV1030" s="115"/>
      <c r="BW1030" s="115"/>
      <c r="BX1030" s="115"/>
      <c r="BY1030" s="115"/>
      <c r="BZ1030" s="115"/>
      <c r="CA1030" s="115"/>
      <c r="CB1030" s="115"/>
      <c r="CC1030" s="13"/>
      <c r="CD1030" s="13"/>
      <c r="CG1030" s="114"/>
    </row>
    <row r="1031" spans="1:85" ht="19.5" x14ac:dyDescent="0.4">
      <c r="A1031" s="117"/>
      <c r="B1031" s="123"/>
      <c r="C1031" s="123"/>
      <c r="D1031" s="123"/>
      <c r="AT1031" s="127"/>
      <c r="AU1031" s="29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25">
        <v>45682</v>
      </c>
      <c r="BF1031" s="15" t="s">
        <v>148</v>
      </c>
      <c r="BK1031" s="117"/>
      <c r="BL1031" s="123"/>
      <c r="BM1031" s="123"/>
      <c r="BN1031" s="123"/>
      <c r="BS1031" s="115"/>
      <c r="BT1031" s="115"/>
      <c r="BU1031" s="115"/>
      <c r="BV1031" s="115"/>
      <c r="BW1031" s="115"/>
      <c r="BX1031" s="115"/>
      <c r="BY1031" s="115"/>
      <c r="BZ1031" s="115"/>
      <c r="CA1031" s="115"/>
      <c r="CB1031" s="115"/>
      <c r="CC1031" s="13"/>
      <c r="CD1031" s="13"/>
      <c r="CG1031" s="114"/>
    </row>
    <row r="1032" spans="1:85" ht="19.5" x14ac:dyDescent="0.4">
      <c r="A1032" s="117"/>
      <c r="B1032" s="123"/>
      <c r="C1032" s="123"/>
      <c r="D1032" s="123"/>
      <c r="AT1032" s="127"/>
      <c r="AU1032" s="29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25">
        <v>45682</v>
      </c>
      <c r="BF1032" s="15" t="s">
        <v>146</v>
      </c>
      <c r="BK1032" s="117"/>
      <c r="BL1032" s="123"/>
      <c r="BM1032" s="123"/>
      <c r="BN1032" s="123"/>
      <c r="BS1032" s="115"/>
      <c r="BT1032" s="115"/>
      <c r="BU1032" s="115"/>
      <c r="BV1032" s="115"/>
      <c r="BW1032" s="115"/>
      <c r="BX1032" s="115"/>
      <c r="BY1032" s="115"/>
      <c r="BZ1032" s="115"/>
      <c r="CA1032" s="115"/>
      <c r="CB1032" s="115"/>
      <c r="CC1032" s="13"/>
      <c r="CD1032" s="13"/>
      <c r="CG1032" s="114"/>
    </row>
    <row r="1033" spans="1:85" ht="19.5" x14ac:dyDescent="0.4">
      <c r="A1033" s="117"/>
      <c r="B1033" s="123"/>
      <c r="C1033" s="123"/>
      <c r="D1033" s="123"/>
      <c r="AT1033" s="127"/>
      <c r="AU1033" s="29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25">
        <v>45682</v>
      </c>
      <c r="BF1033" s="15" t="s">
        <v>148</v>
      </c>
      <c r="BK1033" s="117"/>
      <c r="BL1033" s="123"/>
      <c r="BM1033" s="123"/>
      <c r="BN1033" s="123"/>
      <c r="BS1033" s="115"/>
      <c r="BT1033" s="115"/>
      <c r="BU1033" s="115"/>
      <c r="BV1033" s="115"/>
      <c r="BW1033" s="115"/>
      <c r="BX1033" s="115"/>
      <c r="BY1033" s="115"/>
      <c r="BZ1033" s="115"/>
      <c r="CA1033" s="115"/>
      <c r="CB1033" s="115"/>
      <c r="CC1033" s="13"/>
      <c r="CD1033" s="13"/>
      <c r="CG1033" s="114"/>
    </row>
    <row r="1034" spans="1:85" ht="19.5" x14ac:dyDescent="0.4">
      <c r="A1034" s="117"/>
      <c r="B1034" s="123"/>
      <c r="C1034" s="123"/>
      <c r="D1034" s="123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27"/>
      <c r="AU1034" s="29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25"/>
      <c r="BF1034" s="15"/>
      <c r="BK1034" s="117"/>
      <c r="BL1034" s="123"/>
      <c r="BM1034" s="123"/>
      <c r="BN1034" s="123"/>
      <c r="BS1034" s="115"/>
      <c r="BT1034" s="115"/>
      <c r="BU1034" s="115"/>
      <c r="BV1034" s="115"/>
      <c r="BW1034" s="115"/>
      <c r="BX1034" s="115"/>
      <c r="BY1034" s="115"/>
      <c r="BZ1034" s="115"/>
      <c r="CA1034" s="115"/>
      <c r="CB1034" s="115"/>
      <c r="CC1034" s="13"/>
      <c r="CD1034" s="13"/>
      <c r="CG1034" s="114"/>
    </row>
    <row r="1035" spans="1:85" ht="19.5" x14ac:dyDescent="0.4">
      <c r="A1035" s="117"/>
      <c r="B1035" s="123"/>
      <c r="C1035" s="123"/>
      <c r="D1035" s="123"/>
      <c r="AT1035" s="127"/>
      <c r="AU1035" s="29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25">
        <v>45682</v>
      </c>
      <c r="BF1035" s="15" t="s">
        <v>148</v>
      </c>
      <c r="BK1035" s="117"/>
      <c r="BL1035" s="123"/>
      <c r="BM1035" s="123"/>
      <c r="BN1035" s="123"/>
      <c r="BS1035" s="115"/>
      <c r="BT1035" s="115"/>
      <c r="BU1035" s="115"/>
      <c r="BV1035" s="115"/>
      <c r="BW1035" s="115"/>
      <c r="BX1035" s="115"/>
      <c r="BY1035" s="115"/>
      <c r="BZ1035" s="115"/>
      <c r="CA1035" s="115"/>
      <c r="CB1035" s="115"/>
      <c r="CC1035" s="13"/>
      <c r="CD1035" s="13"/>
      <c r="CG1035" s="114"/>
    </row>
    <row r="1036" spans="1:85" ht="19.5" x14ac:dyDescent="0.4">
      <c r="A1036" s="117"/>
      <c r="B1036" s="123"/>
      <c r="C1036" s="123"/>
      <c r="D1036" s="123"/>
      <c r="AT1036" s="127"/>
      <c r="AU1036" s="29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25">
        <v>45682</v>
      </c>
      <c r="BF1036" s="105" t="s">
        <v>148</v>
      </c>
      <c r="BK1036" s="117"/>
      <c r="BL1036" s="123"/>
      <c r="BM1036" s="123"/>
      <c r="BN1036" s="123"/>
      <c r="BS1036" s="115"/>
      <c r="BT1036" s="115"/>
      <c r="BU1036" s="115"/>
      <c r="BV1036" s="115"/>
      <c r="BW1036" s="115"/>
      <c r="BX1036" s="115"/>
      <c r="BY1036" s="115"/>
      <c r="BZ1036" s="115"/>
      <c r="CA1036" s="115"/>
      <c r="CB1036" s="115"/>
      <c r="CC1036" s="13"/>
      <c r="CD1036" s="13"/>
      <c r="CG1036" s="114"/>
    </row>
    <row r="1037" spans="1:85" ht="19.5" x14ac:dyDescent="0.4">
      <c r="A1037" s="117"/>
      <c r="B1037" s="123"/>
      <c r="C1037" s="123"/>
      <c r="D1037" s="123"/>
      <c r="AT1037" s="127"/>
      <c r="AU1037" s="29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25">
        <v>45682</v>
      </c>
      <c r="BF1037" s="105" t="s">
        <v>146</v>
      </c>
      <c r="BK1037" s="117"/>
      <c r="BL1037" s="123"/>
      <c r="BM1037" s="123"/>
      <c r="BN1037" s="123"/>
      <c r="BS1037" s="115"/>
      <c r="BT1037" s="115"/>
      <c r="BU1037" s="115"/>
      <c r="BV1037" s="115"/>
      <c r="BW1037" s="115"/>
      <c r="BX1037" s="115"/>
      <c r="BY1037" s="115"/>
      <c r="BZ1037" s="115"/>
      <c r="CA1037" s="115"/>
      <c r="CB1037" s="115"/>
      <c r="CC1037" s="13"/>
      <c r="CD1037" s="13"/>
      <c r="CG1037" s="114"/>
    </row>
    <row r="1038" spans="1:85" ht="19.5" x14ac:dyDescent="0.4">
      <c r="A1038" s="117"/>
      <c r="B1038" s="123"/>
      <c r="C1038" s="123"/>
      <c r="D1038" s="123"/>
      <c r="AT1038" s="128"/>
      <c r="AU1038" s="29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25"/>
      <c r="BF1038" s="105"/>
      <c r="BK1038" s="117"/>
      <c r="BL1038" s="123"/>
      <c r="BM1038" s="123"/>
      <c r="BN1038" s="123"/>
      <c r="BS1038" s="115"/>
      <c r="BT1038" s="115"/>
      <c r="BU1038" s="115"/>
      <c r="BV1038" s="115"/>
      <c r="BW1038" s="115"/>
      <c r="BX1038" s="115"/>
      <c r="BY1038" s="115"/>
      <c r="BZ1038" s="115"/>
      <c r="CA1038" s="115"/>
      <c r="CB1038" s="115"/>
      <c r="CC1038" s="13"/>
      <c r="CD1038" s="13"/>
      <c r="CG1038" s="114"/>
    </row>
    <row r="1039" spans="1:85" ht="19.5" x14ac:dyDescent="0.4">
      <c r="A1039" s="117"/>
      <c r="B1039" s="123"/>
      <c r="C1039" s="123"/>
      <c r="D1039" s="123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27"/>
      <c r="AU1039" s="29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25">
        <v>45682</v>
      </c>
      <c r="BF1039" s="15" t="s">
        <v>146</v>
      </c>
      <c r="BK1039" s="117"/>
      <c r="BL1039" s="123"/>
      <c r="BM1039" s="123"/>
      <c r="BN1039" s="123"/>
      <c r="BS1039" s="115"/>
      <c r="BT1039" s="115"/>
      <c r="BU1039" s="115"/>
      <c r="BV1039" s="115"/>
      <c r="BW1039" s="115"/>
      <c r="BX1039" s="115"/>
      <c r="BY1039" s="115"/>
      <c r="BZ1039" s="115"/>
      <c r="CA1039" s="115"/>
      <c r="CB1039" s="115"/>
      <c r="CC1039" s="13"/>
      <c r="CD1039" s="13"/>
      <c r="CG1039" s="114"/>
    </row>
    <row r="1040" spans="1:85" ht="19.5" x14ac:dyDescent="0.4">
      <c r="A1040" s="117"/>
      <c r="B1040" s="123"/>
      <c r="C1040" s="123"/>
      <c r="D1040" s="123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27"/>
      <c r="AU1040" s="29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25">
        <v>45683</v>
      </c>
      <c r="BF1040" s="13" t="s">
        <v>147</v>
      </c>
      <c r="BK1040" s="117"/>
      <c r="BL1040" s="123"/>
      <c r="BM1040" s="123"/>
      <c r="BN1040" s="123"/>
      <c r="BS1040" s="115"/>
      <c r="BT1040" s="115"/>
      <c r="BU1040" s="115"/>
      <c r="BV1040" s="115"/>
      <c r="BW1040" s="115"/>
      <c r="BX1040" s="115"/>
      <c r="BY1040" s="115"/>
      <c r="BZ1040" s="115"/>
      <c r="CA1040" s="115"/>
      <c r="CB1040" s="115"/>
      <c r="CC1040" s="13"/>
      <c r="CD1040" s="13"/>
      <c r="CG1040" s="114"/>
    </row>
    <row r="1041" spans="1:85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27"/>
      <c r="AU1041" s="29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25">
        <v>45683</v>
      </c>
      <c r="BF1041" s="13" t="s">
        <v>147</v>
      </c>
      <c r="BK1041" s="117"/>
      <c r="BL1041" s="123"/>
      <c r="BM1041" s="123"/>
      <c r="BN1041" s="123"/>
      <c r="BS1041" s="115"/>
      <c r="BT1041" s="115"/>
      <c r="BU1041" s="115"/>
      <c r="BV1041" s="115"/>
      <c r="BW1041" s="115"/>
      <c r="BX1041" s="115"/>
      <c r="BY1041" s="115"/>
      <c r="BZ1041" s="115"/>
      <c r="CA1041" s="115"/>
      <c r="CB1041" s="115"/>
      <c r="CC1041" s="13"/>
      <c r="CD1041" s="13"/>
      <c r="CG1041" s="114"/>
    </row>
    <row r="1042" spans="1:85" ht="19.5" x14ac:dyDescent="0.4">
      <c r="A1042" s="117"/>
      <c r="B1042" s="123"/>
      <c r="C1042" s="123"/>
      <c r="D1042" s="123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27"/>
      <c r="AU1042" s="29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25"/>
      <c r="BF1042" s="13"/>
      <c r="BK1042" s="117"/>
      <c r="BL1042" s="123"/>
      <c r="BM1042" s="123"/>
      <c r="BN1042" s="123"/>
      <c r="BS1042" s="115"/>
      <c r="BT1042" s="115"/>
      <c r="BU1042" s="115"/>
      <c r="BV1042" s="115"/>
      <c r="BW1042" s="115"/>
      <c r="BX1042" s="115"/>
      <c r="BY1042" s="115"/>
      <c r="BZ1042" s="115"/>
      <c r="CA1042" s="115"/>
      <c r="CB1042" s="115"/>
      <c r="CC1042" s="13"/>
      <c r="CD1042" s="13"/>
      <c r="CG1042" s="114"/>
    </row>
    <row r="1043" spans="1:85" ht="19.5" x14ac:dyDescent="0.4">
      <c r="A1043" s="117"/>
      <c r="B1043" s="123"/>
      <c r="C1043" s="123"/>
      <c r="D1043" s="123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27"/>
      <c r="AU1043" s="29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25">
        <v>45684</v>
      </c>
      <c r="BF1043" s="13" t="s">
        <v>146</v>
      </c>
      <c r="BK1043" s="117"/>
      <c r="BL1043" s="123"/>
      <c r="BM1043" s="123"/>
      <c r="BN1043" s="123"/>
      <c r="BS1043" s="115"/>
      <c r="BT1043" s="115"/>
      <c r="BU1043" s="115"/>
      <c r="BV1043" s="115"/>
      <c r="BW1043" s="115"/>
      <c r="BX1043" s="115"/>
      <c r="BY1043" s="115"/>
      <c r="BZ1043" s="115"/>
      <c r="CA1043" s="115"/>
      <c r="CB1043" s="115"/>
      <c r="CC1043" s="13"/>
      <c r="CD1043" s="13"/>
      <c r="CG1043" s="114"/>
    </row>
    <row r="1044" spans="1:85" ht="19.5" x14ac:dyDescent="0.4">
      <c r="A1044" s="117"/>
      <c r="B1044" s="123"/>
      <c r="C1044" s="123"/>
      <c r="D1044" s="123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27"/>
      <c r="AU1044" s="29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25"/>
      <c r="BF1044" s="13"/>
      <c r="BK1044" s="117"/>
      <c r="BL1044" s="123"/>
      <c r="BM1044" s="123"/>
      <c r="BN1044" s="123"/>
      <c r="BS1044" s="115"/>
      <c r="BT1044" s="115"/>
      <c r="BU1044" s="115"/>
      <c r="BV1044" s="115"/>
      <c r="BW1044" s="115"/>
      <c r="BX1044" s="115"/>
      <c r="BY1044" s="115"/>
      <c r="BZ1044" s="115"/>
      <c r="CA1044" s="115"/>
      <c r="CB1044" s="115"/>
      <c r="CC1044" s="13"/>
      <c r="CD1044" s="13"/>
      <c r="CG1044" s="114"/>
    </row>
    <row r="1045" spans="1:85" ht="19.5" x14ac:dyDescent="0.4">
      <c r="A1045" s="117"/>
      <c r="B1045" s="123"/>
      <c r="C1045" s="123"/>
      <c r="D1045" s="123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28"/>
      <c r="AU1045" s="29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25"/>
      <c r="BF1045" s="13"/>
      <c r="BK1045" s="117"/>
      <c r="BL1045" s="123"/>
      <c r="BM1045" s="123"/>
      <c r="BN1045" s="123"/>
      <c r="BS1045" s="115"/>
      <c r="BT1045" s="115"/>
      <c r="BU1045" s="115"/>
      <c r="BV1045" s="115"/>
      <c r="BW1045" s="115"/>
      <c r="BX1045" s="115"/>
      <c r="BY1045" s="115"/>
      <c r="BZ1045" s="115"/>
      <c r="CA1045" s="115"/>
      <c r="CB1045" s="115"/>
      <c r="CC1045" s="13"/>
      <c r="CD1045" s="13"/>
      <c r="CG1045" s="114"/>
    </row>
    <row r="1046" spans="1:85" ht="19.5" x14ac:dyDescent="0.4">
      <c r="A1046" s="117"/>
      <c r="B1046" s="123"/>
      <c r="C1046" s="123"/>
      <c r="D1046" s="123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27"/>
      <c r="AU1046" s="29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25">
        <v>45684</v>
      </c>
      <c r="BF1046" s="13" t="s">
        <v>148</v>
      </c>
      <c r="BK1046" s="117"/>
      <c r="BL1046" s="123"/>
      <c r="BM1046" s="123"/>
      <c r="BN1046" s="123"/>
      <c r="BS1046" s="115"/>
      <c r="BT1046" s="115"/>
      <c r="BU1046" s="115"/>
      <c r="BV1046" s="115"/>
      <c r="BW1046" s="115"/>
      <c r="BX1046" s="115"/>
      <c r="BY1046" s="115"/>
      <c r="BZ1046" s="115"/>
      <c r="CA1046" s="115"/>
      <c r="CB1046" s="115"/>
      <c r="CC1046" s="13"/>
      <c r="CD1046" s="13"/>
      <c r="CG1046" s="114"/>
    </row>
    <row r="1047" spans="1:85" ht="19.5" x14ac:dyDescent="0.4">
      <c r="A1047" s="117"/>
      <c r="B1047" s="123"/>
      <c r="C1047" s="123"/>
      <c r="D1047" s="123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27"/>
      <c r="AU1047" s="29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25"/>
      <c r="BF1047" s="13"/>
      <c r="BK1047" s="117"/>
      <c r="BL1047" s="123"/>
      <c r="BM1047" s="123"/>
      <c r="BN1047" s="123"/>
      <c r="BS1047" s="115"/>
      <c r="BT1047" s="115"/>
      <c r="BU1047" s="115"/>
      <c r="BV1047" s="115"/>
      <c r="BW1047" s="115"/>
      <c r="BX1047" s="115"/>
      <c r="BY1047" s="115"/>
      <c r="BZ1047" s="115"/>
      <c r="CA1047" s="115"/>
      <c r="CB1047" s="115"/>
      <c r="CC1047" s="13"/>
      <c r="CD1047" s="13"/>
      <c r="CG1047" s="114"/>
    </row>
    <row r="1048" spans="1:85" ht="19.5" x14ac:dyDescent="0.4">
      <c r="A1048" s="117"/>
      <c r="B1048" s="123"/>
      <c r="C1048" s="123"/>
      <c r="D1048" s="123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27"/>
      <c r="AU1048" s="29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25"/>
      <c r="BF1048" s="13"/>
      <c r="BK1048" s="117"/>
      <c r="BL1048" s="123"/>
      <c r="BM1048" s="123"/>
      <c r="BN1048" s="123"/>
      <c r="BS1048" s="115"/>
      <c r="BT1048" s="115"/>
      <c r="BU1048" s="115"/>
      <c r="BV1048" s="115"/>
      <c r="BW1048" s="115"/>
      <c r="BX1048" s="115"/>
      <c r="BY1048" s="115"/>
      <c r="BZ1048" s="115"/>
      <c r="CA1048" s="115"/>
      <c r="CB1048" s="115"/>
      <c r="CC1048" s="13"/>
      <c r="CD1048" s="13"/>
      <c r="CG1048" s="114"/>
    </row>
    <row r="1049" spans="1:85" ht="19.5" x14ac:dyDescent="0.4">
      <c r="A1049" s="117"/>
      <c r="B1049" s="123"/>
      <c r="C1049" s="123"/>
      <c r="D1049" s="123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28"/>
      <c r="AU1049" s="29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25"/>
      <c r="BF1049" s="13"/>
      <c r="BK1049" s="117"/>
      <c r="BL1049" s="123"/>
      <c r="BM1049" s="123"/>
      <c r="BN1049" s="123"/>
      <c r="BS1049" s="115"/>
      <c r="BT1049" s="115"/>
      <c r="BU1049" s="115"/>
      <c r="BV1049" s="115"/>
      <c r="BW1049" s="115"/>
      <c r="BX1049" s="115"/>
      <c r="BY1049" s="115"/>
      <c r="BZ1049" s="115"/>
      <c r="CA1049" s="115"/>
      <c r="CB1049" s="115"/>
      <c r="CC1049" s="13"/>
      <c r="CD1049" s="13"/>
      <c r="CG1049" s="114"/>
    </row>
    <row r="1050" spans="1:85" ht="19.5" x14ac:dyDescent="0.4">
      <c r="A1050" s="117"/>
      <c r="B1050" s="123"/>
      <c r="C1050" s="123"/>
      <c r="D1050" s="123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27"/>
      <c r="AU1050" s="127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25"/>
      <c r="BF1050" s="13"/>
      <c r="BK1050" s="117"/>
      <c r="BL1050" s="123"/>
      <c r="BM1050" s="123"/>
      <c r="BN1050" s="123"/>
      <c r="BS1050" s="115"/>
      <c r="BT1050" s="115"/>
      <c r="BU1050" s="115"/>
      <c r="BV1050" s="115"/>
      <c r="BW1050" s="115"/>
      <c r="BX1050" s="115"/>
      <c r="BY1050" s="115"/>
      <c r="BZ1050" s="115"/>
      <c r="CA1050" s="115"/>
      <c r="CB1050" s="115"/>
      <c r="CC1050" s="13"/>
      <c r="CD1050" s="13"/>
      <c r="CG1050" s="114"/>
    </row>
    <row r="1051" spans="1:85" ht="19.5" x14ac:dyDescent="0.4">
      <c r="A1051" s="117"/>
      <c r="B1051" s="123"/>
      <c r="C1051" s="123"/>
      <c r="D1051" s="123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27"/>
      <c r="AU1051" s="29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25"/>
      <c r="BF1051" s="13"/>
      <c r="BK1051" s="117"/>
      <c r="BL1051" s="123"/>
      <c r="BM1051" s="123"/>
      <c r="BN1051" s="123"/>
      <c r="BS1051" s="115"/>
      <c r="BT1051" s="115"/>
      <c r="BU1051" s="115"/>
      <c r="BV1051" s="115"/>
      <c r="BW1051" s="115"/>
      <c r="BX1051" s="115"/>
      <c r="BY1051" s="115"/>
      <c r="BZ1051" s="115"/>
      <c r="CA1051" s="115"/>
      <c r="CB1051" s="115"/>
      <c r="CC1051" s="13"/>
      <c r="CD1051" s="13"/>
      <c r="CG1051" s="114"/>
    </row>
    <row r="1052" spans="1:85" ht="19.5" x14ac:dyDescent="0.4">
      <c r="A1052" s="117"/>
      <c r="B1052" s="123"/>
      <c r="C1052" s="123"/>
      <c r="D1052" s="123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27"/>
      <c r="AU1052" s="29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25"/>
      <c r="BF1052" s="13"/>
      <c r="BK1052" s="117"/>
      <c r="BL1052" s="123"/>
      <c r="BM1052" s="123"/>
      <c r="BN1052" s="123"/>
      <c r="BS1052" s="115"/>
      <c r="BT1052" s="115"/>
      <c r="BU1052" s="115"/>
      <c r="BV1052" s="115"/>
      <c r="BW1052" s="115"/>
      <c r="BX1052" s="115"/>
      <c r="BY1052" s="115"/>
      <c r="BZ1052" s="115"/>
      <c r="CA1052" s="115"/>
      <c r="CB1052" s="115"/>
      <c r="CC1052" s="13"/>
      <c r="CD1052" s="13"/>
      <c r="CG1052" s="114"/>
    </row>
    <row r="1053" spans="1:85" ht="19.5" x14ac:dyDescent="0.4">
      <c r="A1053" s="117"/>
      <c r="B1053" s="123"/>
      <c r="C1053" s="123"/>
      <c r="D1053" s="123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28"/>
      <c r="AU1053" s="29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25"/>
      <c r="BF1053" s="13"/>
      <c r="BK1053" s="117"/>
      <c r="BL1053" s="123"/>
      <c r="BM1053" s="123"/>
      <c r="BN1053" s="123"/>
      <c r="BS1053" s="115"/>
      <c r="BT1053" s="115"/>
      <c r="BU1053" s="115"/>
      <c r="BV1053" s="115"/>
      <c r="BW1053" s="115"/>
      <c r="BX1053" s="115"/>
      <c r="BY1053" s="115"/>
      <c r="BZ1053" s="115"/>
      <c r="CA1053" s="115"/>
      <c r="CB1053" s="115"/>
      <c r="CC1053" s="13"/>
      <c r="CD1053" s="13"/>
      <c r="CG1053" s="114"/>
    </row>
    <row r="1054" spans="1:85" ht="19.5" x14ac:dyDescent="0.4">
      <c r="A1054" s="117"/>
      <c r="B1054" s="123"/>
      <c r="C1054" s="123"/>
      <c r="D1054" s="123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27"/>
      <c r="AU1054" s="134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25"/>
      <c r="BF1054" s="13"/>
      <c r="BK1054" s="117"/>
      <c r="BL1054" s="123"/>
      <c r="BM1054" s="123"/>
      <c r="BN1054" s="123"/>
      <c r="BS1054" s="115"/>
      <c r="BT1054" s="115"/>
      <c r="BU1054" s="115"/>
      <c r="BV1054" s="115"/>
      <c r="BW1054" s="115"/>
      <c r="BX1054" s="115"/>
      <c r="BY1054" s="115"/>
      <c r="BZ1054" s="115"/>
      <c r="CA1054" s="115"/>
      <c r="CB1054" s="115"/>
      <c r="CC1054" s="13"/>
      <c r="CD1054" s="13"/>
      <c r="CG1054" s="114"/>
    </row>
    <row r="1055" spans="1:85" ht="19.5" x14ac:dyDescent="0.4">
      <c r="A1055" s="117"/>
      <c r="B1055" s="123"/>
      <c r="C1055" s="123"/>
      <c r="D1055" s="123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27"/>
      <c r="AU1055" s="29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25">
        <v>45684</v>
      </c>
      <c r="BF1055" s="13" t="s">
        <v>147</v>
      </c>
      <c r="BK1055" s="117"/>
      <c r="BL1055" s="123"/>
      <c r="BM1055" s="123"/>
      <c r="BN1055" s="123"/>
      <c r="BS1055" s="115"/>
      <c r="BT1055" s="115"/>
      <c r="BU1055" s="115"/>
      <c r="BV1055" s="115"/>
      <c r="BW1055" s="115"/>
      <c r="BX1055" s="115"/>
      <c r="BY1055" s="115"/>
      <c r="BZ1055" s="115"/>
      <c r="CA1055" s="115"/>
      <c r="CB1055" s="115"/>
      <c r="CC1055" s="13"/>
      <c r="CD1055" s="13"/>
      <c r="CG1055" s="114"/>
    </row>
    <row r="1056" spans="1:85" ht="19.5" x14ac:dyDescent="0.4">
      <c r="A1056" s="117"/>
      <c r="B1056" s="123"/>
      <c r="C1056" s="123"/>
      <c r="D1056" s="123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28"/>
      <c r="AU1056" s="29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25"/>
      <c r="BF1056" s="13"/>
      <c r="BK1056" s="117"/>
      <c r="BL1056" s="123"/>
      <c r="BM1056" s="123"/>
      <c r="BN1056" s="123"/>
      <c r="BS1056" s="115"/>
      <c r="BT1056" s="115"/>
      <c r="BU1056" s="115"/>
      <c r="BV1056" s="115"/>
      <c r="BW1056" s="115"/>
      <c r="BX1056" s="115"/>
      <c r="BY1056" s="115"/>
      <c r="BZ1056" s="115"/>
      <c r="CA1056" s="115"/>
      <c r="CB1056" s="115"/>
      <c r="CC1056" s="13"/>
      <c r="CD1056" s="13"/>
      <c r="CG1056" s="114"/>
    </row>
    <row r="1057" spans="1:85" ht="19.5" x14ac:dyDescent="0.4">
      <c r="A1057" s="117"/>
      <c r="B1057" s="123"/>
      <c r="C1057" s="123"/>
      <c r="D1057" s="123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27"/>
      <c r="AU1057" s="29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25"/>
      <c r="BF1057" s="13"/>
      <c r="BK1057" s="117"/>
      <c r="BL1057" s="123"/>
      <c r="BM1057" s="123"/>
      <c r="BN1057" s="123"/>
      <c r="BS1057" s="115"/>
      <c r="BT1057" s="115"/>
      <c r="BU1057" s="115"/>
      <c r="BV1057" s="115"/>
      <c r="BW1057" s="115"/>
      <c r="BX1057" s="115"/>
      <c r="BY1057" s="115"/>
      <c r="BZ1057" s="115"/>
      <c r="CA1057" s="115"/>
      <c r="CB1057" s="115"/>
      <c r="CC1057" s="13"/>
      <c r="CD1057" s="13"/>
      <c r="CG1057" s="114"/>
    </row>
    <row r="1058" spans="1:85" ht="19.5" x14ac:dyDescent="0.4">
      <c r="A1058" s="117"/>
      <c r="B1058" s="123"/>
      <c r="C1058" s="123"/>
      <c r="D1058" s="123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27"/>
      <c r="AU1058" s="29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25">
        <v>45684</v>
      </c>
      <c r="BF1058" s="13" t="s">
        <v>146</v>
      </c>
      <c r="BK1058" s="117"/>
      <c r="BL1058" s="123"/>
      <c r="BM1058" s="123"/>
      <c r="BN1058" s="123"/>
      <c r="BS1058" s="115"/>
      <c r="BT1058" s="115"/>
      <c r="BU1058" s="115"/>
      <c r="BV1058" s="115"/>
      <c r="BW1058" s="115"/>
      <c r="BX1058" s="115"/>
      <c r="BY1058" s="115"/>
      <c r="BZ1058" s="115"/>
      <c r="CA1058" s="115"/>
      <c r="CB1058" s="115"/>
      <c r="CC1058" s="13"/>
      <c r="CD1058" s="13"/>
      <c r="CG1058" s="114"/>
    </row>
    <row r="1059" spans="1:85" ht="19.5" x14ac:dyDescent="0.4">
      <c r="A1059" s="117"/>
      <c r="B1059" s="123"/>
      <c r="C1059" s="123"/>
      <c r="D1059" s="123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28"/>
      <c r="AU1059" s="29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25"/>
      <c r="BF1059" s="13"/>
      <c r="BK1059" s="117"/>
      <c r="BL1059" s="123"/>
      <c r="BM1059" s="123"/>
      <c r="BN1059" s="123"/>
      <c r="BS1059" s="115"/>
      <c r="BT1059" s="115"/>
      <c r="BU1059" s="115"/>
      <c r="BV1059" s="115"/>
      <c r="BW1059" s="115"/>
      <c r="BX1059" s="115"/>
      <c r="BY1059" s="115"/>
      <c r="BZ1059" s="115"/>
      <c r="CA1059" s="115"/>
      <c r="CB1059" s="115"/>
      <c r="CC1059" s="13"/>
      <c r="CD1059" s="13"/>
      <c r="CG1059" s="114"/>
    </row>
    <row r="1060" spans="1:85" ht="19.5" x14ac:dyDescent="0.4">
      <c r="A1060" s="117"/>
      <c r="B1060" s="123"/>
      <c r="C1060" s="123"/>
      <c r="D1060" s="123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27"/>
      <c r="AU1060" s="29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25"/>
      <c r="BF1060" s="13"/>
      <c r="BK1060" s="117"/>
      <c r="BL1060" s="123"/>
      <c r="BM1060" s="123"/>
      <c r="BN1060" s="123"/>
      <c r="BS1060" s="115"/>
      <c r="BT1060" s="115"/>
      <c r="BU1060" s="115"/>
      <c r="BV1060" s="115"/>
      <c r="BW1060" s="115"/>
      <c r="BX1060" s="115"/>
      <c r="BY1060" s="115"/>
      <c r="BZ1060" s="115"/>
      <c r="CA1060" s="115"/>
      <c r="CB1060" s="115"/>
      <c r="CC1060" s="13"/>
      <c r="CD1060" s="13"/>
      <c r="CG1060" s="114"/>
    </row>
    <row r="1061" spans="1:85" ht="19.5" x14ac:dyDescent="0.4">
      <c r="A1061" s="117"/>
      <c r="B1061" s="123"/>
      <c r="C1061" s="123"/>
      <c r="D1061" s="123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28"/>
      <c r="AU1061" s="29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25"/>
      <c r="BF1061" s="13"/>
      <c r="BK1061" s="117"/>
      <c r="BL1061" s="123"/>
      <c r="BM1061" s="123"/>
      <c r="BN1061" s="123"/>
      <c r="BS1061" s="115"/>
      <c r="BT1061" s="115"/>
      <c r="BU1061" s="115"/>
      <c r="BV1061" s="115"/>
      <c r="BW1061" s="115"/>
      <c r="BX1061" s="115"/>
      <c r="BY1061" s="115"/>
      <c r="BZ1061" s="115"/>
      <c r="CA1061" s="115"/>
      <c r="CB1061" s="115"/>
      <c r="CC1061" s="13"/>
      <c r="CD1061" s="13"/>
      <c r="CG1061" s="114"/>
    </row>
    <row r="1062" spans="1:85" ht="19.5" x14ac:dyDescent="0.4">
      <c r="A1062" s="117"/>
      <c r="B1062" s="123"/>
      <c r="C1062" s="123"/>
      <c r="D1062" s="123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27"/>
      <c r="AU1062" s="29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25"/>
      <c r="BF1062" s="13"/>
      <c r="BK1062" s="117"/>
      <c r="BL1062" s="123"/>
      <c r="BM1062" s="123"/>
      <c r="BN1062" s="123"/>
      <c r="BS1062" s="115"/>
      <c r="BT1062" s="115"/>
      <c r="BU1062" s="115"/>
      <c r="BV1062" s="115"/>
      <c r="BW1062" s="115"/>
      <c r="BX1062" s="115"/>
      <c r="BY1062" s="115"/>
      <c r="BZ1062" s="115"/>
      <c r="CA1062" s="115"/>
      <c r="CB1062" s="115"/>
      <c r="CC1062" s="13"/>
      <c r="CD1062" s="13"/>
      <c r="CG1062" s="114"/>
    </row>
    <row r="1063" spans="1:85" ht="19.5" x14ac:dyDescent="0.4">
      <c r="A1063" s="117"/>
      <c r="B1063" s="123"/>
      <c r="C1063" s="123"/>
      <c r="D1063" s="123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28"/>
      <c r="AU1063" s="29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25"/>
      <c r="BF1063" s="13"/>
      <c r="BK1063" s="117"/>
      <c r="BL1063" s="123"/>
      <c r="BM1063" s="123"/>
      <c r="BN1063" s="123"/>
      <c r="BS1063" s="115"/>
      <c r="BT1063" s="115"/>
      <c r="BU1063" s="115"/>
      <c r="BV1063" s="115"/>
      <c r="BW1063" s="115"/>
      <c r="BX1063" s="115"/>
      <c r="BY1063" s="115"/>
      <c r="BZ1063" s="115"/>
      <c r="CA1063" s="115"/>
      <c r="CB1063" s="115"/>
      <c r="CC1063" s="13"/>
      <c r="CD1063" s="13"/>
      <c r="CG1063" s="114"/>
    </row>
    <row r="1064" spans="1:85" ht="19.5" x14ac:dyDescent="0.4">
      <c r="A1064" s="117"/>
      <c r="B1064" s="123"/>
      <c r="C1064" s="123"/>
      <c r="D1064" s="123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28"/>
      <c r="AU1064" s="29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25"/>
      <c r="BF1064" s="13"/>
      <c r="BK1064" s="117"/>
      <c r="BL1064" s="123"/>
      <c r="BM1064" s="123"/>
      <c r="BN1064" s="123"/>
      <c r="BS1064" s="115"/>
      <c r="BT1064" s="115"/>
      <c r="BU1064" s="115"/>
      <c r="BV1064" s="115"/>
      <c r="BW1064" s="115"/>
      <c r="BX1064" s="115"/>
      <c r="BY1064" s="115"/>
      <c r="BZ1064" s="115"/>
      <c r="CA1064" s="115"/>
      <c r="CB1064" s="115"/>
      <c r="CC1064" s="13"/>
      <c r="CD1064" s="13"/>
      <c r="CG1064" s="114"/>
    </row>
    <row r="1065" spans="1:85" ht="19.5" x14ac:dyDescent="0.4">
      <c r="A1065" s="117"/>
      <c r="B1065" s="123"/>
      <c r="C1065" s="123"/>
      <c r="D1065" s="123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27"/>
      <c r="AU1065" s="29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25">
        <v>45684</v>
      </c>
      <c r="BF1065" s="13" t="s">
        <v>147</v>
      </c>
      <c r="BK1065" s="117"/>
      <c r="BL1065" s="123"/>
      <c r="BM1065" s="123"/>
      <c r="BN1065" s="123"/>
      <c r="BS1065" s="115"/>
      <c r="BT1065" s="115"/>
      <c r="BU1065" s="115"/>
      <c r="BV1065" s="115"/>
      <c r="BW1065" s="115"/>
      <c r="BX1065" s="115"/>
      <c r="BY1065" s="115"/>
      <c r="BZ1065" s="115"/>
      <c r="CA1065" s="115"/>
      <c r="CB1065" s="115"/>
      <c r="CC1065" s="13"/>
      <c r="CD1065" s="13"/>
      <c r="CG1065" s="114"/>
    </row>
    <row r="1066" spans="1:85" ht="19.5" x14ac:dyDescent="0.4">
      <c r="A1066" s="117"/>
      <c r="B1066" s="123"/>
      <c r="C1066" s="123"/>
      <c r="D1066" s="123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27"/>
      <c r="AU1066" s="29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25">
        <v>45684</v>
      </c>
      <c r="BF1066" s="13" t="s">
        <v>146</v>
      </c>
      <c r="BK1066" s="117"/>
      <c r="BL1066" s="123"/>
      <c r="BM1066" s="123"/>
      <c r="BN1066" s="123"/>
      <c r="BS1066" s="115"/>
      <c r="BT1066" s="115"/>
      <c r="BU1066" s="115"/>
      <c r="BV1066" s="115"/>
      <c r="BW1066" s="115"/>
      <c r="BX1066" s="115"/>
      <c r="BY1066" s="115"/>
      <c r="BZ1066" s="115"/>
      <c r="CA1066" s="115"/>
      <c r="CB1066" s="115"/>
      <c r="CC1066" s="13"/>
      <c r="CD1066" s="13"/>
      <c r="CG1066" s="114"/>
    </row>
    <row r="1067" spans="1:85" ht="19.5" x14ac:dyDescent="0.4">
      <c r="A1067" s="117"/>
      <c r="B1067" s="123"/>
      <c r="C1067" s="123"/>
      <c r="D1067" s="123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27"/>
      <c r="AU1067" s="29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25">
        <v>45684</v>
      </c>
      <c r="BF1067" s="13" t="s">
        <v>146</v>
      </c>
      <c r="BK1067" s="117"/>
      <c r="BL1067" s="123"/>
      <c r="BM1067" s="123"/>
      <c r="BN1067" s="123"/>
      <c r="BS1067" s="115"/>
      <c r="BT1067" s="115"/>
      <c r="BU1067" s="115"/>
      <c r="BV1067" s="115"/>
      <c r="BW1067" s="115"/>
      <c r="BX1067" s="115"/>
      <c r="BY1067" s="115"/>
      <c r="BZ1067" s="115"/>
      <c r="CA1067" s="115"/>
      <c r="CB1067" s="115"/>
      <c r="CC1067" s="13"/>
      <c r="CD1067" s="13"/>
      <c r="CG1067" s="114"/>
    </row>
    <row r="1068" spans="1:85" ht="19.5" x14ac:dyDescent="0.4">
      <c r="A1068" s="117"/>
      <c r="B1068" s="123"/>
      <c r="C1068" s="123"/>
      <c r="D1068" s="123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29"/>
      <c r="AU1068" s="29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25"/>
      <c r="BF1068" s="13"/>
      <c r="BK1068" s="117"/>
      <c r="BL1068" s="123"/>
      <c r="BM1068" s="123"/>
      <c r="BN1068" s="123"/>
      <c r="BS1068" s="115"/>
      <c r="BT1068" s="115"/>
      <c r="BU1068" s="115"/>
      <c r="BV1068" s="115"/>
      <c r="BW1068" s="115"/>
      <c r="BX1068" s="115"/>
      <c r="BY1068" s="115"/>
      <c r="BZ1068" s="115"/>
      <c r="CA1068" s="115"/>
      <c r="CB1068" s="115"/>
      <c r="CC1068" s="13"/>
      <c r="CD1068" s="13"/>
      <c r="CG1068" s="114"/>
    </row>
    <row r="1069" spans="1:85" ht="19.5" x14ac:dyDescent="0.4">
      <c r="A1069" s="117"/>
      <c r="B1069" s="123"/>
      <c r="C1069" s="123"/>
      <c r="D1069" s="123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29"/>
      <c r="AU1069" s="29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25"/>
      <c r="BF1069" s="13"/>
      <c r="BK1069" s="117"/>
      <c r="BL1069" s="123"/>
      <c r="BM1069" s="123"/>
      <c r="BN1069" s="123"/>
      <c r="BS1069" s="115"/>
      <c r="BT1069" s="115"/>
      <c r="BU1069" s="115"/>
      <c r="BV1069" s="115"/>
      <c r="BW1069" s="115"/>
      <c r="BX1069" s="115"/>
      <c r="BY1069" s="115"/>
      <c r="BZ1069" s="115"/>
      <c r="CA1069" s="115"/>
      <c r="CB1069" s="115"/>
      <c r="CC1069" s="13"/>
      <c r="CD1069" s="13"/>
      <c r="CG1069" s="114"/>
    </row>
    <row r="1070" spans="1:85" ht="19.5" x14ac:dyDescent="0.4">
      <c r="A1070" s="117"/>
      <c r="B1070" s="123"/>
      <c r="C1070" s="123"/>
      <c r="D1070" s="123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27"/>
      <c r="AU1070" s="29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25">
        <v>45684</v>
      </c>
      <c r="BF1070" s="13" t="s">
        <v>147</v>
      </c>
      <c r="BK1070" s="117"/>
      <c r="BL1070" s="123"/>
      <c r="BM1070" s="123"/>
      <c r="BN1070" s="123"/>
      <c r="BS1070" s="115"/>
      <c r="BT1070" s="115"/>
      <c r="BU1070" s="115"/>
      <c r="BV1070" s="115"/>
      <c r="BW1070" s="115"/>
      <c r="BX1070" s="115"/>
      <c r="BY1070" s="115"/>
      <c r="BZ1070" s="115"/>
      <c r="CA1070" s="115"/>
      <c r="CB1070" s="115"/>
      <c r="CC1070" s="13"/>
      <c r="CD1070" s="13"/>
      <c r="CG1070" s="114"/>
    </row>
    <row r="1071" spans="1:85" ht="19.5" x14ac:dyDescent="0.4">
      <c r="A1071" s="117"/>
      <c r="B1071" s="123"/>
      <c r="C1071" s="123"/>
      <c r="D1071" s="123"/>
      <c r="AT1071" s="127"/>
      <c r="AU1071" s="29"/>
      <c r="BE1071" s="25">
        <v>45685</v>
      </c>
      <c r="BF1071" s="13" t="s">
        <v>146</v>
      </c>
      <c r="BK1071" s="117"/>
      <c r="BL1071" s="123"/>
      <c r="BM1071" s="123"/>
      <c r="BN1071" s="123"/>
      <c r="BS1071" s="115"/>
      <c r="BT1071" s="115"/>
      <c r="BU1071" s="115"/>
      <c r="BV1071" s="115"/>
      <c r="BW1071" s="115"/>
      <c r="BX1071" s="115"/>
      <c r="BY1071" s="115"/>
      <c r="BZ1071" s="115"/>
      <c r="CA1071" s="115"/>
      <c r="CB1071" s="115"/>
      <c r="CC1071" s="25">
        <v>45263</v>
      </c>
      <c r="CD1071" s="13" t="s">
        <v>162</v>
      </c>
      <c r="CG1071" s="114"/>
    </row>
    <row r="1072" spans="1:85" ht="19.5" x14ac:dyDescent="0.4">
      <c r="A1072" s="117"/>
      <c r="B1072" s="123"/>
      <c r="C1072" s="123"/>
      <c r="D1072" s="123"/>
      <c r="AT1072" s="127"/>
      <c r="AU1072" s="29"/>
      <c r="BB1072" s="115"/>
      <c r="BC1072" s="115"/>
      <c r="BD1072" s="115"/>
      <c r="BE1072" s="25">
        <v>45685</v>
      </c>
      <c r="BF1072" s="13" t="s">
        <v>147</v>
      </c>
      <c r="BK1072" s="117"/>
      <c r="BL1072" s="123"/>
      <c r="BM1072" s="123"/>
      <c r="BN1072" s="123"/>
      <c r="BS1072" s="115"/>
      <c r="BT1072" s="115"/>
      <c r="BU1072" s="115"/>
      <c r="BV1072" s="115"/>
      <c r="BW1072" s="115"/>
      <c r="BX1072" s="115"/>
      <c r="BY1072" s="115"/>
      <c r="BZ1072" s="115"/>
      <c r="CA1072" s="115"/>
      <c r="CB1072" s="115"/>
      <c r="CC1072" s="25"/>
      <c r="CD1072" s="13"/>
      <c r="CG1072" s="114"/>
    </row>
    <row r="1073" spans="1:85" ht="19.5" x14ac:dyDescent="0.4">
      <c r="A1073" s="117"/>
      <c r="B1073" s="123"/>
      <c r="C1073" s="123"/>
      <c r="D1073" s="123"/>
      <c r="AT1073" s="128"/>
      <c r="AU1073" s="29"/>
      <c r="BB1073" s="115"/>
      <c r="BC1073" s="115"/>
      <c r="BD1073" s="115"/>
      <c r="BE1073" s="25"/>
      <c r="BF1073" s="13"/>
      <c r="BK1073" s="117"/>
      <c r="BL1073" s="123"/>
      <c r="BM1073" s="123"/>
      <c r="BN1073" s="123"/>
      <c r="BS1073" s="115"/>
      <c r="BT1073" s="115"/>
      <c r="BU1073" s="115"/>
      <c r="BV1073" s="115"/>
      <c r="BW1073" s="115"/>
      <c r="BX1073" s="115"/>
      <c r="BY1073" s="115"/>
      <c r="BZ1073" s="115"/>
      <c r="CA1073" s="115"/>
      <c r="CB1073" s="115"/>
      <c r="CC1073" s="25"/>
      <c r="CD1073" s="13"/>
      <c r="CG1073" s="114"/>
    </row>
    <row r="1074" spans="1:85" ht="19.5" x14ac:dyDescent="0.4">
      <c r="A1074" s="117"/>
      <c r="B1074" s="123"/>
      <c r="C1074" s="123"/>
      <c r="D1074" s="123"/>
      <c r="AT1074" s="127"/>
      <c r="AU1074" s="29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25">
        <v>45685</v>
      </c>
      <c r="BF1074" s="13" t="s">
        <v>147</v>
      </c>
      <c r="BK1074" s="117"/>
      <c r="BL1074" s="123"/>
      <c r="BM1074" s="123"/>
      <c r="BN1074" s="123"/>
      <c r="BS1074" s="115"/>
      <c r="BT1074" s="115"/>
      <c r="BU1074" s="115"/>
      <c r="BV1074" s="115"/>
      <c r="BW1074" s="115"/>
      <c r="BX1074" s="115"/>
      <c r="BY1074" s="115"/>
      <c r="BZ1074" s="115"/>
      <c r="CA1074" s="115"/>
      <c r="CB1074" s="115"/>
      <c r="CC1074" s="25"/>
      <c r="CD1074" s="13"/>
      <c r="CG1074" s="114"/>
    </row>
    <row r="1075" spans="1:85" ht="19.5" x14ac:dyDescent="0.4">
      <c r="A1075" s="117"/>
      <c r="B1075" s="123"/>
      <c r="C1075" s="123"/>
      <c r="D1075" s="123"/>
      <c r="AT1075" s="127"/>
      <c r="AU1075" s="29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25">
        <v>45685</v>
      </c>
      <c r="BF1075" s="13" t="s">
        <v>148</v>
      </c>
      <c r="BK1075" s="117"/>
      <c r="BL1075" s="123"/>
      <c r="BM1075" s="123"/>
      <c r="BN1075" s="123"/>
      <c r="BS1075" s="115"/>
      <c r="BT1075" s="115"/>
      <c r="BU1075" s="115"/>
      <c r="BV1075" s="115"/>
      <c r="BW1075" s="115"/>
      <c r="BX1075" s="115"/>
      <c r="BY1075" s="115"/>
      <c r="BZ1075" s="115"/>
      <c r="CA1075" s="115"/>
      <c r="CB1075" s="115"/>
      <c r="CC1075" s="25"/>
      <c r="CD1075" s="13"/>
      <c r="CG1075" s="114"/>
    </row>
    <row r="1076" spans="1:85" ht="19.5" x14ac:dyDescent="0.4">
      <c r="A1076" s="117"/>
      <c r="B1076" s="123"/>
      <c r="C1076" s="123"/>
      <c r="D1076" s="123"/>
      <c r="AT1076" s="127"/>
      <c r="AU1076" s="29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25">
        <v>45685</v>
      </c>
      <c r="BF1076" s="13" t="s">
        <v>148</v>
      </c>
      <c r="BK1076" s="117"/>
      <c r="BL1076" s="123"/>
      <c r="BM1076" s="123"/>
      <c r="BN1076" s="123"/>
      <c r="BS1076" s="115"/>
      <c r="BT1076" s="115"/>
      <c r="BU1076" s="115"/>
      <c r="BV1076" s="115"/>
      <c r="BW1076" s="115"/>
      <c r="BX1076" s="115"/>
      <c r="BY1076" s="115"/>
      <c r="BZ1076" s="115"/>
      <c r="CA1076" s="115"/>
      <c r="CB1076" s="115"/>
      <c r="CC1076" s="25"/>
      <c r="CD1076" s="13"/>
      <c r="CG1076" s="114"/>
    </row>
    <row r="1077" spans="1:85" ht="19.5" x14ac:dyDescent="0.4">
      <c r="A1077" s="117"/>
      <c r="B1077" s="123"/>
      <c r="C1077" s="123"/>
      <c r="D1077" s="123"/>
      <c r="AT1077" s="128"/>
      <c r="AU1077" s="29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25"/>
      <c r="BF1077" s="13"/>
      <c r="BK1077" s="117"/>
      <c r="BL1077" s="123"/>
      <c r="BM1077" s="123"/>
      <c r="BN1077" s="123"/>
      <c r="BS1077" s="115"/>
      <c r="BT1077" s="115"/>
      <c r="BU1077" s="115"/>
      <c r="BV1077" s="115"/>
      <c r="BW1077" s="115"/>
      <c r="BX1077" s="115"/>
      <c r="BY1077" s="115"/>
      <c r="BZ1077" s="115"/>
      <c r="CA1077" s="115"/>
      <c r="CB1077" s="115"/>
      <c r="CC1077" s="25"/>
      <c r="CD1077" s="13"/>
      <c r="CG1077" s="114"/>
    </row>
    <row r="1078" spans="1:85" ht="19.5" x14ac:dyDescent="0.4">
      <c r="A1078" s="117"/>
      <c r="B1078" s="123"/>
      <c r="C1078" s="123"/>
      <c r="D1078" s="123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27"/>
      <c r="AU1078" s="29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25"/>
      <c r="BF1078" s="13"/>
      <c r="BK1078" s="117"/>
      <c r="BL1078" s="123"/>
      <c r="BM1078" s="123"/>
      <c r="BN1078" s="123"/>
      <c r="BS1078" s="115"/>
      <c r="BT1078" s="115"/>
      <c r="BU1078" s="115"/>
      <c r="BV1078" s="115"/>
      <c r="BW1078" s="115"/>
      <c r="BX1078" s="115"/>
      <c r="BY1078" s="115"/>
      <c r="BZ1078" s="115"/>
      <c r="CA1078" s="115"/>
      <c r="CB1078" s="115"/>
      <c r="CC1078" s="25"/>
      <c r="CD1078" s="13"/>
      <c r="CG1078" s="114"/>
    </row>
    <row r="1079" spans="1:85" ht="19.5" x14ac:dyDescent="0.4">
      <c r="A1079" s="117"/>
      <c r="B1079" s="123"/>
      <c r="C1079" s="123"/>
      <c r="D1079" s="123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28"/>
      <c r="AU1079" s="29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25"/>
      <c r="BF1079" s="13"/>
      <c r="BK1079" s="117"/>
      <c r="BL1079" s="123"/>
      <c r="BM1079" s="123"/>
      <c r="BN1079" s="123"/>
      <c r="BS1079" s="115"/>
      <c r="BT1079" s="115"/>
      <c r="BU1079" s="115"/>
      <c r="BV1079" s="115"/>
      <c r="BW1079" s="115"/>
      <c r="BX1079" s="115"/>
      <c r="BY1079" s="115"/>
      <c r="BZ1079" s="115"/>
      <c r="CA1079" s="115"/>
      <c r="CB1079" s="115"/>
      <c r="CC1079" s="25"/>
      <c r="CD1079" s="13"/>
      <c r="CG1079" s="114"/>
    </row>
    <row r="1080" spans="1:85" ht="19.5" x14ac:dyDescent="0.4">
      <c r="A1080" s="117"/>
      <c r="B1080" s="123"/>
      <c r="C1080" s="123"/>
      <c r="D1080" s="123"/>
      <c r="AT1080" s="127"/>
      <c r="AU1080" s="29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25">
        <v>45685</v>
      </c>
      <c r="BF1080" s="13" t="s">
        <v>148</v>
      </c>
      <c r="BK1080" s="117"/>
      <c r="BL1080" s="123"/>
      <c r="BM1080" s="123"/>
      <c r="BN1080" s="123"/>
      <c r="BS1080" s="115"/>
      <c r="BT1080" s="115"/>
      <c r="BU1080" s="115"/>
      <c r="BV1080" s="115"/>
      <c r="BW1080" s="115"/>
      <c r="BX1080" s="115"/>
      <c r="BY1080" s="115"/>
      <c r="BZ1080" s="115"/>
      <c r="CA1080" s="115"/>
      <c r="CB1080" s="115"/>
      <c r="CC1080" s="25"/>
      <c r="CD1080" s="13"/>
      <c r="CG1080" s="114"/>
    </row>
    <row r="1081" spans="1:85" ht="19.5" x14ac:dyDescent="0.4">
      <c r="A1081" s="117"/>
      <c r="B1081" s="123"/>
      <c r="C1081" s="123"/>
      <c r="D1081" s="123"/>
      <c r="AT1081" s="127"/>
      <c r="AU1081" s="29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25">
        <v>45685</v>
      </c>
      <c r="BF1081" s="13" t="s">
        <v>148</v>
      </c>
      <c r="BK1081" s="117"/>
      <c r="BL1081" s="123"/>
      <c r="BM1081" s="123"/>
      <c r="BN1081" s="123"/>
      <c r="BS1081" s="115"/>
      <c r="BT1081" s="115"/>
      <c r="BU1081" s="115"/>
      <c r="BV1081" s="115"/>
      <c r="BW1081" s="115"/>
      <c r="BX1081" s="115"/>
      <c r="BY1081" s="115"/>
      <c r="BZ1081" s="115"/>
      <c r="CA1081" s="115"/>
      <c r="CB1081" s="115"/>
      <c r="CC1081" s="25"/>
      <c r="CD1081" s="13"/>
      <c r="CG1081" s="114"/>
    </row>
    <row r="1082" spans="1:85" ht="19.5" x14ac:dyDescent="0.4">
      <c r="A1082" s="117"/>
      <c r="B1082" s="123"/>
      <c r="C1082" s="123"/>
      <c r="D1082" s="123"/>
      <c r="AT1082" s="127"/>
      <c r="AU1082" s="29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25">
        <v>45685</v>
      </c>
      <c r="BF1082" s="13" t="s">
        <v>146</v>
      </c>
      <c r="BK1082" s="117"/>
      <c r="BL1082" s="123"/>
      <c r="BM1082" s="123"/>
      <c r="BN1082" s="123"/>
      <c r="BS1082" s="115"/>
      <c r="BT1082" s="115"/>
      <c r="BU1082" s="115"/>
      <c r="BV1082" s="115"/>
      <c r="BW1082" s="115"/>
      <c r="BX1082" s="115"/>
      <c r="BY1082" s="115"/>
      <c r="BZ1082" s="115"/>
      <c r="CA1082" s="115"/>
      <c r="CB1082" s="115"/>
      <c r="CC1082" s="25"/>
      <c r="CD1082" s="13"/>
      <c r="CG1082" s="114"/>
    </row>
    <row r="1083" spans="1:85" ht="19.5" x14ac:dyDescent="0.4">
      <c r="A1083" s="117"/>
      <c r="B1083" s="123"/>
      <c r="C1083" s="123"/>
      <c r="D1083" s="123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27"/>
      <c r="AU1083" s="29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25"/>
      <c r="BF1083" s="13"/>
      <c r="BK1083" s="117"/>
      <c r="BL1083" s="123"/>
      <c r="BM1083" s="123"/>
      <c r="BN1083" s="123"/>
      <c r="BS1083" s="115"/>
      <c r="BT1083" s="115"/>
      <c r="BU1083" s="115"/>
      <c r="BV1083" s="115"/>
      <c r="BW1083" s="115"/>
      <c r="BX1083" s="115"/>
      <c r="BY1083" s="115"/>
      <c r="BZ1083" s="115"/>
      <c r="CA1083" s="115"/>
      <c r="CB1083" s="115"/>
      <c r="CC1083" s="25"/>
      <c r="CD1083" s="13"/>
      <c r="CG1083" s="114"/>
    </row>
    <row r="1084" spans="1:85" ht="19.5" x14ac:dyDescent="0.4">
      <c r="A1084" s="117"/>
      <c r="B1084" s="123"/>
      <c r="C1084" s="123"/>
      <c r="D1084" s="123"/>
      <c r="AT1084" s="127"/>
      <c r="AU1084" s="29"/>
      <c r="BE1084" s="25">
        <v>45685</v>
      </c>
      <c r="BF1084" s="13" t="s">
        <v>148</v>
      </c>
      <c r="BK1084" s="117"/>
      <c r="BL1084" s="123"/>
      <c r="BM1084" s="123"/>
      <c r="BN1084" s="123"/>
      <c r="BS1084" s="115"/>
      <c r="BT1084" s="115"/>
      <c r="BU1084" s="115"/>
      <c r="BV1084" s="115"/>
      <c r="BW1084" s="115"/>
      <c r="BX1084" s="115"/>
      <c r="BY1084" s="115"/>
      <c r="BZ1084" s="115"/>
      <c r="CA1084" s="115"/>
      <c r="CB1084" s="115" t="s">
        <v>150</v>
      </c>
      <c r="CC1084" s="13">
        <f>SUBTOTAL(3,CC1071:CC1071)</f>
        <v>1</v>
      </c>
      <c r="CD1084" s="13">
        <f>SUBTOTAL(3,CD1071:CD1071)</f>
        <v>1</v>
      </c>
      <c r="CG1084" s="114"/>
    </row>
    <row r="1085" spans="1:85" ht="19.5" x14ac:dyDescent="0.4">
      <c r="A1085" s="117"/>
      <c r="B1085" s="123"/>
      <c r="C1085" s="123"/>
      <c r="D1085" s="123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27"/>
      <c r="AU1085" s="29"/>
      <c r="BE1085" s="25"/>
      <c r="BF1085" s="13"/>
      <c r="BK1085" s="117"/>
      <c r="BL1085" s="123"/>
      <c r="BM1085" s="123"/>
      <c r="BN1085" s="123"/>
      <c r="BS1085" s="115"/>
      <c r="BT1085" s="115"/>
      <c r="BU1085" s="115"/>
      <c r="BV1085" s="115"/>
      <c r="BW1085" s="115"/>
      <c r="BX1085" s="115"/>
      <c r="BY1085" s="115"/>
      <c r="BZ1085" s="115"/>
      <c r="CA1085" s="115"/>
      <c r="CB1085" s="115"/>
      <c r="CC1085" s="13"/>
      <c r="CD1085" s="13"/>
      <c r="CG1085" s="114"/>
    </row>
    <row r="1086" spans="1:85" ht="19.5" x14ac:dyDescent="0.4">
      <c r="A1086" s="117"/>
      <c r="B1086" s="123"/>
      <c r="C1086" s="123"/>
      <c r="D1086" s="123"/>
      <c r="AT1086" s="127"/>
      <c r="AU1086" s="29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25">
        <v>45685</v>
      </c>
      <c r="BF1086" s="15" t="s">
        <v>146</v>
      </c>
      <c r="BK1086" s="117"/>
      <c r="BL1086" s="123"/>
      <c r="BM1086" s="123"/>
      <c r="BN1086" s="123"/>
      <c r="BS1086" s="115"/>
      <c r="BT1086" s="115"/>
      <c r="BU1086" s="115"/>
      <c r="BV1086" s="115"/>
      <c r="BW1086" s="115"/>
      <c r="BX1086" s="115"/>
      <c r="BY1086" s="115"/>
      <c r="BZ1086" s="115"/>
      <c r="CA1086" s="115"/>
      <c r="CB1086" s="115"/>
      <c r="CC1086" s="13"/>
      <c r="CD1086" s="13"/>
      <c r="CG1086" s="114"/>
    </row>
    <row r="1087" spans="1:85" ht="19.5" x14ac:dyDescent="0.4">
      <c r="A1087" s="117"/>
      <c r="B1087" s="123"/>
      <c r="C1087" s="123"/>
      <c r="D1087" s="123"/>
      <c r="AT1087" s="127"/>
      <c r="AU1087" s="29"/>
      <c r="BE1087" s="25">
        <v>45685</v>
      </c>
      <c r="BF1087" s="15" t="s">
        <v>146</v>
      </c>
      <c r="BK1087" s="117"/>
      <c r="BL1087" s="123"/>
      <c r="BM1087" s="123"/>
      <c r="BN1087" s="123"/>
      <c r="BS1087" s="115"/>
      <c r="BT1087" s="115"/>
      <c r="BU1087" s="115"/>
      <c r="BV1087" s="115"/>
      <c r="BW1087" s="115"/>
      <c r="BX1087" s="115"/>
      <c r="BY1087" s="115"/>
      <c r="BZ1087" s="115"/>
      <c r="CA1087" s="115"/>
      <c r="CB1087" s="115"/>
      <c r="CC1087" s="25">
        <v>45264</v>
      </c>
      <c r="CD1087" s="13" t="s">
        <v>162</v>
      </c>
      <c r="CG1087" s="114"/>
    </row>
    <row r="1088" spans="1:85" ht="19.5" x14ac:dyDescent="0.4">
      <c r="A1088" s="117"/>
      <c r="B1088" s="123"/>
      <c r="C1088" s="123"/>
      <c r="D1088" s="123"/>
      <c r="AT1088" s="127"/>
      <c r="AU1088" s="29"/>
      <c r="BA1088" s="115"/>
      <c r="BB1088" s="115"/>
      <c r="BC1088" s="115"/>
      <c r="BD1088" s="115"/>
      <c r="BE1088" s="25">
        <v>45686</v>
      </c>
      <c r="BF1088" s="15" t="s">
        <v>148</v>
      </c>
      <c r="BK1088" s="117"/>
      <c r="BL1088" s="123"/>
      <c r="BM1088" s="123"/>
      <c r="BN1088" s="123"/>
      <c r="BS1088" s="115"/>
      <c r="BT1088" s="115"/>
      <c r="BU1088" s="115"/>
      <c r="BV1088" s="115"/>
      <c r="BW1088" s="115"/>
      <c r="BX1088" s="115"/>
      <c r="BY1088" s="115"/>
      <c r="BZ1088" s="115"/>
      <c r="CA1088" s="115"/>
      <c r="CB1088" s="115"/>
      <c r="CC1088" s="25"/>
      <c r="CD1088" s="13"/>
      <c r="CG1088" s="114"/>
    </row>
    <row r="1089" spans="1:85" ht="19.5" x14ac:dyDescent="0.4">
      <c r="A1089" s="117"/>
      <c r="B1089" s="123"/>
      <c r="C1089" s="123"/>
      <c r="D1089" s="123"/>
      <c r="AT1089" s="127"/>
      <c r="AU1089" s="29"/>
      <c r="AY1089" s="115"/>
      <c r="AZ1089" s="115"/>
      <c r="BA1089" s="115"/>
      <c r="BB1089" s="115"/>
      <c r="BC1089" s="115"/>
      <c r="BD1089" s="115"/>
      <c r="BE1089" s="25">
        <v>45686</v>
      </c>
      <c r="BF1089" s="15" t="s">
        <v>146</v>
      </c>
      <c r="BK1089" s="117"/>
      <c r="BL1089" s="123"/>
      <c r="BM1089" s="123"/>
      <c r="BN1089" s="123"/>
      <c r="BS1089" s="115"/>
      <c r="BT1089" s="115"/>
      <c r="BU1089" s="115"/>
      <c r="BV1089" s="115"/>
      <c r="BW1089" s="115"/>
      <c r="BX1089" s="115"/>
      <c r="BY1089" s="115"/>
      <c r="BZ1089" s="115"/>
      <c r="CA1089" s="115"/>
      <c r="CB1089" s="115"/>
      <c r="CC1089" s="25"/>
      <c r="CD1089" s="13"/>
      <c r="CG1089" s="114"/>
    </row>
    <row r="1090" spans="1:85" ht="19.5" x14ac:dyDescent="0.4">
      <c r="A1090" s="117"/>
      <c r="B1090" s="123"/>
      <c r="C1090" s="123"/>
      <c r="D1090" s="123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27"/>
      <c r="AU1090" s="29"/>
      <c r="AY1090" s="115"/>
      <c r="AZ1090" s="115"/>
      <c r="BA1090" s="115"/>
      <c r="BB1090" s="115"/>
      <c r="BC1090" s="115"/>
      <c r="BD1090" s="115"/>
      <c r="BE1090" s="25"/>
      <c r="BF1090" s="15"/>
      <c r="BK1090" s="117"/>
      <c r="BL1090" s="123"/>
      <c r="BM1090" s="123"/>
      <c r="BN1090" s="123"/>
      <c r="BS1090" s="115"/>
      <c r="BT1090" s="115"/>
      <c r="BU1090" s="115"/>
      <c r="BV1090" s="115"/>
      <c r="BW1090" s="115"/>
      <c r="BX1090" s="115"/>
      <c r="BY1090" s="115"/>
      <c r="BZ1090" s="115"/>
      <c r="CA1090" s="115"/>
      <c r="CB1090" s="115"/>
      <c r="CC1090" s="25"/>
      <c r="CD1090" s="13"/>
      <c r="CG1090" s="114"/>
    </row>
    <row r="1091" spans="1:85" ht="19.5" x14ac:dyDescent="0.4">
      <c r="A1091" s="117"/>
      <c r="B1091" s="123"/>
      <c r="C1091" s="123"/>
      <c r="D1091" s="123"/>
      <c r="AT1091" s="127"/>
      <c r="AU1091" s="29"/>
      <c r="AY1091" s="115"/>
      <c r="AZ1091" s="115"/>
      <c r="BA1091" s="115"/>
      <c r="BB1091" s="115"/>
      <c r="BC1091" s="115"/>
      <c r="BD1091" s="115"/>
      <c r="BE1091" s="25">
        <v>45686</v>
      </c>
      <c r="BF1091" s="15" t="s">
        <v>148</v>
      </c>
      <c r="BK1091" s="117"/>
      <c r="BL1091" s="123"/>
      <c r="BM1091" s="123"/>
      <c r="BN1091" s="123"/>
      <c r="BS1091" s="115"/>
      <c r="BT1091" s="115"/>
      <c r="BU1091" s="115"/>
      <c r="BV1091" s="115"/>
      <c r="BW1091" s="115"/>
      <c r="BX1091" s="115"/>
      <c r="BY1091" s="115"/>
      <c r="BZ1091" s="115"/>
      <c r="CA1091" s="115"/>
      <c r="CB1091" s="115"/>
      <c r="CC1091" s="25"/>
      <c r="CD1091" s="13"/>
      <c r="CG1091" s="114"/>
    </row>
    <row r="1092" spans="1:85" ht="19.5" x14ac:dyDescent="0.4">
      <c r="A1092" s="117"/>
      <c r="B1092" s="123"/>
      <c r="C1092" s="123"/>
      <c r="D1092" s="123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27"/>
      <c r="AU1092" s="29"/>
      <c r="AY1092" s="115"/>
      <c r="AZ1092" s="115"/>
      <c r="BA1092" s="115"/>
      <c r="BB1092" s="115"/>
      <c r="BC1092" s="115"/>
      <c r="BD1092" s="115"/>
      <c r="BE1092" s="25"/>
      <c r="BF1092" s="15"/>
      <c r="BK1092" s="117"/>
      <c r="BL1092" s="123"/>
      <c r="BM1092" s="123"/>
      <c r="BN1092" s="123"/>
      <c r="BS1092" s="115"/>
      <c r="BT1092" s="115"/>
      <c r="BU1092" s="115"/>
      <c r="BV1092" s="115"/>
      <c r="BW1092" s="115"/>
      <c r="BX1092" s="115"/>
      <c r="BY1092" s="115"/>
      <c r="BZ1092" s="115"/>
      <c r="CA1092" s="115"/>
      <c r="CB1092" s="115"/>
      <c r="CC1092" s="25"/>
      <c r="CD1092" s="13"/>
      <c r="CG1092" s="114"/>
    </row>
    <row r="1093" spans="1:85" ht="19.5" x14ac:dyDescent="0.4">
      <c r="A1093" s="117"/>
      <c r="B1093" s="123"/>
      <c r="C1093" s="123"/>
      <c r="D1093" s="123"/>
      <c r="AT1093" s="127"/>
      <c r="AU1093" s="29"/>
      <c r="BE1093" s="25">
        <v>45686</v>
      </c>
      <c r="BF1093" s="15" t="s">
        <v>146</v>
      </c>
      <c r="BK1093" s="117"/>
      <c r="BL1093" s="123"/>
      <c r="BM1093" s="123"/>
      <c r="BN1093" s="123"/>
      <c r="BS1093" s="115"/>
      <c r="BT1093" s="115"/>
      <c r="BU1093" s="115"/>
      <c r="BV1093" s="115"/>
      <c r="BW1093" s="115"/>
      <c r="BX1093" s="115"/>
      <c r="BY1093" s="115"/>
      <c r="BZ1093" s="115"/>
      <c r="CA1093" s="115"/>
      <c r="CB1093" s="115" t="s">
        <v>154</v>
      </c>
      <c r="CC1093" s="13">
        <f>SUBTOTAL(3,CC1087:CC1087)</f>
        <v>1</v>
      </c>
      <c r="CD1093" s="13">
        <f>SUBTOTAL(3,CD1087:CD1087)</f>
        <v>1</v>
      </c>
      <c r="CG1093" s="114"/>
    </row>
    <row r="1094" spans="1:85" ht="19.5" x14ac:dyDescent="0.4">
      <c r="A1094" s="117"/>
      <c r="B1094" s="123"/>
      <c r="C1094" s="123"/>
      <c r="D1094" s="123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27"/>
      <c r="AU1094" s="29"/>
      <c r="BE1094" s="25"/>
      <c r="BF1094" s="15"/>
      <c r="BK1094" s="117"/>
      <c r="BL1094" s="123"/>
      <c r="BM1094" s="123"/>
      <c r="BN1094" s="123"/>
      <c r="BS1094" s="115"/>
      <c r="BT1094" s="115"/>
      <c r="BU1094" s="115"/>
      <c r="BV1094" s="115"/>
      <c r="BW1094" s="115"/>
      <c r="BX1094" s="115"/>
      <c r="BY1094" s="115"/>
      <c r="BZ1094" s="115"/>
      <c r="CA1094" s="115"/>
      <c r="CB1094" s="115"/>
      <c r="CC1094" s="13"/>
      <c r="CD1094" s="13"/>
      <c r="CG1094" s="114"/>
    </row>
    <row r="1095" spans="1:85" ht="19.5" x14ac:dyDescent="0.4">
      <c r="A1095" s="117"/>
      <c r="B1095" s="123"/>
      <c r="C1095" s="123"/>
      <c r="D1095" s="123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27"/>
      <c r="AU1095" s="29"/>
      <c r="BE1095" s="25"/>
      <c r="BF1095" s="15"/>
      <c r="BK1095" s="117"/>
      <c r="BL1095" s="123"/>
      <c r="BM1095" s="123"/>
      <c r="BN1095" s="123"/>
      <c r="BS1095" s="115"/>
      <c r="BT1095" s="115"/>
      <c r="BU1095" s="115"/>
      <c r="BV1095" s="115"/>
      <c r="BW1095" s="115"/>
      <c r="BX1095" s="115"/>
      <c r="BY1095" s="115"/>
      <c r="BZ1095" s="115"/>
      <c r="CA1095" s="115"/>
      <c r="CB1095" s="115"/>
      <c r="CC1095" s="13"/>
      <c r="CD1095" s="13"/>
      <c r="CG1095" s="114"/>
    </row>
    <row r="1096" spans="1:85" ht="19.5" x14ac:dyDescent="0.4">
      <c r="A1096" s="117"/>
      <c r="B1096" s="123"/>
      <c r="C1096" s="123"/>
      <c r="D1096" s="123"/>
      <c r="AT1096" s="127"/>
      <c r="AU1096" s="29"/>
      <c r="BE1096" s="25">
        <v>45686</v>
      </c>
      <c r="BF1096" s="15" t="s">
        <v>146</v>
      </c>
      <c r="BK1096" s="117"/>
      <c r="BL1096" s="123"/>
      <c r="BM1096" s="123"/>
      <c r="BN1096" s="123"/>
      <c r="BS1096" s="115"/>
      <c r="BT1096" s="115"/>
      <c r="BU1096" s="115"/>
      <c r="BV1096" s="115"/>
      <c r="BW1096" s="115"/>
      <c r="BX1096" s="115"/>
      <c r="BY1096" s="115"/>
      <c r="BZ1096" s="115"/>
      <c r="CA1096" s="115"/>
      <c r="CB1096" s="115"/>
      <c r="CC1096" s="25">
        <v>45265</v>
      </c>
      <c r="CD1096" s="13" t="s">
        <v>162</v>
      </c>
      <c r="CG1096" s="114"/>
    </row>
    <row r="1097" spans="1:85" ht="19.5" x14ac:dyDescent="0.4">
      <c r="A1097" s="117"/>
      <c r="B1097" s="123"/>
      <c r="C1097" s="123"/>
      <c r="D1097" s="123"/>
      <c r="AT1097" s="127"/>
      <c r="AU1097" s="29"/>
      <c r="BE1097" s="25">
        <v>45686</v>
      </c>
      <c r="BF1097" s="15" t="s">
        <v>146</v>
      </c>
      <c r="BK1097" s="117"/>
      <c r="BL1097" s="123"/>
      <c r="BM1097" s="123"/>
      <c r="BN1097" s="123"/>
      <c r="BS1097" s="115"/>
      <c r="BT1097" s="115"/>
      <c r="BU1097" s="115"/>
      <c r="BV1097" s="115"/>
      <c r="BW1097" s="115"/>
      <c r="BX1097" s="115"/>
      <c r="BY1097" s="115"/>
      <c r="BZ1097" s="115"/>
      <c r="CA1097" s="115"/>
      <c r="CB1097" s="115"/>
      <c r="CC1097" s="25">
        <v>45265</v>
      </c>
      <c r="CD1097" s="25" t="s">
        <v>162</v>
      </c>
      <c r="CG1097" s="114"/>
    </row>
    <row r="1098" spans="1:85" ht="19.5" x14ac:dyDescent="0.4">
      <c r="A1098" s="117"/>
      <c r="B1098" s="123"/>
      <c r="C1098" s="123"/>
      <c r="D1098" s="123"/>
      <c r="AT1098" s="127"/>
      <c r="AU1098" s="29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25">
        <v>45686</v>
      </c>
      <c r="BF1098" s="15" t="s">
        <v>146</v>
      </c>
      <c r="BK1098" s="117"/>
      <c r="BL1098" s="123"/>
      <c r="BM1098" s="123"/>
      <c r="BN1098" s="123"/>
      <c r="BS1098" s="115"/>
      <c r="BT1098" s="115"/>
      <c r="BU1098" s="115"/>
      <c r="BV1098" s="115"/>
      <c r="BW1098" s="115"/>
      <c r="BX1098" s="115"/>
      <c r="BY1098" s="115"/>
      <c r="BZ1098" s="115"/>
      <c r="CA1098" s="115"/>
      <c r="CB1098" s="115"/>
      <c r="CC1098" s="25"/>
      <c r="CD1098" s="25"/>
      <c r="CG1098" s="114"/>
    </row>
    <row r="1099" spans="1:85" ht="19.5" x14ac:dyDescent="0.4">
      <c r="A1099" s="117"/>
      <c r="B1099" s="123"/>
      <c r="C1099" s="123"/>
      <c r="D1099" s="123"/>
      <c r="AT1099" s="128"/>
      <c r="AU1099" s="29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25"/>
      <c r="BF1099" s="13"/>
      <c r="BK1099" s="117"/>
      <c r="BL1099" s="123"/>
      <c r="BM1099" s="123"/>
      <c r="BN1099" s="123"/>
      <c r="BS1099" s="115"/>
      <c r="BT1099" s="115"/>
      <c r="BU1099" s="115"/>
      <c r="BV1099" s="115"/>
      <c r="BW1099" s="115"/>
      <c r="BX1099" s="115"/>
      <c r="BY1099" s="115"/>
      <c r="BZ1099" s="115"/>
      <c r="CA1099" s="115"/>
      <c r="CB1099" s="115"/>
      <c r="CC1099" s="25"/>
      <c r="CD1099" s="25"/>
      <c r="CG1099" s="114"/>
    </row>
    <row r="1100" spans="1:85" ht="19.5" x14ac:dyDescent="0.4">
      <c r="A1100" s="117"/>
      <c r="B1100" s="123"/>
      <c r="C1100" s="123"/>
      <c r="D1100" s="123"/>
      <c r="AT1100" s="127"/>
      <c r="AU1100" s="29"/>
      <c r="BE1100" s="25">
        <v>45686</v>
      </c>
      <c r="BF1100" s="13" t="s">
        <v>146</v>
      </c>
      <c r="BK1100" s="117"/>
      <c r="BL1100" s="123"/>
      <c r="BM1100" s="123"/>
      <c r="BN1100" s="123"/>
      <c r="BS1100" s="115"/>
      <c r="BT1100" s="115"/>
      <c r="BU1100" s="115"/>
      <c r="BV1100" s="115"/>
      <c r="BW1100" s="115"/>
      <c r="BX1100" s="115"/>
      <c r="BY1100" s="115"/>
      <c r="BZ1100" s="115"/>
      <c r="CA1100" s="115"/>
      <c r="CB1100" s="115"/>
      <c r="CC1100" s="25">
        <v>45265</v>
      </c>
      <c r="CD1100" s="13" t="s">
        <v>162</v>
      </c>
      <c r="CG1100" s="114"/>
    </row>
    <row r="1101" spans="1:85" ht="19.5" x14ac:dyDescent="0.4">
      <c r="A1101" s="117"/>
      <c r="B1101" s="123"/>
      <c r="C1101" s="123"/>
      <c r="D1101" s="123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27"/>
      <c r="AU1101" s="29"/>
      <c r="BE1101" s="25"/>
      <c r="BF1101" s="13"/>
      <c r="BK1101" s="117"/>
      <c r="BL1101" s="123"/>
      <c r="BM1101" s="123"/>
      <c r="BN1101" s="123"/>
      <c r="BS1101" s="115"/>
      <c r="BT1101" s="115"/>
      <c r="BU1101" s="115"/>
      <c r="BV1101" s="115"/>
      <c r="BW1101" s="115"/>
      <c r="BX1101" s="115"/>
      <c r="BY1101" s="115"/>
      <c r="BZ1101" s="115"/>
      <c r="CA1101" s="115"/>
      <c r="CB1101" s="115"/>
      <c r="CC1101" s="25"/>
      <c r="CD1101" s="13"/>
      <c r="CG1101" s="114"/>
    </row>
    <row r="1102" spans="1:85" ht="19.5" x14ac:dyDescent="0.4">
      <c r="A1102" s="117"/>
      <c r="B1102" s="123"/>
      <c r="C1102" s="123"/>
      <c r="D1102" s="123"/>
      <c r="AT1102" s="127"/>
      <c r="AU1102" s="29"/>
      <c r="BA1102" s="115"/>
      <c r="BB1102" s="115"/>
      <c r="BC1102" s="115"/>
      <c r="BD1102" s="115"/>
      <c r="BE1102" s="25">
        <v>45686</v>
      </c>
      <c r="BF1102" s="15" t="s">
        <v>146</v>
      </c>
      <c r="BK1102" s="117"/>
      <c r="BL1102" s="123"/>
      <c r="BM1102" s="123"/>
      <c r="BN1102" s="123"/>
      <c r="BS1102" s="115"/>
      <c r="BT1102" s="115"/>
      <c r="BU1102" s="115"/>
      <c r="BV1102" s="115"/>
      <c r="BW1102" s="115"/>
      <c r="BX1102" s="115"/>
      <c r="BY1102" s="115"/>
      <c r="BZ1102" s="115"/>
      <c r="CA1102" s="115"/>
      <c r="CB1102" s="115"/>
      <c r="CC1102" s="25"/>
      <c r="CD1102" s="13"/>
      <c r="CG1102" s="114"/>
    </row>
    <row r="1103" spans="1:85" ht="19.5" x14ac:dyDescent="0.4">
      <c r="A1103" s="117"/>
      <c r="B1103" s="123"/>
      <c r="C1103" s="123"/>
      <c r="D1103" s="123"/>
      <c r="AT1103" s="127"/>
      <c r="AU1103" s="29"/>
      <c r="BE1103" s="25">
        <v>45686</v>
      </c>
      <c r="BF1103" s="15" t="s">
        <v>147</v>
      </c>
      <c r="BK1103" s="117"/>
      <c r="BL1103" s="123"/>
      <c r="BM1103" s="123"/>
      <c r="BN1103" s="123"/>
      <c r="BS1103" s="115"/>
      <c r="BT1103" s="115"/>
      <c r="BU1103" s="115"/>
      <c r="BV1103" s="115"/>
      <c r="BW1103" s="115"/>
      <c r="BX1103" s="115"/>
      <c r="BY1103" s="115"/>
      <c r="BZ1103" s="115"/>
      <c r="CA1103" s="115"/>
      <c r="CB1103" s="115"/>
      <c r="CC1103" s="25">
        <v>45265</v>
      </c>
      <c r="CD1103" s="13" t="s">
        <v>162</v>
      </c>
      <c r="CG1103" s="114"/>
    </row>
    <row r="1104" spans="1:85" ht="19.5" x14ac:dyDescent="0.4">
      <c r="A1104" s="117"/>
      <c r="B1104" s="123"/>
      <c r="C1104" s="123"/>
      <c r="D1104" s="123"/>
      <c r="AT1104" s="127"/>
      <c r="AU1104" s="29"/>
      <c r="BB1104" s="115"/>
      <c r="BC1104" s="115"/>
      <c r="BD1104" s="115"/>
      <c r="BE1104" s="25">
        <v>45686</v>
      </c>
      <c r="BF1104" s="15" t="s">
        <v>147</v>
      </c>
      <c r="BK1104" s="117"/>
      <c r="BL1104" s="123"/>
      <c r="BM1104" s="123"/>
      <c r="BN1104" s="123"/>
      <c r="BS1104" s="115"/>
      <c r="BT1104" s="115"/>
      <c r="BU1104" s="115"/>
      <c r="BV1104" s="115"/>
      <c r="BW1104" s="115"/>
      <c r="BX1104" s="115"/>
      <c r="BY1104" s="115"/>
      <c r="BZ1104" s="115"/>
      <c r="CA1104" s="115"/>
      <c r="CB1104" s="115"/>
      <c r="CC1104" s="25"/>
      <c r="CD1104" s="13"/>
      <c r="CG1104" s="114"/>
    </row>
    <row r="1105" spans="1:85" ht="19.5" x14ac:dyDescent="0.4">
      <c r="A1105" s="117"/>
      <c r="B1105" s="123"/>
      <c r="C1105" s="123"/>
      <c r="D1105" s="123"/>
      <c r="AT1105" s="127"/>
      <c r="AU1105" s="29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25">
        <v>45686</v>
      </c>
      <c r="BF1105" s="13" t="s">
        <v>146</v>
      </c>
      <c r="BK1105" s="117"/>
      <c r="BL1105" s="123"/>
      <c r="BM1105" s="123"/>
      <c r="BN1105" s="123"/>
      <c r="BS1105" s="115"/>
      <c r="BT1105" s="115"/>
      <c r="BU1105" s="115"/>
      <c r="BV1105" s="115"/>
      <c r="BW1105" s="115"/>
      <c r="BX1105" s="115"/>
      <c r="BY1105" s="115"/>
      <c r="BZ1105" s="115"/>
      <c r="CA1105" s="115"/>
      <c r="CB1105" s="115"/>
      <c r="CC1105" s="25"/>
      <c r="CD1105" s="13"/>
      <c r="CG1105" s="114"/>
    </row>
    <row r="1106" spans="1:85" ht="19.5" x14ac:dyDescent="0.4">
      <c r="A1106" s="117"/>
      <c r="B1106" s="123"/>
      <c r="C1106" s="123"/>
      <c r="D1106" s="123"/>
      <c r="AT1106" s="127"/>
      <c r="AU1106" s="29"/>
      <c r="BE1106" s="25">
        <v>45686</v>
      </c>
      <c r="BF1106" s="25" t="s">
        <v>146</v>
      </c>
      <c r="BK1106" s="117"/>
      <c r="BL1106" s="123"/>
      <c r="BM1106" s="123"/>
      <c r="BN1106" s="123"/>
      <c r="BS1106" s="115"/>
      <c r="BT1106" s="115"/>
      <c r="BU1106" s="115"/>
      <c r="BV1106" s="115"/>
      <c r="BW1106" s="115"/>
      <c r="BX1106" s="115"/>
      <c r="BY1106" s="115"/>
      <c r="BZ1106" s="115"/>
      <c r="CA1106" s="115"/>
      <c r="CB1106" s="115"/>
      <c r="CC1106" s="25">
        <v>45265</v>
      </c>
      <c r="CD1106" s="13" t="s">
        <v>163</v>
      </c>
      <c r="CG1106" s="114"/>
    </row>
    <row r="1107" spans="1:85" ht="19.5" x14ac:dyDescent="0.4">
      <c r="A1107" s="117"/>
      <c r="B1107" s="123"/>
      <c r="C1107" s="123"/>
      <c r="D1107" s="123"/>
      <c r="AT1107" s="127"/>
      <c r="AU1107" s="29"/>
      <c r="BE1107" s="25">
        <v>45686</v>
      </c>
      <c r="BF1107" s="25" t="s">
        <v>147</v>
      </c>
      <c r="BK1107" s="117"/>
      <c r="BL1107" s="123"/>
      <c r="BM1107" s="123"/>
      <c r="BN1107" s="123"/>
      <c r="BS1107" s="115"/>
      <c r="BT1107" s="115"/>
      <c r="BU1107" s="115"/>
      <c r="BV1107" s="115"/>
      <c r="BW1107" s="115"/>
      <c r="BX1107" s="115"/>
      <c r="BY1107" s="115"/>
      <c r="BZ1107" s="115"/>
      <c r="CA1107" s="115"/>
      <c r="CB1107" s="115" t="s">
        <v>155</v>
      </c>
      <c r="CC1107" s="13">
        <f>SUBTOTAL(3,CC1096:CC1106)</f>
        <v>5</v>
      </c>
      <c r="CD1107" s="13">
        <f>SUBTOTAL(3,CD1096:CD1106)</f>
        <v>5</v>
      </c>
      <c r="CG1107" s="114"/>
    </row>
    <row r="1108" spans="1:85" ht="19.5" x14ac:dyDescent="0.4">
      <c r="A1108" s="117"/>
      <c r="B1108" s="123"/>
      <c r="C1108" s="123"/>
      <c r="D1108" s="123"/>
      <c r="AT1108" s="127"/>
      <c r="AU1108" s="29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25">
        <v>45686</v>
      </c>
      <c r="BF1108" s="25" t="s">
        <v>148</v>
      </c>
      <c r="BK1108" s="117"/>
      <c r="BL1108" s="123"/>
      <c r="BM1108" s="123"/>
      <c r="BN1108" s="123"/>
      <c r="BS1108" s="115"/>
      <c r="BT1108" s="115"/>
      <c r="BU1108" s="115"/>
      <c r="BV1108" s="115"/>
      <c r="BW1108" s="115"/>
      <c r="BX1108" s="115"/>
      <c r="BY1108" s="115"/>
      <c r="BZ1108" s="115"/>
      <c r="CA1108" s="115"/>
      <c r="CB1108" s="115"/>
      <c r="CC1108" s="13"/>
      <c r="CD1108" s="13"/>
      <c r="CG1108" s="114"/>
    </row>
    <row r="1109" spans="1:85" ht="19.5" x14ac:dyDescent="0.4">
      <c r="A1109" s="117"/>
      <c r="B1109" s="123"/>
      <c r="C1109" s="123"/>
      <c r="D1109" s="123"/>
      <c r="AT1109" s="127"/>
      <c r="AU1109" s="29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25">
        <v>45686</v>
      </c>
      <c r="BF1109" s="13" t="s">
        <v>146</v>
      </c>
      <c r="BK1109" s="117"/>
      <c r="BL1109" s="123"/>
      <c r="BM1109" s="123"/>
      <c r="BN1109" s="123"/>
      <c r="BS1109" s="115"/>
      <c r="BT1109" s="115"/>
      <c r="BU1109" s="115"/>
      <c r="BV1109" s="115"/>
      <c r="BW1109" s="115"/>
      <c r="BX1109" s="115"/>
      <c r="BY1109" s="115"/>
      <c r="BZ1109" s="115"/>
      <c r="CA1109" s="115"/>
      <c r="CB1109" s="115"/>
      <c r="CC1109" s="13"/>
      <c r="CD1109" s="13"/>
      <c r="CG1109" s="114"/>
    </row>
    <row r="1110" spans="1:85" ht="19.5" x14ac:dyDescent="0.4">
      <c r="A1110" s="117"/>
      <c r="B1110" s="123"/>
      <c r="C1110" s="123"/>
      <c r="D1110" s="123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27"/>
      <c r="AU1110" s="29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25">
        <v>45686</v>
      </c>
      <c r="BF1110" s="13" t="s">
        <v>146</v>
      </c>
      <c r="BK1110" s="117"/>
      <c r="BL1110" s="123"/>
      <c r="BM1110" s="123"/>
      <c r="BN1110" s="123"/>
      <c r="BS1110" s="115"/>
      <c r="BT1110" s="115"/>
      <c r="BU1110" s="115"/>
      <c r="BV1110" s="115"/>
      <c r="BW1110" s="115"/>
      <c r="BX1110" s="115"/>
      <c r="BY1110" s="115"/>
      <c r="BZ1110" s="115"/>
      <c r="CA1110" s="115"/>
      <c r="CB1110" s="115"/>
      <c r="CC1110" s="13"/>
      <c r="CD1110" s="13"/>
      <c r="CG1110" s="114"/>
    </row>
    <row r="1111" spans="1:85" ht="19.5" x14ac:dyDescent="0.4">
      <c r="A1111" s="117"/>
      <c r="B1111" s="123"/>
      <c r="C1111" s="123"/>
      <c r="D1111" s="123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27"/>
      <c r="AU1111" s="29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25">
        <v>45686</v>
      </c>
      <c r="BF1111" s="15" t="s">
        <v>148</v>
      </c>
      <c r="BK1111" s="117"/>
      <c r="BL1111" s="123"/>
      <c r="BM1111" s="123"/>
      <c r="BN1111" s="123"/>
      <c r="BS1111" s="115"/>
      <c r="BT1111" s="115"/>
      <c r="BU1111" s="115"/>
      <c r="BV1111" s="115"/>
      <c r="BW1111" s="115"/>
      <c r="BX1111" s="115"/>
      <c r="BY1111" s="115"/>
      <c r="BZ1111" s="115"/>
      <c r="CA1111" s="115"/>
      <c r="CB1111" s="115"/>
      <c r="CC1111" s="13"/>
      <c r="CD1111" s="13"/>
      <c r="CG1111" s="114"/>
    </row>
    <row r="1112" spans="1:85" ht="19.5" x14ac:dyDescent="0.4">
      <c r="A1112" s="117"/>
      <c r="B1112" s="123"/>
      <c r="C1112" s="123"/>
      <c r="D1112" s="123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27"/>
      <c r="AU1112" s="29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25">
        <v>45686</v>
      </c>
      <c r="BF1112" s="15" t="s">
        <v>148</v>
      </c>
      <c r="BK1112" s="117"/>
      <c r="BL1112" s="123"/>
      <c r="BM1112" s="123"/>
      <c r="BN1112" s="123"/>
      <c r="BS1112" s="115"/>
      <c r="BT1112" s="115"/>
      <c r="BU1112" s="115"/>
      <c r="BV1112" s="115"/>
      <c r="BW1112" s="115"/>
      <c r="BX1112" s="115"/>
      <c r="BY1112" s="115"/>
      <c r="BZ1112" s="115"/>
      <c r="CA1112" s="115"/>
      <c r="CB1112" s="115"/>
      <c r="CC1112" s="13"/>
      <c r="CD1112" s="13"/>
      <c r="CG1112" s="114"/>
    </row>
    <row r="1113" spans="1:85" ht="19.5" x14ac:dyDescent="0.4">
      <c r="A1113" s="117"/>
      <c r="B1113" s="123"/>
      <c r="C1113" s="123"/>
      <c r="D1113" s="123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27"/>
      <c r="AU1113" s="29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25">
        <v>45686</v>
      </c>
      <c r="BF1113" s="15" t="s">
        <v>148</v>
      </c>
      <c r="BK1113" s="117"/>
      <c r="BL1113" s="123"/>
      <c r="BM1113" s="123"/>
      <c r="BN1113" s="123"/>
      <c r="BS1113" s="115"/>
      <c r="BT1113" s="115"/>
      <c r="BU1113" s="115"/>
      <c r="BV1113" s="115"/>
      <c r="BW1113" s="115"/>
      <c r="BX1113" s="115"/>
      <c r="BY1113" s="115"/>
      <c r="BZ1113" s="115"/>
      <c r="CA1113" s="115"/>
      <c r="CB1113" s="115"/>
      <c r="CC1113" s="13"/>
      <c r="CD1113" s="13"/>
      <c r="CG1113" s="114"/>
    </row>
    <row r="1114" spans="1:85" ht="19.5" x14ac:dyDescent="0.4">
      <c r="A1114" s="117"/>
      <c r="B1114" s="123"/>
      <c r="C1114" s="123"/>
      <c r="D1114" s="123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27"/>
      <c r="AU1114" s="29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25">
        <v>45686</v>
      </c>
      <c r="BF1114" s="15" t="s">
        <v>146</v>
      </c>
      <c r="BK1114" s="117"/>
      <c r="BL1114" s="123"/>
      <c r="BM1114" s="123"/>
      <c r="BN1114" s="123"/>
      <c r="BS1114" s="115"/>
      <c r="BT1114" s="115"/>
      <c r="BU1114" s="115"/>
      <c r="BV1114" s="115"/>
      <c r="BW1114" s="115"/>
      <c r="BX1114" s="115"/>
      <c r="BY1114" s="115"/>
      <c r="BZ1114" s="115"/>
      <c r="CA1114" s="115"/>
      <c r="CB1114" s="115"/>
      <c r="CC1114" s="13"/>
      <c r="CD1114" s="13"/>
      <c r="CG1114" s="114"/>
    </row>
    <row r="1115" spans="1:85" ht="19.5" x14ac:dyDescent="0.4">
      <c r="A1115" s="117"/>
      <c r="B1115" s="123"/>
      <c r="C1115" s="123"/>
      <c r="D1115" s="123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27"/>
      <c r="AU1115" s="29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25">
        <v>45686</v>
      </c>
      <c r="BF1115" s="15" t="s">
        <v>148</v>
      </c>
      <c r="BK1115" s="117"/>
      <c r="BL1115" s="123"/>
      <c r="BM1115" s="123"/>
      <c r="BN1115" s="123"/>
      <c r="BS1115" s="115"/>
      <c r="BT1115" s="115"/>
      <c r="BU1115" s="115"/>
      <c r="BV1115" s="115"/>
      <c r="BW1115" s="115"/>
      <c r="BX1115" s="115"/>
      <c r="BY1115" s="115"/>
      <c r="BZ1115" s="115"/>
      <c r="CA1115" s="115"/>
      <c r="CB1115" s="115"/>
      <c r="CC1115" s="13"/>
      <c r="CD1115" s="13"/>
      <c r="CG1115" s="114"/>
    </row>
    <row r="1116" spans="1:85" ht="19.5" x14ac:dyDescent="0.4">
      <c r="A1116" s="117"/>
      <c r="B1116" s="123"/>
      <c r="C1116" s="123"/>
      <c r="D1116" s="123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27"/>
      <c r="AU1116" s="29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25">
        <v>45689</v>
      </c>
      <c r="BF1116" s="15" t="s">
        <v>147</v>
      </c>
      <c r="BK1116" s="117"/>
      <c r="BL1116" s="123"/>
      <c r="BM1116" s="123"/>
      <c r="BN1116" s="123"/>
      <c r="BS1116" s="115"/>
      <c r="BT1116" s="115"/>
      <c r="BU1116" s="115"/>
      <c r="BV1116" s="115"/>
      <c r="BW1116" s="115"/>
      <c r="BX1116" s="115"/>
      <c r="BY1116" s="115"/>
      <c r="BZ1116" s="115"/>
      <c r="CA1116" s="115"/>
      <c r="CB1116" s="115"/>
      <c r="CC1116" s="13"/>
      <c r="CD1116" s="13"/>
      <c r="CG1116" s="114"/>
    </row>
    <row r="1117" spans="1:85" ht="19.5" x14ac:dyDescent="0.4">
      <c r="A1117" s="117"/>
      <c r="B1117" s="123"/>
      <c r="C1117" s="123"/>
      <c r="D1117" s="123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27"/>
      <c r="AU1117" s="29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25"/>
      <c r="BF1117" s="15"/>
      <c r="BK1117" s="117"/>
      <c r="BL1117" s="123"/>
      <c r="BM1117" s="123"/>
      <c r="BN1117" s="123"/>
      <c r="BS1117" s="115"/>
      <c r="BT1117" s="115"/>
      <c r="BU1117" s="115"/>
      <c r="BV1117" s="115"/>
      <c r="BW1117" s="115"/>
      <c r="BX1117" s="115"/>
      <c r="BY1117" s="115"/>
      <c r="BZ1117" s="115"/>
      <c r="CA1117" s="115"/>
      <c r="CB1117" s="115"/>
      <c r="CC1117" s="13"/>
      <c r="CD1117" s="13"/>
      <c r="CG1117" s="114"/>
    </row>
    <row r="1118" spans="1:85" ht="19.5" x14ac:dyDescent="0.4">
      <c r="A1118" s="117"/>
      <c r="B1118" s="123"/>
      <c r="C1118" s="123"/>
      <c r="D1118" s="123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27"/>
      <c r="AU1118" s="29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25">
        <v>45689</v>
      </c>
      <c r="BF1118" s="15" t="s">
        <v>147</v>
      </c>
      <c r="BK1118" s="117"/>
      <c r="BL1118" s="123"/>
      <c r="BM1118" s="123"/>
      <c r="BN1118" s="123"/>
      <c r="BS1118" s="115"/>
      <c r="BT1118" s="115"/>
      <c r="BU1118" s="115"/>
      <c r="BV1118" s="115"/>
      <c r="BW1118" s="115"/>
      <c r="BX1118" s="115"/>
      <c r="BY1118" s="115"/>
      <c r="BZ1118" s="115"/>
      <c r="CA1118" s="115"/>
      <c r="CB1118" s="115"/>
      <c r="CC1118" s="13"/>
      <c r="CD1118" s="13"/>
      <c r="CG1118" s="114"/>
    </row>
    <row r="1119" spans="1:85" ht="19.5" x14ac:dyDescent="0.4">
      <c r="A1119" s="117"/>
      <c r="B1119" s="123"/>
      <c r="C1119" s="123"/>
      <c r="D1119" s="123"/>
      <c r="AT1119" s="127"/>
      <c r="AU1119" s="29"/>
      <c r="BE1119" s="25">
        <v>45689</v>
      </c>
      <c r="BF1119" s="15" t="s">
        <v>146</v>
      </c>
      <c r="BK1119" s="117"/>
      <c r="BL1119" s="123"/>
      <c r="BM1119" s="123"/>
      <c r="BN1119" s="123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15"/>
      <c r="CB1119" s="115"/>
      <c r="CC1119" s="25">
        <v>45266</v>
      </c>
      <c r="CD1119" s="25" t="s">
        <v>162</v>
      </c>
      <c r="CG1119" s="114"/>
    </row>
    <row r="1120" spans="1:85" ht="19.5" x14ac:dyDescent="0.4">
      <c r="A1120" s="117"/>
      <c r="B1120" s="123"/>
      <c r="C1120" s="123"/>
      <c r="D1120" s="123"/>
      <c r="AT1120" s="128"/>
      <c r="AU1120" s="29"/>
      <c r="BE1120" s="25"/>
      <c r="BF1120" s="15"/>
      <c r="BK1120" s="117"/>
      <c r="BL1120" s="123"/>
      <c r="BM1120" s="123"/>
      <c r="BN1120" s="123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15"/>
      <c r="CB1120" s="115"/>
      <c r="CC1120" s="25"/>
      <c r="CD1120" s="25"/>
      <c r="CG1120" s="114"/>
    </row>
    <row r="1121" spans="1:85" ht="19.5" x14ac:dyDescent="0.4">
      <c r="A1121" s="117"/>
      <c r="B1121" s="123"/>
      <c r="C1121" s="123"/>
      <c r="D1121" s="123"/>
      <c r="AT1121" s="127"/>
      <c r="AU1121" s="29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25">
        <v>45689</v>
      </c>
      <c r="BF1121" s="15" t="s">
        <v>146</v>
      </c>
      <c r="BK1121" s="117"/>
      <c r="BL1121" s="123"/>
      <c r="BM1121" s="123"/>
      <c r="BN1121" s="123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15"/>
      <c r="CB1121" s="115"/>
      <c r="CC1121" s="25"/>
      <c r="CD1121" s="25"/>
      <c r="CG1121" s="114"/>
    </row>
    <row r="1122" spans="1:85" ht="19.5" x14ac:dyDescent="0.4">
      <c r="A1122" s="117"/>
      <c r="B1122" s="123"/>
      <c r="C1122" s="123"/>
      <c r="D1122" s="123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27"/>
      <c r="AU1122" s="29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25"/>
      <c r="BF1122" s="15"/>
      <c r="BK1122" s="117"/>
      <c r="BL1122" s="123"/>
      <c r="BM1122" s="123"/>
      <c r="BN1122" s="123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15"/>
      <c r="CB1122" s="115"/>
      <c r="CC1122" s="25"/>
      <c r="CD1122" s="25"/>
      <c r="CG1122" s="114"/>
    </row>
    <row r="1123" spans="1:85" ht="19.5" x14ac:dyDescent="0.4">
      <c r="A1123" s="117"/>
      <c r="B1123" s="123"/>
      <c r="C1123" s="123"/>
      <c r="D1123" s="123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27"/>
      <c r="AU1123" s="29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25"/>
      <c r="BF1123" s="15"/>
      <c r="BK1123" s="117"/>
      <c r="BL1123" s="123"/>
      <c r="BM1123" s="123"/>
      <c r="BN1123" s="123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115"/>
      <c r="CB1123" s="115"/>
      <c r="CC1123" s="25"/>
      <c r="CD1123" s="25"/>
      <c r="CG1123" s="114"/>
    </row>
    <row r="1124" spans="1:85" ht="19.5" x14ac:dyDescent="0.4">
      <c r="A1124" s="117"/>
      <c r="B1124" s="123"/>
      <c r="C1124" s="123"/>
      <c r="D1124" s="123"/>
      <c r="AT1124" s="127"/>
      <c r="AU1124" s="29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25">
        <v>45690</v>
      </c>
      <c r="BF1124" s="15" t="s">
        <v>146</v>
      </c>
      <c r="BK1124" s="117"/>
      <c r="BL1124" s="123"/>
      <c r="BM1124" s="123"/>
      <c r="BN1124" s="123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115"/>
      <c r="CB1124" s="115"/>
      <c r="CC1124" s="25"/>
      <c r="CD1124" s="25"/>
      <c r="CG1124" s="114"/>
    </row>
    <row r="1125" spans="1:85" ht="19.5" x14ac:dyDescent="0.4">
      <c r="A1125" s="117"/>
      <c r="B1125" s="123"/>
      <c r="C1125" s="123"/>
      <c r="D1125" s="123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27"/>
      <c r="AU1125" s="29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25"/>
      <c r="BF1125" s="15"/>
      <c r="BK1125" s="117"/>
      <c r="BL1125" s="123"/>
      <c r="BM1125" s="123"/>
      <c r="BN1125" s="123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115"/>
      <c r="CB1125" s="115"/>
      <c r="CC1125" s="25"/>
      <c r="CD1125" s="25"/>
      <c r="CG1125" s="114"/>
    </row>
    <row r="1126" spans="1:85" ht="19.5" x14ac:dyDescent="0.4">
      <c r="A1126" s="117"/>
      <c r="B1126" s="123"/>
      <c r="C1126" s="123"/>
      <c r="D1126" s="123"/>
      <c r="AT1126" s="127"/>
      <c r="AU1126" s="29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25">
        <v>45691</v>
      </c>
      <c r="BF1126" s="15" t="s">
        <v>146</v>
      </c>
      <c r="BK1126" s="117"/>
      <c r="BL1126" s="123"/>
      <c r="BM1126" s="123"/>
      <c r="BN1126" s="123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115"/>
      <c r="CB1126" s="115"/>
      <c r="CC1126" s="25"/>
      <c r="CD1126" s="25"/>
      <c r="CG1126" s="114"/>
    </row>
    <row r="1127" spans="1:85" ht="19.5" x14ac:dyDescent="0.4">
      <c r="A1127" s="117"/>
      <c r="B1127" s="123"/>
      <c r="C1127" s="123"/>
      <c r="D1127" s="123"/>
      <c r="AT1127" s="127"/>
      <c r="AU1127" s="29"/>
      <c r="BE1127" s="25">
        <v>45691</v>
      </c>
      <c r="BF1127" s="15" t="s">
        <v>146</v>
      </c>
      <c r="BK1127" s="117"/>
      <c r="BL1127" s="123"/>
      <c r="BM1127" s="123"/>
      <c r="BN1127" s="123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115"/>
      <c r="CB1127" s="115" t="s">
        <v>156</v>
      </c>
      <c r="CC1127" s="13">
        <f>SUBTOTAL(3,CC1119:CC1119)</f>
        <v>1</v>
      </c>
      <c r="CD1127" s="13">
        <f>SUBTOTAL(3,CD1119:CD1119)</f>
        <v>1</v>
      </c>
      <c r="CG1127" s="114"/>
    </row>
    <row r="1128" spans="1:85" ht="19.5" x14ac:dyDescent="0.4">
      <c r="A1128" s="117"/>
      <c r="B1128" s="123"/>
      <c r="C1128" s="123"/>
      <c r="D1128" s="123"/>
      <c r="AT1128" s="127"/>
      <c r="AU1128" s="29"/>
      <c r="BA1128" s="115"/>
      <c r="BB1128" s="115"/>
      <c r="BC1128" s="115"/>
      <c r="BD1128" s="115"/>
      <c r="BE1128" s="25">
        <v>45691</v>
      </c>
      <c r="BF1128" s="15" t="s">
        <v>146</v>
      </c>
      <c r="BK1128" s="117"/>
      <c r="BL1128" s="123"/>
      <c r="BM1128" s="123"/>
      <c r="BN1128" s="123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/>
      <c r="CA1128" s="115"/>
      <c r="CB1128" s="115"/>
      <c r="CC1128" s="13"/>
      <c r="CD1128" s="13"/>
      <c r="CG1128" s="114"/>
    </row>
    <row r="1129" spans="1:85" ht="19.5" x14ac:dyDescent="0.4">
      <c r="A1129" s="117"/>
      <c r="B1129" s="123"/>
      <c r="C1129" s="123"/>
      <c r="D1129" s="123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27"/>
      <c r="AU1129" s="29"/>
      <c r="BA1129" s="115"/>
      <c r="BB1129" s="115"/>
      <c r="BC1129" s="115"/>
      <c r="BD1129" s="115"/>
      <c r="BE1129" s="25"/>
      <c r="BF1129" s="15"/>
      <c r="BK1129" s="117"/>
      <c r="BL1129" s="123"/>
      <c r="BM1129" s="123"/>
      <c r="BN1129" s="123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15"/>
      <c r="CB1129" s="115"/>
      <c r="CC1129" s="13"/>
      <c r="CD1129" s="13"/>
      <c r="CG1129" s="114"/>
    </row>
    <row r="1130" spans="1:85" ht="19.5" x14ac:dyDescent="0.4">
      <c r="A1130" s="117"/>
      <c r="B1130" s="123"/>
      <c r="C1130" s="123"/>
      <c r="D1130" s="123"/>
      <c r="AT1130" s="127"/>
      <c r="AU1130" s="29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25">
        <v>45691</v>
      </c>
      <c r="BF1130" s="15" t="s">
        <v>146</v>
      </c>
      <c r="BK1130" s="117"/>
      <c r="BL1130" s="123"/>
      <c r="BM1130" s="123"/>
      <c r="BN1130" s="123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15"/>
      <c r="CB1130" s="115"/>
      <c r="CC1130" s="13"/>
      <c r="CD1130" s="13"/>
      <c r="CG1130" s="114"/>
    </row>
    <row r="1131" spans="1:85" ht="19.5" x14ac:dyDescent="0.4">
      <c r="A1131" s="117"/>
      <c r="B1131" s="123"/>
      <c r="C1131" s="123"/>
      <c r="D1131" s="123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27"/>
      <c r="AU1131" s="29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25"/>
      <c r="BF1131" s="15"/>
      <c r="BK1131" s="117"/>
      <c r="BL1131" s="123"/>
      <c r="BM1131" s="123"/>
      <c r="BN1131" s="123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15"/>
      <c r="CB1131" s="115"/>
      <c r="CC1131" s="13"/>
      <c r="CD1131" s="13"/>
      <c r="CG1131" s="114"/>
    </row>
    <row r="1132" spans="1:85" ht="19.5" x14ac:dyDescent="0.4">
      <c r="A1132" s="117"/>
      <c r="B1132" s="123"/>
      <c r="C1132" s="123"/>
      <c r="D1132" s="123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27"/>
      <c r="AU1132" s="29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25"/>
      <c r="BF1132" s="15"/>
      <c r="BK1132" s="117"/>
      <c r="BL1132" s="123"/>
      <c r="BM1132" s="123"/>
      <c r="BN1132" s="123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115"/>
      <c r="CB1132" s="115"/>
      <c r="CC1132" s="13"/>
      <c r="CD1132" s="13"/>
      <c r="CG1132" s="114"/>
    </row>
    <row r="1133" spans="1:85" ht="19.5" x14ac:dyDescent="0.4">
      <c r="A1133" s="117"/>
      <c r="B1133" s="123"/>
      <c r="C1133" s="123"/>
      <c r="D1133" s="123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27"/>
      <c r="AU1133" s="29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25"/>
      <c r="BF1133" s="15"/>
      <c r="BK1133" s="117"/>
      <c r="BL1133" s="123"/>
      <c r="BM1133" s="123"/>
      <c r="BN1133" s="123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115"/>
      <c r="CB1133" s="115"/>
      <c r="CC1133" s="13"/>
      <c r="CD1133" s="13"/>
      <c r="CG1133" s="114"/>
    </row>
    <row r="1134" spans="1:85" ht="19.5" x14ac:dyDescent="0.4">
      <c r="A1134" s="117"/>
      <c r="B1134" s="123"/>
      <c r="C1134" s="123"/>
      <c r="D1134" s="123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28"/>
      <c r="AU1134" s="29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25"/>
      <c r="BF1134" s="15"/>
      <c r="BK1134" s="117"/>
      <c r="BL1134" s="123"/>
      <c r="BM1134" s="123"/>
      <c r="BN1134" s="123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115"/>
      <c r="CB1134" s="115"/>
      <c r="CC1134" s="13"/>
      <c r="CD1134" s="13"/>
      <c r="CG1134" s="114"/>
    </row>
    <row r="1135" spans="1:85" ht="19.5" x14ac:dyDescent="0.4">
      <c r="A1135" s="117"/>
      <c r="B1135" s="123"/>
      <c r="C1135" s="123"/>
      <c r="D1135" s="123"/>
      <c r="AT1135" s="127"/>
      <c r="AU1135" s="29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25">
        <v>45692</v>
      </c>
      <c r="BF1135" s="15" t="s">
        <v>146</v>
      </c>
      <c r="BK1135" s="117"/>
      <c r="BL1135" s="123"/>
      <c r="BM1135" s="123"/>
      <c r="BN1135" s="123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115"/>
      <c r="CB1135" s="115"/>
      <c r="CC1135" s="13"/>
      <c r="CD1135" s="13"/>
      <c r="CG1135" s="114"/>
    </row>
    <row r="1136" spans="1:85" ht="19.5" x14ac:dyDescent="0.4">
      <c r="A1136" s="117"/>
      <c r="B1136" s="123"/>
      <c r="C1136" s="123"/>
      <c r="D1136" s="123"/>
      <c r="AT1136" s="128"/>
      <c r="AU1136" s="29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25"/>
      <c r="BF1136" s="15"/>
      <c r="BK1136" s="117"/>
      <c r="BL1136" s="123"/>
      <c r="BM1136" s="123"/>
      <c r="BN1136" s="123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115"/>
      <c r="CB1136" s="115"/>
      <c r="CC1136" s="13"/>
      <c r="CD1136" s="13"/>
      <c r="CG1136" s="114"/>
    </row>
    <row r="1137" spans="1:85" ht="19.5" x14ac:dyDescent="0.4">
      <c r="A1137" s="117"/>
      <c r="B1137" s="123"/>
      <c r="C1137" s="123"/>
      <c r="D1137" s="123"/>
      <c r="AT1137" s="127"/>
      <c r="AU1137" s="29"/>
      <c r="BE1137" s="25">
        <v>45692</v>
      </c>
      <c r="BF1137" s="15" t="s">
        <v>146</v>
      </c>
      <c r="BK1137" s="117"/>
      <c r="BL1137" s="123"/>
      <c r="BM1137" s="123"/>
      <c r="BN1137" s="123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115"/>
      <c r="CB1137" s="115"/>
      <c r="CC1137" s="25">
        <v>45267</v>
      </c>
      <c r="CD1137" s="13" t="s">
        <v>142</v>
      </c>
      <c r="CG1137" s="114"/>
    </row>
    <row r="1138" spans="1:85" ht="19.5" x14ac:dyDescent="0.4">
      <c r="A1138" s="117"/>
      <c r="B1138" s="123"/>
      <c r="C1138" s="123"/>
      <c r="D1138" s="123"/>
      <c r="AT1138" s="127"/>
      <c r="AU1138" s="29"/>
      <c r="BA1138" s="115"/>
      <c r="BB1138" s="115"/>
      <c r="BC1138" s="115"/>
      <c r="BD1138" s="115"/>
      <c r="BE1138" s="25">
        <v>45692</v>
      </c>
      <c r="BF1138" s="15" t="s">
        <v>146</v>
      </c>
      <c r="BK1138" s="117"/>
      <c r="BL1138" s="123"/>
      <c r="BM1138" s="123"/>
      <c r="BN1138" s="123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115"/>
      <c r="CB1138" s="115"/>
      <c r="CC1138" s="25"/>
      <c r="CD1138" s="13"/>
      <c r="CG1138" s="114"/>
    </row>
    <row r="1139" spans="1:85" ht="19.5" x14ac:dyDescent="0.4">
      <c r="A1139" s="117"/>
      <c r="B1139" s="123"/>
      <c r="C1139" s="123"/>
      <c r="D1139" s="123"/>
      <c r="AT1139" s="127"/>
      <c r="AU1139" s="29"/>
      <c r="AW1139" s="115"/>
      <c r="AX1139" s="115"/>
      <c r="AY1139" s="115"/>
      <c r="AZ1139" s="115"/>
      <c r="BA1139" s="115"/>
      <c r="BB1139" s="115"/>
      <c r="BC1139" s="115"/>
      <c r="BD1139" s="115"/>
      <c r="BE1139" s="25">
        <v>45692</v>
      </c>
      <c r="BF1139" s="15" t="s">
        <v>146</v>
      </c>
      <c r="BK1139" s="117"/>
      <c r="BL1139" s="123"/>
      <c r="BM1139" s="123"/>
      <c r="BN1139" s="123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115"/>
      <c r="CB1139" s="115"/>
      <c r="CC1139" s="25"/>
      <c r="CD1139" s="13"/>
      <c r="CG1139" s="114"/>
    </row>
    <row r="1140" spans="1:85" ht="19.5" x14ac:dyDescent="0.4">
      <c r="A1140" s="117"/>
      <c r="B1140" s="123"/>
      <c r="C1140" s="123"/>
      <c r="D1140" s="123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27"/>
      <c r="AU1140" s="29"/>
      <c r="AW1140" s="115"/>
      <c r="AX1140" s="115"/>
      <c r="AY1140" s="115"/>
      <c r="AZ1140" s="115"/>
      <c r="BA1140" s="115"/>
      <c r="BB1140" s="115"/>
      <c r="BC1140" s="115"/>
      <c r="BD1140" s="115"/>
      <c r="BE1140" s="25"/>
      <c r="BF1140" s="15"/>
      <c r="BK1140" s="117"/>
      <c r="BL1140" s="123"/>
      <c r="BM1140" s="123"/>
      <c r="BN1140" s="123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115"/>
      <c r="CB1140" s="115"/>
      <c r="CC1140" s="25"/>
      <c r="CD1140" s="13"/>
      <c r="CG1140" s="114"/>
    </row>
    <row r="1141" spans="1:85" ht="19.5" x14ac:dyDescent="0.4">
      <c r="A1141" s="117"/>
      <c r="B1141" s="123"/>
      <c r="C1141" s="123"/>
      <c r="D1141" s="123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28"/>
      <c r="AU1141" s="29"/>
      <c r="AW1141" s="115"/>
      <c r="AX1141" s="115"/>
      <c r="AY1141" s="115"/>
      <c r="AZ1141" s="115"/>
      <c r="BA1141" s="115"/>
      <c r="BB1141" s="115"/>
      <c r="BC1141" s="115"/>
      <c r="BD1141" s="115"/>
      <c r="BE1141" s="25"/>
      <c r="BF1141" s="15"/>
      <c r="BK1141" s="117"/>
      <c r="BL1141" s="123"/>
      <c r="BM1141" s="123"/>
      <c r="BN1141" s="123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115"/>
      <c r="CB1141" s="115"/>
      <c r="CC1141" s="25"/>
      <c r="CD1141" s="13"/>
      <c r="CG1141" s="114"/>
    </row>
    <row r="1142" spans="1:85" ht="19.5" x14ac:dyDescent="0.4">
      <c r="A1142" s="117"/>
      <c r="B1142" s="123"/>
      <c r="C1142" s="123"/>
      <c r="D1142" s="123"/>
      <c r="AT1142" s="127"/>
      <c r="AU1142" s="29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25">
        <v>45693</v>
      </c>
      <c r="BF1142" s="15" t="s">
        <v>146</v>
      </c>
      <c r="BK1142" s="117"/>
      <c r="BL1142" s="123"/>
      <c r="BM1142" s="123"/>
      <c r="BN1142" s="123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115"/>
      <c r="CB1142" s="115"/>
      <c r="CC1142" s="25"/>
      <c r="CD1142" s="13"/>
      <c r="CG1142" s="114"/>
    </row>
    <row r="1143" spans="1:85" ht="19.5" x14ac:dyDescent="0.4">
      <c r="A1143" s="117"/>
      <c r="B1143" s="123"/>
      <c r="C1143" s="123"/>
      <c r="D1143" s="123"/>
      <c r="AT1143" s="128"/>
      <c r="AU1143" s="29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25"/>
      <c r="BF1143" s="15"/>
      <c r="BK1143" s="117"/>
      <c r="BL1143" s="123"/>
      <c r="BM1143" s="123"/>
      <c r="BN1143" s="123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115"/>
      <c r="CB1143" s="115"/>
      <c r="CC1143" s="25"/>
      <c r="CD1143" s="13"/>
      <c r="CG1143" s="114"/>
    </row>
    <row r="1144" spans="1:85" ht="19.5" x14ac:dyDescent="0.4">
      <c r="A1144" s="117"/>
      <c r="B1144" s="123"/>
      <c r="C1144" s="123"/>
      <c r="D1144" s="123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27"/>
      <c r="AU1144" s="29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25"/>
      <c r="BF1144" s="15"/>
      <c r="BK1144" s="117"/>
      <c r="BL1144" s="123"/>
      <c r="BM1144" s="123"/>
      <c r="BN1144" s="123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115"/>
      <c r="CB1144" s="115"/>
      <c r="CC1144" s="25"/>
      <c r="CD1144" s="13"/>
      <c r="CG1144" s="114"/>
    </row>
    <row r="1145" spans="1:85" ht="19.5" x14ac:dyDescent="0.4">
      <c r="A1145" s="117"/>
      <c r="B1145" s="123"/>
      <c r="C1145" s="123"/>
      <c r="D1145" s="123"/>
      <c r="AT1145" s="127"/>
      <c r="AU1145" s="29"/>
      <c r="BE1145" s="25">
        <v>45693</v>
      </c>
      <c r="BF1145" s="15" t="s">
        <v>146</v>
      </c>
      <c r="BK1145" s="117"/>
      <c r="BL1145" s="123"/>
      <c r="BM1145" s="123"/>
      <c r="BN1145" s="123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115"/>
      <c r="CB1145" s="115" t="s">
        <v>157</v>
      </c>
      <c r="CC1145" s="13">
        <f>SUBTOTAL(3,CC1137:CC1137)</f>
        <v>1</v>
      </c>
      <c r="CD1145" s="13">
        <f>SUBTOTAL(3,CD1137:CD1137)</f>
        <v>1</v>
      </c>
      <c r="CG1145" s="114"/>
    </row>
    <row r="1146" spans="1:85" ht="19.5" x14ac:dyDescent="0.4">
      <c r="A1146" s="117"/>
      <c r="B1146" s="123"/>
      <c r="C1146" s="123"/>
      <c r="D1146" s="123"/>
      <c r="AT1146" s="127"/>
      <c r="AU1146" s="29"/>
      <c r="AW1146" s="115"/>
      <c r="AX1146" s="115"/>
      <c r="AY1146" s="115"/>
      <c r="AZ1146" s="115"/>
      <c r="BA1146" s="115"/>
      <c r="BB1146" s="115"/>
      <c r="BC1146" s="115"/>
      <c r="BD1146" s="115"/>
      <c r="BE1146" s="25">
        <v>45693</v>
      </c>
      <c r="BF1146" s="15" t="s">
        <v>146</v>
      </c>
      <c r="BK1146" s="117"/>
      <c r="BL1146" s="123"/>
      <c r="BM1146" s="123"/>
      <c r="BN1146" s="123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115"/>
      <c r="CB1146" s="115"/>
      <c r="CC1146" s="13"/>
      <c r="CD1146" s="13"/>
      <c r="CG1146" s="114"/>
    </row>
    <row r="1147" spans="1:85" ht="19.5" x14ac:dyDescent="0.4">
      <c r="A1147" s="117"/>
      <c r="B1147" s="123"/>
      <c r="C1147" s="123"/>
      <c r="D1147" s="123"/>
      <c r="AT1147" s="128"/>
      <c r="AU1147" s="29"/>
      <c r="AW1147" s="115"/>
      <c r="AX1147" s="115"/>
      <c r="AY1147" s="115"/>
      <c r="AZ1147" s="115"/>
      <c r="BA1147" s="115"/>
      <c r="BB1147" s="115"/>
      <c r="BC1147" s="115"/>
      <c r="BD1147" s="115"/>
      <c r="BE1147" s="25"/>
      <c r="BF1147" s="15"/>
      <c r="BK1147" s="117"/>
      <c r="BL1147" s="123"/>
      <c r="BM1147" s="123"/>
      <c r="BN1147" s="123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115"/>
      <c r="CB1147" s="115"/>
      <c r="CC1147" s="13"/>
      <c r="CD1147" s="13"/>
      <c r="CG1147" s="114"/>
    </row>
    <row r="1148" spans="1:85" ht="19.5" x14ac:dyDescent="0.4">
      <c r="A1148" s="117"/>
      <c r="B1148" s="123"/>
      <c r="C1148" s="123"/>
      <c r="D1148" s="123"/>
      <c r="AT1148" s="128"/>
      <c r="AU1148" s="29"/>
      <c r="AW1148" s="115"/>
      <c r="AX1148" s="115"/>
      <c r="AY1148" s="115"/>
      <c r="AZ1148" s="115"/>
      <c r="BA1148" s="115"/>
      <c r="BB1148" s="115"/>
      <c r="BC1148" s="115"/>
      <c r="BD1148" s="115"/>
      <c r="BE1148" s="25"/>
      <c r="BF1148" s="15"/>
      <c r="BK1148" s="117"/>
      <c r="BL1148" s="123"/>
      <c r="BM1148" s="123"/>
      <c r="BN1148" s="123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115"/>
      <c r="CB1148" s="115"/>
      <c r="CC1148" s="13"/>
      <c r="CD1148" s="13"/>
      <c r="CG1148" s="114"/>
    </row>
    <row r="1149" spans="1:85" ht="19.5" x14ac:dyDescent="0.4">
      <c r="A1149" s="117"/>
      <c r="B1149" s="123"/>
      <c r="C1149" s="123"/>
      <c r="D1149" s="123"/>
      <c r="AT1149" s="127"/>
      <c r="AU1149" s="29"/>
      <c r="AW1149" s="115"/>
      <c r="AX1149" s="115"/>
      <c r="AY1149" s="115"/>
      <c r="AZ1149" s="115"/>
      <c r="BA1149" s="115"/>
      <c r="BB1149" s="115"/>
      <c r="BC1149" s="115"/>
      <c r="BD1149" s="115"/>
      <c r="BE1149" s="25">
        <v>45694</v>
      </c>
      <c r="BF1149" s="15" t="s">
        <v>147</v>
      </c>
      <c r="BK1149" s="117"/>
      <c r="BL1149" s="123"/>
      <c r="BM1149" s="123"/>
      <c r="BN1149" s="123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115"/>
      <c r="CB1149" s="115"/>
      <c r="CC1149" s="13"/>
      <c r="CD1149" s="13"/>
      <c r="CG1149" s="114"/>
    </row>
    <row r="1150" spans="1:85" ht="19.5" x14ac:dyDescent="0.4">
      <c r="A1150" s="117"/>
      <c r="B1150" s="123"/>
      <c r="C1150" s="123"/>
      <c r="D1150" s="123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29"/>
      <c r="AU1150" s="29"/>
      <c r="AW1150" s="115"/>
      <c r="AX1150" s="115"/>
      <c r="AY1150" s="115"/>
      <c r="AZ1150" s="115"/>
      <c r="BA1150" s="115"/>
      <c r="BB1150" s="115"/>
      <c r="BC1150" s="115"/>
      <c r="BD1150" s="115"/>
      <c r="BE1150" s="25"/>
      <c r="BF1150" s="15"/>
      <c r="BK1150" s="117"/>
      <c r="BL1150" s="123"/>
      <c r="BM1150" s="123"/>
      <c r="BN1150" s="123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115"/>
      <c r="CB1150" s="115"/>
      <c r="CC1150" s="13"/>
      <c r="CD1150" s="13"/>
      <c r="CG1150" s="114"/>
    </row>
    <row r="1151" spans="1:85" ht="19.5" x14ac:dyDescent="0.4">
      <c r="A1151" s="117"/>
      <c r="B1151" s="123"/>
      <c r="C1151" s="123"/>
      <c r="D1151" s="123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29"/>
      <c r="AU1151" s="29"/>
      <c r="AW1151" s="115"/>
      <c r="AX1151" s="115"/>
      <c r="AY1151" s="115"/>
      <c r="AZ1151" s="115"/>
      <c r="BA1151" s="115"/>
      <c r="BB1151" s="115"/>
      <c r="BC1151" s="115"/>
      <c r="BD1151" s="115"/>
      <c r="BE1151" s="25"/>
      <c r="BF1151" s="15"/>
      <c r="BK1151" s="117"/>
      <c r="BL1151" s="123"/>
      <c r="BM1151" s="123"/>
      <c r="BN1151" s="123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/>
      <c r="CA1151" s="115"/>
      <c r="CB1151" s="115"/>
      <c r="CC1151" s="13"/>
      <c r="CD1151" s="13"/>
      <c r="CG1151" s="114"/>
    </row>
    <row r="1152" spans="1:85" ht="19.5" x14ac:dyDescent="0.4">
      <c r="A1152" s="117"/>
      <c r="B1152" s="123"/>
      <c r="C1152" s="123"/>
      <c r="D1152" s="123"/>
      <c r="AT1152" s="127"/>
      <c r="AU1152" s="29"/>
      <c r="AW1152" s="115"/>
      <c r="AX1152" s="115"/>
      <c r="AY1152" s="115"/>
      <c r="AZ1152" s="115"/>
      <c r="BA1152" s="115"/>
      <c r="BB1152" s="115"/>
      <c r="BC1152" s="115"/>
      <c r="BD1152" s="115"/>
      <c r="BE1152" s="25">
        <v>45694</v>
      </c>
      <c r="BF1152" s="105" t="s">
        <v>147</v>
      </c>
      <c r="BK1152" s="117"/>
      <c r="BL1152" s="123"/>
      <c r="BM1152" s="123"/>
      <c r="BN1152" s="123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15"/>
      <c r="CB1152" s="115"/>
      <c r="CC1152" s="13"/>
      <c r="CD1152" s="13"/>
      <c r="CG1152" s="114"/>
    </row>
    <row r="1153" spans="1:85" ht="19.5" x14ac:dyDescent="0.4">
      <c r="A1153" s="117"/>
      <c r="B1153" s="123"/>
      <c r="C1153" s="123"/>
      <c r="D1153" s="123"/>
      <c r="AT1153" s="127"/>
      <c r="AU1153" s="29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25">
        <v>45694</v>
      </c>
      <c r="BF1153" s="15" t="s">
        <v>147</v>
      </c>
      <c r="BK1153" s="117"/>
      <c r="BL1153" s="123"/>
      <c r="BM1153" s="123"/>
      <c r="BN1153" s="123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115"/>
      <c r="CB1153" s="115"/>
      <c r="CC1153" s="13"/>
      <c r="CD1153" s="13"/>
      <c r="CG1153" s="114"/>
    </row>
    <row r="1154" spans="1:85" ht="19.5" x14ac:dyDescent="0.4">
      <c r="A1154" s="117"/>
      <c r="B1154" s="123"/>
      <c r="C1154" s="123"/>
      <c r="D1154" s="123"/>
      <c r="AT1154" s="127"/>
      <c r="AU1154" s="29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26">
        <v>45694</v>
      </c>
      <c r="BF1154" s="15" t="s">
        <v>148</v>
      </c>
      <c r="BK1154" s="117"/>
      <c r="BL1154" s="123"/>
      <c r="BM1154" s="123"/>
      <c r="BN1154" s="123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115"/>
      <c r="CB1154" s="115"/>
      <c r="CC1154" s="13"/>
      <c r="CD1154" s="13"/>
      <c r="CG1154" s="114"/>
    </row>
    <row r="1155" spans="1:85" ht="19.5" x14ac:dyDescent="0.4">
      <c r="A1155" s="117"/>
      <c r="B1155" s="123"/>
      <c r="C1155" s="123"/>
      <c r="D1155" s="123"/>
      <c r="AT1155" s="127"/>
      <c r="AU1155" s="29"/>
      <c r="BE1155" s="26">
        <v>45694</v>
      </c>
      <c r="BF1155" s="13" t="s">
        <v>147</v>
      </c>
      <c r="BK1155" s="117"/>
      <c r="BL1155" s="123"/>
      <c r="BM1155" s="123"/>
      <c r="BN1155" s="123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115"/>
      <c r="CB1155" s="115"/>
      <c r="CC1155" s="25">
        <v>45268</v>
      </c>
      <c r="CD1155" s="13" t="s">
        <v>162</v>
      </c>
      <c r="CG1155" s="114"/>
    </row>
    <row r="1156" spans="1:85" ht="19.5" x14ac:dyDescent="0.4">
      <c r="A1156" s="117"/>
      <c r="B1156" s="123"/>
      <c r="C1156" s="123"/>
      <c r="D1156" s="123"/>
      <c r="AT1156" s="127"/>
      <c r="AU1156" s="29"/>
      <c r="AW1156" s="115"/>
      <c r="AX1156" s="115"/>
      <c r="AY1156" s="115"/>
      <c r="AZ1156" s="115"/>
      <c r="BA1156" s="115"/>
      <c r="BB1156" s="115"/>
      <c r="BC1156" s="115"/>
      <c r="BD1156" s="115"/>
      <c r="BE1156" s="26">
        <v>45694</v>
      </c>
      <c r="BF1156" s="13" t="s">
        <v>147</v>
      </c>
      <c r="BK1156" s="117"/>
      <c r="BL1156" s="123"/>
      <c r="BM1156" s="123"/>
      <c r="BN1156" s="123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115"/>
      <c r="CB1156" s="115"/>
      <c r="CC1156" s="25"/>
      <c r="CD1156" s="13"/>
      <c r="CG1156" s="114"/>
    </row>
    <row r="1157" spans="1:85" ht="19.5" x14ac:dyDescent="0.4">
      <c r="A1157" s="117"/>
      <c r="B1157" s="123"/>
      <c r="C1157" s="123"/>
      <c r="D1157" s="123"/>
      <c r="AT1157" s="127"/>
      <c r="AU1157" s="29"/>
      <c r="BE1157" s="26">
        <v>45694</v>
      </c>
      <c r="BF1157" s="13" t="s">
        <v>147</v>
      </c>
      <c r="BK1157" s="117"/>
      <c r="BL1157" s="123"/>
      <c r="BM1157" s="123"/>
      <c r="BN1157" s="123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115"/>
      <c r="CB1157" s="115"/>
      <c r="CC1157" s="25">
        <v>45268</v>
      </c>
      <c r="CD1157" s="13" t="s">
        <v>162</v>
      </c>
      <c r="CG1157" s="114"/>
    </row>
    <row r="1158" spans="1:85" ht="19.5" x14ac:dyDescent="0.4">
      <c r="A1158" s="117"/>
      <c r="B1158" s="123"/>
      <c r="C1158" s="123"/>
      <c r="D1158" s="123"/>
      <c r="AT1158" s="127"/>
      <c r="AU1158" s="29"/>
      <c r="BB1158" s="115"/>
      <c r="BC1158" s="115"/>
      <c r="BD1158" s="115"/>
      <c r="BE1158" s="26">
        <v>45696</v>
      </c>
      <c r="BF1158" s="13" t="s">
        <v>147</v>
      </c>
      <c r="BK1158" s="117"/>
      <c r="BL1158" s="123"/>
      <c r="BM1158" s="123"/>
      <c r="BN1158" s="123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115"/>
      <c r="CB1158" s="115"/>
      <c r="CC1158" s="25"/>
      <c r="CD1158" s="13"/>
      <c r="CG1158" s="114"/>
    </row>
    <row r="1159" spans="1:85" ht="19.5" x14ac:dyDescent="0.4">
      <c r="A1159" s="117"/>
      <c r="B1159" s="123"/>
      <c r="C1159" s="123"/>
      <c r="D1159" s="123"/>
      <c r="AT1159" s="127"/>
      <c r="AU1159" s="29"/>
      <c r="BE1159" s="26">
        <v>45698</v>
      </c>
      <c r="BF1159" s="13" t="s">
        <v>147</v>
      </c>
      <c r="BK1159" s="117"/>
      <c r="BL1159" s="123"/>
      <c r="BM1159" s="123"/>
      <c r="BN1159" s="123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115"/>
      <c r="CB1159" s="115"/>
      <c r="CC1159" s="25">
        <v>45268</v>
      </c>
      <c r="CD1159" s="13" t="s">
        <v>163</v>
      </c>
      <c r="CG1159" s="114"/>
    </row>
    <row r="1160" spans="1:85" ht="19.5" x14ac:dyDescent="0.4">
      <c r="A1160" s="117"/>
      <c r="B1160" s="123"/>
      <c r="C1160" s="123"/>
      <c r="D1160" s="123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29"/>
      <c r="AU1160" s="29"/>
      <c r="BE1160" s="26"/>
      <c r="BF1160" s="13"/>
      <c r="BK1160" s="117"/>
      <c r="BL1160" s="123"/>
      <c r="BM1160" s="123"/>
      <c r="BN1160" s="123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115"/>
      <c r="CB1160" s="115"/>
      <c r="CC1160" s="25"/>
      <c r="CD1160" s="13"/>
      <c r="CG1160" s="114"/>
    </row>
    <row r="1161" spans="1:85" ht="19.5" x14ac:dyDescent="0.4">
      <c r="A1161" s="117"/>
      <c r="B1161" s="123"/>
      <c r="C1161" s="123"/>
      <c r="D1161" s="123"/>
      <c r="AT1161" s="127"/>
      <c r="AU1161" s="29"/>
      <c r="BB1161" s="115"/>
      <c r="BC1161" s="115"/>
      <c r="BD1161" s="115"/>
      <c r="BE1161" s="26">
        <v>45698</v>
      </c>
      <c r="BF1161" s="13" t="s">
        <v>147</v>
      </c>
      <c r="BK1161" s="117"/>
      <c r="BL1161" s="123"/>
      <c r="BM1161" s="123"/>
      <c r="BN1161" s="123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115"/>
      <c r="CB1161" s="115"/>
      <c r="CC1161" s="25"/>
      <c r="CD1161" s="13"/>
      <c r="CG1161" s="114"/>
    </row>
    <row r="1162" spans="1:85" ht="19.5" x14ac:dyDescent="0.4">
      <c r="A1162" s="117"/>
      <c r="B1162" s="123"/>
      <c r="C1162" s="123"/>
      <c r="D1162" s="123"/>
      <c r="AT1162" s="127"/>
      <c r="AU1162" s="29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26">
        <v>45699</v>
      </c>
      <c r="BF1162" s="13" t="s">
        <v>148</v>
      </c>
      <c r="BK1162" s="117"/>
      <c r="BL1162" s="123"/>
      <c r="BM1162" s="123"/>
      <c r="BN1162" s="123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115"/>
      <c r="CB1162" s="115"/>
      <c r="CC1162" s="25"/>
      <c r="CD1162" s="13"/>
      <c r="CG1162" s="114"/>
    </row>
    <row r="1163" spans="1:85" ht="19.5" x14ac:dyDescent="0.4">
      <c r="A1163" s="117"/>
      <c r="B1163" s="123"/>
      <c r="C1163" s="123"/>
      <c r="D1163" s="123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29"/>
      <c r="AU1163" s="29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26"/>
      <c r="BF1163" s="13"/>
      <c r="BK1163" s="117"/>
      <c r="BL1163" s="123"/>
      <c r="BM1163" s="123"/>
      <c r="BN1163" s="123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/>
      <c r="CA1163" s="115"/>
      <c r="CB1163" s="115"/>
      <c r="CC1163" s="25"/>
      <c r="CD1163" s="13"/>
      <c r="CG1163" s="114"/>
    </row>
    <row r="1164" spans="1:85" ht="19.5" x14ac:dyDescent="0.4">
      <c r="A1164" s="117"/>
      <c r="B1164" s="123"/>
      <c r="C1164" s="123"/>
      <c r="D1164" s="123"/>
      <c r="AT1164" s="127"/>
      <c r="AU1164" s="29"/>
      <c r="BE1164" s="26">
        <v>45699</v>
      </c>
      <c r="BF1164" s="13" t="s">
        <v>148</v>
      </c>
      <c r="BK1164" s="117"/>
      <c r="BL1164" s="123"/>
      <c r="BM1164" s="123"/>
      <c r="BN1164" s="123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115"/>
      <c r="CB1164" s="115"/>
      <c r="CC1164" s="25">
        <v>45268</v>
      </c>
      <c r="CD1164" s="13" t="s">
        <v>163</v>
      </c>
      <c r="CG1164" s="114"/>
    </row>
    <row r="1165" spans="1:85" ht="19.5" x14ac:dyDescent="0.4">
      <c r="A1165" s="117"/>
      <c r="B1165" s="123"/>
      <c r="C1165" s="123"/>
      <c r="D1165" s="123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29"/>
      <c r="AU1165" s="29"/>
      <c r="BE1165" s="26"/>
      <c r="BF1165" s="13"/>
      <c r="BK1165" s="117"/>
      <c r="BL1165" s="123"/>
      <c r="BM1165" s="123"/>
      <c r="BN1165" s="123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115"/>
      <c r="CB1165" s="115"/>
      <c r="CC1165" s="25"/>
      <c r="CD1165" s="13"/>
      <c r="CG1165" s="114"/>
    </row>
    <row r="1166" spans="1:85" ht="19.5" x14ac:dyDescent="0.4">
      <c r="A1166" s="117"/>
      <c r="B1166" s="123"/>
      <c r="C1166" s="123"/>
      <c r="D1166" s="123"/>
      <c r="AT1166" s="127"/>
      <c r="AU1166" s="29"/>
      <c r="AX1166" s="115"/>
      <c r="AY1166" s="115"/>
      <c r="AZ1166" s="115"/>
      <c r="BA1166" s="115"/>
      <c r="BB1166" s="115"/>
      <c r="BC1166" s="115"/>
      <c r="BD1166" s="115"/>
      <c r="BE1166" s="26">
        <v>45699</v>
      </c>
      <c r="BF1166" s="13" t="s">
        <v>148</v>
      </c>
      <c r="BK1166" s="117"/>
      <c r="BL1166" s="123"/>
      <c r="BM1166" s="123"/>
      <c r="BN1166" s="123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115"/>
      <c r="CB1166" s="115"/>
      <c r="CC1166" s="25"/>
      <c r="CD1166" s="13"/>
      <c r="CG1166" s="114"/>
    </row>
    <row r="1167" spans="1:85" ht="19.5" x14ac:dyDescent="0.4">
      <c r="A1167" s="117"/>
      <c r="B1167" s="123"/>
      <c r="C1167" s="123"/>
      <c r="D1167" s="123"/>
      <c r="AT1167" s="127"/>
      <c r="AU1167" s="29"/>
      <c r="AX1167" s="115"/>
      <c r="AY1167" s="115"/>
      <c r="AZ1167" s="115"/>
      <c r="BA1167" s="115"/>
      <c r="BB1167" s="115"/>
      <c r="BC1167" s="115"/>
      <c r="BD1167" s="115"/>
      <c r="BE1167" s="26">
        <v>45699</v>
      </c>
      <c r="BF1167" s="13" t="s">
        <v>148</v>
      </c>
      <c r="BK1167" s="117"/>
      <c r="BL1167" s="123"/>
      <c r="BM1167" s="123"/>
      <c r="BN1167" s="123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115"/>
      <c r="CB1167" s="115"/>
      <c r="CC1167" s="25"/>
      <c r="CD1167" s="13"/>
      <c r="CG1167" s="114"/>
    </row>
    <row r="1168" spans="1:85" ht="19.5" x14ac:dyDescent="0.4">
      <c r="A1168" s="117"/>
      <c r="B1168" s="123"/>
      <c r="C1168" s="123"/>
      <c r="D1168" s="123"/>
      <c r="AT1168" s="127"/>
      <c r="AU1168" s="29"/>
      <c r="AX1168" s="115"/>
      <c r="AY1168" s="115"/>
      <c r="AZ1168" s="115"/>
      <c r="BA1168" s="115"/>
      <c r="BB1168" s="115"/>
      <c r="BC1168" s="115"/>
      <c r="BD1168" s="115"/>
      <c r="BE1168" s="26">
        <v>45699</v>
      </c>
      <c r="BF1168" s="13" t="s">
        <v>148</v>
      </c>
      <c r="BK1168" s="117"/>
      <c r="BL1168" s="123"/>
      <c r="BM1168" s="123"/>
      <c r="BN1168" s="123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115"/>
      <c r="CB1168" s="115"/>
      <c r="CC1168" s="25"/>
      <c r="CD1168" s="13"/>
      <c r="CG1168" s="114"/>
    </row>
    <row r="1169" spans="1:85" ht="19.5" x14ac:dyDescent="0.4">
      <c r="A1169" s="117"/>
      <c r="B1169" s="123"/>
      <c r="C1169" s="123"/>
      <c r="D1169" s="123"/>
      <c r="AT1169" s="127"/>
      <c r="AU1169" s="29"/>
      <c r="BE1169" s="26">
        <v>45699</v>
      </c>
      <c r="BF1169" s="13" t="s">
        <v>148</v>
      </c>
      <c r="BK1169" s="117"/>
      <c r="BL1169" s="123"/>
      <c r="BM1169" s="123"/>
      <c r="BN1169" s="123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115"/>
      <c r="CB1169" s="115" t="s">
        <v>158</v>
      </c>
      <c r="CC1169" s="13">
        <f>SUBTOTAL(3,CC1155:CC1164)</f>
        <v>4</v>
      </c>
      <c r="CD1169" s="13">
        <f>SUBTOTAL(3,CD1155:CD1164)</f>
        <v>4</v>
      </c>
      <c r="CG1169" s="114"/>
    </row>
    <row r="1170" spans="1:85" ht="19.5" x14ac:dyDescent="0.4">
      <c r="A1170" s="117"/>
      <c r="B1170" s="123"/>
      <c r="C1170" s="123"/>
      <c r="D1170" s="123"/>
      <c r="AT1170" s="127"/>
      <c r="AU1170" s="29"/>
      <c r="BB1170" s="115"/>
      <c r="BC1170" s="115"/>
      <c r="BD1170" s="115"/>
      <c r="BE1170" s="26">
        <v>45706</v>
      </c>
      <c r="BF1170" s="13" t="s">
        <v>146</v>
      </c>
      <c r="BK1170" s="117"/>
      <c r="BL1170" s="123"/>
      <c r="BM1170" s="123"/>
      <c r="BN1170" s="123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115"/>
      <c r="CB1170" s="115"/>
      <c r="CC1170" s="13"/>
      <c r="CD1170" s="13"/>
      <c r="CG1170" s="114"/>
    </row>
    <row r="1171" spans="1:85" ht="19.5" x14ac:dyDescent="0.4">
      <c r="A1171" s="117"/>
      <c r="B1171" s="123"/>
      <c r="C1171" s="123"/>
      <c r="D1171" s="123"/>
      <c r="AT1171" s="127"/>
      <c r="AU1171" s="29"/>
      <c r="BA1171" s="115"/>
      <c r="BB1171" s="115"/>
      <c r="BC1171" s="115"/>
      <c r="BD1171" s="115"/>
      <c r="BE1171" s="26">
        <v>45709</v>
      </c>
      <c r="BF1171" s="13" t="s">
        <v>148</v>
      </c>
      <c r="BK1171" s="117"/>
      <c r="BL1171" s="123"/>
      <c r="BM1171" s="123"/>
      <c r="BN1171" s="123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115"/>
      <c r="CB1171" s="115"/>
      <c r="CC1171" s="13"/>
      <c r="CD1171" s="13"/>
      <c r="CG1171" s="114"/>
    </row>
    <row r="1172" spans="1:85" ht="19.5" x14ac:dyDescent="0.4">
      <c r="A1172" s="117"/>
      <c r="B1172" s="123"/>
      <c r="C1172" s="123"/>
      <c r="D1172" s="123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29"/>
      <c r="AU1172" s="29"/>
      <c r="BA1172" s="115"/>
      <c r="BB1172" s="115"/>
      <c r="BC1172" s="115"/>
      <c r="BD1172" s="115"/>
      <c r="BE1172" s="26"/>
      <c r="BF1172" s="13"/>
      <c r="BK1172" s="117"/>
      <c r="BL1172" s="123"/>
      <c r="BM1172" s="123"/>
      <c r="BN1172" s="123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115"/>
      <c r="CB1172" s="115"/>
      <c r="CC1172" s="13"/>
      <c r="CD1172" s="13"/>
      <c r="CG1172" s="114"/>
    </row>
    <row r="1173" spans="1:85" ht="19.5" x14ac:dyDescent="0.4">
      <c r="A1173" s="117"/>
      <c r="B1173" s="123"/>
      <c r="C1173" s="123"/>
      <c r="D1173" s="123"/>
      <c r="AT1173" s="127"/>
      <c r="AU1173" s="29"/>
      <c r="BA1173" s="115"/>
      <c r="BB1173" s="115"/>
      <c r="BC1173" s="115"/>
      <c r="BD1173" s="115"/>
      <c r="BE1173" s="26">
        <v>45709</v>
      </c>
      <c r="BF1173" s="13" t="s">
        <v>147</v>
      </c>
      <c r="BK1173" s="117"/>
      <c r="BL1173" s="123"/>
      <c r="BM1173" s="123"/>
      <c r="BN1173" s="123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115"/>
      <c r="CB1173" s="115"/>
      <c r="CC1173" s="13"/>
      <c r="CD1173" s="13"/>
      <c r="CG1173" s="114"/>
    </row>
    <row r="1174" spans="1:85" ht="19.5" x14ac:dyDescent="0.4">
      <c r="A1174" s="117"/>
      <c r="B1174" s="123"/>
      <c r="C1174" s="123"/>
      <c r="D1174" s="123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29"/>
      <c r="AU1174" s="29"/>
      <c r="BA1174" s="115"/>
      <c r="BB1174" s="115"/>
      <c r="BC1174" s="115"/>
      <c r="BD1174" s="115"/>
      <c r="BE1174" s="26"/>
      <c r="BF1174" s="13"/>
      <c r="BK1174" s="117"/>
      <c r="BL1174" s="123"/>
      <c r="BM1174" s="123"/>
      <c r="BN1174" s="123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115"/>
      <c r="CB1174" s="115"/>
      <c r="CC1174" s="13"/>
      <c r="CD1174" s="13"/>
      <c r="CG1174" s="114"/>
    </row>
    <row r="1175" spans="1:85" ht="19.5" x14ac:dyDescent="0.4">
      <c r="A1175" s="117"/>
      <c r="B1175" s="123"/>
      <c r="C1175" s="123"/>
      <c r="D1175" s="123"/>
      <c r="AT1175" s="127"/>
      <c r="AU1175" s="29"/>
      <c r="BA1175" s="115"/>
      <c r="BB1175" s="115"/>
      <c r="BC1175" s="115"/>
      <c r="BD1175" s="115"/>
      <c r="BE1175" s="26">
        <v>45712</v>
      </c>
      <c r="BF1175" s="13" t="s">
        <v>146</v>
      </c>
      <c r="BK1175" s="117"/>
      <c r="BL1175" s="123"/>
      <c r="BM1175" s="123"/>
      <c r="BN1175" s="123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115"/>
      <c r="CB1175" s="115"/>
      <c r="CC1175" s="13"/>
      <c r="CD1175" s="13"/>
      <c r="CG1175" s="114"/>
    </row>
    <row r="1176" spans="1:85" ht="19.5" x14ac:dyDescent="0.4">
      <c r="A1176" s="117"/>
      <c r="B1176" s="123"/>
      <c r="C1176" s="123"/>
      <c r="D1176" s="123"/>
      <c r="AT1176" s="127"/>
      <c r="AU1176" s="29"/>
      <c r="BA1176" s="115"/>
      <c r="BB1176" s="115"/>
      <c r="BC1176" s="115"/>
      <c r="BD1176" s="115"/>
      <c r="BE1176" s="26">
        <v>45712</v>
      </c>
      <c r="BF1176" s="13" t="s">
        <v>148</v>
      </c>
      <c r="BK1176" s="117"/>
      <c r="BL1176" s="123"/>
      <c r="BM1176" s="123"/>
      <c r="BN1176" s="123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115"/>
      <c r="CC1176" s="13"/>
      <c r="CD1176" s="13"/>
      <c r="CG1176" s="114"/>
    </row>
    <row r="1177" spans="1:85" ht="19.5" x14ac:dyDescent="0.4">
      <c r="A1177" s="117"/>
      <c r="B1177" s="123"/>
      <c r="C1177" s="123"/>
      <c r="D1177" s="123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29"/>
      <c r="AU1177" s="29"/>
      <c r="BA1177" s="115"/>
      <c r="BB1177" s="115"/>
      <c r="BC1177" s="115"/>
      <c r="BD1177" s="115"/>
      <c r="BE1177" s="26"/>
      <c r="BF1177" s="13"/>
      <c r="BK1177" s="117"/>
      <c r="BL1177" s="123"/>
      <c r="BM1177" s="123"/>
      <c r="BN1177" s="123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115"/>
      <c r="CC1177" s="13"/>
      <c r="CD1177" s="13"/>
      <c r="CG1177" s="114"/>
    </row>
    <row r="1178" spans="1:85" ht="19.5" x14ac:dyDescent="0.4">
      <c r="A1178" s="117"/>
      <c r="B1178" s="123"/>
      <c r="C1178" s="123"/>
      <c r="D1178" s="123"/>
      <c r="AT1178" s="127"/>
      <c r="AU1178" s="29"/>
      <c r="AY1178" s="115"/>
      <c r="AZ1178" s="115"/>
      <c r="BA1178" s="115"/>
      <c r="BB1178" s="115"/>
      <c r="BC1178" s="115"/>
      <c r="BD1178" s="115"/>
      <c r="BE1178" s="26">
        <v>45714</v>
      </c>
      <c r="BF1178" s="13" t="s">
        <v>147</v>
      </c>
      <c r="BK1178" s="117"/>
      <c r="BL1178" s="123"/>
      <c r="BM1178" s="123"/>
      <c r="BN1178" s="123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115"/>
      <c r="CC1178" s="13"/>
      <c r="CD1178" s="13"/>
      <c r="CG1178" s="114"/>
    </row>
    <row r="1179" spans="1:85" ht="19.5" x14ac:dyDescent="0.4">
      <c r="A1179" s="117"/>
      <c r="B1179" s="123"/>
      <c r="C1179" s="123"/>
      <c r="D1179" s="123"/>
      <c r="AT1179" s="127"/>
      <c r="AU1179" s="29"/>
      <c r="BE1179" s="26">
        <v>45714</v>
      </c>
      <c r="BF1179" s="13" t="s">
        <v>147</v>
      </c>
      <c r="BK1179" s="117"/>
      <c r="BL1179" s="123"/>
      <c r="BM1179" s="123"/>
      <c r="BN1179" s="123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115"/>
      <c r="CC1179" s="25">
        <v>45269</v>
      </c>
      <c r="CD1179" s="13" t="s">
        <v>163</v>
      </c>
      <c r="CG1179" s="114"/>
    </row>
    <row r="1180" spans="1:85" ht="19.5" x14ac:dyDescent="0.4">
      <c r="A1180" s="117"/>
      <c r="B1180" s="123"/>
      <c r="C1180" s="123"/>
      <c r="D1180" s="123"/>
      <c r="AT1180" s="127"/>
      <c r="AU1180" s="29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26">
        <v>45714</v>
      </c>
      <c r="BF1180" s="13" t="s">
        <v>147</v>
      </c>
      <c r="BK1180" s="117"/>
      <c r="BL1180" s="123"/>
      <c r="BM1180" s="123"/>
      <c r="BN1180" s="123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115"/>
      <c r="CC1180" s="25"/>
      <c r="CD1180" s="13"/>
      <c r="CG1180" s="114"/>
    </row>
    <row r="1181" spans="1:85" ht="19.5" x14ac:dyDescent="0.4">
      <c r="A1181" s="117"/>
      <c r="B1181" s="123"/>
      <c r="C1181" s="123"/>
      <c r="D1181" s="123"/>
      <c r="AT1181" s="127"/>
      <c r="AU1181" s="29"/>
      <c r="AV1181" s="115"/>
      <c r="AW1181" s="115"/>
      <c r="AX1181" s="115"/>
      <c r="AY1181" s="115"/>
      <c r="AZ1181" s="115"/>
      <c r="BA1181" s="115"/>
      <c r="BB1181" s="115"/>
      <c r="BC1181" s="115" t="s">
        <v>145</v>
      </c>
      <c r="BD1181" s="115">
        <f>SUBTOTAL(3,BD2:BD1180)</f>
        <v>0</v>
      </c>
      <c r="BE1181" s="26"/>
      <c r="BF1181" s="13">
        <f>SUBTOTAL(3,BF2:BF1180)</f>
        <v>145</v>
      </c>
      <c r="BK1181" s="117"/>
      <c r="BL1181" s="123"/>
      <c r="BM1181" s="123"/>
      <c r="BN1181" s="123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/>
      <c r="CB1181" s="115"/>
      <c r="CC1181" s="25"/>
      <c r="CD1181" s="13"/>
      <c r="CG1181" s="114"/>
    </row>
    <row r="1182" spans="1:85" ht="19.5" x14ac:dyDescent="0.4">
      <c r="A1182" s="117"/>
      <c r="B1182" s="123"/>
      <c r="C1182" s="123"/>
      <c r="D1182" s="123"/>
      <c r="AT1182" s="127"/>
      <c r="AU1182" s="29"/>
      <c r="BE1182" s="26"/>
      <c r="BF1182" s="13"/>
      <c r="BK1182" s="117"/>
      <c r="BL1182" s="123"/>
      <c r="BM1182" s="123"/>
      <c r="BN1182" s="123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15"/>
      <c r="CC1182" s="25">
        <v>45269</v>
      </c>
      <c r="CD1182" s="13" t="s">
        <v>163</v>
      </c>
      <c r="CG1182" s="114"/>
    </row>
    <row r="1183" spans="1:85" ht="19.5" x14ac:dyDescent="0.4">
      <c r="A1183" s="117"/>
      <c r="B1183" s="123"/>
      <c r="C1183" s="123"/>
      <c r="D1183" s="123"/>
      <c r="AT1183" s="127"/>
      <c r="AU1183" s="29"/>
      <c r="AX1183" s="115"/>
      <c r="AY1183" s="115"/>
      <c r="AZ1183" s="115"/>
      <c r="BA1183" s="115"/>
      <c r="BB1183" s="115"/>
      <c r="BC1183" s="115"/>
      <c r="BD1183" s="115"/>
      <c r="BE1183" s="26"/>
      <c r="BF1183" s="13"/>
      <c r="BK1183" s="117"/>
      <c r="BL1183" s="123"/>
      <c r="BM1183" s="123"/>
      <c r="BN1183" s="123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115"/>
      <c r="CB1183" s="115"/>
      <c r="CC1183" s="25"/>
      <c r="CD1183" s="13"/>
      <c r="CG1183" s="114"/>
    </row>
    <row r="1184" spans="1:85" ht="19.5" x14ac:dyDescent="0.4">
      <c r="A1184" s="117"/>
      <c r="B1184" s="123"/>
      <c r="C1184" s="123"/>
      <c r="D1184" s="123"/>
      <c r="AT1184" s="127"/>
      <c r="AU1184" s="29"/>
      <c r="BE1184" s="26"/>
      <c r="BF1184" s="13"/>
      <c r="BK1184" s="117"/>
      <c r="BL1184" s="123"/>
      <c r="BM1184" s="123"/>
      <c r="BN1184" s="123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115"/>
      <c r="CB1184" s="115" t="s">
        <v>159</v>
      </c>
      <c r="CC1184" s="13">
        <f>SUBTOTAL(3,CC1179:CC1182)</f>
        <v>2</v>
      </c>
      <c r="CD1184" s="13">
        <f>SUBTOTAL(3,CD1179:CD1182)</f>
        <v>2</v>
      </c>
      <c r="CG1184" s="114"/>
    </row>
    <row r="1185" spans="1:85" ht="19.5" x14ac:dyDescent="0.4">
      <c r="A1185" s="117"/>
      <c r="B1185" s="123"/>
      <c r="C1185" s="123"/>
      <c r="D1185" s="123"/>
      <c r="AT1185" s="127"/>
      <c r="AU1185" s="29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26"/>
      <c r="BF1185" s="13"/>
      <c r="BK1185" s="117"/>
      <c r="BL1185" s="123"/>
      <c r="BM1185" s="123"/>
      <c r="BN1185" s="123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115"/>
      <c r="CB1185" s="115"/>
      <c r="CC1185" s="13"/>
      <c r="CD1185" s="13"/>
      <c r="CG1185" s="114"/>
    </row>
    <row r="1186" spans="1:85" ht="19.5" x14ac:dyDescent="0.4">
      <c r="A1186" s="117"/>
      <c r="B1186" s="123"/>
      <c r="C1186" s="123"/>
      <c r="D1186" s="123"/>
      <c r="AT1186" s="127"/>
      <c r="AU1186" s="29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26"/>
      <c r="BF1186" s="13"/>
      <c r="BK1186" s="117"/>
      <c r="BL1186" s="123"/>
      <c r="BM1186" s="123"/>
      <c r="BN1186" s="123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115"/>
      <c r="CB1186" s="115"/>
      <c r="CC1186" s="13"/>
      <c r="CD1186" s="13"/>
      <c r="CG1186" s="114"/>
    </row>
    <row r="1187" spans="1:85" ht="19.5" x14ac:dyDescent="0.4">
      <c r="A1187" s="117"/>
      <c r="B1187" s="123"/>
      <c r="C1187" s="123"/>
      <c r="D1187" s="123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27"/>
      <c r="AU1187" s="29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26"/>
      <c r="BF1187" s="13"/>
      <c r="BK1187" s="117"/>
      <c r="BL1187" s="123"/>
      <c r="BM1187" s="123"/>
      <c r="BN1187" s="123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115"/>
      <c r="CB1187" s="115"/>
      <c r="CC1187" s="13"/>
      <c r="CD1187" s="13"/>
      <c r="CG1187" s="114"/>
    </row>
    <row r="1188" spans="1:85" ht="19.5" x14ac:dyDescent="0.4">
      <c r="A1188" s="117"/>
      <c r="B1188" s="123"/>
      <c r="C1188" s="123"/>
      <c r="D1188" s="123"/>
      <c r="AT1188" s="127"/>
      <c r="AU1188" s="29"/>
      <c r="BE1188" s="26"/>
      <c r="BF1188" s="13"/>
      <c r="BK1188" s="117"/>
      <c r="BL1188" s="123"/>
      <c r="BM1188" s="123"/>
      <c r="BN1188" s="123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115"/>
      <c r="CB1188" s="115"/>
      <c r="CC1188" s="25">
        <v>45270</v>
      </c>
      <c r="CD1188" s="13" t="s">
        <v>164</v>
      </c>
      <c r="CG1188" s="114"/>
    </row>
    <row r="1189" spans="1:85" ht="19.5" x14ac:dyDescent="0.4">
      <c r="A1189" s="117"/>
      <c r="B1189" s="123"/>
      <c r="C1189" s="123"/>
      <c r="D1189" s="123"/>
      <c r="AT1189" s="127"/>
      <c r="AU1189" s="29"/>
      <c r="AZ1189" s="115"/>
      <c r="BA1189" s="115"/>
      <c r="BB1189" s="115"/>
      <c r="BC1189" s="115"/>
      <c r="BD1189" s="115"/>
      <c r="BE1189" s="17"/>
      <c r="BF1189" s="13"/>
      <c r="BK1189" s="117"/>
      <c r="BL1189" s="123"/>
      <c r="BM1189" s="123"/>
      <c r="BN1189" s="123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115"/>
      <c r="CB1189" s="115"/>
      <c r="CC1189" s="25"/>
      <c r="CD1189" s="13"/>
      <c r="CG1189" s="114"/>
    </row>
    <row r="1190" spans="1:85" ht="19.5" x14ac:dyDescent="0.4">
      <c r="A1190" s="117"/>
      <c r="B1190" s="123"/>
      <c r="C1190" s="123"/>
      <c r="D1190" s="123"/>
      <c r="AT1190" s="127"/>
      <c r="AU1190" s="29"/>
      <c r="BE1190" s="26"/>
      <c r="BF1190" s="13"/>
      <c r="BK1190" s="117"/>
      <c r="BL1190" s="123"/>
      <c r="BM1190" s="123"/>
      <c r="BN1190" s="123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115"/>
      <c r="CB1190" s="115"/>
      <c r="CC1190" s="25"/>
      <c r="CD1190" s="13"/>
      <c r="CG1190" s="114"/>
    </row>
    <row r="1191" spans="1:85" ht="19.5" x14ac:dyDescent="0.4">
      <c r="A1191" s="117"/>
      <c r="B1191" s="123"/>
      <c r="C1191" s="123"/>
      <c r="D1191" s="123"/>
      <c r="AT1191" s="127"/>
      <c r="AU1191" s="29"/>
      <c r="AW1191" s="115"/>
      <c r="AX1191" s="115"/>
      <c r="AY1191" s="115"/>
      <c r="AZ1191" s="115"/>
      <c r="BA1191" s="115"/>
      <c r="BB1191" s="115"/>
      <c r="BC1191" s="115"/>
      <c r="BD1191" s="115"/>
      <c r="BE1191" s="26"/>
      <c r="BF1191" s="13"/>
      <c r="BK1191" s="117"/>
      <c r="BL1191" s="123"/>
      <c r="BM1191" s="123"/>
      <c r="BN1191" s="123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115"/>
      <c r="CB1191" s="115"/>
      <c r="CC1191" s="25"/>
      <c r="CD1191" s="13"/>
      <c r="CG1191" s="114"/>
    </row>
    <row r="1192" spans="1:85" ht="19.5" x14ac:dyDescent="0.4">
      <c r="A1192" s="117"/>
      <c r="B1192" s="123"/>
      <c r="C1192" s="123"/>
      <c r="D1192" s="123"/>
      <c r="AT1192" s="127"/>
      <c r="AU1192" s="29"/>
      <c r="BE1192" s="26"/>
      <c r="BF1192" s="13"/>
      <c r="BK1192" s="117"/>
      <c r="BL1192" s="123"/>
      <c r="BM1192" s="123"/>
      <c r="BN1192" s="123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115"/>
      <c r="CB1192" s="115"/>
      <c r="CC1192" s="25">
        <v>45270</v>
      </c>
      <c r="CD1192" s="13" t="s">
        <v>164</v>
      </c>
      <c r="CG1192" s="114"/>
    </row>
    <row r="1193" spans="1:85" ht="19.5" x14ac:dyDescent="0.4">
      <c r="A1193" s="117"/>
      <c r="B1193" s="123"/>
      <c r="C1193" s="123"/>
      <c r="D1193" s="123"/>
      <c r="AT1193" s="127"/>
      <c r="AU1193" s="29"/>
      <c r="AY1193" s="115"/>
      <c r="AZ1193" s="115"/>
      <c r="BA1193" s="115"/>
      <c r="BB1193" s="115"/>
      <c r="BC1193" s="115"/>
      <c r="BD1193" s="115"/>
      <c r="BE1193" s="26"/>
      <c r="BF1193" s="13"/>
      <c r="BK1193" s="117"/>
      <c r="BL1193" s="123"/>
      <c r="BM1193" s="123"/>
      <c r="BN1193" s="123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115"/>
      <c r="CB1193" s="115"/>
      <c r="CC1193" s="25"/>
      <c r="CD1193" s="13"/>
      <c r="CG1193" s="114"/>
    </row>
    <row r="1194" spans="1:85" ht="19.5" x14ac:dyDescent="0.4">
      <c r="A1194" s="117"/>
      <c r="B1194" s="123"/>
      <c r="C1194" s="123"/>
      <c r="D1194" s="123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27"/>
      <c r="AU1194" s="29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26"/>
      <c r="BF1194" s="13"/>
      <c r="BK1194" s="117"/>
      <c r="BL1194" s="123"/>
      <c r="BM1194" s="123"/>
      <c r="BN1194" s="123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115"/>
      <c r="CB1194" s="115"/>
      <c r="CC1194" s="25"/>
      <c r="CD1194" s="13"/>
      <c r="CG1194" s="114"/>
    </row>
    <row r="1195" spans="1:85" ht="19.5" x14ac:dyDescent="0.4">
      <c r="A1195" s="117"/>
      <c r="B1195" s="123"/>
      <c r="C1195" s="123"/>
      <c r="D1195" s="123"/>
      <c r="AT1195" s="127"/>
      <c r="AU1195" s="29"/>
      <c r="BE1195" s="26"/>
      <c r="BF1195" s="13"/>
      <c r="BK1195" s="117"/>
      <c r="BL1195" s="123"/>
      <c r="BM1195" s="123"/>
      <c r="BN1195" s="123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115"/>
      <c r="CB1195" s="115"/>
      <c r="CC1195" s="25">
        <v>45270</v>
      </c>
      <c r="CD1195" s="13" t="s">
        <v>162</v>
      </c>
      <c r="CG1195" s="114"/>
    </row>
    <row r="1196" spans="1:85" ht="19.5" x14ac:dyDescent="0.4">
      <c r="A1196" s="117"/>
      <c r="B1196" s="123"/>
      <c r="C1196" s="123"/>
      <c r="D1196" s="123"/>
      <c r="AT1196" s="127"/>
      <c r="AU1196" s="29"/>
      <c r="AX1196" s="115"/>
      <c r="AY1196" s="115"/>
      <c r="AZ1196" s="115"/>
      <c r="BA1196" s="115"/>
      <c r="BB1196" s="115"/>
      <c r="BC1196" s="115"/>
      <c r="BD1196" s="115"/>
      <c r="BE1196" s="26"/>
      <c r="BF1196" s="15"/>
      <c r="BK1196" s="117"/>
      <c r="BL1196" s="123"/>
      <c r="BM1196" s="123"/>
      <c r="BN1196" s="123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115"/>
      <c r="CB1196" s="115"/>
      <c r="CC1196" s="25"/>
      <c r="CD1196" s="13"/>
      <c r="CG1196" s="114"/>
    </row>
    <row r="1197" spans="1:85" ht="19.5" x14ac:dyDescent="0.4">
      <c r="A1197" s="117"/>
      <c r="B1197" s="123"/>
      <c r="C1197" s="123"/>
      <c r="D1197" s="123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29"/>
      <c r="AU1197" s="29"/>
      <c r="AX1197" s="115"/>
      <c r="AY1197" s="115"/>
      <c r="AZ1197" s="115"/>
      <c r="BA1197" s="115"/>
      <c r="BB1197" s="115"/>
      <c r="BC1197" s="115"/>
      <c r="BD1197" s="115"/>
      <c r="BE1197" s="26"/>
      <c r="BF1197" s="13"/>
      <c r="BK1197" s="117"/>
      <c r="BL1197" s="123"/>
      <c r="BM1197" s="123"/>
      <c r="BN1197" s="123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115"/>
      <c r="CB1197" s="115"/>
      <c r="CC1197" s="25"/>
      <c r="CD1197" s="13"/>
      <c r="CG1197" s="114"/>
    </row>
    <row r="1198" spans="1:85" ht="19.5" x14ac:dyDescent="0.4">
      <c r="A1198" s="117"/>
      <c r="B1198" s="123"/>
      <c r="C1198" s="123"/>
      <c r="D1198" s="123"/>
      <c r="AT1198" s="127"/>
      <c r="AU1198" s="29"/>
      <c r="BE1198" s="26"/>
      <c r="BF1198" s="13"/>
      <c r="BK1198" s="117"/>
      <c r="BL1198" s="123"/>
      <c r="BM1198" s="123"/>
      <c r="BN1198" s="123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115"/>
      <c r="CB1198" s="115"/>
      <c r="CC1198" s="25">
        <v>45270</v>
      </c>
      <c r="CD1198" s="13" t="s">
        <v>162</v>
      </c>
      <c r="CG1198" s="114"/>
    </row>
    <row r="1199" spans="1:85" ht="19.5" x14ac:dyDescent="0.4">
      <c r="A1199" s="117"/>
      <c r="B1199" s="123"/>
      <c r="C1199" s="123"/>
      <c r="D1199" s="123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29"/>
      <c r="AU1199" s="29"/>
      <c r="BE1199" s="26"/>
      <c r="BF1199" s="13"/>
      <c r="BK1199" s="117"/>
      <c r="BL1199" s="123"/>
      <c r="BM1199" s="123"/>
      <c r="BN1199" s="123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115"/>
      <c r="CB1199" s="115"/>
      <c r="CC1199" s="25"/>
      <c r="CD1199" s="13"/>
      <c r="CG1199" s="114"/>
    </row>
    <row r="1200" spans="1:85" ht="19.5" x14ac:dyDescent="0.4">
      <c r="A1200" s="117"/>
      <c r="B1200" s="123"/>
      <c r="C1200" s="123"/>
      <c r="D1200" s="123"/>
      <c r="AT1200" s="127"/>
      <c r="AU1200" s="29"/>
      <c r="AZ1200" s="115"/>
      <c r="BA1200" s="115"/>
      <c r="BB1200" s="115"/>
      <c r="BC1200" s="115"/>
      <c r="BD1200" s="115"/>
      <c r="BE1200" s="17"/>
      <c r="BF1200" s="13"/>
      <c r="BK1200" s="117"/>
      <c r="BL1200" s="123"/>
      <c r="BM1200" s="123"/>
      <c r="BN1200" s="123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115"/>
      <c r="CB1200" s="115"/>
      <c r="CC1200" s="25"/>
      <c r="CD1200" s="13"/>
      <c r="CG1200" s="114"/>
    </row>
    <row r="1201" spans="1:85" ht="19.5" x14ac:dyDescent="0.4">
      <c r="A1201" s="117"/>
      <c r="B1201" s="123"/>
      <c r="C1201" s="123"/>
      <c r="D1201" s="123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29"/>
      <c r="AU1201" s="29"/>
      <c r="AZ1201" s="115"/>
      <c r="BA1201" s="115"/>
      <c r="BB1201" s="115"/>
      <c r="BC1201" s="115"/>
      <c r="BD1201" s="115"/>
      <c r="BE1201" s="17"/>
      <c r="BF1201" s="13"/>
      <c r="BK1201" s="117"/>
      <c r="BL1201" s="123"/>
      <c r="BM1201" s="123"/>
      <c r="BN1201" s="123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115"/>
      <c r="CB1201" s="115"/>
      <c r="CC1201" s="25"/>
      <c r="CD1201" s="13"/>
      <c r="CG1201" s="114"/>
    </row>
    <row r="1202" spans="1:85" ht="19.5" x14ac:dyDescent="0.4">
      <c r="A1202" s="117"/>
      <c r="B1202" s="123"/>
      <c r="C1202" s="123"/>
      <c r="D1202" s="123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29"/>
      <c r="AU1202" s="29"/>
      <c r="AZ1202" s="115"/>
      <c r="BA1202" s="115"/>
      <c r="BB1202" s="115"/>
      <c r="BC1202" s="115"/>
      <c r="BD1202" s="115"/>
      <c r="BE1202" s="17"/>
      <c r="BF1202" s="13"/>
      <c r="BK1202" s="117"/>
      <c r="BL1202" s="123"/>
      <c r="BM1202" s="123"/>
      <c r="BN1202" s="123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115"/>
      <c r="CB1202" s="115"/>
      <c r="CC1202" s="25"/>
      <c r="CD1202" s="13"/>
      <c r="CG1202" s="114"/>
    </row>
    <row r="1203" spans="1:85" ht="19.5" x14ac:dyDescent="0.4">
      <c r="A1203" s="117"/>
      <c r="B1203" s="123"/>
      <c r="C1203" s="123"/>
      <c r="D1203" s="123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26"/>
      <c r="BF1203" s="13"/>
      <c r="BK1203" s="117"/>
      <c r="BL1203" s="123"/>
      <c r="BM1203" s="123"/>
      <c r="BN1203" s="123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115"/>
      <c r="CB1203" s="115"/>
      <c r="CC1203" s="25"/>
      <c r="CD1203" s="13"/>
      <c r="CG1203" s="114"/>
    </row>
    <row r="1204" spans="1:85" ht="19.5" x14ac:dyDescent="0.4">
      <c r="A1204" s="117"/>
      <c r="B1204" s="123"/>
      <c r="C1204" s="123"/>
      <c r="D1204" s="123"/>
      <c r="BE1204" s="26"/>
      <c r="BF1204" s="13"/>
      <c r="BK1204" s="117"/>
      <c r="BL1204" s="123"/>
      <c r="BM1204" s="123"/>
      <c r="BN1204" s="123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115"/>
      <c r="CC1204" s="25"/>
      <c r="CD1204" s="13"/>
      <c r="CG1204" s="114"/>
    </row>
    <row r="1205" spans="1:85" ht="19.5" x14ac:dyDescent="0.4">
      <c r="A1205" s="117"/>
      <c r="B1205" s="123"/>
      <c r="C1205" s="123"/>
      <c r="D1205" s="123"/>
      <c r="BE1205" s="26"/>
      <c r="BF1205" s="13"/>
      <c r="BK1205" s="117"/>
      <c r="BL1205" s="123"/>
      <c r="BM1205" s="123"/>
      <c r="BN1205" s="123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115"/>
      <c r="CC1205" s="25">
        <v>45270</v>
      </c>
      <c r="CD1205" s="13" t="s">
        <v>163</v>
      </c>
      <c r="CG1205" s="114"/>
    </row>
    <row r="1206" spans="1:85" ht="19.5" x14ac:dyDescent="0.4">
      <c r="A1206" s="117"/>
      <c r="B1206" s="123"/>
      <c r="C1206" s="123"/>
      <c r="D1206" s="123"/>
      <c r="AZ1206" s="115"/>
      <c r="BA1206" s="115"/>
      <c r="BB1206" s="115"/>
      <c r="BC1206" s="115"/>
      <c r="BD1206" s="115"/>
      <c r="BE1206" s="17"/>
      <c r="BF1206" s="13"/>
      <c r="BK1206" s="117"/>
      <c r="BL1206" s="123"/>
      <c r="BM1206" s="123"/>
      <c r="BN1206" s="123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115"/>
      <c r="CC1206" s="25"/>
      <c r="CD1206" s="13"/>
      <c r="CG1206" s="114"/>
    </row>
    <row r="1207" spans="1:85" ht="19.5" x14ac:dyDescent="0.4">
      <c r="A1207" s="117"/>
      <c r="B1207" s="123"/>
      <c r="C1207" s="123"/>
      <c r="D1207" s="123"/>
      <c r="BE1207" s="26"/>
      <c r="BF1207" s="13"/>
      <c r="BK1207" s="117"/>
      <c r="BL1207" s="123"/>
      <c r="BM1207" s="123"/>
      <c r="BN1207" s="123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115"/>
      <c r="CB1207" s="115" t="s">
        <v>151</v>
      </c>
      <c r="CC1207" s="13">
        <f>SUBTOTAL(3,CC1188:CC1205)</f>
        <v>5</v>
      </c>
      <c r="CD1207" s="13">
        <f>SUBTOTAL(3,CD1188:CD1205)</f>
        <v>5</v>
      </c>
      <c r="CG1207" s="114"/>
    </row>
    <row r="1208" spans="1:85" ht="19.5" x14ac:dyDescent="0.4">
      <c r="A1208" s="117"/>
      <c r="B1208" s="123"/>
      <c r="C1208" s="123"/>
      <c r="D1208" s="123"/>
      <c r="AY1208" s="115"/>
      <c r="AZ1208" s="115"/>
      <c r="BA1208" s="115"/>
      <c r="BB1208" s="115"/>
      <c r="BC1208" s="115"/>
      <c r="BD1208" s="115"/>
      <c r="BE1208" s="26"/>
      <c r="BF1208" s="13"/>
      <c r="BK1208" s="117"/>
      <c r="BL1208" s="123"/>
      <c r="BM1208" s="123"/>
      <c r="BN1208" s="123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115"/>
      <c r="CB1208" s="115"/>
      <c r="CC1208" s="13"/>
      <c r="CD1208" s="13"/>
      <c r="CG1208" s="114"/>
    </row>
    <row r="1209" spans="1:85" ht="19.5" x14ac:dyDescent="0.4">
      <c r="A1209" s="117"/>
      <c r="B1209" s="123"/>
      <c r="C1209" s="123"/>
      <c r="D1209" s="123"/>
      <c r="BE1209" s="26"/>
      <c r="BF1209" s="13"/>
      <c r="BK1209" s="117"/>
      <c r="BL1209" s="123"/>
      <c r="BM1209" s="123"/>
      <c r="BN1209" s="123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115"/>
      <c r="CB1209" s="115"/>
      <c r="CC1209" s="25">
        <v>45271</v>
      </c>
      <c r="CD1209" s="13" t="s">
        <v>162</v>
      </c>
      <c r="CG1209" s="114"/>
    </row>
    <row r="1210" spans="1:85" ht="19.5" x14ac:dyDescent="0.4">
      <c r="A1210" s="117"/>
      <c r="B1210" s="123"/>
      <c r="C1210" s="123"/>
      <c r="D1210" s="123"/>
      <c r="BE1210" s="26"/>
      <c r="BF1210" s="13"/>
      <c r="BK1210" s="117"/>
      <c r="BL1210" s="123"/>
      <c r="BM1210" s="123"/>
      <c r="BN1210" s="123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115"/>
      <c r="CB1210" s="115"/>
      <c r="CC1210" s="25">
        <v>45271</v>
      </c>
      <c r="CD1210" s="13" t="s">
        <v>163</v>
      </c>
      <c r="CG1210" s="114"/>
    </row>
    <row r="1211" spans="1:85" ht="19.5" x14ac:dyDescent="0.4">
      <c r="A1211" s="117"/>
      <c r="B1211" s="123"/>
      <c r="C1211" s="123"/>
      <c r="D1211" s="123"/>
      <c r="AY1211" s="115"/>
      <c r="AZ1211" s="115"/>
      <c r="BA1211" s="115"/>
      <c r="BB1211" s="115"/>
      <c r="BC1211" s="115"/>
      <c r="BD1211" s="115"/>
      <c r="BE1211" s="26"/>
      <c r="BF1211" s="13"/>
      <c r="BK1211" s="117"/>
      <c r="BL1211" s="123"/>
      <c r="BM1211" s="123"/>
      <c r="BN1211" s="123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115"/>
      <c r="CB1211" s="115"/>
      <c r="CC1211" s="25"/>
      <c r="CD1211" s="13"/>
      <c r="CG1211" s="114"/>
    </row>
    <row r="1212" spans="1:85" ht="19.5" x14ac:dyDescent="0.4">
      <c r="A1212" s="117"/>
      <c r="B1212" s="123"/>
      <c r="C1212" s="123"/>
      <c r="D1212" s="123"/>
      <c r="AX1212" s="115"/>
      <c r="AY1212" s="115"/>
      <c r="AZ1212" s="115"/>
      <c r="BA1212" s="115"/>
      <c r="BB1212" s="115"/>
      <c r="BC1212" s="115"/>
      <c r="BD1212" s="115"/>
      <c r="BE1212" s="26"/>
      <c r="BF1212" s="13"/>
      <c r="BK1212" s="117"/>
      <c r="BL1212" s="123"/>
      <c r="BM1212" s="123"/>
      <c r="BN1212" s="123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115"/>
      <c r="CB1212" s="115"/>
      <c r="CC1212" s="25"/>
      <c r="CD1212" s="13"/>
      <c r="CG1212" s="114"/>
    </row>
    <row r="1213" spans="1:85" ht="19.5" x14ac:dyDescent="0.4">
      <c r="A1213" s="117"/>
      <c r="B1213" s="123"/>
      <c r="C1213" s="123"/>
      <c r="D1213" s="123"/>
      <c r="AX1213" s="115"/>
      <c r="AY1213" s="115"/>
      <c r="AZ1213" s="115"/>
      <c r="BA1213" s="115"/>
      <c r="BB1213" s="115"/>
      <c r="BC1213" s="115"/>
      <c r="BD1213" s="115"/>
      <c r="BE1213" s="17"/>
      <c r="BF1213" s="13"/>
      <c r="BK1213" s="117"/>
      <c r="BL1213" s="123"/>
      <c r="BM1213" s="123"/>
      <c r="BN1213" s="123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115"/>
      <c r="CB1213" s="115"/>
      <c r="CC1213" s="25"/>
      <c r="CD1213" s="13"/>
      <c r="CG1213" s="114"/>
    </row>
    <row r="1214" spans="1:85" ht="19.5" x14ac:dyDescent="0.4">
      <c r="A1214" s="117"/>
      <c r="B1214" s="123"/>
      <c r="C1214" s="123"/>
      <c r="D1214" s="123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26"/>
      <c r="BF1214" s="13"/>
      <c r="BK1214" s="117"/>
      <c r="BL1214" s="123"/>
      <c r="BM1214" s="123"/>
      <c r="BN1214" s="123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115"/>
      <c r="CB1214" s="115"/>
      <c r="CC1214" s="25"/>
      <c r="CD1214" s="13"/>
      <c r="CG1214" s="114"/>
    </row>
    <row r="1215" spans="1:85" ht="19.5" x14ac:dyDescent="0.4">
      <c r="A1215" s="117"/>
      <c r="B1215" s="123"/>
      <c r="C1215" s="123"/>
      <c r="D1215" s="123"/>
      <c r="BE1215" s="26"/>
      <c r="BF1215" s="13"/>
      <c r="BK1215" s="117"/>
      <c r="BL1215" s="123"/>
      <c r="BM1215" s="123"/>
      <c r="BN1215" s="123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115"/>
      <c r="CB1215" s="115"/>
      <c r="CC1215" s="25">
        <v>45271</v>
      </c>
      <c r="CD1215" s="13" t="s">
        <v>163</v>
      </c>
      <c r="CG1215" s="114"/>
    </row>
    <row r="1216" spans="1:85" ht="19.5" x14ac:dyDescent="0.4">
      <c r="A1216" s="117"/>
      <c r="B1216" s="123"/>
      <c r="C1216" s="123"/>
      <c r="D1216" s="123"/>
      <c r="AY1216" s="115"/>
      <c r="AZ1216" s="115"/>
      <c r="BA1216" s="115"/>
      <c r="BB1216" s="115"/>
      <c r="BC1216" s="115"/>
      <c r="BD1216" s="115"/>
      <c r="BE1216" s="26"/>
      <c r="BF1216" s="13"/>
      <c r="BK1216" s="117"/>
      <c r="BL1216" s="123"/>
      <c r="BM1216" s="123"/>
      <c r="BN1216" s="123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/>
      <c r="CA1216" s="115"/>
      <c r="CB1216" s="115"/>
      <c r="CC1216" s="25"/>
      <c r="CD1216" s="13"/>
      <c r="CG1216" s="114"/>
    </row>
    <row r="1217" spans="1:85" ht="19.5" x14ac:dyDescent="0.4">
      <c r="A1217" s="117"/>
      <c r="B1217" s="123"/>
      <c r="C1217" s="123"/>
      <c r="D1217" s="123"/>
      <c r="AW1217" s="115"/>
      <c r="AX1217" s="115"/>
      <c r="AY1217" s="115"/>
      <c r="AZ1217" s="115"/>
      <c r="BA1217" s="115"/>
      <c r="BB1217" s="115"/>
      <c r="BC1217" s="115"/>
      <c r="BD1217" s="115"/>
      <c r="BE1217" s="26"/>
      <c r="BF1217" s="13"/>
      <c r="BK1217" s="117"/>
      <c r="BL1217" s="123"/>
      <c r="BM1217" s="123"/>
      <c r="BN1217" s="123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15"/>
      <c r="CB1217" s="115"/>
      <c r="CC1217" s="25"/>
      <c r="CD1217" s="13"/>
      <c r="CG1217" s="114"/>
    </row>
    <row r="1218" spans="1:85" ht="19.5" x14ac:dyDescent="0.4">
      <c r="A1218" s="117"/>
      <c r="B1218" s="123"/>
      <c r="C1218" s="123"/>
      <c r="D1218" s="123"/>
      <c r="AW1218" s="115"/>
      <c r="AX1218" s="115"/>
      <c r="AY1218" s="115"/>
      <c r="AZ1218" s="115"/>
      <c r="BA1218" s="115"/>
      <c r="BB1218" s="115"/>
      <c r="BC1218" s="115"/>
      <c r="BD1218" s="115"/>
      <c r="BE1218" s="17"/>
      <c r="BF1218" s="13"/>
      <c r="BK1218" s="117"/>
      <c r="BL1218" s="123"/>
      <c r="BM1218" s="123"/>
      <c r="BN1218" s="123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115"/>
      <c r="CB1218" s="115"/>
      <c r="CC1218" s="25"/>
      <c r="CD1218" s="13"/>
      <c r="CG1218" s="114"/>
    </row>
    <row r="1219" spans="1:85" ht="19.5" x14ac:dyDescent="0.4">
      <c r="A1219" s="117"/>
      <c r="B1219" s="123"/>
      <c r="C1219" s="123"/>
      <c r="D1219" s="123"/>
      <c r="BE1219" s="26"/>
      <c r="BF1219" s="13"/>
      <c r="BK1219" s="117"/>
      <c r="BL1219" s="123"/>
      <c r="BM1219" s="123"/>
      <c r="BN1219" s="123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115"/>
      <c r="CB1219" s="115" t="s">
        <v>165</v>
      </c>
      <c r="CC1219" s="13">
        <f>SUBTOTAL(3,CC1209:CC1215)</f>
        <v>3</v>
      </c>
      <c r="CD1219" s="13">
        <f>SUBTOTAL(3,CD1209:CD1215)</f>
        <v>3</v>
      </c>
      <c r="CG1219" s="114"/>
    </row>
    <row r="1220" spans="1:85" ht="19.5" x14ac:dyDescent="0.4">
      <c r="A1220" s="117"/>
      <c r="B1220" s="123"/>
      <c r="C1220" s="123"/>
      <c r="D1220" s="123"/>
      <c r="BE1220" s="26"/>
      <c r="BF1220" s="13"/>
      <c r="BK1220" s="117"/>
      <c r="BL1220" s="123"/>
      <c r="BM1220" s="123"/>
      <c r="BN1220" s="123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115"/>
      <c r="CB1220" s="115"/>
      <c r="CC1220" s="25">
        <v>45272</v>
      </c>
      <c r="CD1220" s="13" t="s">
        <v>162</v>
      </c>
      <c r="CG1220" s="114"/>
    </row>
    <row r="1221" spans="1:85" ht="19.5" x14ac:dyDescent="0.4">
      <c r="A1221" s="117"/>
      <c r="B1221" s="123"/>
      <c r="C1221" s="123"/>
      <c r="D1221" s="123"/>
      <c r="AZ1221" s="115"/>
      <c r="BA1221" s="115"/>
      <c r="BB1221" s="115"/>
      <c r="BC1221" s="115"/>
      <c r="BD1221" s="115"/>
      <c r="BE1221" s="17"/>
      <c r="BF1221" s="13"/>
      <c r="BK1221" s="117"/>
      <c r="BL1221" s="123"/>
      <c r="BM1221" s="123"/>
      <c r="BN1221" s="123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115"/>
      <c r="CB1221" s="115"/>
      <c r="CC1221" s="25"/>
      <c r="CD1221" s="13"/>
      <c r="CG1221" s="114"/>
    </row>
    <row r="1222" spans="1:85" ht="19.5" x14ac:dyDescent="0.4">
      <c r="A1222" s="117"/>
      <c r="B1222" s="123"/>
      <c r="C1222" s="123"/>
      <c r="D1222" s="123"/>
      <c r="BE1222" s="26"/>
      <c r="BF1222" s="15"/>
      <c r="BK1222" s="117"/>
      <c r="BL1222" s="123"/>
      <c r="BM1222" s="123"/>
      <c r="BN1222" s="123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115"/>
      <c r="CB1222" s="115"/>
      <c r="CC1222" s="25">
        <v>45272</v>
      </c>
      <c r="CD1222" s="13" t="s">
        <v>162</v>
      </c>
      <c r="CG1222" s="114"/>
    </row>
    <row r="1223" spans="1:85" ht="19.5" x14ac:dyDescent="0.4">
      <c r="A1223" s="117"/>
      <c r="B1223" s="123"/>
      <c r="C1223" s="123"/>
      <c r="D1223" s="123"/>
      <c r="AZ1223" s="115"/>
      <c r="BA1223" s="115"/>
      <c r="BB1223" s="115"/>
      <c r="BC1223" s="115"/>
      <c r="BD1223" s="115"/>
      <c r="BE1223" s="17"/>
      <c r="BF1223" s="13"/>
      <c r="BK1223" s="117"/>
      <c r="BL1223" s="123"/>
      <c r="BM1223" s="123"/>
      <c r="BN1223" s="123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115"/>
      <c r="CB1223" s="115"/>
      <c r="CC1223" s="25"/>
      <c r="CD1223" s="13"/>
      <c r="CG1223" s="114"/>
    </row>
    <row r="1224" spans="1:85" ht="19.5" x14ac:dyDescent="0.4">
      <c r="A1224" s="117"/>
      <c r="B1224" s="123"/>
      <c r="C1224" s="123"/>
      <c r="D1224" s="123"/>
      <c r="AZ1224" s="115"/>
      <c r="BA1224" s="115"/>
      <c r="BB1224" s="115"/>
      <c r="BC1224" s="115"/>
      <c r="BD1224" s="115"/>
      <c r="BE1224" s="17"/>
      <c r="BF1224" s="13"/>
      <c r="BK1224" s="117"/>
      <c r="BL1224" s="123"/>
      <c r="BM1224" s="123"/>
      <c r="BN1224" s="123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115"/>
      <c r="CB1224" s="115"/>
      <c r="CC1224" s="25"/>
      <c r="CD1224" s="13"/>
      <c r="CG1224" s="114"/>
    </row>
    <row r="1225" spans="1:85" ht="19.5" x14ac:dyDescent="0.4">
      <c r="A1225" s="117"/>
      <c r="B1225" s="123"/>
      <c r="C1225" s="123"/>
      <c r="D1225" s="123"/>
      <c r="BE1225" s="26"/>
      <c r="BF1225" s="13"/>
      <c r="BK1225" s="117"/>
      <c r="BL1225" s="123"/>
      <c r="BM1225" s="123"/>
      <c r="BN1225" s="123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115"/>
      <c r="CB1225" s="115"/>
      <c r="CC1225" s="25">
        <v>45272</v>
      </c>
      <c r="CD1225" s="13" t="s">
        <v>162</v>
      </c>
      <c r="CG1225" s="114"/>
    </row>
    <row r="1226" spans="1:85" ht="19.5" x14ac:dyDescent="0.4">
      <c r="A1226" s="125"/>
      <c r="B1226" s="126"/>
      <c r="C1226" s="126"/>
      <c r="D1226" s="126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26"/>
      <c r="BF1226" s="13"/>
      <c r="BK1226" s="117"/>
      <c r="BL1226" s="123"/>
      <c r="BM1226" s="123"/>
      <c r="BN1226" s="123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115"/>
      <c r="CB1226" s="115"/>
      <c r="CC1226" s="25"/>
      <c r="CD1226" s="13"/>
      <c r="CG1226" s="114"/>
    </row>
    <row r="1227" spans="1:85" ht="19.5" x14ac:dyDescent="0.4">
      <c r="A1227" s="125"/>
      <c r="B1227" s="126"/>
      <c r="C1227" s="126"/>
      <c r="D1227" s="126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26"/>
      <c r="BF1227" s="13"/>
      <c r="BK1227" s="117"/>
      <c r="BL1227" s="123"/>
      <c r="BM1227" s="123"/>
      <c r="BN1227" s="123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115"/>
      <c r="CB1227" s="115"/>
      <c r="CC1227" s="25"/>
      <c r="CD1227" s="13"/>
      <c r="CG1227" s="114"/>
    </row>
    <row r="1228" spans="1:85" ht="19.5" x14ac:dyDescent="0.4">
      <c r="A1228" s="125"/>
      <c r="B1228" s="126"/>
      <c r="C1228" s="126"/>
      <c r="D1228" s="126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7"/>
      <c r="BF1228" s="13"/>
      <c r="BK1228" s="117"/>
      <c r="BL1228" s="123"/>
      <c r="BM1228" s="123"/>
      <c r="BN1228" s="123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115"/>
      <c r="CB1228" s="115"/>
      <c r="CC1228" s="25"/>
      <c r="CD1228" s="13"/>
      <c r="CG1228" s="114"/>
    </row>
    <row r="1229" spans="1:85" ht="19.5" x14ac:dyDescent="0.4">
      <c r="A1229" s="125"/>
      <c r="B1229" s="126"/>
      <c r="C1229" s="126"/>
      <c r="D1229" s="126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26"/>
      <c r="BF1229" s="13"/>
      <c r="BK1229" s="117"/>
      <c r="BL1229" s="123"/>
      <c r="BM1229" s="123"/>
      <c r="BN1229" s="123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115"/>
      <c r="CB1229" s="115"/>
      <c r="CC1229" s="25"/>
      <c r="CD1229" s="13"/>
      <c r="CG1229" s="114"/>
    </row>
    <row r="1230" spans="1:85" ht="19.5" x14ac:dyDescent="0.4">
      <c r="BE1230" s="26"/>
      <c r="BF1230" s="13"/>
      <c r="BK1230" s="117"/>
      <c r="BL1230" s="123"/>
      <c r="BM1230" s="123"/>
      <c r="BN1230" s="123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115"/>
      <c r="CB1230" s="115"/>
      <c r="CC1230" s="25">
        <v>45272</v>
      </c>
      <c r="CD1230" s="13" t="s">
        <v>162</v>
      </c>
      <c r="CG1230" s="114"/>
    </row>
    <row r="1231" spans="1:85" ht="19.5" x14ac:dyDescent="0.4">
      <c r="BE1231" s="26"/>
      <c r="BF1231" s="13"/>
      <c r="BK1231" s="117"/>
      <c r="BL1231" s="123"/>
      <c r="BM1231" s="123"/>
      <c r="BN1231" s="123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115"/>
      <c r="CA1231" s="115"/>
      <c r="CB1231" s="115"/>
      <c r="CC1231" s="25"/>
      <c r="CD1231" s="13"/>
      <c r="CG1231" s="114"/>
    </row>
    <row r="1232" spans="1:85" ht="19.5" x14ac:dyDescent="0.4"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26"/>
      <c r="BF1232" s="25"/>
      <c r="BK1232" s="117"/>
      <c r="BL1232" s="123"/>
      <c r="BM1232" s="123"/>
      <c r="BN1232" s="123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115"/>
      <c r="CA1232" s="115"/>
      <c r="CB1232" s="115"/>
      <c r="CC1232" s="25"/>
      <c r="CD1232" s="13"/>
      <c r="CG1232" s="114"/>
    </row>
    <row r="1233" spans="6:85" ht="19.5" x14ac:dyDescent="0.4">
      <c r="BE1233" s="26"/>
      <c r="BF1233" s="25"/>
      <c r="BK1233" s="117"/>
      <c r="BL1233" s="123"/>
      <c r="BM1233" s="123"/>
      <c r="BN1233" s="123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115"/>
      <c r="CA1233" s="115"/>
      <c r="CB1233" s="115"/>
      <c r="CC1233" s="25">
        <v>45272</v>
      </c>
      <c r="CD1233" s="13" t="s">
        <v>162</v>
      </c>
      <c r="CG1233" s="114"/>
    </row>
    <row r="1234" spans="6:85" ht="19.5" x14ac:dyDescent="0.4">
      <c r="BE1234" s="26"/>
      <c r="BF1234" s="13"/>
      <c r="BK1234" s="117"/>
      <c r="BL1234" s="123"/>
      <c r="BM1234" s="123"/>
      <c r="BN1234" s="123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115"/>
      <c r="CA1234" s="115"/>
      <c r="CB1234" s="115"/>
      <c r="CC1234" s="25">
        <v>45272</v>
      </c>
      <c r="CD1234" s="15" t="s">
        <v>162</v>
      </c>
      <c r="CG1234" s="114"/>
    </row>
    <row r="1235" spans="6:85" ht="19.5" x14ac:dyDescent="0.4">
      <c r="BE1235" s="26"/>
      <c r="BF1235" s="13"/>
      <c r="BK1235" s="117"/>
      <c r="BL1235" s="123"/>
      <c r="BM1235" s="123"/>
      <c r="BN1235" s="123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115"/>
      <c r="CA1235" s="115"/>
      <c r="CB1235" s="115"/>
      <c r="CC1235" s="25">
        <v>45272</v>
      </c>
      <c r="CD1235" s="15" t="s">
        <v>162</v>
      </c>
      <c r="CG1235" s="114"/>
    </row>
    <row r="1236" spans="6:85" ht="19.5" x14ac:dyDescent="0.4"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26"/>
      <c r="BF1236" s="13"/>
      <c r="BK1236" s="117"/>
      <c r="BL1236" s="123"/>
      <c r="BM1236" s="123"/>
      <c r="BN1236" s="123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115"/>
      <c r="CA1236" s="115"/>
      <c r="CB1236" s="115"/>
      <c r="CC1236" s="25"/>
      <c r="CD1236" s="15"/>
      <c r="CG1236" s="114"/>
    </row>
    <row r="1237" spans="6:85" ht="19.5" x14ac:dyDescent="0.4"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7"/>
      <c r="BF1237" s="13"/>
      <c r="BK1237" s="117"/>
      <c r="BL1237" s="123"/>
      <c r="BM1237" s="123"/>
      <c r="BN1237" s="123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115"/>
      <c r="CB1237" s="115"/>
      <c r="CC1237" s="25"/>
      <c r="CD1237" s="15"/>
      <c r="CG1237" s="114"/>
    </row>
    <row r="1238" spans="6:85" ht="19.5" x14ac:dyDescent="0.4">
      <c r="BE1238" s="26"/>
      <c r="BF1238" s="13"/>
      <c r="BK1238" s="117"/>
      <c r="BL1238" s="123"/>
      <c r="BM1238" s="123"/>
      <c r="BN1238" s="123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115"/>
      <c r="CB1238" s="115"/>
      <c r="CC1238" s="25">
        <v>45272</v>
      </c>
      <c r="CD1238" s="15" t="s">
        <v>162</v>
      </c>
      <c r="CG1238" s="114"/>
    </row>
    <row r="1239" spans="6:85" ht="19.5" x14ac:dyDescent="0.4"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26"/>
      <c r="BF1239" s="13"/>
      <c r="BK1239" s="117"/>
      <c r="BL1239" s="123"/>
      <c r="BM1239" s="123"/>
      <c r="BN1239" s="123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115"/>
      <c r="CB1239" s="115"/>
      <c r="CC1239" s="25"/>
      <c r="CD1239" s="15"/>
      <c r="CG1239" s="114"/>
    </row>
    <row r="1240" spans="6:85" ht="19.5" x14ac:dyDescent="0.4"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26"/>
      <c r="BF1240" s="13"/>
      <c r="BK1240" s="117"/>
      <c r="BL1240" s="123"/>
      <c r="BM1240" s="123"/>
      <c r="BN1240" s="123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115"/>
      <c r="CB1240" s="115"/>
      <c r="CC1240" s="25"/>
      <c r="CD1240" s="15"/>
      <c r="CG1240" s="114"/>
    </row>
    <row r="1241" spans="6:85" ht="19.5" x14ac:dyDescent="0.4"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7"/>
      <c r="BF1241" s="13"/>
      <c r="BK1241" s="117"/>
      <c r="BL1241" s="123"/>
      <c r="BM1241" s="123"/>
      <c r="BN1241" s="123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115"/>
      <c r="CB1241" s="115"/>
      <c r="CC1241" s="25"/>
      <c r="CD1241" s="15"/>
      <c r="CG1241" s="114"/>
    </row>
    <row r="1242" spans="6:85" ht="19.5" x14ac:dyDescent="0.4"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26"/>
      <c r="BF1242" s="13"/>
      <c r="BK1242" s="117"/>
      <c r="BL1242" s="123"/>
      <c r="BM1242" s="123"/>
      <c r="BN1242" s="123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115"/>
      <c r="CB1242" s="115"/>
      <c r="CC1242" s="25"/>
      <c r="CD1242" s="15"/>
      <c r="CG1242" s="114"/>
    </row>
    <row r="1243" spans="6:85" ht="19.5" x14ac:dyDescent="0.4"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7"/>
      <c r="BF1243" s="13"/>
      <c r="BK1243" s="117"/>
      <c r="BL1243" s="123"/>
      <c r="BM1243" s="123"/>
      <c r="BN1243" s="123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115"/>
      <c r="CB1243" s="115"/>
      <c r="CC1243" s="25"/>
      <c r="CD1243" s="15"/>
      <c r="CG1243" s="114"/>
    </row>
    <row r="1244" spans="6:85" ht="19.5" x14ac:dyDescent="0.4"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26"/>
      <c r="BF1244" s="13"/>
      <c r="BK1244" s="117"/>
      <c r="BL1244" s="123"/>
      <c r="BM1244" s="123"/>
      <c r="BN1244" s="123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115"/>
      <c r="CB1244" s="115"/>
      <c r="CC1244" s="25"/>
      <c r="CD1244" s="15"/>
      <c r="CG1244" s="114"/>
    </row>
    <row r="1245" spans="6:85" ht="19.5" x14ac:dyDescent="0.4">
      <c r="BE1245" s="26"/>
      <c r="BF1245" s="13"/>
      <c r="BK1245" s="117"/>
      <c r="BL1245" s="123"/>
      <c r="BM1245" s="123"/>
      <c r="BN1245" s="123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115"/>
      <c r="CB1245" s="115"/>
      <c r="CC1245" s="25">
        <v>45272</v>
      </c>
      <c r="CD1245" s="15" t="s">
        <v>162</v>
      </c>
      <c r="CG1245" s="114"/>
    </row>
    <row r="1246" spans="6:85" ht="19.5" x14ac:dyDescent="0.4">
      <c r="AX1246" s="115"/>
      <c r="AY1246" s="115"/>
      <c r="AZ1246" s="115"/>
      <c r="BA1246" s="115"/>
      <c r="BB1246" s="115"/>
      <c r="BC1246" s="115"/>
      <c r="BD1246" s="115"/>
      <c r="BE1246" s="26"/>
      <c r="BF1246" s="13"/>
      <c r="BK1246" s="117"/>
      <c r="BL1246" s="123"/>
      <c r="BM1246" s="123"/>
      <c r="BN1246" s="123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115"/>
      <c r="CB1246" s="115"/>
      <c r="CC1246" s="25"/>
      <c r="CD1246" s="15"/>
      <c r="CG1246" s="114"/>
    </row>
    <row r="1247" spans="6:85" ht="19.5" x14ac:dyDescent="0.4">
      <c r="AX1247" s="115"/>
      <c r="AY1247" s="115"/>
      <c r="AZ1247" s="115"/>
      <c r="BA1247" s="115"/>
      <c r="BB1247" s="115"/>
      <c r="BC1247" s="115"/>
      <c r="BD1247" s="115"/>
      <c r="BE1247" s="17"/>
      <c r="BF1247" s="13"/>
      <c r="BK1247" s="117"/>
      <c r="BL1247" s="123"/>
      <c r="BM1247" s="123"/>
      <c r="BN1247" s="123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115"/>
      <c r="CB1247" s="115"/>
      <c r="CC1247" s="25"/>
      <c r="CD1247" s="15"/>
      <c r="CG1247" s="114"/>
    </row>
    <row r="1248" spans="6:85" ht="19.5" x14ac:dyDescent="0.4"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26"/>
      <c r="BF1248" s="13"/>
      <c r="BK1248" s="117"/>
      <c r="BL1248" s="123"/>
      <c r="BM1248" s="123"/>
      <c r="BN1248" s="123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115"/>
      <c r="CB1248" s="115"/>
      <c r="CC1248" s="25"/>
      <c r="CD1248" s="15"/>
      <c r="CG1248" s="114"/>
    </row>
    <row r="1249" spans="6:85" ht="19.5" x14ac:dyDescent="0.4"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7"/>
      <c r="BF1249" s="13"/>
      <c r="BK1249" s="117"/>
      <c r="BL1249" s="123"/>
      <c r="BM1249" s="123"/>
      <c r="BN1249" s="123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/>
      <c r="CA1249" s="115"/>
      <c r="CB1249" s="115"/>
      <c r="CC1249" s="25"/>
      <c r="CD1249" s="15"/>
      <c r="CG1249" s="114"/>
    </row>
    <row r="1250" spans="6:85" ht="19.5" x14ac:dyDescent="0.4"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26"/>
      <c r="BF1250" s="25"/>
      <c r="BK1250" s="117"/>
      <c r="BL1250" s="123"/>
      <c r="BM1250" s="123"/>
      <c r="BN1250" s="123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115"/>
      <c r="CB1250" s="115"/>
      <c r="CC1250" s="25"/>
      <c r="CD1250" s="15"/>
      <c r="CG1250" s="114"/>
    </row>
    <row r="1251" spans="6:85" ht="19.5" x14ac:dyDescent="0.4"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7"/>
      <c r="BF1251" s="13"/>
      <c r="BK1251" s="117"/>
      <c r="BL1251" s="123"/>
      <c r="BM1251" s="123"/>
      <c r="BN1251" s="123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115"/>
      <c r="CB1251" s="115"/>
      <c r="CC1251" s="25"/>
      <c r="CD1251" s="15"/>
      <c r="CG1251" s="114"/>
    </row>
    <row r="1252" spans="6:85" ht="19.5" x14ac:dyDescent="0.4"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26"/>
      <c r="BF1252" s="13"/>
      <c r="BK1252" s="117"/>
      <c r="BL1252" s="123"/>
      <c r="BM1252" s="123"/>
      <c r="BN1252" s="123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115"/>
      <c r="CB1252" s="115"/>
      <c r="CC1252" s="25"/>
      <c r="CD1252" s="15"/>
      <c r="CG1252" s="114"/>
    </row>
    <row r="1253" spans="6:85" ht="19.5" x14ac:dyDescent="0.4">
      <c r="BE1253" s="26"/>
      <c r="BF1253" s="13"/>
      <c r="BK1253" s="117"/>
      <c r="BL1253" s="123"/>
      <c r="BM1253" s="123"/>
      <c r="BN1253" s="123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115"/>
      <c r="CB1253" s="115"/>
      <c r="CC1253" s="25">
        <v>45272</v>
      </c>
      <c r="CD1253" s="15" t="s">
        <v>162</v>
      </c>
      <c r="CG1253" s="114"/>
    </row>
    <row r="1254" spans="6:85" ht="19.5" x14ac:dyDescent="0.4">
      <c r="AY1254" s="115"/>
      <c r="AZ1254" s="115"/>
      <c r="BA1254" s="115"/>
      <c r="BB1254" s="115"/>
      <c r="BC1254" s="115"/>
      <c r="BD1254" s="115"/>
      <c r="BE1254" s="17"/>
      <c r="BF1254" s="13"/>
      <c r="BK1254" s="117"/>
      <c r="BL1254" s="123"/>
      <c r="BM1254" s="123"/>
      <c r="BN1254" s="123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115"/>
      <c r="CB1254" s="115"/>
      <c r="CC1254" s="25"/>
      <c r="CD1254" s="15"/>
      <c r="CG1254" s="114"/>
    </row>
    <row r="1255" spans="6:85" ht="19.5" x14ac:dyDescent="0.4">
      <c r="AX1255" s="115"/>
      <c r="AY1255" s="115"/>
      <c r="AZ1255" s="115"/>
      <c r="BA1255" s="115"/>
      <c r="BB1255" s="115"/>
      <c r="BC1255" s="115"/>
      <c r="BD1255" s="115"/>
      <c r="BE1255" s="26"/>
      <c r="BF1255" s="13"/>
      <c r="BK1255" s="117"/>
      <c r="BL1255" s="123"/>
      <c r="BM1255" s="123"/>
      <c r="BN1255" s="123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115"/>
      <c r="CB1255" s="115"/>
      <c r="CC1255" s="25"/>
      <c r="CD1255" s="15"/>
      <c r="CG1255" s="114"/>
    </row>
    <row r="1256" spans="6:85" ht="19.5" x14ac:dyDescent="0.4">
      <c r="AX1256" s="115"/>
      <c r="AY1256" s="115"/>
      <c r="AZ1256" s="115"/>
      <c r="BA1256" s="115"/>
      <c r="BB1256" s="115"/>
      <c r="BC1256" s="115"/>
      <c r="BD1256" s="115"/>
      <c r="BE1256" s="17"/>
      <c r="BF1256" s="13"/>
      <c r="BK1256" s="117"/>
      <c r="BL1256" s="123"/>
      <c r="BM1256" s="123"/>
      <c r="BN1256" s="123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115"/>
      <c r="CB1256" s="115"/>
      <c r="CC1256" s="25"/>
      <c r="CD1256" s="15"/>
      <c r="CG1256" s="114"/>
    </row>
    <row r="1257" spans="6:85" ht="19.5" x14ac:dyDescent="0.4">
      <c r="AX1257" s="115"/>
      <c r="AY1257" s="115"/>
      <c r="AZ1257" s="115"/>
      <c r="BA1257" s="115"/>
      <c r="BB1257" s="115"/>
      <c r="BC1257" s="115"/>
      <c r="BD1257" s="115"/>
      <c r="BE1257" s="17"/>
      <c r="BF1257" s="13"/>
      <c r="BK1257" s="117"/>
      <c r="BL1257" s="123"/>
      <c r="BM1257" s="123"/>
      <c r="BN1257" s="123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115"/>
      <c r="CB1257" s="115"/>
      <c r="CC1257" s="25"/>
      <c r="CD1257" s="15"/>
      <c r="CG1257" s="114"/>
    </row>
    <row r="1258" spans="6:85" ht="19.5" x14ac:dyDescent="0.4"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26"/>
      <c r="BF1258" s="13"/>
      <c r="BK1258" s="117"/>
      <c r="BL1258" s="123"/>
      <c r="BM1258" s="123"/>
      <c r="BN1258" s="123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115"/>
      <c r="CB1258" s="115"/>
      <c r="CC1258" s="25"/>
      <c r="CD1258" s="15"/>
      <c r="CG1258" s="114"/>
    </row>
    <row r="1259" spans="6:85" ht="19.5" x14ac:dyDescent="0.4"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20"/>
      <c r="BF1259" s="13"/>
      <c r="BK1259" s="117"/>
      <c r="BL1259" s="123"/>
      <c r="BM1259" s="123"/>
      <c r="BN1259" s="123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115"/>
      <c r="CB1259" s="115"/>
      <c r="CC1259" s="25"/>
      <c r="CD1259" s="15"/>
      <c r="CG1259" s="114"/>
    </row>
    <row r="1260" spans="6:85" ht="19.5" x14ac:dyDescent="0.4"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20"/>
      <c r="BF1260" s="13"/>
      <c r="BK1260" s="117"/>
      <c r="BL1260" s="123"/>
      <c r="BM1260" s="123"/>
      <c r="BN1260" s="123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115"/>
      <c r="CB1260" s="115"/>
      <c r="CC1260" s="25"/>
      <c r="CD1260" s="15"/>
      <c r="CG1260" s="114"/>
    </row>
    <row r="1261" spans="6:85" ht="19.5" x14ac:dyDescent="0.4"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25"/>
      <c r="BF1261" s="15"/>
      <c r="BK1261" s="117"/>
      <c r="BL1261" s="123"/>
      <c r="BM1261" s="123"/>
      <c r="BN1261" s="123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115"/>
      <c r="CA1261" s="115"/>
      <c r="CB1261" s="115"/>
      <c r="CC1261" s="25"/>
      <c r="CD1261" s="15"/>
      <c r="CG1261" s="114"/>
    </row>
    <row r="1262" spans="6:85" ht="19.5" x14ac:dyDescent="0.4"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25"/>
      <c r="BF1262" s="15"/>
      <c r="BK1262" s="117"/>
      <c r="BL1262" s="123"/>
      <c r="BM1262" s="123"/>
      <c r="BN1262" s="123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115"/>
      <c r="CA1262" s="115"/>
      <c r="CB1262" s="115"/>
      <c r="CC1262" s="25"/>
      <c r="CD1262" s="15"/>
      <c r="CG1262" s="114"/>
    </row>
    <row r="1263" spans="6:85" ht="19.5" x14ac:dyDescent="0.4"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25"/>
      <c r="BF1263" s="15"/>
      <c r="BK1263" s="117"/>
      <c r="BL1263" s="123"/>
      <c r="BM1263" s="123"/>
      <c r="BN1263" s="123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115"/>
      <c r="CA1263" s="115"/>
      <c r="CB1263" s="115"/>
      <c r="CC1263" s="25"/>
      <c r="CD1263" s="15"/>
      <c r="CG1263" s="114"/>
    </row>
    <row r="1264" spans="6:85" ht="19.5" x14ac:dyDescent="0.4">
      <c r="BE1264" s="26"/>
      <c r="BF1264" s="15"/>
      <c r="BK1264" s="117"/>
      <c r="BL1264" s="123"/>
      <c r="BM1264" s="123"/>
      <c r="BN1264" s="123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115"/>
      <c r="CA1264" s="115"/>
      <c r="CB1264" s="115"/>
      <c r="CC1264" s="25">
        <v>45272</v>
      </c>
      <c r="CD1264" s="15" t="s">
        <v>162</v>
      </c>
      <c r="CG1264" s="114"/>
    </row>
    <row r="1265" spans="46:85" ht="19.5" x14ac:dyDescent="0.4">
      <c r="BE1265" s="26"/>
      <c r="BF1265" s="13"/>
      <c r="BK1265" s="117"/>
      <c r="BL1265" s="123"/>
      <c r="BM1265" s="123"/>
      <c r="BN1265" s="123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115"/>
      <c r="CA1265" s="115"/>
      <c r="CB1265" s="115"/>
      <c r="CC1265" s="25"/>
      <c r="CD1265" s="15"/>
      <c r="CG1265" s="114"/>
    </row>
    <row r="1266" spans="46:85" ht="19.5" x14ac:dyDescent="0.4"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26"/>
      <c r="BF1266" s="13"/>
      <c r="BK1266" s="117"/>
      <c r="BL1266" s="123"/>
      <c r="BM1266" s="123"/>
      <c r="BN1266" s="123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115"/>
      <c r="CA1266" s="115"/>
      <c r="CB1266" s="115"/>
      <c r="CC1266" s="25"/>
      <c r="CD1266" s="15"/>
      <c r="CG1266" s="114"/>
    </row>
    <row r="1267" spans="46:85" ht="19.5" x14ac:dyDescent="0.4">
      <c r="BE1267" s="26"/>
      <c r="BF1267" s="13"/>
      <c r="BK1267" s="117"/>
      <c r="BL1267" s="123"/>
      <c r="BM1267" s="123"/>
      <c r="BN1267" s="123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15"/>
      <c r="CB1267" s="115"/>
      <c r="CC1267" s="25">
        <v>45272</v>
      </c>
      <c r="CD1267" s="15" t="s">
        <v>162</v>
      </c>
      <c r="CG1267" s="114"/>
    </row>
    <row r="1268" spans="46:85" ht="19.5" x14ac:dyDescent="0.4">
      <c r="AW1268" s="115"/>
      <c r="AX1268" s="115"/>
      <c r="AY1268" s="115"/>
      <c r="AZ1268" s="115"/>
      <c r="BA1268" s="115"/>
      <c r="BB1268" s="115"/>
      <c r="BC1268" s="115"/>
      <c r="BD1268" s="115"/>
      <c r="BE1268" s="17"/>
      <c r="BF1268" s="13"/>
      <c r="BK1268" s="117"/>
      <c r="BL1268" s="123"/>
      <c r="BM1268" s="123"/>
      <c r="BN1268" s="123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15"/>
      <c r="CB1268" s="115"/>
      <c r="CC1268" s="25"/>
      <c r="CD1268" s="15"/>
      <c r="CG1268" s="114"/>
    </row>
    <row r="1269" spans="46:85" ht="19.5" x14ac:dyDescent="0.4">
      <c r="BE1269" s="26"/>
      <c r="BF1269" s="13"/>
      <c r="BK1269" s="117"/>
      <c r="BL1269" s="123"/>
      <c r="BM1269" s="123"/>
      <c r="BN1269" s="123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15"/>
      <c r="CB1269" s="115"/>
      <c r="CC1269" s="25"/>
      <c r="CD1269" s="15"/>
      <c r="CG1269" s="114"/>
    </row>
    <row r="1270" spans="46:85" ht="19.5" x14ac:dyDescent="0.4"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26"/>
      <c r="BF1270" s="13"/>
      <c r="BK1270" s="117"/>
      <c r="BL1270" s="123"/>
      <c r="BM1270" s="123"/>
      <c r="BN1270" s="123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15"/>
      <c r="CB1270" s="115"/>
      <c r="CC1270" s="25"/>
      <c r="CD1270" s="15"/>
      <c r="CG1270" s="114"/>
    </row>
    <row r="1271" spans="46:85" ht="19.5" x14ac:dyDescent="0.4">
      <c r="BE1271" s="26"/>
      <c r="BF1271" s="13"/>
      <c r="BK1271" s="117"/>
      <c r="BL1271" s="123"/>
      <c r="BM1271" s="123"/>
      <c r="BN1271" s="123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115"/>
      <c r="CB1271" s="115"/>
      <c r="CC1271" s="25">
        <v>45272</v>
      </c>
      <c r="CD1271" s="15" t="s">
        <v>162</v>
      </c>
      <c r="CG1271" s="114"/>
    </row>
    <row r="1272" spans="46:85" ht="19.5" x14ac:dyDescent="0.4">
      <c r="BE1272" s="26"/>
      <c r="BF1272" s="13"/>
      <c r="BK1272" s="117"/>
      <c r="BL1272" s="123"/>
      <c r="BM1272" s="123"/>
      <c r="BN1272" s="123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/>
      <c r="CA1272" s="115"/>
      <c r="CB1272" s="115" t="s">
        <v>166</v>
      </c>
      <c r="CC1272" s="13">
        <f>SUBTOTAL(3,CC1220:CC1271)</f>
        <v>13</v>
      </c>
      <c r="CD1272" s="15">
        <f>SUBTOTAL(3,CD1220:CD1271)</f>
        <v>13</v>
      </c>
      <c r="CG1272" s="114"/>
    </row>
    <row r="1273" spans="46:85" ht="19.5" x14ac:dyDescent="0.4">
      <c r="AW1273" s="115"/>
      <c r="AX1273" s="115"/>
      <c r="AY1273" s="115"/>
      <c r="AZ1273" s="115"/>
      <c r="BA1273" s="115"/>
      <c r="BB1273" s="115"/>
      <c r="BC1273" s="115"/>
      <c r="BD1273" s="115"/>
      <c r="BE1273" s="17"/>
      <c r="BF1273" s="13"/>
      <c r="BK1273" s="117"/>
      <c r="BL1273" s="123"/>
      <c r="BM1273" s="123"/>
      <c r="BN1273" s="123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115"/>
      <c r="CB1273" s="115"/>
      <c r="CC1273" s="13"/>
      <c r="CD1273" s="15"/>
      <c r="CG1273" s="114"/>
    </row>
    <row r="1274" spans="46:85" ht="19.5" x14ac:dyDescent="0.4">
      <c r="BE1274" s="26"/>
      <c r="BF1274" s="13"/>
      <c r="BK1274" s="117"/>
      <c r="BL1274" s="123"/>
      <c r="BM1274" s="123"/>
      <c r="BN1274" s="123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115"/>
      <c r="CB1274" s="115"/>
      <c r="CC1274" s="25">
        <v>45273</v>
      </c>
      <c r="CD1274" s="105" t="s">
        <v>164</v>
      </c>
      <c r="CG1274" s="114"/>
    </row>
    <row r="1275" spans="46:85" ht="19.5" x14ac:dyDescent="0.4">
      <c r="BE1275" s="26"/>
      <c r="BF1275" s="13"/>
      <c r="BK1275" s="117"/>
      <c r="BL1275" s="123"/>
      <c r="BM1275" s="123"/>
      <c r="BN1275" s="123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115"/>
      <c r="CB1275" s="115"/>
      <c r="CC1275" s="25">
        <v>45273</v>
      </c>
      <c r="CD1275" s="15" t="s">
        <v>164</v>
      </c>
      <c r="CG1275" s="114"/>
    </row>
    <row r="1276" spans="46:85" ht="19.5" x14ac:dyDescent="0.4"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26"/>
      <c r="BF1276" s="13"/>
      <c r="BK1276" s="117"/>
      <c r="BL1276" s="123"/>
      <c r="BM1276" s="123"/>
      <c r="BN1276" s="123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115"/>
      <c r="CA1276" s="115"/>
      <c r="CB1276" s="115"/>
      <c r="CC1276" s="25"/>
      <c r="CD1276" s="13"/>
      <c r="CG1276" s="114"/>
    </row>
    <row r="1277" spans="46:85" ht="19.5" x14ac:dyDescent="0.4">
      <c r="BE1277" s="26"/>
      <c r="BF1277" s="13"/>
      <c r="BK1277" s="117"/>
      <c r="BL1277" s="123"/>
      <c r="BM1277" s="123"/>
      <c r="BN1277" s="123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115"/>
      <c r="CA1277" s="115"/>
      <c r="CB1277" s="115"/>
      <c r="CC1277" s="25">
        <v>45273</v>
      </c>
      <c r="CD1277" s="13" t="s">
        <v>164</v>
      </c>
      <c r="CG1277" s="114"/>
    </row>
    <row r="1278" spans="46:85" ht="19.5" x14ac:dyDescent="0.4">
      <c r="BE1278" s="26"/>
      <c r="BF1278" s="13"/>
      <c r="BK1278" s="117"/>
      <c r="BL1278" s="123"/>
      <c r="BM1278" s="123"/>
      <c r="BN1278" s="123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115"/>
      <c r="CA1278" s="115"/>
      <c r="CB1278" s="115"/>
      <c r="CC1278" s="25">
        <v>45273</v>
      </c>
      <c r="CD1278" s="15" t="s">
        <v>164</v>
      </c>
      <c r="CG1278" s="114"/>
    </row>
    <row r="1279" spans="46:85" ht="19.5" x14ac:dyDescent="0.4">
      <c r="BE1279" s="26"/>
      <c r="BF1279" s="13"/>
      <c r="BK1279" s="117"/>
      <c r="BL1279" s="123"/>
      <c r="BM1279" s="123"/>
      <c r="BN1279" s="123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115"/>
      <c r="CA1279" s="115"/>
      <c r="CB1279" s="115"/>
      <c r="CC1279" s="25">
        <v>45273</v>
      </c>
      <c r="CD1279" s="15" t="s">
        <v>162</v>
      </c>
      <c r="CG1279" s="114"/>
    </row>
    <row r="1280" spans="46:85" ht="19.5" x14ac:dyDescent="0.4"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26"/>
      <c r="BF1280" s="13"/>
      <c r="BK1280" s="117"/>
      <c r="BL1280" s="123"/>
      <c r="BM1280" s="123"/>
      <c r="BN1280" s="123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115"/>
      <c r="CA1280" s="115"/>
      <c r="CB1280" s="115"/>
      <c r="CC1280" s="25"/>
      <c r="CD1280" s="15"/>
      <c r="CG1280" s="114"/>
    </row>
    <row r="1281" spans="46:85" ht="19.5" x14ac:dyDescent="0.4">
      <c r="BE1281" s="26"/>
      <c r="BF1281" s="13"/>
      <c r="BK1281" s="117"/>
      <c r="BL1281" s="123"/>
      <c r="BM1281" s="123"/>
      <c r="BN1281" s="123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115"/>
      <c r="CA1281" s="115"/>
      <c r="CB1281" s="115"/>
      <c r="CC1281" s="25">
        <v>45273</v>
      </c>
      <c r="CD1281" s="15" t="s">
        <v>162</v>
      </c>
      <c r="CG1281" s="114"/>
    </row>
    <row r="1282" spans="46:85" ht="19.5" x14ac:dyDescent="0.4">
      <c r="BE1282" s="26"/>
      <c r="BF1282" s="13"/>
      <c r="BK1282" s="117"/>
      <c r="BL1282" s="123"/>
      <c r="BM1282" s="123"/>
      <c r="BN1282" s="123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115"/>
      <c r="CA1282" s="115"/>
      <c r="CB1282" s="115"/>
      <c r="CC1282" s="25">
        <v>45273</v>
      </c>
      <c r="CD1282" s="15" t="s">
        <v>162</v>
      </c>
      <c r="CG1282" s="114"/>
    </row>
    <row r="1283" spans="46:85" ht="19.5" x14ac:dyDescent="0.4">
      <c r="BE1283" s="26"/>
      <c r="BF1283" s="13"/>
      <c r="BK1283" s="117"/>
      <c r="BL1283" s="123"/>
      <c r="BM1283" s="123"/>
      <c r="BN1283" s="123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115"/>
      <c r="CA1283" s="115"/>
      <c r="CB1283" s="115"/>
      <c r="CC1283" s="25">
        <v>45273</v>
      </c>
      <c r="CD1283" s="15" t="s">
        <v>162</v>
      </c>
      <c r="CG1283" s="114"/>
    </row>
    <row r="1284" spans="46:85" ht="19.5" x14ac:dyDescent="0.4"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26"/>
      <c r="BF1284" s="13"/>
      <c r="BK1284" s="117"/>
      <c r="BL1284" s="123"/>
      <c r="BM1284" s="123"/>
      <c r="BN1284" s="123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115"/>
      <c r="CA1284" s="115"/>
      <c r="CB1284" s="115"/>
      <c r="CC1284" s="25"/>
      <c r="CD1284" s="15"/>
      <c r="CG1284" s="114"/>
    </row>
    <row r="1285" spans="46:85" ht="19.5" x14ac:dyDescent="0.4">
      <c r="BE1285" s="26"/>
      <c r="BF1285" s="13"/>
      <c r="BK1285" s="117"/>
      <c r="BL1285" s="123"/>
      <c r="BM1285" s="123"/>
      <c r="BN1285" s="123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115"/>
      <c r="CA1285" s="115"/>
      <c r="CB1285" s="115"/>
      <c r="CC1285" s="25">
        <v>45273</v>
      </c>
      <c r="CD1285" s="15" t="s">
        <v>162</v>
      </c>
      <c r="CG1285" s="114"/>
    </row>
    <row r="1286" spans="46:85" ht="19.5" x14ac:dyDescent="0.4">
      <c r="BE1286" s="26"/>
      <c r="BF1286" s="13"/>
      <c r="BK1286" s="117"/>
      <c r="BL1286" s="123"/>
      <c r="BM1286" s="123"/>
      <c r="BN1286" s="123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115"/>
      <c r="CA1286" s="115"/>
      <c r="CB1286" s="115"/>
      <c r="CC1286" s="25">
        <v>45273</v>
      </c>
      <c r="CD1286" s="15" t="s">
        <v>162</v>
      </c>
      <c r="CG1286" s="114"/>
    </row>
    <row r="1287" spans="46:85" ht="19.5" x14ac:dyDescent="0.4">
      <c r="BE1287" s="26"/>
      <c r="BF1287" s="13"/>
      <c r="BK1287" s="117"/>
      <c r="BL1287" s="123"/>
      <c r="BM1287" s="123"/>
      <c r="BN1287" s="123"/>
      <c r="BO1287" s="115"/>
      <c r="BP1287" s="115"/>
      <c r="BQ1287" s="115"/>
      <c r="BR1287" s="115"/>
      <c r="BS1287" s="124"/>
      <c r="BT1287" s="124"/>
      <c r="BU1287" s="124"/>
      <c r="BV1287" s="124"/>
      <c r="BW1287" s="124"/>
      <c r="BX1287" s="124"/>
      <c r="BY1287" s="124"/>
      <c r="BZ1287" s="124"/>
      <c r="CA1287" s="124"/>
      <c r="CB1287" s="124"/>
      <c r="CC1287" s="25">
        <v>45273</v>
      </c>
      <c r="CD1287" s="15" t="s">
        <v>162</v>
      </c>
      <c r="CG1287" s="114"/>
    </row>
    <row r="1288" spans="46:85" ht="19.5" x14ac:dyDescent="0.4">
      <c r="BE1288" s="26"/>
      <c r="BF1288" s="13"/>
      <c r="BK1288" s="117"/>
      <c r="BL1288" s="123"/>
      <c r="BM1288" s="123"/>
      <c r="BN1288" s="123"/>
      <c r="BO1288" s="115"/>
      <c r="BP1288" s="115"/>
      <c r="BQ1288" s="115"/>
      <c r="BR1288" s="115"/>
      <c r="BS1288" s="124"/>
      <c r="BT1288" s="124"/>
      <c r="BU1288" s="124"/>
      <c r="BV1288" s="124"/>
      <c r="BW1288" s="124"/>
      <c r="BX1288" s="124"/>
      <c r="BY1288" s="124"/>
      <c r="BZ1288" s="124"/>
      <c r="CA1288" s="124"/>
      <c r="CB1288" s="124"/>
      <c r="CC1288" s="25">
        <v>45273</v>
      </c>
      <c r="CD1288" s="15" t="s">
        <v>162</v>
      </c>
      <c r="CG1288" s="114"/>
    </row>
    <row r="1289" spans="46:85" ht="19.5" x14ac:dyDescent="0.4">
      <c r="AW1289" s="115"/>
      <c r="AX1289" s="115"/>
      <c r="AY1289" s="115"/>
      <c r="AZ1289" s="115"/>
      <c r="BA1289" s="115"/>
      <c r="BB1289" s="115"/>
      <c r="BC1289" s="115"/>
      <c r="BD1289" s="115"/>
      <c r="BE1289" s="17"/>
      <c r="BF1289" s="13"/>
      <c r="BK1289" s="117"/>
      <c r="BL1289" s="123"/>
      <c r="BM1289" s="123"/>
      <c r="BN1289" s="123"/>
      <c r="BO1289" s="115"/>
      <c r="BP1289" s="115"/>
      <c r="BQ1289" s="115"/>
      <c r="BR1289" s="115"/>
      <c r="BS1289" s="124"/>
      <c r="BT1289" s="124"/>
      <c r="BU1289" s="124"/>
      <c r="BV1289" s="124"/>
      <c r="BW1289" s="124"/>
      <c r="BX1289" s="124"/>
      <c r="BY1289" s="124"/>
      <c r="BZ1289" s="124"/>
      <c r="CA1289" s="124"/>
      <c r="CB1289" s="124"/>
      <c r="CC1289" s="25"/>
      <c r="CD1289" s="15"/>
      <c r="CG1289" s="114"/>
    </row>
    <row r="1290" spans="46:85" ht="19.5" x14ac:dyDescent="0.4">
      <c r="BE1290" s="26"/>
      <c r="BF1290" s="13"/>
      <c r="BK1290" s="117"/>
      <c r="BL1290" s="123"/>
      <c r="BM1290" s="123"/>
      <c r="BN1290" s="123"/>
      <c r="BO1290" s="115"/>
      <c r="BP1290" s="115"/>
      <c r="BQ1290" s="115"/>
      <c r="BR1290" s="115"/>
      <c r="BS1290" s="124"/>
      <c r="BT1290" s="124"/>
      <c r="BU1290" s="124"/>
      <c r="BV1290" s="124"/>
      <c r="BW1290" s="124"/>
      <c r="BX1290" s="124"/>
      <c r="BY1290" s="124"/>
      <c r="BZ1290" s="124"/>
      <c r="CA1290" s="124"/>
      <c r="CB1290" s="124"/>
      <c r="CC1290" s="25">
        <v>45273</v>
      </c>
      <c r="CD1290" s="15" t="s">
        <v>162</v>
      </c>
      <c r="CG1290" s="114"/>
    </row>
    <row r="1291" spans="46:85" ht="19.5" x14ac:dyDescent="0.4">
      <c r="AW1291" s="115"/>
      <c r="AX1291" s="115"/>
      <c r="AY1291" s="115"/>
      <c r="AZ1291" s="115"/>
      <c r="BA1291" s="115"/>
      <c r="BB1291" s="115"/>
      <c r="BC1291" s="115"/>
      <c r="BD1291" s="115"/>
      <c r="BE1291" s="17"/>
      <c r="BF1291" s="13"/>
      <c r="BK1291" s="117"/>
      <c r="BL1291" s="123"/>
      <c r="BM1291" s="123"/>
      <c r="BN1291" s="123"/>
      <c r="BO1291" s="115"/>
      <c r="BP1291" s="115"/>
      <c r="BQ1291" s="115"/>
      <c r="BR1291" s="115"/>
      <c r="BS1291" s="124"/>
      <c r="BT1291" s="124"/>
      <c r="BU1291" s="124"/>
      <c r="BV1291" s="124"/>
      <c r="BW1291" s="124"/>
      <c r="BX1291" s="124"/>
      <c r="BY1291" s="124"/>
      <c r="BZ1291" s="124"/>
      <c r="CA1291" s="124"/>
      <c r="CB1291" s="124"/>
      <c r="CC1291" s="25"/>
      <c r="CD1291" s="15"/>
      <c r="CG1291" s="114"/>
    </row>
    <row r="1292" spans="46:85" ht="19.5" x14ac:dyDescent="0.4">
      <c r="BE1292" s="26"/>
      <c r="BF1292" s="13"/>
      <c r="BK1292" s="117"/>
      <c r="BL1292" s="123"/>
      <c r="BM1292" s="123"/>
      <c r="BN1292" s="123"/>
      <c r="BO1292" s="115"/>
      <c r="BP1292" s="115"/>
      <c r="BQ1292" s="115"/>
      <c r="BR1292" s="115"/>
      <c r="BS1292" s="124"/>
      <c r="BT1292" s="124"/>
      <c r="BU1292" s="124"/>
      <c r="BV1292" s="124"/>
      <c r="BW1292" s="124"/>
      <c r="BX1292" s="124"/>
      <c r="BY1292" s="124"/>
      <c r="BZ1292" s="124"/>
      <c r="CA1292" s="124"/>
      <c r="CB1292" s="124"/>
      <c r="CC1292" s="25">
        <v>45273</v>
      </c>
      <c r="CD1292" s="15" t="s">
        <v>162</v>
      </c>
      <c r="CG1292" s="114"/>
    </row>
    <row r="1293" spans="46:85" ht="19.5" x14ac:dyDescent="0.4">
      <c r="BE1293" s="26"/>
      <c r="BF1293" s="13"/>
      <c r="BK1293" s="117"/>
      <c r="BL1293" s="123"/>
      <c r="BM1293" s="123"/>
      <c r="BN1293" s="123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115"/>
      <c r="CA1293" s="115"/>
      <c r="CB1293" s="115"/>
      <c r="CC1293" s="25">
        <v>45273</v>
      </c>
      <c r="CD1293" s="13" t="s">
        <v>162</v>
      </c>
      <c r="CG1293" s="114"/>
    </row>
    <row r="1294" spans="46:85" ht="19.5" x14ac:dyDescent="0.4">
      <c r="BE1294" s="26"/>
      <c r="BF1294" s="13"/>
      <c r="BK1294" s="117"/>
      <c r="BL1294" s="123"/>
      <c r="BM1294" s="123"/>
      <c r="BN1294" s="123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115"/>
      <c r="CA1294" s="115"/>
      <c r="CB1294" s="115"/>
      <c r="CC1294" s="25">
        <v>45273</v>
      </c>
      <c r="CD1294" s="15" t="s">
        <v>162</v>
      </c>
      <c r="CG1294" s="114"/>
    </row>
    <row r="1295" spans="46:85" ht="19.5" x14ac:dyDescent="0.4">
      <c r="BE1295" s="26"/>
      <c r="BF1295" s="13"/>
      <c r="BK1295" s="117"/>
      <c r="BL1295" s="123"/>
      <c r="BM1295" s="123"/>
      <c r="BN1295" s="123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115"/>
      <c r="CA1295" s="115"/>
      <c r="CB1295" s="115"/>
      <c r="CC1295" s="25">
        <v>45273</v>
      </c>
      <c r="CD1295" s="15" t="s">
        <v>162</v>
      </c>
      <c r="CG1295" s="114"/>
    </row>
    <row r="1296" spans="46:85" ht="19.5" x14ac:dyDescent="0.4"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26"/>
      <c r="BF1296" s="25"/>
      <c r="BK1296" s="117"/>
      <c r="BL1296" s="123"/>
      <c r="BM1296" s="123"/>
      <c r="BN1296" s="123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115"/>
      <c r="CA1296" s="115"/>
      <c r="CB1296" s="115"/>
      <c r="CC1296" s="25"/>
      <c r="CD1296" s="15"/>
      <c r="CG1296" s="114"/>
    </row>
    <row r="1297" spans="6:85" ht="19.5" x14ac:dyDescent="0.4">
      <c r="BE1297" s="26"/>
      <c r="BF1297" s="25"/>
      <c r="BK1297" s="117"/>
      <c r="BL1297" s="123"/>
      <c r="BM1297" s="123"/>
      <c r="BN1297" s="123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15"/>
      <c r="CA1297" s="115"/>
      <c r="CB1297" s="115"/>
      <c r="CC1297" s="25">
        <v>45273</v>
      </c>
      <c r="CD1297" s="15" t="s">
        <v>162</v>
      </c>
      <c r="CG1297" s="114"/>
    </row>
    <row r="1298" spans="6:85" ht="19.5" x14ac:dyDescent="0.4">
      <c r="BE1298" s="26"/>
      <c r="BF1298" s="13"/>
      <c r="BK1298" s="117"/>
      <c r="BL1298" s="123"/>
      <c r="BM1298" s="123"/>
      <c r="BN1298" s="123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115"/>
      <c r="CA1298" s="115"/>
      <c r="CB1298" s="115"/>
      <c r="CC1298" s="25">
        <v>45273</v>
      </c>
      <c r="CD1298" s="15" t="s">
        <v>162</v>
      </c>
      <c r="CG1298" s="114"/>
    </row>
    <row r="1299" spans="6:85" ht="19.5" x14ac:dyDescent="0.4"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26"/>
      <c r="BF1299" s="13"/>
      <c r="BK1299" s="117"/>
      <c r="BL1299" s="123"/>
      <c r="BM1299" s="123"/>
      <c r="BN1299" s="123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115"/>
      <c r="CA1299" s="115"/>
      <c r="CB1299" s="115"/>
      <c r="CC1299" s="25"/>
      <c r="CD1299" s="15"/>
      <c r="CG1299" s="114"/>
    </row>
    <row r="1300" spans="6:85" ht="19.5" x14ac:dyDescent="0.4"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26"/>
      <c r="BF1300" s="13"/>
      <c r="BK1300" s="117"/>
      <c r="BL1300" s="123"/>
      <c r="BM1300" s="123"/>
      <c r="BN1300" s="123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115"/>
      <c r="CA1300" s="115"/>
      <c r="CB1300" s="115"/>
      <c r="CC1300" s="25"/>
      <c r="CD1300" s="15"/>
      <c r="CG1300" s="114"/>
    </row>
    <row r="1301" spans="6:85" ht="19.5" x14ac:dyDescent="0.4">
      <c r="BE1301" s="26"/>
      <c r="BF1301" s="13"/>
      <c r="BK1301" s="117"/>
      <c r="BL1301" s="123"/>
      <c r="BM1301" s="123"/>
      <c r="BN1301" s="123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115"/>
      <c r="CA1301" s="115"/>
      <c r="CB1301" s="115"/>
      <c r="CC1301" s="25">
        <v>45273</v>
      </c>
      <c r="CD1301" s="15" t="s">
        <v>162</v>
      </c>
      <c r="CG1301" s="114"/>
    </row>
    <row r="1302" spans="6:85" ht="19.5" x14ac:dyDescent="0.4">
      <c r="BE1302" s="26"/>
      <c r="BF1302" s="13"/>
      <c r="BK1302" s="117"/>
      <c r="BL1302" s="123"/>
      <c r="BM1302" s="123"/>
      <c r="BN1302" s="123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/>
      <c r="BZ1302" s="115"/>
      <c r="CA1302" s="115"/>
      <c r="CB1302" s="115"/>
      <c r="CC1302" s="25">
        <v>45273</v>
      </c>
      <c r="CD1302" s="15" t="s">
        <v>162</v>
      </c>
      <c r="CG1302" s="114"/>
    </row>
    <row r="1303" spans="6:85" ht="19.5" x14ac:dyDescent="0.4">
      <c r="BE1303" s="26"/>
      <c r="BF1303" s="13"/>
      <c r="BK1303" s="117"/>
      <c r="BL1303" s="123"/>
      <c r="BM1303" s="123"/>
      <c r="BN1303" s="123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15"/>
      <c r="CA1303" s="115"/>
      <c r="CB1303" s="115"/>
      <c r="CC1303" s="25">
        <v>45273</v>
      </c>
      <c r="CD1303" s="13" t="s">
        <v>163</v>
      </c>
      <c r="CG1303" s="114"/>
    </row>
    <row r="1304" spans="6:85" ht="19.5" x14ac:dyDescent="0.4">
      <c r="BE1304" s="26"/>
      <c r="BF1304" s="13"/>
      <c r="BK1304" s="117"/>
      <c r="BL1304" s="123"/>
      <c r="BM1304" s="123"/>
      <c r="BN1304" s="123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15"/>
      <c r="CA1304" s="115"/>
      <c r="CB1304" s="115"/>
      <c r="CC1304" s="25"/>
      <c r="CD1304" s="13"/>
      <c r="CG1304" s="114"/>
    </row>
    <row r="1305" spans="6:85" ht="19.5" x14ac:dyDescent="0.4">
      <c r="BE1305" s="26"/>
      <c r="BF1305" s="13"/>
      <c r="BK1305" s="117"/>
      <c r="BL1305" s="123"/>
      <c r="BM1305" s="123"/>
      <c r="BN1305" s="123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115"/>
      <c r="CA1305" s="115"/>
      <c r="CB1305" s="115" t="s">
        <v>152</v>
      </c>
      <c r="CC1305" s="13">
        <f>SUBTOTAL(3,CC1274:CC1303)</f>
        <v>22</v>
      </c>
      <c r="CD1305" s="13">
        <f>SUBTOTAL(3,CD1274:CD1303)</f>
        <v>22</v>
      </c>
      <c r="CG1305" s="114"/>
    </row>
    <row r="1306" spans="6:85" ht="19.5" x14ac:dyDescent="0.4">
      <c r="BE1306" s="26"/>
      <c r="BF1306" s="13"/>
      <c r="BK1306" s="117"/>
      <c r="BL1306" s="123"/>
      <c r="BM1306" s="123"/>
      <c r="BN1306" s="123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115"/>
      <c r="CA1306" s="115"/>
      <c r="CB1306" s="115"/>
      <c r="CC1306" s="25">
        <v>45274</v>
      </c>
      <c r="CD1306" s="15" t="s">
        <v>162</v>
      </c>
      <c r="CG1306" s="114"/>
    </row>
    <row r="1307" spans="6:85" ht="19.5" x14ac:dyDescent="0.4"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26"/>
      <c r="BF1307" s="13"/>
      <c r="BK1307" s="117"/>
      <c r="BL1307" s="123"/>
      <c r="BM1307" s="123"/>
      <c r="BN1307" s="123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115"/>
      <c r="CA1307" s="115"/>
      <c r="CB1307" s="115"/>
      <c r="CC1307" s="25"/>
      <c r="CD1307" s="15"/>
      <c r="CG1307" s="114"/>
    </row>
    <row r="1308" spans="6:85" ht="19.5" x14ac:dyDescent="0.4"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26"/>
      <c r="BF1308" s="13"/>
      <c r="BK1308" s="117"/>
      <c r="BL1308" s="123"/>
      <c r="BM1308" s="123"/>
      <c r="BN1308" s="123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115"/>
      <c r="CA1308" s="115"/>
      <c r="CB1308" s="115"/>
      <c r="CC1308" s="25"/>
      <c r="CD1308" s="15"/>
      <c r="CG1308" s="114"/>
    </row>
    <row r="1309" spans="6:85" ht="19.5" x14ac:dyDescent="0.4">
      <c r="BE1309" s="26"/>
      <c r="BF1309" s="13"/>
      <c r="BK1309" s="117"/>
      <c r="BL1309" s="123"/>
      <c r="BM1309" s="123"/>
      <c r="BN1309" s="123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115"/>
      <c r="CA1309" s="115"/>
      <c r="CB1309" s="115"/>
      <c r="CC1309" s="25">
        <v>45274</v>
      </c>
      <c r="CD1309" s="15" t="s">
        <v>162</v>
      </c>
      <c r="CG1309" s="114"/>
    </row>
    <row r="1310" spans="6:85" ht="19.5" x14ac:dyDescent="0.4"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26"/>
      <c r="BF1310" s="13"/>
      <c r="BK1310" s="117"/>
      <c r="BL1310" s="123"/>
      <c r="BM1310" s="123"/>
      <c r="BN1310" s="123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115"/>
      <c r="CA1310" s="115"/>
      <c r="CB1310" s="115"/>
      <c r="CC1310" s="25"/>
      <c r="CD1310" s="15"/>
      <c r="CG1310" s="114"/>
    </row>
    <row r="1311" spans="6:85" ht="19.5" x14ac:dyDescent="0.4"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26"/>
      <c r="BF1311" s="13"/>
      <c r="BK1311" s="117"/>
      <c r="BL1311" s="123"/>
      <c r="BM1311" s="123"/>
      <c r="BN1311" s="123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115"/>
      <c r="CA1311" s="115"/>
      <c r="CB1311" s="115"/>
      <c r="CC1311" s="25"/>
      <c r="CD1311" s="15"/>
      <c r="CG1311" s="114"/>
    </row>
    <row r="1312" spans="6:85" ht="19.5" x14ac:dyDescent="0.4"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26"/>
      <c r="BF1312" s="13"/>
      <c r="BK1312" s="117"/>
      <c r="BL1312" s="123"/>
      <c r="BM1312" s="123"/>
      <c r="BN1312" s="123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115"/>
      <c r="CA1312" s="115"/>
      <c r="CB1312" s="115"/>
      <c r="CC1312" s="25"/>
      <c r="CD1312" s="15"/>
      <c r="CG1312" s="114"/>
    </row>
    <row r="1313" spans="46:85" ht="19.5" x14ac:dyDescent="0.4">
      <c r="BE1313" s="26"/>
      <c r="BF1313" s="13"/>
      <c r="BK1313" s="117"/>
      <c r="BL1313" s="123"/>
      <c r="BM1313" s="123"/>
      <c r="BN1313" s="123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115"/>
      <c r="CA1313" s="115"/>
      <c r="CB1313" s="115"/>
      <c r="CC1313" s="25">
        <v>45274</v>
      </c>
      <c r="CD1313" s="15" t="s">
        <v>162</v>
      </c>
      <c r="CG1313" s="114"/>
    </row>
    <row r="1314" spans="46:85" ht="19.5" x14ac:dyDescent="0.4"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26"/>
      <c r="BF1314" s="13"/>
      <c r="BK1314" s="117"/>
      <c r="BL1314" s="123"/>
      <c r="BM1314" s="123"/>
      <c r="BN1314" s="123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115"/>
      <c r="CA1314" s="115"/>
      <c r="CB1314" s="115"/>
      <c r="CC1314" s="25"/>
      <c r="CD1314" s="15"/>
      <c r="CG1314" s="114"/>
    </row>
    <row r="1315" spans="46:85" ht="19.5" x14ac:dyDescent="0.4">
      <c r="BE1315" s="26"/>
      <c r="BF1315" s="13"/>
      <c r="BK1315" s="117"/>
      <c r="BL1315" s="123"/>
      <c r="BM1315" s="123"/>
      <c r="BN1315" s="123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115"/>
      <c r="CA1315" s="115"/>
      <c r="CB1315" s="115"/>
      <c r="CC1315" s="25">
        <v>45274</v>
      </c>
      <c r="CD1315" s="15" t="s">
        <v>162</v>
      </c>
      <c r="CG1315" s="114"/>
    </row>
    <row r="1316" spans="46:85" ht="19.5" x14ac:dyDescent="0.4">
      <c r="BE1316" s="26"/>
      <c r="BF1316" s="13"/>
      <c r="BK1316" s="117"/>
      <c r="BL1316" s="123"/>
      <c r="BM1316" s="123"/>
      <c r="BN1316" s="123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115"/>
      <c r="CA1316" s="115"/>
      <c r="CB1316" s="115"/>
      <c r="CC1316" s="25">
        <v>45274</v>
      </c>
      <c r="CD1316" s="15" t="s">
        <v>163</v>
      </c>
      <c r="CG1316" s="114"/>
    </row>
    <row r="1317" spans="46:85" ht="19.5" x14ac:dyDescent="0.4">
      <c r="AW1317" s="115"/>
      <c r="AX1317" s="115"/>
      <c r="AY1317" s="115"/>
      <c r="AZ1317" s="115"/>
      <c r="BA1317" s="115"/>
      <c r="BB1317" s="115"/>
      <c r="BC1317" s="115"/>
      <c r="BD1317" s="115"/>
      <c r="BE1317" s="17"/>
      <c r="BF1317" s="13"/>
      <c r="BK1317" s="117"/>
      <c r="BL1317" s="123"/>
      <c r="BM1317" s="123"/>
      <c r="BN1317" s="123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115"/>
      <c r="CA1317" s="115"/>
      <c r="CB1317" s="115"/>
      <c r="CC1317" s="25"/>
      <c r="CD1317" s="15"/>
      <c r="CG1317" s="114"/>
    </row>
    <row r="1318" spans="46:85" ht="19.5" x14ac:dyDescent="0.4"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26"/>
      <c r="BF1318" s="13"/>
      <c r="BK1318" s="117"/>
      <c r="BL1318" s="123"/>
      <c r="BM1318" s="123"/>
      <c r="BN1318" s="123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115"/>
      <c r="CA1318" s="115"/>
      <c r="CB1318" s="115"/>
      <c r="CC1318" s="25"/>
      <c r="CD1318" s="15"/>
      <c r="CG1318" s="114"/>
    </row>
    <row r="1319" spans="46:85" ht="19.5" x14ac:dyDescent="0.4">
      <c r="BE1319" s="26"/>
      <c r="BF1319" s="25"/>
      <c r="BK1319" s="117"/>
      <c r="BL1319" s="123"/>
      <c r="BM1319" s="123"/>
      <c r="BN1319" s="123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115"/>
      <c r="CA1319" s="115"/>
      <c r="CB1319" s="115" t="s">
        <v>167</v>
      </c>
      <c r="CC1319" s="13">
        <f>SUBTOTAL(3,CC1306:CC1316)</f>
        <v>5</v>
      </c>
      <c r="CD1319" s="15">
        <f>SUBTOTAL(3,CD1306:CD1316)</f>
        <v>5</v>
      </c>
      <c r="CG1319" s="114"/>
    </row>
    <row r="1320" spans="46:85" ht="19.5" x14ac:dyDescent="0.4"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26"/>
      <c r="BF1320" s="105"/>
      <c r="BK1320" s="117"/>
      <c r="BL1320" s="123"/>
      <c r="BM1320" s="123"/>
      <c r="BN1320" s="123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115"/>
      <c r="CA1320" s="115"/>
      <c r="CB1320" s="115"/>
      <c r="CC1320" s="13"/>
      <c r="CD1320" s="15"/>
      <c r="CG1320" s="114"/>
    </row>
    <row r="1321" spans="46:85" ht="19.5" x14ac:dyDescent="0.4">
      <c r="BE1321" s="26"/>
      <c r="BF1321" s="105"/>
      <c r="BK1321" s="117"/>
      <c r="BL1321" s="123"/>
      <c r="BM1321" s="123"/>
      <c r="BN1321" s="123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115"/>
      <c r="CA1321" s="115"/>
      <c r="CB1321" s="115"/>
      <c r="CC1321" s="13"/>
      <c r="CD1321" s="15"/>
      <c r="CG1321" s="114"/>
    </row>
    <row r="1322" spans="46:85" ht="19.5" x14ac:dyDescent="0.4">
      <c r="AW1322" s="115"/>
      <c r="AX1322" s="115"/>
      <c r="AY1322" s="115"/>
      <c r="AZ1322" s="115"/>
      <c r="BA1322" s="115"/>
      <c r="BB1322" s="115"/>
      <c r="BC1322" s="115"/>
      <c r="BD1322" s="115"/>
      <c r="BE1322" s="17"/>
      <c r="BF1322" s="15"/>
      <c r="BK1322" s="117"/>
      <c r="BL1322" s="123"/>
      <c r="BM1322" s="123"/>
      <c r="BN1322" s="123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115"/>
      <c r="CA1322" s="115"/>
      <c r="CB1322" s="115"/>
      <c r="CC1322" s="13"/>
      <c r="CD1322" s="15"/>
      <c r="CG1322" s="114"/>
    </row>
    <row r="1323" spans="46:85" ht="19.5" x14ac:dyDescent="0.4"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26"/>
      <c r="BF1323" s="15"/>
      <c r="BK1323" s="117"/>
      <c r="BL1323" s="123"/>
      <c r="BM1323" s="123"/>
      <c r="BN1323" s="123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115"/>
      <c r="CA1323" s="115"/>
      <c r="CB1323" s="115"/>
      <c r="CC1323" s="13"/>
      <c r="CD1323" s="15"/>
      <c r="CG1323" s="114"/>
    </row>
    <row r="1324" spans="46:85" ht="19.5" x14ac:dyDescent="0.4"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26"/>
      <c r="BF1324" s="15"/>
      <c r="BK1324" s="117"/>
      <c r="BL1324" s="123"/>
      <c r="BM1324" s="123"/>
      <c r="BN1324" s="123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115"/>
      <c r="CA1324" s="115"/>
      <c r="CB1324" s="115"/>
      <c r="CC1324" s="13"/>
      <c r="CD1324" s="15"/>
      <c r="CG1324" s="114"/>
    </row>
    <row r="1325" spans="46:85" ht="19.5" x14ac:dyDescent="0.4"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26"/>
      <c r="BF1325" s="15"/>
      <c r="BK1325" s="117"/>
      <c r="BL1325" s="123"/>
      <c r="BM1325" s="123"/>
      <c r="BN1325" s="123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115"/>
      <c r="CA1325" s="115"/>
      <c r="CB1325" s="115"/>
      <c r="CC1325" s="13"/>
      <c r="CD1325" s="15"/>
      <c r="CG1325" s="114"/>
    </row>
    <row r="1326" spans="46:85" ht="19.5" x14ac:dyDescent="0.4"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26"/>
      <c r="BF1326" s="15"/>
      <c r="BK1326" s="117"/>
      <c r="BL1326" s="123"/>
      <c r="BM1326" s="123"/>
      <c r="BN1326" s="123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115"/>
      <c r="CA1326" s="115"/>
      <c r="CB1326" s="115"/>
      <c r="CC1326" s="13"/>
      <c r="CD1326" s="15"/>
      <c r="CG1326" s="114"/>
    </row>
    <row r="1327" spans="46:85" ht="19.5" x14ac:dyDescent="0.4">
      <c r="BE1327" s="26"/>
      <c r="BF1327" s="15"/>
      <c r="BK1327" s="117"/>
      <c r="BL1327" s="123"/>
      <c r="BM1327" s="123"/>
      <c r="BN1327" s="123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115"/>
      <c r="CA1327" s="115"/>
      <c r="CB1327" s="115"/>
      <c r="CC1327" s="25">
        <v>45275</v>
      </c>
      <c r="CD1327" s="15" t="s">
        <v>163</v>
      </c>
      <c r="CG1327" s="114"/>
    </row>
    <row r="1328" spans="46:85" ht="19.5" x14ac:dyDescent="0.4">
      <c r="BE1328" s="26"/>
      <c r="BF1328" s="15"/>
      <c r="BK1328" s="117"/>
      <c r="BL1328" s="123"/>
      <c r="BM1328" s="123"/>
      <c r="BN1328" s="123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115"/>
      <c r="CA1328" s="115"/>
      <c r="CB1328" s="115" t="s">
        <v>168</v>
      </c>
      <c r="CC1328" s="13">
        <f>SUBTOTAL(3,CC1327:CC1327)</f>
        <v>1</v>
      </c>
      <c r="CD1328" s="15">
        <f>SUBTOTAL(3,CD1327:CD1327)</f>
        <v>1</v>
      </c>
      <c r="CG1328" s="114"/>
    </row>
    <row r="1329" spans="6:85" ht="19.5" x14ac:dyDescent="0.4">
      <c r="BE1329" s="26"/>
      <c r="BF1329" s="15"/>
      <c r="BK1329" s="117"/>
      <c r="BL1329" s="123"/>
      <c r="BM1329" s="123"/>
      <c r="BN1329" s="123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115"/>
      <c r="CA1329" s="115"/>
      <c r="CB1329" s="115"/>
      <c r="CC1329" s="25">
        <v>45276</v>
      </c>
      <c r="CD1329" s="15" t="s">
        <v>164</v>
      </c>
      <c r="CG1329" s="114"/>
    </row>
    <row r="1330" spans="6:85" ht="19.5" x14ac:dyDescent="0.4">
      <c r="BE1330" s="26"/>
      <c r="BF1330" s="15"/>
      <c r="BK1330" s="117"/>
      <c r="BL1330" s="123"/>
      <c r="BM1330" s="123"/>
      <c r="BN1330" s="123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115"/>
      <c r="CA1330" s="115"/>
      <c r="CB1330" s="115"/>
      <c r="CC1330" s="25">
        <v>45276</v>
      </c>
      <c r="CD1330" s="15" t="s">
        <v>162</v>
      </c>
      <c r="CG1330" s="114"/>
    </row>
    <row r="1331" spans="6:85" ht="19.5" x14ac:dyDescent="0.4">
      <c r="BE1331" s="26"/>
      <c r="BF1331" s="15"/>
      <c r="BK1331" s="117"/>
      <c r="BL1331" s="123"/>
      <c r="BM1331" s="123"/>
      <c r="BN1331" s="123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115"/>
      <c r="CA1331" s="115"/>
      <c r="CB1331" s="115"/>
      <c r="CC1331" s="25">
        <v>45276</v>
      </c>
      <c r="CD1331" s="15" t="s">
        <v>162</v>
      </c>
      <c r="CG1331" s="114"/>
    </row>
    <row r="1332" spans="6:85" ht="19.5" x14ac:dyDescent="0.4">
      <c r="BE1332" s="26"/>
      <c r="BF1332" s="15"/>
      <c r="BK1332" s="117"/>
      <c r="BL1332" s="123"/>
      <c r="BM1332" s="123"/>
      <c r="BN1332" s="123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115"/>
      <c r="CA1332" s="115"/>
      <c r="CB1332" s="115"/>
      <c r="CC1332" s="25">
        <v>45276</v>
      </c>
      <c r="CD1332" s="15" t="s">
        <v>162</v>
      </c>
      <c r="CG1332" s="114"/>
    </row>
    <row r="1333" spans="6:85" ht="19.5" x14ac:dyDescent="0.4">
      <c r="BE1333" s="26"/>
      <c r="BF1333" s="15"/>
      <c r="BK1333" s="117"/>
      <c r="BL1333" s="123"/>
      <c r="BM1333" s="123"/>
      <c r="BN1333" s="123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115"/>
      <c r="CA1333" s="115"/>
      <c r="CB1333" s="115"/>
      <c r="CC1333" s="25">
        <v>45276</v>
      </c>
      <c r="CD1333" s="15" t="s">
        <v>162</v>
      </c>
      <c r="CG1333" s="114"/>
    </row>
    <row r="1334" spans="6:85" ht="19.5" x14ac:dyDescent="0.4"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26"/>
      <c r="BF1334" s="15"/>
      <c r="BK1334" s="117"/>
      <c r="BL1334" s="123"/>
      <c r="BM1334" s="123"/>
      <c r="BN1334" s="123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115"/>
      <c r="CA1334" s="115"/>
      <c r="CB1334" s="115"/>
      <c r="CC1334" s="25"/>
      <c r="CD1334" s="15"/>
      <c r="CG1334" s="114"/>
    </row>
    <row r="1335" spans="6:85" ht="19.5" x14ac:dyDescent="0.4">
      <c r="BE1335" s="26"/>
      <c r="BF1335" s="15"/>
      <c r="BK1335" s="117"/>
      <c r="BL1335" s="123"/>
      <c r="BM1335" s="123"/>
      <c r="BN1335" s="123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115"/>
      <c r="CA1335" s="115"/>
      <c r="CB1335" s="115"/>
      <c r="CC1335" s="25">
        <v>45276</v>
      </c>
      <c r="CD1335" s="15" t="s">
        <v>162</v>
      </c>
      <c r="CG1335" s="114"/>
    </row>
    <row r="1336" spans="6:85" ht="19.5" x14ac:dyDescent="0.4">
      <c r="BE1336" s="26"/>
      <c r="BF1336" s="15"/>
      <c r="BK1336" s="117"/>
      <c r="BL1336" s="123"/>
      <c r="BM1336" s="123"/>
      <c r="BN1336" s="123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/>
      <c r="BZ1336" s="115"/>
      <c r="CA1336" s="115"/>
      <c r="CB1336" s="115"/>
      <c r="CC1336" s="25">
        <v>45276</v>
      </c>
      <c r="CD1336" s="15" t="s">
        <v>162</v>
      </c>
      <c r="CG1336" s="114"/>
    </row>
    <row r="1337" spans="6:85" ht="19.5" x14ac:dyDescent="0.4">
      <c r="AW1337" s="115"/>
      <c r="AX1337" s="115"/>
      <c r="AY1337" s="115"/>
      <c r="AZ1337" s="115"/>
      <c r="BA1337" s="115"/>
      <c r="BB1337" s="115"/>
      <c r="BC1337" s="115"/>
      <c r="BD1337" s="115"/>
      <c r="BE1337" s="17"/>
      <c r="BF1337" s="15"/>
      <c r="BK1337" s="117"/>
      <c r="BL1337" s="123"/>
      <c r="BM1337" s="123"/>
      <c r="BN1337" s="123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15"/>
      <c r="CA1337" s="115"/>
      <c r="CB1337" s="115"/>
      <c r="CC1337" s="25"/>
      <c r="CD1337" s="15"/>
      <c r="CG1337" s="114"/>
    </row>
    <row r="1338" spans="6:85" ht="19.5" x14ac:dyDescent="0.4"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26"/>
      <c r="BF1338" s="15"/>
      <c r="BK1338" s="117"/>
      <c r="BL1338" s="123"/>
      <c r="BM1338" s="123"/>
      <c r="BN1338" s="123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115"/>
      <c r="CA1338" s="115"/>
      <c r="CB1338" s="115"/>
      <c r="CC1338" s="25"/>
      <c r="CD1338" s="15"/>
      <c r="CG1338" s="114"/>
    </row>
    <row r="1339" spans="6:85" ht="19.5" x14ac:dyDescent="0.4"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26"/>
      <c r="BF1339" s="15"/>
      <c r="BK1339" s="117"/>
      <c r="BL1339" s="123"/>
      <c r="BM1339" s="123"/>
      <c r="BN1339" s="123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115"/>
      <c r="CA1339" s="115"/>
      <c r="CB1339" s="115"/>
      <c r="CC1339" s="25"/>
      <c r="CD1339" s="15"/>
      <c r="CG1339" s="114"/>
    </row>
    <row r="1340" spans="6:85" ht="19.5" x14ac:dyDescent="0.4"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26"/>
      <c r="BF1340" s="15"/>
      <c r="BK1340" s="117"/>
      <c r="BL1340" s="123"/>
      <c r="BM1340" s="123"/>
      <c r="BN1340" s="123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115"/>
      <c r="CA1340" s="115"/>
      <c r="CB1340" s="115"/>
      <c r="CC1340" s="25"/>
      <c r="CD1340" s="15"/>
      <c r="CG1340" s="114"/>
    </row>
    <row r="1341" spans="6:85" ht="19.5" x14ac:dyDescent="0.4">
      <c r="BE1341" s="26"/>
      <c r="BF1341" s="15"/>
      <c r="BJ1341" s="115"/>
      <c r="BK1341" s="117"/>
      <c r="BL1341" s="123"/>
      <c r="BM1341" s="123"/>
      <c r="BN1341" s="123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115"/>
      <c r="CA1341" s="115"/>
      <c r="CB1341" s="115"/>
      <c r="CC1341" s="25">
        <v>45276</v>
      </c>
      <c r="CD1341" s="15" t="s">
        <v>162</v>
      </c>
      <c r="CG1341" s="114"/>
    </row>
    <row r="1342" spans="6:85" ht="19.5" x14ac:dyDescent="0.4">
      <c r="BE1342" s="26"/>
      <c r="BF1342" s="15"/>
      <c r="BJ1342" s="115"/>
      <c r="BK1342" s="117"/>
      <c r="BL1342" s="123"/>
      <c r="BM1342" s="123"/>
      <c r="BN1342" s="123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115"/>
      <c r="CA1342" s="115"/>
      <c r="CB1342" s="115"/>
      <c r="CC1342" s="25">
        <v>45276</v>
      </c>
      <c r="CD1342" s="15" t="s">
        <v>162</v>
      </c>
      <c r="CG1342" s="114"/>
    </row>
    <row r="1343" spans="6:85" ht="19.5" x14ac:dyDescent="0.4">
      <c r="BE1343" s="26"/>
      <c r="BF1343" s="15"/>
      <c r="BJ1343" s="115"/>
      <c r="BK1343" s="117"/>
      <c r="BL1343" s="123"/>
      <c r="BM1343" s="123"/>
      <c r="BN1343" s="123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115"/>
      <c r="CA1343" s="115"/>
      <c r="CB1343" s="115"/>
      <c r="CC1343" s="25">
        <v>45276</v>
      </c>
      <c r="CD1343" s="15" t="s">
        <v>162</v>
      </c>
      <c r="CG1343" s="114"/>
    </row>
    <row r="1344" spans="6:85" ht="19.5" x14ac:dyDescent="0.4">
      <c r="AW1344" s="115"/>
      <c r="AX1344" s="115"/>
      <c r="AY1344" s="115"/>
      <c r="AZ1344" s="115"/>
      <c r="BA1344" s="115"/>
      <c r="BB1344" s="115"/>
      <c r="BC1344" s="115"/>
      <c r="BD1344" s="115"/>
      <c r="BE1344" s="17"/>
      <c r="BF1344" s="15"/>
      <c r="BJ1344" s="115"/>
      <c r="BK1344" s="117"/>
      <c r="BL1344" s="123"/>
      <c r="BM1344" s="123"/>
      <c r="BN1344" s="123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115"/>
      <c r="CA1344" s="115"/>
      <c r="CB1344" s="115"/>
      <c r="CC1344" s="25"/>
      <c r="CD1344" s="15"/>
      <c r="CG1344" s="114"/>
    </row>
    <row r="1345" spans="6:85" ht="19.5" x14ac:dyDescent="0.4"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26"/>
      <c r="BF1345" s="15"/>
      <c r="BJ1345" s="115"/>
      <c r="BK1345" s="117"/>
      <c r="BL1345" s="123"/>
      <c r="BM1345" s="123"/>
      <c r="BN1345" s="123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115"/>
      <c r="CA1345" s="115"/>
      <c r="CB1345" s="115"/>
      <c r="CC1345" s="25"/>
      <c r="CD1345" s="15"/>
      <c r="CG1345" s="114"/>
    </row>
    <row r="1346" spans="6:85" ht="19.5" x14ac:dyDescent="0.4"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7"/>
      <c r="BF1346" s="15"/>
      <c r="BJ1346" s="115"/>
      <c r="BK1346" s="117"/>
      <c r="BL1346" s="123"/>
      <c r="BM1346" s="123"/>
      <c r="BN1346" s="123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115"/>
      <c r="CA1346" s="115"/>
      <c r="CB1346" s="115"/>
      <c r="CC1346" s="25"/>
      <c r="CD1346" s="15"/>
      <c r="CG1346" s="114"/>
    </row>
    <row r="1347" spans="6:85" ht="19.5" x14ac:dyDescent="0.4">
      <c r="BE1347" s="26"/>
      <c r="BF1347" s="15"/>
      <c r="BJ1347" s="115"/>
      <c r="BK1347" s="117"/>
      <c r="BL1347" s="123"/>
      <c r="BM1347" s="123"/>
      <c r="BN1347" s="123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/>
      <c r="BZ1347" s="115"/>
      <c r="CA1347" s="115"/>
      <c r="CB1347" s="115"/>
      <c r="CC1347" s="25"/>
      <c r="CD1347" s="15"/>
      <c r="CG1347" s="114"/>
    </row>
    <row r="1348" spans="6:85" ht="19.5" x14ac:dyDescent="0.4"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26"/>
      <c r="BF1348" s="15"/>
      <c r="BJ1348" s="115"/>
      <c r="BK1348" s="117"/>
      <c r="BL1348" s="123"/>
      <c r="BM1348" s="123"/>
      <c r="BN1348" s="123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15"/>
      <c r="CA1348" s="115"/>
      <c r="CB1348" s="115"/>
      <c r="CC1348" s="25"/>
      <c r="CD1348" s="15"/>
      <c r="CG1348" s="114"/>
    </row>
    <row r="1349" spans="6:85" ht="19.5" x14ac:dyDescent="0.4">
      <c r="BE1349" s="26"/>
      <c r="BF1349" s="15"/>
      <c r="BJ1349" s="115"/>
      <c r="BK1349" s="117"/>
      <c r="BL1349" s="123"/>
      <c r="BM1349" s="123"/>
      <c r="BN1349" s="123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115"/>
      <c r="CA1349" s="115"/>
      <c r="CB1349" s="115"/>
      <c r="CC1349" s="25">
        <v>45276</v>
      </c>
      <c r="CD1349" s="15" t="s">
        <v>162</v>
      </c>
      <c r="CG1349" s="114"/>
    </row>
    <row r="1350" spans="6:85" ht="19.5" x14ac:dyDescent="0.4">
      <c r="AW1350" s="115"/>
      <c r="AX1350" s="115"/>
      <c r="AY1350" s="115"/>
      <c r="AZ1350" s="115"/>
      <c r="BA1350" s="115"/>
      <c r="BB1350" s="115"/>
      <c r="BC1350" s="115"/>
      <c r="BD1350" s="115"/>
      <c r="BE1350" s="17"/>
      <c r="BF1350" s="15"/>
      <c r="BJ1350" s="115"/>
      <c r="BK1350" s="117"/>
      <c r="BL1350" s="123"/>
      <c r="BM1350" s="123"/>
      <c r="BN1350" s="123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115"/>
      <c r="CA1350" s="115"/>
      <c r="CB1350" s="115"/>
      <c r="CC1350" s="25"/>
      <c r="CD1350" s="15"/>
      <c r="CG1350" s="114"/>
    </row>
    <row r="1351" spans="6:85" ht="19.5" x14ac:dyDescent="0.4">
      <c r="BE1351" s="26"/>
      <c r="BF1351" s="15"/>
      <c r="BJ1351" s="115"/>
      <c r="BK1351" s="117"/>
      <c r="BL1351" s="123"/>
      <c r="BM1351" s="123"/>
      <c r="BN1351" s="123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115"/>
      <c r="CA1351" s="115"/>
      <c r="CB1351" s="115"/>
      <c r="CC1351" s="25">
        <v>45276</v>
      </c>
      <c r="CD1351" s="15" t="s">
        <v>162</v>
      </c>
      <c r="CG1351" s="114"/>
    </row>
    <row r="1352" spans="6:85" ht="19.5" x14ac:dyDescent="0.4">
      <c r="AW1352" s="115"/>
      <c r="AX1352" s="115"/>
      <c r="AY1352" s="115"/>
      <c r="AZ1352" s="115"/>
      <c r="BA1352" s="115"/>
      <c r="BB1352" s="115"/>
      <c r="BC1352" s="115"/>
      <c r="BD1352" s="115"/>
      <c r="BE1352" s="17"/>
      <c r="BF1352" s="15"/>
      <c r="BJ1352" s="115"/>
      <c r="BK1352" s="117"/>
      <c r="BL1352" s="123"/>
      <c r="BM1352" s="123"/>
      <c r="BN1352" s="123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115"/>
      <c r="CA1352" s="115"/>
      <c r="CB1352" s="115"/>
      <c r="CC1352" s="25"/>
      <c r="CD1352" s="15"/>
      <c r="CG1352" s="114"/>
    </row>
    <row r="1353" spans="6:85" ht="19.5" x14ac:dyDescent="0.4"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26"/>
      <c r="BF1353" s="15"/>
      <c r="BJ1353" s="115"/>
      <c r="BK1353" s="117"/>
      <c r="BL1353" s="123"/>
      <c r="BM1353" s="123"/>
      <c r="BN1353" s="123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115"/>
      <c r="CA1353" s="115"/>
      <c r="CB1353" s="115"/>
      <c r="CC1353" s="25"/>
      <c r="CD1353" s="15"/>
      <c r="CG1353" s="114"/>
    </row>
    <row r="1354" spans="6:85" ht="19.5" x14ac:dyDescent="0.4"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7"/>
      <c r="BF1354" s="15"/>
      <c r="BJ1354" s="115"/>
      <c r="BK1354" s="117"/>
      <c r="BL1354" s="123"/>
      <c r="BM1354" s="123"/>
      <c r="BN1354" s="123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115"/>
      <c r="CA1354" s="115"/>
      <c r="CB1354" s="115"/>
      <c r="CC1354" s="25"/>
      <c r="CD1354" s="15"/>
      <c r="CG1354" s="114"/>
    </row>
    <row r="1355" spans="6:85" ht="19.5" x14ac:dyDescent="0.4">
      <c r="BE1355" s="26"/>
      <c r="BF1355" s="15"/>
      <c r="BJ1355" s="115"/>
      <c r="BK1355" s="117"/>
      <c r="BL1355" s="123"/>
      <c r="BM1355" s="123"/>
      <c r="BN1355" s="123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115"/>
      <c r="CA1355" s="115"/>
      <c r="CB1355" s="115"/>
      <c r="CC1355" s="25">
        <v>45276</v>
      </c>
      <c r="CD1355" s="15" t="s">
        <v>162</v>
      </c>
      <c r="CG1355" s="114"/>
    </row>
    <row r="1356" spans="6:85" ht="19.5" x14ac:dyDescent="0.4">
      <c r="BE1356" s="26"/>
      <c r="BF1356" s="15"/>
      <c r="BJ1356" s="115"/>
      <c r="BK1356" s="117"/>
      <c r="BL1356" s="123"/>
      <c r="BM1356" s="123"/>
      <c r="BN1356" s="123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115"/>
      <c r="CA1356" s="115"/>
      <c r="CB1356" s="115"/>
      <c r="CC1356" s="25">
        <v>45276</v>
      </c>
      <c r="CD1356" s="15" t="s">
        <v>162</v>
      </c>
      <c r="CG1356" s="114"/>
    </row>
    <row r="1357" spans="6:85" ht="19.5" x14ac:dyDescent="0.4">
      <c r="BE1357" s="26"/>
      <c r="BF1357" s="15"/>
      <c r="BJ1357" s="115"/>
      <c r="BK1357" s="117"/>
      <c r="BL1357" s="123"/>
      <c r="BM1357" s="123"/>
      <c r="BN1357" s="123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115"/>
      <c r="CA1357" s="115"/>
      <c r="CB1357" s="115"/>
      <c r="CC1357" s="25">
        <v>45276</v>
      </c>
      <c r="CD1357" s="15" t="s">
        <v>162</v>
      </c>
      <c r="CG1357" s="114"/>
    </row>
    <row r="1358" spans="6:85" ht="19.5" x14ac:dyDescent="0.4">
      <c r="BE1358" s="26"/>
      <c r="BF1358" s="15"/>
      <c r="BJ1358" s="115"/>
      <c r="BK1358" s="117"/>
      <c r="BL1358" s="123"/>
      <c r="BM1358" s="123"/>
      <c r="BN1358" s="123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115"/>
      <c r="CA1358" s="115"/>
      <c r="CB1358" s="115"/>
      <c r="CC1358" s="25"/>
      <c r="CD1358" s="15"/>
      <c r="CG1358" s="114"/>
    </row>
    <row r="1359" spans="6:85" ht="19.5" x14ac:dyDescent="0.4">
      <c r="AW1359" s="115"/>
      <c r="AX1359" s="115"/>
      <c r="AY1359" s="115"/>
      <c r="AZ1359" s="115"/>
      <c r="BA1359" s="115"/>
      <c r="BB1359" s="115"/>
      <c r="BC1359" s="115"/>
      <c r="BD1359" s="115"/>
      <c r="BE1359" s="17"/>
      <c r="BF1359" s="15"/>
      <c r="BJ1359" s="115"/>
      <c r="BK1359" s="117"/>
      <c r="BL1359" s="123"/>
      <c r="BM1359" s="123"/>
      <c r="BN1359" s="123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115"/>
      <c r="CA1359" s="115"/>
      <c r="CB1359" s="115"/>
      <c r="CC1359" s="25"/>
      <c r="CD1359" s="15"/>
      <c r="CG1359" s="114"/>
    </row>
    <row r="1360" spans="6:85" ht="19.5" x14ac:dyDescent="0.4">
      <c r="BE1360" s="26"/>
      <c r="BF1360" s="15"/>
      <c r="BJ1360" s="115"/>
      <c r="BK1360" s="117"/>
      <c r="BL1360" s="123"/>
      <c r="BM1360" s="123"/>
      <c r="BN1360" s="123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115"/>
      <c r="CA1360" s="115"/>
      <c r="CB1360" s="115"/>
      <c r="CC1360" s="25">
        <v>45276</v>
      </c>
      <c r="CD1360" s="15" t="s">
        <v>162</v>
      </c>
      <c r="CG1360" s="114"/>
    </row>
    <row r="1361" spans="46:85" ht="19.5" x14ac:dyDescent="0.4">
      <c r="BE1361" s="26"/>
      <c r="BF1361" s="15"/>
      <c r="BJ1361" s="115"/>
      <c r="BK1361" s="117"/>
      <c r="BL1361" s="123"/>
      <c r="BM1361" s="123"/>
      <c r="BN1361" s="123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115"/>
      <c r="CA1361" s="115"/>
      <c r="CB1361" s="115"/>
      <c r="CC1361" s="25">
        <v>45276</v>
      </c>
      <c r="CD1361" s="15" t="s">
        <v>162</v>
      </c>
      <c r="CG1361" s="114"/>
    </row>
    <row r="1362" spans="46:85" ht="19.5" x14ac:dyDescent="0.4">
      <c r="AW1362" s="115"/>
      <c r="AX1362" s="115"/>
      <c r="AY1362" s="115"/>
      <c r="AZ1362" s="115"/>
      <c r="BA1362" s="115"/>
      <c r="BB1362" s="115"/>
      <c r="BC1362" s="115"/>
      <c r="BD1362" s="115"/>
      <c r="BE1362" s="17"/>
      <c r="BF1362" s="15"/>
      <c r="BJ1362" s="115"/>
      <c r="BK1362" s="117"/>
      <c r="BL1362" s="123"/>
      <c r="BM1362" s="123"/>
      <c r="BN1362" s="123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115"/>
      <c r="CA1362" s="115"/>
      <c r="CB1362" s="115"/>
      <c r="CC1362" s="25"/>
      <c r="CD1362" s="15"/>
      <c r="CG1362" s="114"/>
    </row>
    <row r="1363" spans="46:85" ht="19.5" x14ac:dyDescent="0.4"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26"/>
      <c r="BF1363" s="15"/>
      <c r="BJ1363" s="115"/>
      <c r="BK1363" s="117"/>
      <c r="BL1363" s="123"/>
      <c r="BM1363" s="123"/>
      <c r="BN1363" s="123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115"/>
      <c r="CA1363" s="115"/>
      <c r="CB1363" s="115"/>
      <c r="CC1363" s="25"/>
      <c r="CD1363" s="15"/>
      <c r="CG1363" s="114"/>
    </row>
    <row r="1364" spans="46:85" ht="19.5" x14ac:dyDescent="0.4"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7"/>
      <c r="BF1364" s="15"/>
      <c r="BJ1364" s="115"/>
      <c r="BK1364" s="117"/>
      <c r="BL1364" s="123"/>
      <c r="BM1364" s="123"/>
      <c r="BN1364" s="123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115"/>
      <c r="CA1364" s="115"/>
      <c r="CB1364" s="115"/>
      <c r="CC1364" s="25"/>
      <c r="CD1364" s="15"/>
      <c r="CG1364" s="114"/>
    </row>
    <row r="1365" spans="46:85" ht="19.5" x14ac:dyDescent="0.4"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26"/>
      <c r="BF1365" s="15"/>
      <c r="BJ1365" s="115"/>
      <c r="BK1365" s="117"/>
      <c r="BL1365" s="123"/>
      <c r="BM1365" s="123"/>
      <c r="BN1365" s="123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/>
      <c r="BZ1365" s="115"/>
      <c r="CA1365" s="115"/>
      <c r="CB1365" s="115"/>
      <c r="CC1365" s="25"/>
      <c r="CD1365" s="15"/>
      <c r="CG1365" s="114"/>
    </row>
    <row r="1366" spans="46:85" ht="19.5" x14ac:dyDescent="0.4">
      <c r="BE1366" s="26"/>
      <c r="BF1366" s="15"/>
      <c r="BJ1366" s="115"/>
      <c r="BK1366" s="117"/>
      <c r="BL1366" s="123"/>
      <c r="BM1366" s="123"/>
      <c r="BN1366" s="123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115"/>
      <c r="CA1366" s="115"/>
      <c r="CB1366" s="115" t="s">
        <v>169</v>
      </c>
      <c r="CC1366" s="13">
        <f>SUBTOTAL(3,CC1329:CC1361)</f>
        <v>17</v>
      </c>
      <c r="CD1366" s="15">
        <f>SUBTOTAL(3,CD1329:CD1361)</f>
        <v>17</v>
      </c>
      <c r="CG1366" s="114"/>
    </row>
    <row r="1367" spans="46:85" ht="19.5" x14ac:dyDescent="0.4"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26"/>
      <c r="BF1367" s="15"/>
      <c r="BJ1367" s="115"/>
      <c r="BK1367" s="117"/>
      <c r="BL1367" s="123"/>
      <c r="BM1367" s="123"/>
      <c r="BN1367" s="123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115"/>
      <c r="CA1367" s="115"/>
      <c r="CB1367" s="115"/>
      <c r="CC1367" s="13"/>
      <c r="CD1367" s="15"/>
      <c r="CG1367" s="114"/>
    </row>
    <row r="1368" spans="46:85" ht="19.5" x14ac:dyDescent="0.4">
      <c r="BE1368" s="26"/>
      <c r="BF1368" s="15"/>
      <c r="BJ1368" s="115"/>
      <c r="BK1368" s="117"/>
      <c r="BL1368" s="123"/>
      <c r="BM1368" s="123"/>
      <c r="BN1368" s="123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115"/>
      <c r="CA1368" s="115"/>
      <c r="CB1368" s="115"/>
      <c r="CC1368" s="25">
        <v>45277</v>
      </c>
      <c r="CD1368" s="15" t="s">
        <v>162</v>
      </c>
      <c r="CG1368" s="114"/>
    </row>
    <row r="1369" spans="46:85" ht="19.5" x14ac:dyDescent="0.4">
      <c r="AW1369" s="115"/>
      <c r="AX1369" s="115"/>
      <c r="AY1369" s="115"/>
      <c r="AZ1369" s="115"/>
      <c r="BA1369" s="115"/>
      <c r="BB1369" s="115"/>
      <c r="BC1369" s="115"/>
      <c r="BD1369" s="115"/>
      <c r="BE1369" s="17"/>
      <c r="BF1369" s="15"/>
      <c r="BJ1369" s="115"/>
      <c r="BK1369" s="117"/>
      <c r="BL1369" s="123"/>
      <c r="BM1369" s="123"/>
      <c r="BN1369" s="123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115"/>
      <c r="CA1369" s="115"/>
      <c r="CB1369" s="115"/>
      <c r="CC1369" s="25"/>
      <c r="CD1369" s="15"/>
      <c r="CG1369" s="114"/>
    </row>
    <row r="1370" spans="46:85" ht="19.5" x14ac:dyDescent="0.4"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26"/>
      <c r="BF1370" s="15"/>
      <c r="BJ1370" s="115"/>
      <c r="BK1370" s="117"/>
      <c r="BL1370" s="123"/>
      <c r="BM1370" s="123"/>
      <c r="BN1370" s="123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115"/>
      <c r="CA1370" s="115"/>
      <c r="CB1370" s="115"/>
      <c r="CC1370" s="25"/>
      <c r="CD1370" s="15"/>
      <c r="CG1370" s="114"/>
    </row>
    <row r="1371" spans="46:85" ht="19.5" x14ac:dyDescent="0.4"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7"/>
      <c r="BF1371" s="15"/>
      <c r="BJ1371" s="115"/>
      <c r="BK1371" s="117"/>
      <c r="BL1371" s="123"/>
      <c r="BM1371" s="123"/>
      <c r="BN1371" s="123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115"/>
      <c r="CA1371" s="115"/>
      <c r="CB1371" s="115"/>
      <c r="CC1371" s="25"/>
      <c r="CD1371" s="15"/>
      <c r="CG1371" s="114"/>
    </row>
    <row r="1372" spans="46:85" ht="19.5" x14ac:dyDescent="0.4"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7"/>
      <c r="BF1372" s="15"/>
      <c r="BJ1372" s="115"/>
      <c r="BK1372" s="117"/>
      <c r="BL1372" s="123"/>
      <c r="BM1372" s="123"/>
      <c r="BN1372" s="123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115"/>
      <c r="CA1372" s="115"/>
      <c r="CB1372" s="115"/>
      <c r="CC1372" s="25"/>
      <c r="CD1372" s="15"/>
      <c r="CG1372" s="114"/>
    </row>
    <row r="1373" spans="46:85" ht="19.5" x14ac:dyDescent="0.4">
      <c r="BE1373" s="26"/>
      <c r="BF1373" s="15"/>
      <c r="BJ1373" s="115"/>
      <c r="BK1373" s="117"/>
      <c r="BL1373" s="123"/>
      <c r="BM1373" s="123"/>
      <c r="BN1373" s="123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115"/>
      <c r="CA1373" s="115"/>
      <c r="CB1373" s="115"/>
      <c r="CC1373" s="25">
        <v>45277</v>
      </c>
      <c r="CD1373" s="15" t="s">
        <v>162</v>
      </c>
      <c r="CG1373" s="114"/>
    </row>
    <row r="1374" spans="46:85" ht="19.5" x14ac:dyDescent="0.4"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7"/>
      <c r="BF1374" s="15"/>
      <c r="BJ1374" s="115"/>
      <c r="BK1374" s="117"/>
      <c r="BL1374" s="123"/>
      <c r="BM1374" s="123"/>
      <c r="BN1374" s="123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115"/>
      <c r="CA1374" s="115"/>
      <c r="CB1374" s="115"/>
      <c r="CC1374" s="131"/>
      <c r="CD1374" s="13"/>
      <c r="CG1374" s="114"/>
    </row>
    <row r="1375" spans="46:85" ht="19.5" x14ac:dyDescent="0.4">
      <c r="BE1375" s="26"/>
      <c r="BF1375" s="15"/>
      <c r="BJ1375" s="115"/>
      <c r="BK1375" s="117"/>
      <c r="BL1375" s="123"/>
      <c r="BM1375" s="123"/>
      <c r="BN1375" s="123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115"/>
      <c r="CA1375" s="115"/>
      <c r="CB1375" s="115"/>
      <c r="CC1375" s="26">
        <v>45277</v>
      </c>
      <c r="CD1375" s="13" t="s">
        <v>162</v>
      </c>
      <c r="CG1375" s="114"/>
    </row>
    <row r="1376" spans="46:85" ht="19.5" x14ac:dyDescent="0.4">
      <c r="BE1376" s="26"/>
      <c r="BF1376" s="15"/>
      <c r="BJ1376" s="115"/>
      <c r="BK1376" s="117"/>
      <c r="BL1376" s="123"/>
      <c r="BM1376" s="123"/>
      <c r="BN1376" s="123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115"/>
      <c r="CA1376" s="115"/>
      <c r="CB1376" s="115"/>
      <c r="CC1376" s="26">
        <v>45277</v>
      </c>
      <c r="CD1376" s="15" t="s">
        <v>162</v>
      </c>
      <c r="CG1376" s="114"/>
    </row>
    <row r="1377" spans="6:85" ht="19.5" x14ac:dyDescent="0.4"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26"/>
      <c r="BF1377" s="15"/>
      <c r="BJ1377" s="115"/>
      <c r="BK1377" s="117"/>
      <c r="BL1377" s="123"/>
      <c r="BM1377" s="123"/>
      <c r="BN1377" s="123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115"/>
      <c r="CA1377" s="115"/>
      <c r="CB1377" s="115"/>
      <c r="CC1377" s="26"/>
      <c r="CD1377" s="15"/>
      <c r="CG1377" s="114"/>
    </row>
    <row r="1378" spans="6:85" ht="19.5" x14ac:dyDescent="0.4">
      <c r="BE1378" s="26"/>
      <c r="BF1378" s="15"/>
      <c r="BJ1378" s="115"/>
      <c r="BK1378" s="117"/>
      <c r="BL1378" s="123"/>
      <c r="BM1378" s="123"/>
      <c r="BN1378" s="123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115"/>
      <c r="CA1378" s="115"/>
      <c r="CB1378" s="115"/>
      <c r="CC1378" s="26">
        <v>45277</v>
      </c>
      <c r="CD1378" s="15" t="s">
        <v>162</v>
      </c>
      <c r="CG1378" s="114"/>
    </row>
    <row r="1379" spans="6:85" ht="19.5" x14ac:dyDescent="0.4">
      <c r="BE1379" s="26"/>
      <c r="BF1379" s="15"/>
      <c r="BJ1379" s="115"/>
      <c r="BK1379" s="117"/>
      <c r="BL1379" s="123"/>
      <c r="BM1379" s="123"/>
      <c r="BN1379" s="123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/>
      <c r="BZ1379" s="115"/>
      <c r="CA1379" s="115"/>
      <c r="CB1379" s="115" t="s">
        <v>160</v>
      </c>
      <c r="CC1379" s="17">
        <f>SUBTOTAL(3,CC1368:CC1378)</f>
        <v>5</v>
      </c>
      <c r="CD1379" s="15">
        <f>SUBTOTAL(3,CD1368:CD1378)</f>
        <v>5</v>
      </c>
      <c r="CG1379" s="114"/>
    </row>
    <row r="1380" spans="6:85" ht="19.5" x14ac:dyDescent="0.4"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26"/>
      <c r="BF1380" s="15"/>
      <c r="BJ1380" s="115"/>
      <c r="BK1380" s="117"/>
      <c r="BL1380" s="123"/>
      <c r="BM1380" s="123"/>
      <c r="BN1380" s="123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115"/>
      <c r="CA1380" s="115"/>
      <c r="CB1380" s="115"/>
      <c r="CC1380" s="17"/>
      <c r="CD1380" s="15"/>
      <c r="CG1380" s="114"/>
    </row>
    <row r="1381" spans="6:85" ht="19.5" x14ac:dyDescent="0.4"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26"/>
      <c r="BF1381" s="15"/>
      <c r="BJ1381" s="115"/>
      <c r="BK1381" s="117"/>
      <c r="BL1381" s="123"/>
      <c r="BM1381" s="123"/>
      <c r="BN1381" s="123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/>
      <c r="BZ1381" s="115"/>
      <c r="CA1381" s="115"/>
      <c r="CB1381" s="115"/>
      <c r="CC1381" s="17"/>
      <c r="CD1381" s="15"/>
      <c r="CG1381" s="114"/>
    </row>
    <row r="1382" spans="6:85" ht="19.5" x14ac:dyDescent="0.4">
      <c r="BE1382" s="26"/>
      <c r="BF1382" s="15"/>
      <c r="BJ1382" s="115"/>
      <c r="BK1382" s="117"/>
      <c r="BL1382" s="123"/>
      <c r="BM1382" s="123"/>
      <c r="BN1382" s="123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115"/>
      <c r="CA1382" s="115"/>
      <c r="CB1382" s="115"/>
      <c r="CC1382" s="26">
        <v>45278</v>
      </c>
      <c r="CD1382" s="15" t="s">
        <v>164</v>
      </c>
      <c r="CG1382" s="114"/>
    </row>
    <row r="1383" spans="6:85" ht="19.5" x14ac:dyDescent="0.4">
      <c r="BE1383" s="26"/>
      <c r="BF1383" s="15"/>
      <c r="BJ1383" s="115"/>
      <c r="BK1383" s="117"/>
      <c r="BL1383" s="123"/>
      <c r="BM1383" s="123"/>
      <c r="BN1383" s="123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115"/>
      <c r="CA1383" s="115"/>
      <c r="CB1383" s="115"/>
      <c r="CC1383" s="26">
        <v>45278</v>
      </c>
      <c r="CD1383" s="15" t="s">
        <v>164</v>
      </c>
      <c r="CG1383" s="114"/>
    </row>
    <row r="1384" spans="6:85" ht="19.5" x14ac:dyDescent="0.4"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26"/>
      <c r="BF1384" s="15"/>
      <c r="BJ1384" s="115"/>
      <c r="BK1384" s="117"/>
      <c r="BL1384" s="123"/>
      <c r="BM1384" s="123"/>
      <c r="BN1384" s="123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115"/>
      <c r="CA1384" s="115"/>
      <c r="CB1384" s="115"/>
      <c r="CC1384" s="26"/>
      <c r="CD1384" s="15"/>
      <c r="CG1384" s="114"/>
    </row>
    <row r="1385" spans="6:85" ht="19.5" x14ac:dyDescent="0.4">
      <c r="BE1385" s="26"/>
      <c r="BF1385" s="15"/>
      <c r="BJ1385" s="115"/>
      <c r="BK1385" s="117"/>
      <c r="BL1385" s="123"/>
      <c r="BM1385" s="123"/>
      <c r="BN1385" s="123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115"/>
      <c r="CA1385" s="115"/>
      <c r="CB1385" s="115"/>
      <c r="CC1385" s="26">
        <v>45278</v>
      </c>
      <c r="CD1385" s="15" t="s">
        <v>162</v>
      </c>
      <c r="CG1385" s="114"/>
    </row>
    <row r="1386" spans="6:85" ht="19.5" x14ac:dyDescent="0.4"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7"/>
      <c r="BF1386" s="15"/>
      <c r="BJ1386" s="115"/>
      <c r="BK1386" s="117"/>
      <c r="BL1386" s="123"/>
      <c r="BM1386" s="123"/>
      <c r="BN1386" s="123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/>
      <c r="BZ1386" s="115"/>
      <c r="CA1386" s="115"/>
      <c r="CB1386" s="115"/>
      <c r="CC1386" s="26"/>
      <c r="CD1386" s="15"/>
      <c r="CG1386" s="114"/>
    </row>
    <row r="1387" spans="6:85" ht="19.5" x14ac:dyDescent="0.4"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26"/>
      <c r="BF1387" s="15"/>
      <c r="BJ1387" s="115"/>
      <c r="BK1387" s="117"/>
      <c r="BL1387" s="123"/>
      <c r="BM1387" s="123"/>
      <c r="BN1387" s="123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/>
      <c r="BZ1387" s="115"/>
      <c r="CA1387" s="115"/>
      <c r="CB1387" s="115"/>
      <c r="CC1387" s="26"/>
      <c r="CD1387" s="15"/>
      <c r="CG1387" s="114"/>
    </row>
    <row r="1388" spans="6:85" ht="19.5" x14ac:dyDescent="0.4"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7"/>
      <c r="BF1388" s="15"/>
      <c r="BJ1388" s="115"/>
      <c r="BK1388" s="117"/>
      <c r="BL1388" s="123"/>
      <c r="BM1388" s="123"/>
      <c r="BN1388" s="123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115"/>
      <c r="BZ1388" s="115"/>
      <c r="CA1388" s="115"/>
      <c r="CB1388" s="115"/>
      <c r="CC1388" s="26"/>
      <c r="CD1388" s="15"/>
      <c r="CG1388" s="114"/>
    </row>
    <row r="1389" spans="6:85" ht="19.5" x14ac:dyDescent="0.4">
      <c r="BE1389" s="26"/>
      <c r="BF1389" s="15"/>
      <c r="BJ1389" s="115"/>
      <c r="BK1389" s="117"/>
      <c r="BL1389" s="123"/>
      <c r="BM1389" s="123"/>
      <c r="BN1389" s="123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15"/>
      <c r="CA1389" s="115"/>
      <c r="CB1389" s="115"/>
      <c r="CC1389" s="26">
        <v>45278</v>
      </c>
      <c r="CD1389" s="15" t="s">
        <v>142</v>
      </c>
      <c r="CG1389" s="114"/>
    </row>
    <row r="1390" spans="6:85" ht="19.5" x14ac:dyDescent="0.4">
      <c r="BE1390" s="26"/>
      <c r="BF1390" s="15"/>
      <c r="BJ1390" s="115"/>
      <c r="BK1390" s="117"/>
      <c r="BL1390" s="123"/>
      <c r="BM1390" s="123"/>
      <c r="BN1390" s="123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115"/>
      <c r="CA1390" s="115"/>
      <c r="CB1390" s="115"/>
      <c r="CC1390" s="26">
        <v>45278</v>
      </c>
      <c r="CD1390" s="15" t="s">
        <v>162</v>
      </c>
      <c r="CG1390" s="114"/>
    </row>
    <row r="1391" spans="6:85" ht="19.5" x14ac:dyDescent="0.4">
      <c r="BE1391" s="26"/>
      <c r="BF1391" s="15"/>
      <c r="BJ1391" s="115"/>
      <c r="BK1391" s="117"/>
      <c r="BL1391" s="123"/>
      <c r="BM1391" s="123"/>
      <c r="BN1391" s="123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15"/>
      <c r="CA1391" s="115"/>
      <c r="CB1391" s="115"/>
      <c r="CC1391" s="26">
        <v>45278</v>
      </c>
      <c r="CD1391" s="15" t="s">
        <v>162</v>
      </c>
      <c r="CG1391" s="114"/>
    </row>
    <row r="1392" spans="6:85" ht="19.5" x14ac:dyDescent="0.4"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7"/>
      <c r="BF1392" s="15"/>
      <c r="BJ1392" s="115"/>
      <c r="BK1392" s="117"/>
      <c r="BL1392" s="123"/>
      <c r="BM1392" s="123"/>
      <c r="BN1392" s="123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115"/>
      <c r="CA1392" s="115"/>
      <c r="CB1392" s="115"/>
      <c r="CC1392" s="26"/>
      <c r="CD1392" s="15"/>
      <c r="CG1392" s="114"/>
    </row>
    <row r="1393" spans="6:85" ht="19.5" x14ac:dyDescent="0.4"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26"/>
      <c r="BF1393" s="15"/>
      <c r="BJ1393" s="115"/>
      <c r="BK1393" s="117"/>
      <c r="BL1393" s="123"/>
      <c r="BM1393" s="123"/>
      <c r="BN1393" s="123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115"/>
      <c r="CA1393" s="115"/>
      <c r="CB1393" s="115"/>
      <c r="CC1393" s="26"/>
      <c r="CD1393" s="15"/>
      <c r="CG1393" s="114"/>
    </row>
    <row r="1394" spans="6:85" ht="19.5" x14ac:dyDescent="0.4"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26"/>
      <c r="BF1394" s="15"/>
      <c r="BJ1394" s="115"/>
      <c r="BK1394" s="117"/>
      <c r="BL1394" s="123"/>
      <c r="BM1394" s="123"/>
      <c r="BN1394" s="123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115"/>
      <c r="CA1394" s="115"/>
      <c r="CB1394" s="115"/>
      <c r="CC1394" s="26"/>
      <c r="CD1394" s="15"/>
      <c r="CG1394" s="114"/>
    </row>
    <row r="1395" spans="6:85" ht="19.5" x14ac:dyDescent="0.4"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7"/>
      <c r="BF1395" s="15"/>
      <c r="BJ1395" s="115"/>
      <c r="BK1395" s="117"/>
      <c r="BL1395" s="123"/>
      <c r="BM1395" s="123"/>
      <c r="BN1395" s="123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15"/>
      <c r="CA1395" s="115"/>
      <c r="CB1395" s="115"/>
      <c r="CC1395" s="26"/>
      <c r="CD1395" s="15"/>
      <c r="CG1395" s="114"/>
    </row>
    <row r="1396" spans="6:85" ht="19.5" x14ac:dyDescent="0.4"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26"/>
      <c r="BF1396" s="15"/>
      <c r="BJ1396" s="115"/>
      <c r="BK1396" s="117"/>
      <c r="BL1396" s="123"/>
      <c r="BM1396" s="123"/>
      <c r="BN1396" s="123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115"/>
      <c r="CA1396" s="115"/>
      <c r="CB1396" s="115"/>
      <c r="CC1396" s="26"/>
      <c r="CD1396" s="15"/>
      <c r="CG1396" s="114"/>
    </row>
    <row r="1397" spans="6:85" ht="19.5" x14ac:dyDescent="0.4">
      <c r="BE1397" s="26"/>
      <c r="BF1397" s="15"/>
      <c r="BJ1397" s="115"/>
      <c r="BK1397" s="117"/>
      <c r="BL1397" s="123"/>
      <c r="BM1397" s="123"/>
      <c r="BN1397" s="123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15"/>
      <c r="CA1397" s="115"/>
      <c r="CB1397" s="115"/>
      <c r="CC1397" s="26">
        <v>45278</v>
      </c>
      <c r="CD1397" s="15" t="s">
        <v>162</v>
      </c>
      <c r="CG1397" s="114"/>
    </row>
    <row r="1398" spans="6:85" ht="19.5" x14ac:dyDescent="0.4"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26"/>
      <c r="BF1398" s="15"/>
      <c r="BJ1398" s="115"/>
      <c r="BK1398" s="117"/>
      <c r="BL1398" s="123"/>
      <c r="BM1398" s="123"/>
      <c r="BN1398" s="123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115"/>
      <c r="CA1398" s="115"/>
      <c r="CB1398" s="115"/>
      <c r="CC1398" s="26"/>
      <c r="CD1398" s="15"/>
      <c r="CG1398" s="114"/>
    </row>
    <row r="1399" spans="6:85" ht="19.5" x14ac:dyDescent="0.4">
      <c r="BE1399" s="26"/>
      <c r="BF1399" s="15"/>
      <c r="BJ1399" s="115"/>
      <c r="BK1399" s="117"/>
      <c r="BL1399" s="123"/>
      <c r="BM1399" s="123"/>
      <c r="BN1399" s="123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15"/>
      <c r="CA1399" s="115"/>
      <c r="CB1399" s="115"/>
      <c r="CC1399" s="26">
        <v>45278</v>
      </c>
      <c r="CD1399" s="15" t="s">
        <v>163</v>
      </c>
      <c r="CG1399" s="114"/>
    </row>
    <row r="1400" spans="6:85" ht="19.5" x14ac:dyDescent="0.4">
      <c r="BE1400" s="26"/>
      <c r="BF1400" s="15"/>
      <c r="BJ1400" s="115"/>
      <c r="BK1400" s="117"/>
      <c r="BL1400" s="123"/>
      <c r="BM1400" s="123"/>
      <c r="BN1400" s="123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15"/>
      <c r="CA1400" s="115"/>
      <c r="CB1400" s="115"/>
      <c r="CC1400" s="26">
        <v>45278</v>
      </c>
      <c r="CD1400" s="105" t="s">
        <v>163</v>
      </c>
      <c r="CG1400" s="114"/>
    </row>
    <row r="1401" spans="6:85" ht="19.5" x14ac:dyDescent="0.4">
      <c r="BE1401" s="25"/>
      <c r="BF1401" s="13"/>
      <c r="BJ1401" s="115"/>
      <c r="BK1401" s="117"/>
      <c r="BL1401" s="123"/>
      <c r="BM1401" s="123"/>
      <c r="BN1401" s="123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15"/>
      <c r="CA1401" s="115"/>
      <c r="CB1401" s="115"/>
      <c r="CC1401" s="26">
        <v>45278</v>
      </c>
      <c r="CD1401" s="15" t="s">
        <v>163</v>
      </c>
      <c r="CG1401" s="114"/>
    </row>
    <row r="1402" spans="6:85" ht="19.5" x14ac:dyDescent="0.4"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25"/>
      <c r="BF1402" s="13"/>
      <c r="BJ1402" s="115"/>
      <c r="BK1402" s="117"/>
      <c r="BL1402" s="123"/>
      <c r="BM1402" s="123"/>
      <c r="BN1402" s="123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115"/>
      <c r="CA1402" s="115"/>
      <c r="CB1402" s="115"/>
      <c r="CC1402" s="26"/>
      <c r="CD1402" s="15"/>
      <c r="CG1402" s="114"/>
    </row>
    <row r="1403" spans="6:85" ht="19.5" x14ac:dyDescent="0.4"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25"/>
      <c r="BF1403" s="13"/>
      <c r="BJ1403" s="115"/>
      <c r="BK1403" s="117"/>
      <c r="BL1403" s="123"/>
      <c r="BM1403" s="123"/>
      <c r="BN1403" s="123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15"/>
      <c r="CA1403" s="115"/>
      <c r="CB1403" s="115"/>
      <c r="CC1403" s="26"/>
      <c r="CD1403" s="15"/>
      <c r="CG1403" s="114"/>
    </row>
    <row r="1404" spans="6:85" ht="19.5" x14ac:dyDescent="0.4"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25"/>
      <c r="BF1404" s="13"/>
      <c r="BJ1404" s="115"/>
      <c r="BK1404" s="117"/>
      <c r="BL1404" s="123"/>
      <c r="BM1404" s="123"/>
      <c r="BN1404" s="123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115"/>
      <c r="CA1404" s="115"/>
      <c r="CB1404" s="115"/>
      <c r="CC1404" s="26"/>
      <c r="CD1404" s="15"/>
      <c r="CG1404" s="114"/>
    </row>
    <row r="1405" spans="6:85" ht="19.5" x14ac:dyDescent="0.4"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25"/>
      <c r="BF1405" s="13"/>
      <c r="BJ1405" s="115"/>
      <c r="BK1405" s="117"/>
      <c r="BL1405" s="123"/>
      <c r="BM1405" s="123"/>
      <c r="BN1405" s="123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15"/>
      <c r="CA1405" s="115"/>
      <c r="CB1405" s="115"/>
      <c r="CC1405" s="26"/>
      <c r="CD1405" s="15"/>
      <c r="CG1405" s="114"/>
    </row>
    <row r="1406" spans="6:85" ht="19.5" x14ac:dyDescent="0.4"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25"/>
      <c r="BF1406" s="13"/>
      <c r="BJ1406" s="115"/>
      <c r="BK1406" s="117"/>
      <c r="BL1406" s="123"/>
      <c r="BM1406" s="123"/>
      <c r="BN1406" s="123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115"/>
      <c r="CA1406" s="115"/>
      <c r="CB1406" s="115"/>
      <c r="CC1406" s="26"/>
      <c r="CD1406" s="15"/>
      <c r="CG1406" s="114"/>
    </row>
    <row r="1407" spans="6:85" ht="19.5" x14ac:dyDescent="0.4"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25"/>
      <c r="BF1407" s="13"/>
      <c r="BJ1407" s="115"/>
      <c r="BK1407" s="117"/>
      <c r="BL1407" s="123"/>
      <c r="BM1407" s="123"/>
      <c r="BN1407" s="123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15"/>
      <c r="CA1407" s="115"/>
      <c r="CB1407" s="115"/>
      <c r="CC1407" s="26"/>
      <c r="CD1407" s="15"/>
      <c r="CG1407" s="114"/>
    </row>
    <row r="1408" spans="6:85" ht="19.5" x14ac:dyDescent="0.4">
      <c r="BE1408" s="25"/>
      <c r="BF1408" s="13"/>
      <c r="BJ1408" s="115"/>
      <c r="BK1408" s="117"/>
      <c r="BL1408" s="123"/>
      <c r="BM1408" s="123"/>
      <c r="BN1408" s="123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15"/>
      <c r="CA1408" s="115"/>
      <c r="CB1408" s="115"/>
      <c r="CC1408" s="26">
        <v>45278</v>
      </c>
      <c r="CD1408" s="15" t="s">
        <v>163</v>
      </c>
      <c r="CG1408" s="114"/>
    </row>
    <row r="1409" spans="48:85" ht="19.5" x14ac:dyDescent="0.4">
      <c r="BE1409" s="25"/>
      <c r="BF1409" s="13"/>
      <c r="BJ1409" s="115"/>
      <c r="BK1409" s="117"/>
      <c r="BL1409" s="123"/>
      <c r="BM1409" s="123"/>
      <c r="BN1409" s="123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115"/>
      <c r="BZ1409" s="115"/>
      <c r="CA1409" s="115"/>
      <c r="CB1409" s="115"/>
      <c r="CC1409" s="26"/>
      <c r="CD1409" s="15"/>
      <c r="CG1409" s="114"/>
    </row>
    <row r="1410" spans="48:85" ht="19.5" x14ac:dyDescent="0.4"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3"/>
      <c r="BF1410" s="13"/>
      <c r="BJ1410" s="115"/>
      <c r="BK1410" s="117"/>
      <c r="BL1410" s="123"/>
      <c r="BM1410" s="123"/>
      <c r="BN1410" s="123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115"/>
      <c r="CA1410" s="115"/>
      <c r="CB1410" s="115"/>
      <c r="CC1410" s="26"/>
      <c r="CD1410" s="15"/>
      <c r="CG1410" s="114"/>
    </row>
    <row r="1411" spans="48:85" ht="19.5" x14ac:dyDescent="0.4">
      <c r="BE1411" s="25"/>
      <c r="BF1411" s="13"/>
      <c r="BJ1411" s="115"/>
      <c r="BK1411" s="117"/>
      <c r="BL1411" s="123"/>
      <c r="BM1411" s="123"/>
      <c r="BN1411" s="123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115"/>
      <c r="CA1411" s="115"/>
      <c r="CB1411" s="115"/>
      <c r="CC1411" s="26">
        <v>45278</v>
      </c>
      <c r="CD1411" s="15" t="s">
        <v>163</v>
      </c>
      <c r="CG1411" s="114"/>
    </row>
    <row r="1412" spans="48:85" ht="19.5" x14ac:dyDescent="0.4"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3"/>
      <c r="BF1412" s="13"/>
      <c r="BJ1412" s="115"/>
      <c r="BK1412" s="117"/>
      <c r="BL1412" s="123"/>
      <c r="BM1412" s="123"/>
      <c r="BN1412" s="123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115"/>
      <c r="CA1412" s="115"/>
      <c r="CB1412" s="115"/>
      <c r="CC1412" s="26"/>
      <c r="CD1412" s="13"/>
      <c r="CG1412" s="114"/>
    </row>
    <row r="1413" spans="48:85" ht="19.5" x14ac:dyDescent="0.4">
      <c r="BE1413" s="25"/>
      <c r="BF1413" s="13"/>
      <c r="BJ1413" s="115"/>
      <c r="BK1413" s="117"/>
      <c r="BL1413" s="123"/>
      <c r="BM1413" s="123"/>
      <c r="BN1413" s="123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115"/>
      <c r="CA1413" s="115"/>
      <c r="CB1413" s="115" t="s">
        <v>153</v>
      </c>
      <c r="CC1413" s="17">
        <f>SUBTOTAL(3,CC1382:CC1411)</f>
        <v>12</v>
      </c>
      <c r="CD1413" s="13">
        <f>SUBTOTAL(3,CD1382:CD1411)</f>
        <v>12</v>
      </c>
      <c r="CG1413" s="114"/>
    </row>
    <row r="1414" spans="48:85" ht="19.5" x14ac:dyDescent="0.4"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3"/>
      <c r="BF1414" s="13"/>
      <c r="BJ1414" s="115"/>
      <c r="BK1414" s="117"/>
      <c r="BL1414" s="123"/>
      <c r="BM1414" s="123"/>
      <c r="BN1414" s="123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115"/>
      <c r="CA1414" s="115"/>
      <c r="CB1414" s="115"/>
      <c r="CC1414" s="17"/>
      <c r="CD1414" s="13"/>
      <c r="CG1414" s="114"/>
    </row>
    <row r="1415" spans="48:85" ht="19.5" x14ac:dyDescent="0.4">
      <c r="BE1415" s="25"/>
      <c r="BF1415" s="13"/>
      <c r="BJ1415" s="115"/>
      <c r="BK1415" s="117"/>
      <c r="BL1415" s="123"/>
      <c r="BM1415" s="123"/>
      <c r="BN1415" s="123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115"/>
      <c r="CA1415" s="115"/>
      <c r="CB1415" s="115"/>
      <c r="CC1415" s="26">
        <v>45279</v>
      </c>
      <c r="CD1415" s="25" t="s">
        <v>162</v>
      </c>
      <c r="CG1415" s="114"/>
    </row>
    <row r="1416" spans="48:85" ht="19.5" x14ac:dyDescent="0.4">
      <c r="BE1416" s="25"/>
      <c r="BF1416" s="13"/>
      <c r="BJ1416" s="115"/>
      <c r="BK1416" s="117"/>
      <c r="BL1416" s="123"/>
      <c r="BM1416" s="123"/>
      <c r="BN1416" s="123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115"/>
      <c r="CA1416" s="115"/>
      <c r="CB1416" s="115"/>
      <c r="CC1416" s="26">
        <v>45279</v>
      </c>
      <c r="CD1416" s="13" t="s">
        <v>162</v>
      </c>
      <c r="CG1416" s="114"/>
    </row>
    <row r="1417" spans="48:85" ht="19.5" x14ac:dyDescent="0.4"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20"/>
      <c r="BF1417" s="13"/>
      <c r="BJ1417" s="115"/>
      <c r="BK1417" s="117"/>
      <c r="BL1417" s="123"/>
      <c r="BM1417" s="123"/>
      <c r="BN1417" s="123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15"/>
      <c r="CA1417" s="115"/>
      <c r="CB1417" s="115"/>
      <c r="CC1417" s="26"/>
      <c r="CD1417" s="13"/>
      <c r="CG1417" s="114"/>
    </row>
    <row r="1418" spans="48:85" ht="19.5" x14ac:dyDescent="0.4"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20"/>
      <c r="BF1418" s="13"/>
      <c r="BJ1418" s="115"/>
      <c r="BK1418" s="117"/>
      <c r="BL1418" s="123"/>
      <c r="BM1418" s="123"/>
      <c r="BN1418" s="123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115"/>
      <c r="CA1418" s="115"/>
      <c r="CB1418" s="115"/>
      <c r="CC1418" s="26"/>
      <c r="CD1418" s="13"/>
      <c r="CG1418" s="114"/>
    </row>
    <row r="1419" spans="48:85" ht="19.5" x14ac:dyDescent="0.4">
      <c r="BE1419" s="26"/>
      <c r="BF1419" s="13"/>
      <c r="BJ1419" s="115"/>
      <c r="BK1419" s="117"/>
      <c r="BL1419" s="123"/>
      <c r="BM1419" s="123"/>
      <c r="BN1419" s="123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115"/>
      <c r="CA1419" s="115"/>
      <c r="CB1419" s="115"/>
      <c r="CC1419" s="26">
        <v>45279</v>
      </c>
      <c r="CD1419" s="13" t="s">
        <v>162</v>
      </c>
      <c r="CG1419" s="114"/>
    </row>
    <row r="1420" spans="48:85" ht="19.5" x14ac:dyDescent="0.4">
      <c r="BE1420" s="26"/>
      <c r="BF1420" s="13"/>
      <c r="BJ1420" s="115"/>
      <c r="BK1420" s="117"/>
      <c r="BL1420" s="123"/>
      <c r="BM1420" s="123"/>
      <c r="BN1420" s="123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115"/>
      <c r="CA1420" s="115"/>
      <c r="CB1420" s="115"/>
      <c r="CC1420" s="26">
        <v>45279</v>
      </c>
      <c r="CD1420" s="13" t="s">
        <v>162</v>
      </c>
      <c r="CG1420" s="114"/>
    </row>
    <row r="1421" spans="48:85" ht="19.5" x14ac:dyDescent="0.4">
      <c r="BE1421" s="129"/>
      <c r="BF1421" s="13"/>
      <c r="BJ1421" s="115"/>
      <c r="BK1421" s="117"/>
      <c r="BL1421" s="123"/>
      <c r="BM1421" s="123"/>
      <c r="BN1421" s="123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115"/>
      <c r="CA1421" s="115"/>
      <c r="CB1421" s="115"/>
      <c r="CC1421" s="26"/>
      <c r="CD1421" s="13"/>
      <c r="CG1421" s="114"/>
    </row>
    <row r="1422" spans="48:85" ht="19.5" x14ac:dyDescent="0.4">
      <c r="BE1422" s="26"/>
      <c r="BF1422" s="13"/>
      <c r="BJ1422" s="115"/>
      <c r="BK1422" s="117"/>
      <c r="BL1422" s="123"/>
      <c r="BM1422" s="123"/>
      <c r="BN1422" s="123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115"/>
      <c r="CA1422" s="115"/>
      <c r="CB1422" s="115"/>
      <c r="CC1422" s="26">
        <v>45279</v>
      </c>
      <c r="CD1422" s="13" t="s">
        <v>162</v>
      </c>
      <c r="CG1422" s="114"/>
    </row>
    <row r="1423" spans="48:85" ht="19.5" x14ac:dyDescent="0.4">
      <c r="BE1423" s="26"/>
      <c r="BF1423" s="13"/>
      <c r="BJ1423" s="115"/>
      <c r="BK1423" s="117"/>
      <c r="BL1423" s="123"/>
      <c r="BM1423" s="123"/>
      <c r="BN1423" s="123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115"/>
      <c r="CA1423" s="115"/>
      <c r="CB1423" s="115"/>
      <c r="CC1423" s="26">
        <v>45279</v>
      </c>
      <c r="CD1423" s="13" t="s">
        <v>162</v>
      </c>
      <c r="CG1423" s="114"/>
    </row>
    <row r="1424" spans="48:85" ht="19.5" x14ac:dyDescent="0.4">
      <c r="BE1424" s="26"/>
      <c r="BF1424" s="13"/>
      <c r="BJ1424" s="115"/>
      <c r="BK1424" s="117"/>
      <c r="BL1424" s="123"/>
      <c r="BM1424" s="123"/>
      <c r="BN1424" s="123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115"/>
      <c r="CA1424" s="115"/>
      <c r="CB1424" s="115" t="s">
        <v>170</v>
      </c>
      <c r="CC1424" s="17">
        <f>SUBTOTAL(3,CC1415:CC1423)</f>
        <v>6</v>
      </c>
      <c r="CD1424" s="13">
        <f>SUBTOTAL(3,CD1415:CD1423)</f>
        <v>6</v>
      </c>
      <c r="CG1424" s="114"/>
    </row>
    <row r="1425" spans="57:85" ht="19.5" x14ac:dyDescent="0.4">
      <c r="BE1425" s="129"/>
      <c r="BF1425" s="13"/>
      <c r="BJ1425" s="115"/>
      <c r="BK1425" s="117"/>
      <c r="BL1425" s="123"/>
      <c r="BM1425" s="123"/>
      <c r="BN1425" s="123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115"/>
      <c r="CA1425" s="115"/>
      <c r="CB1425" s="115"/>
      <c r="CC1425" s="17"/>
      <c r="CD1425" s="13"/>
      <c r="CG1425" s="114"/>
    </row>
    <row r="1426" spans="57:85" ht="19.5" x14ac:dyDescent="0.4">
      <c r="BE1426" s="26"/>
      <c r="BF1426" s="13"/>
      <c r="BJ1426" s="115"/>
      <c r="BK1426" s="117"/>
      <c r="BL1426" s="123"/>
      <c r="BM1426" s="123"/>
      <c r="BN1426" s="123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115"/>
      <c r="CA1426" s="115"/>
      <c r="CB1426" s="115"/>
      <c r="CC1426" s="26">
        <v>45280</v>
      </c>
      <c r="CD1426" s="13" t="s">
        <v>162</v>
      </c>
      <c r="CG1426" s="114"/>
    </row>
    <row r="1427" spans="57:85" ht="19.5" x14ac:dyDescent="0.4">
      <c r="BE1427" s="26"/>
      <c r="BF1427" s="13"/>
      <c r="BJ1427" s="115"/>
      <c r="BK1427" s="116"/>
      <c r="BL1427" s="123"/>
      <c r="BM1427" s="123"/>
      <c r="BN1427" s="123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115"/>
      <c r="CA1427" s="115"/>
      <c r="CB1427" s="115"/>
      <c r="CC1427" s="26">
        <v>45280</v>
      </c>
      <c r="CD1427" s="13" t="s">
        <v>162</v>
      </c>
      <c r="CG1427" s="114"/>
    </row>
    <row r="1428" spans="57:85" ht="19.5" x14ac:dyDescent="0.4">
      <c r="BE1428" s="26"/>
      <c r="BF1428" s="13"/>
      <c r="BJ1428" s="115"/>
      <c r="BK1428" s="116"/>
      <c r="BL1428" s="123"/>
      <c r="BM1428" s="123"/>
      <c r="BN1428" s="123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115"/>
      <c r="CA1428" s="115"/>
      <c r="CB1428" s="115"/>
      <c r="CC1428" s="26">
        <v>45280</v>
      </c>
      <c r="CD1428" s="13" t="s">
        <v>162</v>
      </c>
      <c r="CG1428" s="114"/>
    </row>
    <row r="1429" spans="57:85" ht="19.5" x14ac:dyDescent="0.4">
      <c r="BE1429" s="26"/>
      <c r="BF1429" s="13"/>
      <c r="BJ1429" s="115"/>
      <c r="BK1429" s="116"/>
      <c r="BL1429" s="123"/>
      <c r="BM1429" s="123"/>
      <c r="BN1429" s="123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115"/>
      <c r="CA1429" s="115"/>
      <c r="CB1429" s="115"/>
      <c r="CC1429" s="26">
        <v>45280</v>
      </c>
      <c r="CD1429" s="13" t="s">
        <v>162</v>
      </c>
      <c r="CG1429" s="114"/>
    </row>
    <row r="1430" spans="57:85" ht="19.5" x14ac:dyDescent="0.4">
      <c r="BE1430" s="129"/>
      <c r="BF1430" s="13"/>
      <c r="BJ1430" s="115"/>
      <c r="BK1430" s="116"/>
      <c r="BL1430" s="123"/>
      <c r="BM1430" s="123"/>
      <c r="BN1430" s="123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15"/>
      <c r="CA1430" s="115"/>
      <c r="CB1430" s="115"/>
      <c r="CC1430" s="26"/>
      <c r="CD1430" s="13"/>
      <c r="CG1430" s="114"/>
    </row>
    <row r="1431" spans="57:85" ht="19.5" x14ac:dyDescent="0.4">
      <c r="BE1431" s="26"/>
      <c r="BF1431" s="13"/>
      <c r="BJ1431" s="115"/>
      <c r="BK1431" s="116"/>
      <c r="BL1431" s="123"/>
      <c r="BM1431" s="123"/>
      <c r="BN1431" s="123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115"/>
      <c r="CA1431" s="115"/>
      <c r="CB1431" s="115"/>
      <c r="CC1431" s="26">
        <v>45280</v>
      </c>
      <c r="CD1431" s="13" t="s">
        <v>162</v>
      </c>
      <c r="CG1431" s="114"/>
    </row>
    <row r="1432" spans="57:85" ht="19.5" x14ac:dyDescent="0.4">
      <c r="BE1432" s="130"/>
      <c r="BF1432" s="119"/>
      <c r="BJ1432" s="115"/>
      <c r="BK1432" s="116"/>
      <c r="BL1432" s="123"/>
      <c r="BM1432" s="123"/>
      <c r="BN1432" s="123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115"/>
      <c r="CA1432" s="115"/>
      <c r="CB1432" s="115"/>
      <c r="CC1432" s="26"/>
      <c r="CD1432" s="13"/>
      <c r="CG1432" s="114"/>
    </row>
    <row r="1433" spans="57:85" ht="19.5" x14ac:dyDescent="0.4">
      <c r="BE1433" s="130"/>
      <c r="BF1433" s="119"/>
      <c r="BJ1433" s="115"/>
      <c r="BK1433" s="116"/>
      <c r="BL1433" s="123"/>
      <c r="BM1433" s="123"/>
      <c r="BN1433" s="123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115"/>
      <c r="CA1433" s="115"/>
      <c r="CB1433" s="115"/>
      <c r="CC1433" s="26"/>
      <c r="CD1433" s="13"/>
      <c r="CG1433" s="114"/>
    </row>
    <row r="1434" spans="57:85" ht="19.5" x14ac:dyDescent="0.4">
      <c r="BJ1434" s="115"/>
      <c r="BK1434" s="116"/>
      <c r="BL1434" s="123"/>
      <c r="BM1434" s="123"/>
      <c r="BN1434" s="123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15"/>
      <c r="CA1434" s="115"/>
      <c r="CB1434" s="115"/>
      <c r="CC1434" s="26">
        <v>45280</v>
      </c>
      <c r="CD1434" s="13" t="s">
        <v>162</v>
      </c>
      <c r="CG1434" s="114"/>
    </row>
    <row r="1435" spans="57:85" ht="19.5" x14ac:dyDescent="0.4">
      <c r="BJ1435" s="115"/>
      <c r="BK1435" s="116"/>
      <c r="BL1435" s="123"/>
      <c r="BM1435" s="123"/>
      <c r="BN1435" s="123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115"/>
      <c r="CA1435" s="115"/>
      <c r="CB1435" s="115"/>
      <c r="CC1435" s="26">
        <v>45280</v>
      </c>
      <c r="CD1435" s="13" t="s">
        <v>162</v>
      </c>
      <c r="CG1435" s="114"/>
    </row>
    <row r="1436" spans="57:85" ht="19.5" x14ac:dyDescent="0.4">
      <c r="BJ1436" s="115"/>
      <c r="BK1436" s="116"/>
      <c r="BL1436" s="123"/>
      <c r="BM1436" s="123"/>
      <c r="BN1436" s="123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15"/>
      <c r="CA1436" s="115"/>
      <c r="CB1436" s="115"/>
      <c r="CC1436" s="26">
        <v>45280</v>
      </c>
      <c r="CD1436" s="13" t="s">
        <v>162</v>
      </c>
      <c r="CG1436" s="114"/>
    </row>
    <row r="1437" spans="57:85" ht="19.5" x14ac:dyDescent="0.4">
      <c r="BI1437" s="115"/>
      <c r="BJ1437" s="115"/>
      <c r="BK1437" s="116"/>
      <c r="BL1437" s="123"/>
      <c r="BM1437" s="123"/>
      <c r="BN1437" s="123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115"/>
      <c r="CA1437" s="115"/>
      <c r="CB1437" s="115"/>
      <c r="CC1437" s="26">
        <v>45280</v>
      </c>
      <c r="CD1437" s="13" t="s">
        <v>162</v>
      </c>
      <c r="CG1437" s="114"/>
    </row>
    <row r="1438" spans="57:85" ht="19.5" x14ac:dyDescent="0.4">
      <c r="BI1438" s="115"/>
      <c r="BJ1438" s="115"/>
      <c r="BK1438" s="116"/>
      <c r="BL1438" s="123"/>
      <c r="BM1438" s="123"/>
      <c r="BN1438" s="123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115"/>
      <c r="CA1438" s="115"/>
      <c r="CB1438" s="115"/>
      <c r="CC1438" s="26">
        <v>45280</v>
      </c>
      <c r="CD1438" s="13" t="s">
        <v>162</v>
      </c>
      <c r="CG1438" s="114"/>
    </row>
    <row r="1439" spans="57:85" ht="19.5" x14ac:dyDescent="0.4">
      <c r="BG1439" s="115"/>
      <c r="BH1439" s="115"/>
      <c r="BI1439" s="115"/>
      <c r="BJ1439" s="115"/>
      <c r="BK1439" s="116"/>
      <c r="BL1439" s="123"/>
      <c r="BM1439" s="123"/>
      <c r="BN1439" s="123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/>
      <c r="BZ1439" s="115"/>
      <c r="CA1439" s="115"/>
      <c r="CB1439" s="115"/>
      <c r="CC1439" s="26">
        <v>45280</v>
      </c>
      <c r="CD1439" s="13" t="s">
        <v>162</v>
      </c>
      <c r="CG1439" s="114"/>
    </row>
    <row r="1440" spans="57:85" x14ac:dyDescent="0.4">
      <c r="BG1440" s="115"/>
      <c r="BH1440" s="115"/>
      <c r="BI1440" s="115"/>
      <c r="BJ1440" s="115"/>
      <c r="BK1440" s="115"/>
      <c r="BL1440" s="122"/>
      <c r="BM1440" s="122"/>
      <c r="BN1440" s="122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15"/>
      <c r="CA1440" s="115"/>
      <c r="CB1440" s="115"/>
      <c r="CC1440" s="26">
        <v>45280</v>
      </c>
      <c r="CD1440" s="13" t="s">
        <v>162</v>
      </c>
      <c r="CG1440" s="114"/>
    </row>
    <row r="1441" spans="59:85" x14ac:dyDescent="0.4">
      <c r="BG1441" s="115"/>
      <c r="BH1441" s="115"/>
      <c r="BI1441" s="115"/>
      <c r="BJ1441" s="115"/>
      <c r="BK1441" s="115"/>
      <c r="BL1441" s="122"/>
      <c r="BM1441" s="122"/>
      <c r="BN1441" s="122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115"/>
      <c r="CA1441" s="115"/>
      <c r="CB1441" s="115"/>
      <c r="CC1441" s="26">
        <v>45280</v>
      </c>
      <c r="CD1441" s="13" t="s">
        <v>162</v>
      </c>
      <c r="CG1441" s="114"/>
    </row>
    <row r="1442" spans="59:85" x14ac:dyDescent="0.4">
      <c r="BG1442" s="115"/>
      <c r="BH1442" s="115"/>
      <c r="BI1442" s="115"/>
      <c r="BJ1442" s="115"/>
      <c r="BK1442" s="115"/>
      <c r="BL1442" s="122"/>
      <c r="BM1442" s="122"/>
      <c r="BN1442" s="122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15"/>
      <c r="CA1442" s="115"/>
      <c r="CB1442" s="115" t="s">
        <v>171</v>
      </c>
      <c r="CC1442" s="17">
        <f>SUBTOTAL(3,CC1426:CC1441)</f>
        <v>13</v>
      </c>
      <c r="CD1442" s="13">
        <f>SUBTOTAL(3,CD1426:CD1441)</f>
        <v>13</v>
      </c>
      <c r="CG1442" s="114"/>
    </row>
    <row r="1443" spans="59:85" x14ac:dyDescent="0.4">
      <c r="BG1443" s="115"/>
      <c r="BH1443" s="115"/>
      <c r="BI1443" s="115"/>
      <c r="BJ1443" s="115"/>
      <c r="BK1443" s="115"/>
      <c r="BL1443" s="122"/>
      <c r="BM1443" s="122"/>
      <c r="BN1443" s="122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115"/>
      <c r="CA1443" s="115"/>
      <c r="CB1443" s="115"/>
      <c r="CC1443" s="26">
        <v>45283</v>
      </c>
      <c r="CD1443" s="13" t="s">
        <v>162</v>
      </c>
      <c r="CG1443" s="114"/>
    </row>
    <row r="1444" spans="59:85" x14ac:dyDescent="0.4">
      <c r="BG1444" s="115"/>
      <c r="BH1444" s="115"/>
      <c r="BI1444" s="115"/>
      <c r="BJ1444" s="115"/>
      <c r="BK1444" s="115"/>
      <c r="BL1444" s="122"/>
      <c r="BM1444" s="122"/>
      <c r="BN1444" s="122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115"/>
      <c r="CA1444" s="115"/>
      <c r="CB1444" s="115"/>
      <c r="CC1444" s="26">
        <v>45283</v>
      </c>
      <c r="CD1444" s="13" t="s">
        <v>162</v>
      </c>
      <c r="CG1444" s="114"/>
    </row>
    <row r="1445" spans="59:85" x14ac:dyDescent="0.4">
      <c r="BG1445" s="115"/>
      <c r="BH1445" s="115"/>
      <c r="BI1445" s="115"/>
      <c r="BJ1445" s="115"/>
      <c r="BK1445" s="115"/>
      <c r="BL1445" s="122"/>
      <c r="BM1445" s="122"/>
      <c r="BN1445" s="122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15"/>
      <c r="CA1445" s="115"/>
      <c r="CB1445" s="115"/>
      <c r="CC1445" s="26">
        <v>45283</v>
      </c>
      <c r="CD1445" s="13" t="s">
        <v>162</v>
      </c>
      <c r="CG1445" s="114"/>
    </row>
    <row r="1446" spans="59:85" x14ac:dyDescent="0.4">
      <c r="BG1446" s="115"/>
      <c r="BH1446" s="115"/>
      <c r="BI1446" s="115"/>
      <c r="BJ1446" s="115"/>
      <c r="BK1446" s="115"/>
      <c r="BL1446" s="122"/>
      <c r="BM1446" s="122"/>
      <c r="BN1446" s="122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115"/>
      <c r="CA1446" s="115"/>
      <c r="CB1446" s="115"/>
      <c r="CC1446" s="26">
        <v>45283</v>
      </c>
      <c r="CD1446" s="13" t="s">
        <v>162</v>
      </c>
      <c r="CG1446" s="114"/>
    </row>
    <row r="1447" spans="59:85" x14ac:dyDescent="0.4">
      <c r="BG1447" s="115"/>
      <c r="BH1447" s="115"/>
      <c r="BI1447" s="115"/>
      <c r="BJ1447" s="115"/>
      <c r="BK1447" s="115"/>
      <c r="BL1447" s="122"/>
      <c r="BM1447" s="122"/>
      <c r="BN1447" s="122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15"/>
      <c r="CA1447" s="115"/>
      <c r="CB1447" s="115"/>
      <c r="CC1447" s="26">
        <v>45283</v>
      </c>
      <c r="CD1447" s="13" t="s">
        <v>162</v>
      </c>
      <c r="CG1447" s="114"/>
    </row>
    <row r="1448" spans="59:85" x14ac:dyDescent="0.4">
      <c r="BG1448" s="115"/>
      <c r="BH1448" s="115"/>
      <c r="BI1448" s="115"/>
      <c r="BJ1448" s="115"/>
      <c r="BK1448" s="115"/>
      <c r="BL1448" s="122"/>
      <c r="BM1448" s="122"/>
      <c r="BN1448" s="122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15"/>
      <c r="CA1448" s="115"/>
      <c r="CB1448" s="115"/>
      <c r="CC1448" s="26">
        <v>45283</v>
      </c>
      <c r="CD1448" s="13" t="s">
        <v>162</v>
      </c>
      <c r="CG1448" s="114"/>
    </row>
    <row r="1449" spans="59:85" x14ac:dyDescent="0.4">
      <c r="BG1449" s="115"/>
      <c r="BH1449" s="115"/>
      <c r="BI1449" s="115"/>
      <c r="BJ1449" s="115"/>
      <c r="BK1449" s="115"/>
      <c r="BL1449" s="122"/>
      <c r="BM1449" s="122"/>
      <c r="BN1449" s="122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115"/>
      <c r="CA1449" s="115"/>
      <c r="CB1449" s="115"/>
      <c r="CC1449" s="26">
        <v>45283</v>
      </c>
      <c r="CD1449" s="13" t="s">
        <v>162</v>
      </c>
      <c r="CG1449" s="114"/>
    </row>
    <row r="1450" spans="59:85" x14ac:dyDescent="0.4">
      <c r="BG1450" s="115"/>
      <c r="BH1450" s="115"/>
      <c r="BI1450" s="115"/>
      <c r="BJ1450" s="115"/>
      <c r="BK1450" s="115"/>
      <c r="BL1450" s="122"/>
      <c r="BM1450" s="122"/>
      <c r="BN1450" s="122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115"/>
      <c r="CA1450" s="115"/>
      <c r="CB1450" s="115"/>
      <c r="CC1450" s="26">
        <v>45283</v>
      </c>
      <c r="CD1450" s="13" t="s">
        <v>162</v>
      </c>
      <c r="CG1450" s="114"/>
    </row>
    <row r="1451" spans="59:85" x14ac:dyDescent="0.4">
      <c r="BG1451" s="115"/>
      <c r="BH1451" s="115"/>
      <c r="BI1451" s="115"/>
      <c r="BJ1451" s="115"/>
      <c r="BK1451" s="115"/>
      <c r="BL1451" s="122"/>
      <c r="BM1451" s="122"/>
      <c r="BN1451" s="122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115"/>
      <c r="CA1451" s="115"/>
      <c r="CB1451" s="115"/>
      <c r="CC1451" s="26">
        <v>45283</v>
      </c>
      <c r="CD1451" s="13" t="s">
        <v>162</v>
      </c>
      <c r="CG1451" s="114"/>
    </row>
    <row r="1452" spans="59:85" x14ac:dyDescent="0.4">
      <c r="BG1452" s="115"/>
      <c r="BH1452" s="115"/>
      <c r="BI1452" s="115"/>
      <c r="BJ1452" s="115"/>
      <c r="BK1452" s="115"/>
      <c r="BL1452" s="122"/>
      <c r="BM1452" s="122"/>
      <c r="BN1452" s="122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115"/>
      <c r="CA1452" s="115"/>
      <c r="CB1452" s="115"/>
      <c r="CC1452" s="26">
        <v>45283</v>
      </c>
      <c r="CD1452" s="13" t="s">
        <v>162</v>
      </c>
      <c r="CG1452" s="114"/>
    </row>
    <row r="1453" spans="59:85" x14ac:dyDescent="0.4">
      <c r="BG1453" s="115"/>
      <c r="BH1453" s="115"/>
      <c r="BI1453" s="115"/>
      <c r="BJ1453" s="115"/>
      <c r="BK1453" s="115"/>
      <c r="BL1453" s="122"/>
      <c r="BM1453" s="122"/>
      <c r="BN1453" s="122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115"/>
      <c r="CA1453" s="115"/>
      <c r="CB1453" s="115"/>
      <c r="CC1453" s="26">
        <v>45283</v>
      </c>
      <c r="CD1453" s="13" t="s">
        <v>163</v>
      </c>
      <c r="CG1453" s="114"/>
    </row>
    <row r="1454" spans="59:85" x14ac:dyDescent="0.4">
      <c r="BG1454" s="115"/>
      <c r="BH1454" s="115"/>
      <c r="BI1454" s="115"/>
      <c r="BJ1454" s="115"/>
      <c r="BK1454" s="115"/>
      <c r="BL1454" s="122"/>
      <c r="BM1454" s="122"/>
      <c r="BN1454" s="122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115"/>
      <c r="CA1454" s="115"/>
      <c r="CB1454" s="115"/>
      <c r="CC1454" s="26">
        <v>45283</v>
      </c>
      <c r="CD1454" s="13" t="s">
        <v>163</v>
      </c>
      <c r="CG1454" s="114"/>
    </row>
    <row r="1455" spans="59:85" x14ac:dyDescent="0.4">
      <c r="BG1455" s="115"/>
      <c r="BH1455" s="115"/>
      <c r="BI1455" s="115"/>
      <c r="BJ1455" s="115"/>
      <c r="BK1455" s="115"/>
      <c r="BL1455" s="122"/>
      <c r="BM1455" s="122"/>
      <c r="BN1455" s="122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115"/>
      <c r="CA1455" s="115"/>
      <c r="CB1455" s="115"/>
      <c r="CC1455" s="26">
        <v>45283</v>
      </c>
      <c r="CD1455" s="13" t="s">
        <v>163</v>
      </c>
      <c r="CG1455" s="114"/>
    </row>
    <row r="1456" spans="59:85" x14ac:dyDescent="0.4">
      <c r="BG1456" s="115"/>
      <c r="BH1456" s="115"/>
      <c r="BI1456" s="115"/>
      <c r="BJ1456" s="115"/>
      <c r="BK1456" s="115"/>
      <c r="BL1456" s="122"/>
      <c r="BM1456" s="122"/>
      <c r="BN1456" s="122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15"/>
      <c r="CA1456" s="115"/>
      <c r="CB1456" s="115" t="s">
        <v>161</v>
      </c>
      <c r="CC1456" s="17">
        <f>SUBTOTAL(3,CC1443:CC1455)</f>
        <v>13</v>
      </c>
      <c r="CD1456" s="13">
        <f>SUBTOTAL(3,CD1443:CD1455)</f>
        <v>13</v>
      </c>
      <c r="CG1456" s="114"/>
    </row>
    <row r="1457" spans="59:85" x14ac:dyDescent="0.4">
      <c r="BG1457" s="115"/>
      <c r="BH1457" s="115"/>
      <c r="BI1457" s="115"/>
      <c r="BJ1457" s="115"/>
      <c r="BK1457" s="115"/>
      <c r="BL1457" s="122"/>
      <c r="BM1457" s="122"/>
      <c r="BN1457" s="122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115"/>
      <c r="CA1457" s="115"/>
      <c r="CB1457" s="115"/>
      <c r="CC1457" s="26">
        <v>45285</v>
      </c>
      <c r="CD1457" s="13" t="s">
        <v>163</v>
      </c>
      <c r="CG1457" s="114"/>
    </row>
    <row r="1458" spans="59:85" x14ac:dyDescent="0.4">
      <c r="BG1458" s="115"/>
      <c r="BH1458" s="115"/>
      <c r="BI1458" s="115"/>
      <c r="BJ1458" s="115"/>
      <c r="BK1458" s="115"/>
      <c r="BL1458" s="122"/>
      <c r="BM1458" s="122"/>
      <c r="BN1458" s="122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115"/>
      <c r="CA1458" s="115"/>
      <c r="CB1458" s="115" t="s">
        <v>172</v>
      </c>
      <c r="CC1458" s="17">
        <f>SUBTOTAL(3,CC1457:CC1457)</f>
        <v>1</v>
      </c>
      <c r="CD1458" s="13">
        <f>SUBTOTAL(3,CD1457:CD1457)</f>
        <v>1</v>
      </c>
      <c r="CG1458" s="114"/>
    </row>
    <row r="1459" spans="59:85" x14ac:dyDescent="0.4">
      <c r="BG1459" s="115"/>
      <c r="BH1459" s="115"/>
      <c r="BI1459" s="115"/>
      <c r="BJ1459" s="115"/>
      <c r="BK1459" s="115"/>
      <c r="BL1459" s="122"/>
      <c r="BM1459" s="122"/>
      <c r="BN1459" s="122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115"/>
      <c r="CA1459" s="115"/>
      <c r="CB1459" s="115"/>
      <c r="CC1459" s="26">
        <v>45299</v>
      </c>
      <c r="CD1459" s="13" t="s">
        <v>164</v>
      </c>
      <c r="CG1459" s="114"/>
    </row>
    <row r="1460" spans="59:85" x14ac:dyDescent="0.4">
      <c r="BG1460" s="115"/>
      <c r="BH1460" s="115"/>
      <c r="BI1460" s="115"/>
      <c r="BJ1460" s="115"/>
      <c r="BK1460" s="115"/>
      <c r="BL1460" s="122"/>
      <c r="BM1460" s="122"/>
      <c r="BN1460" s="122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115"/>
      <c r="CA1460" s="115"/>
      <c r="CB1460" s="115"/>
      <c r="CC1460" s="26">
        <v>45299</v>
      </c>
      <c r="CD1460" s="13" t="s">
        <v>162</v>
      </c>
      <c r="CG1460" s="114"/>
    </row>
    <row r="1461" spans="59:85" x14ac:dyDescent="0.4">
      <c r="BG1461" s="115"/>
      <c r="BH1461" s="115"/>
      <c r="BI1461" s="115"/>
      <c r="BJ1461" s="115"/>
      <c r="BK1461" s="115"/>
      <c r="BL1461" s="122"/>
      <c r="BM1461" s="122"/>
      <c r="BN1461" s="122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15"/>
      <c r="CA1461" s="115"/>
      <c r="CB1461" s="115"/>
      <c r="CC1461" s="26">
        <v>45299</v>
      </c>
      <c r="CD1461" s="13" t="s">
        <v>162</v>
      </c>
      <c r="CG1461" s="114"/>
    </row>
    <row r="1462" spans="59:85" x14ac:dyDescent="0.4">
      <c r="BG1462" s="115"/>
      <c r="BH1462" s="115"/>
      <c r="BI1462" s="115"/>
      <c r="BJ1462" s="115"/>
      <c r="BK1462" s="115"/>
      <c r="BL1462" s="122"/>
      <c r="BM1462" s="122"/>
      <c r="BN1462" s="122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115"/>
      <c r="CA1462" s="115"/>
      <c r="CB1462" s="115"/>
      <c r="CC1462" s="26">
        <v>45299</v>
      </c>
      <c r="CD1462" s="15" t="s">
        <v>162</v>
      </c>
      <c r="CG1462" s="114"/>
    </row>
    <row r="1463" spans="59:85" x14ac:dyDescent="0.4">
      <c r="BG1463" s="115"/>
      <c r="BH1463" s="115"/>
      <c r="BI1463" s="115"/>
      <c r="BJ1463" s="115"/>
      <c r="BK1463" s="115"/>
      <c r="BL1463" s="122"/>
      <c r="BM1463" s="122"/>
      <c r="BN1463" s="122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115"/>
      <c r="CA1463" s="115"/>
      <c r="CB1463" s="115" t="s">
        <v>173</v>
      </c>
      <c r="CC1463" s="17">
        <f>SUBTOTAL(3,CC1459:CC1462)</f>
        <v>4</v>
      </c>
      <c r="CD1463" s="13">
        <f>SUBTOTAL(3,CD1459:CD1462)</f>
        <v>4</v>
      </c>
      <c r="CG1463" s="114"/>
    </row>
    <row r="1464" spans="59:85" x14ac:dyDescent="0.4">
      <c r="BG1464" s="115"/>
      <c r="BH1464" s="115"/>
      <c r="BI1464" s="115"/>
      <c r="BJ1464" s="115"/>
      <c r="BK1464" s="115"/>
      <c r="BL1464" s="122"/>
      <c r="BM1464" s="122"/>
      <c r="BN1464" s="122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115"/>
      <c r="CA1464" s="115"/>
      <c r="CB1464" s="115" t="s">
        <v>145</v>
      </c>
      <c r="CC1464" s="17">
        <f>SUBTOTAL(3,CC2:CC1462)</f>
        <v>136</v>
      </c>
      <c r="CD1464" s="13">
        <f>SUBTOTAL(3,CD2:CD1462)</f>
        <v>136</v>
      </c>
      <c r="CG1464" s="114"/>
    </row>
    <row r="1465" spans="59:85" x14ac:dyDescent="0.4">
      <c r="BG1465" s="115"/>
      <c r="BH1465" s="115"/>
      <c r="BI1465" s="115"/>
      <c r="BJ1465" s="115"/>
      <c r="BK1465" s="115"/>
      <c r="BL1465" s="122"/>
      <c r="BM1465" s="122"/>
      <c r="BN1465" s="122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115" t="s">
        <v>145</v>
      </c>
      <c r="CA1465" s="115"/>
      <c r="CB1465" s="115"/>
      <c r="CC1465" s="26"/>
      <c r="CD1465" s="13"/>
      <c r="CG1465" s="114"/>
    </row>
    <row r="1466" spans="59:85" x14ac:dyDescent="0.4">
      <c r="BG1466" s="115"/>
      <c r="BH1466" s="115"/>
      <c r="BI1466" s="115"/>
      <c r="BJ1466" s="115"/>
      <c r="BK1466" s="115"/>
      <c r="BL1466" s="122"/>
      <c r="BM1466" s="122"/>
      <c r="BN1466" s="122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115"/>
      <c r="CA1466" s="115"/>
      <c r="CB1466" s="115"/>
      <c r="CC1466" s="17"/>
      <c r="CD1466" s="13"/>
      <c r="CG1466" s="114"/>
    </row>
    <row r="1467" spans="59:85" x14ac:dyDescent="0.4">
      <c r="BG1467" s="115"/>
      <c r="BH1467" s="115"/>
      <c r="BI1467" s="115"/>
      <c r="BJ1467" s="115"/>
      <c r="BK1467" s="115"/>
      <c r="BL1467" s="122"/>
      <c r="BM1467" s="122"/>
      <c r="BN1467" s="122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115"/>
      <c r="CA1467" s="115"/>
      <c r="CB1467" s="115"/>
      <c r="CC1467" s="26"/>
      <c r="CD1467" s="13"/>
      <c r="CG1467" s="114"/>
    </row>
    <row r="1468" spans="59:85" x14ac:dyDescent="0.4">
      <c r="BG1468" s="115"/>
      <c r="BH1468" s="115"/>
      <c r="BI1468" s="115"/>
      <c r="BJ1468" s="115"/>
      <c r="BK1468" s="115"/>
      <c r="BL1468" s="122"/>
      <c r="BM1468" s="122"/>
      <c r="BN1468" s="122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15"/>
      <c r="CA1468" s="115"/>
      <c r="CB1468" s="115"/>
      <c r="CC1468" s="17"/>
      <c r="CD1468" s="13"/>
      <c r="CG1468" s="114"/>
    </row>
    <row r="1469" spans="59:85" x14ac:dyDescent="0.4">
      <c r="BG1469" s="115"/>
      <c r="BH1469" s="115"/>
      <c r="BI1469" s="115"/>
      <c r="BJ1469" s="115"/>
      <c r="BK1469" s="115"/>
      <c r="BL1469" s="122"/>
      <c r="BM1469" s="122"/>
      <c r="BN1469" s="122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115"/>
      <c r="CA1469" s="115"/>
      <c r="CB1469" s="115"/>
      <c r="CC1469" s="26"/>
      <c r="CD1469" s="13"/>
      <c r="CG1469" s="114"/>
    </row>
    <row r="1470" spans="59:85" x14ac:dyDescent="0.4">
      <c r="BG1470" s="115"/>
      <c r="BH1470" s="115"/>
      <c r="BI1470" s="115"/>
      <c r="BJ1470" s="115"/>
      <c r="BK1470" s="115"/>
      <c r="BL1470" s="122"/>
      <c r="BM1470" s="122"/>
      <c r="BN1470" s="122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115"/>
      <c r="CA1470" s="115"/>
      <c r="CB1470" s="115"/>
      <c r="CC1470" s="26"/>
      <c r="CD1470" s="13"/>
      <c r="CG1470" s="114"/>
    </row>
    <row r="1471" spans="59:85" x14ac:dyDescent="0.4">
      <c r="BG1471" s="115"/>
      <c r="BH1471" s="115"/>
      <c r="BI1471" s="115"/>
      <c r="BJ1471" s="115"/>
      <c r="BK1471" s="115"/>
      <c r="BL1471" s="122"/>
      <c r="BM1471" s="122"/>
      <c r="BN1471" s="122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115"/>
      <c r="CA1471" s="115"/>
      <c r="CB1471" s="115"/>
      <c r="CC1471" s="26"/>
      <c r="CD1471" s="13"/>
      <c r="CG1471" s="114"/>
    </row>
    <row r="1472" spans="59:85" x14ac:dyDescent="0.4">
      <c r="BG1472" s="115"/>
      <c r="BH1472" s="115"/>
      <c r="BI1472" s="115"/>
      <c r="BJ1472" s="115"/>
      <c r="BK1472" s="115"/>
      <c r="BL1472" s="122"/>
      <c r="BM1472" s="122"/>
      <c r="BN1472" s="122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115"/>
      <c r="CA1472" s="115"/>
      <c r="CB1472" s="115"/>
      <c r="CC1472" s="17"/>
      <c r="CD1472" s="13"/>
      <c r="CG1472" s="114"/>
    </row>
    <row r="1473" spans="59:85" x14ac:dyDescent="0.4">
      <c r="BG1473" s="115"/>
      <c r="BH1473" s="115"/>
      <c r="BI1473" s="115"/>
      <c r="BJ1473" s="115"/>
      <c r="BK1473" s="115"/>
      <c r="BL1473" s="122"/>
      <c r="BM1473" s="122"/>
      <c r="BN1473" s="122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115"/>
      <c r="CA1473" s="115"/>
      <c r="CB1473" s="115"/>
      <c r="CC1473" s="26"/>
      <c r="CD1473" s="13"/>
      <c r="CG1473" s="114"/>
    </row>
    <row r="1474" spans="59:85" x14ac:dyDescent="0.4">
      <c r="BG1474" s="115"/>
      <c r="BH1474" s="115"/>
      <c r="BI1474" s="115"/>
      <c r="BJ1474" s="115"/>
      <c r="BK1474" s="115"/>
      <c r="BL1474" s="122"/>
      <c r="BM1474" s="122"/>
      <c r="BN1474" s="122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115"/>
      <c r="CA1474" s="115"/>
      <c r="CB1474" s="115"/>
      <c r="CC1474" s="17"/>
      <c r="CD1474" s="13"/>
      <c r="CG1474" s="114"/>
    </row>
    <row r="1475" spans="59:85" x14ac:dyDescent="0.4">
      <c r="BG1475" s="115"/>
      <c r="BH1475" s="115"/>
      <c r="BI1475" s="115"/>
      <c r="BJ1475" s="115"/>
      <c r="BK1475" s="115"/>
      <c r="BL1475" s="122"/>
      <c r="BM1475" s="122"/>
      <c r="BN1475" s="122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115"/>
      <c r="CA1475" s="115"/>
      <c r="CB1475" s="115"/>
      <c r="CC1475" s="26"/>
      <c r="CD1475" s="13"/>
      <c r="CG1475" s="114"/>
    </row>
    <row r="1476" spans="59:85" x14ac:dyDescent="0.4">
      <c r="BG1476" s="115"/>
      <c r="BH1476" s="115"/>
      <c r="BI1476" s="115"/>
      <c r="BJ1476" s="115"/>
      <c r="BK1476" s="115"/>
      <c r="BL1476" s="122"/>
      <c r="BM1476" s="122"/>
      <c r="BN1476" s="122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115"/>
      <c r="CA1476" s="115"/>
      <c r="CB1476" s="115"/>
      <c r="CC1476" s="17"/>
      <c r="CD1476" s="13"/>
      <c r="CG1476" s="114"/>
    </row>
    <row r="1477" spans="59:85" x14ac:dyDescent="0.4">
      <c r="BG1477" s="115"/>
      <c r="BH1477" s="115"/>
      <c r="BI1477" s="115"/>
      <c r="BJ1477" s="115"/>
      <c r="BK1477" s="115"/>
      <c r="BL1477" s="122"/>
      <c r="BM1477" s="122"/>
      <c r="BN1477" s="122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115"/>
      <c r="CA1477" s="115"/>
      <c r="CB1477" s="115"/>
      <c r="CC1477" s="17"/>
      <c r="CD1477" s="13"/>
      <c r="CG1477" s="114"/>
    </row>
    <row r="1478" spans="59:85" x14ac:dyDescent="0.4">
      <c r="BG1478" s="115"/>
      <c r="BH1478" s="115"/>
      <c r="BI1478" s="115"/>
      <c r="BJ1478" s="115"/>
      <c r="BK1478" s="115"/>
      <c r="BL1478" s="122"/>
      <c r="BM1478" s="122"/>
      <c r="BN1478" s="122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115"/>
      <c r="CA1478" s="115"/>
      <c r="CB1478" s="115"/>
      <c r="CC1478" s="17"/>
      <c r="CD1478" s="13"/>
      <c r="CG1478" s="114"/>
    </row>
    <row r="1479" spans="59:85" x14ac:dyDescent="0.4">
      <c r="BG1479" s="115"/>
      <c r="BH1479" s="115"/>
      <c r="BI1479" s="115"/>
      <c r="BJ1479" s="115"/>
      <c r="BK1479" s="115"/>
      <c r="BL1479" s="122"/>
      <c r="BM1479" s="122"/>
      <c r="BN1479" s="122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115"/>
      <c r="CA1479" s="115"/>
      <c r="CB1479" s="115"/>
      <c r="CC1479" s="26"/>
      <c r="CD1479" s="13"/>
      <c r="CG1479" s="114"/>
    </row>
    <row r="1480" spans="59:85" x14ac:dyDescent="0.4">
      <c r="BG1480" s="115"/>
      <c r="BH1480" s="115"/>
      <c r="BI1480" s="115"/>
      <c r="BJ1480" s="115"/>
      <c r="BK1480" s="115"/>
      <c r="BL1480" s="122"/>
      <c r="BM1480" s="122"/>
      <c r="BN1480" s="122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115"/>
      <c r="CA1480" s="115"/>
      <c r="CB1480" s="115"/>
      <c r="CC1480" s="17"/>
      <c r="CD1480" s="13"/>
      <c r="CG1480" s="114"/>
    </row>
    <row r="1481" spans="59:85" x14ac:dyDescent="0.4">
      <c r="BG1481" s="115"/>
      <c r="BH1481" s="115"/>
      <c r="BI1481" s="115"/>
      <c r="BJ1481" s="115"/>
      <c r="BK1481" s="115"/>
      <c r="BL1481" s="122"/>
      <c r="BM1481" s="122"/>
      <c r="BN1481" s="122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115"/>
      <c r="CA1481" s="115"/>
      <c r="CB1481" s="115"/>
      <c r="CC1481" s="26"/>
      <c r="CD1481" s="13"/>
      <c r="CG1481" s="114"/>
    </row>
    <row r="1482" spans="59:85" x14ac:dyDescent="0.4">
      <c r="BG1482" s="115"/>
      <c r="BH1482" s="115"/>
      <c r="BI1482" s="115"/>
      <c r="BJ1482" s="115"/>
      <c r="BK1482" s="115"/>
      <c r="BL1482" s="122"/>
      <c r="BM1482" s="122"/>
      <c r="BN1482" s="122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115"/>
      <c r="CA1482" s="115"/>
      <c r="CB1482" s="115"/>
      <c r="CC1482" s="17"/>
      <c r="CD1482" s="13"/>
      <c r="CG1482" s="114"/>
    </row>
    <row r="1483" spans="59:85" x14ac:dyDescent="0.4">
      <c r="BG1483" s="115"/>
      <c r="BH1483" s="115"/>
      <c r="BI1483" s="115"/>
      <c r="BJ1483" s="115"/>
      <c r="BK1483" s="115"/>
      <c r="BL1483" s="122"/>
      <c r="BM1483" s="122"/>
      <c r="BN1483" s="122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115"/>
      <c r="CA1483" s="115"/>
      <c r="CB1483" s="115"/>
      <c r="CC1483" s="26"/>
      <c r="CD1483" s="25"/>
      <c r="CG1483" s="114"/>
    </row>
    <row r="1484" spans="59:85" x14ac:dyDescent="0.4">
      <c r="BG1484" s="115"/>
      <c r="BH1484" s="115"/>
      <c r="BI1484" s="115"/>
      <c r="BJ1484" s="115"/>
      <c r="BK1484" s="115"/>
      <c r="BL1484" s="122"/>
      <c r="BM1484" s="122"/>
      <c r="BN1484" s="122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115"/>
      <c r="CA1484" s="115"/>
      <c r="CB1484" s="115"/>
      <c r="CC1484" s="17"/>
      <c r="CD1484" s="13"/>
      <c r="CG1484" s="114"/>
    </row>
    <row r="1485" spans="59:85" x14ac:dyDescent="0.4">
      <c r="BG1485" s="115"/>
      <c r="BH1485" s="115"/>
      <c r="BI1485" s="115"/>
      <c r="BJ1485" s="115"/>
      <c r="BK1485" s="115"/>
      <c r="BL1485" s="122"/>
      <c r="BM1485" s="122"/>
      <c r="BN1485" s="122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115"/>
      <c r="CA1485" s="115"/>
      <c r="CB1485" s="115"/>
      <c r="CC1485" s="17"/>
      <c r="CD1485" s="13"/>
      <c r="CG1485" s="114"/>
    </row>
    <row r="1486" spans="59:85" x14ac:dyDescent="0.4">
      <c r="BG1486" s="115"/>
      <c r="BH1486" s="115"/>
      <c r="BI1486" s="115"/>
      <c r="BJ1486" s="115"/>
      <c r="BK1486" s="115"/>
      <c r="BL1486" s="122"/>
      <c r="BM1486" s="122"/>
      <c r="BN1486" s="122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115"/>
      <c r="CA1486" s="115"/>
      <c r="CB1486" s="115"/>
      <c r="CC1486" s="26"/>
      <c r="CD1486" s="15"/>
      <c r="CG1486" s="114"/>
    </row>
    <row r="1487" spans="59:85" x14ac:dyDescent="0.4">
      <c r="BG1487" s="115"/>
      <c r="BH1487" s="115"/>
      <c r="BI1487" s="115"/>
      <c r="BJ1487" s="115"/>
      <c r="BK1487" s="115"/>
      <c r="BL1487" s="122"/>
      <c r="BM1487" s="122"/>
      <c r="BN1487" s="122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15"/>
      <c r="CA1487" s="115"/>
      <c r="CB1487" s="115"/>
      <c r="CC1487" s="26"/>
      <c r="CD1487" s="15"/>
      <c r="CG1487" s="114"/>
    </row>
    <row r="1488" spans="59:85" x14ac:dyDescent="0.4">
      <c r="BG1488" s="115"/>
      <c r="BH1488" s="115"/>
      <c r="BI1488" s="115"/>
      <c r="BJ1488" s="115"/>
      <c r="BK1488" s="115"/>
      <c r="BL1488" s="122"/>
      <c r="BM1488" s="122"/>
      <c r="BN1488" s="122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115"/>
      <c r="CA1488" s="115"/>
      <c r="CB1488" s="115"/>
      <c r="CC1488" s="26"/>
      <c r="CD1488" s="15"/>
      <c r="CG1488" s="114"/>
    </row>
    <row r="1489" spans="59:85" x14ac:dyDescent="0.4">
      <c r="BG1489" s="115"/>
      <c r="BH1489" s="115"/>
      <c r="BI1489" s="115"/>
      <c r="BJ1489" s="115"/>
      <c r="BK1489" s="115"/>
      <c r="BL1489" s="122"/>
      <c r="BM1489" s="122"/>
      <c r="BN1489" s="122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115"/>
      <c r="CA1489" s="115"/>
      <c r="CB1489" s="115"/>
      <c r="CC1489" s="26"/>
      <c r="CD1489" s="15"/>
      <c r="CG1489" s="114"/>
    </row>
    <row r="1490" spans="59:85" x14ac:dyDescent="0.4">
      <c r="BG1490" s="115"/>
      <c r="BH1490" s="115"/>
      <c r="BI1490" s="115"/>
      <c r="BJ1490" s="115"/>
      <c r="BK1490" s="115"/>
      <c r="BL1490" s="122"/>
      <c r="BM1490" s="122"/>
      <c r="BN1490" s="122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115"/>
      <c r="CA1490" s="115"/>
      <c r="CB1490" s="115"/>
      <c r="CC1490" s="26"/>
      <c r="CD1490" s="15"/>
      <c r="CG1490" s="114"/>
    </row>
    <row r="1491" spans="59:85" x14ac:dyDescent="0.4">
      <c r="BG1491" s="115"/>
      <c r="BH1491" s="115"/>
      <c r="BI1491" s="115"/>
      <c r="BJ1491" s="115"/>
      <c r="BK1491" s="115"/>
      <c r="BL1491" s="122"/>
      <c r="BM1491" s="122"/>
      <c r="BN1491" s="122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115"/>
      <c r="CA1491" s="115"/>
      <c r="CB1491" s="115"/>
      <c r="CC1491" s="26"/>
      <c r="CD1491" s="15"/>
      <c r="CG1491" s="114"/>
    </row>
    <row r="1492" spans="59:85" x14ac:dyDescent="0.4">
      <c r="BG1492" s="115"/>
      <c r="BH1492" s="115"/>
      <c r="BI1492" s="115"/>
      <c r="BJ1492" s="115"/>
      <c r="BK1492" s="115"/>
      <c r="BL1492" s="122"/>
      <c r="BM1492" s="122"/>
      <c r="BN1492" s="122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115"/>
      <c r="CA1492" s="115"/>
      <c r="CB1492" s="115"/>
      <c r="CC1492" s="26"/>
      <c r="CD1492" s="15"/>
      <c r="CG1492" s="114"/>
    </row>
    <row r="1493" spans="59:85" x14ac:dyDescent="0.4">
      <c r="BG1493" s="115"/>
      <c r="BH1493" s="115"/>
      <c r="BI1493" s="115"/>
      <c r="BJ1493" s="115"/>
      <c r="BK1493" s="115"/>
      <c r="BL1493" s="122"/>
      <c r="BM1493" s="122"/>
      <c r="BN1493" s="122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115"/>
      <c r="CA1493" s="115"/>
      <c r="CB1493" s="115"/>
      <c r="CC1493" s="26"/>
      <c r="CD1493" s="15"/>
      <c r="CG1493" s="114"/>
    </row>
    <row r="1494" spans="59:85" x14ac:dyDescent="0.4">
      <c r="BG1494" s="115"/>
      <c r="BH1494" s="115"/>
      <c r="BI1494" s="115"/>
      <c r="BJ1494" s="115"/>
      <c r="BK1494" s="115"/>
      <c r="BL1494" s="122"/>
      <c r="BM1494" s="122"/>
      <c r="BN1494" s="122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115"/>
      <c r="CA1494" s="115"/>
      <c r="CB1494" s="115"/>
      <c r="CC1494" s="17"/>
      <c r="CD1494" s="15"/>
      <c r="CG1494" s="114"/>
    </row>
    <row r="1495" spans="59:85" x14ac:dyDescent="0.4">
      <c r="BG1495" s="115"/>
      <c r="BH1495" s="115"/>
      <c r="BI1495" s="115"/>
      <c r="BJ1495" s="115"/>
      <c r="BK1495" s="115"/>
      <c r="BL1495" s="122"/>
      <c r="BM1495" s="122"/>
      <c r="BN1495" s="122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115"/>
      <c r="CA1495" s="115"/>
      <c r="CB1495" s="115"/>
      <c r="CC1495" s="26"/>
      <c r="CD1495" s="15"/>
      <c r="CG1495" s="114"/>
    </row>
    <row r="1496" spans="59:85" x14ac:dyDescent="0.4">
      <c r="BG1496" s="115"/>
      <c r="BH1496" s="115"/>
      <c r="BI1496" s="115"/>
      <c r="BJ1496" s="115"/>
      <c r="BK1496" s="115"/>
      <c r="BL1496" s="122"/>
      <c r="BM1496" s="122"/>
      <c r="BN1496" s="122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115"/>
      <c r="CA1496" s="115"/>
      <c r="CB1496" s="115"/>
      <c r="CC1496" s="26"/>
      <c r="CD1496" s="13"/>
      <c r="CG1496" s="114"/>
    </row>
    <row r="1497" spans="59:85" x14ac:dyDescent="0.4">
      <c r="BG1497" s="115"/>
      <c r="BH1497" s="115"/>
      <c r="BI1497" s="115"/>
      <c r="BJ1497" s="115"/>
      <c r="BK1497" s="115"/>
      <c r="BL1497" s="122"/>
      <c r="BM1497" s="122"/>
      <c r="BN1497" s="122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15"/>
      <c r="CA1497" s="115"/>
      <c r="CB1497" s="115"/>
      <c r="CC1497" s="26"/>
      <c r="CD1497" s="13"/>
      <c r="CG1497" s="114"/>
    </row>
    <row r="1498" spans="59:85" x14ac:dyDescent="0.4">
      <c r="BG1498" s="115"/>
      <c r="BH1498" s="115"/>
      <c r="BI1498" s="115"/>
      <c r="BJ1498" s="115"/>
      <c r="BK1498" s="115"/>
      <c r="BL1498" s="122"/>
      <c r="BM1498" s="122"/>
      <c r="BN1498" s="122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115"/>
      <c r="CA1498" s="115"/>
      <c r="CB1498" s="115"/>
      <c r="CC1498" s="26"/>
      <c r="CD1498" s="13"/>
      <c r="CG1498" s="114"/>
    </row>
    <row r="1499" spans="59:85" x14ac:dyDescent="0.4">
      <c r="BG1499" s="115"/>
      <c r="BH1499" s="115"/>
      <c r="BI1499" s="115"/>
      <c r="BJ1499" s="115"/>
      <c r="BK1499" s="115"/>
      <c r="BL1499" s="122"/>
      <c r="BM1499" s="122"/>
      <c r="BN1499" s="122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115"/>
      <c r="CA1499" s="115"/>
      <c r="CB1499" s="115"/>
      <c r="CC1499" s="26"/>
      <c r="CD1499" s="13"/>
      <c r="CG1499" s="114"/>
    </row>
    <row r="1500" spans="59:85" x14ac:dyDescent="0.4">
      <c r="BG1500" s="115"/>
      <c r="BH1500" s="115"/>
      <c r="BI1500" s="115"/>
      <c r="BJ1500" s="115"/>
      <c r="BK1500" s="115"/>
      <c r="BL1500" s="122"/>
      <c r="BM1500" s="122"/>
      <c r="BN1500" s="122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115"/>
      <c r="CA1500" s="115"/>
      <c r="CB1500" s="115"/>
      <c r="CC1500" s="26"/>
      <c r="CD1500" s="13"/>
      <c r="CG1500" s="114"/>
    </row>
    <row r="1501" spans="59:85" x14ac:dyDescent="0.4">
      <c r="BG1501" s="115"/>
      <c r="BH1501" s="115"/>
      <c r="BI1501" s="115"/>
      <c r="BJ1501" s="115"/>
      <c r="BK1501" s="115"/>
      <c r="BL1501" s="122"/>
      <c r="BM1501" s="122"/>
      <c r="BN1501" s="122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115"/>
      <c r="CA1501" s="115"/>
      <c r="CB1501" s="115"/>
      <c r="CC1501" s="26"/>
      <c r="CD1501" s="13"/>
      <c r="CG1501" s="114"/>
    </row>
    <row r="1502" spans="59:85" x14ac:dyDescent="0.4">
      <c r="BG1502" s="115"/>
      <c r="BH1502" s="115"/>
      <c r="BI1502" s="115"/>
      <c r="BJ1502" s="115"/>
      <c r="BK1502" s="115"/>
      <c r="BL1502" s="122"/>
      <c r="BM1502" s="122"/>
      <c r="BN1502" s="122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115"/>
      <c r="CA1502" s="115"/>
      <c r="CB1502" s="115"/>
      <c r="CC1502" s="26"/>
      <c r="CD1502" s="13"/>
      <c r="CG1502" s="114"/>
    </row>
    <row r="1503" spans="59:85" x14ac:dyDescent="0.4">
      <c r="BG1503" s="115"/>
      <c r="BH1503" s="115"/>
      <c r="BI1503" s="115"/>
      <c r="BJ1503" s="115"/>
      <c r="BK1503" s="115"/>
      <c r="BL1503" s="122"/>
      <c r="BM1503" s="122"/>
      <c r="BN1503" s="122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115"/>
      <c r="CA1503" s="115"/>
      <c r="CB1503" s="115"/>
      <c r="CC1503" s="26"/>
      <c r="CD1503" s="13"/>
      <c r="CG1503" s="114"/>
    </row>
    <row r="1504" spans="59:85" x14ac:dyDescent="0.4">
      <c r="BG1504" s="115"/>
      <c r="BH1504" s="115"/>
      <c r="BI1504" s="115"/>
      <c r="BJ1504" s="115"/>
      <c r="BK1504" s="115"/>
      <c r="BL1504" s="122"/>
      <c r="BM1504" s="122"/>
      <c r="BN1504" s="122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115"/>
      <c r="BZ1504" s="115"/>
      <c r="CA1504" s="115"/>
      <c r="CB1504" s="115"/>
      <c r="CC1504" s="26"/>
      <c r="CD1504" s="13"/>
      <c r="CG1504" s="114"/>
    </row>
    <row r="1505" spans="58:85" x14ac:dyDescent="0.4">
      <c r="BG1505" s="115"/>
      <c r="BH1505" s="115"/>
      <c r="BI1505" s="115"/>
      <c r="BJ1505" s="115"/>
      <c r="BK1505" s="115"/>
      <c r="BL1505" s="122"/>
      <c r="BM1505" s="122"/>
      <c r="BN1505" s="122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115"/>
      <c r="CA1505" s="115"/>
      <c r="CB1505" s="115"/>
      <c r="CC1505" s="26"/>
      <c r="CD1505" s="13"/>
      <c r="CG1505" s="114"/>
    </row>
    <row r="1506" spans="58:85" x14ac:dyDescent="0.4">
      <c r="BG1506" s="115"/>
      <c r="BH1506" s="115"/>
      <c r="BI1506" s="115"/>
      <c r="BJ1506" s="115"/>
      <c r="BK1506" s="115"/>
      <c r="BL1506" s="122"/>
      <c r="BM1506" s="122"/>
      <c r="BN1506" s="122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15"/>
      <c r="CA1506" s="115"/>
      <c r="CB1506" s="115"/>
      <c r="CC1506" s="26"/>
      <c r="CD1506" s="13"/>
      <c r="CG1506" s="114"/>
    </row>
    <row r="1507" spans="58:85" x14ac:dyDescent="0.4">
      <c r="BG1507" s="115"/>
      <c r="BH1507" s="115"/>
      <c r="BI1507" s="115"/>
      <c r="BJ1507" s="115"/>
      <c r="BK1507" s="115"/>
      <c r="BL1507" s="122"/>
      <c r="BM1507" s="122"/>
      <c r="BN1507" s="122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115"/>
      <c r="CA1507" s="115"/>
      <c r="CB1507" s="115"/>
      <c r="CC1507" s="17"/>
      <c r="CD1507" s="13"/>
      <c r="CG1507" s="114"/>
    </row>
    <row r="1508" spans="58:85" x14ac:dyDescent="0.4">
      <c r="BG1508" s="115"/>
      <c r="BH1508" s="115"/>
      <c r="BI1508" s="115"/>
      <c r="BJ1508" s="115"/>
      <c r="BK1508" s="115"/>
      <c r="BL1508" s="122"/>
      <c r="BM1508" s="122"/>
      <c r="BN1508" s="122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115"/>
      <c r="CA1508" s="115"/>
      <c r="CB1508" s="115"/>
      <c r="CC1508" s="26"/>
      <c r="CD1508" s="13"/>
      <c r="CG1508" s="114"/>
    </row>
    <row r="1509" spans="58:85" x14ac:dyDescent="0.4">
      <c r="BG1509" s="115"/>
      <c r="BH1509" s="115"/>
      <c r="BI1509" s="115"/>
      <c r="BJ1509" s="115"/>
      <c r="BK1509" s="115"/>
      <c r="BL1509" s="122"/>
      <c r="BM1509" s="122"/>
      <c r="BN1509" s="122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15"/>
      <c r="CA1509" s="115"/>
      <c r="CB1509" s="115"/>
      <c r="CC1509" s="26"/>
      <c r="CD1509" s="13"/>
      <c r="CG1509" s="114"/>
    </row>
    <row r="1510" spans="58:85" x14ac:dyDescent="0.4">
      <c r="BG1510" s="115"/>
      <c r="BH1510" s="115"/>
      <c r="BI1510" s="115"/>
      <c r="BJ1510" s="115"/>
      <c r="BK1510" s="115"/>
      <c r="BL1510" s="122"/>
      <c r="BM1510" s="122"/>
      <c r="BN1510" s="122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115"/>
      <c r="CA1510" s="115"/>
      <c r="CB1510" s="115"/>
      <c r="CC1510" s="26"/>
      <c r="CD1510" s="13"/>
      <c r="CG1510" s="114"/>
    </row>
    <row r="1511" spans="58:85" x14ac:dyDescent="0.4">
      <c r="BG1511" s="115"/>
      <c r="BH1511" s="115"/>
      <c r="BI1511" s="115"/>
      <c r="BJ1511" s="115"/>
      <c r="BK1511" s="115"/>
      <c r="BL1511" s="122"/>
      <c r="BM1511" s="122"/>
      <c r="BN1511" s="122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115"/>
      <c r="CA1511" s="115"/>
      <c r="CB1511" s="115"/>
      <c r="CC1511" s="17"/>
      <c r="CD1511" s="13"/>
      <c r="CG1511" s="114"/>
    </row>
    <row r="1512" spans="58:85" x14ac:dyDescent="0.4">
      <c r="BG1512" s="115"/>
      <c r="BH1512" s="115"/>
      <c r="BI1512" s="115"/>
      <c r="BJ1512" s="115"/>
      <c r="BK1512" s="115"/>
      <c r="BL1512" s="122"/>
      <c r="BM1512" s="122"/>
      <c r="BN1512" s="122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15"/>
      <c r="CA1512" s="115"/>
      <c r="CB1512" s="115"/>
      <c r="CC1512" s="26"/>
      <c r="CD1512" s="13"/>
      <c r="CG1512" s="114"/>
    </row>
    <row r="1513" spans="58:85" x14ac:dyDescent="0.4">
      <c r="BG1513" s="115"/>
      <c r="BH1513" s="115"/>
      <c r="BI1513" s="115"/>
      <c r="BJ1513" s="115"/>
      <c r="BK1513" s="115"/>
      <c r="BL1513" s="122"/>
      <c r="BM1513" s="122"/>
      <c r="BN1513" s="122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15"/>
      <c r="CA1513" s="115"/>
      <c r="CB1513" s="115"/>
      <c r="CC1513" s="17"/>
      <c r="CD1513" s="13"/>
      <c r="CG1513" s="114"/>
    </row>
    <row r="1514" spans="58:85" x14ac:dyDescent="0.4">
      <c r="BG1514" s="115"/>
      <c r="BH1514" s="115"/>
      <c r="BI1514" s="115"/>
      <c r="BJ1514" s="115"/>
      <c r="BK1514" s="115"/>
      <c r="BL1514" s="122"/>
      <c r="BM1514" s="122"/>
      <c r="BN1514" s="122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115"/>
      <c r="CA1514" s="115"/>
      <c r="CB1514" s="115"/>
      <c r="CC1514" s="26"/>
      <c r="CD1514" s="13"/>
      <c r="CG1514" s="114"/>
    </row>
    <row r="1515" spans="58:85" x14ac:dyDescent="0.4">
      <c r="BG1515" s="115"/>
      <c r="BH1515" s="115"/>
      <c r="BI1515" s="115"/>
      <c r="BJ1515" s="115"/>
      <c r="BK1515" s="115"/>
      <c r="BL1515" s="122"/>
      <c r="BM1515" s="122"/>
      <c r="BN1515" s="122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115"/>
      <c r="CA1515" s="115"/>
      <c r="CB1515" s="115"/>
      <c r="CC1515" s="26"/>
      <c r="CD1515" s="15"/>
      <c r="CG1515" s="114"/>
    </row>
    <row r="1516" spans="58:85" x14ac:dyDescent="0.4">
      <c r="BG1516" s="115"/>
      <c r="BH1516" s="115"/>
      <c r="BI1516" s="115"/>
      <c r="BJ1516" s="115"/>
      <c r="BK1516" s="115"/>
      <c r="BL1516" s="122"/>
      <c r="BM1516" s="122"/>
      <c r="BN1516" s="122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15"/>
      <c r="CA1516" s="115"/>
      <c r="CB1516" s="115"/>
      <c r="CC1516" s="17"/>
      <c r="CD1516" s="15"/>
      <c r="CG1516" s="114"/>
    </row>
    <row r="1517" spans="58:85" x14ac:dyDescent="0.4">
      <c r="BG1517" s="115"/>
      <c r="BH1517" s="115"/>
      <c r="BI1517" s="115"/>
      <c r="BJ1517" s="115"/>
      <c r="BK1517" s="115"/>
      <c r="BL1517" s="122"/>
      <c r="BM1517" s="122"/>
      <c r="BN1517" s="122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115"/>
      <c r="CA1517" s="115"/>
      <c r="CB1517" s="115"/>
      <c r="CC1517" s="17"/>
      <c r="CD1517" s="15"/>
      <c r="CG1517" s="114"/>
    </row>
    <row r="1518" spans="58:85" x14ac:dyDescent="0.4">
      <c r="BF1518" s="115"/>
      <c r="BG1518" s="115"/>
      <c r="BH1518" s="115"/>
      <c r="BI1518" s="115"/>
      <c r="BJ1518" s="115"/>
      <c r="BK1518" s="115"/>
      <c r="BL1518" s="122"/>
      <c r="BM1518" s="122"/>
      <c r="BN1518" s="122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115"/>
      <c r="CA1518" s="115"/>
      <c r="CB1518" s="115"/>
      <c r="CC1518" s="26"/>
      <c r="CD1518" s="15"/>
      <c r="CG1518" s="114"/>
    </row>
    <row r="1519" spans="58:85" x14ac:dyDescent="0.4">
      <c r="BF1519" s="115"/>
      <c r="BG1519" s="115"/>
      <c r="BH1519" s="115"/>
      <c r="BI1519" s="115"/>
      <c r="BJ1519" s="115"/>
      <c r="BK1519" s="115"/>
      <c r="BL1519" s="122"/>
      <c r="BM1519" s="122"/>
      <c r="BN1519" s="122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115"/>
      <c r="CA1519" s="115"/>
      <c r="CB1519" s="115"/>
      <c r="CC1519" s="17"/>
      <c r="CD1519" s="15"/>
      <c r="CG1519" s="114"/>
    </row>
    <row r="1520" spans="58:85" x14ac:dyDescent="0.4">
      <c r="BF1520" s="115"/>
      <c r="BG1520" s="115"/>
      <c r="BH1520" s="115"/>
      <c r="BI1520" s="115"/>
      <c r="BJ1520" s="115"/>
      <c r="BK1520" s="115"/>
      <c r="BL1520" s="122"/>
      <c r="BM1520" s="122"/>
      <c r="BN1520" s="122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115"/>
      <c r="CA1520" s="115"/>
      <c r="CB1520" s="115"/>
      <c r="CC1520" s="26"/>
      <c r="CD1520" s="15"/>
      <c r="CG1520" s="114"/>
    </row>
    <row r="1521" spans="58:85" x14ac:dyDescent="0.4">
      <c r="BF1521" s="115"/>
      <c r="BG1521" s="115"/>
      <c r="BH1521" s="115"/>
      <c r="BI1521" s="115"/>
      <c r="BJ1521" s="115"/>
      <c r="BK1521" s="115"/>
      <c r="BL1521" s="122"/>
      <c r="BM1521" s="122"/>
      <c r="BN1521" s="122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115"/>
      <c r="CA1521" s="115"/>
      <c r="CB1521" s="115"/>
      <c r="CC1521" s="26"/>
      <c r="CD1521" s="15"/>
      <c r="CG1521" s="114"/>
    </row>
    <row r="1522" spans="58:85" x14ac:dyDescent="0.4">
      <c r="BF1522" s="115"/>
      <c r="BG1522" s="115"/>
      <c r="BH1522" s="115"/>
      <c r="BI1522" s="115"/>
      <c r="BJ1522" s="115"/>
      <c r="BK1522" s="115"/>
      <c r="BL1522" s="122"/>
      <c r="BM1522" s="122"/>
      <c r="BN1522" s="122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115"/>
      <c r="CA1522" s="115"/>
      <c r="CB1522" s="115"/>
      <c r="CC1522" s="17"/>
      <c r="CD1522" s="15"/>
      <c r="CG1522" s="114"/>
    </row>
    <row r="1523" spans="58:85" x14ac:dyDescent="0.4">
      <c r="BF1523" s="115"/>
      <c r="BG1523" s="115"/>
      <c r="BH1523" s="115"/>
      <c r="BI1523" s="115"/>
      <c r="BJ1523" s="115"/>
      <c r="BK1523" s="115"/>
      <c r="BL1523" s="122"/>
      <c r="BM1523" s="122"/>
      <c r="BN1523" s="122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115"/>
      <c r="CA1523" s="115"/>
      <c r="CB1523" s="115"/>
      <c r="CC1523" s="26"/>
      <c r="CD1523" s="15"/>
      <c r="CG1523" s="114"/>
    </row>
    <row r="1524" spans="58:85" x14ac:dyDescent="0.4">
      <c r="BF1524" s="115"/>
      <c r="BG1524" s="115"/>
      <c r="BH1524" s="115"/>
      <c r="BI1524" s="115"/>
      <c r="BJ1524" s="115"/>
      <c r="BK1524" s="115"/>
      <c r="BL1524" s="122"/>
      <c r="BM1524" s="122"/>
      <c r="BN1524" s="122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115"/>
      <c r="CA1524" s="115"/>
      <c r="CB1524" s="115"/>
      <c r="CC1524" s="17"/>
      <c r="CD1524" s="15"/>
      <c r="CG1524" s="114"/>
    </row>
    <row r="1525" spans="58:85" x14ac:dyDescent="0.4">
      <c r="BF1525" s="115"/>
      <c r="BG1525" s="115"/>
      <c r="BH1525" s="115"/>
      <c r="BI1525" s="115"/>
      <c r="BJ1525" s="115"/>
      <c r="BK1525" s="115"/>
      <c r="BL1525" s="122"/>
      <c r="BM1525" s="122"/>
      <c r="BN1525" s="122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115"/>
      <c r="BZ1525" s="115"/>
      <c r="CA1525" s="115"/>
      <c r="CB1525" s="115"/>
      <c r="CC1525" s="17"/>
      <c r="CD1525" s="15"/>
      <c r="CG1525" s="114"/>
    </row>
    <row r="1526" spans="58:85" x14ac:dyDescent="0.4">
      <c r="BF1526" s="115"/>
      <c r="BG1526" s="115"/>
      <c r="BH1526" s="115"/>
      <c r="BI1526" s="115"/>
      <c r="BJ1526" s="115"/>
      <c r="BK1526" s="115"/>
      <c r="BL1526" s="122"/>
      <c r="BM1526" s="122"/>
      <c r="BN1526" s="122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115"/>
      <c r="CA1526" s="115"/>
      <c r="CB1526" s="115"/>
      <c r="CC1526" s="26"/>
      <c r="CD1526" s="15"/>
      <c r="CG1526" s="114"/>
    </row>
    <row r="1527" spans="58:85" x14ac:dyDescent="0.4">
      <c r="BF1527" s="115"/>
      <c r="BG1527" s="115"/>
      <c r="BH1527" s="115"/>
      <c r="BI1527" s="115"/>
      <c r="BJ1527" s="115"/>
      <c r="BK1527" s="115"/>
      <c r="BL1527" s="122"/>
      <c r="BM1527" s="122"/>
      <c r="BN1527" s="122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115"/>
      <c r="CA1527" s="115"/>
      <c r="CB1527" s="115"/>
      <c r="CC1527" s="26"/>
      <c r="CD1527" s="15"/>
      <c r="CG1527" s="114"/>
    </row>
    <row r="1528" spans="58:85" x14ac:dyDescent="0.4">
      <c r="BF1528" s="115"/>
      <c r="BG1528" s="115"/>
      <c r="BH1528" s="115"/>
      <c r="BI1528" s="115"/>
      <c r="BJ1528" s="115"/>
      <c r="BK1528" s="115"/>
      <c r="BL1528" s="122"/>
      <c r="BM1528" s="122"/>
      <c r="BN1528" s="122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115"/>
      <c r="CA1528" s="115"/>
      <c r="CB1528" s="115"/>
      <c r="CC1528" s="26"/>
      <c r="CD1528" s="15"/>
      <c r="CG1528" s="114"/>
    </row>
    <row r="1529" spans="58:85" x14ac:dyDescent="0.4">
      <c r="BF1529" s="115"/>
      <c r="BG1529" s="115"/>
      <c r="BH1529" s="115"/>
      <c r="BI1529" s="115"/>
      <c r="BJ1529" s="115"/>
      <c r="BK1529" s="115"/>
      <c r="BL1529" s="122"/>
      <c r="BM1529" s="122"/>
      <c r="BN1529" s="122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115"/>
      <c r="CA1529" s="115"/>
      <c r="CB1529" s="115"/>
      <c r="CC1529" s="26"/>
      <c r="CD1529" s="15"/>
      <c r="CG1529" s="114"/>
    </row>
    <row r="1530" spans="58:85" x14ac:dyDescent="0.4">
      <c r="BF1530" s="115"/>
      <c r="BG1530" s="115"/>
      <c r="BH1530" s="115"/>
      <c r="BI1530" s="115"/>
      <c r="BJ1530" s="115"/>
      <c r="BK1530" s="115"/>
      <c r="BL1530" s="122"/>
      <c r="BM1530" s="122"/>
      <c r="BN1530" s="122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115"/>
      <c r="CA1530" s="115"/>
      <c r="CB1530" s="115"/>
      <c r="CC1530" s="26"/>
      <c r="CD1530" s="15"/>
      <c r="CG1530" s="114"/>
    </row>
    <row r="1531" spans="58:85" x14ac:dyDescent="0.4">
      <c r="BF1531" s="115"/>
      <c r="BG1531" s="115"/>
      <c r="BH1531" s="115"/>
      <c r="BI1531" s="115"/>
      <c r="BJ1531" s="115"/>
      <c r="BK1531" s="115"/>
      <c r="BL1531" s="122"/>
      <c r="BM1531" s="122"/>
      <c r="BN1531" s="122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115"/>
      <c r="CA1531" s="115"/>
      <c r="CB1531" s="115"/>
      <c r="CC1531" s="26"/>
      <c r="CD1531" s="15"/>
      <c r="CG1531" s="114"/>
    </row>
    <row r="1532" spans="58:85" x14ac:dyDescent="0.4">
      <c r="BF1532" s="115"/>
      <c r="BG1532" s="115"/>
      <c r="BH1532" s="115"/>
      <c r="BI1532" s="115"/>
      <c r="BJ1532" s="115"/>
      <c r="BK1532" s="115"/>
      <c r="BL1532" s="122"/>
      <c r="BM1532" s="122"/>
      <c r="BN1532" s="122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115"/>
      <c r="CA1532" s="115"/>
      <c r="CB1532" s="115"/>
      <c r="CC1532" s="26"/>
      <c r="CD1532" s="15"/>
      <c r="CG1532" s="114"/>
    </row>
    <row r="1533" spans="58:85" x14ac:dyDescent="0.4">
      <c r="BF1533" s="115"/>
      <c r="BG1533" s="115"/>
      <c r="BH1533" s="115"/>
      <c r="BI1533" s="115"/>
      <c r="BJ1533" s="115"/>
      <c r="BK1533" s="115"/>
      <c r="BL1533" s="122"/>
      <c r="BM1533" s="122"/>
      <c r="BN1533" s="122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115"/>
      <c r="CA1533" s="115"/>
      <c r="CB1533" s="115"/>
      <c r="CC1533" s="17"/>
      <c r="CD1533" s="15"/>
      <c r="CG1533" s="114"/>
    </row>
    <row r="1534" spans="58:85" x14ac:dyDescent="0.4">
      <c r="BF1534" s="115"/>
      <c r="BG1534" s="115"/>
      <c r="BH1534" s="115"/>
      <c r="BI1534" s="115"/>
      <c r="BJ1534" s="115"/>
      <c r="BK1534" s="115"/>
      <c r="BL1534" s="122"/>
      <c r="BM1534" s="122"/>
      <c r="BN1534" s="122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115"/>
      <c r="CA1534" s="115"/>
      <c r="CB1534" s="115"/>
      <c r="CC1534" s="26"/>
      <c r="CD1534" s="15"/>
      <c r="CG1534" s="114"/>
    </row>
    <row r="1535" spans="58:85" x14ac:dyDescent="0.4">
      <c r="BF1535" s="115"/>
      <c r="BG1535" s="115"/>
      <c r="BH1535" s="115"/>
      <c r="BI1535" s="115"/>
      <c r="BJ1535" s="115"/>
      <c r="BK1535" s="115"/>
      <c r="BL1535" s="122"/>
      <c r="BM1535" s="122"/>
      <c r="BN1535" s="122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115"/>
      <c r="CA1535" s="115"/>
      <c r="CB1535" s="115"/>
      <c r="CC1535" s="26"/>
      <c r="CD1535" s="15"/>
      <c r="CG1535" s="114"/>
    </row>
    <row r="1536" spans="58:85" x14ac:dyDescent="0.4">
      <c r="BF1536" s="115"/>
      <c r="BG1536" s="115"/>
      <c r="BH1536" s="115"/>
      <c r="BI1536" s="115"/>
      <c r="BJ1536" s="115"/>
      <c r="BK1536" s="115"/>
      <c r="BL1536" s="122"/>
      <c r="BM1536" s="122"/>
      <c r="BN1536" s="122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115"/>
      <c r="CA1536" s="115"/>
      <c r="CB1536" s="115"/>
      <c r="CC1536" s="26"/>
      <c r="CD1536" s="15"/>
      <c r="CG1536" s="114"/>
    </row>
    <row r="1537" spans="5:85" x14ac:dyDescent="0.4">
      <c r="BF1537" s="115"/>
      <c r="BG1537" s="115"/>
      <c r="BH1537" s="115"/>
      <c r="BI1537" s="115"/>
      <c r="BJ1537" s="115"/>
      <c r="BK1537" s="115"/>
      <c r="BL1537" s="122"/>
      <c r="BM1537" s="122"/>
      <c r="BN1537" s="122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115"/>
      <c r="CA1537" s="115"/>
      <c r="CB1537" s="115"/>
      <c r="CC1537" s="26"/>
      <c r="CD1537" s="13"/>
      <c r="CG1537" s="114"/>
    </row>
    <row r="1538" spans="5:85" x14ac:dyDescent="0.4">
      <c r="BF1538" s="115"/>
      <c r="BG1538" s="115"/>
      <c r="BH1538" s="115"/>
      <c r="BI1538" s="115"/>
      <c r="BJ1538" s="115"/>
      <c r="BK1538" s="115"/>
      <c r="BL1538" s="122"/>
      <c r="BM1538" s="122"/>
      <c r="BN1538" s="122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115"/>
      <c r="CA1538" s="115"/>
      <c r="CB1538" s="115"/>
      <c r="CC1538" s="17"/>
      <c r="CD1538" s="13"/>
      <c r="CG1538" s="114"/>
    </row>
    <row r="1539" spans="5:85" x14ac:dyDescent="0.4">
      <c r="BF1539" s="115"/>
      <c r="BG1539" s="115"/>
      <c r="BH1539" s="115"/>
      <c r="BI1539" s="115"/>
      <c r="BJ1539" s="115"/>
      <c r="BK1539" s="115"/>
      <c r="BL1539" s="122"/>
      <c r="BM1539" s="122"/>
      <c r="BN1539" s="122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115"/>
      <c r="CA1539" s="115"/>
      <c r="CB1539" s="115"/>
      <c r="CC1539" s="26"/>
      <c r="CD1539" s="13"/>
      <c r="CG1539" s="114"/>
    </row>
    <row r="1540" spans="5:85" x14ac:dyDescent="0.4">
      <c r="BF1540" s="115"/>
      <c r="BG1540" s="115"/>
      <c r="BH1540" s="115"/>
      <c r="BI1540" s="115"/>
      <c r="BJ1540" s="115"/>
      <c r="BK1540" s="115"/>
      <c r="BL1540" s="122"/>
      <c r="BM1540" s="122"/>
      <c r="BN1540" s="122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115"/>
      <c r="CA1540" s="115"/>
      <c r="CB1540" s="115"/>
      <c r="CC1540" s="26"/>
      <c r="CD1540" s="13"/>
      <c r="CG1540" s="114"/>
    </row>
    <row r="1541" spans="5:85" x14ac:dyDescent="0.4">
      <c r="BF1541" s="115"/>
      <c r="BG1541" s="115"/>
      <c r="BH1541" s="115"/>
      <c r="BI1541" s="115"/>
      <c r="BJ1541" s="115"/>
      <c r="BK1541" s="115"/>
      <c r="BL1541" s="122"/>
      <c r="BM1541" s="122"/>
      <c r="BN1541" s="122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115"/>
      <c r="CA1541" s="115"/>
      <c r="CB1541" s="115"/>
      <c r="CC1541" s="26"/>
      <c r="CD1541" s="13"/>
      <c r="CG1541" s="114"/>
    </row>
    <row r="1542" spans="5:85" x14ac:dyDescent="0.4">
      <c r="BF1542" s="115"/>
      <c r="BG1542" s="115"/>
      <c r="BH1542" s="115"/>
      <c r="BI1542" s="115"/>
      <c r="BJ1542" s="115"/>
      <c r="BK1542" s="115"/>
      <c r="BL1542" s="122"/>
      <c r="BM1542" s="122"/>
      <c r="BN1542" s="122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115"/>
      <c r="CA1542" s="115"/>
      <c r="CB1542" s="115"/>
      <c r="CC1542" s="26"/>
      <c r="CD1542" s="13"/>
      <c r="CG1542" s="114"/>
    </row>
    <row r="1543" spans="5:85" x14ac:dyDescent="0.4">
      <c r="BF1543" s="115"/>
      <c r="BG1543" s="115"/>
      <c r="BH1543" s="115"/>
      <c r="BI1543" s="115"/>
      <c r="BJ1543" s="115"/>
      <c r="BK1543" s="115"/>
      <c r="BL1543" s="122"/>
      <c r="BM1543" s="122"/>
      <c r="BN1543" s="122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15"/>
      <c r="CA1543" s="115"/>
      <c r="CB1543" s="115"/>
      <c r="CC1543" s="26"/>
      <c r="CD1543" s="13"/>
      <c r="CG1543" s="114"/>
    </row>
    <row r="1544" spans="5:85" x14ac:dyDescent="0.4">
      <c r="BF1544" s="115"/>
      <c r="BG1544" s="115"/>
      <c r="BH1544" s="115"/>
      <c r="BI1544" s="115"/>
      <c r="BJ1544" s="115"/>
      <c r="BK1544" s="115"/>
      <c r="BL1544" s="122"/>
      <c r="BM1544" s="122"/>
      <c r="BN1544" s="122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115"/>
      <c r="CA1544" s="115"/>
      <c r="CB1544" s="115"/>
      <c r="CC1544" s="26"/>
      <c r="CD1544" s="13"/>
      <c r="CG1544" s="114"/>
    </row>
    <row r="1545" spans="5:85" x14ac:dyDescent="0.4">
      <c r="BF1545" s="115"/>
      <c r="BG1545" s="115"/>
      <c r="BH1545" s="115"/>
      <c r="BI1545" s="115"/>
      <c r="BJ1545" s="115"/>
      <c r="BK1545" s="115"/>
      <c r="BL1545" s="122"/>
      <c r="BM1545" s="122"/>
      <c r="BN1545" s="122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115"/>
      <c r="CA1545" s="115"/>
      <c r="CB1545" s="115"/>
      <c r="CC1545" s="17"/>
      <c r="CD1545" s="13"/>
      <c r="CG1545" s="114"/>
    </row>
    <row r="1546" spans="5:85" x14ac:dyDescent="0.4">
      <c r="BF1546" s="115"/>
      <c r="BG1546" s="115"/>
      <c r="BH1546" s="115"/>
      <c r="BI1546" s="115"/>
      <c r="BJ1546" s="115"/>
      <c r="BK1546" s="115"/>
      <c r="BL1546" s="122"/>
      <c r="BM1546" s="122"/>
      <c r="BN1546" s="122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115"/>
      <c r="CA1546" s="115"/>
      <c r="CB1546" s="115"/>
      <c r="CC1546" s="26"/>
      <c r="CD1546" s="13"/>
      <c r="CG1546" s="114"/>
    </row>
    <row r="1547" spans="5:85" x14ac:dyDescent="0.4">
      <c r="BF1547" s="115"/>
      <c r="BG1547" s="115"/>
      <c r="BH1547" s="115"/>
      <c r="BI1547" s="115"/>
      <c r="BJ1547" s="115"/>
      <c r="BK1547" s="115"/>
      <c r="BL1547" s="122"/>
      <c r="BM1547" s="122"/>
      <c r="BN1547" s="122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115"/>
      <c r="BZ1547" s="115"/>
      <c r="CA1547" s="115"/>
      <c r="CB1547" s="115"/>
      <c r="CC1547" s="26"/>
      <c r="CD1547" s="13"/>
      <c r="CG1547" s="114"/>
    </row>
    <row r="1548" spans="5:85" x14ac:dyDescent="0.4"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122"/>
      <c r="BM1548" s="122"/>
      <c r="BN1548" s="122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115"/>
      <c r="CA1548" s="115"/>
      <c r="CB1548" s="115"/>
      <c r="CC1548" s="26"/>
      <c r="CD1548" s="13"/>
      <c r="CG1548" s="114"/>
    </row>
    <row r="1549" spans="5:85" x14ac:dyDescent="0.4"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22"/>
      <c r="BM1549" s="122"/>
      <c r="BN1549" s="122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115"/>
      <c r="CA1549" s="115"/>
      <c r="CB1549" s="115"/>
      <c r="CC1549" s="26"/>
      <c r="CD1549" s="13"/>
      <c r="CG1549" s="114"/>
    </row>
    <row r="1550" spans="5:85" x14ac:dyDescent="0.4"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22"/>
      <c r="BM1550" s="122"/>
      <c r="BN1550" s="122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115"/>
      <c r="CA1550" s="115"/>
      <c r="CB1550" s="115"/>
      <c r="CC1550" s="26"/>
      <c r="CD1550" s="13"/>
      <c r="CG1550" s="114"/>
    </row>
    <row r="1551" spans="5:85" x14ac:dyDescent="0.4"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22"/>
      <c r="BM1551" s="122"/>
      <c r="BN1551" s="122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15"/>
      <c r="CA1551" s="115"/>
      <c r="CB1551" s="115"/>
      <c r="CC1551" s="26"/>
      <c r="CD1551" s="13"/>
      <c r="CG1551" s="114"/>
    </row>
    <row r="1552" spans="5:85" x14ac:dyDescent="0.4"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22"/>
      <c r="BM1552" s="122"/>
      <c r="BN1552" s="122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115"/>
      <c r="CA1552" s="115"/>
      <c r="CB1552" s="115"/>
      <c r="CC1552" s="26"/>
      <c r="CD1552" s="13"/>
      <c r="CG1552" s="114"/>
    </row>
    <row r="1553" spans="4:85" x14ac:dyDescent="0.4"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22"/>
      <c r="BM1553" s="122"/>
      <c r="BN1553" s="122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115"/>
      <c r="CA1553" s="115"/>
      <c r="CB1553" s="115"/>
      <c r="CC1553" s="26"/>
      <c r="CD1553" s="13"/>
      <c r="CG1553" s="114"/>
    </row>
    <row r="1554" spans="4:85" x14ac:dyDescent="0.4"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22"/>
      <c r="BM1554" s="122"/>
      <c r="BN1554" s="122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115"/>
      <c r="CA1554" s="115"/>
      <c r="CB1554" s="115"/>
      <c r="CC1554" s="26"/>
      <c r="CD1554" s="13"/>
      <c r="CG1554" s="114"/>
    </row>
    <row r="1555" spans="4:85" x14ac:dyDescent="0.4"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22"/>
      <c r="BM1555" s="122"/>
      <c r="BN1555" s="122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15"/>
      <c r="BZ1555" s="115"/>
      <c r="CA1555" s="115"/>
      <c r="CB1555" s="115"/>
      <c r="CC1555" s="26"/>
      <c r="CD1555" s="13"/>
      <c r="CG1555" s="114"/>
    </row>
    <row r="1556" spans="4:85" x14ac:dyDescent="0.4"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22"/>
      <c r="BM1556" s="122"/>
      <c r="BN1556" s="122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115"/>
      <c r="CA1556" s="115"/>
      <c r="CB1556" s="115"/>
      <c r="CC1556" s="26"/>
      <c r="CD1556" s="13"/>
      <c r="CG1556" s="114"/>
    </row>
    <row r="1557" spans="4:85" x14ac:dyDescent="0.4"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122"/>
      <c r="BM1557" s="122"/>
      <c r="BN1557" s="122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115"/>
      <c r="CA1557" s="115"/>
      <c r="CB1557" s="115"/>
      <c r="CC1557" s="26"/>
      <c r="CD1557" s="13"/>
      <c r="CG1557" s="114"/>
    </row>
    <row r="1558" spans="4:85" x14ac:dyDescent="0.4"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22"/>
      <c r="BM1558" s="122"/>
      <c r="BN1558" s="122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115"/>
      <c r="CA1558" s="115"/>
      <c r="CB1558" s="115"/>
      <c r="CC1558" s="26"/>
      <c r="CD1558" s="13"/>
      <c r="CG1558" s="114"/>
    </row>
    <row r="1559" spans="4:85" x14ac:dyDescent="0.4"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22"/>
      <c r="BM1559" s="122"/>
      <c r="BN1559" s="122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15"/>
      <c r="CA1559" s="115"/>
      <c r="CB1559" s="115"/>
      <c r="CC1559" s="26"/>
      <c r="CD1559" s="13"/>
      <c r="CG1559" s="114"/>
    </row>
    <row r="1560" spans="4:85" x14ac:dyDescent="0.4"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22"/>
      <c r="BM1560" s="122"/>
      <c r="BN1560" s="122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115"/>
      <c r="CA1560" s="115"/>
      <c r="CB1560" s="115"/>
      <c r="CC1560" s="26"/>
      <c r="CD1560" s="13"/>
      <c r="CG1560" s="114"/>
    </row>
    <row r="1561" spans="4:85" x14ac:dyDescent="0.4"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15"/>
      <c r="BK1561" s="115"/>
      <c r="BL1561" s="122"/>
      <c r="BM1561" s="122"/>
      <c r="BN1561" s="122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115"/>
      <c r="CA1561" s="115"/>
      <c r="CB1561" s="115"/>
      <c r="CC1561" s="26"/>
      <c r="CD1561" s="13"/>
      <c r="CG1561" s="114"/>
    </row>
    <row r="1562" spans="4:85" x14ac:dyDescent="0.4"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22"/>
      <c r="BM1562" s="122"/>
      <c r="BN1562" s="122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115"/>
      <c r="CA1562" s="115"/>
      <c r="CB1562" s="115"/>
      <c r="CC1562" s="26"/>
      <c r="CD1562" s="13"/>
      <c r="CG1562" s="114"/>
    </row>
    <row r="1563" spans="4:85" x14ac:dyDescent="0.4"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22"/>
      <c r="BM1563" s="122"/>
      <c r="BN1563" s="122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115"/>
      <c r="CA1563" s="115"/>
      <c r="CB1563" s="115"/>
      <c r="CC1563" s="26"/>
      <c r="CD1563" s="13"/>
      <c r="CG1563" s="114"/>
    </row>
    <row r="1564" spans="4:85" x14ac:dyDescent="0.4"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22"/>
      <c r="BM1564" s="122"/>
      <c r="BN1564" s="122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115"/>
      <c r="CA1564" s="115"/>
      <c r="CB1564" s="115"/>
      <c r="CC1564" s="17"/>
      <c r="CD1564" s="13"/>
      <c r="CG1564" s="114"/>
    </row>
    <row r="1565" spans="4:85" x14ac:dyDescent="0.4"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22"/>
      <c r="BM1565" s="122"/>
      <c r="BN1565" s="122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115"/>
      <c r="CA1565" s="115"/>
      <c r="CB1565" s="115"/>
      <c r="CC1565" s="26"/>
      <c r="CD1565" s="13"/>
      <c r="CG1565" s="114"/>
    </row>
    <row r="1566" spans="4:85" x14ac:dyDescent="0.4"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22"/>
      <c r="BM1566" s="122"/>
      <c r="BN1566" s="122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115"/>
      <c r="CA1566" s="115"/>
      <c r="CB1566" s="115"/>
      <c r="CC1566" s="26"/>
      <c r="CD1566" s="13"/>
      <c r="CG1566" s="114"/>
    </row>
    <row r="1567" spans="4:85" x14ac:dyDescent="0.4"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22"/>
      <c r="BM1567" s="122"/>
      <c r="BN1567" s="122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15"/>
      <c r="CA1567" s="115"/>
      <c r="CB1567" s="115"/>
      <c r="CC1567" s="26"/>
      <c r="CD1567" s="13"/>
      <c r="CG1567" s="114"/>
    </row>
    <row r="1568" spans="4:85" x14ac:dyDescent="0.4"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22"/>
      <c r="BM1568" s="122"/>
      <c r="BN1568" s="122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115"/>
      <c r="BZ1568" s="115"/>
      <c r="CA1568" s="115"/>
      <c r="CB1568" s="115"/>
      <c r="CC1568" s="26"/>
      <c r="CD1568" s="15"/>
      <c r="CG1568" s="114"/>
    </row>
    <row r="1569" spans="3:85" x14ac:dyDescent="0.4"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22"/>
      <c r="BM1569" s="122"/>
      <c r="BN1569" s="122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115"/>
      <c r="CA1569" s="115"/>
      <c r="CB1569" s="115"/>
      <c r="CC1569" s="26"/>
      <c r="CD1569" s="15"/>
      <c r="CG1569" s="114"/>
    </row>
    <row r="1570" spans="3:85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22"/>
      <c r="BM1570" s="122"/>
      <c r="BN1570" s="122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115"/>
      <c r="CA1570" s="115"/>
      <c r="CB1570" s="115"/>
      <c r="CC1570" s="26"/>
      <c r="CD1570" s="15"/>
      <c r="CG1570" s="114"/>
    </row>
    <row r="1571" spans="3:85" x14ac:dyDescent="0.4"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22"/>
      <c r="BM1571" s="122"/>
      <c r="BN1571" s="122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115"/>
      <c r="CA1571" s="115"/>
      <c r="CB1571" s="115"/>
      <c r="CC1571" s="26"/>
      <c r="CD1571" s="13"/>
      <c r="CG1571" s="114"/>
    </row>
    <row r="1572" spans="3:85" x14ac:dyDescent="0.4"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22"/>
      <c r="BM1572" s="122"/>
      <c r="BN1572" s="122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115"/>
      <c r="CA1572" s="115"/>
      <c r="CB1572" s="115"/>
      <c r="CC1572" s="26"/>
      <c r="CD1572" s="13"/>
      <c r="CG1572" s="114"/>
    </row>
    <row r="1573" spans="3:85" x14ac:dyDescent="0.4"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22"/>
      <c r="BM1573" s="122"/>
      <c r="BN1573" s="122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115"/>
      <c r="CA1573" s="115"/>
      <c r="CB1573" s="115"/>
      <c r="CC1573" s="26"/>
      <c r="CD1573" s="13"/>
      <c r="CG1573" s="114"/>
    </row>
    <row r="1574" spans="3:85" x14ac:dyDescent="0.4"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22"/>
      <c r="BM1574" s="122"/>
      <c r="BN1574" s="122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115"/>
      <c r="CA1574" s="115"/>
      <c r="CB1574" s="115"/>
      <c r="CC1574" s="17"/>
      <c r="CD1574" s="13"/>
      <c r="CG1574" s="114"/>
    </row>
    <row r="1575" spans="3:85" x14ac:dyDescent="0.4"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22"/>
      <c r="BM1575" s="122"/>
      <c r="BN1575" s="122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115"/>
      <c r="CA1575" s="115"/>
      <c r="CB1575" s="115"/>
      <c r="CC1575" s="26"/>
      <c r="CD1575" s="13"/>
      <c r="CG1575" s="114"/>
    </row>
    <row r="1576" spans="3:85" x14ac:dyDescent="0.4"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22"/>
      <c r="BM1576" s="122"/>
      <c r="BN1576" s="122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15"/>
      <c r="CA1576" s="115"/>
      <c r="CB1576" s="115"/>
      <c r="CC1576" s="26"/>
      <c r="CD1576" s="25"/>
      <c r="CG1576" s="114"/>
    </row>
    <row r="1577" spans="3:85" x14ac:dyDescent="0.4"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22"/>
      <c r="BM1577" s="122"/>
      <c r="BN1577" s="122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115"/>
      <c r="CA1577" s="115"/>
      <c r="CB1577" s="115"/>
      <c r="CC1577" s="26"/>
      <c r="CD1577" s="13"/>
      <c r="CG1577" s="114"/>
    </row>
    <row r="1578" spans="3:85" x14ac:dyDescent="0.4"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22"/>
      <c r="BM1578" s="122"/>
      <c r="BN1578" s="122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15"/>
      <c r="CA1578" s="115"/>
      <c r="CB1578" s="115"/>
      <c r="CC1578" s="26"/>
      <c r="CD1578" s="13"/>
      <c r="CG1578" s="114"/>
    </row>
    <row r="1579" spans="3:85" x14ac:dyDescent="0.4"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122"/>
      <c r="BM1579" s="122"/>
      <c r="BN1579" s="122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115"/>
      <c r="CA1579" s="115"/>
      <c r="CB1579" s="115"/>
      <c r="CC1579" s="26"/>
      <c r="CD1579" s="13"/>
      <c r="CG1579" s="114"/>
    </row>
    <row r="1580" spans="3:85" x14ac:dyDescent="0.4"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22"/>
      <c r="BM1580" s="122"/>
      <c r="BN1580" s="122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15"/>
      <c r="CA1580" s="115"/>
      <c r="CB1580" s="115"/>
      <c r="CC1580" s="26"/>
      <c r="CD1580" s="13"/>
      <c r="CG1580" s="114"/>
    </row>
    <row r="1581" spans="3:85" x14ac:dyDescent="0.4"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15"/>
      <c r="BL1581" s="122"/>
      <c r="BM1581" s="122"/>
      <c r="BN1581" s="122"/>
      <c r="BO1581" s="115"/>
      <c r="BP1581" s="115"/>
      <c r="BQ1581" s="115"/>
      <c r="BR1581" s="115"/>
      <c r="CC1581" s="26"/>
      <c r="CD1581" s="13"/>
      <c r="CG1581" s="114"/>
    </row>
    <row r="1582" spans="3:85" x14ac:dyDescent="0.4"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22"/>
      <c r="BM1582" s="122"/>
      <c r="BN1582" s="122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115"/>
      <c r="CA1582" s="115"/>
      <c r="CB1582" s="115"/>
      <c r="CC1582" s="26"/>
      <c r="CD1582" s="13"/>
      <c r="CG1582" s="114"/>
    </row>
    <row r="1583" spans="3:85" x14ac:dyDescent="0.4"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15"/>
      <c r="BL1583" s="122"/>
      <c r="BM1583" s="122"/>
      <c r="BN1583" s="122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15"/>
      <c r="CA1583" s="115"/>
      <c r="CB1583" s="115"/>
      <c r="CC1583" s="17"/>
      <c r="CD1583" s="13"/>
      <c r="CG1583" s="114"/>
    </row>
    <row r="1584" spans="3:85" x14ac:dyDescent="0.4"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22"/>
      <c r="BM1584" s="122"/>
      <c r="BN1584" s="122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115"/>
      <c r="CA1584" s="115"/>
      <c r="CB1584" s="115"/>
      <c r="CC1584" s="26"/>
      <c r="CD1584" s="13"/>
      <c r="CG1584" s="114"/>
    </row>
    <row r="1585" spans="1:85" x14ac:dyDescent="0.4"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22"/>
      <c r="BM1585" s="122"/>
      <c r="BN1585" s="122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115"/>
      <c r="CA1585" s="115"/>
      <c r="CB1585" s="115"/>
      <c r="CC1585" s="26"/>
      <c r="CD1585" s="15"/>
      <c r="CG1585" s="114"/>
    </row>
    <row r="1586" spans="1:85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22"/>
      <c r="BM1586" s="122"/>
      <c r="BN1586" s="122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115"/>
      <c r="CA1586" s="115"/>
      <c r="CB1586" s="115"/>
      <c r="CC1586" s="17"/>
      <c r="CD1586" s="15"/>
      <c r="CG1586" s="114"/>
    </row>
    <row r="1587" spans="1:85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22"/>
      <c r="BM1587" s="122"/>
      <c r="BN1587" s="122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15"/>
      <c r="CA1587" s="115"/>
      <c r="CB1587" s="115"/>
      <c r="CC1587" s="26"/>
      <c r="CD1587" s="15"/>
      <c r="CG1587" s="114"/>
    </row>
    <row r="1588" spans="1:85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22"/>
      <c r="BM1588" s="122"/>
      <c r="BN1588" s="122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15"/>
      <c r="CA1588" s="115"/>
      <c r="CB1588" s="115"/>
      <c r="CC1588" s="26"/>
      <c r="CD1588" s="15"/>
      <c r="CG1588" s="114"/>
    </row>
    <row r="1589" spans="1:8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22"/>
      <c r="BM1589" s="122"/>
      <c r="BN1589" s="122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115"/>
      <c r="CA1589" s="115"/>
      <c r="CB1589" s="115"/>
      <c r="CC1589" s="17"/>
      <c r="CD1589" s="13"/>
      <c r="CG1589" s="114"/>
    </row>
    <row r="1590" spans="1:8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22"/>
      <c r="BM1590" s="122"/>
      <c r="BN1590" s="122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115"/>
      <c r="CA1590" s="115"/>
      <c r="CB1590" s="115"/>
      <c r="CC1590" s="17"/>
      <c r="CD1590" s="13"/>
      <c r="CG1590" s="114"/>
    </row>
    <row r="1591" spans="1:8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22"/>
      <c r="BM1591" s="122"/>
      <c r="BN1591" s="122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115"/>
      <c r="CA1591" s="115"/>
      <c r="CB1591" s="115"/>
      <c r="CC1591" s="26"/>
      <c r="CD1591" s="13"/>
      <c r="CG1591" s="114"/>
    </row>
    <row r="1592" spans="1:85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22"/>
      <c r="BM1592" s="122"/>
      <c r="BN1592" s="122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115"/>
      <c r="CA1592" s="115"/>
      <c r="CB1592" s="115"/>
      <c r="CC1592" s="26"/>
      <c r="CD1592" s="13"/>
      <c r="CG1592" s="114"/>
    </row>
    <row r="1593" spans="1:85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122"/>
      <c r="BM1593" s="122"/>
      <c r="BN1593" s="122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115"/>
      <c r="CA1593" s="115"/>
      <c r="CB1593" s="115"/>
      <c r="CC1593" s="17"/>
      <c r="CD1593" s="13"/>
      <c r="CG1593" s="114"/>
    </row>
    <row r="1594" spans="1:85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22"/>
      <c r="BM1594" s="122"/>
      <c r="BN1594" s="122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115"/>
      <c r="CA1594" s="115"/>
      <c r="CB1594" s="115"/>
      <c r="CC1594" s="26"/>
      <c r="CD1594" s="15"/>
      <c r="CG1594" s="114"/>
    </row>
    <row r="1595" spans="1:85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22"/>
      <c r="BM1595" s="122"/>
      <c r="BN1595" s="122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115"/>
      <c r="CA1595" s="115"/>
      <c r="CB1595" s="115"/>
      <c r="CC1595" s="26"/>
      <c r="CD1595" s="15"/>
      <c r="CG1595" s="114"/>
    </row>
    <row r="1596" spans="1:85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122"/>
      <c r="BM1596" s="122"/>
      <c r="BN1596" s="122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115"/>
      <c r="CA1596" s="115"/>
      <c r="CB1596" s="115"/>
      <c r="CC1596" s="26"/>
      <c r="CD1596" s="15"/>
      <c r="CG1596" s="114"/>
    </row>
    <row r="1597" spans="1:85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22"/>
      <c r="BM1597" s="122"/>
      <c r="BN1597" s="122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115"/>
      <c r="CA1597" s="115"/>
      <c r="CB1597" s="115"/>
      <c r="CC1597" s="26"/>
      <c r="CD1597" s="13"/>
      <c r="CG1597" s="114"/>
    </row>
    <row r="1598" spans="1:85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22"/>
      <c r="BM1598" s="122"/>
      <c r="BN1598" s="122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115"/>
      <c r="BZ1598" s="115"/>
      <c r="CA1598" s="115"/>
      <c r="CB1598" s="115"/>
      <c r="CC1598" s="26"/>
      <c r="CD1598" s="25"/>
      <c r="CG1598" s="114"/>
    </row>
    <row r="1599" spans="1:85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22"/>
      <c r="BM1599" s="122"/>
      <c r="BN1599" s="122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115"/>
      <c r="CA1599" s="115"/>
      <c r="CB1599" s="115"/>
      <c r="CC1599" s="26"/>
      <c r="CD1599" s="13"/>
      <c r="CG1599" s="114"/>
    </row>
    <row r="1600" spans="1:85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22"/>
      <c r="BM1600" s="122"/>
      <c r="BN1600" s="122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115"/>
      <c r="CA1600" s="115"/>
      <c r="CB1600" s="115"/>
      <c r="CC1600" s="26"/>
      <c r="CD1600" s="13"/>
      <c r="CG1600" s="114"/>
    </row>
    <row r="1601" spans="1:85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22"/>
      <c r="BM1601" s="122"/>
      <c r="BN1601" s="122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15"/>
      <c r="CA1601" s="115"/>
      <c r="CB1601" s="115"/>
      <c r="CC1601" s="26"/>
      <c r="CD1601" s="13"/>
      <c r="CG1601" s="114"/>
    </row>
    <row r="1602" spans="1:8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22"/>
      <c r="BM1602" s="122"/>
      <c r="BN1602" s="122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115"/>
      <c r="CA1602" s="115"/>
      <c r="CB1602" s="115"/>
      <c r="CC1602" s="26"/>
      <c r="CD1602" s="13"/>
      <c r="CG1602" s="114"/>
    </row>
    <row r="1603" spans="1:8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22"/>
      <c r="BM1603" s="122"/>
      <c r="BN1603" s="122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115"/>
      <c r="CA1603" s="115"/>
      <c r="CB1603" s="115"/>
      <c r="CC1603" s="26"/>
      <c r="CD1603" s="13"/>
      <c r="CG1603" s="114"/>
    </row>
    <row r="1604" spans="1:8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22"/>
      <c r="BM1604" s="122"/>
      <c r="BN1604" s="122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115"/>
      <c r="CA1604" s="115"/>
      <c r="CB1604" s="115"/>
      <c r="CC1604" s="26"/>
      <c r="CD1604" s="13"/>
      <c r="CG1604" s="114"/>
    </row>
    <row r="1605" spans="1:8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22"/>
      <c r="BM1605" s="122"/>
      <c r="BN1605" s="122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115"/>
      <c r="CA1605" s="115"/>
      <c r="CB1605" s="115"/>
      <c r="CC1605" s="26"/>
      <c r="CD1605" s="13"/>
      <c r="CG1605" s="114"/>
    </row>
    <row r="1606" spans="1:8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22"/>
      <c r="BM1606" s="122"/>
      <c r="BN1606" s="122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115"/>
      <c r="CA1606" s="115"/>
      <c r="CB1606" s="115"/>
      <c r="CC1606" s="26"/>
      <c r="CD1606" s="13"/>
      <c r="CG1606" s="114"/>
    </row>
    <row r="1607" spans="1:8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22"/>
      <c r="BM1607" s="122"/>
      <c r="BN1607" s="122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115"/>
      <c r="CA1607" s="115"/>
      <c r="CB1607" s="115"/>
      <c r="CC1607" s="26"/>
      <c r="CD1607" s="13"/>
      <c r="CG1607" s="114"/>
    </row>
    <row r="1608" spans="1:8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22"/>
      <c r="BM1608" s="122"/>
      <c r="BN1608" s="122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15"/>
      <c r="CA1608" s="115"/>
      <c r="CB1608" s="115"/>
      <c r="CC1608" s="26"/>
      <c r="CD1608" s="13"/>
      <c r="CG1608" s="114"/>
    </row>
    <row r="1609" spans="1:8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22"/>
      <c r="BM1609" s="122"/>
      <c r="BN1609" s="122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115"/>
      <c r="CA1609" s="115"/>
      <c r="CB1609" s="115"/>
      <c r="CC1609" s="26"/>
      <c r="CD1609" s="15"/>
      <c r="CG1609" s="114"/>
    </row>
    <row r="1610" spans="1:8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22"/>
      <c r="BM1610" s="122"/>
      <c r="BN1610" s="122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115"/>
      <c r="CA1610" s="115"/>
      <c r="CB1610" s="115"/>
      <c r="CC1610" s="26"/>
      <c r="CD1610" s="15"/>
      <c r="CG1610" s="114"/>
    </row>
    <row r="1611" spans="1:8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22"/>
      <c r="BM1611" s="122"/>
      <c r="BN1611" s="122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115"/>
      <c r="CA1611" s="115"/>
      <c r="CB1611" s="115"/>
      <c r="CC1611" s="26"/>
      <c r="CD1611" s="15"/>
      <c r="CG1611" s="114"/>
    </row>
    <row r="1612" spans="1:8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22"/>
      <c r="BM1612" s="122"/>
      <c r="BN1612" s="122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115"/>
      <c r="CA1612" s="115"/>
      <c r="CB1612" s="115"/>
      <c r="CC1612" s="26"/>
      <c r="CD1612" s="15"/>
      <c r="CG1612" s="114"/>
    </row>
    <row r="1613" spans="1:8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22"/>
      <c r="BM1613" s="122"/>
      <c r="BN1613" s="122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115"/>
      <c r="CA1613" s="115"/>
      <c r="CB1613" s="115"/>
      <c r="CC1613" s="26"/>
      <c r="CD1613" s="13"/>
      <c r="CG1613" s="114"/>
    </row>
    <row r="1614" spans="1:85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122"/>
      <c r="BM1614" s="122"/>
      <c r="BN1614" s="122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15"/>
      <c r="CA1614" s="115"/>
      <c r="CB1614" s="115"/>
      <c r="CC1614" s="26"/>
      <c r="CD1614" s="15"/>
      <c r="CG1614" s="114"/>
    </row>
    <row r="1615" spans="1:85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22"/>
      <c r="BM1615" s="122"/>
      <c r="BN1615" s="122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115"/>
      <c r="CA1615" s="115"/>
      <c r="CB1615" s="115"/>
      <c r="CC1615" s="26"/>
      <c r="CD1615" s="15"/>
      <c r="CG1615" s="114"/>
    </row>
    <row r="1616" spans="1:85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22"/>
      <c r="BM1616" s="122"/>
      <c r="BN1616" s="122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115"/>
      <c r="CA1616" s="115"/>
      <c r="CB1616" s="115"/>
      <c r="CC1616" s="26"/>
      <c r="CD1616" s="15"/>
      <c r="CG1616" s="114"/>
    </row>
    <row r="1617" spans="1:8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22"/>
      <c r="BM1617" s="122"/>
      <c r="BN1617" s="122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15"/>
      <c r="CA1617" s="115"/>
      <c r="CB1617" s="115"/>
      <c r="CC1617" s="26"/>
      <c r="CD1617" s="15"/>
      <c r="CG1617" s="114"/>
    </row>
    <row r="1618" spans="1:8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15"/>
      <c r="BL1618" s="122"/>
      <c r="BM1618" s="122"/>
      <c r="BN1618" s="122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115"/>
      <c r="CA1618" s="115"/>
      <c r="CB1618" s="115"/>
      <c r="CC1618" s="26"/>
      <c r="CD1618" s="15"/>
      <c r="CG1618" s="114"/>
    </row>
    <row r="1619" spans="1:8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22"/>
      <c r="BM1619" s="122"/>
      <c r="BN1619" s="122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115"/>
      <c r="CA1619" s="115"/>
      <c r="CB1619" s="115"/>
      <c r="CC1619" s="26"/>
      <c r="CD1619" s="105"/>
      <c r="CG1619" s="114"/>
    </row>
    <row r="1620" spans="1:85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22"/>
      <c r="BM1620" s="122"/>
      <c r="BN1620" s="122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115"/>
      <c r="CA1620" s="115"/>
      <c r="CB1620" s="115"/>
      <c r="CC1620" s="17"/>
      <c r="CD1620" s="15"/>
      <c r="CG1620" s="114"/>
    </row>
    <row r="1621" spans="1:85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22"/>
      <c r="BM1621" s="122"/>
      <c r="BN1621" s="122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115"/>
      <c r="CA1621" s="115"/>
      <c r="CB1621" s="115"/>
      <c r="CC1621" s="26"/>
      <c r="CD1621" s="15"/>
      <c r="CG1621" s="114"/>
    </row>
    <row r="1622" spans="1:85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22"/>
      <c r="BM1622" s="122"/>
      <c r="BN1622" s="122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115"/>
      <c r="CA1622" s="115"/>
      <c r="CB1622" s="115"/>
      <c r="CC1622" s="26"/>
      <c r="CD1622" s="15"/>
      <c r="CG1622" s="114"/>
    </row>
    <row r="1623" spans="1:85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22"/>
      <c r="BM1623" s="122"/>
      <c r="BN1623" s="122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115"/>
      <c r="CA1623" s="115"/>
      <c r="CB1623" s="115"/>
      <c r="CC1623" s="26"/>
      <c r="CD1623" s="105"/>
      <c r="CG1623" s="114"/>
    </row>
    <row r="1624" spans="1:85" x14ac:dyDescent="0.4">
      <c r="CC1624" s="26"/>
      <c r="CD1624" s="15"/>
      <c r="CG1624" s="114"/>
    </row>
    <row r="1625" spans="1:85" x14ac:dyDescent="0.4">
      <c r="BM1625" s="122"/>
      <c r="BN1625" s="122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115"/>
      <c r="CA1625" s="115"/>
      <c r="CB1625" s="115"/>
      <c r="CC1625" s="26"/>
      <c r="CD1625" s="15"/>
      <c r="CG1625" s="114"/>
    </row>
    <row r="1626" spans="1:85" x14ac:dyDescent="0.4">
      <c r="BI1626" s="115"/>
      <c r="BJ1626" s="115"/>
      <c r="BK1626" s="115"/>
      <c r="BL1626" s="122"/>
      <c r="BM1626" s="122"/>
      <c r="BN1626" s="122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115"/>
      <c r="CA1626" s="115"/>
      <c r="CB1626" s="115"/>
      <c r="CC1626" s="26"/>
      <c r="CD1626" s="15"/>
      <c r="CG1626" s="114"/>
    </row>
    <row r="1627" spans="1:85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22"/>
      <c r="BM1627" s="122"/>
      <c r="BN1627" s="122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115"/>
      <c r="CA1627" s="115"/>
      <c r="CB1627" s="115"/>
      <c r="CC1627" s="26"/>
      <c r="CD1627" s="15"/>
      <c r="CG1627" s="114"/>
    </row>
    <row r="1628" spans="1:85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122"/>
      <c r="BM1628" s="122"/>
      <c r="BN1628" s="122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15"/>
      <c r="CA1628" s="115"/>
      <c r="CB1628" s="115"/>
      <c r="CC1628" s="17"/>
      <c r="CD1628" s="15"/>
      <c r="CG1628" s="114"/>
    </row>
    <row r="1629" spans="1:85" x14ac:dyDescent="0.4"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22"/>
      <c r="BM1629" s="122"/>
      <c r="BN1629" s="122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115"/>
      <c r="CA1629" s="115"/>
      <c r="CB1629" s="115"/>
      <c r="CC1629" s="26"/>
      <c r="CD1629" s="15"/>
      <c r="CG1629" s="114"/>
    </row>
    <row r="1630" spans="1:85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22"/>
      <c r="BM1630" s="122"/>
      <c r="BN1630" s="122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15"/>
      <c r="CA1630" s="115"/>
      <c r="CB1630" s="115"/>
      <c r="CC1630" s="26"/>
      <c r="CD1630" s="15"/>
      <c r="CG1630" s="114"/>
    </row>
    <row r="1631" spans="1:85" x14ac:dyDescent="0.4"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22"/>
      <c r="BM1631" s="122"/>
      <c r="BN1631" s="122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115"/>
      <c r="CA1631" s="115"/>
      <c r="CB1631" s="115"/>
      <c r="CC1631" s="26"/>
      <c r="CD1631" s="15"/>
      <c r="CG1631" s="114"/>
    </row>
    <row r="1632" spans="1:85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22"/>
      <c r="BM1632" s="122"/>
      <c r="BN1632" s="122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115"/>
      <c r="CA1632" s="115"/>
      <c r="CB1632" s="115"/>
      <c r="CC1632" s="26"/>
      <c r="CD1632" s="15"/>
      <c r="CG1632" s="114"/>
    </row>
    <row r="1633" spans="2:85" x14ac:dyDescent="0.4"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22"/>
      <c r="BM1633" s="122"/>
      <c r="BN1633" s="122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115"/>
      <c r="CA1633" s="115"/>
      <c r="CB1633" s="115"/>
      <c r="CC1633" s="26"/>
      <c r="CD1633" s="15"/>
      <c r="CG1633" s="114"/>
    </row>
    <row r="1634" spans="2:85" x14ac:dyDescent="0.4"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22"/>
      <c r="BM1634" s="122"/>
      <c r="BN1634" s="122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115"/>
      <c r="CA1634" s="115"/>
      <c r="CB1634" s="115"/>
      <c r="CC1634" s="26"/>
      <c r="CD1634" s="15"/>
      <c r="CG1634" s="114"/>
    </row>
    <row r="1635" spans="2:85" x14ac:dyDescent="0.4"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22"/>
      <c r="BM1635" s="122"/>
      <c r="BN1635" s="122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115"/>
      <c r="CA1635" s="115"/>
      <c r="CB1635" s="115"/>
      <c r="CC1635" s="26"/>
      <c r="CD1635" s="15"/>
      <c r="CG1635" s="114"/>
    </row>
    <row r="1636" spans="2:85" x14ac:dyDescent="0.4"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15"/>
      <c r="BK1636" s="115"/>
      <c r="BL1636" s="122"/>
      <c r="BM1636" s="122"/>
      <c r="BN1636" s="122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115"/>
      <c r="CA1636" s="115"/>
      <c r="CB1636" s="115"/>
      <c r="CC1636" s="17"/>
      <c r="CD1636" s="15"/>
      <c r="CG1636" s="114"/>
    </row>
    <row r="1637" spans="2:85" x14ac:dyDescent="0.4"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22"/>
      <c r="BM1637" s="122"/>
      <c r="BN1637" s="122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115"/>
      <c r="CA1637" s="115"/>
      <c r="CB1637" s="115"/>
      <c r="CC1637" s="26"/>
      <c r="CD1637" s="15"/>
      <c r="CG1637" s="114"/>
    </row>
    <row r="1638" spans="2:85" x14ac:dyDescent="0.4"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22"/>
      <c r="BM1638" s="122"/>
      <c r="BN1638" s="122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115"/>
      <c r="CA1638" s="115"/>
      <c r="CB1638" s="115"/>
      <c r="CC1638" s="26"/>
      <c r="CD1638" s="15"/>
      <c r="CG1638" s="114"/>
    </row>
    <row r="1639" spans="2:85" x14ac:dyDescent="0.4"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15"/>
      <c r="BK1639" s="115"/>
      <c r="BL1639" s="122"/>
      <c r="BM1639" s="122"/>
      <c r="BN1639" s="122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115"/>
      <c r="CA1639" s="115"/>
      <c r="CB1639" s="115"/>
      <c r="CC1639" s="26"/>
      <c r="CD1639" s="15"/>
      <c r="CG1639" s="114"/>
    </row>
    <row r="1640" spans="2:85" x14ac:dyDescent="0.4"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22"/>
      <c r="BM1640" s="122"/>
      <c r="BN1640" s="122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115"/>
      <c r="CA1640" s="115"/>
      <c r="CB1640" s="115"/>
      <c r="CC1640" s="26"/>
      <c r="CD1640" s="15"/>
      <c r="CG1640" s="114"/>
    </row>
    <row r="1641" spans="2:85" x14ac:dyDescent="0.4"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22"/>
      <c r="BM1641" s="122"/>
      <c r="BN1641" s="122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115"/>
      <c r="CA1641" s="115"/>
      <c r="CB1641" s="115"/>
      <c r="CC1641" s="26"/>
      <c r="CD1641" s="15"/>
      <c r="CG1641" s="114"/>
    </row>
    <row r="1642" spans="2:85" x14ac:dyDescent="0.4"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22"/>
      <c r="BM1642" s="122"/>
      <c r="BN1642" s="122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115"/>
      <c r="CA1642" s="115"/>
      <c r="CB1642" s="115"/>
      <c r="CC1642" s="26"/>
      <c r="CD1642" s="15"/>
      <c r="CG1642" s="114"/>
    </row>
    <row r="1643" spans="2:85" x14ac:dyDescent="0.4"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22"/>
      <c r="BM1643" s="122"/>
      <c r="BN1643" s="122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115"/>
      <c r="CA1643" s="115"/>
      <c r="CB1643" s="115"/>
      <c r="CC1643" s="26"/>
      <c r="CD1643" s="15"/>
      <c r="CG1643" s="114"/>
    </row>
    <row r="1644" spans="2:85" x14ac:dyDescent="0.4"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22"/>
      <c r="BM1644" s="122"/>
      <c r="BN1644" s="122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115"/>
      <c r="CA1644" s="115"/>
      <c r="CB1644" s="115"/>
      <c r="CC1644" s="17"/>
      <c r="CD1644" s="15"/>
      <c r="CG1644" s="114"/>
    </row>
    <row r="1645" spans="2:85" x14ac:dyDescent="0.4"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22"/>
      <c r="BM1645" s="122"/>
      <c r="BN1645" s="122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115"/>
      <c r="CA1645" s="115"/>
      <c r="CB1645" s="115"/>
      <c r="CC1645" s="26"/>
      <c r="CD1645" s="15"/>
      <c r="CG1645" s="114"/>
    </row>
    <row r="1646" spans="2:85" x14ac:dyDescent="0.4"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15"/>
      <c r="BL1646" s="122"/>
      <c r="BM1646" s="122"/>
      <c r="BN1646" s="122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15"/>
      <c r="CA1646" s="115"/>
      <c r="CB1646" s="115"/>
      <c r="CC1646" s="26"/>
      <c r="CD1646" s="15"/>
      <c r="CG1646" s="114"/>
    </row>
    <row r="1647" spans="2:85" x14ac:dyDescent="0.4"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22"/>
      <c r="BM1647" s="122"/>
      <c r="BN1647" s="122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115"/>
      <c r="CA1647" s="115"/>
      <c r="CB1647" s="115"/>
      <c r="CC1647" s="26"/>
      <c r="CD1647" s="15"/>
      <c r="CG1647" s="114"/>
    </row>
    <row r="1648" spans="2:85" x14ac:dyDescent="0.4"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22"/>
      <c r="BM1648" s="122"/>
      <c r="BN1648" s="122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115"/>
      <c r="CA1648" s="115"/>
      <c r="CB1648" s="115"/>
      <c r="CC1648" s="26"/>
      <c r="CD1648" s="15"/>
      <c r="CG1648" s="114"/>
    </row>
    <row r="1649" spans="1:85" x14ac:dyDescent="0.4"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22"/>
      <c r="BM1649" s="122"/>
      <c r="BN1649" s="122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15"/>
      <c r="BZ1649" s="115"/>
      <c r="CA1649" s="115"/>
      <c r="CB1649" s="115"/>
      <c r="CC1649" s="26"/>
      <c r="CD1649" s="15"/>
      <c r="CG1649" s="114"/>
    </row>
    <row r="1650" spans="1:85" x14ac:dyDescent="0.4"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22"/>
      <c r="BM1650" s="122"/>
      <c r="BN1650" s="122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15"/>
      <c r="CA1650" s="115"/>
      <c r="CB1650" s="115"/>
      <c r="CC1650" s="26"/>
      <c r="CD1650" s="15"/>
      <c r="CG1650" s="114"/>
    </row>
    <row r="1651" spans="1:85" x14ac:dyDescent="0.4"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22"/>
      <c r="BM1651" s="122"/>
      <c r="BN1651" s="122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15"/>
      <c r="CA1651" s="115"/>
      <c r="CB1651" s="115"/>
      <c r="CC1651" s="26"/>
      <c r="CD1651" s="15"/>
      <c r="CG1651" s="114"/>
    </row>
    <row r="1652" spans="1:85" x14ac:dyDescent="0.4"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22"/>
      <c r="BM1652" s="122"/>
      <c r="BN1652" s="122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15"/>
      <c r="CA1652" s="115"/>
      <c r="CB1652" s="115"/>
      <c r="CC1652" s="26"/>
      <c r="CD1652" s="15"/>
      <c r="CG1652" s="114"/>
    </row>
    <row r="1653" spans="1:85" x14ac:dyDescent="0.4"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22"/>
      <c r="BM1653" s="122"/>
      <c r="BN1653" s="122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115"/>
      <c r="CA1653" s="115"/>
      <c r="CB1653" s="115"/>
      <c r="CC1653" s="17"/>
      <c r="CD1653" s="15"/>
      <c r="CG1653" s="114"/>
    </row>
    <row r="1654" spans="1:85" x14ac:dyDescent="0.4"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22"/>
      <c r="BM1654" s="122"/>
      <c r="BN1654" s="122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15"/>
      <c r="CA1654" s="115"/>
      <c r="CB1654" s="115"/>
      <c r="CC1654" s="26"/>
      <c r="CD1654" s="15"/>
      <c r="CG1654" s="114"/>
    </row>
    <row r="1655" spans="1:85" x14ac:dyDescent="0.4"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22"/>
      <c r="BM1655" s="122"/>
      <c r="BN1655" s="122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115"/>
      <c r="CA1655" s="115"/>
      <c r="CB1655" s="115"/>
      <c r="CC1655" s="17"/>
      <c r="CD1655" s="15"/>
      <c r="CG1655" s="114"/>
    </row>
    <row r="1656" spans="1:85" x14ac:dyDescent="0.4"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22"/>
      <c r="BM1656" s="122"/>
      <c r="BN1656" s="122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15"/>
      <c r="CA1656" s="115"/>
      <c r="CB1656" s="115"/>
      <c r="CC1656" s="26"/>
      <c r="CD1656" s="15"/>
      <c r="CG1656" s="114"/>
    </row>
    <row r="1657" spans="1:85" x14ac:dyDescent="0.4"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22"/>
      <c r="BM1657" s="122"/>
      <c r="BN1657" s="122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15"/>
      <c r="CA1657" s="115"/>
      <c r="CB1657" s="115"/>
      <c r="CC1657" s="17"/>
      <c r="CD1657" s="15"/>
      <c r="CG1657" s="114"/>
    </row>
    <row r="1658" spans="1:85" x14ac:dyDescent="0.4"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15"/>
      <c r="BL1658" s="122"/>
      <c r="BM1658" s="122"/>
      <c r="BN1658" s="122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15"/>
      <c r="CA1658" s="115"/>
      <c r="CB1658" s="115"/>
      <c r="CC1658" s="26"/>
      <c r="CD1658" s="15"/>
      <c r="CG1658" s="114"/>
    </row>
    <row r="1659" spans="1:85" x14ac:dyDescent="0.4"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22"/>
      <c r="BM1659" s="122"/>
      <c r="BN1659" s="122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115"/>
      <c r="CA1659" s="115"/>
      <c r="CB1659" s="115"/>
      <c r="CC1659" s="26"/>
      <c r="CD1659" s="15"/>
      <c r="CG1659" s="114"/>
    </row>
    <row r="1660" spans="1:85" x14ac:dyDescent="0.4"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22"/>
      <c r="BM1660" s="122"/>
      <c r="BN1660" s="122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15"/>
      <c r="CA1660" s="115"/>
      <c r="CB1660" s="115"/>
      <c r="CC1660" s="17"/>
      <c r="CD1660" s="15"/>
      <c r="CG1660" s="114"/>
    </row>
    <row r="1661" spans="1:85" x14ac:dyDescent="0.4"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22"/>
      <c r="BM1661" s="122"/>
      <c r="BN1661" s="122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115"/>
      <c r="BY1661" s="115"/>
      <c r="BZ1661" s="115"/>
      <c r="CA1661" s="115"/>
      <c r="CB1661" s="115"/>
      <c r="CC1661" s="26"/>
      <c r="CD1661" s="15"/>
      <c r="CG1661" s="114"/>
    </row>
    <row r="1662" spans="1:85" x14ac:dyDescent="0.4"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22"/>
      <c r="BM1662" s="122"/>
      <c r="BN1662" s="122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15"/>
      <c r="CA1662" s="115"/>
      <c r="CB1662" s="115"/>
      <c r="CC1662" s="26"/>
      <c r="CD1662" s="15"/>
      <c r="CG1662" s="114"/>
    </row>
    <row r="1663" spans="1:8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22"/>
      <c r="BM1663" s="122"/>
      <c r="BN1663" s="122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115"/>
      <c r="CA1663" s="115"/>
      <c r="CB1663" s="115"/>
      <c r="CC1663" s="26"/>
      <c r="CD1663" s="105"/>
      <c r="CG1663" s="114"/>
    </row>
    <row r="1664" spans="1:8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15"/>
      <c r="BK1664" s="115"/>
      <c r="BL1664" s="122"/>
      <c r="BM1664" s="122"/>
      <c r="BN1664" s="122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115"/>
      <c r="CA1664" s="115"/>
      <c r="CB1664" s="115"/>
      <c r="CC1664" s="17"/>
      <c r="CD1664" s="15"/>
      <c r="CG1664" s="114"/>
    </row>
    <row r="1665" spans="1:8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22"/>
      <c r="BM1665" s="122"/>
      <c r="BN1665" s="122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115"/>
      <c r="CA1665" s="115"/>
      <c r="CB1665" s="115"/>
      <c r="CC1665" s="17"/>
      <c r="CD1665" s="15"/>
      <c r="CG1665" s="114"/>
    </row>
    <row r="1666" spans="1:8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22"/>
      <c r="BM1666" s="122"/>
      <c r="BN1666" s="122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15"/>
      <c r="CA1666" s="115"/>
      <c r="CB1666" s="115"/>
      <c r="CC1666" s="26"/>
      <c r="CD1666" s="15"/>
      <c r="CG1666" s="114"/>
    </row>
    <row r="1667" spans="1:85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22"/>
      <c r="BM1667" s="122"/>
      <c r="BN1667" s="122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115"/>
      <c r="CA1667" s="115"/>
      <c r="CB1667" s="115"/>
      <c r="CC1667" s="26"/>
      <c r="CD1667" s="15"/>
      <c r="CG1667" s="114"/>
    </row>
    <row r="1668" spans="1:85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22"/>
      <c r="BM1668" s="122"/>
      <c r="BN1668" s="122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115"/>
      <c r="CA1668" s="115"/>
      <c r="CB1668" s="115"/>
      <c r="CC1668" s="26"/>
      <c r="CD1668" s="15"/>
      <c r="CG1668" s="114"/>
    </row>
    <row r="1669" spans="1:85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22"/>
      <c r="BM1669" s="122"/>
      <c r="BN1669" s="122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15"/>
      <c r="CA1669" s="115"/>
      <c r="CB1669" s="115"/>
      <c r="CC1669" s="26"/>
      <c r="CD1669" s="15"/>
      <c r="CG1669" s="114"/>
    </row>
    <row r="1670" spans="1:85" x14ac:dyDescent="0.4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22"/>
      <c r="BM1670" s="122"/>
      <c r="BN1670" s="122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115"/>
      <c r="BY1670" s="115"/>
      <c r="BZ1670" s="115"/>
      <c r="CA1670" s="115"/>
      <c r="CB1670" s="115"/>
      <c r="CC1670" s="26"/>
      <c r="CD1670" s="15"/>
      <c r="CG1670" s="114"/>
    </row>
    <row r="1671" spans="1:85" x14ac:dyDescent="0.4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22"/>
      <c r="BM1671" s="122"/>
      <c r="BN1671" s="122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115"/>
      <c r="BZ1671" s="115"/>
      <c r="CA1671" s="115"/>
      <c r="CB1671" s="115"/>
      <c r="CC1671" s="26"/>
      <c r="CD1671" s="15"/>
      <c r="CG1671" s="114"/>
    </row>
    <row r="1672" spans="1:85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22"/>
      <c r="BM1672" s="122"/>
      <c r="BN1672" s="122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15"/>
      <c r="CA1672" s="115"/>
      <c r="CB1672" s="115"/>
      <c r="CC1672" s="26"/>
      <c r="CD1672" s="15"/>
      <c r="CG1672" s="114"/>
    </row>
    <row r="1673" spans="1:85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22"/>
      <c r="BM1673" s="122"/>
      <c r="BN1673" s="122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115"/>
      <c r="CA1673" s="115"/>
      <c r="CB1673" s="115"/>
      <c r="CC1673" s="26"/>
      <c r="CD1673" s="15"/>
      <c r="CG1673" s="114"/>
    </row>
    <row r="1674" spans="1:85" x14ac:dyDescent="0.4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22"/>
      <c r="BM1674" s="122"/>
      <c r="BN1674" s="122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15"/>
      <c r="CA1674" s="115"/>
      <c r="CB1674" s="115"/>
      <c r="CC1674" s="26"/>
      <c r="CD1674" s="105"/>
      <c r="CG1674" s="114"/>
    </row>
    <row r="1675" spans="1:85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22"/>
      <c r="BM1675" s="122"/>
      <c r="BN1675" s="122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115"/>
      <c r="CA1675" s="115"/>
      <c r="CB1675" s="115"/>
      <c r="CC1675" s="26"/>
      <c r="CD1675" s="15"/>
      <c r="CG1675" s="114"/>
    </row>
    <row r="1676" spans="1:85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22"/>
      <c r="BM1676" s="122"/>
      <c r="BN1676" s="122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115"/>
      <c r="CA1676" s="115"/>
      <c r="CB1676" s="115"/>
      <c r="CC1676" s="26"/>
      <c r="CD1676" s="15"/>
      <c r="CG1676" s="114"/>
    </row>
    <row r="1677" spans="1:85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22"/>
      <c r="BM1677" s="122"/>
      <c r="BN1677" s="122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115"/>
      <c r="CA1677" s="115"/>
      <c r="CB1677" s="115"/>
      <c r="CC1677" s="26"/>
      <c r="CD1677" s="13"/>
      <c r="CG1677" s="114"/>
    </row>
    <row r="1678" spans="1:85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22"/>
      <c r="BM1678" s="122"/>
      <c r="BN1678" s="122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115"/>
      <c r="CA1678" s="115"/>
      <c r="CB1678" s="115"/>
      <c r="CC1678" s="17"/>
      <c r="CD1678" s="13"/>
      <c r="CG1678" s="114"/>
    </row>
    <row r="1679" spans="1:85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22"/>
      <c r="BM1679" s="122"/>
      <c r="BN1679" s="122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115"/>
      <c r="CA1679" s="115"/>
      <c r="CB1679" s="115"/>
      <c r="CC1679" s="26"/>
      <c r="CD1679" s="13"/>
      <c r="CG1679" s="114"/>
    </row>
    <row r="1680" spans="1:8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22"/>
      <c r="BM1680" s="122"/>
      <c r="BN1680" s="122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115"/>
      <c r="CA1680" s="115"/>
      <c r="CB1680" s="115"/>
      <c r="CC1680" s="26"/>
      <c r="CD1680" s="13"/>
      <c r="CG1680" s="114"/>
    </row>
    <row r="1681" spans="1:8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22"/>
      <c r="BM1681" s="122"/>
      <c r="BN1681" s="122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115"/>
      <c r="BZ1681" s="115"/>
      <c r="CA1681" s="115"/>
      <c r="CB1681" s="115"/>
      <c r="CC1681" s="26"/>
      <c r="CD1681" s="13"/>
      <c r="CG1681" s="114"/>
    </row>
    <row r="1682" spans="1:8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22"/>
      <c r="BM1682" s="122"/>
      <c r="BN1682" s="122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115"/>
      <c r="BZ1682" s="115"/>
      <c r="CA1682" s="115"/>
      <c r="CB1682" s="115"/>
      <c r="CC1682" s="26"/>
      <c r="CD1682" s="13"/>
      <c r="CG1682" s="114"/>
    </row>
    <row r="1683" spans="1:8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22"/>
      <c r="BM1683" s="122"/>
      <c r="BN1683" s="122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115"/>
      <c r="CA1683" s="115"/>
      <c r="CB1683" s="115"/>
      <c r="CC1683" s="26"/>
      <c r="CD1683" s="13"/>
      <c r="CG1683" s="114"/>
    </row>
    <row r="1684" spans="1:8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22"/>
      <c r="BM1684" s="122"/>
      <c r="BN1684" s="122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115"/>
      <c r="BZ1684" s="115"/>
      <c r="CA1684" s="115"/>
      <c r="CB1684" s="115"/>
      <c r="CC1684" s="26"/>
      <c r="CD1684" s="13"/>
      <c r="CG1684" s="114"/>
    </row>
    <row r="1685" spans="1:8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15"/>
      <c r="BJ1685" s="115"/>
      <c r="BK1685" s="115"/>
      <c r="BL1685" s="122"/>
      <c r="BM1685" s="122"/>
      <c r="BN1685" s="122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115"/>
      <c r="CA1685" s="115"/>
      <c r="CB1685" s="115"/>
      <c r="CC1685" s="17"/>
      <c r="CD1685" s="13"/>
      <c r="CG1685" s="114"/>
    </row>
    <row r="1686" spans="1:8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22"/>
      <c r="BM1686" s="122"/>
      <c r="BN1686" s="122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115"/>
      <c r="CA1686" s="115"/>
      <c r="CB1686" s="115"/>
      <c r="CC1686" s="26"/>
      <c r="CD1686" s="13"/>
      <c r="CG1686" s="114"/>
    </row>
    <row r="1687" spans="1:8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22"/>
      <c r="BM1687" s="122"/>
      <c r="BN1687" s="122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115"/>
      <c r="CA1687" s="115"/>
      <c r="CB1687" s="115"/>
      <c r="CC1687" s="26"/>
      <c r="CD1687" s="13"/>
      <c r="CG1687" s="114"/>
    </row>
    <row r="1688" spans="1:8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22"/>
      <c r="BM1688" s="122"/>
      <c r="BN1688" s="122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115"/>
      <c r="CA1688" s="115"/>
      <c r="CB1688" s="115"/>
      <c r="CC1688" s="26"/>
      <c r="CD1688" s="13"/>
      <c r="CG1688" s="114"/>
    </row>
    <row r="1689" spans="1:8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22"/>
      <c r="BM1689" s="122"/>
      <c r="BN1689" s="122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115"/>
      <c r="CA1689" s="115"/>
      <c r="CB1689" s="115"/>
      <c r="CC1689" s="26"/>
      <c r="CD1689" s="13"/>
      <c r="CG1689" s="114"/>
    </row>
    <row r="1690" spans="1:8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22"/>
      <c r="BM1690" s="122"/>
      <c r="BN1690" s="122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115"/>
      <c r="CA1690" s="115"/>
      <c r="CB1690" s="115"/>
      <c r="CC1690" s="26"/>
      <c r="CD1690" s="25"/>
      <c r="CG1690" s="114"/>
    </row>
    <row r="1691" spans="1:8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22"/>
      <c r="BM1691" s="122"/>
      <c r="BN1691" s="122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115"/>
      <c r="CA1691" s="115"/>
      <c r="CB1691" s="115"/>
      <c r="CC1691" s="17"/>
      <c r="CD1691" s="13"/>
      <c r="CG1691" s="114"/>
    </row>
    <row r="1692" spans="1:8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22"/>
      <c r="BM1692" s="122"/>
      <c r="BN1692" s="122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115"/>
      <c r="BZ1692" s="115"/>
      <c r="CA1692" s="115"/>
      <c r="CB1692" s="115"/>
      <c r="CC1692" s="26"/>
      <c r="CD1692" s="15"/>
      <c r="CG1692" s="114"/>
    </row>
    <row r="1693" spans="1:8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22"/>
      <c r="BM1693" s="122"/>
      <c r="BN1693" s="122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115"/>
      <c r="BY1693" s="115"/>
      <c r="BZ1693" s="115"/>
      <c r="CA1693" s="115"/>
      <c r="CB1693" s="115"/>
      <c r="CC1693" s="26"/>
      <c r="CD1693" s="15"/>
      <c r="CG1693" s="114"/>
    </row>
    <row r="1694" spans="1:85" x14ac:dyDescent="0.4">
      <c r="A1694" s="115"/>
      <c r="B1694" s="115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15"/>
      <c r="BJ1694" s="115"/>
      <c r="BK1694" s="115"/>
      <c r="BL1694" s="122"/>
      <c r="BM1694" s="122"/>
      <c r="BN1694" s="122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115"/>
      <c r="CA1694" s="115"/>
      <c r="CB1694" s="115"/>
      <c r="CC1694" s="17"/>
      <c r="CD1694" s="15"/>
      <c r="CG1694" s="114"/>
    </row>
    <row r="1695" spans="1:85" x14ac:dyDescent="0.4">
      <c r="A1695" s="115"/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22"/>
      <c r="BM1695" s="122"/>
      <c r="BN1695" s="122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15"/>
      <c r="CA1695" s="115"/>
      <c r="CB1695" s="115"/>
      <c r="CC1695" s="26"/>
      <c r="CD1695" s="15"/>
      <c r="CG1695" s="114"/>
    </row>
    <row r="1696" spans="1:85" x14ac:dyDescent="0.4">
      <c r="A1696" s="115"/>
      <c r="B1696" s="115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22"/>
      <c r="BM1696" s="122"/>
      <c r="BN1696" s="122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15"/>
      <c r="BZ1696" s="115"/>
      <c r="CA1696" s="115"/>
      <c r="CB1696" s="115"/>
      <c r="CC1696" s="26"/>
      <c r="CD1696" s="15"/>
      <c r="CG1696" s="114"/>
    </row>
    <row r="1697" spans="1:85" x14ac:dyDescent="0.4">
      <c r="A1697" s="115"/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22"/>
      <c r="BM1697" s="122"/>
      <c r="BN1697" s="122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115"/>
      <c r="BZ1697" s="115"/>
      <c r="CA1697" s="115"/>
      <c r="CB1697" s="115"/>
      <c r="CC1697" s="26"/>
      <c r="CD1697" s="13"/>
      <c r="CG1697" s="114"/>
    </row>
    <row r="1698" spans="1:85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22"/>
      <c r="BM1698" s="122"/>
      <c r="BN1698" s="122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115"/>
      <c r="CA1698" s="115"/>
      <c r="CB1698" s="115"/>
      <c r="CC1698" s="26"/>
      <c r="CD1698" s="13"/>
      <c r="CG1698" s="114"/>
    </row>
    <row r="1699" spans="1:8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22"/>
      <c r="BM1699" s="122"/>
      <c r="BN1699" s="122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115"/>
      <c r="CA1699" s="115"/>
      <c r="CB1699" s="115"/>
      <c r="CC1699" s="26"/>
      <c r="CD1699" s="13"/>
      <c r="CG1699" s="114"/>
    </row>
    <row r="1700" spans="1:8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22"/>
      <c r="BM1700" s="122"/>
      <c r="BN1700" s="122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15"/>
      <c r="BZ1700" s="115"/>
      <c r="CA1700" s="115"/>
      <c r="CB1700" s="115"/>
      <c r="CC1700" s="26"/>
      <c r="CD1700" s="13"/>
      <c r="CG1700" s="114"/>
    </row>
    <row r="1701" spans="1:85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22"/>
      <c r="BM1701" s="122"/>
      <c r="BN1701" s="122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115"/>
      <c r="CA1701" s="115"/>
      <c r="CB1701" s="115"/>
      <c r="CC1701" s="26"/>
      <c r="CD1701" s="13"/>
      <c r="CG1701" s="114"/>
    </row>
    <row r="1702" spans="1:85" x14ac:dyDescent="0.4">
      <c r="A1702" s="115"/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15"/>
      <c r="BG1702" s="115"/>
      <c r="BH1702" s="115"/>
      <c r="BI1702" s="115"/>
      <c r="BJ1702" s="115"/>
      <c r="BK1702" s="115"/>
      <c r="BL1702" s="122"/>
      <c r="BM1702" s="122"/>
      <c r="BN1702" s="122"/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115"/>
      <c r="BY1702" s="115"/>
      <c r="BZ1702" s="115"/>
      <c r="CA1702" s="115"/>
      <c r="CB1702" s="115"/>
      <c r="CC1702" s="26"/>
      <c r="CD1702" s="13"/>
      <c r="CG1702" s="114"/>
    </row>
    <row r="1703" spans="1:85" x14ac:dyDescent="0.4">
      <c r="A1703" s="115"/>
      <c r="B1703" s="115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22"/>
      <c r="BM1703" s="122"/>
      <c r="BN1703" s="122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115"/>
      <c r="CA1703" s="115"/>
      <c r="CB1703" s="115"/>
      <c r="CC1703" s="26"/>
      <c r="CD1703" s="13"/>
      <c r="CG1703" s="114"/>
    </row>
    <row r="1704" spans="1:8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122"/>
      <c r="BM1704" s="122"/>
      <c r="BN1704" s="122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115"/>
      <c r="CA1704" s="115"/>
      <c r="CB1704" s="115"/>
      <c r="CC1704" s="26"/>
      <c r="CD1704" s="13"/>
      <c r="CG1704" s="114"/>
    </row>
    <row r="1705" spans="1:8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22"/>
      <c r="BM1705" s="122"/>
      <c r="BN1705" s="122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115"/>
      <c r="BZ1705" s="115"/>
      <c r="CA1705" s="115"/>
      <c r="CB1705" s="115"/>
      <c r="CC1705" s="17"/>
      <c r="CD1705" s="13"/>
      <c r="CG1705" s="114"/>
    </row>
    <row r="1706" spans="1:8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22"/>
      <c r="BM1706" s="122"/>
      <c r="BN1706" s="122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115"/>
      <c r="CA1706" s="115"/>
      <c r="CB1706" s="115"/>
      <c r="CC1706" s="26"/>
      <c r="CD1706" s="13"/>
      <c r="CG1706" s="114"/>
    </row>
    <row r="1707" spans="1:8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22"/>
      <c r="BM1707" s="122"/>
      <c r="BN1707" s="122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115"/>
      <c r="CA1707" s="115"/>
      <c r="CB1707" s="115"/>
      <c r="CC1707" s="17"/>
      <c r="CD1707" s="13"/>
      <c r="CG1707" s="114"/>
    </row>
    <row r="1708" spans="1:8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22"/>
      <c r="BM1708" s="122"/>
      <c r="BN1708" s="122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115"/>
      <c r="CA1708" s="115"/>
      <c r="CB1708" s="115"/>
      <c r="CC1708" s="26"/>
      <c r="CD1708" s="13"/>
      <c r="CG1708" s="114"/>
    </row>
    <row r="1709" spans="1:8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22"/>
      <c r="BM1709" s="122"/>
      <c r="BN1709" s="122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115"/>
      <c r="CA1709" s="115"/>
      <c r="CB1709" s="115"/>
      <c r="CC1709" s="26"/>
      <c r="CD1709" s="13"/>
      <c r="CG1709" s="114"/>
    </row>
    <row r="1710" spans="1:8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22"/>
      <c r="BM1710" s="122"/>
      <c r="BN1710" s="122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115"/>
      <c r="CA1710" s="115"/>
      <c r="CB1710" s="115"/>
      <c r="CC1710" s="26"/>
      <c r="CD1710" s="13"/>
      <c r="CG1710" s="114"/>
    </row>
    <row r="1711" spans="1:8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22"/>
      <c r="BM1711" s="122"/>
      <c r="BN1711" s="122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115"/>
      <c r="CA1711" s="115"/>
      <c r="CB1711" s="115"/>
      <c r="CC1711" s="26"/>
      <c r="CD1711" s="15"/>
      <c r="CG1711" s="114"/>
    </row>
    <row r="1712" spans="1:8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15"/>
      <c r="BJ1712" s="115"/>
      <c r="BK1712" s="115"/>
      <c r="BL1712" s="122"/>
      <c r="BM1712" s="122"/>
      <c r="BN1712" s="122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115"/>
      <c r="BZ1712" s="115"/>
      <c r="CA1712" s="115"/>
      <c r="CB1712" s="115"/>
      <c r="CC1712" s="26"/>
      <c r="CD1712" s="15"/>
      <c r="CG1712" s="114"/>
    </row>
    <row r="1713" spans="1:86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22"/>
      <c r="BM1713" s="122"/>
      <c r="BN1713" s="122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115"/>
      <c r="CA1713" s="115"/>
      <c r="CB1713" s="115"/>
      <c r="CC1713" s="26"/>
      <c r="CD1713" s="15"/>
      <c r="CG1713" s="114"/>
    </row>
    <row r="1714" spans="1:86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22"/>
      <c r="BM1714" s="122"/>
      <c r="BN1714" s="122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115"/>
      <c r="BZ1714" s="115"/>
      <c r="CA1714" s="115"/>
      <c r="CB1714" s="115"/>
      <c r="CC1714" s="26"/>
      <c r="CD1714" s="13"/>
      <c r="CG1714" s="114"/>
    </row>
    <row r="1715" spans="1:86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22"/>
      <c r="BM1715" s="122"/>
      <c r="BN1715" s="122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115"/>
      <c r="CA1715" s="115"/>
      <c r="CB1715" s="115"/>
      <c r="CC1715" s="26"/>
      <c r="CD1715" s="15"/>
      <c r="CG1715" s="114"/>
    </row>
    <row r="1716" spans="1:86" x14ac:dyDescent="0.4">
      <c r="A1716" s="115"/>
      <c r="B1716" s="115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15"/>
      <c r="BK1716" s="115"/>
      <c r="BL1716" s="122"/>
      <c r="BM1716" s="122"/>
      <c r="BN1716" s="122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115"/>
      <c r="BZ1716" s="115"/>
      <c r="CA1716" s="115"/>
      <c r="CB1716" s="115"/>
      <c r="CC1716" s="26"/>
      <c r="CD1716" s="15"/>
      <c r="CG1716" s="114"/>
      <c r="CH1716" s="120"/>
    </row>
    <row r="1717" spans="1:86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22"/>
      <c r="BM1717" s="122"/>
      <c r="BN1717" s="122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115"/>
      <c r="BZ1717" s="115"/>
      <c r="CA1717" s="115"/>
      <c r="CB1717" s="115"/>
      <c r="CC1717" s="26"/>
      <c r="CD1717" s="15"/>
      <c r="CG1717" s="114"/>
      <c r="CH1717" s="120"/>
    </row>
    <row r="1718" spans="1:86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22"/>
      <c r="BM1718" s="122"/>
      <c r="BN1718" s="122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115"/>
      <c r="BZ1718" s="115"/>
      <c r="CA1718" s="115"/>
      <c r="CB1718" s="115"/>
      <c r="CC1718" s="26"/>
      <c r="CD1718" s="15"/>
      <c r="CG1718" s="114"/>
      <c r="CH1718" s="120"/>
    </row>
    <row r="1719" spans="1:86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15"/>
      <c r="BF1719" s="115"/>
      <c r="BG1719" s="115"/>
      <c r="BH1719" s="115"/>
      <c r="BI1719" s="115"/>
      <c r="BJ1719" s="115"/>
      <c r="BK1719" s="115"/>
      <c r="BL1719" s="122"/>
      <c r="BM1719" s="122"/>
      <c r="BN1719" s="122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15"/>
      <c r="CA1719" s="115"/>
      <c r="CB1719" s="115"/>
      <c r="CC1719" s="26"/>
      <c r="CD1719" s="15"/>
      <c r="CG1719" s="114"/>
      <c r="CH1719" s="120"/>
    </row>
    <row r="1720" spans="1:86" x14ac:dyDescent="0.4">
      <c r="A1720" s="115"/>
      <c r="B1720" s="115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122"/>
      <c r="BM1720" s="122"/>
      <c r="BN1720" s="122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115"/>
      <c r="CA1720" s="115"/>
      <c r="CB1720" s="115"/>
      <c r="CC1720" s="26"/>
      <c r="CD1720" s="15"/>
      <c r="CG1720" s="114"/>
      <c r="CH1720" s="120"/>
    </row>
    <row r="1721" spans="1:86" x14ac:dyDescent="0.4">
      <c r="A1721" s="115"/>
      <c r="B1721" s="115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22"/>
      <c r="BM1721" s="122"/>
      <c r="BN1721" s="122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15"/>
      <c r="CA1721" s="115"/>
      <c r="CB1721" s="115"/>
      <c r="CC1721" s="26"/>
      <c r="CD1721" s="15"/>
      <c r="CG1721" s="114"/>
      <c r="CH1721" s="120"/>
    </row>
    <row r="1722" spans="1:86" x14ac:dyDescent="0.4">
      <c r="A1722" s="115"/>
      <c r="B1722" s="115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15"/>
      <c r="BH1722" s="115"/>
      <c r="BI1722" s="115"/>
      <c r="BJ1722" s="115"/>
      <c r="BK1722" s="115"/>
      <c r="BL1722" s="122"/>
      <c r="BM1722" s="122"/>
      <c r="BN1722" s="122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115"/>
      <c r="BZ1722" s="115"/>
      <c r="CA1722" s="115"/>
      <c r="CB1722" s="115"/>
      <c r="CC1722" s="26"/>
      <c r="CD1722" s="15"/>
      <c r="CG1722" s="114"/>
      <c r="CH1722" s="120"/>
    </row>
    <row r="1723" spans="1:86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22"/>
      <c r="BM1723" s="122"/>
      <c r="BN1723" s="122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15"/>
      <c r="CA1723" s="115"/>
      <c r="CB1723" s="115"/>
      <c r="CC1723" s="17"/>
      <c r="CD1723" s="15"/>
      <c r="CG1723" s="114"/>
      <c r="CH1723" s="120"/>
    </row>
    <row r="1724" spans="1:86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15"/>
      <c r="BH1724" s="115"/>
      <c r="BI1724" s="115"/>
      <c r="BJ1724" s="115"/>
      <c r="BK1724" s="115"/>
      <c r="BL1724" s="122"/>
      <c r="BM1724" s="122"/>
      <c r="BN1724" s="122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15"/>
      <c r="CA1724" s="115"/>
      <c r="CB1724" s="115"/>
      <c r="CC1724" s="26"/>
      <c r="CD1724" s="15"/>
      <c r="CG1724" s="114"/>
      <c r="CH1724" s="120"/>
    </row>
    <row r="1725" spans="1:86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15"/>
      <c r="BH1725" s="115"/>
      <c r="BI1725" s="115"/>
      <c r="BJ1725" s="115"/>
      <c r="BK1725" s="115"/>
      <c r="BL1725" s="122"/>
      <c r="BM1725" s="122"/>
      <c r="BN1725" s="122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15"/>
      <c r="BZ1725" s="115"/>
      <c r="CA1725" s="115"/>
      <c r="CB1725" s="115"/>
      <c r="CC1725" s="26"/>
      <c r="CD1725" s="15"/>
      <c r="CG1725" s="114"/>
    </row>
    <row r="1726" spans="1:86" x14ac:dyDescent="0.4">
      <c r="CC1726" s="26"/>
      <c r="CD1726" s="15"/>
      <c r="CG1726" s="114"/>
    </row>
    <row r="1727" spans="1:86" x14ac:dyDescent="0.4"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115"/>
      <c r="CA1727" s="115"/>
      <c r="CB1727" s="115"/>
      <c r="CC1727" s="17"/>
      <c r="CD1727" s="15"/>
      <c r="CG1727" s="114"/>
    </row>
    <row r="1728" spans="1:86" x14ac:dyDescent="0.4"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115"/>
      <c r="CA1728" s="115"/>
      <c r="CB1728" s="115"/>
      <c r="CC1728" s="17"/>
      <c r="CD1728" s="15"/>
      <c r="CG1728" s="114"/>
    </row>
    <row r="1729" spans="4:89" x14ac:dyDescent="0.4">
      <c r="BN1729" s="122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115"/>
      <c r="CA1729" s="115"/>
      <c r="CB1729" s="115"/>
      <c r="CC1729" s="17"/>
      <c r="CD1729" s="15"/>
      <c r="CG1729" s="114"/>
    </row>
    <row r="1730" spans="4:89" x14ac:dyDescent="0.4">
      <c r="BI1730" s="115"/>
      <c r="BJ1730" s="115"/>
      <c r="BK1730" s="115"/>
      <c r="BL1730" s="122"/>
      <c r="BM1730" s="122"/>
      <c r="BN1730" s="122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115"/>
      <c r="CA1730" s="115"/>
      <c r="CB1730" s="115"/>
      <c r="CC1730" s="26"/>
      <c r="CD1730" s="15"/>
      <c r="CG1730" s="114"/>
    </row>
    <row r="1731" spans="4:89" x14ac:dyDescent="0.4">
      <c r="BI1731" s="115"/>
      <c r="BJ1731" s="115"/>
      <c r="BK1731" s="115"/>
      <c r="BL1731" s="122"/>
      <c r="BM1731" s="122"/>
      <c r="BN1731" s="122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15"/>
      <c r="CA1731" s="115"/>
      <c r="CB1731" s="115"/>
      <c r="CC1731" s="17"/>
      <c r="CD1731" s="15"/>
      <c r="CG1731" s="114"/>
    </row>
    <row r="1732" spans="4:89" x14ac:dyDescent="0.4">
      <c r="BH1732" s="115"/>
      <c r="BI1732" s="115"/>
      <c r="BJ1732" s="115"/>
      <c r="BK1732" s="115"/>
      <c r="BL1732" s="122"/>
      <c r="BM1732" s="122"/>
      <c r="BN1732" s="122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15"/>
      <c r="BZ1732" s="115"/>
      <c r="CA1732" s="115"/>
      <c r="CB1732" s="115"/>
      <c r="CC1732" s="26"/>
      <c r="CD1732" s="15"/>
      <c r="CG1732" s="114"/>
    </row>
    <row r="1733" spans="4:89" x14ac:dyDescent="0.4">
      <c r="BH1733" s="115"/>
      <c r="BI1733" s="115"/>
      <c r="BJ1733" s="115"/>
      <c r="BK1733" s="115"/>
      <c r="BL1733" s="122"/>
      <c r="BM1733" s="122"/>
      <c r="BN1733" s="122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115"/>
      <c r="CA1733" s="115"/>
      <c r="CB1733" s="115"/>
      <c r="CC1733" s="17"/>
      <c r="CD1733" s="15"/>
      <c r="CG1733" s="114"/>
    </row>
    <row r="1734" spans="4:89" x14ac:dyDescent="0.4">
      <c r="BH1734" s="115"/>
      <c r="BI1734" s="115"/>
      <c r="BJ1734" s="115"/>
      <c r="BK1734" s="115"/>
      <c r="BL1734" s="122"/>
      <c r="BM1734" s="122"/>
      <c r="BN1734" s="122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15"/>
      <c r="BZ1734" s="115"/>
      <c r="CA1734" s="115"/>
      <c r="CB1734" s="115"/>
      <c r="CC1734" s="17"/>
      <c r="CD1734" s="15"/>
      <c r="CG1734" s="114"/>
    </row>
    <row r="1735" spans="4:89" x14ac:dyDescent="0.4">
      <c r="BH1735" s="115"/>
      <c r="BI1735" s="115"/>
      <c r="BJ1735" s="115"/>
      <c r="BK1735" s="115"/>
      <c r="BL1735" s="122"/>
      <c r="BM1735" s="122"/>
      <c r="BN1735" s="122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115"/>
      <c r="BZ1735" s="115"/>
      <c r="CA1735" s="115"/>
      <c r="CB1735" s="115"/>
      <c r="CC1735" s="17"/>
      <c r="CD1735" s="15"/>
      <c r="CG1735" s="114"/>
    </row>
    <row r="1736" spans="4:89" x14ac:dyDescent="0.4">
      <c r="BH1736" s="115"/>
      <c r="BI1736" s="115"/>
      <c r="BJ1736" s="115"/>
      <c r="BK1736" s="115"/>
      <c r="BL1736" s="122"/>
      <c r="BM1736" s="122"/>
      <c r="BN1736" s="122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115"/>
      <c r="CA1736" s="115"/>
      <c r="CB1736" s="115"/>
      <c r="CC1736" s="26"/>
      <c r="CD1736" s="15"/>
      <c r="CG1736" s="114"/>
    </row>
    <row r="1737" spans="4:89" x14ac:dyDescent="0.4">
      <c r="BH1737" s="115"/>
      <c r="BI1737" s="115"/>
      <c r="BJ1737" s="115"/>
      <c r="BK1737" s="115"/>
      <c r="BL1737" s="122"/>
      <c r="BM1737" s="122"/>
      <c r="BN1737" s="122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115"/>
      <c r="BZ1737" s="115"/>
      <c r="CA1737" s="115"/>
      <c r="CB1737" s="115"/>
      <c r="CC1737" s="17"/>
      <c r="CD1737" s="15"/>
      <c r="CG1737" s="114"/>
    </row>
    <row r="1738" spans="4:89" ht="19.5" x14ac:dyDescent="0.4">
      <c r="CC1738" s="26"/>
      <c r="CD1738" s="15"/>
      <c r="CH1738" s="116"/>
      <c r="CI1738" s="116"/>
      <c r="CJ1738" s="116"/>
      <c r="CK1738" s="116"/>
    </row>
    <row r="1739" spans="4:89" ht="19.5" x14ac:dyDescent="0.4">
      <c r="BM1739" s="122"/>
      <c r="BN1739" s="122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115"/>
      <c r="CA1739" s="115"/>
      <c r="CB1739" s="115"/>
      <c r="CC1739" s="17"/>
      <c r="CD1739" s="15"/>
      <c r="CH1739" s="117"/>
      <c r="CI1739" s="116"/>
      <c r="CJ1739" s="116"/>
      <c r="CK1739" s="116"/>
    </row>
    <row r="1740" spans="4:89" ht="19.5" x14ac:dyDescent="0.4">
      <c r="BE1740" s="115"/>
      <c r="BF1740" s="115"/>
      <c r="BG1740" s="115"/>
      <c r="BH1740" s="115"/>
      <c r="BI1740" s="115"/>
      <c r="BJ1740" s="115"/>
      <c r="BK1740" s="115"/>
      <c r="BL1740" s="122"/>
      <c r="BM1740" s="122"/>
      <c r="BN1740" s="122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115"/>
      <c r="CA1740" s="115"/>
      <c r="CB1740" s="115"/>
      <c r="CC1740" s="26"/>
      <c r="CD1740" s="15"/>
      <c r="CH1740" s="117"/>
      <c r="CI1740" s="116"/>
      <c r="CJ1740" s="116"/>
      <c r="CK1740" s="116"/>
    </row>
    <row r="1741" spans="4:89" ht="19.5" x14ac:dyDescent="0.4"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15"/>
      <c r="BL1741" s="122"/>
      <c r="BM1741" s="122"/>
      <c r="BN1741" s="122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115"/>
      <c r="CA1741" s="115"/>
      <c r="CB1741" s="115"/>
      <c r="CC1741" s="26"/>
      <c r="CD1741" s="13"/>
      <c r="CH1741" s="117"/>
      <c r="CI1741" s="116"/>
      <c r="CJ1741" s="116"/>
      <c r="CK1741" s="116"/>
    </row>
    <row r="1742" spans="4:89" ht="19.5" x14ac:dyDescent="0.4"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15"/>
      <c r="BE1742" s="115"/>
      <c r="BF1742" s="115"/>
      <c r="BG1742" s="115"/>
      <c r="BH1742" s="115"/>
      <c r="BI1742" s="115"/>
      <c r="BJ1742" s="115"/>
      <c r="BK1742" s="115"/>
      <c r="BL1742" s="122"/>
      <c r="BM1742" s="122"/>
      <c r="BN1742" s="122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15"/>
      <c r="CA1742" s="115"/>
      <c r="CB1742" s="115"/>
      <c r="CC1742" s="26"/>
      <c r="CD1742" s="15"/>
      <c r="CH1742" s="117"/>
      <c r="CI1742" s="116"/>
      <c r="CJ1742" s="116"/>
      <c r="CK1742" s="116"/>
    </row>
    <row r="1743" spans="4:89" ht="19.5" x14ac:dyDescent="0.4"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22"/>
      <c r="BM1743" s="122"/>
      <c r="BN1743" s="122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115"/>
      <c r="CA1743" s="115"/>
      <c r="CB1743" s="115"/>
      <c r="CC1743" s="17"/>
      <c r="CD1743" s="15"/>
      <c r="CH1743" s="117"/>
      <c r="CI1743" s="116"/>
      <c r="CJ1743" s="116"/>
      <c r="CK1743" s="116"/>
    </row>
    <row r="1744" spans="4:89" ht="19.5" x14ac:dyDescent="0.4"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15"/>
      <c r="BD1744" s="115"/>
      <c r="BE1744" s="115"/>
      <c r="BF1744" s="115"/>
      <c r="BG1744" s="115"/>
      <c r="BH1744" s="115"/>
      <c r="BI1744" s="115"/>
      <c r="BJ1744" s="115"/>
      <c r="BK1744" s="115"/>
      <c r="BL1744" s="122"/>
      <c r="BM1744" s="122"/>
      <c r="BN1744" s="122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115"/>
      <c r="BZ1744" s="115"/>
      <c r="CA1744" s="115"/>
      <c r="CB1744" s="115"/>
      <c r="CC1744" s="26"/>
      <c r="CD1744" s="15"/>
      <c r="CH1744" s="117"/>
      <c r="CI1744" s="116"/>
      <c r="CJ1744" s="116"/>
      <c r="CK1744" s="116"/>
    </row>
    <row r="1745" spans="1:89" ht="19.5" x14ac:dyDescent="0.4"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22"/>
      <c r="BM1745" s="122"/>
      <c r="BN1745" s="122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115"/>
      <c r="CA1745" s="115"/>
      <c r="CB1745" s="115"/>
      <c r="CC1745" s="26"/>
      <c r="CD1745" s="15"/>
      <c r="CH1745" s="117"/>
      <c r="CI1745" s="116"/>
      <c r="CJ1745" s="116"/>
      <c r="CK1745" s="116"/>
    </row>
    <row r="1746" spans="1:89" ht="19.5" x14ac:dyDescent="0.4"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22"/>
      <c r="BM1746" s="122"/>
      <c r="BN1746" s="122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15"/>
      <c r="BZ1746" s="115"/>
      <c r="CA1746" s="115"/>
      <c r="CB1746" s="115"/>
      <c r="CC1746" s="17"/>
      <c r="CD1746" s="15"/>
      <c r="CH1746" s="117"/>
      <c r="CI1746" s="116"/>
      <c r="CJ1746" s="116"/>
      <c r="CK1746" s="116"/>
    </row>
    <row r="1747" spans="1:89" ht="19.5" x14ac:dyDescent="0.4"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15"/>
      <c r="BF1747" s="115"/>
      <c r="BG1747" s="115"/>
      <c r="BH1747" s="115"/>
      <c r="BI1747" s="115"/>
      <c r="BJ1747" s="115"/>
      <c r="BK1747" s="115"/>
      <c r="BL1747" s="122"/>
      <c r="BM1747" s="122"/>
      <c r="BN1747" s="122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115"/>
      <c r="BZ1747" s="115"/>
      <c r="CA1747" s="115"/>
      <c r="CB1747" s="115"/>
      <c r="CC1747" s="26"/>
      <c r="CD1747" s="15"/>
      <c r="CH1747" s="117"/>
      <c r="CI1747" s="116"/>
      <c r="CJ1747" s="116"/>
      <c r="CK1747" s="116"/>
    </row>
    <row r="1748" spans="1:89" ht="19.5" x14ac:dyDescent="0.4">
      <c r="CC1748" s="26"/>
      <c r="CD1748" s="15"/>
      <c r="CH1748" s="117"/>
      <c r="CI1748" s="116"/>
      <c r="CJ1748" s="116"/>
      <c r="CK1748" s="116"/>
    </row>
    <row r="1749" spans="1:89" ht="19.5" x14ac:dyDescent="0.4">
      <c r="BM1749" s="122"/>
      <c r="BN1749" s="122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115"/>
      <c r="CA1749" s="115"/>
      <c r="CB1749" s="115"/>
      <c r="CC1749" s="17"/>
      <c r="CD1749" s="15"/>
      <c r="CH1749" s="117"/>
      <c r="CI1749" s="116"/>
      <c r="CJ1749" s="116"/>
      <c r="CK1749" s="116"/>
    </row>
    <row r="1750" spans="1:89" ht="19.5" x14ac:dyDescent="0.4">
      <c r="BJ1750" s="115"/>
      <c r="BK1750" s="115"/>
      <c r="BL1750" s="122"/>
      <c r="BM1750" s="122"/>
      <c r="BN1750" s="122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115"/>
      <c r="CA1750" s="115"/>
      <c r="CB1750" s="115"/>
      <c r="CC1750" s="26"/>
      <c r="CD1750" s="15"/>
      <c r="CH1750" s="117"/>
      <c r="CI1750" s="116"/>
      <c r="CJ1750" s="116"/>
      <c r="CK1750" s="116"/>
    </row>
    <row r="1751" spans="1:89" ht="19.5" x14ac:dyDescent="0.4">
      <c r="BJ1751" s="115"/>
      <c r="BK1751" s="115"/>
      <c r="BL1751" s="122"/>
      <c r="BM1751" s="122"/>
      <c r="BN1751" s="122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115"/>
      <c r="CA1751" s="115"/>
      <c r="CB1751" s="115"/>
      <c r="CC1751" s="17"/>
      <c r="CD1751" s="15"/>
      <c r="CH1751" s="117"/>
      <c r="CI1751" s="116"/>
      <c r="CJ1751" s="116"/>
      <c r="CK1751" s="116"/>
    </row>
    <row r="1752" spans="1:89" ht="19.5" x14ac:dyDescent="0.4">
      <c r="BI1752" s="115"/>
      <c r="BJ1752" s="115"/>
      <c r="BK1752" s="115"/>
      <c r="BL1752" s="122"/>
      <c r="BM1752" s="122"/>
      <c r="BN1752" s="122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115"/>
      <c r="CA1752" s="115"/>
      <c r="CB1752" s="115"/>
      <c r="CC1752" s="26"/>
      <c r="CD1752" s="15"/>
      <c r="CH1752" s="117"/>
      <c r="CI1752" s="116"/>
      <c r="CJ1752" s="116"/>
      <c r="CK1752" s="116"/>
    </row>
    <row r="1753" spans="1:89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22"/>
      <c r="BM1753" s="122"/>
      <c r="BN1753" s="122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115"/>
      <c r="CA1753" s="115"/>
      <c r="CB1753" s="115"/>
      <c r="CC1753" s="26"/>
      <c r="CD1753" s="15"/>
      <c r="CH1753" s="117"/>
      <c r="CI1753" s="116"/>
      <c r="CJ1753" s="116"/>
      <c r="CK1753" s="116"/>
    </row>
    <row r="1754" spans="1:89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15"/>
      <c r="BK1754" s="115"/>
      <c r="BL1754" s="122"/>
      <c r="BM1754" s="122"/>
      <c r="BN1754" s="122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115"/>
      <c r="CA1754" s="115"/>
      <c r="CB1754" s="115"/>
      <c r="CC1754" s="26"/>
      <c r="CD1754" s="15"/>
      <c r="CH1754" s="117"/>
      <c r="CI1754" s="116"/>
      <c r="CJ1754" s="116"/>
      <c r="CK1754" s="116"/>
    </row>
    <row r="1755" spans="1:89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15"/>
      <c r="BJ1755" s="115"/>
      <c r="BK1755" s="115"/>
      <c r="BL1755" s="122"/>
      <c r="BM1755" s="122"/>
      <c r="BN1755" s="122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15"/>
      <c r="BZ1755" s="115"/>
      <c r="CA1755" s="115"/>
      <c r="CB1755" s="115"/>
      <c r="CC1755" s="26"/>
      <c r="CD1755" s="15"/>
      <c r="CH1755" s="117"/>
      <c r="CI1755" s="116"/>
      <c r="CJ1755" s="116"/>
      <c r="CK1755" s="116"/>
    </row>
    <row r="1756" spans="1:89" ht="19.5" x14ac:dyDescent="0.4">
      <c r="A1756" s="115"/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15"/>
      <c r="BF1756" s="115"/>
      <c r="BG1756" s="115"/>
      <c r="BH1756" s="115"/>
      <c r="BI1756" s="115"/>
      <c r="BJ1756" s="115"/>
      <c r="BK1756" s="115"/>
      <c r="BL1756" s="122"/>
      <c r="BM1756" s="122"/>
      <c r="BN1756" s="122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115"/>
      <c r="CA1756" s="115"/>
      <c r="CB1756" s="115"/>
      <c r="CC1756" s="26"/>
      <c r="CD1756" s="105"/>
      <c r="CH1756" s="117"/>
      <c r="CI1756" s="116"/>
      <c r="CJ1756" s="116"/>
      <c r="CK1756" s="116"/>
    </row>
    <row r="1757" spans="1:89" ht="19.5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15"/>
      <c r="BL1757" s="122"/>
      <c r="BM1757" s="122"/>
      <c r="BN1757" s="122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15"/>
      <c r="CA1757" s="115"/>
      <c r="CB1757" s="115"/>
      <c r="CC1757" s="26"/>
      <c r="CD1757" s="105"/>
      <c r="CH1757" s="117"/>
      <c r="CI1757" s="116"/>
      <c r="CJ1757" s="116"/>
      <c r="CK1757" s="116"/>
    </row>
    <row r="1758" spans="1:89" ht="19.5" x14ac:dyDescent="0.4">
      <c r="CC1758" s="26"/>
      <c r="CD1758" s="13"/>
      <c r="CH1758" s="117"/>
      <c r="CI1758" s="116"/>
      <c r="CJ1758" s="116"/>
      <c r="CK1758" s="116"/>
    </row>
    <row r="1759" spans="1:89" ht="19.5" x14ac:dyDescent="0.4">
      <c r="BJ1759" s="115"/>
      <c r="BK1759" s="115"/>
      <c r="BL1759" s="122"/>
      <c r="BM1759" s="122"/>
      <c r="BN1759" s="122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115"/>
      <c r="CA1759" s="115"/>
      <c r="CB1759" s="115"/>
      <c r="CC1759" s="26"/>
      <c r="CD1759" s="13"/>
      <c r="CH1759" s="117"/>
      <c r="CI1759" s="116"/>
      <c r="CJ1759" s="116"/>
      <c r="CK1759" s="116"/>
    </row>
    <row r="1760" spans="1:89" ht="19.5" x14ac:dyDescent="0.4">
      <c r="BE1760" s="115"/>
      <c r="BF1760" s="115"/>
      <c r="BG1760" s="115"/>
      <c r="BH1760" s="115"/>
      <c r="BI1760" s="115"/>
      <c r="BJ1760" s="115"/>
      <c r="BK1760" s="115"/>
      <c r="BL1760" s="122"/>
      <c r="BM1760" s="122"/>
      <c r="BN1760" s="122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115"/>
      <c r="CA1760" s="115"/>
      <c r="CB1760" s="115"/>
      <c r="CC1760" s="26"/>
      <c r="CD1760" s="13"/>
      <c r="CH1760" s="117"/>
      <c r="CI1760" s="116"/>
      <c r="CJ1760" s="116"/>
      <c r="CK1760" s="116"/>
    </row>
    <row r="1761" spans="3:89" ht="19.5" x14ac:dyDescent="0.4">
      <c r="CC1761" s="26"/>
      <c r="CD1761" s="13"/>
      <c r="CH1761" s="117"/>
      <c r="CI1761" s="116"/>
      <c r="CJ1761" s="116"/>
      <c r="CK1761" s="116"/>
    </row>
    <row r="1762" spans="3:89" ht="19.5" x14ac:dyDescent="0.4"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22"/>
      <c r="BM1762" s="122"/>
      <c r="BN1762" s="122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115"/>
      <c r="CA1762" s="115"/>
      <c r="CB1762" s="115"/>
      <c r="CC1762" s="26"/>
      <c r="CD1762" s="13"/>
      <c r="CH1762" s="117"/>
      <c r="CI1762" s="116"/>
      <c r="CJ1762" s="116"/>
      <c r="CK1762" s="116"/>
    </row>
    <row r="1763" spans="3:89" ht="19.5" x14ac:dyDescent="0.4"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15"/>
      <c r="BL1763" s="122"/>
      <c r="BM1763" s="122"/>
      <c r="BN1763" s="122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115"/>
      <c r="CA1763" s="115"/>
      <c r="CB1763" s="115"/>
      <c r="CC1763" s="26"/>
      <c r="CD1763" s="13"/>
      <c r="CH1763" s="117"/>
      <c r="CI1763" s="116"/>
      <c r="CJ1763" s="116"/>
      <c r="CK1763" s="116"/>
    </row>
    <row r="1764" spans="3:89" ht="19.5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15"/>
      <c r="BJ1764" s="115"/>
      <c r="BK1764" s="115"/>
      <c r="BL1764" s="122"/>
      <c r="BM1764" s="122"/>
      <c r="BN1764" s="122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15"/>
      <c r="CA1764" s="115"/>
      <c r="CB1764" s="115"/>
      <c r="CC1764" s="26"/>
      <c r="CD1764" s="13"/>
      <c r="CH1764" s="117"/>
      <c r="CI1764" s="116"/>
      <c r="CJ1764" s="116"/>
      <c r="CK1764" s="116"/>
    </row>
    <row r="1765" spans="3:89" ht="19.5" x14ac:dyDescent="0.4"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15"/>
      <c r="BG1765" s="115"/>
      <c r="BH1765" s="115"/>
      <c r="BI1765" s="115"/>
      <c r="BJ1765" s="115"/>
      <c r="BK1765" s="115"/>
      <c r="BL1765" s="122"/>
      <c r="BM1765" s="122"/>
      <c r="BN1765" s="122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115"/>
      <c r="BZ1765" s="115"/>
      <c r="CA1765" s="115"/>
      <c r="CB1765" s="115"/>
      <c r="CC1765" s="26"/>
      <c r="CD1765" s="13"/>
      <c r="CH1765" s="117"/>
      <c r="CI1765" s="116"/>
      <c r="CJ1765" s="116"/>
      <c r="CK1765" s="116"/>
    </row>
    <row r="1766" spans="3:89" ht="19.5" x14ac:dyDescent="0.4"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22"/>
      <c r="BM1766" s="122"/>
      <c r="BN1766" s="122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15"/>
      <c r="CA1766" s="115"/>
      <c r="CB1766" s="115"/>
      <c r="CC1766" s="26"/>
      <c r="CD1766" s="13"/>
      <c r="CH1766" s="117"/>
      <c r="CI1766" s="116"/>
      <c r="CJ1766" s="116"/>
      <c r="CK1766" s="116"/>
    </row>
    <row r="1767" spans="3:89" ht="19.5" x14ac:dyDescent="0.4"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15"/>
      <c r="BH1767" s="115"/>
      <c r="BI1767" s="115"/>
      <c r="BJ1767" s="115"/>
      <c r="BK1767" s="115"/>
      <c r="BL1767" s="122"/>
      <c r="BM1767" s="122"/>
      <c r="BN1767" s="122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115"/>
      <c r="BY1767" s="115"/>
      <c r="BZ1767" s="115"/>
      <c r="CA1767" s="115"/>
      <c r="CB1767" s="115"/>
      <c r="CC1767" s="26"/>
      <c r="CD1767" s="13"/>
      <c r="CH1767" s="117"/>
      <c r="CI1767" s="116"/>
      <c r="CJ1767" s="116"/>
      <c r="CK1767" s="116"/>
    </row>
    <row r="1768" spans="3:89" ht="19.5" x14ac:dyDescent="0.4"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15"/>
      <c r="BJ1768" s="115"/>
      <c r="BK1768" s="115"/>
      <c r="BL1768" s="122"/>
      <c r="BM1768" s="122"/>
      <c r="BN1768" s="122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115"/>
      <c r="CA1768" s="115"/>
      <c r="CB1768" s="115"/>
      <c r="CC1768" s="26"/>
      <c r="CD1768" s="13"/>
      <c r="CH1768" s="117"/>
      <c r="CI1768" s="116"/>
      <c r="CJ1768" s="116"/>
      <c r="CK1768" s="116"/>
    </row>
    <row r="1769" spans="3:89" ht="19.5" x14ac:dyDescent="0.4"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22"/>
      <c r="BM1769" s="122"/>
      <c r="BN1769" s="122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15"/>
      <c r="CA1769" s="115"/>
      <c r="CB1769" s="115"/>
      <c r="CC1769" s="26"/>
      <c r="CD1769" s="13"/>
      <c r="CH1769" s="117"/>
      <c r="CI1769" s="116"/>
      <c r="CJ1769" s="116"/>
      <c r="CK1769" s="116"/>
    </row>
    <row r="1770" spans="3:89" ht="19.5" x14ac:dyDescent="0.4">
      <c r="CC1770" s="26"/>
      <c r="CD1770" s="15"/>
      <c r="CH1770" s="117"/>
      <c r="CI1770" s="116"/>
      <c r="CJ1770" s="116"/>
      <c r="CK1770" s="116"/>
    </row>
    <row r="1771" spans="3:89" ht="19.5" x14ac:dyDescent="0.4"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15"/>
      <c r="BJ1771" s="115"/>
      <c r="BK1771" s="115"/>
      <c r="BL1771" s="122"/>
      <c r="BM1771" s="122"/>
      <c r="BN1771" s="122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15"/>
      <c r="CA1771" s="115"/>
      <c r="CB1771" s="115"/>
      <c r="CC1771" s="26"/>
      <c r="CD1771" s="15"/>
      <c r="CH1771" s="117"/>
      <c r="CI1771" s="116"/>
      <c r="CJ1771" s="116"/>
      <c r="CK1771" s="116"/>
    </row>
    <row r="1772" spans="3:89" ht="19.5" x14ac:dyDescent="0.4"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15"/>
      <c r="BH1772" s="115"/>
      <c r="BI1772" s="115"/>
      <c r="BJ1772" s="115"/>
      <c r="BK1772" s="115"/>
      <c r="BL1772" s="122"/>
      <c r="BM1772" s="122"/>
      <c r="BN1772" s="122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115"/>
      <c r="CA1772" s="115"/>
      <c r="CB1772" s="115"/>
      <c r="CC1772" s="17"/>
      <c r="CD1772" s="15"/>
      <c r="CH1772" s="117"/>
      <c r="CI1772" s="116"/>
      <c r="CJ1772" s="116"/>
      <c r="CK1772" s="116"/>
    </row>
    <row r="1773" spans="3:89" ht="19.5" x14ac:dyDescent="0.4">
      <c r="CC1773" s="26"/>
      <c r="CD1773" s="15"/>
      <c r="CH1773" s="117"/>
      <c r="CI1773" s="116"/>
      <c r="CJ1773" s="116"/>
      <c r="CK1773" s="116"/>
    </row>
    <row r="1774" spans="3:89" ht="19.5" x14ac:dyDescent="0.4">
      <c r="CC1774" s="26"/>
      <c r="CD1774" s="13"/>
      <c r="CH1774" s="117"/>
      <c r="CI1774" s="116"/>
      <c r="CJ1774" s="116"/>
      <c r="CK1774" s="116"/>
    </row>
    <row r="1775" spans="3:89" ht="19.5" x14ac:dyDescent="0.4">
      <c r="BI1775" s="115"/>
      <c r="BJ1775" s="115"/>
      <c r="BK1775" s="115"/>
      <c r="BL1775" s="122"/>
      <c r="BM1775" s="122"/>
      <c r="BN1775" s="122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115"/>
      <c r="CB1775" s="115"/>
      <c r="CC1775" s="26"/>
      <c r="CD1775" s="13"/>
      <c r="CH1775" s="117"/>
      <c r="CI1775" s="116"/>
      <c r="CJ1775" s="116"/>
      <c r="CK1775" s="116"/>
    </row>
    <row r="1776" spans="3:89" ht="19.5" x14ac:dyDescent="0.4"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15"/>
      <c r="BH1776" s="115"/>
      <c r="BI1776" s="115"/>
      <c r="BJ1776" s="115"/>
      <c r="BK1776" s="115"/>
      <c r="BL1776" s="122"/>
      <c r="BM1776" s="122"/>
      <c r="BN1776" s="122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15"/>
      <c r="CA1776" s="115"/>
      <c r="CB1776" s="115"/>
      <c r="CC1776" s="26"/>
      <c r="CD1776" s="13"/>
      <c r="CH1776" s="117"/>
      <c r="CI1776" s="116"/>
      <c r="CJ1776" s="116"/>
      <c r="CK1776" s="116"/>
    </row>
    <row r="1777" spans="1:89" ht="19.5" x14ac:dyDescent="0.4"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15"/>
      <c r="BJ1777" s="115"/>
      <c r="BK1777" s="115"/>
      <c r="BL1777" s="122"/>
      <c r="BM1777" s="122"/>
      <c r="BN1777" s="122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115"/>
      <c r="CB1777" s="115"/>
      <c r="CC1777" s="17"/>
      <c r="CD1777" s="13"/>
      <c r="CH1777" s="117"/>
      <c r="CI1777" s="116"/>
      <c r="CJ1777" s="116"/>
      <c r="CK1777" s="116"/>
    </row>
    <row r="1778" spans="1:89" ht="19.5" x14ac:dyDescent="0.4"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15"/>
      <c r="BL1778" s="122"/>
      <c r="BM1778" s="122"/>
      <c r="BN1778" s="122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15"/>
      <c r="CB1778" s="115"/>
      <c r="CC1778" s="26"/>
      <c r="CD1778" s="25"/>
      <c r="CH1778" s="117"/>
      <c r="CI1778" s="116"/>
      <c r="CJ1778" s="116"/>
      <c r="CK1778" s="116"/>
    </row>
    <row r="1779" spans="1:89" ht="19.5" x14ac:dyDescent="0.4"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22"/>
      <c r="BM1779" s="122"/>
      <c r="BN1779" s="122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115"/>
      <c r="CB1779" s="115"/>
      <c r="CC1779" s="17"/>
      <c r="CD1779" s="13"/>
      <c r="CH1779" s="117"/>
      <c r="CI1779" s="116"/>
      <c r="CJ1779" s="116"/>
      <c r="CK1779" s="116"/>
    </row>
    <row r="1780" spans="1:89" ht="19.5" x14ac:dyDescent="0.4"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22"/>
      <c r="BM1780" s="122"/>
      <c r="BN1780" s="122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115"/>
      <c r="CB1780" s="115"/>
      <c r="CC1780" s="26"/>
      <c r="CD1780" s="13"/>
      <c r="CH1780" s="117"/>
      <c r="CI1780" s="116"/>
      <c r="CJ1780" s="116"/>
      <c r="CK1780" s="116"/>
    </row>
    <row r="1781" spans="1:89" ht="19.5" x14ac:dyDescent="0.4">
      <c r="A1781" s="115"/>
      <c r="B1781" s="115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15"/>
      <c r="BC1781" s="115"/>
      <c r="BD1781" s="115"/>
      <c r="BE1781" s="115"/>
      <c r="BF1781" s="115"/>
      <c r="BG1781" s="115"/>
      <c r="BH1781" s="115"/>
      <c r="BI1781" s="115"/>
      <c r="BJ1781" s="115"/>
      <c r="BK1781" s="115"/>
      <c r="BL1781" s="122"/>
      <c r="BM1781" s="122"/>
      <c r="BN1781" s="122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115"/>
      <c r="CB1781" s="115"/>
      <c r="CC1781" s="26"/>
      <c r="CD1781" s="13"/>
      <c r="CH1781" s="117"/>
      <c r="CI1781" s="116"/>
      <c r="CJ1781" s="116"/>
      <c r="CK1781" s="116"/>
    </row>
    <row r="1782" spans="1:89" ht="19.5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15"/>
      <c r="BK1782" s="115"/>
      <c r="BL1782" s="122"/>
      <c r="BM1782" s="122"/>
      <c r="BN1782" s="122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115"/>
      <c r="CB1782" s="115"/>
      <c r="CC1782" s="26"/>
      <c r="CD1782" s="13"/>
      <c r="CH1782" s="117"/>
      <c r="CI1782" s="116"/>
      <c r="CJ1782" s="116"/>
      <c r="CK1782" s="116"/>
    </row>
    <row r="1783" spans="1:89" ht="19.5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15"/>
      <c r="BJ1783" s="115"/>
      <c r="BK1783" s="115"/>
      <c r="BL1783" s="122"/>
      <c r="BM1783" s="122"/>
      <c r="BN1783" s="122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115"/>
      <c r="CB1783" s="115"/>
      <c r="CC1783" s="26"/>
      <c r="CD1783" s="13"/>
      <c r="CH1783" s="117"/>
      <c r="CI1783" s="116"/>
      <c r="CJ1783" s="116"/>
      <c r="CK1783" s="116"/>
    </row>
    <row r="1784" spans="1:89" ht="19.5" x14ac:dyDescent="0.4">
      <c r="A1784" s="115"/>
      <c r="B1784" s="115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15"/>
      <c r="BJ1784" s="115"/>
      <c r="BK1784" s="115"/>
      <c r="BL1784" s="122"/>
      <c r="BM1784" s="122"/>
      <c r="BN1784" s="122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115"/>
      <c r="CB1784" s="115"/>
      <c r="CC1784" s="26"/>
      <c r="CD1784" s="13"/>
      <c r="CH1784" s="117"/>
      <c r="CI1784" s="116"/>
      <c r="CJ1784" s="116"/>
      <c r="CK1784" s="116"/>
    </row>
    <row r="1785" spans="1:89" ht="19.5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15"/>
      <c r="BI1785" s="115"/>
      <c r="BJ1785" s="115"/>
      <c r="BK1785" s="115"/>
      <c r="BL1785" s="122"/>
      <c r="BM1785" s="122"/>
      <c r="BN1785" s="122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15"/>
      <c r="BZ1785" s="115"/>
      <c r="CA1785" s="115"/>
      <c r="CB1785" s="115"/>
      <c r="CC1785" s="26"/>
      <c r="CD1785" s="13"/>
      <c r="CH1785" s="117"/>
      <c r="CI1785" s="116"/>
      <c r="CJ1785" s="116"/>
      <c r="CK1785" s="116"/>
    </row>
    <row r="1786" spans="1:89" ht="19.5" x14ac:dyDescent="0.4">
      <c r="A1786" s="115"/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15"/>
      <c r="BH1786" s="115"/>
      <c r="BI1786" s="115"/>
      <c r="BJ1786" s="115"/>
      <c r="BK1786" s="115"/>
      <c r="BL1786" s="122"/>
      <c r="BM1786" s="122"/>
      <c r="BN1786" s="122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115"/>
      <c r="BZ1786" s="115"/>
      <c r="CA1786" s="115"/>
      <c r="CB1786" s="115"/>
      <c r="CC1786" s="26"/>
      <c r="CD1786" s="13"/>
      <c r="CH1786" s="117"/>
      <c r="CI1786" s="116"/>
      <c r="CJ1786" s="116"/>
      <c r="CK1786" s="116"/>
    </row>
    <row r="1787" spans="1:89" ht="19.5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15"/>
      <c r="BH1787" s="115"/>
      <c r="BI1787" s="115"/>
      <c r="BJ1787" s="115"/>
      <c r="BK1787" s="115"/>
      <c r="BL1787" s="122"/>
      <c r="BM1787" s="122"/>
      <c r="BN1787" s="122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15"/>
      <c r="CA1787" s="115"/>
      <c r="CB1787" s="115"/>
      <c r="CC1787" s="26"/>
      <c r="CD1787" s="13"/>
      <c r="CH1787" s="117"/>
      <c r="CI1787" s="116"/>
      <c r="CJ1787" s="116"/>
      <c r="CK1787" s="116"/>
    </row>
    <row r="1788" spans="1:89" ht="19.5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22"/>
      <c r="BM1788" s="122"/>
      <c r="BN1788" s="122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115"/>
      <c r="CA1788" s="115"/>
      <c r="CB1788" s="115"/>
      <c r="CC1788" s="26"/>
      <c r="CD1788" s="15"/>
      <c r="CH1788" s="117"/>
      <c r="CI1788" s="116"/>
      <c r="CJ1788" s="116"/>
      <c r="CK1788" s="116"/>
    </row>
    <row r="1789" spans="1:89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15"/>
      <c r="BH1789" s="115"/>
      <c r="BI1789" s="115"/>
      <c r="BJ1789" s="115"/>
      <c r="BK1789" s="115"/>
      <c r="BL1789" s="122"/>
      <c r="BM1789" s="122"/>
      <c r="BN1789" s="122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15"/>
      <c r="CA1789" s="115"/>
      <c r="CB1789" s="115"/>
      <c r="CC1789" s="26"/>
      <c r="CD1789" s="15"/>
      <c r="CH1789" s="117"/>
      <c r="CI1789" s="116"/>
      <c r="CJ1789" s="116"/>
      <c r="CK1789" s="116"/>
    </row>
    <row r="1790" spans="1:89" ht="19.5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15"/>
      <c r="BH1790" s="115"/>
      <c r="BI1790" s="115"/>
      <c r="BJ1790" s="115"/>
      <c r="BK1790" s="115"/>
      <c r="BL1790" s="122"/>
      <c r="BM1790" s="122"/>
      <c r="BN1790" s="122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115"/>
      <c r="BZ1790" s="115"/>
      <c r="CA1790" s="115"/>
      <c r="CB1790" s="115"/>
      <c r="CC1790" s="26"/>
      <c r="CD1790" s="15"/>
      <c r="CH1790" s="117"/>
      <c r="CI1790" s="116"/>
      <c r="CJ1790" s="116"/>
      <c r="CK1790" s="116"/>
    </row>
    <row r="1791" spans="1:89" ht="19.5" x14ac:dyDescent="0.4">
      <c r="A1791" s="115"/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15"/>
      <c r="BG1791" s="115"/>
      <c r="BH1791" s="115"/>
      <c r="BI1791" s="115"/>
      <c r="BJ1791" s="115"/>
      <c r="BK1791" s="115"/>
      <c r="BL1791" s="122"/>
      <c r="BM1791" s="122"/>
      <c r="BN1791" s="122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15"/>
      <c r="CA1791" s="115"/>
      <c r="CB1791" s="115"/>
      <c r="CC1791" s="26"/>
      <c r="CD1791" s="15"/>
      <c r="CH1791" s="117"/>
      <c r="CI1791" s="116"/>
      <c r="CJ1791" s="116"/>
      <c r="CK1791" s="116"/>
    </row>
    <row r="1792" spans="1:89" ht="19.5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15"/>
      <c r="BF1792" s="115"/>
      <c r="BG1792" s="115"/>
      <c r="BH1792" s="115"/>
      <c r="BI1792" s="115"/>
      <c r="BJ1792" s="115"/>
      <c r="BK1792" s="115"/>
      <c r="BL1792" s="122"/>
      <c r="BM1792" s="122"/>
      <c r="BN1792" s="122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15"/>
      <c r="BZ1792" s="115"/>
      <c r="CA1792" s="115"/>
      <c r="CB1792" s="115"/>
      <c r="CC1792" s="26"/>
      <c r="CD1792" s="25"/>
      <c r="CH1792" s="117"/>
      <c r="CI1792" s="116"/>
      <c r="CJ1792" s="116"/>
      <c r="CK1792" s="116"/>
    </row>
    <row r="1793" spans="1:89" ht="19.5" x14ac:dyDescent="0.4">
      <c r="CC1793" s="26"/>
      <c r="CD1793" s="15"/>
      <c r="CH1793" s="117"/>
      <c r="CI1793" s="116"/>
      <c r="CJ1793" s="116"/>
      <c r="CK1793" s="116"/>
    </row>
    <row r="1794" spans="1:89" ht="19.5" x14ac:dyDescent="0.4">
      <c r="BK1794" s="115"/>
      <c r="BL1794" s="122"/>
      <c r="BM1794" s="122"/>
      <c r="BN1794" s="122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15"/>
      <c r="BZ1794" s="115"/>
      <c r="CA1794" s="115"/>
      <c r="CB1794" s="115"/>
      <c r="CC1794" s="26"/>
      <c r="CD1794" s="15"/>
      <c r="CH1794" s="117"/>
      <c r="CI1794" s="116"/>
      <c r="CJ1794" s="116"/>
      <c r="CK1794" s="116"/>
    </row>
    <row r="1795" spans="1:89" ht="19.5" x14ac:dyDescent="0.4">
      <c r="BI1795" s="115"/>
      <c r="BJ1795" s="115"/>
      <c r="BK1795" s="115"/>
      <c r="BL1795" s="122"/>
      <c r="BM1795" s="122"/>
      <c r="BN1795" s="122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15"/>
      <c r="CA1795" s="115"/>
      <c r="CB1795" s="115"/>
      <c r="CC1795" s="26"/>
      <c r="CD1795" s="15"/>
      <c r="CH1795" s="117"/>
      <c r="CI1795" s="116"/>
      <c r="CJ1795" s="116"/>
      <c r="CK1795" s="116"/>
    </row>
    <row r="1796" spans="1:89" ht="19.5" x14ac:dyDescent="0.4">
      <c r="BI1796" s="115"/>
      <c r="BJ1796" s="115"/>
      <c r="BK1796" s="115"/>
      <c r="BL1796" s="122"/>
      <c r="BM1796" s="122"/>
      <c r="BN1796" s="122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115"/>
      <c r="CA1796" s="115"/>
      <c r="CB1796" s="115"/>
      <c r="CC1796" s="17"/>
      <c r="CD1796" s="15"/>
      <c r="CH1796" s="117"/>
      <c r="CI1796" s="116"/>
      <c r="CJ1796" s="116"/>
      <c r="CK1796" s="116"/>
    </row>
    <row r="1797" spans="1:89" ht="19.5" x14ac:dyDescent="0.4">
      <c r="BF1797" s="115"/>
      <c r="BG1797" s="115"/>
      <c r="BH1797" s="115"/>
      <c r="BI1797" s="115"/>
      <c r="BJ1797" s="115"/>
      <c r="BK1797" s="115"/>
      <c r="BL1797" s="122"/>
      <c r="BM1797" s="122"/>
      <c r="BN1797" s="122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15"/>
      <c r="CA1797" s="115"/>
      <c r="CB1797" s="115"/>
      <c r="CC1797" s="26"/>
      <c r="CD1797" s="15"/>
      <c r="CH1797" s="117"/>
      <c r="CI1797" s="116"/>
      <c r="CJ1797" s="116"/>
      <c r="CK1797" s="116"/>
    </row>
    <row r="1798" spans="1:89" ht="19.5" x14ac:dyDescent="0.4">
      <c r="BF1798" s="115"/>
      <c r="BG1798" s="115"/>
      <c r="BH1798" s="115"/>
      <c r="BI1798" s="115"/>
      <c r="BJ1798" s="115"/>
      <c r="BK1798" s="115"/>
      <c r="BL1798" s="122"/>
      <c r="BM1798" s="122"/>
      <c r="BN1798" s="122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115"/>
      <c r="CA1798" s="115"/>
      <c r="CB1798" s="115"/>
      <c r="CC1798" s="17"/>
      <c r="CD1798" s="15"/>
      <c r="CH1798" s="117"/>
      <c r="CI1798" s="116"/>
      <c r="CJ1798" s="116"/>
      <c r="CK1798" s="116"/>
    </row>
    <row r="1799" spans="1:89" ht="19.5" x14ac:dyDescent="0.4">
      <c r="BF1799" s="115"/>
      <c r="BG1799" s="115"/>
      <c r="BH1799" s="115"/>
      <c r="BI1799" s="115"/>
      <c r="BJ1799" s="115"/>
      <c r="BK1799" s="115"/>
      <c r="BL1799" s="122"/>
      <c r="BM1799" s="122"/>
      <c r="BN1799" s="122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115"/>
      <c r="BZ1799" s="115"/>
      <c r="CA1799" s="115"/>
      <c r="CB1799" s="115"/>
      <c r="CC1799" s="26"/>
      <c r="CD1799" s="15"/>
      <c r="CH1799" s="117"/>
      <c r="CI1799" s="116"/>
      <c r="CJ1799" s="116"/>
      <c r="CK1799" s="116"/>
    </row>
    <row r="1800" spans="1:89" ht="19.5" x14ac:dyDescent="0.4">
      <c r="BF1800" s="115"/>
      <c r="BG1800" s="115"/>
      <c r="BH1800" s="115"/>
      <c r="BI1800" s="115"/>
      <c r="BJ1800" s="115"/>
      <c r="BK1800" s="115"/>
      <c r="BL1800" s="122"/>
      <c r="BM1800" s="122"/>
      <c r="BN1800" s="122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115"/>
      <c r="BZ1800" s="115"/>
      <c r="CA1800" s="115"/>
      <c r="CB1800" s="115"/>
      <c r="CC1800" s="17"/>
      <c r="CD1800" s="13"/>
      <c r="CH1800" s="117"/>
      <c r="CI1800" s="116"/>
      <c r="CJ1800" s="116"/>
      <c r="CK1800" s="116"/>
    </row>
    <row r="1801" spans="1:89" ht="19.5" x14ac:dyDescent="0.4">
      <c r="BF1801" s="115"/>
      <c r="BG1801" s="115"/>
      <c r="BH1801" s="115"/>
      <c r="BI1801" s="115"/>
      <c r="BJ1801" s="115"/>
      <c r="BK1801" s="115"/>
      <c r="BL1801" s="122"/>
      <c r="BM1801" s="122"/>
      <c r="BN1801" s="122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115"/>
      <c r="CA1801" s="115"/>
      <c r="CB1801" s="115"/>
      <c r="CC1801" s="17"/>
      <c r="CD1801" s="13"/>
      <c r="CH1801" s="117"/>
      <c r="CI1801" s="116"/>
      <c r="CJ1801" s="116"/>
      <c r="CK1801" s="116"/>
    </row>
    <row r="1802" spans="1:89" ht="19.5" x14ac:dyDescent="0.4">
      <c r="CC1802" s="26"/>
      <c r="CD1802" s="13"/>
      <c r="CH1802" s="117"/>
      <c r="CI1802" s="116"/>
      <c r="CJ1802" s="116"/>
      <c r="CK1802" s="116"/>
    </row>
    <row r="1803" spans="1:89" ht="19.5" x14ac:dyDescent="0.4">
      <c r="BK1803" s="115"/>
      <c r="BL1803" s="122"/>
      <c r="BM1803" s="122"/>
      <c r="BN1803" s="122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115"/>
      <c r="CA1803" s="115"/>
      <c r="CB1803" s="115"/>
      <c r="CC1803" s="17"/>
      <c r="CD1803" s="13"/>
      <c r="CH1803" s="117"/>
      <c r="CI1803" s="116"/>
      <c r="CJ1803" s="116"/>
      <c r="CK1803" s="116"/>
    </row>
    <row r="1804" spans="1:89" ht="19.5" x14ac:dyDescent="0.4">
      <c r="A1804" s="115"/>
      <c r="B1804" s="115"/>
      <c r="C1804" s="115"/>
      <c r="D1804" s="115"/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15"/>
      <c r="BG1804" s="115"/>
      <c r="BH1804" s="115"/>
      <c r="BI1804" s="115"/>
      <c r="BJ1804" s="115"/>
      <c r="BK1804" s="115"/>
      <c r="BL1804" s="122"/>
      <c r="BM1804" s="122"/>
      <c r="BN1804" s="122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15"/>
      <c r="CA1804" s="115"/>
      <c r="CB1804" s="115"/>
      <c r="CC1804" s="26"/>
      <c r="CD1804" s="13"/>
      <c r="CH1804" s="117"/>
      <c r="CI1804" s="116"/>
      <c r="CJ1804" s="116"/>
      <c r="CK1804" s="116"/>
    </row>
    <row r="1805" spans="1:89" ht="19.5" x14ac:dyDescent="0.4">
      <c r="A1805" s="115"/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15"/>
      <c r="BK1805" s="115"/>
      <c r="BL1805" s="122"/>
      <c r="BM1805" s="122"/>
      <c r="BN1805" s="122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115"/>
      <c r="CA1805" s="115"/>
      <c r="CB1805" s="115"/>
      <c r="CC1805" s="26"/>
      <c r="CD1805" s="13"/>
      <c r="CH1805" s="117"/>
      <c r="CI1805" s="116"/>
      <c r="CJ1805" s="116"/>
      <c r="CK1805" s="116"/>
    </row>
    <row r="1806" spans="1:89" ht="19.5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15"/>
      <c r="BJ1806" s="115"/>
      <c r="BK1806" s="115"/>
      <c r="BL1806" s="122"/>
      <c r="BM1806" s="122"/>
      <c r="BN1806" s="122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15"/>
      <c r="CA1806" s="115"/>
      <c r="CB1806" s="115"/>
      <c r="CC1806" s="26"/>
      <c r="CD1806" s="13"/>
      <c r="CH1806" s="117"/>
      <c r="CI1806" s="116"/>
      <c r="CJ1806" s="116"/>
      <c r="CK1806" s="116"/>
    </row>
    <row r="1807" spans="1:89" ht="19.5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15"/>
      <c r="BJ1807" s="115"/>
      <c r="BK1807" s="115"/>
      <c r="BL1807" s="122"/>
      <c r="BM1807" s="122"/>
      <c r="BN1807" s="122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115"/>
      <c r="CA1807" s="115"/>
      <c r="CB1807" s="115"/>
      <c r="CC1807" s="26"/>
      <c r="CD1807" s="13"/>
      <c r="CH1807" s="117"/>
      <c r="CI1807" s="116"/>
      <c r="CJ1807" s="116"/>
      <c r="CK1807" s="116"/>
    </row>
    <row r="1808" spans="1:89" ht="19.5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15"/>
      <c r="BK1808" s="115"/>
      <c r="BL1808" s="122"/>
      <c r="BM1808" s="122"/>
      <c r="BN1808" s="122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15"/>
      <c r="CA1808" s="115"/>
      <c r="CB1808" s="115"/>
      <c r="CC1808" s="17"/>
      <c r="CD1808" s="13"/>
      <c r="CH1808" s="117"/>
      <c r="CI1808" s="116"/>
      <c r="CJ1808" s="116"/>
      <c r="CK1808" s="116"/>
    </row>
    <row r="1809" spans="1:89" ht="19.5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15"/>
      <c r="BJ1809" s="115"/>
      <c r="BK1809" s="115"/>
      <c r="BL1809" s="122"/>
      <c r="BM1809" s="122"/>
      <c r="BN1809" s="122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115"/>
      <c r="CA1809" s="115"/>
      <c r="CB1809" s="115"/>
      <c r="CC1809" s="26"/>
      <c r="CD1809" s="13"/>
      <c r="CH1809" s="117"/>
      <c r="CI1809" s="116"/>
      <c r="CJ1809" s="116"/>
      <c r="CK1809" s="116"/>
    </row>
    <row r="1810" spans="1:89" ht="19.5" x14ac:dyDescent="0.4">
      <c r="A1810" s="115"/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15"/>
      <c r="BJ1810" s="115"/>
      <c r="BK1810" s="115"/>
      <c r="BL1810" s="122"/>
      <c r="BM1810" s="122"/>
      <c r="BN1810" s="122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115"/>
      <c r="CA1810" s="115"/>
      <c r="CB1810" s="115"/>
      <c r="CC1810" s="26"/>
      <c r="CD1810" s="15"/>
      <c r="CH1810" s="117"/>
      <c r="CI1810" s="116"/>
      <c r="CJ1810" s="116"/>
      <c r="CK1810" s="116"/>
    </row>
    <row r="1811" spans="1:89" ht="19.5" x14ac:dyDescent="0.4">
      <c r="CC1811" s="26"/>
      <c r="CD1811" s="15"/>
      <c r="CH1811" s="117"/>
      <c r="CI1811" s="116"/>
      <c r="CJ1811" s="116"/>
      <c r="CK1811" s="116"/>
    </row>
    <row r="1812" spans="1:89" ht="19.5" x14ac:dyDescent="0.4">
      <c r="BJ1812" s="115"/>
      <c r="BK1812" s="115"/>
      <c r="BL1812" s="122"/>
      <c r="BM1812" s="122"/>
      <c r="BN1812" s="122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115"/>
      <c r="CA1812" s="115"/>
      <c r="CB1812" s="115"/>
      <c r="CC1812" s="26"/>
      <c r="CD1812" s="13"/>
      <c r="CH1812" s="117"/>
      <c r="CI1812" s="116"/>
      <c r="CJ1812" s="116"/>
      <c r="CK1812" s="116"/>
    </row>
    <row r="1813" spans="1:89" ht="19.5" x14ac:dyDescent="0.4">
      <c r="BH1813" s="115"/>
      <c r="BI1813" s="115"/>
      <c r="BJ1813" s="115"/>
      <c r="BK1813" s="115"/>
      <c r="BL1813" s="122"/>
      <c r="BM1813" s="122"/>
      <c r="BN1813" s="122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115"/>
      <c r="BZ1813" s="115"/>
      <c r="CA1813" s="115"/>
      <c r="CB1813" s="115"/>
      <c r="CC1813" s="26"/>
      <c r="CD1813" s="15"/>
      <c r="CH1813" s="117"/>
      <c r="CI1813" s="116"/>
      <c r="CJ1813" s="116"/>
      <c r="CK1813" s="116"/>
    </row>
    <row r="1814" spans="1:89" ht="19.5" x14ac:dyDescent="0.4">
      <c r="BH1814" s="115"/>
      <c r="BI1814" s="115"/>
      <c r="BJ1814" s="115"/>
      <c r="BK1814" s="115"/>
      <c r="BL1814" s="122"/>
      <c r="BM1814" s="122"/>
      <c r="BN1814" s="122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115"/>
      <c r="CA1814" s="115"/>
      <c r="CB1814" s="115"/>
      <c r="CC1814" s="26"/>
      <c r="CD1814" s="15"/>
      <c r="CH1814" s="117"/>
      <c r="CI1814" s="116"/>
      <c r="CJ1814" s="116"/>
      <c r="CK1814" s="116"/>
    </row>
    <row r="1815" spans="1:89" ht="19.5" x14ac:dyDescent="0.4">
      <c r="BH1815" s="115"/>
      <c r="BI1815" s="115"/>
      <c r="BJ1815" s="115"/>
      <c r="BK1815" s="115"/>
      <c r="BL1815" s="122"/>
      <c r="BM1815" s="122"/>
      <c r="BN1815" s="122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115"/>
      <c r="BY1815" s="115"/>
      <c r="BZ1815" s="115"/>
      <c r="CA1815" s="115"/>
      <c r="CB1815" s="115"/>
      <c r="CC1815" s="17"/>
      <c r="CD1815" s="15"/>
      <c r="CH1815" s="117"/>
      <c r="CI1815" s="116"/>
      <c r="CJ1815" s="116"/>
      <c r="CK1815" s="116"/>
    </row>
    <row r="1816" spans="1:89" ht="19.5" x14ac:dyDescent="0.4">
      <c r="BG1816" s="115"/>
      <c r="BH1816" s="115"/>
      <c r="BI1816" s="115"/>
      <c r="BJ1816" s="115"/>
      <c r="BK1816" s="115"/>
      <c r="BL1816" s="122"/>
      <c r="BM1816" s="122"/>
      <c r="BN1816" s="122"/>
      <c r="BO1816" s="115"/>
      <c r="BP1816" s="115"/>
      <c r="BQ1816" s="115"/>
      <c r="BR1816" s="115"/>
      <c r="BS1816" s="115"/>
      <c r="BT1816" s="115"/>
      <c r="BU1816" s="115"/>
      <c r="BV1816" s="115"/>
      <c r="BW1816" s="115"/>
      <c r="BX1816" s="115"/>
      <c r="BY1816" s="115"/>
      <c r="BZ1816" s="115"/>
      <c r="CA1816" s="115"/>
      <c r="CB1816" s="115"/>
      <c r="CC1816" s="26"/>
      <c r="CD1816" s="15"/>
      <c r="CH1816" s="117"/>
      <c r="CI1816" s="116"/>
      <c r="CJ1816" s="116"/>
      <c r="CK1816" s="116"/>
    </row>
    <row r="1817" spans="1:89" ht="19.5" x14ac:dyDescent="0.4">
      <c r="BG1817" s="115"/>
      <c r="BH1817" s="115"/>
      <c r="BI1817" s="115"/>
      <c r="BJ1817" s="115"/>
      <c r="BK1817" s="115"/>
      <c r="BL1817" s="122"/>
      <c r="BM1817" s="122"/>
      <c r="BN1817" s="122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15"/>
      <c r="CA1817" s="115"/>
      <c r="CB1817" s="115"/>
      <c r="CC1817" s="26"/>
      <c r="CD1817" s="15"/>
      <c r="CH1817" s="117"/>
      <c r="CI1817" s="116"/>
      <c r="CJ1817" s="116"/>
      <c r="CK1817" s="116"/>
    </row>
    <row r="1818" spans="1:89" ht="19.5" x14ac:dyDescent="0.4">
      <c r="BG1818" s="115"/>
      <c r="BH1818" s="115"/>
      <c r="BI1818" s="115"/>
      <c r="BJ1818" s="115"/>
      <c r="BK1818" s="115"/>
      <c r="BL1818" s="122"/>
      <c r="BM1818" s="122"/>
      <c r="BN1818" s="122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115"/>
      <c r="CA1818" s="115"/>
      <c r="CB1818" s="115"/>
      <c r="CC1818" s="26"/>
      <c r="CD1818" s="105"/>
      <c r="CH1818" s="117"/>
      <c r="CI1818" s="116"/>
      <c r="CJ1818" s="116"/>
      <c r="CK1818" s="116"/>
    </row>
    <row r="1819" spans="1:89" ht="19.5" x14ac:dyDescent="0.4">
      <c r="BG1819" s="115"/>
      <c r="BH1819" s="115"/>
      <c r="BI1819" s="115"/>
      <c r="BJ1819" s="115"/>
      <c r="BK1819" s="115"/>
      <c r="BL1819" s="122"/>
      <c r="BM1819" s="122"/>
      <c r="BN1819" s="122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115"/>
      <c r="CA1819" s="115"/>
      <c r="CB1819" s="115"/>
      <c r="CC1819" s="17"/>
      <c r="CD1819" s="15"/>
      <c r="CH1819" s="117"/>
      <c r="CI1819" s="116"/>
      <c r="CJ1819" s="116"/>
      <c r="CK1819" s="116"/>
    </row>
    <row r="1820" spans="1:89" ht="19.5" x14ac:dyDescent="0.4">
      <c r="BG1820" s="115"/>
      <c r="BH1820" s="115"/>
      <c r="BI1820" s="115"/>
      <c r="BJ1820" s="115"/>
      <c r="BK1820" s="115"/>
      <c r="BL1820" s="122"/>
      <c r="BM1820" s="122"/>
      <c r="BN1820" s="122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115"/>
      <c r="BZ1820" s="115"/>
      <c r="CA1820" s="115"/>
      <c r="CB1820" s="115"/>
      <c r="CC1820" s="26"/>
      <c r="CD1820" s="15"/>
      <c r="CH1820" s="117"/>
      <c r="CI1820" s="116"/>
      <c r="CJ1820" s="116"/>
      <c r="CK1820" s="116"/>
    </row>
    <row r="1821" spans="1:89" ht="19.5" x14ac:dyDescent="0.4">
      <c r="BG1821" s="115"/>
      <c r="BH1821" s="115"/>
      <c r="BI1821" s="115"/>
      <c r="BJ1821" s="115"/>
      <c r="BK1821" s="115"/>
      <c r="BL1821" s="122"/>
      <c r="BM1821" s="122"/>
      <c r="BN1821" s="122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115"/>
      <c r="CA1821" s="115"/>
      <c r="CB1821" s="115"/>
      <c r="CC1821" s="17"/>
      <c r="CD1821" s="15"/>
      <c r="CH1821" s="117"/>
      <c r="CI1821" s="116"/>
      <c r="CJ1821" s="116"/>
      <c r="CK1821" s="116"/>
    </row>
    <row r="1822" spans="1:89" ht="19.5" x14ac:dyDescent="0.4"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15"/>
      <c r="BI1822" s="115"/>
      <c r="BJ1822" s="115"/>
      <c r="BK1822" s="115"/>
      <c r="BL1822" s="122"/>
      <c r="BM1822" s="122"/>
      <c r="BN1822" s="122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115"/>
      <c r="CA1822" s="115"/>
      <c r="CB1822" s="115"/>
      <c r="CC1822" s="26"/>
      <c r="CD1822" s="15"/>
      <c r="CH1822" s="117"/>
      <c r="CI1822" s="116"/>
      <c r="CJ1822" s="116"/>
      <c r="CK1822" s="116"/>
    </row>
    <row r="1823" spans="1:89" ht="19.5" x14ac:dyDescent="0.4"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15"/>
      <c r="BI1823" s="115"/>
      <c r="BJ1823" s="115"/>
      <c r="BK1823" s="115"/>
      <c r="BL1823" s="122"/>
      <c r="BM1823" s="122"/>
      <c r="BN1823" s="122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115"/>
      <c r="CA1823" s="115"/>
      <c r="CB1823" s="115"/>
      <c r="CC1823" s="17"/>
      <c r="CD1823" s="15"/>
      <c r="CH1823" s="117"/>
      <c r="CI1823" s="116"/>
      <c r="CJ1823" s="116"/>
      <c r="CK1823" s="116"/>
    </row>
    <row r="1824" spans="1:89" ht="19.5" x14ac:dyDescent="0.4"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15"/>
      <c r="BE1824" s="115"/>
      <c r="BF1824" s="115"/>
      <c r="BG1824" s="115"/>
      <c r="BH1824" s="115"/>
      <c r="BI1824" s="115"/>
      <c r="BJ1824" s="115"/>
      <c r="BK1824" s="115"/>
      <c r="BL1824" s="122"/>
      <c r="BM1824" s="122"/>
      <c r="BN1824" s="122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15"/>
      <c r="CA1824" s="115"/>
      <c r="CB1824" s="115"/>
      <c r="CC1824" s="26"/>
      <c r="CD1824" s="15"/>
      <c r="CH1824" s="117"/>
      <c r="CI1824" s="116"/>
      <c r="CJ1824" s="116"/>
      <c r="CK1824" s="116"/>
    </row>
    <row r="1825" spans="1:89" ht="19.5" x14ac:dyDescent="0.4"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15"/>
      <c r="BD1825" s="115"/>
      <c r="BE1825" s="115"/>
      <c r="BF1825" s="115"/>
      <c r="BG1825" s="115"/>
      <c r="BH1825" s="115"/>
      <c r="BI1825" s="115"/>
      <c r="BJ1825" s="115"/>
      <c r="BK1825" s="115"/>
      <c r="BL1825" s="122"/>
      <c r="BM1825" s="122"/>
      <c r="BN1825" s="122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115"/>
      <c r="BZ1825" s="115"/>
      <c r="CA1825" s="115"/>
      <c r="CB1825" s="115"/>
      <c r="CC1825" s="17"/>
      <c r="CD1825" s="15"/>
      <c r="CH1825" s="117"/>
      <c r="CI1825" s="116"/>
      <c r="CJ1825" s="116"/>
      <c r="CK1825" s="116"/>
    </row>
    <row r="1826" spans="1:89" ht="19.5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15"/>
      <c r="BH1826" s="115"/>
      <c r="BI1826" s="115"/>
      <c r="BJ1826" s="115"/>
      <c r="BK1826" s="115"/>
      <c r="BL1826" s="122"/>
      <c r="BM1826" s="122"/>
      <c r="BN1826" s="122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15"/>
      <c r="CA1826" s="115"/>
      <c r="CB1826" s="115"/>
      <c r="CC1826" s="26"/>
      <c r="CD1826" s="15"/>
      <c r="CH1826" s="117"/>
      <c r="CI1826" s="116"/>
      <c r="CJ1826" s="116"/>
      <c r="CK1826" s="116"/>
    </row>
    <row r="1827" spans="1:89" ht="19.5" x14ac:dyDescent="0.4">
      <c r="A1827" s="115"/>
      <c r="B1827" s="115"/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15"/>
      <c r="BH1827" s="115"/>
      <c r="BI1827" s="115"/>
      <c r="BJ1827" s="115"/>
      <c r="BK1827" s="115"/>
      <c r="BL1827" s="122"/>
      <c r="BM1827" s="122"/>
      <c r="BN1827" s="122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15"/>
      <c r="CA1827" s="115"/>
      <c r="CB1827" s="115"/>
      <c r="CC1827" s="26"/>
      <c r="CD1827" s="15"/>
      <c r="CH1827" s="117"/>
      <c r="CI1827" s="116"/>
      <c r="CJ1827" s="116"/>
      <c r="CK1827" s="116"/>
    </row>
    <row r="1828" spans="1:89" ht="19.5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15"/>
      <c r="BH1828" s="115"/>
      <c r="BI1828" s="115"/>
      <c r="BJ1828" s="115"/>
      <c r="BK1828" s="115"/>
      <c r="BL1828" s="122"/>
      <c r="BM1828" s="122"/>
      <c r="BN1828" s="122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115"/>
      <c r="BY1828" s="115"/>
      <c r="BZ1828" s="115"/>
      <c r="CA1828" s="115"/>
      <c r="CB1828" s="115"/>
      <c r="CC1828" s="26"/>
      <c r="CD1828" s="15"/>
      <c r="CH1828" s="117"/>
      <c r="CI1828" s="116"/>
      <c r="CJ1828" s="116"/>
      <c r="CK1828" s="116"/>
    </row>
    <row r="1829" spans="1:89" ht="19.5" x14ac:dyDescent="0.4">
      <c r="A1829" s="115"/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15"/>
      <c r="BI1829" s="115"/>
      <c r="BJ1829" s="115"/>
      <c r="BK1829" s="115"/>
      <c r="BL1829" s="122"/>
      <c r="BM1829" s="122"/>
      <c r="BN1829" s="122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115"/>
      <c r="BZ1829" s="115"/>
      <c r="CA1829" s="115"/>
      <c r="CB1829" s="115"/>
      <c r="CC1829" s="26"/>
      <c r="CD1829" s="15"/>
      <c r="CH1829" s="117"/>
      <c r="CI1829" s="116"/>
      <c r="CJ1829" s="116"/>
      <c r="CK1829" s="116"/>
    </row>
    <row r="1830" spans="1:89" ht="19.5" x14ac:dyDescent="0.4">
      <c r="A1830" s="115"/>
      <c r="B1830" s="115"/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15"/>
      <c r="BI1830" s="115"/>
      <c r="BJ1830" s="115"/>
      <c r="BK1830" s="115"/>
      <c r="BL1830" s="122"/>
      <c r="BM1830" s="122"/>
      <c r="BN1830" s="122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115"/>
      <c r="BZ1830" s="115"/>
      <c r="CA1830" s="115"/>
      <c r="CB1830" s="115"/>
      <c r="CC1830" s="26"/>
      <c r="CD1830" s="15"/>
      <c r="CH1830" s="117"/>
      <c r="CI1830" s="116"/>
      <c r="CJ1830" s="116"/>
      <c r="CK1830" s="116"/>
    </row>
    <row r="1831" spans="1:89" ht="19.5" x14ac:dyDescent="0.4">
      <c r="A1831" s="115"/>
      <c r="B1831" s="115"/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15"/>
      <c r="BI1831" s="115"/>
      <c r="BJ1831" s="115"/>
      <c r="BK1831" s="115"/>
      <c r="BL1831" s="122"/>
      <c r="BM1831" s="122"/>
      <c r="BN1831" s="122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115"/>
      <c r="CA1831" s="115"/>
      <c r="CB1831" s="115"/>
      <c r="CC1831" s="26"/>
      <c r="CD1831" s="15"/>
      <c r="CH1831" s="117"/>
      <c r="CI1831" s="116"/>
      <c r="CJ1831" s="116"/>
      <c r="CK1831" s="116"/>
    </row>
    <row r="1832" spans="1:89" ht="19.5" x14ac:dyDescent="0.4">
      <c r="A1832" s="115"/>
      <c r="B1832" s="115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15"/>
      <c r="BD1832" s="115"/>
      <c r="BE1832" s="115"/>
      <c r="BF1832" s="115"/>
      <c r="BG1832" s="115"/>
      <c r="BH1832" s="115"/>
      <c r="BI1832" s="115"/>
      <c r="BJ1832" s="115"/>
      <c r="BK1832" s="115"/>
      <c r="BL1832" s="122"/>
      <c r="BM1832" s="122"/>
      <c r="BN1832" s="122"/>
      <c r="BO1832" s="115"/>
      <c r="BP1832" s="115"/>
      <c r="BQ1832" s="115"/>
      <c r="BR1832" s="115"/>
      <c r="BS1832" s="115"/>
      <c r="BT1832" s="115"/>
      <c r="BU1832" s="115"/>
      <c r="BV1832" s="115"/>
      <c r="BW1832" s="115"/>
      <c r="BX1832" s="115"/>
      <c r="BY1832" s="115"/>
      <c r="BZ1832" s="115"/>
      <c r="CA1832" s="115"/>
      <c r="CB1832" s="115"/>
      <c r="CC1832" s="17"/>
      <c r="CD1832" s="15"/>
      <c r="CH1832" s="117"/>
      <c r="CI1832" s="116"/>
      <c r="CJ1832" s="116"/>
      <c r="CK1832" s="116"/>
    </row>
    <row r="1833" spans="1:89" ht="19.5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15"/>
      <c r="BH1833" s="115"/>
      <c r="BI1833" s="115"/>
      <c r="BJ1833" s="115"/>
      <c r="BK1833" s="115"/>
      <c r="BL1833" s="122"/>
      <c r="BM1833" s="122"/>
      <c r="BN1833" s="122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115"/>
      <c r="CA1833" s="115"/>
      <c r="CB1833" s="115"/>
      <c r="CC1833" s="26"/>
      <c r="CD1833" s="15"/>
      <c r="CH1833" s="117"/>
      <c r="CI1833" s="116"/>
      <c r="CJ1833" s="116"/>
      <c r="CK1833" s="116"/>
    </row>
    <row r="1834" spans="1:89" ht="19.5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15"/>
      <c r="BJ1834" s="115"/>
      <c r="BK1834" s="115"/>
      <c r="BL1834" s="122"/>
      <c r="BM1834" s="122"/>
      <c r="BN1834" s="122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115"/>
      <c r="CA1834" s="115"/>
      <c r="CB1834" s="115"/>
      <c r="CC1834" s="17"/>
      <c r="CD1834" s="15"/>
      <c r="CH1834" s="117"/>
      <c r="CI1834" s="116"/>
      <c r="CJ1834" s="116"/>
      <c r="CK1834" s="116"/>
    </row>
    <row r="1835" spans="1:89" ht="19.5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15"/>
      <c r="BJ1835" s="115"/>
      <c r="BK1835" s="115"/>
      <c r="BL1835" s="122"/>
      <c r="BM1835" s="122"/>
      <c r="BN1835" s="122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115"/>
      <c r="CA1835" s="115"/>
      <c r="CB1835" s="115"/>
      <c r="CC1835" s="26"/>
      <c r="CD1835" s="15"/>
      <c r="CH1835" s="117"/>
      <c r="CI1835" s="116"/>
      <c r="CJ1835" s="116"/>
      <c r="CK1835" s="116"/>
    </row>
    <row r="1836" spans="1:89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15"/>
      <c r="BJ1836" s="115"/>
      <c r="BK1836" s="115"/>
      <c r="BL1836" s="122"/>
      <c r="BM1836" s="122"/>
      <c r="BN1836" s="122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115"/>
      <c r="CA1836" s="115"/>
      <c r="CB1836" s="115"/>
      <c r="CC1836" s="20"/>
      <c r="CD1836" s="15"/>
      <c r="CH1836" s="117"/>
      <c r="CI1836" s="116"/>
      <c r="CJ1836" s="116"/>
      <c r="CK1836" s="116"/>
    </row>
    <row r="1837" spans="1:89" ht="19.5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15"/>
      <c r="BI1837" s="115"/>
      <c r="BJ1837" s="115"/>
      <c r="BK1837" s="115"/>
      <c r="BL1837" s="122"/>
      <c r="BM1837" s="122"/>
      <c r="BN1837" s="122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115"/>
      <c r="BZ1837" s="115"/>
      <c r="CA1837" s="115"/>
      <c r="CB1837" s="115"/>
      <c r="CC1837" s="20"/>
      <c r="CD1837" s="15"/>
      <c r="CH1837" s="117"/>
      <c r="CI1837" s="116"/>
      <c r="CJ1837" s="116"/>
      <c r="CK1837" s="116"/>
    </row>
    <row r="1838" spans="1:89" ht="19.5" x14ac:dyDescent="0.4">
      <c r="A1838" s="115"/>
      <c r="B1838" s="115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15"/>
      <c r="BF1838" s="115"/>
      <c r="BG1838" s="115"/>
      <c r="BH1838" s="115"/>
      <c r="BI1838" s="115"/>
      <c r="BJ1838" s="115"/>
      <c r="BK1838" s="115"/>
      <c r="BL1838" s="122"/>
      <c r="BM1838" s="122"/>
      <c r="BN1838" s="122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15"/>
      <c r="BY1838" s="115"/>
      <c r="BZ1838" s="115"/>
      <c r="CA1838" s="115"/>
      <c r="CB1838" s="115"/>
      <c r="CC1838" s="20"/>
      <c r="CD1838" s="15"/>
      <c r="CH1838" s="117"/>
      <c r="CI1838" s="116"/>
      <c r="CJ1838" s="116"/>
      <c r="CK1838" s="116"/>
    </row>
    <row r="1839" spans="1:89" ht="19.5" x14ac:dyDescent="0.4">
      <c r="A1839" s="115"/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15"/>
      <c r="BC1839" s="115"/>
      <c r="BD1839" s="115"/>
      <c r="BE1839" s="115"/>
      <c r="BF1839" s="115"/>
      <c r="BG1839" s="115"/>
      <c r="BH1839" s="115"/>
      <c r="BI1839" s="115"/>
      <c r="BJ1839" s="115"/>
      <c r="BK1839" s="115"/>
      <c r="BL1839" s="122"/>
      <c r="BM1839" s="122"/>
      <c r="BN1839" s="122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115"/>
      <c r="BZ1839" s="115"/>
      <c r="CA1839" s="115"/>
      <c r="CB1839" s="115"/>
      <c r="CC1839" s="20"/>
      <c r="CD1839" s="15"/>
      <c r="CH1839" s="117"/>
      <c r="CI1839" s="116"/>
      <c r="CJ1839" s="116"/>
      <c r="CK1839" s="116"/>
    </row>
    <row r="1840" spans="1:89" ht="19.5" x14ac:dyDescent="0.4">
      <c r="A1840" s="115"/>
      <c r="B1840" s="115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15"/>
      <c r="BI1840" s="115"/>
      <c r="BJ1840" s="115"/>
      <c r="BK1840" s="115"/>
      <c r="BL1840" s="122"/>
      <c r="BM1840" s="122"/>
      <c r="BN1840" s="122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115"/>
      <c r="CA1840" s="115"/>
      <c r="CB1840" s="115"/>
      <c r="CC1840" s="25"/>
      <c r="CD1840" s="15"/>
      <c r="CH1840" s="117"/>
      <c r="CI1840" s="116"/>
      <c r="CJ1840" s="116"/>
      <c r="CK1840" s="116"/>
    </row>
    <row r="1841" spans="1:89" ht="19.5" x14ac:dyDescent="0.4">
      <c r="A1841" s="115"/>
      <c r="B1841" s="115"/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15"/>
      <c r="BH1841" s="115"/>
      <c r="BI1841" s="115"/>
      <c r="BJ1841" s="115"/>
      <c r="BK1841" s="115"/>
      <c r="BL1841" s="122"/>
      <c r="BM1841" s="122"/>
      <c r="BN1841" s="122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115"/>
      <c r="BZ1841" s="115"/>
      <c r="CA1841" s="115"/>
      <c r="CB1841" s="115"/>
      <c r="CC1841" s="13"/>
      <c r="CD1841" s="15"/>
      <c r="CH1841" s="117"/>
      <c r="CI1841" s="116"/>
      <c r="CJ1841" s="116"/>
      <c r="CK1841" s="116"/>
    </row>
    <row r="1842" spans="1:89" ht="19.5" x14ac:dyDescent="0.4">
      <c r="CC1842" s="25"/>
      <c r="CD1842" s="15"/>
      <c r="CH1842" s="117"/>
      <c r="CI1842" s="116"/>
      <c r="CJ1842" s="116"/>
      <c r="CK1842" s="116"/>
    </row>
    <row r="1843" spans="1:89" ht="19.5" x14ac:dyDescent="0.4">
      <c r="BI1843" s="115"/>
      <c r="BJ1843" s="115"/>
      <c r="BK1843" s="115"/>
      <c r="BL1843" s="122"/>
      <c r="BM1843" s="122"/>
      <c r="BN1843" s="122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115"/>
      <c r="BZ1843" s="115"/>
      <c r="CA1843" s="115"/>
      <c r="CB1843" s="115"/>
      <c r="CC1843" s="13"/>
      <c r="CD1843" s="15"/>
      <c r="CH1843" s="117"/>
      <c r="CI1843" s="116"/>
      <c r="CJ1843" s="116"/>
      <c r="CK1843" s="116"/>
    </row>
    <row r="1844" spans="1:89" ht="19.5" x14ac:dyDescent="0.4"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15"/>
      <c r="BF1844" s="115"/>
      <c r="BG1844" s="115"/>
      <c r="BH1844" s="115"/>
      <c r="BI1844" s="115"/>
      <c r="BJ1844" s="115"/>
      <c r="BK1844" s="115"/>
      <c r="BL1844" s="122"/>
      <c r="BM1844" s="122"/>
      <c r="BN1844" s="122"/>
      <c r="BO1844" s="115"/>
      <c r="BP1844" s="115"/>
      <c r="BQ1844" s="115"/>
      <c r="BR1844" s="115"/>
      <c r="BS1844" s="115"/>
      <c r="BT1844" s="115"/>
      <c r="BU1844" s="115"/>
      <c r="BV1844" s="115"/>
      <c r="BW1844" s="115"/>
      <c r="BX1844" s="115"/>
      <c r="BY1844" s="115"/>
      <c r="BZ1844" s="115"/>
      <c r="CA1844" s="115"/>
      <c r="CB1844" s="115"/>
      <c r="CC1844" s="25"/>
      <c r="CD1844" s="15"/>
      <c r="CH1844" s="117"/>
      <c r="CI1844" s="116"/>
      <c r="CJ1844" s="116"/>
      <c r="CK1844" s="116"/>
    </row>
    <row r="1845" spans="1:89" ht="19.5" x14ac:dyDescent="0.4">
      <c r="A1845" s="115"/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15"/>
      <c r="BG1845" s="115"/>
      <c r="BH1845" s="115"/>
      <c r="BI1845" s="115"/>
      <c r="BJ1845" s="115"/>
      <c r="BK1845" s="115"/>
      <c r="BL1845" s="122"/>
      <c r="BM1845" s="122"/>
      <c r="BN1845" s="122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15"/>
      <c r="BZ1845" s="115"/>
      <c r="CA1845" s="115"/>
      <c r="CB1845" s="115"/>
      <c r="CC1845" s="25"/>
      <c r="CD1845" s="15"/>
      <c r="CH1845" s="117"/>
      <c r="CI1845" s="116"/>
      <c r="CJ1845" s="116"/>
      <c r="CK1845" s="116"/>
    </row>
    <row r="1846" spans="1:89" ht="19.5" x14ac:dyDescent="0.4">
      <c r="A1846" s="115"/>
      <c r="B1846" s="115"/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  <c r="AI1846" s="115"/>
      <c r="AJ1846" s="115"/>
      <c r="AK1846" s="115"/>
      <c r="AL1846" s="115"/>
      <c r="AM1846" s="115"/>
      <c r="AN1846" s="115"/>
      <c r="AO1846" s="115"/>
      <c r="AP1846" s="115"/>
      <c r="AQ1846" s="115"/>
      <c r="AR1846" s="115"/>
      <c r="AS1846" s="115"/>
      <c r="AT1846" s="115"/>
      <c r="AU1846" s="115"/>
      <c r="AV1846" s="115"/>
      <c r="AW1846" s="115"/>
      <c r="AX1846" s="115"/>
      <c r="AY1846" s="115"/>
      <c r="AZ1846" s="115"/>
      <c r="BA1846" s="115"/>
      <c r="BB1846" s="115"/>
      <c r="BC1846" s="115"/>
      <c r="BD1846" s="115"/>
      <c r="BE1846" s="115"/>
      <c r="BF1846" s="115"/>
      <c r="BG1846" s="115"/>
      <c r="BH1846" s="115"/>
      <c r="BI1846" s="115"/>
      <c r="BJ1846" s="115"/>
      <c r="BK1846" s="115"/>
      <c r="BL1846" s="122"/>
      <c r="BM1846" s="122"/>
      <c r="BN1846" s="122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115"/>
      <c r="BY1846" s="115"/>
      <c r="BZ1846" s="115"/>
      <c r="CA1846" s="115"/>
      <c r="CB1846" s="115"/>
      <c r="CC1846" s="13"/>
      <c r="CD1846" s="15"/>
      <c r="CH1846" s="117"/>
      <c r="CI1846" s="116"/>
      <c r="CJ1846" s="116"/>
      <c r="CK1846" s="116"/>
    </row>
    <row r="1847" spans="1:89" ht="19.5" x14ac:dyDescent="0.4">
      <c r="A1847" s="115"/>
      <c r="B1847" s="115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15"/>
      <c r="BF1847" s="115"/>
      <c r="BG1847" s="115"/>
      <c r="BH1847" s="115"/>
      <c r="BI1847" s="115"/>
      <c r="BJ1847" s="115"/>
      <c r="BK1847" s="115"/>
      <c r="BL1847" s="122"/>
      <c r="BM1847" s="122"/>
      <c r="BN1847" s="122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15"/>
      <c r="CB1847" s="115"/>
      <c r="CC1847" s="25"/>
      <c r="CD1847" s="15"/>
      <c r="CH1847" s="117"/>
      <c r="CI1847" s="116"/>
      <c r="CJ1847" s="116"/>
      <c r="CK1847" s="116"/>
    </row>
    <row r="1848" spans="1:89" ht="19.5" x14ac:dyDescent="0.4">
      <c r="A1848" s="115"/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15"/>
      <c r="BH1848" s="115"/>
      <c r="BI1848" s="115"/>
      <c r="BJ1848" s="115"/>
      <c r="BK1848" s="115"/>
      <c r="BL1848" s="122"/>
      <c r="BM1848" s="122"/>
      <c r="BN1848" s="122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115"/>
      <c r="CA1848" s="115"/>
      <c r="CB1848" s="115"/>
      <c r="CC1848" s="13"/>
      <c r="CD1848" s="15"/>
      <c r="CH1848" s="117"/>
      <c r="CI1848" s="116"/>
      <c r="CJ1848" s="116"/>
      <c r="CK1848" s="116"/>
    </row>
    <row r="1849" spans="1:89" ht="19.5" x14ac:dyDescent="0.4">
      <c r="A1849" s="115"/>
      <c r="B1849" s="115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15"/>
      <c r="BE1849" s="115"/>
      <c r="BF1849" s="115"/>
      <c r="BG1849" s="115"/>
      <c r="BH1849" s="115"/>
      <c r="BI1849" s="115"/>
      <c r="BJ1849" s="115"/>
      <c r="BK1849" s="115"/>
      <c r="BL1849" s="122"/>
      <c r="BM1849" s="122"/>
      <c r="BN1849" s="122"/>
      <c r="BO1849" s="115"/>
      <c r="BP1849" s="115"/>
      <c r="BQ1849" s="115"/>
      <c r="BR1849" s="115"/>
      <c r="BS1849" s="115"/>
      <c r="BT1849" s="115"/>
      <c r="BU1849" s="115"/>
      <c r="BV1849" s="115"/>
      <c r="BW1849" s="115"/>
      <c r="BX1849" s="115"/>
      <c r="BY1849" s="115"/>
      <c r="BZ1849" s="115"/>
      <c r="CA1849" s="115"/>
      <c r="CB1849" s="115"/>
      <c r="CC1849" s="25"/>
      <c r="CD1849" s="15"/>
      <c r="CH1849" s="117"/>
      <c r="CI1849" s="116"/>
      <c r="CJ1849" s="116"/>
      <c r="CK1849" s="116"/>
    </row>
    <row r="1850" spans="1:89" ht="19.5" x14ac:dyDescent="0.4">
      <c r="A1850" s="115"/>
      <c r="B1850" s="115"/>
      <c r="C1850" s="115"/>
      <c r="D1850" s="115"/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15"/>
      <c r="BC1850" s="115"/>
      <c r="BD1850" s="115"/>
      <c r="BE1850" s="115"/>
      <c r="BF1850" s="115"/>
      <c r="BG1850" s="115"/>
      <c r="BH1850" s="115"/>
      <c r="BI1850" s="115"/>
      <c r="BJ1850" s="115"/>
      <c r="BK1850" s="115"/>
      <c r="BL1850" s="122"/>
      <c r="BM1850" s="122"/>
      <c r="BN1850" s="122"/>
      <c r="BO1850" s="115"/>
      <c r="BP1850" s="115"/>
      <c r="BQ1850" s="115"/>
      <c r="BR1850" s="115"/>
      <c r="BS1850" s="115"/>
      <c r="BT1850" s="115"/>
      <c r="BU1850" s="115"/>
      <c r="BV1850" s="115"/>
      <c r="BW1850" s="115"/>
      <c r="BX1850" s="115"/>
      <c r="BY1850" s="115"/>
      <c r="BZ1850" s="115"/>
      <c r="CA1850" s="115"/>
      <c r="CB1850" s="115"/>
      <c r="CC1850" s="26"/>
      <c r="CD1850" s="15"/>
      <c r="CH1850" s="117"/>
      <c r="CI1850" s="116"/>
      <c r="CJ1850" s="116"/>
      <c r="CK1850" s="116"/>
    </row>
    <row r="1851" spans="1:89" ht="19.5" x14ac:dyDescent="0.4">
      <c r="A1851" s="115"/>
      <c r="B1851" s="115"/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15"/>
      <c r="BF1851" s="115"/>
      <c r="BG1851" s="115"/>
      <c r="BH1851" s="115"/>
      <c r="BI1851" s="115"/>
      <c r="BJ1851" s="115"/>
      <c r="BK1851" s="115"/>
      <c r="BL1851" s="122"/>
      <c r="BM1851" s="122"/>
      <c r="BN1851" s="122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115"/>
      <c r="BZ1851" s="115"/>
      <c r="CA1851" s="115"/>
      <c r="CB1851" s="115"/>
      <c r="CC1851" s="17"/>
      <c r="CD1851" s="13"/>
      <c r="CH1851" s="117"/>
      <c r="CI1851" s="116"/>
      <c r="CJ1851" s="116"/>
      <c r="CK1851" s="116"/>
    </row>
    <row r="1852" spans="1:89" ht="19.5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15"/>
      <c r="BI1852" s="115"/>
      <c r="BJ1852" s="115"/>
      <c r="BK1852" s="115"/>
      <c r="BL1852" s="122"/>
      <c r="BM1852" s="122"/>
      <c r="BN1852" s="122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115"/>
      <c r="CA1852" s="115"/>
      <c r="CB1852" s="115"/>
      <c r="CC1852" s="26"/>
      <c r="CD1852" s="13"/>
      <c r="CH1852" s="117"/>
      <c r="CI1852" s="116"/>
      <c r="CJ1852" s="116"/>
      <c r="CK1852" s="116"/>
    </row>
    <row r="1853" spans="1:89" ht="19.5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15"/>
      <c r="BI1853" s="115"/>
      <c r="BJ1853" s="115"/>
      <c r="BK1853" s="115"/>
      <c r="BL1853" s="122"/>
      <c r="BM1853" s="122"/>
      <c r="BN1853" s="122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115"/>
      <c r="CA1853" s="115"/>
      <c r="CB1853" s="115"/>
      <c r="CC1853" s="17"/>
      <c r="CD1853" s="13"/>
      <c r="CH1853" s="117"/>
      <c r="CI1853" s="116"/>
      <c r="CJ1853" s="116"/>
      <c r="CK1853" s="116"/>
    </row>
    <row r="1854" spans="1:89" ht="19.5" x14ac:dyDescent="0.4">
      <c r="A1854" s="115"/>
      <c r="B1854" s="115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15"/>
      <c r="BB1854" s="115"/>
      <c r="BC1854" s="115"/>
      <c r="BD1854" s="115"/>
      <c r="BE1854" s="115"/>
      <c r="BF1854" s="115"/>
      <c r="BG1854" s="115"/>
      <c r="BH1854" s="115"/>
      <c r="BI1854" s="115"/>
      <c r="BJ1854" s="115"/>
      <c r="BK1854" s="115"/>
      <c r="BL1854" s="122"/>
      <c r="BM1854" s="122"/>
      <c r="BN1854" s="122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115"/>
      <c r="CA1854" s="115"/>
      <c r="CB1854" s="115"/>
      <c r="CC1854" s="26"/>
      <c r="CD1854" s="15"/>
      <c r="CH1854" s="117"/>
      <c r="CI1854" s="116"/>
      <c r="CJ1854" s="116"/>
      <c r="CK1854" s="116"/>
    </row>
    <row r="1855" spans="1:89" ht="19.5" x14ac:dyDescent="0.4">
      <c r="A1855" s="115"/>
      <c r="B1855" s="115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15"/>
      <c r="BG1855" s="115"/>
      <c r="BH1855" s="115"/>
      <c r="BI1855" s="115"/>
      <c r="BJ1855" s="115"/>
      <c r="BK1855" s="115"/>
      <c r="BL1855" s="122"/>
      <c r="BM1855" s="122"/>
      <c r="BN1855" s="122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15"/>
      <c r="BZ1855" s="115"/>
      <c r="CA1855" s="115"/>
      <c r="CB1855" s="115"/>
      <c r="CC1855" s="17"/>
      <c r="CD1855" s="15"/>
      <c r="CH1855" s="117"/>
      <c r="CI1855" s="116"/>
      <c r="CJ1855" s="116"/>
      <c r="CK1855" s="116"/>
    </row>
    <row r="1856" spans="1:89" ht="19.5" x14ac:dyDescent="0.4">
      <c r="CC1856" s="26"/>
      <c r="CD1856" s="105"/>
      <c r="CH1856" s="117"/>
      <c r="CI1856" s="116"/>
      <c r="CJ1856" s="116"/>
      <c r="CK1856" s="116"/>
    </row>
    <row r="1857" spans="1:89" ht="19.5" x14ac:dyDescent="0.4">
      <c r="BI1857" s="115"/>
      <c r="BJ1857" s="115"/>
      <c r="BK1857" s="115"/>
      <c r="BL1857" s="122"/>
      <c r="BM1857" s="122"/>
      <c r="BN1857" s="122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115"/>
      <c r="BZ1857" s="115"/>
      <c r="CA1857" s="115"/>
      <c r="CB1857" s="115"/>
      <c r="CC1857" s="17"/>
      <c r="CD1857" s="15"/>
      <c r="CH1857" s="117"/>
      <c r="CI1857" s="116"/>
      <c r="CJ1857" s="116"/>
      <c r="CK1857" s="116"/>
    </row>
    <row r="1858" spans="1:89" ht="19.5" x14ac:dyDescent="0.4">
      <c r="BF1858" s="115"/>
      <c r="BG1858" s="115"/>
      <c r="BH1858" s="115"/>
      <c r="BI1858" s="115"/>
      <c r="BJ1858" s="115"/>
      <c r="BK1858" s="115"/>
      <c r="BL1858" s="122"/>
      <c r="BM1858" s="122"/>
      <c r="BN1858" s="122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115"/>
      <c r="BZ1858" s="115"/>
      <c r="CA1858" s="115"/>
      <c r="CB1858" s="115"/>
      <c r="CC1858" s="26"/>
      <c r="CD1858" s="15"/>
      <c r="CH1858" s="117"/>
      <c r="CI1858" s="116"/>
      <c r="CJ1858" s="116"/>
      <c r="CK1858" s="116"/>
    </row>
    <row r="1859" spans="1:89" ht="19.5" x14ac:dyDescent="0.4">
      <c r="BF1859" s="115"/>
      <c r="BG1859" s="115"/>
      <c r="BH1859" s="115"/>
      <c r="BI1859" s="115"/>
      <c r="BJ1859" s="115"/>
      <c r="BK1859" s="115"/>
      <c r="BL1859" s="122"/>
      <c r="BM1859" s="122"/>
      <c r="BN1859" s="122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15"/>
      <c r="BZ1859" s="115"/>
      <c r="CA1859" s="115"/>
      <c r="CB1859" s="115"/>
      <c r="CC1859" s="17"/>
      <c r="CD1859" s="15"/>
      <c r="CH1859" s="117"/>
      <c r="CI1859" s="116"/>
      <c r="CJ1859" s="116"/>
      <c r="CK1859" s="116"/>
    </row>
    <row r="1860" spans="1:89" ht="19.5" x14ac:dyDescent="0.4"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15"/>
      <c r="BD1860" s="115"/>
      <c r="BE1860" s="115"/>
      <c r="BF1860" s="115"/>
      <c r="BG1860" s="115"/>
      <c r="BH1860" s="115"/>
      <c r="BI1860" s="115"/>
      <c r="BJ1860" s="115"/>
      <c r="BK1860" s="115"/>
      <c r="BL1860" s="122"/>
      <c r="BM1860" s="122"/>
      <c r="BN1860" s="122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15"/>
      <c r="BY1860" s="115"/>
      <c r="BZ1860" s="115"/>
      <c r="CA1860" s="115"/>
      <c r="CB1860" s="115"/>
      <c r="CC1860" s="26"/>
      <c r="CD1860" s="15"/>
      <c r="CH1860" s="117"/>
      <c r="CI1860" s="116"/>
      <c r="CJ1860" s="116"/>
      <c r="CK1860" s="116"/>
    </row>
    <row r="1861" spans="1:89" ht="19.5" x14ac:dyDescent="0.4"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15"/>
      <c r="BG1861" s="115"/>
      <c r="BH1861" s="115"/>
      <c r="BI1861" s="115"/>
      <c r="BJ1861" s="115"/>
      <c r="BK1861" s="115"/>
      <c r="BL1861" s="122"/>
      <c r="BM1861" s="122"/>
      <c r="BN1861" s="122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115"/>
      <c r="BZ1861" s="115"/>
      <c r="CA1861" s="115"/>
      <c r="CB1861" s="115"/>
      <c r="CC1861" s="17"/>
      <c r="CD1861" s="15"/>
      <c r="CH1861" s="117"/>
      <c r="CI1861" s="116"/>
      <c r="CJ1861" s="116"/>
      <c r="CK1861" s="116"/>
    </row>
    <row r="1862" spans="1:89" ht="19.5" x14ac:dyDescent="0.4">
      <c r="A1862" s="115"/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15"/>
      <c r="BG1862" s="115"/>
      <c r="BH1862" s="115"/>
      <c r="BI1862" s="115"/>
      <c r="BJ1862" s="115"/>
      <c r="BK1862" s="115"/>
      <c r="BL1862" s="122"/>
      <c r="BM1862" s="122"/>
      <c r="BN1862" s="122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15"/>
      <c r="BZ1862" s="115"/>
      <c r="CA1862" s="115"/>
      <c r="CB1862" s="115"/>
      <c r="CC1862" s="26"/>
      <c r="CD1862" s="15"/>
      <c r="CH1862" s="117"/>
      <c r="CI1862" s="116"/>
      <c r="CJ1862" s="116"/>
      <c r="CK1862" s="116"/>
    </row>
    <row r="1863" spans="1:89" ht="19.5" x14ac:dyDescent="0.4">
      <c r="A1863" s="115"/>
      <c r="B1863" s="115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15"/>
      <c r="BH1863" s="115"/>
      <c r="BI1863" s="115"/>
      <c r="BJ1863" s="115"/>
      <c r="BK1863" s="115"/>
      <c r="BL1863" s="122"/>
      <c r="BM1863" s="122"/>
      <c r="BN1863" s="122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115"/>
      <c r="CA1863" s="115"/>
      <c r="CB1863" s="115"/>
      <c r="CC1863" s="26"/>
      <c r="CD1863" s="15"/>
      <c r="CH1863" s="117"/>
      <c r="CI1863" s="116"/>
      <c r="CJ1863" s="116"/>
      <c r="CK1863" s="116"/>
    </row>
    <row r="1864" spans="1:89" ht="19.5" x14ac:dyDescent="0.4">
      <c r="A1864" s="115"/>
      <c r="B1864" s="115"/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15"/>
      <c r="BJ1864" s="115"/>
      <c r="BK1864" s="115"/>
      <c r="BL1864" s="122"/>
      <c r="BM1864" s="122"/>
      <c r="BN1864" s="122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115"/>
      <c r="CA1864" s="115"/>
      <c r="CB1864" s="115"/>
      <c r="CC1864" s="17"/>
      <c r="CD1864" s="15"/>
      <c r="CH1864" s="117"/>
      <c r="CI1864" s="116"/>
      <c r="CJ1864" s="116"/>
      <c r="CK1864" s="116"/>
    </row>
    <row r="1865" spans="1:89" ht="19.5" x14ac:dyDescent="0.4">
      <c r="A1865" s="115"/>
      <c r="B1865" s="115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15"/>
      <c r="BI1865" s="115"/>
      <c r="BJ1865" s="115"/>
      <c r="BK1865" s="115"/>
      <c r="BL1865" s="122"/>
      <c r="BM1865" s="122"/>
      <c r="BN1865" s="122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115"/>
      <c r="BZ1865" s="115"/>
      <c r="CA1865" s="115"/>
      <c r="CB1865" s="115"/>
      <c r="CC1865" s="26"/>
      <c r="CD1865" s="15"/>
      <c r="CH1865" s="117"/>
      <c r="CI1865" s="116"/>
      <c r="CJ1865" s="116"/>
      <c r="CK1865" s="116"/>
    </row>
    <row r="1866" spans="1:89" ht="19.5" x14ac:dyDescent="0.4">
      <c r="A1866" s="115"/>
      <c r="B1866" s="115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15"/>
      <c r="BJ1866" s="115"/>
      <c r="BK1866" s="115"/>
      <c r="BL1866" s="122"/>
      <c r="BM1866" s="122"/>
      <c r="BN1866" s="122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115"/>
      <c r="CA1866" s="115"/>
      <c r="CB1866" s="115"/>
      <c r="CC1866" s="17"/>
      <c r="CD1866" s="15"/>
      <c r="CH1866" s="117"/>
      <c r="CI1866" s="116"/>
      <c r="CJ1866" s="116"/>
      <c r="CK1866" s="116"/>
    </row>
    <row r="1867" spans="1:89" ht="19.5" x14ac:dyDescent="0.4">
      <c r="CC1867" s="26"/>
      <c r="CD1867" s="15"/>
      <c r="CH1867" s="117"/>
      <c r="CI1867" s="116"/>
      <c r="CJ1867" s="116"/>
      <c r="CK1867" s="116"/>
    </row>
    <row r="1868" spans="1:89" ht="19.5" x14ac:dyDescent="0.4">
      <c r="BI1868" s="115"/>
      <c r="BJ1868" s="115"/>
      <c r="BK1868" s="115"/>
      <c r="BL1868" s="122"/>
      <c r="BM1868" s="122"/>
      <c r="BN1868" s="122"/>
      <c r="BO1868" s="115"/>
      <c r="BP1868" s="115"/>
      <c r="BQ1868" s="115"/>
      <c r="BR1868" s="115"/>
      <c r="BS1868" s="115"/>
      <c r="BT1868" s="115"/>
      <c r="BU1868" s="115"/>
      <c r="BV1868" s="115"/>
      <c r="BW1868" s="115"/>
      <c r="BX1868" s="115"/>
      <c r="BY1868" s="115"/>
      <c r="BZ1868" s="115"/>
      <c r="CA1868" s="115"/>
      <c r="CB1868" s="115"/>
      <c r="CC1868" s="17"/>
      <c r="CD1868" s="15"/>
      <c r="CH1868" s="117"/>
      <c r="CI1868" s="116"/>
      <c r="CJ1868" s="116"/>
      <c r="CK1868" s="116"/>
    </row>
    <row r="1869" spans="1:89" ht="19.5" x14ac:dyDescent="0.4">
      <c r="CC1869" s="26"/>
      <c r="CD1869" s="15"/>
      <c r="CH1869" s="117"/>
      <c r="CI1869" s="116"/>
      <c r="CJ1869" s="116"/>
      <c r="CK1869" s="116"/>
    </row>
    <row r="1870" spans="1:89" ht="19.5" x14ac:dyDescent="0.4">
      <c r="BI1870" s="115"/>
      <c r="BJ1870" s="115"/>
      <c r="BK1870" s="115"/>
      <c r="BL1870" s="122"/>
      <c r="BM1870" s="122"/>
      <c r="BN1870" s="122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115"/>
      <c r="BZ1870" s="115"/>
      <c r="CA1870" s="115"/>
      <c r="CB1870" s="115"/>
      <c r="CC1870" s="17"/>
      <c r="CD1870" s="15"/>
      <c r="CH1870" s="117"/>
      <c r="CI1870" s="116"/>
      <c r="CJ1870" s="116"/>
      <c r="CK1870" s="116"/>
    </row>
    <row r="1871" spans="1:89" ht="19.5" x14ac:dyDescent="0.4">
      <c r="CC1871" s="26"/>
      <c r="CD1871" s="15"/>
      <c r="CH1871" s="117"/>
      <c r="CI1871" s="116"/>
      <c r="CJ1871" s="116"/>
      <c r="CK1871" s="116"/>
    </row>
    <row r="1872" spans="1:89" ht="19.5" x14ac:dyDescent="0.4">
      <c r="BI1872" s="115"/>
      <c r="BJ1872" s="115"/>
      <c r="BK1872" s="115"/>
      <c r="BL1872" s="122"/>
      <c r="BM1872" s="122"/>
      <c r="BN1872" s="122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15"/>
      <c r="BY1872" s="115"/>
      <c r="BZ1872" s="115"/>
      <c r="CA1872" s="115"/>
      <c r="CB1872" s="115"/>
      <c r="CC1872" s="17"/>
      <c r="CD1872" s="15"/>
      <c r="CH1872" s="117"/>
      <c r="CI1872" s="116"/>
      <c r="CJ1872" s="116"/>
      <c r="CK1872" s="116"/>
    </row>
    <row r="1873" spans="2:89" ht="19.5" x14ac:dyDescent="0.4">
      <c r="B1873" s="115"/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15"/>
      <c r="BJ1873" s="115"/>
      <c r="BK1873" s="115"/>
      <c r="BL1873" s="122"/>
      <c r="BM1873" s="122"/>
      <c r="BN1873" s="122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115"/>
      <c r="CA1873" s="115"/>
      <c r="CB1873" s="115"/>
      <c r="CC1873" s="26"/>
      <c r="CD1873" s="15"/>
      <c r="CH1873" s="117"/>
      <c r="CI1873" s="116"/>
      <c r="CJ1873" s="116"/>
      <c r="CK1873" s="116"/>
    </row>
    <row r="1874" spans="2:89" ht="19.5" x14ac:dyDescent="0.4"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15"/>
      <c r="BJ1874" s="115"/>
      <c r="BK1874" s="115"/>
      <c r="BL1874" s="122"/>
      <c r="BM1874" s="122"/>
      <c r="BN1874" s="122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115"/>
      <c r="CA1874" s="115"/>
      <c r="CB1874" s="115"/>
      <c r="CC1874" s="17"/>
      <c r="CD1874" s="15"/>
      <c r="CH1874" s="117"/>
      <c r="CI1874" s="116"/>
      <c r="CJ1874" s="116"/>
      <c r="CK1874" s="116"/>
    </row>
    <row r="1875" spans="2:89" ht="19.5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15"/>
      <c r="BJ1875" s="115"/>
      <c r="BK1875" s="115"/>
      <c r="BL1875" s="122"/>
      <c r="BM1875" s="122"/>
      <c r="BN1875" s="122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115"/>
      <c r="CA1875" s="115"/>
      <c r="CB1875" s="115"/>
      <c r="CC1875" s="26"/>
      <c r="CD1875" s="15"/>
      <c r="CH1875" s="117"/>
      <c r="CI1875" s="116"/>
      <c r="CJ1875" s="116"/>
      <c r="CK1875" s="116"/>
    </row>
    <row r="1876" spans="2:89" ht="19.5" x14ac:dyDescent="0.4">
      <c r="CC1876" s="26"/>
      <c r="CD1876" s="15"/>
      <c r="CH1876" s="117"/>
      <c r="CI1876" s="116"/>
      <c r="CJ1876" s="116"/>
      <c r="CK1876" s="116"/>
    </row>
    <row r="1877" spans="2:89" ht="19.5" x14ac:dyDescent="0.4">
      <c r="BI1877" s="115"/>
      <c r="BJ1877" s="115"/>
      <c r="BK1877" s="115"/>
      <c r="BL1877" s="122"/>
      <c r="BM1877" s="122"/>
      <c r="BN1877" s="122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15"/>
      <c r="BZ1877" s="115"/>
      <c r="CA1877" s="115"/>
      <c r="CB1877" s="115"/>
      <c r="CC1877" s="17"/>
      <c r="CD1877" s="15"/>
      <c r="CH1877" s="117"/>
      <c r="CI1877" s="116"/>
      <c r="CJ1877" s="116"/>
      <c r="CK1877" s="116"/>
    </row>
    <row r="1878" spans="2:89" ht="19.5" x14ac:dyDescent="0.4">
      <c r="BG1878" s="115"/>
      <c r="BH1878" s="115"/>
      <c r="BI1878" s="115"/>
      <c r="BJ1878" s="115"/>
      <c r="BK1878" s="115"/>
      <c r="BL1878" s="122"/>
      <c r="BM1878" s="122"/>
      <c r="BN1878" s="122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115"/>
      <c r="BZ1878" s="115"/>
      <c r="CA1878" s="115"/>
      <c r="CB1878" s="115"/>
      <c r="CC1878" s="26"/>
      <c r="CD1878" s="15"/>
      <c r="CH1878" s="117"/>
      <c r="CI1878" s="116"/>
      <c r="CJ1878" s="116"/>
      <c r="CK1878" s="116"/>
    </row>
    <row r="1879" spans="2:89" ht="19.5" x14ac:dyDescent="0.4">
      <c r="BG1879" s="115"/>
      <c r="BH1879" s="115"/>
      <c r="BI1879" s="115"/>
      <c r="BJ1879" s="115"/>
      <c r="BK1879" s="115"/>
      <c r="BL1879" s="122"/>
      <c r="BM1879" s="122"/>
      <c r="BN1879" s="122"/>
      <c r="BO1879" s="115"/>
      <c r="BP1879" s="115"/>
      <c r="BQ1879" s="115"/>
      <c r="BR1879" s="115"/>
      <c r="BS1879" s="115"/>
      <c r="BT1879" s="115"/>
      <c r="BU1879" s="115"/>
      <c r="BV1879" s="115"/>
      <c r="BW1879" s="115"/>
      <c r="BX1879" s="115"/>
      <c r="BY1879" s="115"/>
      <c r="BZ1879" s="115"/>
      <c r="CA1879" s="115"/>
      <c r="CB1879" s="115"/>
      <c r="CC1879" s="17"/>
      <c r="CD1879" s="13"/>
      <c r="CH1879" s="117"/>
      <c r="CI1879" s="116"/>
      <c r="CJ1879" s="116"/>
      <c r="CK1879" s="116"/>
    </row>
    <row r="1880" spans="2:89" ht="19.5" x14ac:dyDescent="0.4">
      <c r="BF1880" s="115"/>
      <c r="BG1880" s="115"/>
      <c r="BH1880" s="115"/>
      <c r="BI1880" s="115"/>
      <c r="BJ1880" s="115"/>
      <c r="BK1880" s="115"/>
      <c r="BL1880" s="122"/>
      <c r="BM1880" s="122"/>
      <c r="BN1880" s="122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15"/>
      <c r="BZ1880" s="115"/>
      <c r="CA1880" s="115"/>
      <c r="CB1880" s="115"/>
      <c r="CC1880" s="26"/>
      <c r="CD1880" s="13"/>
      <c r="CH1880" s="117"/>
      <c r="CI1880" s="116"/>
      <c r="CJ1880" s="116"/>
      <c r="CK1880" s="116"/>
    </row>
    <row r="1881" spans="2:89" ht="19.5" x14ac:dyDescent="0.4">
      <c r="BF1881" s="115"/>
      <c r="BG1881" s="115"/>
      <c r="BH1881" s="115"/>
      <c r="BI1881" s="115"/>
      <c r="BJ1881" s="115"/>
      <c r="BK1881" s="115"/>
      <c r="BL1881" s="122"/>
      <c r="BM1881" s="122"/>
      <c r="BN1881" s="122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115"/>
      <c r="CA1881" s="115"/>
      <c r="CB1881" s="115"/>
      <c r="CC1881" s="17"/>
      <c r="CD1881" s="13"/>
      <c r="CH1881" s="117"/>
      <c r="CI1881" s="116"/>
      <c r="CJ1881" s="116"/>
      <c r="CK1881" s="116"/>
    </row>
    <row r="1882" spans="2:89" ht="19.5" x14ac:dyDescent="0.4"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15"/>
      <c r="BG1882" s="115"/>
      <c r="BH1882" s="115"/>
      <c r="BI1882" s="115"/>
      <c r="BJ1882" s="115"/>
      <c r="BK1882" s="115"/>
      <c r="BL1882" s="122"/>
      <c r="BM1882" s="122"/>
      <c r="BN1882" s="122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15"/>
      <c r="BZ1882" s="115"/>
      <c r="CA1882" s="115"/>
      <c r="CB1882" s="115"/>
      <c r="CC1882" s="26"/>
      <c r="CD1882" s="15"/>
      <c r="CH1882" s="117"/>
      <c r="CI1882" s="116"/>
      <c r="CJ1882" s="116"/>
      <c r="CK1882" s="116"/>
    </row>
    <row r="1883" spans="2:89" ht="19.5" x14ac:dyDescent="0.4"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15"/>
      <c r="BF1883" s="115"/>
      <c r="BG1883" s="115"/>
      <c r="BH1883" s="115"/>
      <c r="BI1883" s="115"/>
      <c r="BJ1883" s="115"/>
      <c r="BK1883" s="115"/>
      <c r="BL1883" s="122"/>
      <c r="BM1883" s="122"/>
      <c r="BN1883" s="122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115"/>
      <c r="BZ1883" s="115"/>
      <c r="CA1883" s="115"/>
      <c r="CB1883" s="115"/>
      <c r="CC1883" s="17"/>
      <c r="CD1883" s="15"/>
      <c r="CH1883" s="117"/>
      <c r="CI1883" s="116"/>
      <c r="CJ1883" s="116"/>
      <c r="CK1883" s="116"/>
    </row>
    <row r="1884" spans="2:89" ht="19.5" x14ac:dyDescent="0.4"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15"/>
      <c r="BJ1884" s="115"/>
      <c r="BK1884" s="115"/>
      <c r="BL1884" s="122"/>
      <c r="BM1884" s="122"/>
      <c r="BN1884" s="122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115"/>
      <c r="CA1884" s="115"/>
      <c r="CB1884" s="115"/>
      <c r="CC1884" s="26"/>
      <c r="CD1884" s="105"/>
      <c r="CH1884" s="117"/>
      <c r="CI1884" s="116"/>
      <c r="CJ1884" s="116"/>
      <c r="CK1884" s="116"/>
    </row>
    <row r="1885" spans="2:89" ht="19.5" x14ac:dyDescent="0.4"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15"/>
      <c r="BJ1885" s="115"/>
      <c r="BK1885" s="115"/>
      <c r="BL1885" s="122"/>
      <c r="BM1885" s="122"/>
      <c r="BN1885" s="122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15"/>
      <c r="CA1885" s="115"/>
      <c r="CB1885" s="115"/>
      <c r="CC1885" s="17"/>
      <c r="CD1885" s="15"/>
      <c r="CH1885" s="117"/>
      <c r="CI1885" s="116"/>
      <c r="CJ1885" s="116"/>
      <c r="CK1885" s="116"/>
    </row>
    <row r="1886" spans="2:89" ht="19.5" x14ac:dyDescent="0.4"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15"/>
      <c r="BI1886" s="115"/>
      <c r="BJ1886" s="115"/>
      <c r="BK1886" s="115"/>
      <c r="BL1886" s="122"/>
      <c r="BM1886" s="122"/>
      <c r="BN1886" s="122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115"/>
      <c r="BZ1886" s="115"/>
      <c r="CA1886" s="115"/>
      <c r="CB1886" s="115"/>
      <c r="CC1886" s="26"/>
      <c r="CD1886" s="15"/>
      <c r="CH1886" s="117"/>
      <c r="CI1886" s="116"/>
      <c r="CJ1886" s="116"/>
      <c r="CK1886" s="116"/>
    </row>
    <row r="1887" spans="2:89" ht="19.5" x14ac:dyDescent="0.4"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15"/>
      <c r="BI1887" s="115"/>
      <c r="BJ1887" s="115"/>
      <c r="BK1887" s="115"/>
      <c r="BL1887" s="122"/>
      <c r="BM1887" s="122"/>
      <c r="BN1887" s="122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15"/>
      <c r="CA1887" s="115"/>
      <c r="CB1887" s="115"/>
      <c r="CC1887" s="26"/>
      <c r="CD1887" s="15"/>
      <c r="CH1887" s="117"/>
      <c r="CI1887" s="116"/>
      <c r="CJ1887" s="116"/>
      <c r="CK1887" s="116"/>
    </row>
    <row r="1888" spans="2:89" ht="19.5" x14ac:dyDescent="0.4">
      <c r="CC1888" s="26"/>
      <c r="CD1888" s="15"/>
      <c r="CH1888" s="117"/>
      <c r="CI1888" s="116"/>
      <c r="CJ1888" s="116"/>
      <c r="CK1888" s="116"/>
    </row>
    <row r="1889" spans="1:89" ht="19.5" x14ac:dyDescent="0.4">
      <c r="BH1889" s="115"/>
      <c r="BI1889" s="115"/>
      <c r="BJ1889" s="115"/>
      <c r="BK1889" s="115"/>
      <c r="BL1889" s="122"/>
      <c r="BM1889" s="122"/>
      <c r="BN1889" s="122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115"/>
      <c r="BZ1889" s="115"/>
      <c r="CA1889" s="115"/>
      <c r="CB1889" s="115"/>
      <c r="CC1889" s="26"/>
      <c r="CD1889" s="15"/>
      <c r="CH1889" s="117"/>
      <c r="CI1889" s="116"/>
      <c r="CJ1889" s="116"/>
      <c r="CK1889" s="116"/>
    </row>
    <row r="1890" spans="1:89" ht="19.5" x14ac:dyDescent="0.4">
      <c r="A1890" s="115"/>
      <c r="B1890" s="115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15"/>
      <c r="BG1890" s="115"/>
      <c r="BH1890" s="115"/>
      <c r="BI1890" s="115"/>
      <c r="BJ1890" s="115"/>
      <c r="BK1890" s="115"/>
      <c r="BL1890" s="122"/>
      <c r="BM1890" s="122"/>
      <c r="BN1890" s="122"/>
      <c r="BO1890" s="115"/>
      <c r="BP1890" s="115"/>
      <c r="BQ1890" s="115"/>
      <c r="BR1890" s="115"/>
      <c r="BS1890" s="115"/>
      <c r="BT1890" s="115"/>
      <c r="BU1890" s="115"/>
      <c r="BV1890" s="115"/>
      <c r="BW1890" s="115"/>
      <c r="BX1890" s="115"/>
      <c r="BY1890" s="115"/>
      <c r="BZ1890" s="115"/>
      <c r="CA1890" s="115"/>
      <c r="CB1890" s="115"/>
      <c r="CC1890" s="26"/>
      <c r="CD1890" s="15"/>
      <c r="CH1890" s="117"/>
      <c r="CI1890" s="116"/>
      <c r="CJ1890" s="116"/>
      <c r="CK1890" s="116"/>
    </row>
    <row r="1891" spans="1:89" ht="19.5" x14ac:dyDescent="0.4">
      <c r="A1891" s="115"/>
      <c r="B1891" s="115"/>
      <c r="C1891" s="115"/>
      <c r="D1891" s="115"/>
      <c r="E1891" s="115"/>
      <c r="F1891" s="115"/>
      <c r="G1891" s="115"/>
      <c r="H1891" s="115"/>
      <c r="I1891" s="115"/>
      <c r="J1891" s="115"/>
      <c r="K1891" s="115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  <c r="AI1891" s="115"/>
      <c r="AJ1891" s="115"/>
      <c r="AK1891" s="115"/>
      <c r="AL1891" s="115"/>
      <c r="AM1891" s="115"/>
      <c r="AN1891" s="115"/>
      <c r="AO1891" s="115"/>
      <c r="AP1891" s="115"/>
      <c r="AQ1891" s="115"/>
      <c r="AR1891" s="115"/>
      <c r="AS1891" s="115"/>
      <c r="AT1891" s="115"/>
      <c r="AU1891" s="115"/>
      <c r="AV1891" s="115"/>
      <c r="AW1891" s="115"/>
      <c r="AX1891" s="115"/>
      <c r="AY1891" s="115"/>
      <c r="AZ1891" s="115"/>
      <c r="BA1891" s="115"/>
      <c r="BB1891" s="115"/>
      <c r="BC1891" s="115"/>
      <c r="BD1891" s="115"/>
      <c r="BE1891" s="115"/>
      <c r="BF1891" s="115"/>
      <c r="BG1891" s="115"/>
      <c r="BH1891" s="115"/>
      <c r="BI1891" s="115"/>
      <c r="BJ1891" s="115"/>
      <c r="BK1891" s="115"/>
      <c r="BL1891" s="122"/>
      <c r="BM1891" s="122"/>
      <c r="BN1891" s="122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15"/>
      <c r="BZ1891" s="115"/>
      <c r="CA1891" s="115"/>
      <c r="CB1891" s="115"/>
      <c r="CC1891" s="26"/>
      <c r="CD1891" s="15"/>
      <c r="CH1891" s="117"/>
      <c r="CI1891" s="116"/>
      <c r="CJ1891" s="116"/>
      <c r="CK1891" s="116"/>
    </row>
    <row r="1892" spans="1:89" ht="19.5" x14ac:dyDescent="0.4">
      <c r="A1892" s="115"/>
      <c r="B1892" s="115"/>
      <c r="C1892" s="115"/>
      <c r="D1892" s="115"/>
      <c r="E1892" s="115"/>
      <c r="F1892" s="115"/>
      <c r="G1892" s="115"/>
      <c r="H1892" s="115"/>
      <c r="I1892" s="115"/>
      <c r="J1892" s="115"/>
      <c r="K1892" s="115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  <c r="AI1892" s="115"/>
      <c r="AJ1892" s="115"/>
      <c r="AK1892" s="115"/>
      <c r="AL1892" s="115"/>
      <c r="AM1892" s="115"/>
      <c r="AN1892" s="115"/>
      <c r="AO1892" s="115"/>
      <c r="AP1892" s="115"/>
      <c r="AQ1892" s="115"/>
      <c r="AR1892" s="115"/>
      <c r="AS1892" s="115"/>
      <c r="AT1892" s="115"/>
      <c r="AU1892" s="115"/>
      <c r="AV1892" s="115"/>
      <c r="AW1892" s="115"/>
      <c r="AX1892" s="115"/>
      <c r="AY1892" s="115"/>
      <c r="AZ1892" s="115"/>
      <c r="BA1892" s="115"/>
      <c r="BB1892" s="115"/>
      <c r="BC1892" s="115"/>
      <c r="BD1892" s="115"/>
      <c r="BE1892" s="115"/>
      <c r="BF1892" s="115"/>
      <c r="BG1892" s="115"/>
      <c r="BH1892" s="115"/>
      <c r="BI1892" s="115"/>
      <c r="BJ1892" s="115"/>
      <c r="BK1892" s="115"/>
      <c r="BL1892" s="122"/>
      <c r="BM1892" s="122"/>
      <c r="BN1892" s="122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115"/>
      <c r="BY1892" s="115"/>
      <c r="BZ1892" s="115"/>
      <c r="CA1892" s="115"/>
      <c r="CB1892" s="115"/>
      <c r="CC1892" s="17"/>
      <c r="CD1892" s="15"/>
      <c r="CH1892" s="117"/>
      <c r="CI1892" s="116"/>
      <c r="CJ1892" s="116"/>
      <c r="CK1892" s="116"/>
    </row>
    <row r="1893" spans="1:89" ht="19.5" x14ac:dyDescent="0.4">
      <c r="CC1893" s="26"/>
      <c r="CD1893" s="15"/>
      <c r="CH1893" s="117"/>
      <c r="CI1893" s="116"/>
      <c r="CJ1893" s="116"/>
      <c r="CK1893" s="116"/>
    </row>
    <row r="1894" spans="1:89" ht="19.5" x14ac:dyDescent="0.4">
      <c r="BI1894" s="115"/>
      <c r="BJ1894" s="115"/>
      <c r="BK1894" s="115"/>
      <c r="BL1894" s="122"/>
      <c r="BM1894" s="122"/>
      <c r="BN1894" s="122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115"/>
      <c r="CA1894" s="115"/>
      <c r="CB1894" s="115"/>
      <c r="CC1894" s="17"/>
      <c r="CD1894" s="15"/>
      <c r="CH1894" s="117"/>
      <c r="CI1894" s="116"/>
      <c r="CJ1894" s="116"/>
      <c r="CK1894" s="116"/>
    </row>
    <row r="1895" spans="1:89" ht="19.5" x14ac:dyDescent="0.4">
      <c r="BH1895" s="115"/>
      <c r="BI1895" s="115"/>
      <c r="BJ1895" s="115"/>
      <c r="BK1895" s="115"/>
      <c r="BL1895" s="122"/>
      <c r="BM1895" s="122"/>
      <c r="BN1895" s="122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115"/>
      <c r="BZ1895" s="115"/>
      <c r="CA1895" s="115"/>
      <c r="CB1895" s="115"/>
      <c r="CC1895" s="26"/>
      <c r="CD1895" s="15"/>
      <c r="CH1895" s="117"/>
      <c r="CI1895" s="116"/>
      <c r="CJ1895" s="116"/>
      <c r="CK1895" s="116"/>
    </row>
    <row r="1896" spans="1:89" ht="19.5" x14ac:dyDescent="0.4"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15"/>
      <c r="BJ1896" s="115"/>
      <c r="BK1896" s="115"/>
      <c r="BL1896" s="122"/>
      <c r="BM1896" s="122"/>
      <c r="BN1896" s="122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115"/>
      <c r="CA1896" s="115"/>
      <c r="CB1896" s="115"/>
      <c r="CC1896" s="26"/>
      <c r="CD1896" s="15"/>
      <c r="CH1896" s="117"/>
      <c r="CI1896" s="116"/>
      <c r="CJ1896" s="116"/>
      <c r="CK1896" s="116"/>
    </row>
    <row r="1897" spans="1:89" ht="19.5" x14ac:dyDescent="0.4"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15"/>
      <c r="BH1897" s="115"/>
      <c r="BI1897" s="115"/>
      <c r="BJ1897" s="115"/>
      <c r="BK1897" s="115"/>
      <c r="BL1897" s="122"/>
      <c r="BM1897" s="122"/>
      <c r="BN1897" s="122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115"/>
      <c r="BY1897" s="115"/>
      <c r="BZ1897" s="115"/>
      <c r="CA1897" s="115"/>
      <c r="CB1897" s="115"/>
      <c r="CC1897" s="26"/>
      <c r="CD1897" s="15"/>
      <c r="CH1897" s="117"/>
      <c r="CI1897" s="116"/>
      <c r="CJ1897" s="116"/>
      <c r="CK1897" s="116"/>
    </row>
    <row r="1898" spans="1:89" ht="19.5" x14ac:dyDescent="0.4">
      <c r="B1898" s="115"/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  <c r="AI1898" s="115"/>
      <c r="AJ1898" s="115"/>
      <c r="AK1898" s="115"/>
      <c r="AL1898" s="115"/>
      <c r="AM1898" s="115"/>
      <c r="AN1898" s="115"/>
      <c r="AO1898" s="115"/>
      <c r="AP1898" s="115"/>
      <c r="AQ1898" s="115"/>
      <c r="AR1898" s="115"/>
      <c r="AS1898" s="115"/>
      <c r="AT1898" s="115"/>
      <c r="AU1898" s="115"/>
      <c r="AV1898" s="115"/>
      <c r="AW1898" s="115"/>
      <c r="AX1898" s="115"/>
      <c r="AY1898" s="115"/>
      <c r="AZ1898" s="115"/>
      <c r="BA1898" s="115"/>
      <c r="BB1898" s="115"/>
      <c r="BC1898" s="115"/>
      <c r="BD1898" s="115"/>
      <c r="BE1898" s="115"/>
      <c r="BF1898" s="115"/>
      <c r="BG1898" s="115"/>
      <c r="BH1898" s="115"/>
      <c r="BI1898" s="115"/>
      <c r="BJ1898" s="115"/>
      <c r="BK1898" s="115"/>
      <c r="BL1898" s="122"/>
      <c r="BM1898" s="122"/>
      <c r="BN1898" s="122"/>
      <c r="BO1898" s="115"/>
      <c r="BP1898" s="115"/>
      <c r="BQ1898" s="115"/>
      <c r="BR1898" s="115"/>
      <c r="BS1898" s="115"/>
      <c r="BT1898" s="115"/>
      <c r="BU1898" s="115"/>
      <c r="BV1898" s="115"/>
      <c r="BW1898" s="115"/>
      <c r="BX1898" s="115"/>
      <c r="BY1898" s="115"/>
      <c r="BZ1898" s="115"/>
      <c r="CA1898" s="115"/>
      <c r="CB1898" s="115"/>
      <c r="CC1898" s="26"/>
      <c r="CD1898" s="15"/>
      <c r="CH1898" s="117"/>
      <c r="CI1898" s="116"/>
      <c r="CJ1898" s="116"/>
      <c r="CK1898" s="116"/>
    </row>
    <row r="1899" spans="1:89" ht="19.5" x14ac:dyDescent="0.4">
      <c r="A1899" s="115"/>
      <c r="B1899" s="115"/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15"/>
      <c r="BC1899" s="115"/>
      <c r="BD1899" s="115"/>
      <c r="BE1899" s="115"/>
      <c r="BF1899" s="115"/>
      <c r="BG1899" s="115"/>
      <c r="BH1899" s="115"/>
      <c r="BI1899" s="115"/>
      <c r="BJ1899" s="115"/>
      <c r="BK1899" s="115"/>
      <c r="BL1899" s="122"/>
      <c r="BM1899" s="122"/>
      <c r="BN1899" s="122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115"/>
      <c r="BY1899" s="115"/>
      <c r="BZ1899" s="115"/>
      <c r="CA1899" s="115"/>
      <c r="CB1899" s="115"/>
      <c r="CC1899" s="26"/>
      <c r="CD1899" s="15"/>
      <c r="CH1899" s="117"/>
      <c r="CI1899" s="116"/>
      <c r="CJ1899" s="116"/>
      <c r="CK1899" s="116"/>
    </row>
    <row r="1900" spans="1:89" ht="19.5" x14ac:dyDescent="0.4">
      <c r="A1900" s="115"/>
      <c r="B1900" s="115"/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15"/>
      <c r="BF1900" s="115"/>
      <c r="BG1900" s="115"/>
      <c r="BH1900" s="115"/>
      <c r="BI1900" s="115"/>
      <c r="BJ1900" s="115"/>
      <c r="BK1900" s="115"/>
      <c r="BL1900" s="122"/>
      <c r="BM1900" s="122"/>
      <c r="BN1900" s="122"/>
      <c r="BO1900" s="115"/>
      <c r="BP1900" s="115"/>
      <c r="BQ1900" s="115"/>
      <c r="BR1900" s="115"/>
      <c r="BS1900" s="115"/>
      <c r="BT1900" s="115"/>
      <c r="BU1900" s="115"/>
      <c r="BV1900" s="115"/>
      <c r="BW1900" s="115"/>
      <c r="BX1900" s="115"/>
      <c r="BY1900" s="115"/>
      <c r="BZ1900" s="115"/>
      <c r="CA1900" s="115"/>
      <c r="CB1900" s="115"/>
      <c r="CC1900" s="26"/>
      <c r="CD1900" s="15"/>
      <c r="CH1900" s="117"/>
      <c r="CI1900" s="116"/>
      <c r="CJ1900" s="116"/>
      <c r="CK1900" s="116"/>
    </row>
    <row r="1901" spans="1:89" ht="19.5" x14ac:dyDescent="0.4">
      <c r="A1901" s="115"/>
      <c r="B1901" s="115"/>
      <c r="C1901" s="115"/>
      <c r="D1901" s="115"/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15"/>
      <c r="BH1901" s="115"/>
      <c r="BI1901" s="115"/>
      <c r="BJ1901" s="115"/>
      <c r="BK1901" s="115"/>
      <c r="BL1901" s="122"/>
      <c r="BM1901" s="122"/>
      <c r="BN1901" s="122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115"/>
      <c r="CA1901" s="115"/>
      <c r="CB1901" s="115"/>
      <c r="CC1901" s="17"/>
      <c r="CD1901" s="15"/>
      <c r="CH1901" s="117"/>
      <c r="CI1901" s="116"/>
      <c r="CJ1901" s="116"/>
      <c r="CK1901" s="116"/>
    </row>
    <row r="1902" spans="1:89" ht="19.5" x14ac:dyDescent="0.4">
      <c r="CC1902" s="26"/>
      <c r="CD1902" s="15"/>
      <c r="CH1902" s="117"/>
      <c r="CI1902" s="116"/>
      <c r="CJ1902" s="116"/>
      <c r="CK1902" s="116"/>
    </row>
    <row r="1903" spans="1:89" ht="19.5" x14ac:dyDescent="0.4">
      <c r="BI1903" s="115"/>
      <c r="BJ1903" s="115"/>
      <c r="BK1903" s="115"/>
      <c r="BL1903" s="122"/>
      <c r="BM1903" s="122"/>
      <c r="BN1903" s="122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15"/>
      <c r="CA1903" s="115"/>
      <c r="CB1903" s="115"/>
      <c r="CC1903" s="17"/>
      <c r="CD1903" s="13"/>
      <c r="CH1903" s="117"/>
      <c r="CI1903" s="116"/>
      <c r="CJ1903" s="116"/>
      <c r="CK1903" s="116"/>
    </row>
    <row r="1904" spans="1:89" ht="19.5" x14ac:dyDescent="0.4">
      <c r="BI1904" s="115"/>
      <c r="BJ1904" s="115"/>
      <c r="BK1904" s="115"/>
      <c r="BL1904" s="122"/>
      <c r="BM1904" s="122"/>
      <c r="BN1904" s="122"/>
      <c r="BO1904" s="115"/>
      <c r="BP1904" s="115"/>
      <c r="BQ1904" s="115"/>
      <c r="BR1904" s="115"/>
      <c r="BS1904" s="115"/>
      <c r="BT1904" s="115"/>
      <c r="BU1904" s="115"/>
      <c r="BV1904" s="115"/>
      <c r="BW1904" s="115"/>
      <c r="BX1904" s="115"/>
      <c r="BY1904" s="115"/>
      <c r="BZ1904" s="115"/>
      <c r="CA1904" s="115"/>
      <c r="CB1904" s="115"/>
      <c r="CC1904" s="17"/>
      <c r="CD1904" s="13"/>
      <c r="CH1904" s="117"/>
      <c r="CI1904" s="116"/>
      <c r="CJ1904" s="116"/>
      <c r="CK1904" s="116"/>
    </row>
    <row r="1905" spans="1:89" ht="19.5" x14ac:dyDescent="0.4">
      <c r="CC1905" s="26"/>
      <c r="CD1905" s="13"/>
      <c r="CH1905" s="117"/>
      <c r="CI1905" s="116"/>
      <c r="CJ1905" s="116"/>
      <c r="CK1905" s="116"/>
    </row>
    <row r="1906" spans="1:89" ht="19.5" x14ac:dyDescent="0.4">
      <c r="CC1906" s="26"/>
      <c r="CD1906" s="13"/>
      <c r="CH1906" s="116"/>
      <c r="CI1906" s="116"/>
      <c r="CJ1906" s="116"/>
      <c r="CK1906" s="116"/>
    </row>
    <row r="1907" spans="1:89" ht="19.5" x14ac:dyDescent="0.4"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15"/>
      <c r="BG1907" s="115"/>
      <c r="BH1907" s="115"/>
      <c r="BI1907" s="115"/>
      <c r="BJ1907" s="115"/>
      <c r="BK1907" s="115"/>
      <c r="BL1907" s="122"/>
      <c r="BM1907" s="122"/>
      <c r="BN1907" s="122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115"/>
      <c r="BZ1907" s="115"/>
      <c r="CA1907" s="115"/>
      <c r="CB1907" s="115"/>
      <c r="CC1907" s="26"/>
      <c r="CD1907" s="13"/>
      <c r="CH1907" s="118"/>
      <c r="CI1907" s="118"/>
      <c r="CJ1907" s="118"/>
      <c r="CK1907" s="118"/>
    </row>
    <row r="1908" spans="1:89" ht="19.5" x14ac:dyDescent="0.4">
      <c r="D1908" s="115"/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15"/>
      <c r="BD1908" s="115"/>
      <c r="BE1908" s="115"/>
      <c r="BF1908" s="115"/>
      <c r="BG1908" s="115"/>
      <c r="BH1908" s="115"/>
      <c r="BI1908" s="115"/>
      <c r="BJ1908" s="115"/>
      <c r="BK1908" s="115"/>
      <c r="BL1908" s="122"/>
      <c r="BM1908" s="122"/>
      <c r="BN1908" s="122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15"/>
      <c r="BZ1908" s="115"/>
      <c r="CA1908" s="115"/>
      <c r="CB1908" s="115"/>
      <c r="CC1908" s="26"/>
      <c r="CD1908" s="13"/>
      <c r="CH1908" s="118"/>
      <c r="CI1908" s="118"/>
      <c r="CJ1908" s="118"/>
      <c r="CK1908" s="118"/>
    </row>
    <row r="1909" spans="1:89" ht="19.5" x14ac:dyDescent="0.4">
      <c r="B1909" s="115"/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15"/>
      <c r="BE1909" s="115"/>
      <c r="BF1909" s="115"/>
      <c r="BG1909" s="115"/>
      <c r="BH1909" s="115"/>
      <c r="BI1909" s="115"/>
      <c r="BJ1909" s="115"/>
      <c r="BK1909" s="115"/>
      <c r="BL1909" s="122"/>
      <c r="BM1909" s="122"/>
      <c r="BN1909" s="122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15"/>
      <c r="BY1909" s="115"/>
      <c r="BZ1909" s="115"/>
      <c r="CA1909" s="115"/>
      <c r="CB1909" s="115"/>
      <c r="CC1909" s="26"/>
      <c r="CD1909" s="13"/>
      <c r="CH1909" s="118"/>
      <c r="CI1909" s="118"/>
      <c r="CJ1909" s="118"/>
      <c r="CK1909" s="118"/>
    </row>
    <row r="1910" spans="1:89" ht="19.5" x14ac:dyDescent="0.4">
      <c r="B1910" s="115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15"/>
      <c r="BJ1910" s="115"/>
      <c r="BK1910" s="115"/>
      <c r="BL1910" s="122"/>
      <c r="BM1910" s="122"/>
      <c r="BN1910" s="122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115"/>
      <c r="CA1910" s="115"/>
      <c r="CB1910" s="115"/>
      <c r="CC1910" s="26"/>
      <c r="CD1910" s="15"/>
      <c r="CH1910" s="118"/>
      <c r="CI1910" s="118"/>
      <c r="CJ1910" s="118"/>
      <c r="CK1910" s="118"/>
    </row>
    <row r="1911" spans="1:89" ht="19.5" x14ac:dyDescent="0.4">
      <c r="B1911" s="115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15"/>
      <c r="BI1911" s="115"/>
      <c r="BJ1911" s="115"/>
      <c r="BK1911" s="115"/>
      <c r="BL1911" s="122"/>
      <c r="BM1911" s="122"/>
      <c r="BN1911" s="122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115"/>
      <c r="BZ1911" s="115"/>
      <c r="CA1911" s="115"/>
      <c r="CB1911" s="115"/>
      <c r="CC1911" s="26"/>
      <c r="CD1911" s="15"/>
      <c r="CH1911" s="118"/>
      <c r="CI1911" s="118"/>
      <c r="CJ1911" s="118"/>
      <c r="CK1911" s="118"/>
    </row>
    <row r="1912" spans="1:89" ht="19.5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15"/>
      <c r="BH1912" s="115"/>
      <c r="BI1912" s="115"/>
      <c r="BJ1912" s="115"/>
      <c r="BK1912" s="115"/>
      <c r="BL1912" s="122"/>
      <c r="BM1912" s="122"/>
      <c r="BN1912" s="122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15"/>
      <c r="BY1912" s="115"/>
      <c r="BZ1912" s="115"/>
      <c r="CA1912" s="115"/>
      <c r="CB1912" s="115"/>
      <c r="CC1912" s="26"/>
      <c r="CD1912" s="15"/>
      <c r="CH1912" s="118"/>
      <c r="CI1912" s="118"/>
      <c r="CJ1912" s="118"/>
      <c r="CK1912" s="118"/>
    </row>
    <row r="1913" spans="1:89" ht="19.5" x14ac:dyDescent="0.4">
      <c r="A1913" s="115"/>
      <c r="B1913" s="115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15"/>
      <c r="BF1913" s="115"/>
      <c r="BG1913" s="115"/>
      <c r="BH1913" s="115"/>
      <c r="BI1913" s="115"/>
      <c r="BJ1913" s="115"/>
      <c r="BK1913" s="115"/>
      <c r="BL1913" s="122"/>
      <c r="BM1913" s="122"/>
      <c r="BN1913" s="122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115"/>
      <c r="CA1913" s="115"/>
      <c r="CB1913" s="115"/>
      <c r="CC1913" s="26"/>
      <c r="CD1913" s="15"/>
      <c r="CH1913" s="118"/>
      <c r="CI1913" s="118"/>
      <c r="CJ1913" s="118"/>
      <c r="CK1913" s="118"/>
    </row>
    <row r="1914" spans="1:89" ht="20.25" customHeight="1" x14ac:dyDescent="0.4">
      <c r="A1914" s="115"/>
      <c r="B1914" s="115"/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15"/>
      <c r="BI1914" s="115"/>
      <c r="BJ1914" s="115"/>
      <c r="BK1914" s="115"/>
      <c r="BL1914" s="122"/>
      <c r="BM1914" s="122"/>
      <c r="BN1914" s="122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15"/>
      <c r="CA1914" s="115"/>
      <c r="CB1914" s="115"/>
      <c r="CC1914" s="26"/>
      <c r="CD1914" s="15"/>
      <c r="CH1914" s="118"/>
      <c r="CI1914" s="118"/>
      <c r="CJ1914" s="118"/>
      <c r="CK1914" s="118"/>
    </row>
    <row r="1915" spans="1:89" x14ac:dyDescent="0.4">
      <c r="CC1915" s="26"/>
      <c r="CD1915" s="15"/>
    </row>
    <row r="1916" spans="1:89" x14ac:dyDescent="0.4">
      <c r="CC1916" s="26"/>
      <c r="CD1916" s="13"/>
    </row>
    <row r="1917" spans="1:89" x14ac:dyDescent="0.4">
      <c r="BG1917" s="115"/>
      <c r="BH1917" s="115"/>
      <c r="BI1917" s="115"/>
      <c r="BJ1917" s="115"/>
      <c r="BK1917" s="115"/>
      <c r="BL1917" s="122"/>
      <c r="BM1917" s="122"/>
      <c r="BN1917" s="122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15"/>
      <c r="CA1917" s="115"/>
      <c r="CB1917" s="115"/>
      <c r="CC1917" s="26"/>
      <c r="CD1917" s="13"/>
    </row>
    <row r="1918" spans="1:89" x14ac:dyDescent="0.4">
      <c r="BG1918" s="115"/>
      <c r="BH1918" s="115"/>
      <c r="BI1918" s="115"/>
      <c r="BJ1918" s="115"/>
      <c r="BK1918" s="115"/>
      <c r="BL1918" s="122"/>
      <c r="BM1918" s="122"/>
      <c r="BN1918" s="122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115"/>
      <c r="BY1918" s="115"/>
      <c r="BZ1918" s="115"/>
      <c r="CA1918" s="115"/>
      <c r="CB1918" s="115"/>
      <c r="CC1918" s="17"/>
      <c r="CD1918" s="13"/>
    </row>
    <row r="1919" spans="1:89" x14ac:dyDescent="0.4"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  <c r="AI1919" s="115"/>
      <c r="AJ1919" s="115"/>
      <c r="AK1919" s="115"/>
      <c r="AL1919" s="115"/>
      <c r="AM1919" s="115"/>
      <c r="AN1919" s="115"/>
      <c r="AO1919" s="115"/>
      <c r="AP1919" s="115"/>
      <c r="AQ1919" s="115"/>
      <c r="AR1919" s="115"/>
      <c r="AS1919" s="115"/>
      <c r="AT1919" s="115"/>
      <c r="AU1919" s="115"/>
      <c r="AV1919" s="115"/>
      <c r="AW1919" s="115"/>
      <c r="AX1919" s="115"/>
      <c r="AY1919" s="115"/>
      <c r="AZ1919" s="115"/>
      <c r="BA1919" s="115"/>
      <c r="BB1919" s="115"/>
      <c r="BC1919" s="115"/>
      <c r="BD1919" s="115"/>
      <c r="BE1919" s="115"/>
      <c r="BF1919" s="115"/>
      <c r="BG1919" s="115"/>
      <c r="BH1919" s="115"/>
      <c r="BI1919" s="115"/>
      <c r="BJ1919" s="115"/>
      <c r="BK1919" s="115"/>
      <c r="BL1919" s="122"/>
      <c r="BM1919" s="122"/>
      <c r="BN1919" s="122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15"/>
      <c r="CA1919" s="115"/>
      <c r="CB1919" s="115"/>
      <c r="CC1919" s="26"/>
      <c r="CD1919" s="13"/>
    </row>
    <row r="1920" spans="1:89" x14ac:dyDescent="0.4"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  <c r="AI1920" s="115"/>
      <c r="AJ1920" s="115"/>
      <c r="AK1920" s="115"/>
      <c r="AL1920" s="115"/>
      <c r="AM1920" s="115"/>
      <c r="AN1920" s="115"/>
      <c r="AO1920" s="115"/>
      <c r="AP1920" s="115"/>
      <c r="AQ1920" s="115"/>
      <c r="AR1920" s="115"/>
      <c r="AS1920" s="115"/>
      <c r="AT1920" s="115"/>
      <c r="AU1920" s="115"/>
      <c r="AV1920" s="115"/>
      <c r="AW1920" s="115"/>
      <c r="AX1920" s="115"/>
      <c r="AY1920" s="115"/>
      <c r="AZ1920" s="115"/>
      <c r="BA1920" s="115"/>
      <c r="BB1920" s="115"/>
      <c r="BC1920" s="115"/>
      <c r="BD1920" s="115"/>
      <c r="BE1920" s="115"/>
      <c r="BF1920" s="115"/>
      <c r="BG1920" s="115"/>
      <c r="BH1920" s="115"/>
      <c r="BI1920" s="115"/>
      <c r="BJ1920" s="115"/>
      <c r="BK1920" s="115"/>
      <c r="BL1920" s="122"/>
      <c r="BM1920" s="122"/>
      <c r="BN1920" s="122"/>
      <c r="BO1920" s="115"/>
      <c r="BP1920" s="115"/>
      <c r="BQ1920" s="115"/>
      <c r="BR1920" s="115"/>
      <c r="BS1920" s="115"/>
      <c r="BT1920" s="115"/>
      <c r="BU1920" s="115"/>
      <c r="BV1920" s="115"/>
      <c r="BW1920" s="115"/>
      <c r="BX1920" s="115"/>
      <c r="BY1920" s="115"/>
      <c r="BZ1920" s="115"/>
      <c r="CA1920" s="115"/>
      <c r="CB1920" s="115"/>
      <c r="CC1920" s="26"/>
      <c r="CD1920" s="13"/>
    </row>
    <row r="1921" spans="1:82" x14ac:dyDescent="0.4">
      <c r="CC1921" s="26"/>
      <c r="CD1921" s="13"/>
    </row>
    <row r="1922" spans="1:82" x14ac:dyDescent="0.4">
      <c r="E1922" s="115"/>
      <c r="F1922" s="115"/>
      <c r="G1922" s="115"/>
      <c r="H1922" s="115"/>
      <c r="I1922" s="115"/>
      <c r="J1922" s="115"/>
      <c r="K1922" s="115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  <c r="AI1922" s="115"/>
      <c r="AJ1922" s="115"/>
      <c r="AK1922" s="115"/>
      <c r="AL1922" s="115"/>
      <c r="AM1922" s="115"/>
      <c r="AN1922" s="115"/>
      <c r="AO1922" s="115"/>
      <c r="AP1922" s="115"/>
      <c r="AQ1922" s="115"/>
      <c r="AR1922" s="115"/>
      <c r="AS1922" s="115"/>
      <c r="AT1922" s="115"/>
      <c r="AU1922" s="115"/>
      <c r="AV1922" s="115"/>
      <c r="AW1922" s="115"/>
      <c r="AX1922" s="115"/>
      <c r="AY1922" s="115"/>
      <c r="AZ1922" s="115"/>
      <c r="BA1922" s="115"/>
      <c r="BB1922" s="115"/>
      <c r="BC1922" s="115"/>
      <c r="BD1922" s="115"/>
      <c r="BE1922" s="115"/>
      <c r="BF1922" s="115"/>
      <c r="BG1922" s="115"/>
      <c r="BH1922" s="115"/>
      <c r="BI1922" s="115"/>
      <c r="BJ1922" s="115"/>
      <c r="BK1922" s="115"/>
      <c r="BL1922" s="122"/>
      <c r="BM1922" s="122"/>
      <c r="BN1922" s="122"/>
      <c r="BO1922" s="115"/>
      <c r="BP1922" s="115"/>
      <c r="BQ1922" s="115"/>
      <c r="BR1922" s="115"/>
      <c r="BS1922" s="115"/>
      <c r="BT1922" s="115"/>
      <c r="BU1922" s="115"/>
      <c r="BV1922" s="115"/>
      <c r="BW1922" s="115"/>
      <c r="BX1922" s="115"/>
      <c r="BY1922" s="115"/>
      <c r="BZ1922" s="115"/>
      <c r="CA1922" s="115"/>
      <c r="CB1922" s="115"/>
      <c r="CC1922" s="26"/>
      <c r="CD1922" s="13"/>
    </row>
    <row r="1923" spans="1:82" x14ac:dyDescent="0.4"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15"/>
      <c r="BE1923" s="115"/>
      <c r="BF1923" s="115"/>
      <c r="BG1923" s="115"/>
      <c r="BH1923" s="115"/>
      <c r="BI1923" s="115"/>
      <c r="BJ1923" s="115"/>
      <c r="BK1923" s="115"/>
      <c r="BL1923" s="122"/>
      <c r="BM1923" s="122"/>
      <c r="BN1923" s="122"/>
      <c r="BO1923" s="115"/>
      <c r="BP1923" s="115"/>
      <c r="BQ1923" s="115"/>
      <c r="BR1923" s="115"/>
      <c r="BS1923" s="115"/>
      <c r="BT1923" s="115"/>
      <c r="BU1923" s="115"/>
      <c r="BV1923" s="115"/>
      <c r="BW1923" s="115"/>
      <c r="BX1923" s="115"/>
      <c r="BY1923" s="115"/>
      <c r="BZ1923" s="115"/>
      <c r="CA1923" s="115"/>
      <c r="CB1923" s="115"/>
      <c r="CC1923" s="26"/>
      <c r="CD1923" s="13"/>
    </row>
    <row r="1924" spans="1:82" x14ac:dyDescent="0.4">
      <c r="CC1924" s="26"/>
      <c r="CD1924" s="13"/>
    </row>
    <row r="1925" spans="1:82" x14ac:dyDescent="0.4"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15"/>
      <c r="BI1925" s="115"/>
      <c r="BJ1925" s="115"/>
      <c r="BK1925" s="115"/>
      <c r="BL1925" s="122"/>
      <c r="BM1925" s="122"/>
      <c r="BN1925" s="122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15"/>
      <c r="BZ1925" s="115"/>
      <c r="CA1925" s="115"/>
      <c r="CB1925" s="115"/>
      <c r="CC1925" s="26"/>
      <c r="CD1925" s="13"/>
    </row>
    <row r="1926" spans="1:82" x14ac:dyDescent="0.4">
      <c r="CC1926" s="26"/>
      <c r="CD1926" s="13"/>
    </row>
    <row r="1927" spans="1:82" x14ac:dyDescent="0.4">
      <c r="BF1927" s="115"/>
      <c r="BG1927" s="115"/>
      <c r="BH1927" s="115"/>
      <c r="BI1927" s="115"/>
      <c r="BJ1927" s="115"/>
      <c r="BK1927" s="115"/>
      <c r="BL1927" s="122"/>
      <c r="BM1927" s="122"/>
      <c r="BN1927" s="122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15"/>
      <c r="BZ1927" s="115"/>
      <c r="CA1927" s="115"/>
      <c r="CB1927" s="115"/>
      <c r="CC1927" s="26"/>
      <c r="CD1927" s="13"/>
    </row>
    <row r="1928" spans="1:82" x14ac:dyDescent="0.4">
      <c r="CC1928" s="26"/>
      <c r="CD1928" s="13"/>
    </row>
    <row r="1929" spans="1:82" x14ac:dyDescent="0.4">
      <c r="D1929" s="115"/>
      <c r="E1929" s="115"/>
      <c r="F1929" s="115"/>
      <c r="G1929" s="115"/>
      <c r="H1929" s="115"/>
      <c r="I1929" s="115"/>
      <c r="J1929" s="115"/>
      <c r="K1929" s="115"/>
      <c r="L1929" s="115"/>
      <c r="M1929" s="115"/>
      <c r="N1929" s="115"/>
      <c r="O1929" s="115"/>
      <c r="P1929" s="115"/>
      <c r="Q1929" s="115"/>
      <c r="R1929" s="115"/>
      <c r="S1929" s="115"/>
      <c r="T1929" s="115"/>
      <c r="U1929" s="115"/>
      <c r="V1929" s="115"/>
      <c r="W1929" s="115"/>
      <c r="X1929" s="115"/>
      <c r="Y1929" s="115"/>
      <c r="Z1929" s="115"/>
      <c r="AA1929" s="115"/>
      <c r="AB1929" s="115"/>
      <c r="AC1929" s="115"/>
      <c r="AD1929" s="115"/>
      <c r="AE1929" s="115"/>
      <c r="AF1929" s="115"/>
      <c r="AG1929" s="115"/>
      <c r="AH1929" s="115"/>
      <c r="AI1929" s="115"/>
      <c r="AJ1929" s="115"/>
      <c r="AK1929" s="115"/>
      <c r="AL1929" s="115"/>
      <c r="AM1929" s="115"/>
      <c r="AN1929" s="115"/>
      <c r="AO1929" s="115"/>
      <c r="AP1929" s="115"/>
      <c r="AQ1929" s="115"/>
      <c r="AR1929" s="115"/>
      <c r="AS1929" s="115"/>
      <c r="AT1929" s="115"/>
      <c r="AU1929" s="115"/>
      <c r="AV1929" s="115"/>
      <c r="AW1929" s="115"/>
      <c r="AX1929" s="115"/>
      <c r="AY1929" s="115"/>
      <c r="AZ1929" s="115"/>
      <c r="BA1929" s="115"/>
      <c r="BB1929" s="115"/>
      <c r="BC1929" s="115"/>
      <c r="BD1929" s="115"/>
      <c r="BE1929" s="115"/>
      <c r="BF1929" s="115"/>
      <c r="BG1929" s="115"/>
      <c r="BH1929" s="115"/>
      <c r="BI1929" s="115"/>
      <c r="BJ1929" s="115"/>
      <c r="BK1929" s="115"/>
      <c r="BL1929" s="122"/>
      <c r="BM1929" s="122"/>
      <c r="BN1929" s="122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115"/>
      <c r="BY1929" s="115"/>
      <c r="BZ1929" s="115"/>
      <c r="CA1929" s="115"/>
      <c r="CB1929" s="115"/>
      <c r="CC1929" s="26"/>
      <c r="CD1929" s="15"/>
    </row>
    <row r="1930" spans="1:82" x14ac:dyDescent="0.4"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15"/>
      <c r="BH1930" s="115"/>
      <c r="BI1930" s="115"/>
      <c r="BJ1930" s="115"/>
      <c r="BK1930" s="115"/>
      <c r="BL1930" s="122"/>
      <c r="BM1930" s="122"/>
      <c r="BN1930" s="122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15"/>
      <c r="BY1930" s="115"/>
      <c r="BZ1930" s="115"/>
      <c r="CA1930" s="115"/>
      <c r="CB1930" s="115"/>
      <c r="CC1930" s="26"/>
      <c r="CD1930" s="15"/>
    </row>
    <row r="1931" spans="1:82" x14ac:dyDescent="0.4">
      <c r="D1931" s="115"/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15"/>
      <c r="BJ1931" s="115"/>
      <c r="BK1931" s="115"/>
      <c r="BL1931" s="122"/>
      <c r="BM1931" s="122"/>
      <c r="BN1931" s="122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15"/>
      <c r="CA1931" s="115"/>
      <c r="CB1931" s="115"/>
      <c r="CC1931" s="26"/>
      <c r="CD1931" s="15"/>
    </row>
    <row r="1932" spans="1:82" x14ac:dyDescent="0.4">
      <c r="CC1932" s="26"/>
      <c r="CD1932" s="13"/>
    </row>
    <row r="1933" spans="1:82" x14ac:dyDescent="0.4">
      <c r="A1933" s="115"/>
      <c r="B1933" s="115"/>
      <c r="C1933" s="115"/>
      <c r="D1933" s="115"/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15"/>
      <c r="BJ1933" s="115"/>
      <c r="BK1933" s="115"/>
      <c r="BL1933" s="122"/>
      <c r="BM1933" s="122"/>
      <c r="BN1933" s="122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115"/>
      <c r="CA1933" s="115"/>
      <c r="CB1933" s="115"/>
      <c r="CC1933" s="26"/>
      <c r="CD1933" s="15"/>
    </row>
    <row r="1934" spans="1:82" x14ac:dyDescent="0.4">
      <c r="CC1934" s="26"/>
      <c r="CD1934" s="15"/>
    </row>
    <row r="1935" spans="1:82" x14ac:dyDescent="0.4">
      <c r="CC1935" s="26"/>
      <c r="CD1935" s="15"/>
    </row>
    <row r="1936" spans="1:82" x14ac:dyDescent="0.4"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15"/>
      <c r="BH1936" s="115"/>
      <c r="BI1936" s="115"/>
      <c r="BJ1936" s="115"/>
      <c r="BK1936" s="115"/>
      <c r="BL1936" s="122"/>
      <c r="BM1936" s="122"/>
      <c r="BN1936" s="122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115"/>
      <c r="BY1936" s="115"/>
      <c r="BZ1936" s="115"/>
      <c r="CA1936" s="115"/>
      <c r="CB1936" s="115"/>
      <c r="CC1936" s="26"/>
      <c r="CD1936" s="15"/>
    </row>
    <row r="1937" spans="1:82" x14ac:dyDescent="0.4">
      <c r="C1937" s="115"/>
      <c r="D1937" s="115"/>
      <c r="E1937" s="115"/>
      <c r="F1937" s="115"/>
      <c r="G1937" s="115"/>
      <c r="H1937" s="115"/>
      <c r="I1937" s="115"/>
      <c r="J1937" s="115"/>
      <c r="K1937" s="115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  <c r="AI1937" s="115"/>
      <c r="AJ1937" s="115"/>
      <c r="AK1937" s="115"/>
      <c r="AL1937" s="115"/>
      <c r="AM1937" s="115"/>
      <c r="AN1937" s="115"/>
      <c r="AO1937" s="115"/>
      <c r="AP1937" s="115"/>
      <c r="AQ1937" s="115"/>
      <c r="AR1937" s="115"/>
      <c r="AS1937" s="115"/>
      <c r="AT1937" s="115"/>
      <c r="AU1937" s="115"/>
      <c r="AV1937" s="115"/>
      <c r="AW1937" s="115"/>
      <c r="AX1937" s="115"/>
      <c r="AY1937" s="115"/>
      <c r="AZ1937" s="115"/>
      <c r="BA1937" s="115"/>
      <c r="BB1937" s="115"/>
      <c r="BC1937" s="115"/>
      <c r="BD1937" s="115"/>
      <c r="BE1937" s="115"/>
      <c r="BF1937" s="115"/>
      <c r="BG1937" s="115"/>
      <c r="BH1937" s="115"/>
      <c r="BI1937" s="115"/>
      <c r="BJ1937" s="115"/>
      <c r="BK1937" s="115"/>
      <c r="BL1937" s="122"/>
      <c r="BM1937" s="122"/>
      <c r="BN1937" s="122"/>
      <c r="BO1937" s="115"/>
      <c r="BP1937" s="115"/>
      <c r="BQ1937" s="115"/>
      <c r="BR1937" s="115"/>
      <c r="BS1937" s="115"/>
      <c r="BT1937" s="115"/>
      <c r="BU1937" s="115"/>
      <c r="BV1937" s="115"/>
      <c r="BW1937" s="115"/>
      <c r="BX1937" s="115"/>
      <c r="BY1937" s="115"/>
      <c r="BZ1937" s="115"/>
      <c r="CA1937" s="115"/>
      <c r="CB1937" s="115"/>
      <c r="CC1937" s="26"/>
      <c r="CD1937" s="15"/>
    </row>
    <row r="1938" spans="1:82" x14ac:dyDescent="0.4">
      <c r="CC1938" s="26"/>
      <c r="CD1938" s="15"/>
    </row>
    <row r="1939" spans="1:82" x14ac:dyDescent="0.4">
      <c r="BE1939" s="115"/>
      <c r="BF1939" s="115"/>
      <c r="BG1939" s="115"/>
      <c r="BH1939" s="115"/>
      <c r="BI1939" s="115"/>
      <c r="BJ1939" s="115"/>
      <c r="BK1939" s="115"/>
      <c r="BL1939" s="122"/>
      <c r="BM1939" s="122"/>
      <c r="BN1939" s="122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115"/>
      <c r="CA1939" s="115"/>
      <c r="CB1939" s="115"/>
      <c r="CC1939" s="26"/>
      <c r="CD1939" s="15"/>
    </row>
    <row r="1940" spans="1:82" x14ac:dyDescent="0.4"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15"/>
      <c r="BG1940" s="115"/>
      <c r="BH1940" s="115"/>
      <c r="BI1940" s="115"/>
      <c r="BJ1940" s="115"/>
      <c r="BK1940" s="115"/>
      <c r="BL1940" s="122"/>
      <c r="BM1940" s="122"/>
      <c r="BN1940" s="122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115"/>
      <c r="CA1940" s="115"/>
      <c r="CB1940" s="115"/>
      <c r="CC1940" s="26"/>
      <c r="CD1940" s="15"/>
    </row>
    <row r="1941" spans="1:82" x14ac:dyDescent="0.4">
      <c r="D1941" s="115"/>
      <c r="E1941" s="115"/>
      <c r="F1941" s="115"/>
      <c r="G1941" s="115"/>
      <c r="H1941" s="115"/>
      <c r="I1941" s="115"/>
      <c r="J1941" s="115"/>
      <c r="K1941" s="115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  <c r="AI1941" s="115"/>
      <c r="AJ1941" s="115"/>
      <c r="AK1941" s="115"/>
      <c r="AL1941" s="115"/>
      <c r="AM1941" s="115"/>
      <c r="AN1941" s="115"/>
      <c r="AO1941" s="115"/>
      <c r="AP1941" s="115"/>
      <c r="AQ1941" s="115"/>
      <c r="AR1941" s="115"/>
      <c r="AS1941" s="115"/>
      <c r="AT1941" s="115"/>
      <c r="AU1941" s="115"/>
      <c r="AV1941" s="115"/>
      <c r="AW1941" s="115"/>
      <c r="AX1941" s="115"/>
      <c r="AY1941" s="115"/>
      <c r="AZ1941" s="115"/>
      <c r="BA1941" s="115"/>
      <c r="BB1941" s="115"/>
      <c r="BC1941" s="115"/>
      <c r="BD1941" s="115"/>
      <c r="BE1941" s="115"/>
      <c r="BF1941" s="115"/>
      <c r="BG1941" s="115"/>
      <c r="BH1941" s="115"/>
      <c r="BI1941" s="115"/>
      <c r="BJ1941" s="115"/>
      <c r="BK1941" s="115"/>
      <c r="BL1941" s="122"/>
      <c r="BM1941" s="122"/>
      <c r="BN1941" s="122"/>
      <c r="BO1941" s="115"/>
      <c r="BP1941" s="115"/>
      <c r="BQ1941" s="115"/>
      <c r="BR1941" s="115"/>
      <c r="BS1941" s="115"/>
      <c r="BT1941" s="115"/>
      <c r="BU1941" s="115"/>
      <c r="BV1941" s="115"/>
      <c r="BW1941" s="115"/>
      <c r="BX1941" s="115"/>
      <c r="BY1941" s="115"/>
      <c r="BZ1941" s="115"/>
      <c r="CA1941" s="115"/>
      <c r="CB1941" s="115"/>
      <c r="CC1941" s="26"/>
      <c r="CD1941" s="15"/>
    </row>
    <row r="1942" spans="1:82" x14ac:dyDescent="0.4"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15"/>
      <c r="BG1942" s="115"/>
      <c r="BH1942" s="115"/>
      <c r="BI1942" s="115"/>
      <c r="BJ1942" s="115"/>
      <c r="BK1942" s="115"/>
      <c r="BL1942" s="122"/>
      <c r="BM1942" s="122"/>
      <c r="BN1942" s="122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115"/>
      <c r="BZ1942" s="115"/>
      <c r="CA1942" s="115"/>
      <c r="CB1942" s="115"/>
      <c r="CC1942" s="26"/>
      <c r="CD1942" s="15"/>
    </row>
    <row r="1943" spans="1:82" x14ac:dyDescent="0.4"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15"/>
      <c r="BF1943" s="115"/>
      <c r="BG1943" s="115"/>
      <c r="BH1943" s="115"/>
      <c r="BI1943" s="115"/>
      <c r="BJ1943" s="115"/>
      <c r="BK1943" s="115"/>
      <c r="BL1943" s="122"/>
      <c r="BM1943" s="122"/>
      <c r="BN1943" s="122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115"/>
      <c r="BZ1943" s="115"/>
      <c r="CA1943" s="115"/>
      <c r="CB1943" s="115"/>
      <c r="CC1943" s="26"/>
      <c r="CD1943" s="15"/>
    </row>
    <row r="1944" spans="1:82" x14ac:dyDescent="0.4">
      <c r="CC1944" s="26"/>
      <c r="CD1944" s="15"/>
    </row>
    <row r="1945" spans="1:82" x14ac:dyDescent="0.4">
      <c r="BH1945" s="115"/>
      <c r="BI1945" s="115"/>
      <c r="BJ1945" s="115"/>
      <c r="BK1945" s="115"/>
      <c r="BL1945" s="122"/>
      <c r="BM1945" s="122"/>
      <c r="BN1945" s="122"/>
      <c r="BO1945" s="115"/>
      <c r="BP1945" s="115"/>
      <c r="BQ1945" s="115"/>
      <c r="BR1945" s="115"/>
      <c r="BS1945" s="115"/>
      <c r="BT1945" s="115"/>
      <c r="BU1945" s="115"/>
      <c r="BV1945" s="115"/>
      <c r="BW1945" s="115"/>
      <c r="BX1945" s="115"/>
      <c r="BY1945" s="115"/>
      <c r="BZ1945" s="115"/>
      <c r="CA1945" s="115"/>
      <c r="CB1945" s="115"/>
      <c r="CC1945" s="17"/>
      <c r="CD1945" s="15"/>
    </row>
    <row r="1946" spans="1:82" x14ac:dyDescent="0.4">
      <c r="CC1946" s="26"/>
      <c r="CD1946" s="15"/>
    </row>
    <row r="1947" spans="1:82" x14ac:dyDescent="0.4">
      <c r="BF1947" s="115"/>
      <c r="BG1947" s="115"/>
      <c r="BH1947" s="115"/>
      <c r="BI1947" s="115"/>
      <c r="BJ1947" s="115"/>
      <c r="BK1947" s="115"/>
      <c r="BL1947" s="122"/>
      <c r="BM1947" s="122"/>
      <c r="BN1947" s="122"/>
      <c r="BO1947" s="115"/>
      <c r="BP1947" s="115"/>
      <c r="BQ1947" s="115"/>
      <c r="BR1947" s="115"/>
      <c r="BS1947" s="115"/>
      <c r="BT1947" s="115"/>
      <c r="BU1947" s="115"/>
      <c r="BV1947" s="115"/>
      <c r="BW1947" s="115"/>
      <c r="BX1947" s="115"/>
      <c r="BY1947" s="115"/>
      <c r="BZ1947" s="115"/>
      <c r="CA1947" s="115"/>
      <c r="CB1947" s="115"/>
      <c r="CC1947" s="26"/>
      <c r="CD1947" s="15"/>
    </row>
    <row r="1948" spans="1:82" x14ac:dyDescent="0.4">
      <c r="CC1948" s="26"/>
      <c r="CD1948" s="15"/>
    </row>
    <row r="1949" spans="1:82" x14ac:dyDescent="0.4">
      <c r="CC1949" s="26"/>
      <c r="CD1949" s="15"/>
    </row>
    <row r="1950" spans="1:82" x14ac:dyDescent="0.4">
      <c r="E1950" s="115"/>
      <c r="F1950" s="115"/>
      <c r="G1950" s="115"/>
      <c r="H1950" s="115"/>
      <c r="I1950" s="115"/>
      <c r="J1950" s="115"/>
      <c r="K1950" s="115"/>
      <c r="L1950" s="115"/>
      <c r="M1950" s="115"/>
      <c r="N1950" s="115"/>
      <c r="O1950" s="115"/>
      <c r="P1950" s="115"/>
      <c r="Q1950" s="115"/>
      <c r="R1950" s="115"/>
      <c r="S1950" s="115"/>
      <c r="T1950" s="115"/>
      <c r="U1950" s="115"/>
      <c r="V1950" s="115"/>
      <c r="W1950" s="115"/>
      <c r="X1950" s="115"/>
      <c r="Y1950" s="115"/>
      <c r="Z1950" s="115"/>
      <c r="AA1950" s="115"/>
      <c r="AB1950" s="115"/>
      <c r="AC1950" s="115"/>
      <c r="AD1950" s="115"/>
      <c r="AE1950" s="115"/>
      <c r="AF1950" s="115"/>
      <c r="AG1950" s="115"/>
      <c r="AH1950" s="115"/>
      <c r="AI1950" s="115"/>
      <c r="AJ1950" s="115"/>
      <c r="AK1950" s="115"/>
      <c r="AL1950" s="115"/>
      <c r="AM1950" s="115"/>
      <c r="AN1950" s="115"/>
      <c r="AO1950" s="115"/>
      <c r="AP1950" s="115"/>
      <c r="AQ1950" s="115"/>
      <c r="AR1950" s="115"/>
      <c r="AS1950" s="115"/>
      <c r="AT1950" s="115"/>
      <c r="AU1950" s="115"/>
      <c r="AV1950" s="115"/>
      <c r="AW1950" s="115"/>
      <c r="AX1950" s="115"/>
      <c r="AY1950" s="115"/>
      <c r="AZ1950" s="115"/>
      <c r="BA1950" s="115"/>
      <c r="BB1950" s="115"/>
      <c r="BC1950" s="115"/>
      <c r="BD1950" s="115"/>
      <c r="BE1950" s="115"/>
      <c r="BF1950" s="115"/>
      <c r="BG1950" s="115"/>
      <c r="BH1950" s="115"/>
      <c r="BI1950" s="115"/>
      <c r="BJ1950" s="115"/>
      <c r="BK1950" s="115"/>
      <c r="BL1950" s="122"/>
      <c r="BM1950" s="122"/>
      <c r="BN1950" s="122"/>
      <c r="BO1950" s="115"/>
      <c r="BP1950" s="115"/>
      <c r="BQ1950" s="115"/>
      <c r="BR1950" s="115"/>
      <c r="BS1950" s="115"/>
      <c r="BT1950" s="115"/>
      <c r="BU1950" s="115"/>
      <c r="BV1950" s="115"/>
      <c r="BW1950" s="115"/>
      <c r="BX1950" s="115"/>
      <c r="BY1950" s="115"/>
      <c r="BZ1950" s="115"/>
      <c r="CA1950" s="115"/>
      <c r="CB1950" s="115"/>
      <c r="CC1950" s="26"/>
      <c r="CD1950" s="15"/>
    </row>
    <row r="1951" spans="1:82" x14ac:dyDescent="0.4"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15"/>
      <c r="BG1951" s="115"/>
      <c r="BH1951" s="115"/>
      <c r="BI1951" s="115"/>
      <c r="BJ1951" s="115"/>
      <c r="BK1951" s="115"/>
      <c r="BL1951" s="122"/>
      <c r="BM1951" s="122"/>
      <c r="BN1951" s="122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115"/>
      <c r="CA1951" s="115"/>
      <c r="CB1951" s="115"/>
      <c r="CC1951" s="26"/>
      <c r="CD1951" s="15"/>
    </row>
    <row r="1952" spans="1:82" x14ac:dyDescent="0.4">
      <c r="A1952" s="115"/>
      <c r="B1952" s="115"/>
      <c r="C1952" s="115"/>
      <c r="D1952" s="115"/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15"/>
      <c r="BF1952" s="115"/>
      <c r="BG1952" s="115"/>
      <c r="BH1952" s="115"/>
      <c r="BI1952" s="115"/>
      <c r="BJ1952" s="115"/>
      <c r="BK1952" s="115"/>
      <c r="BL1952" s="122"/>
      <c r="BM1952" s="122"/>
      <c r="BN1952" s="122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115"/>
      <c r="BY1952" s="115"/>
      <c r="BZ1952" s="115"/>
      <c r="CA1952" s="115"/>
      <c r="CB1952" s="115"/>
      <c r="CC1952" s="26"/>
      <c r="CD1952" s="15"/>
    </row>
    <row r="1953" spans="1:82" x14ac:dyDescent="0.4">
      <c r="A1953" s="115"/>
      <c r="B1953" s="115"/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15"/>
      <c r="BH1953" s="115"/>
      <c r="BI1953" s="115"/>
      <c r="BJ1953" s="115"/>
      <c r="BK1953" s="115"/>
      <c r="BL1953" s="122"/>
      <c r="BM1953" s="122"/>
      <c r="BN1953" s="122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115"/>
      <c r="BY1953" s="115"/>
      <c r="BZ1953" s="115"/>
      <c r="CA1953" s="115"/>
      <c r="CB1953" s="115"/>
      <c r="CC1953" s="26"/>
      <c r="CD1953" s="15"/>
    </row>
    <row r="1954" spans="1:82" x14ac:dyDescent="0.4">
      <c r="CC1954" s="26"/>
      <c r="CD1954" s="15"/>
    </row>
    <row r="1955" spans="1:82" x14ac:dyDescent="0.4">
      <c r="BH1955" s="115"/>
      <c r="BI1955" s="115"/>
      <c r="BJ1955" s="115"/>
      <c r="BK1955" s="115"/>
      <c r="BL1955" s="122"/>
      <c r="BM1955" s="122"/>
      <c r="BN1955" s="122"/>
      <c r="BO1955" s="115"/>
      <c r="BP1955" s="115"/>
      <c r="BQ1955" s="115"/>
      <c r="BR1955" s="115"/>
      <c r="BS1955" s="115"/>
      <c r="BT1955" s="115"/>
      <c r="BU1955" s="115"/>
      <c r="BV1955" s="115"/>
      <c r="BW1955" s="115"/>
      <c r="BX1955" s="115"/>
      <c r="BY1955" s="115"/>
      <c r="BZ1955" s="115"/>
      <c r="CA1955" s="115"/>
      <c r="CB1955" s="115"/>
      <c r="CC1955" s="17"/>
      <c r="CD1955" s="15"/>
    </row>
    <row r="1956" spans="1:82" x14ac:dyDescent="0.4">
      <c r="CC1956" s="26"/>
      <c r="CD1956" s="15"/>
    </row>
    <row r="1957" spans="1:82" x14ac:dyDescent="0.4">
      <c r="E1957" s="115"/>
      <c r="F1957" s="115"/>
      <c r="G1957" s="115"/>
      <c r="H1957" s="115"/>
      <c r="I1957" s="115"/>
      <c r="J1957" s="115"/>
      <c r="K1957" s="115"/>
      <c r="L1957" s="115"/>
      <c r="M1957" s="115"/>
      <c r="N1957" s="115"/>
      <c r="O1957" s="115"/>
      <c r="P1957" s="115"/>
      <c r="Q1957" s="115"/>
      <c r="R1957" s="115"/>
      <c r="S1957" s="115"/>
      <c r="T1957" s="115"/>
      <c r="U1957" s="115"/>
      <c r="V1957" s="115"/>
      <c r="W1957" s="115"/>
      <c r="X1957" s="115"/>
      <c r="Y1957" s="115"/>
      <c r="Z1957" s="115"/>
      <c r="AA1957" s="115"/>
      <c r="AB1957" s="115"/>
      <c r="AC1957" s="115"/>
      <c r="AD1957" s="115"/>
      <c r="AE1957" s="115"/>
      <c r="AF1957" s="115"/>
      <c r="AG1957" s="115"/>
      <c r="AH1957" s="115"/>
      <c r="AI1957" s="115"/>
      <c r="AJ1957" s="115"/>
      <c r="AK1957" s="115"/>
      <c r="AL1957" s="115"/>
      <c r="AM1957" s="115"/>
      <c r="AN1957" s="115"/>
      <c r="AO1957" s="115"/>
      <c r="AP1957" s="115"/>
      <c r="AQ1957" s="115"/>
      <c r="AR1957" s="115"/>
      <c r="AS1957" s="115"/>
      <c r="AT1957" s="115"/>
      <c r="AU1957" s="115"/>
      <c r="AV1957" s="115"/>
      <c r="AW1957" s="115"/>
      <c r="AX1957" s="115"/>
      <c r="AY1957" s="115"/>
      <c r="AZ1957" s="115"/>
      <c r="BA1957" s="115"/>
      <c r="BB1957" s="115"/>
      <c r="BC1957" s="115"/>
      <c r="BD1957" s="115"/>
      <c r="BE1957" s="115"/>
      <c r="BF1957" s="115"/>
      <c r="BG1957" s="115"/>
      <c r="BH1957" s="115"/>
      <c r="BI1957" s="115"/>
      <c r="BJ1957" s="115"/>
      <c r="BK1957" s="115"/>
      <c r="BL1957" s="122"/>
      <c r="BM1957" s="122"/>
      <c r="BN1957" s="122"/>
      <c r="BO1957" s="115"/>
      <c r="BP1957" s="115"/>
      <c r="BQ1957" s="115"/>
      <c r="BR1957" s="115"/>
      <c r="BS1957" s="115"/>
      <c r="BT1957" s="115"/>
      <c r="BU1957" s="115"/>
      <c r="BV1957" s="115"/>
      <c r="BW1957" s="115"/>
      <c r="BX1957" s="115"/>
      <c r="BY1957" s="115"/>
      <c r="BZ1957" s="115"/>
      <c r="CA1957" s="115"/>
      <c r="CB1957" s="115"/>
      <c r="CC1957" s="26"/>
      <c r="CD1957" s="15"/>
    </row>
    <row r="1958" spans="1:82" x14ac:dyDescent="0.4">
      <c r="C1958" s="115"/>
      <c r="D1958" s="115"/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15"/>
      <c r="BF1958" s="115"/>
      <c r="BG1958" s="115"/>
      <c r="BH1958" s="115"/>
      <c r="BI1958" s="115"/>
      <c r="BJ1958" s="115"/>
      <c r="BK1958" s="115"/>
      <c r="BL1958" s="122"/>
      <c r="BM1958" s="122"/>
      <c r="BN1958" s="122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15"/>
      <c r="CA1958" s="115"/>
      <c r="CB1958" s="115"/>
      <c r="CC1958" s="26"/>
      <c r="CD1958" s="15"/>
    </row>
    <row r="1959" spans="1:82" x14ac:dyDescent="0.4">
      <c r="C1959" s="115"/>
      <c r="D1959" s="115"/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15"/>
      <c r="BI1959" s="115"/>
      <c r="BJ1959" s="115"/>
      <c r="BK1959" s="115"/>
      <c r="BL1959" s="122"/>
      <c r="BM1959" s="122"/>
      <c r="BN1959" s="122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15"/>
      <c r="CA1959" s="115"/>
      <c r="CB1959" s="115"/>
      <c r="CC1959" s="17"/>
      <c r="CD1959" s="15"/>
    </row>
    <row r="1960" spans="1:82" x14ac:dyDescent="0.4">
      <c r="CC1960" s="26"/>
      <c r="CD1960" s="15"/>
    </row>
    <row r="1961" spans="1:82" x14ac:dyDescent="0.4"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15"/>
      <c r="BJ1961" s="115"/>
      <c r="BK1961" s="115"/>
      <c r="BL1961" s="122"/>
      <c r="BM1961" s="122"/>
      <c r="BN1961" s="122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115"/>
      <c r="CA1961" s="115"/>
      <c r="CB1961" s="115"/>
      <c r="CC1961" s="26"/>
      <c r="CD1961" s="15"/>
    </row>
    <row r="1962" spans="1:82" x14ac:dyDescent="0.4"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15"/>
      <c r="BJ1962" s="115"/>
      <c r="BK1962" s="115"/>
      <c r="BL1962" s="122"/>
      <c r="BM1962" s="122"/>
      <c r="BN1962" s="122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115"/>
      <c r="CA1962" s="115"/>
      <c r="CB1962" s="115"/>
      <c r="CC1962" s="17"/>
      <c r="CD1962" s="15"/>
    </row>
    <row r="1963" spans="1:82" x14ac:dyDescent="0.4">
      <c r="CC1963" s="26"/>
      <c r="CD1963" s="15"/>
    </row>
    <row r="1964" spans="1:82" x14ac:dyDescent="0.4">
      <c r="BH1964" s="115"/>
      <c r="BI1964" s="115"/>
      <c r="BJ1964" s="115"/>
      <c r="BK1964" s="115"/>
      <c r="BL1964" s="122"/>
      <c r="BM1964" s="122"/>
      <c r="BN1964" s="122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115"/>
      <c r="CA1964" s="115"/>
      <c r="CB1964" s="115"/>
      <c r="CC1964" s="17"/>
      <c r="CD1964" s="15"/>
    </row>
    <row r="1965" spans="1:82" x14ac:dyDescent="0.4">
      <c r="C1965" s="115"/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15"/>
      <c r="BJ1965" s="115"/>
      <c r="BK1965" s="115"/>
      <c r="BL1965" s="122"/>
      <c r="BM1965" s="122"/>
      <c r="BN1965" s="122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115"/>
      <c r="CA1965" s="115"/>
      <c r="CB1965" s="115"/>
      <c r="CC1965" s="26"/>
      <c r="CD1965" s="15"/>
    </row>
    <row r="1966" spans="1:82" x14ac:dyDescent="0.4">
      <c r="C1966" s="115"/>
      <c r="D1966" s="115"/>
      <c r="E1966" s="115"/>
      <c r="F1966" s="115"/>
      <c r="G1966" s="115"/>
      <c r="H1966" s="115"/>
      <c r="I1966" s="115"/>
      <c r="J1966" s="115"/>
      <c r="K1966" s="115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  <c r="AI1966" s="115"/>
      <c r="AJ1966" s="115"/>
      <c r="AK1966" s="115"/>
      <c r="AL1966" s="115"/>
      <c r="AM1966" s="115"/>
      <c r="AN1966" s="115"/>
      <c r="AO1966" s="115"/>
      <c r="AP1966" s="115"/>
      <c r="AQ1966" s="115"/>
      <c r="AR1966" s="115"/>
      <c r="AS1966" s="115"/>
      <c r="AT1966" s="115"/>
      <c r="AU1966" s="115"/>
      <c r="AV1966" s="115"/>
      <c r="AW1966" s="115"/>
      <c r="AX1966" s="115"/>
      <c r="AY1966" s="115"/>
      <c r="AZ1966" s="115"/>
      <c r="BA1966" s="115"/>
      <c r="BB1966" s="115"/>
      <c r="BC1966" s="115"/>
      <c r="BD1966" s="115"/>
      <c r="BE1966" s="115"/>
      <c r="BF1966" s="115"/>
      <c r="BG1966" s="115"/>
      <c r="BH1966" s="115"/>
      <c r="BI1966" s="115"/>
      <c r="BJ1966" s="115"/>
      <c r="BK1966" s="115"/>
      <c r="BL1966" s="122"/>
      <c r="BM1966" s="122"/>
      <c r="BN1966" s="122"/>
      <c r="BO1966" s="115"/>
      <c r="BP1966" s="115"/>
      <c r="BQ1966" s="115"/>
      <c r="BR1966" s="115"/>
      <c r="BS1966" s="115"/>
      <c r="BT1966" s="115"/>
      <c r="BU1966" s="115"/>
      <c r="BV1966" s="115"/>
      <c r="BW1966" s="115"/>
      <c r="BX1966" s="115"/>
      <c r="BY1966" s="115"/>
      <c r="BZ1966" s="115"/>
      <c r="CA1966" s="115"/>
      <c r="CB1966" s="115"/>
      <c r="CC1966" s="17"/>
      <c r="CD1966" s="15"/>
    </row>
    <row r="1967" spans="1:82" x14ac:dyDescent="0.4">
      <c r="CC1967" s="26"/>
      <c r="CD1967" s="15"/>
    </row>
    <row r="1968" spans="1:82" x14ac:dyDescent="0.4">
      <c r="CC1968" s="26"/>
      <c r="CD1968" s="15"/>
    </row>
    <row r="1969" spans="3:82" x14ac:dyDescent="0.4">
      <c r="BG1969" s="115"/>
      <c r="BH1969" s="115"/>
      <c r="BI1969" s="115"/>
      <c r="BJ1969" s="115"/>
      <c r="BK1969" s="115"/>
      <c r="BL1969" s="122"/>
      <c r="BM1969" s="122"/>
      <c r="BN1969" s="122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115"/>
      <c r="CA1969" s="115"/>
      <c r="CB1969" s="115"/>
      <c r="CC1969" s="26"/>
      <c r="CD1969" s="15"/>
    </row>
    <row r="1970" spans="3:82" x14ac:dyDescent="0.4">
      <c r="BE1970" s="115"/>
      <c r="BF1970" s="115"/>
      <c r="BG1970" s="115"/>
      <c r="BH1970" s="115"/>
      <c r="BI1970" s="115"/>
      <c r="BJ1970" s="115"/>
      <c r="BK1970" s="115"/>
      <c r="BL1970" s="122"/>
      <c r="BM1970" s="122"/>
      <c r="BN1970" s="122"/>
      <c r="BO1970" s="115"/>
      <c r="BP1970" s="115"/>
      <c r="BQ1970" s="115"/>
      <c r="BR1970" s="115"/>
      <c r="BS1970" s="115"/>
      <c r="BT1970" s="115"/>
      <c r="BU1970" s="115"/>
      <c r="BV1970" s="115"/>
      <c r="BW1970" s="115"/>
      <c r="BX1970" s="115"/>
      <c r="BY1970" s="115"/>
      <c r="BZ1970" s="115"/>
      <c r="CA1970" s="115"/>
      <c r="CB1970" s="115"/>
      <c r="CC1970" s="26"/>
      <c r="CD1970" s="15"/>
    </row>
    <row r="1971" spans="3:82" x14ac:dyDescent="0.4">
      <c r="BE1971" s="115"/>
      <c r="BF1971" s="115"/>
      <c r="BG1971" s="115"/>
      <c r="BH1971" s="115"/>
      <c r="BI1971" s="115"/>
      <c r="BJ1971" s="115"/>
      <c r="BK1971" s="115"/>
      <c r="BL1971" s="122"/>
      <c r="BM1971" s="122"/>
      <c r="BN1971" s="122"/>
      <c r="BO1971" s="115"/>
      <c r="BP1971" s="115"/>
      <c r="BQ1971" s="115"/>
      <c r="BR1971" s="115"/>
      <c r="BS1971" s="115"/>
      <c r="BT1971" s="115"/>
      <c r="BU1971" s="115"/>
      <c r="BV1971" s="115"/>
      <c r="BW1971" s="115"/>
      <c r="BX1971" s="115"/>
      <c r="BY1971" s="115"/>
      <c r="BZ1971" s="115"/>
      <c r="CA1971" s="115"/>
      <c r="CB1971" s="115"/>
      <c r="CC1971" s="26"/>
      <c r="CD1971" s="15"/>
    </row>
    <row r="1972" spans="3:82" x14ac:dyDescent="0.4"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15"/>
      <c r="BF1972" s="115"/>
      <c r="BG1972" s="115"/>
      <c r="BH1972" s="115"/>
      <c r="BI1972" s="115"/>
      <c r="BJ1972" s="115"/>
      <c r="BK1972" s="115"/>
      <c r="BL1972" s="122"/>
      <c r="BM1972" s="122"/>
      <c r="BN1972" s="122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115"/>
      <c r="CA1972" s="115"/>
      <c r="CB1972" s="115"/>
      <c r="CC1972" s="26"/>
      <c r="CD1972" s="15"/>
    </row>
    <row r="1973" spans="3:82" x14ac:dyDescent="0.4"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15"/>
      <c r="BH1973" s="115"/>
      <c r="BI1973" s="115"/>
      <c r="BJ1973" s="115"/>
      <c r="BK1973" s="115"/>
      <c r="BL1973" s="122"/>
      <c r="BM1973" s="122"/>
      <c r="BN1973" s="122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115"/>
      <c r="BY1973" s="115"/>
      <c r="BZ1973" s="115"/>
      <c r="CA1973" s="115"/>
      <c r="CB1973" s="115"/>
      <c r="CC1973" s="26"/>
      <c r="CD1973" s="15"/>
    </row>
    <row r="1974" spans="3:82" x14ac:dyDescent="0.4">
      <c r="CC1974" s="26"/>
      <c r="CD1974" s="15"/>
    </row>
    <row r="1975" spans="3:82" x14ac:dyDescent="0.4">
      <c r="BG1975" s="115"/>
      <c r="BH1975" s="115"/>
      <c r="BI1975" s="115"/>
      <c r="BJ1975" s="115"/>
      <c r="BK1975" s="115"/>
      <c r="BL1975" s="122"/>
      <c r="BM1975" s="122"/>
      <c r="BN1975" s="122"/>
      <c r="BO1975" s="115"/>
      <c r="BP1975" s="115"/>
      <c r="BQ1975" s="115"/>
      <c r="BR1975" s="115"/>
      <c r="BS1975" s="115"/>
      <c r="BT1975" s="115"/>
      <c r="BU1975" s="115"/>
      <c r="BV1975" s="115"/>
      <c r="BW1975" s="115"/>
      <c r="BX1975" s="115"/>
      <c r="BY1975" s="115"/>
      <c r="BZ1975" s="115"/>
      <c r="CA1975" s="115"/>
      <c r="CB1975" s="115"/>
      <c r="CC1975" s="26"/>
      <c r="CD1975" s="15"/>
    </row>
    <row r="1976" spans="3:82" x14ac:dyDescent="0.4">
      <c r="CC1976" s="26"/>
      <c r="CD1976" s="15"/>
    </row>
    <row r="1977" spans="3:82" x14ac:dyDescent="0.4">
      <c r="BH1977" s="115"/>
      <c r="BI1977" s="115"/>
      <c r="BJ1977" s="115"/>
      <c r="BK1977" s="115"/>
      <c r="BL1977" s="122"/>
      <c r="BM1977" s="122"/>
      <c r="BN1977" s="122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115"/>
      <c r="BZ1977" s="115"/>
      <c r="CA1977" s="115"/>
      <c r="CB1977" s="115"/>
      <c r="CC1977" s="17"/>
      <c r="CD1977" s="15"/>
    </row>
    <row r="1978" spans="3:82" x14ac:dyDescent="0.4">
      <c r="BG1978" s="115"/>
      <c r="BH1978" s="115"/>
      <c r="BI1978" s="115"/>
      <c r="BJ1978" s="115"/>
      <c r="BK1978" s="115"/>
      <c r="BL1978" s="122"/>
      <c r="BM1978" s="122"/>
      <c r="BN1978" s="122"/>
      <c r="BO1978" s="115"/>
      <c r="BP1978" s="115"/>
      <c r="BQ1978" s="115"/>
      <c r="BR1978" s="115"/>
      <c r="BS1978" s="115"/>
      <c r="BT1978" s="115"/>
      <c r="BU1978" s="115"/>
      <c r="BV1978" s="115"/>
      <c r="BW1978" s="115"/>
      <c r="BX1978" s="115"/>
      <c r="BY1978" s="115"/>
      <c r="BZ1978" s="115"/>
      <c r="CA1978" s="115"/>
      <c r="CB1978" s="115"/>
      <c r="CC1978" s="26"/>
      <c r="CD1978" s="15"/>
    </row>
    <row r="1979" spans="3:82" x14ac:dyDescent="0.4"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15"/>
      <c r="BJ1979" s="115"/>
      <c r="BK1979" s="115"/>
      <c r="BL1979" s="122"/>
      <c r="BM1979" s="122"/>
      <c r="BN1979" s="122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115"/>
      <c r="CA1979" s="115"/>
      <c r="CB1979" s="115"/>
      <c r="CC1979" s="26"/>
      <c r="CD1979" s="15"/>
    </row>
    <row r="1980" spans="3:82" x14ac:dyDescent="0.4">
      <c r="C1980" s="115"/>
      <c r="D1980" s="115"/>
      <c r="E1980" s="115"/>
      <c r="F1980" s="115"/>
      <c r="G1980" s="115"/>
      <c r="H1980" s="115"/>
      <c r="I1980" s="115"/>
      <c r="J1980" s="115"/>
      <c r="K1980" s="115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  <c r="AI1980" s="115"/>
      <c r="AJ1980" s="115"/>
      <c r="AK1980" s="115"/>
      <c r="AL1980" s="115"/>
      <c r="AM1980" s="115"/>
      <c r="AN1980" s="115"/>
      <c r="AO1980" s="115"/>
      <c r="AP1980" s="115"/>
      <c r="AQ1980" s="115"/>
      <c r="AR1980" s="115"/>
      <c r="AS1980" s="115"/>
      <c r="AT1980" s="115"/>
      <c r="AU1980" s="115"/>
      <c r="AV1980" s="115"/>
      <c r="AW1980" s="115"/>
      <c r="AX1980" s="115"/>
      <c r="AY1980" s="115"/>
      <c r="AZ1980" s="115"/>
      <c r="BA1980" s="115"/>
      <c r="BB1980" s="115"/>
      <c r="BC1980" s="115"/>
      <c r="BD1980" s="115"/>
      <c r="BE1980" s="115"/>
      <c r="BF1980" s="115"/>
      <c r="BG1980" s="115"/>
      <c r="BH1980" s="115"/>
      <c r="BI1980" s="115"/>
      <c r="BJ1980" s="115"/>
      <c r="BK1980" s="115"/>
      <c r="BL1980" s="122"/>
      <c r="BM1980" s="122"/>
      <c r="BN1980" s="122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15"/>
      <c r="BY1980" s="115"/>
      <c r="BZ1980" s="115"/>
      <c r="CA1980" s="115"/>
      <c r="CB1980" s="115"/>
      <c r="CC1980" s="17"/>
      <c r="CD1980" s="15"/>
    </row>
    <row r="1981" spans="3:82" x14ac:dyDescent="0.4">
      <c r="CC1981" s="26"/>
      <c r="CD1981" s="15"/>
    </row>
    <row r="1982" spans="3:82" x14ac:dyDescent="0.4">
      <c r="BH1982" s="115"/>
      <c r="BI1982" s="115"/>
      <c r="BJ1982" s="115"/>
      <c r="BK1982" s="115"/>
      <c r="BL1982" s="122"/>
      <c r="BM1982" s="122"/>
      <c r="BN1982" s="122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115"/>
      <c r="CA1982" s="115"/>
      <c r="CB1982" s="115"/>
      <c r="CC1982" s="17"/>
      <c r="CD1982" s="15"/>
    </row>
    <row r="1983" spans="3:82" x14ac:dyDescent="0.4">
      <c r="BG1983" s="115"/>
      <c r="BH1983" s="115"/>
      <c r="BI1983" s="115"/>
      <c r="BJ1983" s="115"/>
      <c r="BK1983" s="115"/>
      <c r="BL1983" s="122"/>
      <c r="BM1983" s="122"/>
      <c r="BN1983" s="122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115"/>
      <c r="BY1983" s="115"/>
      <c r="BZ1983" s="115"/>
      <c r="CA1983" s="115"/>
      <c r="CB1983" s="115"/>
      <c r="CC1983" s="26"/>
      <c r="CD1983" s="15"/>
    </row>
    <row r="1984" spans="3:82" x14ac:dyDescent="0.4">
      <c r="BG1984" s="115"/>
      <c r="BH1984" s="115"/>
      <c r="BI1984" s="115"/>
      <c r="BJ1984" s="115"/>
      <c r="BK1984" s="115"/>
      <c r="BL1984" s="122"/>
      <c r="BM1984" s="122"/>
      <c r="BN1984" s="122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115"/>
      <c r="BY1984" s="115"/>
      <c r="BZ1984" s="115"/>
      <c r="CA1984" s="115"/>
      <c r="CB1984" s="115"/>
      <c r="CC1984" s="17"/>
      <c r="CD1984" s="15"/>
    </row>
    <row r="1985" spans="4:82" x14ac:dyDescent="0.4">
      <c r="BG1985" s="115"/>
      <c r="BH1985" s="115"/>
      <c r="BI1985" s="115"/>
      <c r="BJ1985" s="115"/>
      <c r="BK1985" s="115"/>
      <c r="BL1985" s="122"/>
      <c r="BM1985" s="122"/>
      <c r="BN1985" s="122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115"/>
      <c r="BZ1985" s="115"/>
      <c r="CA1985" s="115"/>
      <c r="CB1985" s="115"/>
      <c r="CC1985" s="17"/>
      <c r="CD1985" s="15"/>
    </row>
    <row r="1986" spans="4:82" x14ac:dyDescent="0.4"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15"/>
      <c r="BJ1986" s="115"/>
      <c r="BK1986" s="115"/>
      <c r="BL1986" s="122"/>
      <c r="BM1986" s="122"/>
      <c r="BN1986" s="122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115"/>
      <c r="CA1986" s="115"/>
      <c r="CB1986" s="115"/>
      <c r="CC1986" s="26"/>
      <c r="CD1986" s="15"/>
    </row>
    <row r="1987" spans="4:82" x14ac:dyDescent="0.4">
      <c r="E1987" s="115"/>
      <c r="F1987" s="115"/>
      <c r="G1987" s="115"/>
      <c r="H1987" s="115"/>
      <c r="I1987" s="115"/>
      <c r="J1987" s="115"/>
      <c r="K1987" s="115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  <c r="AI1987" s="115"/>
      <c r="AJ1987" s="115"/>
      <c r="AK1987" s="115"/>
      <c r="AL1987" s="115"/>
      <c r="AM1987" s="115"/>
      <c r="AN1987" s="115"/>
      <c r="AO1987" s="115"/>
      <c r="AP1987" s="115"/>
      <c r="AQ1987" s="115"/>
      <c r="AR1987" s="115"/>
      <c r="AS1987" s="115"/>
      <c r="AT1987" s="115"/>
      <c r="AU1987" s="115"/>
      <c r="AV1987" s="115"/>
      <c r="AW1987" s="115"/>
      <c r="AX1987" s="115"/>
      <c r="AY1987" s="115"/>
      <c r="AZ1987" s="115"/>
      <c r="BA1987" s="115"/>
      <c r="BB1987" s="115"/>
      <c r="BC1987" s="115"/>
      <c r="BD1987" s="115"/>
      <c r="BE1987" s="115"/>
      <c r="BF1987" s="115"/>
      <c r="BG1987" s="115"/>
      <c r="BH1987" s="115"/>
      <c r="BI1987" s="115"/>
      <c r="BJ1987" s="115"/>
      <c r="BK1987" s="115"/>
      <c r="BL1987" s="122"/>
      <c r="BM1987" s="122"/>
      <c r="BN1987" s="122"/>
      <c r="BO1987" s="115"/>
      <c r="BP1987" s="115"/>
      <c r="BQ1987" s="115"/>
      <c r="BR1987" s="115"/>
      <c r="BS1987" s="115"/>
      <c r="BT1987" s="115"/>
      <c r="BU1987" s="115"/>
      <c r="BV1987" s="115"/>
      <c r="BW1987" s="115"/>
      <c r="BX1987" s="115"/>
      <c r="BY1987" s="115"/>
      <c r="BZ1987" s="115"/>
      <c r="CA1987" s="115"/>
      <c r="CB1987" s="115"/>
      <c r="CC1987" s="26"/>
      <c r="CD1987" s="15"/>
    </row>
    <row r="1988" spans="4:82" x14ac:dyDescent="0.4"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15"/>
      <c r="BI1988" s="115"/>
      <c r="BJ1988" s="115"/>
      <c r="BK1988" s="115"/>
      <c r="BL1988" s="122"/>
      <c r="BM1988" s="122"/>
      <c r="BN1988" s="122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115"/>
      <c r="BZ1988" s="115"/>
      <c r="CA1988" s="115"/>
      <c r="CB1988" s="115"/>
      <c r="CC1988" s="26"/>
      <c r="CD1988" s="15"/>
    </row>
    <row r="1989" spans="4:82" x14ac:dyDescent="0.4">
      <c r="D1989" s="115"/>
      <c r="E1989" s="115"/>
      <c r="F1989" s="115"/>
      <c r="G1989" s="115"/>
      <c r="H1989" s="115"/>
      <c r="I1989" s="115"/>
      <c r="J1989" s="115"/>
      <c r="K1989" s="115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  <c r="AI1989" s="115"/>
      <c r="AJ1989" s="115"/>
      <c r="AK1989" s="115"/>
      <c r="AL1989" s="115"/>
      <c r="AM1989" s="115"/>
      <c r="AN1989" s="115"/>
      <c r="AO1989" s="115"/>
      <c r="AP1989" s="115"/>
      <c r="AQ1989" s="115"/>
      <c r="AR1989" s="115"/>
      <c r="AS1989" s="115"/>
      <c r="AT1989" s="115"/>
      <c r="AU1989" s="115"/>
      <c r="AV1989" s="115"/>
      <c r="AW1989" s="115"/>
      <c r="AX1989" s="115"/>
      <c r="AY1989" s="115"/>
      <c r="AZ1989" s="115"/>
      <c r="BA1989" s="115"/>
      <c r="BB1989" s="115"/>
      <c r="BC1989" s="115"/>
      <c r="BD1989" s="115"/>
      <c r="BE1989" s="115"/>
      <c r="BF1989" s="115"/>
      <c r="BG1989" s="115"/>
      <c r="BH1989" s="115"/>
      <c r="BI1989" s="115"/>
      <c r="BJ1989" s="115"/>
      <c r="BK1989" s="115"/>
      <c r="BL1989" s="122"/>
      <c r="BM1989" s="122"/>
      <c r="BN1989" s="122"/>
      <c r="BO1989" s="115"/>
      <c r="BP1989" s="115"/>
      <c r="BQ1989" s="115"/>
      <c r="BR1989" s="115"/>
      <c r="BS1989" s="115"/>
      <c r="BT1989" s="115"/>
      <c r="BU1989" s="115"/>
      <c r="BV1989" s="115"/>
      <c r="BW1989" s="115"/>
      <c r="BX1989" s="115"/>
      <c r="BY1989" s="115"/>
      <c r="BZ1989" s="115"/>
      <c r="CA1989" s="115"/>
      <c r="CB1989" s="115"/>
      <c r="CC1989" s="26"/>
      <c r="CD1989" s="15"/>
    </row>
    <row r="1990" spans="4:82" x14ac:dyDescent="0.4"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15"/>
      <c r="BI1990" s="115"/>
      <c r="BJ1990" s="115"/>
      <c r="BK1990" s="115"/>
      <c r="BL1990" s="122"/>
      <c r="BM1990" s="122"/>
      <c r="BN1990" s="122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115"/>
      <c r="BZ1990" s="115"/>
      <c r="CA1990" s="115"/>
      <c r="CB1990" s="115"/>
      <c r="CC1990" s="26"/>
      <c r="CD1990" s="15"/>
    </row>
    <row r="1991" spans="4:82" x14ac:dyDescent="0.4">
      <c r="D1991" s="115"/>
      <c r="E1991" s="115"/>
      <c r="F1991" s="115"/>
      <c r="G1991" s="115"/>
      <c r="H1991" s="115"/>
      <c r="I1991" s="115"/>
      <c r="J1991" s="115"/>
      <c r="K1991" s="115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  <c r="AI1991" s="115"/>
      <c r="AJ1991" s="115"/>
      <c r="AK1991" s="115"/>
      <c r="AL1991" s="115"/>
      <c r="AM1991" s="115"/>
      <c r="AN1991" s="115"/>
      <c r="AO1991" s="115"/>
      <c r="AP1991" s="115"/>
      <c r="AQ1991" s="115"/>
      <c r="AR1991" s="115"/>
      <c r="AS1991" s="115"/>
      <c r="AT1991" s="115"/>
      <c r="AU1991" s="115"/>
      <c r="AV1991" s="115"/>
      <c r="AW1991" s="115"/>
      <c r="AX1991" s="115"/>
      <c r="AY1991" s="115"/>
      <c r="AZ1991" s="115"/>
      <c r="BA1991" s="115"/>
      <c r="BB1991" s="115"/>
      <c r="BC1991" s="115"/>
      <c r="BD1991" s="115"/>
      <c r="BE1991" s="115"/>
      <c r="BF1991" s="115"/>
      <c r="BG1991" s="115"/>
      <c r="BH1991" s="115"/>
      <c r="BI1991" s="115"/>
      <c r="BJ1991" s="115"/>
      <c r="BK1991" s="115"/>
      <c r="BL1991" s="122"/>
      <c r="BM1991" s="122"/>
      <c r="BN1991" s="122"/>
      <c r="BO1991" s="115"/>
      <c r="BP1991" s="115"/>
      <c r="BQ1991" s="115"/>
      <c r="BR1991" s="115"/>
      <c r="BS1991" s="115"/>
      <c r="BT1991" s="115"/>
      <c r="BU1991" s="115"/>
      <c r="BV1991" s="115"/>
      <c r="BW1991" s="115"/>
      <c r="BX1991" s="115"/>
      <c r="BY1991" s="115"/>
      <c r="BZ1991" s="115"/>
      <c r="CA1991" s="115"/>
      <c r="CB1991" s="115"/>
      <c r="CC1991" s="17"/>
      <c r="CD1991" s="15"/>
    </row>
    <row r="1992" spans="4:82" x14ac:dyDescent="0.4">
      <c r="CC1992" s="26"/>
      <c r="CD1992" s="15"/>
    </row>
    <row r="1993" spans="4:82" x14ac:dyDescent="0.4">
      <c r="BG1993" s="115"/>
      <c r="BH1993" s="115"/>
      <c r="BI1993" s="115"/>
      <c r="BJ1993" s="115"/>
      <c r="BK1993" s="115"/>
      <c r="BL1993" s="122"/>
      <c r="BM1993" s="122"/>
      <c r="BN1993" s="122"/>
      <c r="BO1993" s="115"/>
      <c r="BP1993" s="115"/>
      <c r="BQ1993" s="115"/>
      <c r="BR1993" s="115"/>
      <c r="BS1993" s="115"/>
      <c r="BT1993" s="115"/>
      <c r="BU1993" s="115"/>
      <c r="BV1993" s="115"/>
      <c r="BW1993" s="115"/>
      <c r="BX1993" s="115"/>
      <c r="BY1993" s="115"/>
      <c r="BZ1993" s="115"/>
      <c r="CA1993" s="115"/>
      <c r="CB1993" s="115"/>
      <c r="CC1993" s="17"/>
      <c r="CD1993" s="13"/>
    </row>
    <row r="1994" spans="4:82" x14ac:dyDescent="0.4">
      <c r="BG1994" s="115"/>
      <c r="BH1994" s="115"/>
      <c r="BI1994" s="115"/>
      <c r="BJ1994" s="115"/>
      <c r="BK1994" s="115"/>
      <c r="BL1994" s="122"/>
      <c r="BM1994" s="122"/>
      <c r="BN1994" s="122"/>
      <c r="BO1994" s="115"/>
      <c r="BP1994" s="115"/>
      <c r="BQ1994" s="115"/>
      <c r="BR1994" s="115"/>
      <c r="BS1994" s="115"/>
      <c r="BT1994" s="115"/>
      <c r="BU1994" s="115"/>
      <c r="BV1994" s="115"/>
      <c r="BW1994" s="115"/>
      <c r="BX1994" s="115"/>
      <c r="BY1994" s="115"/>
      <c r="BZ1994" s="115"/>
      <c r="CA1994" s="115"/>
      <c r="CB1994" s="115"/>
      <c r="CC1994" s="17"/>
      <c r="CD1994" s="13"/>
    </row>
    <row r="1995" spans="4:82" x14ac:dyDescent="0.4">
      <c r="BE1995" s="115"/>
      <c r="BF1995" s="115"/>
      <c r="BG1995" s="115"/>
      <c r="BH1995" s="115"/>
      <c r="BI1995" s="115"/>
      <c r="BJ1995" s="115"/>
      <c r="BK1995" s="115"/>
      <c r="BL1995" s="122"/>
      <c r="BM1995" s="122"/>
      <c r="BN1995" s="122"/>
      <c r="BO1995" s="115"/>
      <c r="BP1995" s="115"/>
      <c r="BQ1995" s="115"/>
      <c r="BR1995" s="115"/>
      <c r="BS1995" s="115"/>
      <c r="BT1995" s="115"/>
      <c r="BU1995" s="115"/>
      <c r="BV1995" s="115"/>
      <c r="BW1995" s="115"/>
      <c r="BX1995" s="115"/>
      <c r="BY1995" s="115"/>
      <c r="BZ1995" s="115"/>
      <c r="CA1995" s="115"/>
      <c r="CB1995" s="115"/>
      <c r="CC1995" s="26"/>
      <c r="CD1995" s="13"/>
    </row>
    <row r="1996" spans="4:82" x14ac:dyDescent="0.4">
      <c r="BE1996" s="115"/>
      <c r="BF1996" s="115"/>
      <c r="BG1996" s="115"/>
      <c r="BH1996" s="115"/>
      <c r="BI1996" s="115"/>
      <c r="BJ1996" s="115"/>
      <c r="BK1996" s="115"/>
      <c r="BL1996" s="122"/>
      <c r="BM1996" s="122"/>
      <c r="BN1996" s="122"/>
      <c r="BO1996" s="115"/>
      <c r="BP1996" s="115"/>
      <c r="BQ1996" s="115"/>
      <c r="BR1996" s="115"/>
      <c r="BS1996" s="115"/>
      <c r="BT1996" s="115"/>
      <c r="BU1996" s="115"/>
      <c r="BV1996" s="115"/>
      <c r="BW1996" s="115"/>
      <c r="BX1996" s="115"/>
      <c r="BY1996" s="115"/>
      <c r="BZ1996" s="115"/>
      <c r="CA1996" s="115"/>
      <c r="CB1996" s="115"/>
      <c r="CC1996" s="17"/>
      <c r="CD1996" s="13"/>
    </row>
    <row r="1997" spans="4:82" x14ac:dyDescent="0.4">
      <c r="CC1997" s="26"/>
      <c r="CD1997" s="13"/>
    </row>
    <row r="1998" spans="4:82" x14ac:dyDescent="0.4">
      <c r="BF1998" s="115"/>
      <c r="BG1998" s="115"/>
      <c r="BH1998" s="115"/>
      <c r="BI1998" s="115"/>
      <c r="BJ1998" s="115"/>
      <c r="BK1998" s="115"/>
      <c r="BL1998" s="122"/>
      <c r="BM1998" s="122"/>
      <c r="BN1998" s="122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115"/>
      <c r="BY1998" s="115"/>
      <c r="BZ1998" s="115"/>
      <c r="CA1998" s="115"/>
      <c r="CB1998" s="115"/>
      <c r="CC1998" s="17"/>
      <c r="CD1998" s="13"/>
    </row>
    <row r="1999" spans="4:82" x14ac:dyDescent="0.4">
      <c r="CC1999" s="26"/>
      <c r="CD1999" s="13"/>
    </row>
    <row r="2000" spans="4:82" x14ac:dyDescent="0.4">
      <c r="CC2000" s="26"/>
      <c r="CD2000" s="13"/>
    </row>
    <row r="2001" spans="3:82" x14ac:dyDescent="0.4">
      <c r="D2001" s="115"/>
      <c r="E2001" s="115"/>
      <c r="F2001" s="115"/>
      <c r="G2001" s="115"/>
      <c r="H2001" s="115"/>
      <c r="I2001" s="115"/>
      <c r="J2001" s="115"/>
      <c r="K2001" s="115"/>
      <c r="L2001" s="115"/>
      <c r="M2001" s="115"/>
      <c r="N2001" s="115"/>
      <c r="O2001" s="115"/>
      <c r="P2001" s="115"/>
      <c r="Q2001" s="115"/>
      <c r="R2001" s="115"/>
      <c r="S2001" s="115"/>
      <c r="T2001" s="115"/>
      <c r="U2001" s="115"/>
      <c r="V2001" s="115"/>
      <c r="W2001" s="115"/>
      <c r="X2001" s="115"/>
      <c r="Y2001" s="115"/>
      <c r="Z2001" s="115"/>
      <c r="AA2001" s="115"/>
      <c r="AB2001" s="115"/>
      <c r="AC2001" s="115"/>
      <c r="AD2001" s="115"/>
      <c r="AE2001" s="115"/>
      <c r="AF2001" s="115"/>
      <c r="AG2001" s="115"/>
      <c r="AH2001" s="115"/>
      <c r="AI2001" s="115"/>
      <c r="AJ2001" s="115"/>
      <c r="AK2001" s="115"/>
      <c r="AL2001" s="115"/>
      <c r="AM2001" s="115"/>
      <c r="AN2001" s="115"/>
      <c r="AO2001" s="115"/>
      <c r="AP2001" s="115"/>
      <c r="AQ2001" s="115"/>
      <c r="AR2001" s="115"/>
      <c r="AS2001" s="115"/>
      <c r="AT2001" s="115"/>
      <c r="AU2001" s="115"/>
      <c r="AV2001" s="115"/>
      <c r="AW2001" s="115"/>
      <c r="AX2001" s="115"/>
      <c r="AY2001" s="115"/>
      <c r="AZ2001" s="115"/>
      <c r="BA2001" s="115"/>
      <c r="BB2001" s="115"/>
      <c r="BC2001" s="115"/>
      <c r="BD2001" s="115"/>
      <c r="BE2001" s="115"/>
      <c r="BF2001" s="115"/>
      <c r="BG2001" s="115"/>
      <c r="BH2001" s="115"/>
      <c r="BI2001" s="115"/>
      <c r="BJ2001" s="115"/>
      <c r="BK2001" s="115"/>
      <c r="BL2001" s="122"/>
      <c r="BM2001" s="122"/>
      <c r="BN2001" s="122"/>
      <c r="BO2001" s="115"/>
      <c r="BP2001" s="115"/>
      <c r="BQ2001" s="115"/>
      <c r="BR2001" s="115"/>
      <c r="BS2001" s="115"/>
      <c r="BT2001" s="115"/>
      <c r="BU2001" s="115"/>
      <c r="BV2001" s="115"/>
      <c r="BW2001" s="115"/>
      <c r="BX2001" s="115"/>
      <c r="BY2001" s="115"/>
      <c r="BZ2001" s="115"/>
      <c r="CA2001" s="115"/>
      <c r="CB2001" s="115"/>
      <c r="CC2001" s="26"/>
      <c r="CD2001" s="13"/>
    </row>
    <row r="2002" spans="3:82" x14ac:dyDescent="0.4">
      <c r="C2002" s="115"/>
      <c r="D2002" s="115"/>
      <c r="E2002" s="115"/>
      <c r="F2002" s="115"/>
      <c r="G2002" s="115"/>
      <c r="H2002" s="115"/>
      <c r="I2002" s="115"/>
      <c r="J2002" s="115"/>
      <c r="K2002" s="115"/>
      <c r="L2002" s="115"/>
      <c r="M2002" s="115"/>
      <c r="N2002" s="115"/>
      <c r="O2002" s="115"/>
      <c r="P2002" s="115"/>
      <c r="Q2002" s="115"/>
      <c r="R2002" s="115"/>
      <c r="S2002" s="115"/>
      <c r="T2002" s="115"/>
      <c r="U2002" s="115"/>
      <c r="V2002" s="115"/>
      <c r="W2002" s="115"/>
      <c r="X2002" s="115"/>
      <c r="Y2002" s="115"/>
      <c r="Z2002" s="115"/>
      <c r="AA2002" s="115"/>
      <c r="AB2002" s="115"/>
      <c r="AC2002" s="115"/>
      <c r="AD2002" s="115"/>
      <c r="AE2002" s="115"/>
      <c r="AF2002" s="115"/>
      <c r="AG2002" s="115"/>
      <c r="AH2002" s="115"/>
      <c r="AI2002" s="115"/>
      <c r="AJ2002" s="115"/>
      <c r="AK2002" s="115"/>
      <c r="AL2002" s="115"/>
      <c r="AM2002" s="115"/>
      <c r="AN2002" s="115"/>
      <c r="AO2002" s="115"/>
      <c r="AP2002" s="115"/>
      <c r="AQ2002" s="115"/>
      <c r="AR2002" s="115"/>
      <c r="AS2002" s="115"/>
      <c r="AT2002" s="115"/>
      <c r="AU2002" s="115"/>
      <c r="AV2002" s="115"/>
      <c r="AW2002" s="115"/>
      <c r="AX2002" s="115"/>
      <c r="AY2002" s="115"/>
      <c r="AZ2002" s="115"/>
      <c r="BA2002" s="115"/>
      <c r="BB2002" s="115"/>
      <c r="BC2002" s="115"/>
      <c r="BD2002" s="115"/>
      <c r="BE2002" s="115"/>
      <c r="BF2002" s="115"/>
      <c r="BG2002" s="115"/>
      <c r="BH2002" s="115"/>
      <c r="BI2002" s="115"/>
      <c r="BJ2002" s="115"/>
      <c r="BK2002" s="115"/>
      <c r="BL2002" s="122"/>
      <c r="BM2002" s="122"/>
      <c r="BN2002" s="122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15"/>
      <c r="CA2002" s="115"/>
      <c r="CB2002" s="115"/>
      <c r="CC2002" s="26"/>
      <c r="CD2002" s="13"/>
    </row>
    <row r="2003" spans="3:82" x14ac:dyDescent="0.4">
      <c r="CC2003" s="26"/>
      <c r="CD2003" s="13"/>
    </row>
    <row r="2004" spans="3:82" x14ac:dyDescent="0.4">
      <c r="CC2004" s="26"/>
      <c r="CD2004" s="13"/>
    </row>
    <row r="2005" spans="3:82" x14ac:dyDescent="0.4">
      <c r="E2005" s="115"/>
      <c r="F2005" s="115"/>
      <c r="G2005" s="115"/>
      <c r="H2005" s="115"/>
      <c r="I2005" s="115"/>
      <c r="J2005" s="115"/>
      <c r="K2005" s="115"/>
      <c r="L2005" s="115"/>
      <c r="M2005" s="115"/>
      <c r="N2005" s="115"/>
      <c r="O2005" s="115"/>
      <c r="P2005" s="115"/>
      <c r="Q2005" s="115"/>
      <c r="R2005" s="115"/>
      <c r="S2005" s="115"/>
      <c r="T2005" s="115"/>
      <c r="U2005" s="115"/>
      <c r="V2005" s="115"/>
      <c r="W2005" s="115"/>
      <c r="X2005" s="115"/>
      <c r="Y2005" s="115"/>
      <c r="Z2005" s="115"/>
      <c r="AA2005" s="115"/>
      <c r="AB2005" s="115"/>
      <c r="AC2005" s="115"/>
      <c r="AD2005" s="115"/>
      <c r="AE2005" s="115"/>
      <c r="AF2005" s="115"/>
      <c r="AG2005" s="115"/>
      <c r="AH2005" s="115"/>
      <c r="AI2005" s="115"/>
      <c r="AJ2005" s="115"/>
      <c r="AK2005" s="115"/>
      <c r="AL2005" s="115"/>
      <c r="AM2005" s="115"/>
      <c r="AN2005" s="115"/>
      <c r="AO2005" s="115"/>
      <c r="AP2005" s="115"/>
      <c r="AQ2005" s="115"/>
      <c r="AR2005" s="115"/>
      <c r="AS2005" s="115"/>
      <c r="AT2005" s="115"/>
      <c r="AU2005" s="115"/>
      <c r="AV2005" s="115"/>
      <c r="AW2005" s="115"/>
      <c r="AX2005" s="115"/>
      <c r="AY2005" s="115"/>
      <c r="AZ2005" s="115"/>
      <c r="BA2005" s="115"/>
      <c r="BB2005" s="115"/>
      <c r="BC2005" s="115"/>
      <c r="BD2005" s="115"/>
      <c r="BE2005" s="115"/>
      <c r="BF2005" s="115"/>
      <c r="BG2005" s="115"/>
      <c r="BH2005" s="115"/>
      <c r="BI2005" s="115"/>
      <c r="BJ2005" s="115"/>
      <c r="BK2005" s="115"/>
      <c r="BL2005" s="122"/>
      <c r="BM2005" s="122"/>
      <c r="BN2005" s="122"/>
      <c r="BO2005" s="115"/>
      <c r="BP2005" s="115"/>
      <c r="BQ2005" s="115"/>
      <c r="BR2005" s="115"/>
      <c r="BS2005" s="115"/>
      <c r="BT2005" s="115"/>
      <c r="BU2005" s="115"/>
      <c r="BV2005" s="115"/>
      <c r="BW2005" s="115"/>
      <c r="BX2005" s="115"/>
      <c r="BY2005" s="115"/>
      <c r="BZ2005" s="115"/>
      <c r="CA2005" s="115"/>
      <c r="CB2005" s="115"/>
      <c r="CC2005" s="26"/>
      <c r="CD2005" s="13"/>
    </row>
    <row r="2006" spans="3:82" x14ac:dyDescent="0.4">
      <c r="CC2006" s="26"/>
      <c r="CD2006" s="105"/>
    </row>
    <row r="2007" spans="3:82" x14ac:dyDescent="0.4"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15"/>
      <c r="BI2007" s="115"/>
      <c r="BJ2007" s="115"/>
      <c r="BK2007" s="115"/>
      <c r="BL2007" s="122"/>
      <c r="BM2007" s="122"/>
      <c r="BN2007" s="122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115"/>
      <c r="CA2007" s="115"/>
      <c r="CB2007" s="115"/>
      <c r="CC2007" s="26"/>
      <c r="CD2007" s="15"/>
    </row>
    <row r="2008" spans="3:82" x14ac:dyDescent="0.4"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15"/>
      <c r="BI2008" s="115"/>
      <c r="BJ2008" s="115"/>
      <c r="BK2008" s="115"/>
      <c r="BL2008" s="122"/>
      <c r="BM2008" s="122"/>
      <c r="BN2008" s="122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115"/>
      <c r="BZ2008" s="115"/>
      <c r="CA2008" s="115"/>
      <c r="CB2008" s="115"/>
      <c r="CC2008" s="17"/>
      <c r="CD2008" s="15"/>
    </row>
    <row r="2009" spans="3:82" x14ac:dyDescent="0.4">
      <c r="CC2009" s="26"/>
      <c r="CD2009" s="15"/>
    </row>
    <row r="2010" spans="3:82" x14ac:dyDescent="0.4">
      <c r="E2010" s="115"/>
      <c r="F2010" s="115"/>
      <c r="G2010" s="115"/>
      <c r="H2010" s="115"/>
      <c r="I2010" s="115"/>
      <c r="J2010" s="115"/>
      <c r="K2010" s="115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  <c r="AI2010" s="115"/>
      <c r="AJ2010" s="115"/>
      <c r="AK2010" s="115"/>
      <c r="AL2010" s="115"/>
      <c r="AM2010" s="115"/>
      <c r="AN2010" s="115"/>
      <c r="AO2010" s="115"/>
      <c r="AP2010" s="115"/>
      <c r="AQ2010" s="115"/>
      <c r="AR2010" s="115"/>
      <c r="AS2010" s="115"/>
      <c r="AT2010" s="115"/>
      <c r="AU2010" s="115"/>
      <c r="AV2010" s="115"/>
      <c r="AW2010" s="115"/>
      <c r="AX2010" s="115"/>
      <c r="AY2010" s="115"/>
      <c r="AZ2010" s="115"/>
      <c r="BA2010" s="115"/>
      <c r="BB2010" s="115"/>
      <c r="BC2010" s="115"/>
      <c r="BD2010" s="115"/>
      <c r="BE2010" s="115"/>
      <c r="BF2010" s="115"/>
      <c r="BG2010" s="115"/>
      <c r="BH2010" s="115"/>
      <c r="BI2010" s="115"/>
      <c r="BJ2010" s="115"/>
      <c r="BK2010" s="115"/>
      <c r="BL2010" s="122"/>
      <c r="BM2010" s="122"/>
      <c r="BN2010" s="122"/>
      <c r="BO2010" s="115"/>
      <c r="BP2010" s="115"/>
      <c r="BQ2010" s="115"/>
      <c r="BR2010" s="115"/>
      <c r="BS2010" s="115"/>
      <c r="BT2010" s="115"/>
      <c r="BU2010" s="115"/>
      <c r="BV2010" s="115"/>
      <c r="BW2010" s="115"/>
      <c r="BX2010" s="115"/>
      <c r="BY2010" s="115"/>
      <c r="BZ2010" s="115"/>
      <c r="CA2010" s="115"/>
      <c r="CB2010" s="115"/>
      <c r="CC2010" s="26"/>
      <c r="CD2010" s="15"/>
    </row>
    <row r="2011" spans="3:82" x14ac:dyDescent="0.4">
      <c r="C2011" s="115"/>
      <c r="D2011" s="115"/>
      <c r="E2011" s="115"/>
      <c r="F2011" s="115"/>
      <c r="G2011" s="115"/>
      <c r="H2011" s="115"/>
      <c r="I2011" s="115"/>
      <c r="J2011" s="115"/>
      <c r="K2011" s="115"/>
      <c r="L2011" s="115"/>
      <c r="M2011" s="115"/>
      <c r="N2011" s="115"/>
      <c r="O2011" s="115"/>
      <c r="P2011" s="115"/>
      <c r="Q2011" s="115"/>
      <c r="R2011" s="115"/>
      <c r="S2011" s="115"/>
      <c r="T2011" s="115"/>
      <c r="U2011" s="115"/>
      <c r="V2011" s="115"/>
      <c r="W2011" s="115"/>
      <c r="X2011" s="115"/>
      <c r="Y2011" s="115"/>
      <c r="Z2011" s="115"/>
      <c r="AA2011" s="115"/>
      <c r="AB2011" s="115"/>
      <c r="AC2011" s="115"/>
      <c r="AD2011" s="115"/>
      <c r="AE2011" s="115"/>
      <c r="AF2011" s="115"/>
      <c r="AG2011" s="115"/>
      <c r="AH2011" s="115"/>
      <c r="AI2011" s="115"/>
      <c r="AJ2011" s="115"/>
      <c r="AK2011" s="115"/>
      <c r="AL2011" s="115"/>
      <c r="AM2011" s="115"/>
      <c r="AN2011" s="115"/>
      <c r="AO2011" s="115"/>
      <c r="AP2011" s="115"/>
      <c r="AQ2011" s="115"/>
      <c r="AR2011" s="115"/>
      <c r="AS2011" s="115"/>
      <c r="AT2011" s="115"/>
      <c r="AU2011" s="115"/>
      <c r="AV2011" s="115"/>
      <c r="AW2011" s="115"/>
      <c r="AX2011" s="115"/>
      <c r="AY2011" s="115"/>
      <c r="AZ2011" s="115"/>
      <c r="BA2011" s="115"/>
      <c r="BB2011" s="115"/>
      <c r="BC2011" s="115"/>
      <c r="BD2011" s="115"/>
      <c r="BE2011" s="115"/>
      <c r="BF2011" s="115"/>
      <c r="BG2011" s="115"/>
      <c r="BH2011" s="115"/>
      <c r="BI2011" s="115"/>
      <c r="BJ2011" s="115"/>
      <c r="BK2011" s="115"/>
      <c r="BL2011" s="122"/>
      <c r="BM2011" s="122"/>
      <c r="BN2011" s="122"/>
      <c r="BO2011" s="115"/>
      <c r="BP2011" s="115"/>
      <c r="BQ2011" s="115"/>
      <c r="BR2011" s="115"/>
      <c r="BS2011" s="115"/>
      <c r="BT2011" s="115"/>
      <c r="BU2011" s="115"/>
      <c r="BV2011" s="115"/>
      <c r="BW2011" s="115"/>
      <c r="BX2011" s="115"/>
      <c r="BY2011" s="115"/>
      <c r="BZ2011" s="115"/>
      <c r="CA2011" s="115"/>
      <c r="CB2011" s="115"/>
      <c r="CC2011" s="26"/>
      <c r="CD2011" s="15"/>
    </row>
    <row r="2012" spans="3:82" x14ac:dyDescent="0.4"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15"/>
      <c r="BH2012" s="115"/>
      <c r="BI2012" s="115"/>
      <c r="BJ2012" s="115"/>
      <c r="BK2012" s="115"/>
      <c r="BL2012" s="122"/>
      <c r="BM2012" s="122"/>
      <c r="BN2012" s="122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15"/>
      <c r="BY2012" s="115"/>
      <c r="BZ2012" s="115"/>
      <c r="CA2012" s="115"/>
      <c r="CB2012" s="115"/>
      <c r="CC2012" s="26"/>
      <c r="CD2012" s="13"/>
    </row>
    <row r="2013" spans="3:82" x14ac:dyDescent="0.4">
      <c r="CC2013" s="26"/>
      <c r="CD2013" s="15"/>
    </row>
    <row r="2014" spans="3:82" x14ac:dyDescent="0.4">
      <c r="E2014" s="115"/>
      <c r="F2014" s="115"/>
      <c r="G2014" s="115"/>
      <c r="H2014" s="115"/>
      <c r="I2014" s="115"/>
      <c r="J2014" s="115"/>
      <c r="K2014" s="115"/>
      <c r="L2014" s="115"/>
      <c r="M2014" s="115"/>
      <c r="N2014" s="115"/>
      <c r="O2014" s="115"/>
      <c r="P2014" s="115"/>
      <c r="Q2014" s="115"/>
      <c r="R2014" s="115"/>
      <c r="S2014" s="115"/>
      <c r="T2014" s="115"/>
      <c r="U2014" s="115"/>
      <c r="V2014" s="115"/>
      <c r="W2014" s="115"/>
      <c r="X2014" s="115"/>
      <c r="Y2014" s="115"/>
      <c r="Z2014" s="115"/>
      <c r="AA2014" s="115"/>
      <c r="AB2014" s="115"/>
      <c r="AC2014" s="115"/>
      <c r="AD2014" s="115"/>
      <c r="AE2014" s="115"/>
      <c r="AF2014" s="115"/>
      <c r="AG2014" s="115"/>
      <c r="AH2014" s="115"/>
      <c r="AI2014" s="115"/>
      <c r="AJ2014" s="115"/>
      <c r="AK2014" s="115"/>
      <c r="AL2014" s="115"/>
      <c r="AM2014" s="115"/>
      <c r="AN2014" s="115"/>
      <c r="AO2014" s="115"/>
      <c r="AP2014" s="115"/>
      <c r="AQ2014" s="115"/>
      <c r="AR2014" s="115"/>
      <c r="AS2014" s="115"/>
      <c r="AT2014" s="115"/>
      <c r="AU2014" s="115"/>
      <c r="AV2014" s="115"/>
      <c r="AW2014" s="115"/>
      <c r="AX2014" s="115"/>
      <c r="AY2014" s="115"/>
      <c r="AZ2014" s="115"/>
      <c r="BA2014" s="115"/>
      <c r="BB2014" s="115"/>
      <c r="BC2014" s="115"/>
      <c r="BD2014" s="115"/>
      <c r="BE2014" s="115"/>
      <c r="BF2014" s="115"/>
      <c r="BG2014" s="115"/>
      <c r="BH2014" s="115"/>
      <c r="BI2014" s="115"/>
      <c r="BJ2014" s="115"/>
      <c r="BK2014" s="115"/>
      <c r="BL2014" s="122"/>
      <c r="BM2014" s="122"/>
      <c r="BN2014" s="122"/>
      <c r="BO2014" s="115"/>
      <c r="BP2014" s="115"/>
      <c r="BQ2014" s="115"/>
      <c r="BR2014" s="115"/>
      <c r="BS2014" s="115"/>
      <c r="BT2014" s="115"/>
      <c r="BU2014" s="115"/>
      <c r="BV2014" s="115"/>
      <c r="BW2014" s="115"/>
      <c r="BX2014" s="115"/>
      <c r="BY2014" s="115"/>
      <c r="BZ2014" s="115"/>
      <c r="CA2014" s="115"/>
      <c r="CB2014" s="115"/>
      <c r="CC2014" s="26"/>
      <c r="CD2014" s="15"/>
    </row>
    <row r="2015" spans="3:82" x14ac:dyDescent="0.4">
      <c r="E2015" s="115"/>
      <c r="F2015" s="115"/>
      <c r="G2015" s="115"/>
      <c r="H2015" s="115"/>
      <c r="I2015" s="115"/>
      <c r="J2015" s="115"/>
      <c r="K2015" s="115"/>
      <c r="L2015" s="115"/>
      <c r="M2015" s="115"/>
      <c r="N2015" s="115"/>
      <c r="O2015" s="115"/>
      <c r="P2015" s="115"/>
      <c r="Q2015" s="115"/>
      <c r="R2015" s="115"/>
      <c r="S2015" s="115"/>
      <c r="T2015" s="115"/>
      <c r="U2015" s="115"/>
      <c r="V2015" s="115"/>
      <c r="W2015" s="115"/>
      <c r="X2015" s="115"/>
      <c r="Y2015" s="115"/>
      <c r="Z2015" s="115"/>
      <c r="AA2015" s="115"/>
      <c r="AB2015" s="115"/>
      <c r="AC2015" s="115"/>
      <c r="AD2015" s="115"/>
      <c r="AE2015" s="115"/>
      <c r="AF2015" s="115"/>
      <c r="AG2015" s="115"/>
      <c r="AH2015" s="115"/>
      <c r="AI2015" s="115"/>
      <c r="AJ2015" s="115"/>
      <c r="AK2015" s="115"/>
      <c r="AL2015" s="115"/>
      <c r="AM2015" s="115"/>
      <c r="AN2015" s="115"/>
      <c r="AO2015" s="115"/>
      <c r="AP2015" s="115"/>
      <c r="AQ2015" s="115"/>
      <c r="AR2015" s="115"/>
      <c r="AS2015" s="115"/>
      <c r="AT2015" s="115"/>
      <c r="AU2015" s="115"/>
      <c r="AV2015" s="115"/>
      <c r="AW2015" s="115"/>
      <c r="AX2015" s="115"/>
      <c r="AY2015" s="115"/>
      <c r="AZ2015" s="115"/>
      <c r="BA2015" s="115"/>
      <c r="BB2015" s="115"/>
      <c r="BC2015" s="115"/>
      <c r="BD2015" s="115"/>
      <c r="BE2015" s="115"/>
      <c r="BF2015" s="115"/>
      <c r="BG2015" s="115"/>
      <c r="BH2015" s="115"/>
      <c r="BI2015" s="115"/>
      <c r="BJ2015" s="115"/>
      <c r="BK2015" s="115"/>
      <c r="BL2015" s="122"/>
      <c r="BM2015" s="122"/>
      <c r="BN2015" s="122"/>
      <c r="BO2015" s="115"/>
      <c r="BP2015" s="115"/>
      <c r="BQ2015" s="115"/>
      <c r="BR2015" s="115"/>
      <c r="BS2015" s="115"/>
      <c r="BT2015" s="115"/>
      <c r="BU2015" s="115"/>
      <c r="BV2015" s="115"/>
      <c r="BW2015" s="115"/>
      <c r="BX2015" s="115"/>
      <c r="BY2015" s="115"/>
      <c r="BZ2015" s="115"/>
      <c r="CA2015" s="115"/>
      <c r="CB2015" s="115"/>
      <c r="CC2015" s="26"/>
      <c r="CD2015" s="15"/>
    </row>
    <row r="2016" spans="3:82" x14ac:dyDescent="0.4">
      <c r="D2016" s="115"/>
      <c r="E2016" s="115"/>
      <c r="F2016" s="115"/>
      <c r="G2016" s="115"/>
      <c r="H2016" s="115"/>
      <c r="I2016" s="115"/>
      <c r="J2016" s="115"/>
      <c r="K2016" s="115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  <c r="AI2016" s="115"/>
      <c r="AJ2016" s="115"/>
      <c r="AK2016" s="115"/>
      <c r="AL2016" s="115"/>
      <c r="AM2016" s="115"/>
      <c r="AN2016" s="115"/>
      <c r="AO2016" s="115"/>
      <c r="AP2016" s="115"/>
      <c r="AQ2016" s="115"/>
      <c r="AR2016" s="115"/>
      <c r="AS2016" s="115"/>
      <c r="AT2016" s="115"/>
      <c r="AU2016" s="115"/>
      <c r="AV2016" s="115"/>
      <c r="AW2016" s="115"/>
      <c r="AX2016" s="115"/>
      <c r="AY2016" s="115"/>
      <c r="AZ2016" s="115"/>
      <c r="BA2016" s="115"/>
      <c r="BB2016" s="115"/>
      <c r="BC2016" s="115"/>
      <c r="BD2016" s="115"/>
      <c r="BE2016" s="115"/>
      <c r="BF2016" s="115"/>
      <c r="BG2016" s="115"/>
      <c r="BH2016" s="115"/>
      <c r="BI2016" s="115"/>
      <c r="BJ2016" s="115"/>
      <c r="BK2016" s="115"/>
      <c r="BL2016" s="122"/>
      <c r="BM2016" s="122"/>
      <c r="BN2016" s="122"/>
      <c r="BO2016" s="115"/>
      <c r="BP2016" s="115"/>
      <c r="BQ2016" s="115"/>
      <c r="BR2016" s="115"/>
      <c r="BS2016" s="115"/>
      <c r="BT2016" s="115"/>
      <c r="BU2016" s="115"/>
      <c r="BV2016" s="115"/>
      <c r="BW2016" s="115"/>
      <c r="BX2016" s="115"/>
      <c r="BY2016" s="115"/>
      <c r="BZ2016" s="115"/>
      <c r="CA2016" s="115"/>
      <c r="CB2016" s="115"/>
      <c r="CC2016" s="26"/>
      <c r="CD2016" s="15"/>
    </row>
    <row r="2017" spans="2:82" x14ac:dyDescent="0.4">
      <c r="D2017" s="115"/>
      <c r="E2017" s="115"/>
      <c r="F2017" s="115"/>
      <c r="G2017" s="115"/>
      <c r="H2017" s="115"/>
      <c r="I2017" s="115"/>
      <c r="J2017" s="115"/>
      <c r="K2017" s="115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  <c r="AI2017" s="115"/>
      <c r="AJ2017" s="115"/>
      <c r="AK2017" s="115"/>
      <c r="AL2017" s="115"/>
      <c r="AM2017" s="115"/>
      <c r="AN2017" s="115"/>
      <c r="AO2017" s="115"/>
      <c r="AP2017" s="115"/>
      <c r="AQ2017" s="115"/>
      <c r="AR2017" s="115"/>
      <c r="AS2017" s="115"/>
      <c r="AT2017" s="115"/>
      <c r="AU2017" s="115"/>
      <c r="AV2017" s="115"/>
      <c r="AW2017" s="115"/>
      <c r="AX2017" s="115"/>
      <c r="AY2017" s="115"/>
      <c r="AZ2017" s="115"/>
      <c r="BA2017" s="115"/>
      <c r="BB2017" s="115"/>
      <c r="BC2017" s="115"/>
      <c r="BD2017" s="115"/>
      <c r="BE2017" s="115"/>
      <c r="BF2017" s="115"/>
      <c r="BG2017" s="115"/>
      <c r="BH2017" s="115"/>
      <c r="BI2017" s="115"/>
      <c r="BJ2017" s="115"/>
      <c r="BK2017" s="115"/>
      <c r="BL2017" s="122"/>
      <c r="BM2017" s="122"/>
      <c r="BN2017" s="122"/>
      <c r="BO2017" s="115"/>
      <c r="BP2017" s="115"/>
      <c r="BQ2017" s="115"/>
      <c r="BR2017" s="115"/>
      <c r="BS2017" s="115"/>
      <c r="BT2017" s="115"/>
      <c r="BU2017" s="115"/>
      <c r="BV2017" s="115"/>
      <c r="BW2017" s="115"/>
      <c r="BX2017" s="115"/>
      <c r="BY2017" s="115"/>
      <c r="BZ2017" s="115"/>
      <c r="CA2017" s="115"/>
      <c r="CB2017" s="115"/>
      <c r="CC2017" s="26"/>
      <c r="CD2017" s="15"/>
    </row>
    <row r="2018" spans="2:82" x14ac:dyDescent="0.4">
      <c r="D2018" s="115"/>
      <c r="E2018" s="115"/>
      <c r="F2018" s="115"/>
      <c r="G2018" s="115"/>
      <c r="H2018" s="115"/>
      <c r="I2018" s="115"/>
      <c r="J2018" s="115"/>
      <c r="K2018" s="115"/>
      <c r="L2018" s="115"/>
      <c r="M2018" s="115"/>
      <c r="N2018" s="115"/>
      <c r="O2018" s="115"/>
      <c r="P2018" s="115"/>
      <c r="Q2018" s="115"/>
      <c r="R2018" s="115"/>
      <c r="S2018" s="115"/>
      <c r="T2018" s="115"/>
      <c r="U2018" s="115"/>
      <c r="V2018" s="115"/>
      <c r="W2018" s="115"/>
      <c r="X2018" s="115"/>
      <c r="Y2018" s="115"/>
      <c r="Z2018" s="115"/>
      <c r="AA2018" s="115"/>
      <c r="AB2018" s="115"/>
      <c r="AC2018" s="115"/>
      <c r="AD2018" s="115"/>
      <c r="AE2018" s="115"/>
      <c r="AF2018" s="115"/>
      <c r="AG2018" s="115"/>
      <c r="AH2018" s="115"/>
      <c r="AI2018" s="115"/>
      <c r="AJ2018" s="115"/>
      <c r="AK2018" s="115"/>
      <c r="AL2018" s="115"/>
      <c r="AM2018" s="115"/>
      <c r="AN2018" s="115"/>
      <c r="AO2018" s="115"/>
      <c r="AP2018" s="115"/>
      <c r="AQ2018" s="115"/>
      <c r="AR2018" s="115"/>
      <c r="AS2018" s="115"/>
      <c r="AT2018" s="115"/>
      <c r="AU2018" s="115"/>
      <c r="AV2018" s="115"/>
      <c r="AW2018" s="115"/>
      <c r="AX2018" s="115"/>
      <c r="AY2018" s="115"/>
      <c r="AZ2018" s="115"/>
      <c r="BA2018" s="115"/>
      <c r="BB2018" s="115"/>
      <c r="BC2018" s="115"/>
      <c r="BD2018" s="115"/>
      <c r="BE2018" s="115"/>
      <c r="BF2018" s="115"/>
      <c r="BG2018" s="115"/>
      <c r="BH2018" s="115"/>
      <c r="BI2018" s="115"/>
      <c r="BJ2018" s="115"/>
      <c r="BK2018" s="115"/>
      <c r="BL2018" s="122"/>
      <c r="BM2018" s="122"/>
      <c r="BN2018" s="122"/>
      <c r="BO2018" s="115"/>
      <c r="BP2018" s="115"/>
      <c r="BQ2018" s="115"/>
      <c r="BR2018" s="115"/>
      <c r="BS2018" s="115"/>
      <c r="BT2018" s="115"/>
      <c r="BU2018" s="115"/>
      <c r="BV2018" s="115"/>
      <c r="BW2018" s="115"/>
      <c r="BX2018" s="115"/>
      <c r="BY2018" s="115"/>
      <c r="BZ2018" s="115"/>
      <c r="CA2018" s="115"/>
      <c r="CB2018" s="115"/>
      <c r="CC2018" s="26"/>
      <c r="CD2018" s="15"/>
    </row>
    <row r="2019" spans="2:82" x14ac:dyDescent="0.4">
      <c r="C2019" s="115"/>
      <c r="D2019" s="115"/>
      <c r="E2019" s="115"/>
      <c r="F2019" s="115"/>
      <c r="G2019" s="115"/>
      <c r="H2019" s="115"/>
      <c r="I2019" s="115"/>
      <c r="J2019" s="115"/>
      <c r="K2019" s="115"/>
      <c r="L2019" s="115"/>
      <c r="M2019" s="115"/>
      <c r="N2019" s="115"/>
      <c r="O2019" s="115"/>
      <c r="P2019" s="115"/>
      <c r="Q2019" s="115"/>
      <c r="R2019" s="115"/>
      <c r="S2019" s="115"/>
      <c r="T2019" s="115"/>
      <c r="U2019" s="115"/>
      <c r="V2019" s="115"/>
      <c r="W2019" s="115"/>
      <c r="X2019" s="115"/>
      <c r="Y2019" s="115"/>
      <c r="Z2019" s="115"/>
      <c r="AA2019" s="115"/>
      <c r="AB2019" s="115"/>
      <c r="AC2019" s="115"/>
      <c r="AD2019" s="115"/>
      <c r="AE2019" s="115"/>
      <c r="AF2019" s="115"/>
      <c r="AG2019" s="115"/>
      <c r="AH2019" s="115"/>
      <c r="AI2019" s="115"/>
      <c r="AJ2019" s="115"/>
      <c r="AK2019" s="115"/>
      <c r="AL2019" s="115"/>
      <c r="AM2019" s="115"/>
      <c r="AN2019" s="115"/>
      <c r="AO2019" s="115"/>
      <c r="AP2019" s="115"/>
      <c r="AQ2019" s="115"/>
      <c r="AR2019" s="115"/>
      <c r="AS2019" s="115"/>
      <c r="AT2019" s="115"/>
      <c r="AU2019" s="115"/>
      <c r="AV2019" s="115"/>
      <c r="AW2019" s="115"/>
      <c r="AX2019" s="115"/>
      <c r="AY2019" s="115"/>
      <c r="AZ2019" s="115"/>
      <c r="BA2019" s="115"/>
      <c r="BB2019" s="115"/>
      <c r="BC2019" s="115"/>
      <c r="BD2019" s="115"/>
      <c r="BE2019" s="115"/>
      <c r="BF2019" s="115"/>
      <c r="BG2019" s="115"/>
      <c r="BH2019" s="115"/>
      <c r="BI2019" s="115"/>
      <c r="BJ2019" s="115"/>
      <c r="BK2019" s="115"/>
      <c r="BL2019" s="122"/>
      <c r="BM2019" s="122"/>
      <c r="BN2019" s="122"/>
      <c r="BO2019" s="115"/>
      <c r="BP2019" s="115"/>
      <c r="BQ2019" s="115"/>
      <c r="BR2019" s="115"/>
      <c r="BS2019" s="115"/>
      <c r="BT2019" s="115"/>
      <c r="BU2019" s="115"/>
      <c r="BV2019" s="115"/>
      <c r="BW2019" s="115"/>
      <c r="BX2019" s="115"/>
      <c r="BY2019" s="115"/>
      <c r="BZ2019" s="115"/>
      <c r="CA2019" s="115"/>
      <c r="CB2019" s="115"/>
      <c r="CC2019" s="26"/>
      <c r="CD2019" s="15"/>
    </row>
    <row r="2020" spans="2:82" ht="19.5" customHeight="1" x14ac:dyDescent="0.4">
      <c r="B2020" s="115"/>
      <c r="C2020" s="115"/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15"/>
      <c r="BJ2020" s="115"/>
      <c r="BK2020" s="115"/>
      <c r="BL2020" s="122"/>
      <c r="BM2020" s="122"/>
      <c r="BN2020" s="122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115"/>
      <c r="CA2020" s="115"/>
      <c r="CB2020" s="115"/>
      <c r="CC2020" s="26"/>
      <c r="CD2020" s="15"/>
    </row>
    <row r="2021" spans="2:82" ht="19.5" customHeight="1" x14ac:dyDescent="0.4">
      <c r="B2021" s="115"/>
      <c r="C2021" s="115"/>
      <c r="D2021" s="115"/>
      <c r="E2021" s="115"/>
      <c r="F2021" s="115"/>
      <c r="G2021" s="115"/>
      <c r="H2021" s="115"/>
      <c r="I2021" s="115"/>
      <c r="J2021" s="115"/>
      <c r="K2021" s="115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  <c r="AI2021" s="115"/>
      <c r="AJ2021" s="115"/>
      <c r="AK2021" s="115"/>
      <c r="AL2021" s="115"/>
      <c r="AM2021" s="115"/>
      <c r="AN2021" s="115"/>
      <c r="AO2021" s="115"/>
      <c r="AP2021" s="115"/>
      <c r="AQ2021" s="115"/>
      <c r="AR2021" s="115"/>
      <c r="AS2021" s="115"/>
      <c r="AT2021" s="115"/>
      <c r="AU2021" s="115"/>
      <c r="AV2021" s="115"/>
      <c r="AW2021" s="115"/>
      <c r="AX2021" s="115"/>
      <c r="AY2021" s="115"/>
      <c r="AZ2021" s="115"/>
      <c r="BA2021" s="115"/>
      <c r="BB2021" s="115"/>
      <c r="BC2021" s="115"/>
      <c r="BD2021" s="115"/>
      <c r="BE2021" s="115"/>
      <c r="BF2021" s="115"/>
      <c r="BG2021" s="115"/>
      <c r="BH2021" s="115"/>
      <c r="BI2021" s="115"/>
      <c r="BJ2021" s="115"/>
      <c r="BK2021" s="115"/>
      <c r="BL2021" s="122"/>
      <c r="BM2021" s="122"/>
      <c r="BN2021" s="122"/>
      <c r="BO2021" s="115"/>
      <c r="BP2021" s="115"/>
      <c r="BQ2021" s="115"/>
      <c r="BR2021" s="115"/>
      <c r="BS2021" s="115"/>
      <c r="BT2021" s="115"/>
      <c r="BU2021" s="115"/>
      <c r="BV2021" s="115"/>
      <c r="BW2021" s="115"/>
      <c r="BX2021" s="115"/>
      <c r="BY2021" s="115"/>
      <c r="BZ2021" s="115"/>
      <c r="CA2021" s="115"/>
      <c r="CB2021" s="115"/>
      <c r="CC2021" s="26"/>
      <c r="CD2021" s="15"/>
    </row>
    <row r="2022" spans="2:82" x14ac:dyDescent="0.4">
      <c r="CC2022" s="26"/>
      <c r="CD2022" s="15"/>
    </row>
    <row r="2023" spans="2:82" x14ac:dyDescent="0.4">
      <c r="D2023" s="115"/>
      <c r="E2023" s="115"/>
      <c r="F2023" s="115"/>
      <c r="G2023" s="115"/>
      <c r="H2023" s="115"/>
      <c r="I2023" s="115"/>
      <c r="J2023" s="115"/>
      <c r="K2023" s="115"/>
      <c r="L2023" s="115"/>
      <c r="M2023" s="115"/>
      <c r="N2023" s="115"/>
      <c r="O2023" s="115"/>
      <c r="P2023" s="115"/>
      <c r="Q2023" s="115"/>
      <c r="R2023" s="115"/>
      <c r="S2023" s="115"/>
      <c r="T2023" s="115"/>
      <c r="U2023" s="115"/>
      <c r="V2023" s="115"/>
      <c r="W2023" s="115"/>
      <c r="X2023" s="115"/>
      <c r="Y2023" s="115"/>
      <c r="Z2023" s="115"/>
      <c r="AA2023" s="115"/>
      <c r="AB2023" s="115"/>
      <c r="AC2023" s="115"/>
      <c r="AD2023" s="115"/>
      <c r="AE2023" s="115"/>
      <c r="AF2023" s="115"/>
      <c r="AG2023" s="115"/>
      <c r="AH2023" s="115"/>
      <c r="AI2023" s="115"/>
      <c r="AJ2023" s="115"/>
      <c r="AK2023" s="115"/>
      <c r="AL2023" s="115"/>
      <c r="AM2023" s="115"/>
      <c r="AN2023" s="115"/>
      <c r="AO2023" s="115"/>
      <c r="AP2023" s="115"/>
      <c r="AQ2023" s="115"/>
      <c r="AR2023" s="115"/>
      <c r="AS2023" s="115"/>
      <c r="AT2023" s="115"/>
      <c r="AU2023" s="115"/>
      <c r="AV2023" s="115"/>
      <c r="AW2023" s="115"/>
      <c r="AX2023" s="115"/>
      <c r="AY2023" s="115"/>
      <c r="AZ2023" s="115"/>
      <c r="BA2023" s="115"/>
      <c r="BB2023" s="115"/>
      <c r="BC2023" s="115"/>
      <c r="BD2023" s="115"/>
      <c r="BE2023" s="115"/>
      <c r="BF2023" s="115"/>
      <c r="BG2023" s="115"/>
      <c r="BH2023" s="115"/>
      <c r="BI2023" s="115"/>
      <c r="BJ2023" s="115"/>
      <c r="BK2023" s="115"/>
      <c r="BL2023" s="122"/>
      <c r="BM2023" s="122"/>
      <c r="BN2023" s="122"/>
      <c r="BO2023" s="115"/>
      <c r="BP2023" s="115"/>
      <c r="BQ2023" s="115"/>
      <c r="BR2023" s="115"/>
      <c r="BS2023" s="115"/>
      <c r="BT2023" s="115"/>
      <c r="BU2023" s="115"/>
      <c r="BV2023" s="115"/>
      <c r="BW2023" s="115"/>
      <c r="BX2023" s="115"/>
      <c r="BY2023" s="115"/>
      <c r="BZ2023" s="115"/>
      <c r="CA2023" s="115"/>
      <c r="CB2023" s="115"/>
      <c r="CC2023" s="26"/>
      <c r="CD2023" s="15"/>
    </row>
    <row r="2024" spans="2:82" x14ac:dyDescent="0.4">
      <c r="C2024" s="115"/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15"/>
      <c r="BI2024" s="115"/>
      <c r="BJ2024" s="115"/>
      <c r="BK2024" s="115"/>
      <c r="BL2024" s="122"/>
      <c r="BM2024" s="122"/>
      <c r="BN2024" s="122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115"/>
      <c r="BZ2024" s="115"/>
      <c r="CA2024" s="115"/>
      <c r="CB2024" s="115"/>
      <c r="CC2024" s="26"/>
      <c r="CD2024" s="15"/>
    </row>
    <row r="2025" spans="2:82" x14ac:dyDescent="0.4">
      <c r="C2025" s="115"/>
      <c r="D2025" s="115"/>
      <c r="E2025" s="115"/>
      <c r="F2025" s="115"/>
      <c r="G2025" s="115"/>
      <c r="H2025" s="115"/>
      <c r="I2025" s="115"/>
      <c r="J2025" s="115"/>
      <c r="K2025" s="115"/>
      <c r="L2025" s="115"/>
      <c r="M2025" s="115"/>
      <c r="N2025" s="115"/>
      <c r="O2025" s="115"/>
      <c r="P2025" s="115"/>
      <c r="Q2025" s="115"/>
      <c r="R2025" s="115"/>
      <c r="S2025" s="115"/>
      <c r="T2025" s="115"/>
      <c r="U2025" s="115"/>
      <c r="V2025" s="115"/>
      <c r="W2025" s="115"/>
      <c r="X2025" s="115"/>
      <c r="Y2025" s="115"/>
      <c r="Z2025" s="115"/>
      <c r="AA2025" s="115"/>
      <c r="AB2025" s="115"/>
      <c r="AC2025" s="115"/>
      <c r="AD2025" s="115"/>
      <c r="AE2025" s="115"/>
      <c r="AF2025" s="115"/>
      <c r="AG2025" s="115"/>
      <c r="AH2025" s="115"/>
      <c r="AI2025" s="115"/>
      <c r="AJ2025" s="115"/>
      <c r="AK2025" s="115"/>
      <c r="AL2025" s="115"/>
      <c r="AM2025" s="115"/>
      <c r="AN2025" s="115"/>
      <c r="AO2025" s="115"/>
      <c r="AP2025" s="115"/>
      <c r="AQ2025" s="115"/>
      <c r="AR2025" s="115"/>
      <c r="AS2025" s="115"/>
      <c r="AT2025" s="115"/>
      <c r="AU2025" s="115"/>
      <c r="AV2025" s="115"/>
      <c r="AW2025" s="115"/>
      <c r="AX2025" s="115"/>
      <c r="AY2025" s="115"/>
      <c r="AZ2025" s="115"/>
      <c r="BA2025" s="115"/>
      <c r="BB2025" s="115"/>
      <c r="BC2025" s="115"/>
      <c r="BD2025" s="115"/>
      <c r="BE2025" s="115"/>
      <c r="BF2025" s="115"/>
      <c r="BG2025" s="115"/>
      <c r="BH2025" s="115"/>
      <c r="BI2025" s="115"/>
      <c r="BJ2025" s="115"/>
      <c r="BK2025" s="115"/>
      <c r="BL2025" s="122"/>
      <c r="BM2025" s="122"/>
      <c r="BN2025" s="122"/>
      <c r="BO2025" s="115"/>
      <c r="BP2025" s="115"/>
      <c r="BQ2025" s="115"/>
      <c r="BR2025" s="115"/>
      <c r="BS2025" s="115"/>
      <c r="BT2025" s="115"/>
      <c r="BU2025" s="115"/>
      <c r="BV2025" s="115"/>
      <c r="BW2025" s="115"/>
      <c r="BX2025" s="115"/>
      <c r="BY2025" s="115"/>
      <c r="BZ2025" s="115"/>
      <c r="CA2025" s="115"/>
      <c r="CB2025" s="115"/>
      <c r="CC2025" s="17"/>
      <c r="CD2025" s="15"/>
    </row>
    <row r="2026" spans="2:82" x14ac:dyDescent="0.4">
      <c r="CC2026" s="26"/>
      <c r="CD2026" s="15"/>
    </row>
    <row r="2027" spans="2:82" x14ac:dyDescent="0.4">
      <c r="BF2027" s="115"/>
      <c r="BG2027" s="115"/>
      <c r="BH2027" s="115"/>
      <c r="BI2027" s="115"/>
      <c r="BJ2027" s="115"/>
      <c r="BK2027" s="115"/>
      <c r="BL2027" s="122"/>
      <c r="BM2027" s="122"/>
      <c r="BN2027" s="122"/>
      <c r="BO2027" s="115"/>
      <c r="BP2027" s="115"/>
      <c r="BQ2027" s="115"/>
      <c r="BR2027" s="115"/>
      <c r="BS2027" s="115"/>
      <c r="BT2027" s="115"/>
      <c r="BU2027" s="115"/>
      <c r="BV2027" s="115"/>
      <c r="BW2027" s="115"/>
      <c r="BX2027" s="115"/>
      <c r="BY2027" s="115"/>
      <c r="BZ2027" s="115"/>
      <c r="CA2027" s="115"/>
      <c r="CB2027" s="115"/>
      <c r="CC2027" s="17"/>
      <c r="CD2027" s="15"/>
    </row>
    <row r="2028" spans="2:82" x14ac:dyDescent="0.4">
      <c r="C2028" s="115"/>
      <c r="D2028" s="115"/>
      <c r="E2028" s="115"/>
      <c r="F2028" s="115"/>
      <c r="G2028" s="115"/>
      <c r="H2028" s="115"/>
      <c r="I2028" s="115"/>
      <c r="J2028" s="115"/>
      <c r="K2028" s="115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  <c r="AI2028" s="115"/>
      <c r="AJ2028" s="115"/>
      <c r="AK2028" s="115"/>
      <c r="AL2028" s="115"/>
      <c r="AM2028" s="115"/>
      <c r="AN2028" s="115"/>
      <c r="AO2028" s="115"/>
      <c r="AP2028" s="115"/>
      <c r="AQ2028" s="115"/>
      <c r="AR2028" s="115"/>
      <c r="AS2028" s="115"/>
      <c r="AT2028" s="115"/>
      <c r="AU2028" s="115"/>
      <c r="AV2028" s="115"/>
      <c r="AW2028" s="115"/>
      <c r="AX2028" s="115"/>
      <c r="AY2028" s="115"/>
      <c r="AZ2028" s="115"/>
      <c r="BA2028" s="115"/>
      <c r="BB2028" s="115"/>
      <c r="BC2028" s="115"/>
      <c r="BD2028" s="115"/>
      <c r="BE2028" s="115"/>
      <c r="BF2028" s="115"/>
      <c r="BG2028" s="115"/>
      <c r="BH2028" s="115"/>
      <c r="BI2028" s="115"/>
      <c r="BJ2028" s="115"/>
      <c r="BK2028" s="115"/>
      <c r="BL2028" s="122"/>
      <c r="BM2028" s="122"/>
      <c r="BN2028" s="122"/>
      <c r="BO2028" s="115"/>
      <c r="BP2028" s="115"/>
      <c r="BQ2028" s="115"/>
      <c r="BR2028" s="115"/>
      <c r="BS2028" s="115"/>
      <c r="BT2028" s="115"/>
      <c r="BU2028" s="115"/>
      <c r="BV2028" s="115"/>
      <c r="BW2028" s="115"/>
      <c r="BX2028" s="115"/>
      <c r="BY2028" s="115"/>
      <c r="BZ2028" s="115"/>
      <c r="CA2028" s="115"/>
      <c r="CB2028" s="115"/>
      <c r="CC2028" s="26"/>
      <c r="CD2028" s="15"/>
    </row>
    <row r="2029" spans="2:82" x14ac:dyDescent="0.4">
      <c r="CC2029" s="26"/>
      <c r="CD2029" s="15"/>
    </row>
    <row r="2030" spans="2:82" x14ac:dyDescent="0.4">
      <c r="CC2030" s="26"/>
      <c r="CD2030" s="15"/>
    </row>
    <row r="2031" spans="2:82" x14ac:dyDescent="0.4">
      <c r="BE2031" s="115"/>
      <c r="BF2031" s="115"/>
      <c r="BG2031" s="115"/>
      <c r="BH2031" s="115"/>
      <c r="BI2031" s="115"/>
      <c r="BJ2031" s="115"/>
      <c r="BK2031" s="115"/>
      <c r="BL2031" s="122"/>
      <c r="BM2031" s="122"/>
      <c r="BN2031" s="122"/>
      <c r="BO2031" s="115"/>
      <c r="BP2031" s="115"/>
      <c r="BQ2031" s="115"/>
      <c r="BR2031" s="115"/>
      <c r="BS2031" s="115"/>
      <c r="BT2031" s="115"/>
      <c r="BU2031" s="115"/>
      <c r="BV2031" s="115"/>
      <c r="BW2031" s="115"/>
      <c r="BX2031" s="115"/>
      <c r="BY2031" s="115"/>
      <c r="BZ2031" s="115"/>
      <c r="CA2031" s="115"/>
      <c r="CB2031" s="115"/>
      <c r="CC2031" s="26"/>
      <c r="CD2031" s="15"/>
    </row>
    <row r="2032" spans="2:82" x14ac:dyDescent="0.4">
      <c r="CC2032" s="26"/>
      <c r="CD2032" s="15"/>
    </row>
    <row r="2033" spans="1:82" x14ac:dyDescent="0.4">
      <c r="BF2033" s="115"/>
      <c r="BG2033" s="115"/>
      <c r="BH2033" s="115"/>
      <c r="BI2033" s="115"/>
      <c r="BJ2033" s="115"/>
      <c r="BK2033" s="115"/>
      <c r="BL2033" s="122"/>
      <c r="BM2033" s="122"/>
      <c r="BN2033" s="122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15"/>
      <c r="BZ2033" s="115"/>
      <c r="CA2033" s="115"/>
      <c r="CB2033" s="115"/>
      <c r="CC2033" s="17"/>
      <c r="CD2033" s="15"/>
    </row>
    <row r="2034" spans="1:82" x14ac:dyDescent="0.4">
      <c r="A2034" s="115"/>
      <c r="B2034" s="115"/>
      <c r="C2034" s="115"/>
      <c r="D2034" s="115"/>
      <c r="E2034" s="115"/>
      <c r="F2034" s="115"/>
      <c r="G2034" s="115"/>
      <c r="H2034" s="115"/>
      <c r="I2034" s="115"/>
      <c r="J2034" s="115"/>
      <c r="K2034" s="115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  <c r="AI2034" s="115"/>
      <c r="AJ2034" s="115"/>
      <c r="AK2034" s="115"/>
      <c r="AL2034" s="115"/>
      <c r="AM2034" s="115"/>
      <c r="AN2034" s="115"/>
      <c r="AO2034" s="115"/>
      <c r="AP2034" s="115"/>
      <c r="AQ2034" s="115"/>
      <c r="AR2034" s="115"/>
      <c r="AS2034" s="115"/>
      <c r="AT2034" s="115"/>
      <c r="AU2034" s="115"/>
      <c r="AV2034" s="115"/>
      <c r="AW2034" s="115"/>
      <c r="AX2034" s="115"/>
      <c r="AY2034" s="115"/>
      <c r="AZ2034" s="115"/>
      <c r="BA2034" s="115"/>
      <c r="BB2034" s="115"/>
      <c r="BC2034" s="115"/>
      <c r="BD2034" s="115"/>
      <c r="BE2034" s="115"/>
      <c r="BF2034" s="115"/>
      <c r="BG2034" s="115"/>
      <c r="BH2034" s="115"/>
      <c r="BI2034" s="115"/>
      <c r="BJ2034" s="115"/>
      <c r="BK2034" s="115"/>
      <c r="BL2034" s="122"/>
      <c r="BM2034" s="122"/>
      <c r="BN2034" s="122"/>
      <c r="BO2034" s="115"/>
      <c r="BP2034" s="115"/>
      <c r="BQ2034" s="115"/>
      <c r="BR2034" s="115"/>
      <c r="BS2034" s="115"/>
      <c r="BT2034" s="115"/>
      <c r="BU2034" s="115"/>
      <c r="BV2034" s="115"/>
      <c r="BW2034" s="115"/>
      <c r="BX2034" s="115"/>
      <c r="BY2034" s="115"/>
      <c r="BZ2034" s="115"/>
      <c r="CA2034" s="115"/>
      <c r="CB2034" s="115"/>
      <c r="CC2034" s="26"/>
      <c r="CD2034" s="15"/>
    </row>
    <row r="2035" spans="1:82" x14ac:dyDescent="0.4">
      <c r="A2035" s="115"/>
      <c r="B2035" s="115"/>
      <c r="C2035" s="115"/>
      <c r="D2035" s="115"/>
      <c r="E2035" s="115"/>
      <c r="F2035" s="115"/>
      <c r="G2035" s="115"/>
      <c r="H2035" s="115"/>
      <c r="I2035" s="115"/>
      <c r="J2035" s="115"/>
      <c r="K2035" s="115"/>
      <c r="L2035" s="115"/>
      <c r="M2035" s="115"/>
      <c r="N2035" s="115"/>
      <c r="O2035" s="115"/>
      <c r="P2035" s="115"/>
      <c r="Q2035" s="115"/>
      <c r="R2035" s="115"/>
      <c r="S2035" s="115"/>
      <c r="T2035" s="115"/>
      <c r="U2035" s="115"/>
      <c r="V2035" s="115"/>
      <c r="W2035" s="115"/>
      <c r="X2035" s="115"/>
      <c r="Y2035" s="115"/>
      <c r="Z2035" s="115"/>
      <c r="AA2035" s="115"/>
      <c r="AB2035" s="115"/>
      <c r="AC2035" s="115"/>
      <c r="AD2035" s="115"/>
      <c r="AE2035" s="115"/>
      <c r="AF2035" s="115"/>
      <c r="AG2035" s="115"/>
      <c r="AH2035" s="115"/>
      <c r="AI2035" s="115"/>
      <c r="AJ2035" s="115"/>
      <c r="AK2035" s="115"/>
      <c r="AL2035" s="115"/>
      <c r="AM2035" s="115"/>
      <c r="AN2035" s="115"/>
      <c r="AO2035" s="115"/>
      <c r="AP2035" s="115"/>
      <c r="AQ2035" s="115"/>
      <c r="AR2035" s="115"/>
      <c r="AS2035" s="115"/>
      <c r="AT2035" s="115"/>
      <c r="AU2035" s="115"/>
      <c r="AV2035" s="115"/>
      <c r="AW2035" s="115"/>
      <c r="AX2035" s="115"/>
      <c r="AY2035" s="115"/>
      <c r="AZ2035" s="115"/>
      <c r="BA2035" s="115"/>
      <c r="BB2035" s="115"/>
      <c r="BC2035" s="115"/>
      <c r="BD2035" s="115"/>
      <c r="BE2035" s="115"/>
      <c r="BF2035" s="115"/>
      <c r="BG2035" s="115"/>
      <c r="BH2035" s="115"/>
      <c r="BI2035" s="115"/>
      <c r="BJ2035" s="115"/>
      <c r="BK2035" s="115"/>
      <c r="BL2035" s="122"/>
      <c r="BM2035" s="122"/>
      <c r="BN2035" s="122"/>
      <c r="BO2035" s="115"/>
      <c r="BP2035" s="115"/>
      <c r="BQ2035" s="115"/>
      <c r="BR2035" s="115"/>
      <c r="BS2035" s="115"/>
      <c r="BT2035" s="115"/>
      <c r="BU2035" s="115"/>
      <c r="BV2035" s="115"/>
      <c r="BW2035" s="115"/>
      <c r="BX2035" s="115"/>
      <c r="BY2035" s="115"/>
      <c r="BZ2035" s="115"/>
      <c r="CA2035" s="115"/>
      <c r="CB2035" s="115"/>
      <c r="CC2035" s="17"/>
      <c r="CD2035" s="13"/>
    </row>
    <row r="2036" spans="1:82" x14ac:dyDescent="0.4">
      <c r="A2036" s="115"/>
      <c r="B2036" s="115"/>
      <c r="C2036" s="115"/>
      <c r="D2036" s="115"/>
      <c r="E2036" s="115"/>
      <c r="F2036" s="115"/>
      <c r="G2036" s="115"/>
      <c r="H2036" s="115"/>
      <c r="I2036" s="115"/>
      <c r="J2036" s="115"/>
      <c r="K2036" s="115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  <c r="AI2036" s="115"/>
      <c r="AJ2036" s="115"/>
      <c r="AK2036" s="115"/>
      <c r="AL2036" s="115"/>
      <c r="AM2036" s="115"/>
      <c r="AN2036" s="115"/>
      <c r="AO2036" s="115"/>
      <c r="AP2036" s="115"/>
      <c r="AQ2036" s="115"/>
      <c r="AR2036" s="115"/>
      <c r="AS2036" s="115"/>
      <c r="AT2036" s="115"/>
      <c r="AU2036" s="115"/>
      <c r="AV2036" s="115"/>
      <c r="AW2036" s="115"/>
      <c r="AX2036" s="115"/>
      <c r="AY2036" s="115"/>
      <c r="AZ2036" s="115"/>
      <c r="BA2036" s="115"/>
      <c r="BB2036" s="115"/>
      <c r="BC2036" s="115"/>
      <c r="BD2036" s="115"/>
      <c r="BE2036" s="115"/>
      <c r="BF2036" s="115"/>
      <c r="BG2036" s="115"/>
      <c r="BH2036" s="115"/>
      <c r="BI2036" s="115"/>
      <c r="BJ2036" s="115"/>
      <c r="BK2036" s="115"/>
      <c r="BL2036" s="122"/>
      <c r="BM2036" s="122"/>
      <c r="BN2036" s="122"/>
      <c r="BO2036" s="115"/>
      <c r="BP2036" s="115"/>
      <c r="BQ2036" s="115"/>
      <c r="BR2036" s="115"/>
      <c r="BS2036" s="115"/>
      <c r="BT2036" s="115"/>
      <c r="BU2036" s="115"/>
      <c r="BV2036" s="115"/>
      <c r="BW2036" s="115"/>
      <c r="BX2036" s="115"/>
      <c r="BY2036" s="115"/>
      <c r="BZ2036" s="115"/>
      <c r="CA2036" s="115"/>
      <c r="CB2036" s="115"/>
      <c r="CC2036" s="17"/>
      <c r="CD2036" s="13"/>
    </row>
    <row r="2037" spans="1:82" x14ac:dyDescent="0.4">
      <c r="CC2037" s="26"/>
      <c r="CD2037" s="13"/>
    </row>
    <row r="2038" spans="1:82" x14ac:dyDescent="0.4">
      <c r="C2038" s="115"/>
      <c r="D2038" s="115"/>
      <c r="E2038" s="115"/>
      <c r="F2038" s="115"/>
      <c r="G2038" s="115"/>
      <c r="H2038" s="115"/>
      <c r="I2038" s="115"/>
      <c r="J2038" s="115"/>
      <c r="K2038" s="115"/>
      <c r="L2038" s="115"/>
      <c r="M2038" s="115"/>
      <c r="N2038" s="115"/>
      <c r="O2038" s="115"/>
      <c r="P2038" s="115"/>
      <c r="Q2038" s="115"/>
      <c r="R2038" s="115"/>
      <c r="S2038" s="115"/>
      <c r="T2038" s="115"/>
      <c r="U2038" s="115"/>
      <c r="V2038" s="115"/>
      <c r="W2038" s="115"/>
      <c r="X2038" s="115"/>
      <c r="Y2038" s="115"/>
      <c r="Z2038" s="115"/>
      <c r="AA2038" s="115"/>
      <c r="AB2038" s="115"/>
      <c r="AC2038" s="115"/>
      <c r="AD2038" s="115"/>
      <c r="AE2038" s="115"/>
      <c r="AF2038" s="115"/>
      <c r="AG2038" s="115"/>
      <c r="AH2038" s="115"/>
      <c r="AI2038" s="115"/>
      <c r="AJ2038" s="115"/>
      <c r="AK2038" s="115"/>
      <c r="AL2038" s="115"/>
      <c r="AM2038" s="115"/>
      <c r="AN2038" s="115"/>
      <c r="AO2038" s="115"/>
      <c r="AP2038" s="115"/>
      <c r="AQ2038" s="115"/>
      <c r="AR2038" s="115"/>
      <c r="AS2038" s="115"/>
      <c r="AT2038" s="115"/>
      <c r="AU2038" s="115"/>
      <c r="AV2038" s="115"/>
      <c r="AW2038" s="115"/>
      <c r="AX2038" s="115"/>
      <c r="AY2038" s="115"/>
      <c r="AZ2038" s="115"/>
      <c r="BA2038" s="115"/>
      <c r="BB2038" s="115"/>
      <c r="BC2038" s="115"/>
      <c r="BD2038" s="115"/>
      <c r="BE2038" s="115"/>
      <c r="BF2038" s="115"/>
      <c r="BG2038" s="115"/>
      <c r="BH2038" s="115"/>
      <c r="BI2038" s="115"/>
      <c r="BJ2038" s="115"/>
      <c r="BK2038" s="115"/>
      <c r="BL2038" s="122"/>
      <c r="BM2038" s="122"/>
      <c r="BN2038" s="122"/>
      <c r="BO2038" s="115"/>
      <c r="BP2038" s="115"/>
      <c r="BQ2038" s="115"/>
      <c r="BR2038" s="115"/>
      <c r="BS2038" s="115"/>
      <c r="BT2038" s="115"/>
      <c r="BU2038" s="115"/>
      <c r="BV2038" s="115"/>
      <c r="BW2038" s="115"/>
      <c r="BX2038" s="115"/>
      <c r="BY2038" s="115"/>
      <c r="BZ2038" s="115"/>
      <c r="CA2038" s="115"/>
      <c r="CB2038" s="115"/>
      <c r="CC2038" s="26"/>
      <c r="CD2038" s="15"/>
    </row>
    <row r="2039" spans="1:82" x14ac:dyDescent="0.4">
      <c r="C2039" s="115"/>
      <c r="D2039" s="115"/>
      <c r="E2039" s="115"/>
      <c r="F2039" s="115"/>
      <c r="G2039" s="115"/>
      <c r="H2039" s="115"/>
      <c r="I2039" s="115"/>
      <c r="J2039" s="115"/>
      <c r="K2039" s="115"/>
      <c r="L2039" s="115"/>
      <c r="M2039" s="115"/>
      <c r="N2039" s="115"/>
      <c r="O2039" s="115"/>
      <c r="P2039" s="115"/>
      <c r="Q2039" s="115"/>
      <c r="R2039" s="115"/>
      <c r="S2039" s="115"/>
      <c r="T2039" s="115"/>
      <c r="U2039" s="115"/>
      <c r="V2039" s="115"/>
      <c r="W2039" s="115"/>
      <c r="X2039" s="115"/>
      <c r="Y2039" s="115"/>
      <c r="Z2039" s="115"/>
      <c r="AA2039" s="115"/>
      <c r="AB2039" s="115"/>
      <c r="AC2039" s="115"/>
      <c r="AD2039" s="115"/>
      <c r="AE2039" s="115"/>
      <c r="AF2039" s="115"/>
      <c r="AG2039" s="115"/>
      <c r="AH2039" s="115"/>
      <c r="AI2039" s="115"/>
      <c r="AJ2039" s="115"/>
      <c r="AK2039" s="115"/>
      <c r="AL2039" s="115"/>
      <c r="AM2039" s="115"/>
      <c r="AN2039" s="115"/>
      <c r="AO2039" s="115"/>
      <c r="AP2039" s="115"/>
      <c r="AQ2039" s="115"/>
      <c r="AR2039" s="115"/>
      <c r="AS2039" s="115"/>
      <c r="AT2039" s="115"/>
      <c r="AU2039" s="115"/>
      <c r="AV2039" s="115"/>
      <c r="AW2039" s="115"/>
      <c r="AX2039" s="115"/>
      <c r="AY2039" s="115"/>
      <c r="AZ2039" s="115"/>
      <c r="BA2039" s="115"/>
      <c r="BB2039" s="115"/>
      <c r="BC2039" s="115"/>
      <c r="BD2039" s="115"/>
      <c r="BE2039" s="115"/>
      <c r="BF2039" s="115"/>
      <c r="BG2039" s="115"/>
      <c r="BH2039" s="115"/>
      <c r="BI2039" s="115"/>
      <c r="BJ2039" s="115"/>
      <c r="BK2039" s="115"/>
      <c r="BL2039" s="122"/>
      <c r="BM2039" s="122"/>
      <c r="BN2039" s="122"/>
      <c r="BO2039" s="115"/>
      <c r="BP2039" s="115"/>
      <c r="BQ2039" s="115"/>
      <c r="BR2039" s="115"/>
      <c r="BS2039" s="115"/>
      <c r="BT2039" s="115"/>
      <c r="BU2039" s="115"/>
      <c r="BV2039" s="115"/>
      <c r="BW2039" s="115"/>
      <c r="BX2039" s="115"/>
      <c r="BY2039" s="115"/>
      <c r="BZ2039" s="115"/>
      <c r="CA2039" s="115"/>
      <c r="CB2039" s="115"/>
      <c r="CC2039" s="26"/>
      <c r="CD2039" s="15"/>
    </row>
    <row r="2040" spans="1:82" x14ac:dyDescent="0.4">
      <c r="CC2040" s="26"/>
      <c r="CD2040" s="15"/>
    </row>
    <row r="2041" spans="1:82" x14ac:dyDescent="0.4">
      <c r="D2041" s="115"/>
      <c r="E2041" s="115"/>
      <c r="F2041" s="115"/>
      <c r="G2041" s="115"/>
      <c r="H2041" s="115"/>
      <c r="I2041" s="115"/>
      <c r="J2041" s="115"/>
      <c r="K2041" s="115"/>
      <c r="L2041" s="115"/>
      <c r="M2041" s="115"/>
      <c r="N2041" s="115"/>
      <c r="O2041" s="115"/>
      <c r="P2041" s="115"/>
      <c r="Q2041" s="115"/>
      <c r="R2041" s="115"/>
      <c r="S2041" s="115"/>
      <c r="T2041" s="115"/>
      <c r="U2041" s="115"/>
      <c r="V2041" s="115"/>
      <c r="W2041" s="115"/>
      <c r="X2041" s="115"/>
      <c r="Y2041" s="115"/>
      <c r="Z2041" s="115"/>
      <c r="AA2041" s="115"/>
      <c r="AB2041" s="115"/>
      <c r="AC2041" s="115"/>
      <c r="AD2041" s="115"/>
      <c r="AE2041" s="115"/>
      <c r="AF2041" s="115"/>
      <c r="AG2041" s="115"/>
      <c r="AH2041" s="115"/>
      <c r="AI2041" s="115"/>
      <c r="AJ2041" s="115"/>
      <c r="AK2041" s="115"/>
      <c r="AL2041" s="115"/>
      <c r="AM2041" s="115"/>
      <c r="AN2041" s="115"/>
      <c r="AO2041" s="115"/>
      <c r="AP2041" s="115"/>
      <c r="AQ2041" s="115"/>
      <c r="AR2041" s="115"/>
      <c r="AS2041" s="115"/>
      <c r="AT2041" s="115"/>
      <c r="AU2041" s="115"/>
      <c r="AV2041" s="115"/>
      <c r="AW2041" s="115"/>
      <c r="AX2041" s="115"/>
      <c r="AY2041" s="115"/>
      <c r="AZ2041" s="115"/>
      <c r="BA2041" s="115"/>
      <c r="BB2041" s="115"/>
      <c r="BC2041" s="115"/>
      <c r="BD2041" s="115"/>
      <c r="BE2041" s="115"/>
      <c r="BF2041" s="115"/>
      <c r="BG2041" s="115"/>
      <c r="BH2041" s="115"/>
      <c r="BI2041" s="115"/>
      <c r="BJ2041" s="115"/>
      <c r="BK2041" s="115"/>
      <c r="BL2041" s="122"/>
      <c r="BM2041" s="122"/>
      <c r="BN2041" s="122"/>
      <c r="BO2041" s="115"/>
      <c r="BP2041" s="115"/>
      <c r="BQ2041" s="115"/>
      <c r="BR2041" s="115"/>
      <c r="BS2041" s="115"/>
      <c r="BT2041" s="115"/>
      <c r="BU2041" s="115"/>
      <c r="BV2041" s="115"/>
      <c r="BW2041" s="115"/>
      <c r="BX2041" s="115"/>
      <c r="BY2041" s="115"/>
      <c r="BZ2041" s="115"/>
      <c r="CA2041" s="115"/>
      <c r="CB2041" s="115"/>
      <c r="CC2041" s="26"/>
      <c r="CD2041" s="15"/>
    </row>
    <row r="2042" spans="1:82" x14ac:dyDescent="0.4">
      <c r="C2042" s="115"/>
      <c r="D2042" s="115"/>
      <c r="E2042" s="115"/>
      <c r="F2042" s="115"/>
      <c r="G2042" s="115"/>
      <c r="H2042" s="115"/>
      <c r="I2042" s="115"/>
      <c r="J2042" s="115"/>
      <c r="K2042" s="115"/>
      <c r="L2042" s="115"/>
      <c r="M2042" s="115"/>
      <c r="N2042" s="115"/>
      <c r="O2042" s="115"/>
      <c r="P2042" s="115"/>
      <c r="Q2042" s="115"/>
      <c r="R2042" s="115"/>
      <c r="S2042" s="115"/>
      <c r="T2042" s="115"/>
      <c r="U2042" s="115"/>
      <c r="V2042" s="115"/>
      <c r="W2042" s="115"/>
      <c r="X2042" s="115"/>
      <c r="Y2042" s="115"/>
      <c r="Z2042" s="115"/>
      <c r="AA2042" s="115"/>
      <c r="AB2042" s="115"/>
      <c r="AC2042" s="115"/>
      <c r="AD2042" s="115"/>
      <c r="AE2042" s="115"/>
      <c r="AF2042" s="115"/>
      <c r="AG2042" s="115"/>
      <c r="AH2042" s="115"/>
      <c r="AI2042" s="115"/>
      <c r="AJ2042" s="115"/>
      <c r="AK2042" s="115"/>
      <c r="AL2042" s="115"/>
      <c r="AM2042" s="115"/>
      <c r="AN2042" s="115"/>
      <c r="AO2042" s="115"/>
      <c r="AP2042" s="115"/>
      <c r="AQ2042" s="115"/>
      <c r="AR2042" s="115"/>
      <c r="AS2042" s="115"/>
      <c r="AT2042" s="115"/>
      <c r="AU2042" s="115"/>
      <c r="AV2042" s="115"/>
      <c r="AW2042" s="115"/>
      <c r="AX2042" s="115"/>
      <c r="AY2042" s="115"/>
      <c r="AZ2042" s="115"/>
      <c r="BA2042" s="115"/>
      <c r="BB2042" s="115"/>
      <c r="BC2042" s="115"/>
      <c r="BD2042" s="115"/>
      <c r="BE2042" s="115"/>
      <c r="BF2042" s="115"/>
      <c r="BG2042" s="115"/>
      <c r="BH2042" s="115"/>
      <c r="BI2042" s="115"/>
      <c r="BJ2042" s="115"/>
      <c r="BK2042" s="115"/>
      <c r="BL2042" s="122"/>
      <c r="BM2042" s="122"/>
      <c r="BN2042" s="122"/>
      <c r="BO2042" s="115"/>
      <c r="BP2042" s="115"/>
      <c r="BQ2042" s="115"/>
      <c r="BR2042" s="115"/>
      <c r="BS2042" s="115"/>
      <c r="BT2042" s="115"/>
      <c r="BU2042" s="115"/>
      <c r="BV2042" s="115"/>
      <c r="BW2042" s="115"/>
      <c r="BX2042" s="115"/>
      <c r="BY2042" s="115"/>
      <c r="BZ2042" s="115"/>
      <c r="CA2042" s="115"/>
      <c r="CB2042" s="115"/>
      <c r="CC2042" s="26"/>
      <c r="CD2042" s="15"/>
    </row>
    <row r="2043" spans="1:82" x14ac:dyDescent="0.4">
      <c r="C2043" s="115"/>
      <c r="D2043" s="115"/>
      <c r="E2043" s="115"/>
      <c r="F2043" s="115"/>
      <c r="G2043" s="115"/>
      <c r="H2043" s="115"/>
      <c r="I2043" s="115"/>
      <c r="J2043" s="115"/>
      <c r="K2043" s="115"/>
      <c r="L2043" s="115"/>
      <c r="M2043" s="115"/>
      <c r="N2043" s="115"/>
      <c r="O2043" s="115"/>
      <c r="P2043" s="115"/>
      <c r="Q2043" s="115"/>
      <c r="R2043" s="115"/>
      <c r="S2043" s="115"/>
      <c r="T2043" s="115"/>
      <c r="U2043" s="115"/>
      <c r="V2043" s="115"/>
      <c r="W2043" s="115"/>
      <c r="X2043" s="115"/>
      <c r="Y2043" s="115"/>
      <c r="Z2043" s="115"/>
      <c r="AA2043" s="115"/>
      <c r="AB2043" s="115"/>
      <c r="AC2043" s="115"/>
      <c r="AD2043" s="115"/>
      <c r="AE2043" s="115"/>
      <c r="AF2043" s="115"/>
      <c r="AG2043" s="115"/>
      <c r="AH2043" s="115"/>
      <c r="AI2043" s="115"/>
      <c r="AJ2043" s="115"/>
      <c r="AK2043" s="115"/>
      <c r="AL2043" s="115"/>
      <c r="AM2043" s="115"/>
      <c r="AN2043" s="115"/>
      <c r="AO2043" s="115"/>
      <c r="AP2043" s="115"/>
      <c r="AQ2043" s="115"/>
      <c r="AR2043" s="115"/>
      <c r="AS2043" s="115"/>
      <c r="AT2043" s="115"/>
      <c r="AU2043" s="115"/>
      <c r="AV2043" s="115"/>
      <c r="AW2043" s="115"/>
      <c r="AX2043" s="115"/>
      <c r="AY2043" s="115"/>
      <c r="AZ2043" s="115"/>
      <c r="BA2043" s="115"/>
      <c r="BB2043" s="115"/>
      <c r="BC2043" s="115"/>
      <c r="BD2043" s="115"/>
      <c r="BE2043" s="115"/>
      <c r="BF2043" s="115"/>
      <c r="BG2043" s="115"/>
      <c r="BH2043" s="115"/>
      <c r="BI2043" s="115"/>
      <c r="BJ2043" s="115"/>
      <c r="BK2043" s="115"/>
      <c r="BL2043" s="122"/>
      <c r="BM2043" s="122"/>
      <c r="BN2043" s="122"/>
      <c r="BO2043" s="115"/>
      <c r="BP2043" s="115"/>
      <c r="BQ2043" s="115"/>
      <c r="BR2043" s="115"/>
      <c r="BS2043" s="115"/>
      <c r="BT2043" s="115"/>
      <c r="BU2043" s="115"/>
      <c r="BV2043" s="115"/>
      <c r="BW2043" s="115"/>
      <c r="BX2043" s="115"/>
      <c r="BY2043" s="115"/>
      <c r="BZ2043" s="115"/>
      <c r="CA2043" s="115"/>
      <c r="CB2043" s="115"/>
      <c r="CC2043" s="26"/>
      <c r="CD2043" s="15"/>
    </row>
    <row r="2044" spans="1:82" x14ac:dyDescent="0.4">
      <c r="C2044" s="115"/>
      <c r="D2044" s="115"/>
      <c r="E2044" s="115"/>
      <c r="F2044" s="115"/>
      <c r="G2044" s="115"/>
      <c r="H2044" s="115"/>
      <c r="I2044" s="115"/>
      <c r="J2044" s="115"/>
      <c r="K2044" s="115"/>
      <c r="L2044" s="115"/>
      <c r="M2044" s="115"/>
      <c r="N2044" s="115"/>
      <c r="O2044" s="115"/>
      <c r="P2044" s="115"/>
      <c r="Q2044" s="115"/>
      <c r="R2044" s="115"/>
      <c r="S2044" s="115"/>
      <c r="T2044" s="115"/>
      <c r="U2044" s="115"/>
      <c r="V2044" s="115"/>
      <c r="W2044" s="115"/>
      <c r="X2044" s="115"/>
      <c r="Y2044" s="115"/>
      <c r="Z2044" s="115"/>
      <c r="AA2044" s="115"/>
      <c r="AB2044" s="115"/>
      <c r="AC2044" s="115"/>
      <c r="AD2044" s="115"/>
      <c r="AE2044" s="115"/>
      <c r="AF2044" s="115"/>
      <c r="AG2044" s="115"/>
      <c r="AH2044" s="115"/>
      <c r="AI2044" s="115"/>
      <c r="AJ2044" s="115"/>
      <c r="AK2044" s="115"/>
      <c r="AL2044" s="115"/>
      <c r="AM2044" s="115"/>
      <c r="AN2044" s="115"/>
      <c r="AO2044" s="115"/>
      <c r="AP2044" s="115"/>
      <c r="AQ2044" s="115"/>
      <c r="AR2044" s="115"/>
      <c r="AS2044" s="115"/>
      <c r="AT2044" s="115"/>
      <c r="AU2044" s="115"/>
      <c r="AV2044" s="115"/>
      <c r="AW2044" s="115"/>
      <c r="AX2044" s="115"/>
      <c r="AY2044" s="115"/>
      <c r="AZ2044" s="115"/>
      <c r="BA2044" s="115"/>
      <c r="BB2044" s="115"/>
      <c r="BC2044" s="115"/>
      <c r="BD2044" s="115"/>
      <c r="BE2044" s="115"/>
      <c r="BF2044" s="115"/>
      <c r="BG2044" s="115"/>
      <c r="BH2044" s="115"/>
      <c r="BI2044" s="115"/>
      <c r="BJ2044" s="115"/>
      <c r="BK2044" s="115"/>
      <c r="BL2044" s="122"/>
      <c r="BM2044" s="122"/>
      <c r="BN2044" s="122"/>
      <c r="BO2044" s="115"/>
      <c r="BP2044" s="115"/>
      <c r="BQ2044" s="115"/>
      <c r="BR2044" s="115"/>
      <c r="BS2044" s="115"/>
      <c r="BT2044" s="115"/>
      <c r="BU2044" s="115"/>
      <c r="BV2044" s="115"/>
      <c r="BW2044" s="115"/>
      <c r="BX2044" s="115"/>
      <c r="BY2044" s="115"/>
      <c r="BZ2044" s="115"/>
      <c r="CA2044" s="115"/>
      <c r="CB2044" s="115"/>
      <c r="CC2044" s="26"/>
      <c r="CD2044" s="15"/>
    </row>
    <row r="2045" spans="1:82" x14ac:dyDescent="0.4">
      <c r="CC2045" s="26"/>
      <c r="CD2045" s="15"/>
    </row>
    <row r="2046" spans="1:82" x14ac:dyDescent="0.4">
      <c r="D2046" s="115"/>
      <c r="E2046" s="115"/>
      <c r="F2046" s="115"/>
      <c r="G2046" s="115"/>
      <c r="H2046" s="115"/>
      <c r="I2046" s="115"/>
      <c r="J2046" s="115"/>
      <c r="K2046" s="115"/>
      <c r="L2046" s="115"/>
      <c r="M2046" s="115"/>
      <c r="N2046" s="115"/>
      <c r="O2046" s="115"/>
      <c r="P2046" s="115"/>
      <c r="Q2046" s="115"/>
      <c r="R2046" s="115"/>
      <c r="S2046" s="115"/>
      <c r="T2046" s="115"/>
      <c r="U2046" s="115"/>
      <c r="V2046" s="115"/>
      <c r="W2046" s="115"/>
      <c r="X2046" s="115"/>
      <c r="Y2046" s="115"/>
      <c r="Z2046" s="115"/>
      <c r="AA2046" s="115"/>
      <c r="AB2046" s="115"/>
      <c r="AC2046" s="115"/>
      <c r="AD2046" s="115"/>
      <c r="AE2046" s="115"/>
      <c r="AF2046" s="115"/>
      <c r="AG2046" s="115"/>
      <c r="AH2046" s="115"/>
      <c r="AI2046" s="115"/>
      <c r="AJ2046" s="115"/>
      <c r="AK2046" s="115"/>
      <c r="AL2046" s="115"/>
      <c r="AM2046" s="115"/>
      <c r="AN2046" s="115"/>
      <c r="AO2046" s="115"/>
      <c r="AP2046" s="115"/>
      <c r="AQ2046" s="115"/>
      <c r="AR2046" s="115"/>
      <c r="AS2046" s="115"/>
      <c r="AT2046" s="115"/>
      <c r="AU2046" s="115"/>
      <c r="AV2046" s="115"/>
      <c r="AW2046" s="115"/>
      <c r="AX2046" s="115"/>
      <c r="AY2046" s="115"/>
      <c r="AZ2046" s="115"/>
      <c r="BA2046" s="115"/>
      <c r="BB2046" s="115"/>
      <c r="BC2046" s="115"/>
      <c r="BD2046" s="115"/>
      <c r="BE2046" s="115"/>
      <c r="BF2046" s="115"/>
      <c r="BG2046" s="115"/>
      <c r="BH2046" s="115"/>
      <c r="BI2046" s="115"/>
      <c r="BJ2046" s="115"/>
      <c r="BK2046" s="115"/>
      <c r="BL2046" s="122"/>
      <c r="BM2046" s="122"/>
      <c r="BN2046" s="122"/>
      <c r="BO2046" s="115"/>
      <c r="BP2046" s="115"/>
      <c r="BQ2046" s="115"/>
      <c r="BR2046" s="115"/>
      <c r="BS2046" s="115"/>
      <c r="BT2046" s="115"/>
      <c r="BU2046" s="115"/>
      <c r="BV2046" s="115"/>
      <c r="BW2046" s="115"/>
      <c r="BX2046" s="115"/>
      <c r="BY2046" s="115"/>
      <c r="BZ2046" s="115"/>
      <c r="CA2046" s="115"/>
      <c r="CB2046" s="115"/>
      <c r="CC2046" s="26"/>
      <c r="CD2046" s="15"/>
    </row>
    <row r="2047" spans="1:82" x14ac:dyDescent="0.4">
      <c r="CC2047" s="26"/>
      <c r="CD2047" s="15"/>
    </row>
    <row r="2048" spans="1:82" x14ac:dyDescent="0.4">
      <c r="D2048" s="115"/>
      <c r="E2048" s="115"/>
      <c r="F2048" s="115"/>
      <c r="G2048" s="115"/>
      <c r="H2048" s="115"/>
      <c r="I2048" s="115"/>
      <c r="J2048" s="115"/>
      <c r="K2048" s="115"/>
      <c r="L2048" s="115"/>
      <c r="M2048" s="115"/>
      <c r="N2048" s="115"/>
      <c r="O2048" s="115"/>
      <c r="P2048" s="115"/>
      <c r="Q2048" s="115"/>
      <c r="R2048" s="115"/>
      <c r="S2048" s="115"/>
      <c r="T2048" s="115"/>
      <c r="U2048" s="115"/>
      <c r="V2048" s="115"/>
      <c r="W2048" s="115"/>
      <c r="X2048" s="115"/>
      <c r="Y2048" s="115"/>
      <c r="Z2048" s="115"/>
      <c r="AA2048" s="115"/>
      <c r="AB2048" s="115"/>
      <c r="AC2048" s="115"/>
      <c r="AD2048" s="115"/>
      <c r="AE2048" s="115"/>
      <c r="AF2048" s="115"/>
      <c r="AG2048" s="115"/>
      <c r="AH2048" s="115"/>
      <c r="AI2048" s="115"/>
      <c r="AJ2048" s="115"/>
      <c r="AK2048" s="115"/>
      <c r="AL2048" s="115"/>
      <c r="AM2048" s="115"/>
      <c r="AN2048" s="115"/>
      <c r="AO2048" s="115"/>
      <c r="AP2048" s="115"/>
      <c r="AQ2048" s="115"/>
      <c r="AR2048" s="115"/>
      <c r="AS2048" s="115"/>
      <c r="AT2048" s="115"/>
      <c r="AU2048" s="115"/>
      <c r="AV2048" s="115"/>
      <c r="AW2048" s="115"/>
      <c r="AX2048" s="115"/>
      <c r="AY2048" s="115"/>
      <c r="AZ2048" s="115"/>
      <c r="BA2048" s="115"/>
      <c r="BB2048" s="115"/>
      <c r="BC2048" s="115"/>
      <c r="BD2048" s="115"/>
      <c r="BE2048" s="115"/>
      <c r="BF2048" s="115"/>
      <c r="BG2048" s="115"/>
      <c r="BH2048" s="115"/>
      <c r="BI2048" s="115"/>
      <c r="BJ2048" s="115"/>
      <c r="BK2048" s="115"/>
      <c r="BL2048" s="122"/>
      <c r="BM2048" s="122"/>
      <c r="BN2048" s="122"/>
      <c r="BO2048" s="115"/>
      <c r="BP2048" s="115"/>
      <c r="BQ2048" s="115"/>
      <c r="BR2048" s="115"/>
      <c r="BS2048" s="115"/>
      <c r="BT2048" s="115"/>
      <c r="BU2048" s="115"/>
      <c r="BV2048" s="115"/>
      <c r="BW2048" s="115"/>
      <c r="BX2048" s="115"/>
      <c r="BY2048" s="115"/>
      <c r="BZ2048" s="115"/>
      <c r="CA2048" s="115"/>
      <c r="CB2048" s="115"/>
      <c r="CC2048" s="26"/>
      <c r="CD2048" s="15"/>
    </row>
    <row r="2049" spans="1:82" x14ac:dyDescent="0.4">
      <c r="D2049" s="115"/>
      <c r="E2049" s="115"/>
      <c r="F2049" s="115"/>
      <c r="G2049" s="115"/>
      <c r="H2049" s="115"/>
      <c r="I2049" s="115"/>
      <c r="J2049" s="115"/>
      <c r="K2049" s="115"/>
      <c r="L2049" s="115"/>
      <c r="M2049" s="115"/>
      <c r="N2049" s="115"/>
      <c r="O2049" s="115"/>
      <c r="P2049" s="115"/>
      <c r="Q2049" s="115"/>
      <c r="R2049" s="115"/>
      <c r="S2049" s="115"/>
      <c r="T2049" s="115"/>
      <c r="U2049" s="115"/>
      <c r="V2049" s="115"/>
      <c r="W2049" s="115"/>
      <c r="X2049" s="115"/>
      <c r="Y2049" s="115"/>
      <c r="Z2049" s="115"/>
      <c r="AA2049" s="115"/>
      <c r="AB2049" s="115"/>
      <c r="AC2049" s="115"/>
      <c r="AD2049" s="115"/>
      <c r="AE2049" s="115"/>
      <c r="AF2049" s="115"/>
      <c r="AG2049" s="115"/>
      <c r="AH2049" s="115"/>
      <c r="AI2049" s="115"/>
      <c r="AJ2049" s="115"/>
      <c r="AK2049" s="115"/>
      <c r="AL2049" s="115"/>
      <c r="AM2049" s="115"/>
      <c r="AN2049" s="115"/>
      <c r="AO2049" s="115"/>
      <c r="AP2049" s="115"/>
      <c r="AQ2049" s="115"/>
      <c r="AR2049" s="115"/>
      <c r="AS2049" s="115"/>
      <c r="AT2049" s="115"/>
      <c r="AU2049" s="115"/>
      <c r="AV2049" s="115"/>
      <c r="AW2049" s="115"/>
      <c r="AX2049" s="115"/>
      <c r="AY2049" s="115"/>
      <c r="AZ2049" s="115"/>
      <c r="BA2049" s="115"/>
      <c r="BB2049" s="115"/>
      <c r="BC2049" s="115"/>
      <c r="BD2049" s="115"/>
      <c r="BE2049" s="115"/>
      <c r="BF2049" s="115"/>
      <c r="BG2049" s="115"/>
      <c r="BH2049" s="115"/>
      <c r="BI2049" s="115"/>
      <c r="BJ2049" s="115"/>
      <c r="BK2049" s="115"/>
      <c r="BL2049" s="122"/>
      <c r="BM2049" s="122"/>
      <c r="BN2049" s="122"/>
      <c r="BO2049" s="115"/>
      <c r="BP2049" s="115"/>
      <c r="BQ2049" s="115"/>
      <c r="BR2049" s="115"/>
      <c r="BS2049" s="115"/>
      <c r="BT2049" s="115"/>
      <c r="BU2049" s="115"/>
      <c r="BV2049" s="115"/>
      <c r="BW2049" s="115"/>
      <c r="BX2049" s="115"/>
      <c r="BY2049" s="115"/>
      <c r="BZ2049" s="115"/>
      <c r="CA2049" s="115"/>
      <c r="CB2049" s="115"/>
      <c r="CC2049" s="26"/>
      <c r="CD2049" s="15"/>
    </row>
    <row r="2050" spans="1:82" x14ac:dyDescent="0.4">
      <c r="D2050" s="115"/>
      <c r="E2050" s="115"/>
      <c r="F2050" s="115"/>
      <c r="G2050" s="115"/>
      <c r="H2050" s="115"/>
      <c r="I2050" s="115"/>
      <c r="J2050" s="115"/>
      <c r="K2050" s="115"/>
      <c r="L2050" s="115"/>
      <c r="M2050" s="115"/>
      <c r="N2050" s="115"/>
      <c r="O2050" s="115"/>
      <c r="P2050" s="115"/>
      <c r="Q2050" s="115"/>
      <c r="R2050" s="115"/>
      <c r="S2050" s="115"/>
      <c r="T2050" s="115"/>
      <c r="U2050" s="115"/>
      <c r="V2050" s="115"/>
      <c r="W2050" s="115"/>
      <c r="X2050" s="115"/>
      <c r="Y2050" s="115"/>
      <c r="Z2050" s="115"/>
      <c r="AA2050" s="115"/>
      <c r="AB2050" s="115"/>
      <c r="AC2050" s="115"/>
      <c r="AD2050" s="115"/>
      <c r="AE2050" s="115"/>
      <c r="AF2050" s="115"/>
      <c r="AG2050" s="115"/>
      <c r="AH2050" s="115"/>
      <c r="AI2050" s="115"/>
      <c r="AJ2050" s="115"/>
      <c r="AK2050" s="115"/>
      <c r="AL2050" s="115"/>
      <c r="AM2050" s="115"/>
      <c r="AN2050" s="115"/>
      <c r="AO2050" s="115"/>
      <c r="AP2050" s="115"/>
      <c r="AQ2050" s="115"/>
      <c r="AR2050" s="115"/>
      <c r="AS2050" s="115"/>
      <c r="AT2050" s="115"/>
      <c r="AU2050" s="115"/>
      <c r="AV2050" s="115"/>
      <c r="AW2050" s="115"/>
      <c r="AX2050" s="115"/>
      <c r="AY2050" s="115"/>
      <c r="AZ2050" s="115"/>
      <c r="BA2050" s="115"/>
      <c r="BB2050" s="115"/>
      <c r="BC2050" s="115"/>
      <c r="BD2050" s="115"/>
      <c r="BE2050" s="115"/>
      <c r="BF2050" s="115"/>
      <c r="BG2050" s="115"/>
      <c r="BH2050" s="115"/>
      <c r="BI2050" s="115"/>
      <c r="BJ2050" s="115"/>
      <c r="BK2050" s="115"/>
      <c r="BL2050" s="122"/>
      <c r="BM2050" s="122"/>
      <c r="BN2050" s="122"/>
      <c r="BO2050" s="115"/>
      <c r="BP2050" s="115"/>
      <c r="BQ2050" s="115"/>
      <c r="BR2050" s="115"/>
      <c r="BS2050" s="115"/>
      <c r="BT2050" s="115"/>
      <c r="BU2050" s="115"/>
      <c r="BV2050" s="115"/>
      <c r="BW2050" s="115"/>
      <c r="BX2050" s="115"/>
      <c r="BY2050" s="115"/>
      <c r="BZ2050" s="115"/>
      <c r="CA2050" s="115"/>
      <c r="CB2050" s="115"/>
      <c r="CC2050" s="17"/>
      <c r="CD2050" s="15"/>
    </row>
    <row r="2051" spans="1:82" x14ac:dyDescent="0.4">
      <c r="CC2051" s="26"/>
      <c r="CD2051" s="15"/>
    </row>
    <row r="2052" spans="1:82" x14ac:dyDescent="0.4">
      <c r="CC2052" s="26"/>
      <c r="CD2052" s="15"/>
    </row>
    <row r="2053" spans="1:82" x14ac:dyDescent="0.4">
      <c r="A2053" s="115"/>
      <c r="B2053" s="115"/>
      <c r="C2053" s="115"/>
      <c r="D2053" s="115"/>
      <c r="E2053" s="115"/>
      <c r="F2053" s="115"/>
      <c r="G2053" s="115"/>
      <c r="H2053" s="115"/>
      <c r="I2053" s="115"/>
      <c r="J2053" s="115"/>
      <c r="K2053" s="115"/>
      <c r="L2053" s="115"/>
      <c r="M2053" s="115"/>
      <c r="N2053" s="115"/>
      <c r="O2053" s="115"/>
      <c r="P2053" s="115"/>
      <c r="Q2053" s="115"/>
      <c r="R2053" s="115"/>
      <c r="S2053" s="115"/>
      <c r="T2053" s="115"/>
      <c r="U2053" s="115"/>
      <c r="V2053" s="115"/>
      <c r="W2053" s="115"/>
      <c r="X2053" s="115"/>
      <c r="Y2053" s="115"/>
      <c r="Z2053" s="115"/>
      <c r="AA2053" s="115"/>
      <c r="AB2053" s="115"/>
      <c r="AC2053" s="115"/>
      <c r="AD2053" s="115"/>
      <c r="AE2053" s="115"/>
      <c r="AF2053" s="115"/>
      <c r="AG2053" s="115"/>
      <c r="AH2053" s="115"/>
      <c r="AI2053" s="115"/>
      <c r="AJ2053" s="115"/>
      <c r="AK2053" s="115"/>
      <c r="AL2053" s="115"/>
      <c r="AM2053" s="115"/>
      <c r="AN2053" s="115"/>
      <c r="AO2053" s="115"/>
      <c r="AP2053" s="115"/>
      <c r="AQ2053" s="115"/>
      <c r="AR2053" s="115"/>
      <c r="AS2053" s="115"/>
      <c r="AT2053" s="115"/>
      <c r="AU2053" s="115"/>
      <c r="AV2053" s="115"/>
      <c r="AW2053" s="115"/>
      <c r="AX2053" s="115"/>
      <c r="AY2053" s="115"/>
      <c r="AZ2053" s="115"/>
      <c r="BA2053" s="115"/>
      <c r="BB2053" s="115"/>
      <c r="BC2053" s="115"/>
      <c r="BD2053" s="115"/>
      <c r="BE2053" s="115"/>
      <c r="BF2053" s="115"/>
      <c r="BG2053" s="115"/>
      <c r="BH2053" s="115"/>
      <c r="BI2053" s="115"/>
      <c r="BJ2053" s="115"/>
      <c r="BK2053" s="115"/>
      <c r="BL2053" s="122"/>
      <c r="BM2053" s="122"/>
      <c r="BN2053" s="122"/>
      <c r="BO2053" s="115"/>
      <c r="BP2053" s="115"/>
      <c r="BQ2053" s="115"/>
      <c r="BR2053" s="115"/>
      <c r="BS2053" s="115"/>
      <c r="BT2053" s="115"/>
      <c r="BU2053" s="115"/>
      <c r="BV2053" s="115"/>
      <c r="BW2053" s="115"/>
      <c r="BX2053" s="115"/>
      <c r="BY2053" s="115"/>
      <c r="BZ2053" s="115"/>
      <c r="CA2053" s="115"/>
      <c r="CB2053" s="115"/>
      <c r="CC2053" s="26"/>
      <c r="CD2053" s="15"/>
    </row>
    <row r="2054" spans="1:82" x14ac:dyDescent="0.4">
      <c r="A2054" s="115"/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15"/>
      <c r="BJ2054" s="115"/>
      <c r="BK2054" s="115"/>
      <c r="BL2054" s="122"/>
      <c r="BM2054" s="122"/>
      <c r="BN2054" s="122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15"/>
      <c r="CA2054" s="115"/>
      <c r="CB2054" s="115"/>
      <c r="CC2054" s="17"/>
      <c r="CD2054" s="15"/>
    </row>
    <row r="2055" spans="1:82" x14ac:dyDescent="0.4">
      <c r="CC2055" s="26"/>
      <c r="CD2055" s="15"/>
    </row>
    <row r="2056" spans="1:82" ht="17.25" customHeight="1" x14ac:dyDescent="0.4">
      <c r="B2056" s="115"/>
      <c r="C2056" s="115"/>
      <c r="D2056" s="115"/>
      <c r="E2056" s="115"/>
      <c r="F2056" s="115"/>
      <c r="G2056" s="115"/>
      <c r="H2056" s="115"/>
      <c r="I2056" s="115"/>
      <c r="J2056" s="115"/>
      <c r="K2056" s="115"/>
      <c r="L2056" s="115"/>
      <c r="M2056" s="115"/>
      <c r="N2056" s="115"/>
      <c r="O2056" s="115"/>
      <c r="P2056" s="115"/>
      <c r="Q2056" s="115"/>
      <c r="R2056" s="115"/>
      <c r="S2056" s="115"/>
      <c r="T2056" s="115"/>
      <c r="U2056" s="115"/>
      <c r="V2056" s="115"/>
      <c r="W2056" s="115"/>
      <c r="X2056" s="115"/>
      <c r="Y2056" s="115"/>
      <c r="Z2056" s="115"/>
      <c r="AA2056" s="115"/>
      <c r="AB2056" s="115"/>
      <c r="AC2056" s="115"/>
      <c r="AD2056" s="115"/>
      <c r="AE2056" s="115"/>
      <c r="AF2056" s="115"/>
      <c r="AG2056" s="115"/>
      <c r="AH2056" s="115"/>
      <c r="AI2056" s="115"/>
      <c r="AJ2056" s="115"/>
      <c r="AK2056" s="115"/>
      <c r="AL2056" s="115"/>
      <c r="AM2056" s="115"/>
      <c r="AN2056" s="115"/>
      <c r="AO2056" s="115"/>
      <c r="AP2056" s="115"/>
      <c r="AQ2056" s="115"/>
      <c r="AR2056" s="115"/>
      <c r="AS2056" s="115"/>
      <c r="AT2056" s="115"/>
      <c r="AU2056" s="115"/>
      <c r="AV2056" s="115"/>
      <c r="AW2056" s="115"/>
      <c r="AX2056" s="115"/>
      <c r="AY2056" s="115"/>
      <c r="AZ2056" s="115"/>
      <c r="BA2056" s="115"/>
      <c r="BB2056" s="115"/>
      <c r="BC2056" s="115"/>
      <c r="BD2056" s="115"/>
      <c r="BE2056" s="115"/>
      <c r="BF2056" s="115"/>
      <c r="BG2056" s="115"/>
      <c r="BH2056" s="115"/>
      <c r="BI2056" s="115"/>
      <c r="BJ2056" s="115"/>
      <c r="BK2056" s="115"/>
      <c r="BL2056" s="122"/>
      <c r="BM2056" s="122"/>
      <c r="BN2056" s="122"/>
      <c r="BO2056" s="115"/>
      <c r="BP2056" s="115"/>
      <c r="BQ2056" s="115"/>
      <c r="BR2056" s="115"/>
      <c r="BS2056" s="115"/>
      <c r="BT2056" s="115"/>
      <c r="BU2056" s="115"/>
      <c r="BV2056" s="115"/>
      <c r="BW2056" s="115"/>
      <c r="BX2056" s="115"/>
      <c r="BY2056" s="115"/>
      <c r="BZ2056" s="115"/>
      <c r="CA2056" s="115"/>
      <c r="CB2056" s="115"/>
      <c r="CC2056" s="26"/>
      <c r="CD2056" s="15"/>
    </row>
    <row r="2057" spans="1:82" x14ac:dyDescent="0.4">
      <c r="CC2057" s="26"/>
      <c r="CD2057" s="15"/>
    </row>
    <row r="2058" spans="1:82" x14ac:dyDescent="0.4">
      <c r="BE2058" s="115"/>
      <c r="BF2058" s="115"/>
      <c r="BG2058" s="115"/>
      <c r="BH2058" s="115"/>
      <c r="BI2058" s="115"/>
      <c r="BJ2058" s="115"/>
      <c r="BK2058" s="115"/>
      <c r="BL2058" s="122"/>
      <c r="BM2058" s="122"/>
      <c r="BN2058" s="122"/>
      <c r="BO2058" s="115"/>
      <c r="BP2058" s="115"/>
      <c r="BQ2058" s="115"/>
      <c r="BR2058" s="115"/>
      <c r="BS2058" s="115"/>
      <c r="BT2058" s="115"/>
      <c r="BU2058" s="115"/>
      <c r="BV2058" s="115"/>
      <c r="BW2058" s="115"/>
      <c r="BX2058" s="115"/>
      <c r="BY2058" s="115"/>
      <c r="BZ2058" s="115"/>
      <c r="CA2058" s="115"/>
      <c r="CB2058" s="115"/>
      <c r="CC2058" s="17"/>
      <c r="CD2058" s="15"/>
    </row>
    <row r="2059" spans="1:82" ht="16.5" customHeight="1" x14ac:dyDescent="0.4">
      <c r="A2059" s="115"/>
      <c r="B2059" s="115"/>
      <c r="C2059" s="115"/>
      <c r="D2059" s="115"/>
      <c r="E2059" s="115"/>
      <c r="F2059" s="115"/>
      <c r="G2059" s="115"/>
      <c r="H2059" s="115"/>
      <c r="I2059" s="115"/>
      <c r="J2059" s="115"/>
      <c r="K2059" s="115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  <c r="AI2059" s="115"/>
      <c r="AJ2059" s="115"/>
      <c r="AK2059" s="115"/>
      <c r="AL2059" s="115"/>
      <c r="AM2059" s="115"/>
      <c r="AN2059" s="115"/>
      <c r="AO2059" s="115"/>
      <c r="AP2059" s="115"/>
      <c r="AQ2059" s="115"/>
      <c r="AR2059" s="115"/>
      <c r="AS2059" s="115"/>
      <c r="AT2059" s="115"/>
      <c r="AU2059" s="115"/>
      <c r="AV2059" s="115"/>
      <c r="AW2059" s="115"/>
      <c r="AX2059" s="115"/>
      <c r="AY2059" s="115"/>
      <c r="AZ2059" s="115"/>
      <c r="BA2059" s="115"/>
      <c r="BB2059" s="115"/>
      <c r="BC2059" s="115"/>
      <c r="BD2059" s="115"/>
      <c r="BE2059" s="115"/>
      <c r="BF2059" s="115"/>
      <c r="BG2059" s="115"/>
      <c r="BH2059" s="115"/>
      <c r="BI2059" s="115"/>
      <c r="BJ2059" s="115"/>
      <c r="BK2059" s="115"/>
      <c r="BL2059" s="122"/>
      <c r="BM2059" s="122"/>
      <c r="BN2059" s="122"/>
      <c r="BO2059" s="115"/>
      <c r="BP2059" s="115"/>
      <c r="BQ2059" s="115"/>
      <c r="BR2059" s="115"/>
      <c r="BS2059" s="115"/>
      <c r="BT2059" s="115"/>
      <c r="BU2059" s="115"/>
      <c r="BV2059" s="115"/>
      <c r="BW2059" s="115"/>
      <c r="BX2059" s="115"/>
      <c r="BY2059" s="115"/>
      <c r="BZ2059" s="115"/>
      <c r="CA2059" s="115"/>
      <c r="CB2059" s="115"/>
      <c r="CC2059" s="26"/>
      <c r="CD2059" s="15"/>
    </row>
    <row r="2060" spans="1:82" ht="22.5" customHeight="1" x14ac:dyDescent="0.4">
      <c r="A2060" s="115"/>
      <c r="B2060" s="115"/>
      <c r="C2060" s="115"/>
      <c r="D2060" s="115"/>
      <c r="E2060" s="115"/>
      <c r="F2060" s="115"/>
      <c r="G2060" s="115"/>
      <c r="H2060" s="115"/>
      <c r="I2060" s="115"/>
      <c r="J2060" s="115"/>
      <c r="K2060" s="115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  <c r="AI2060" s="115"/>
      <c r="AJ2060" s="115"/>
      <c r="AK2060" s="115"/>
      <c r="AL2060" s="115"/>
      <c r="AM2060" s="115"/>
      <c r="AN2060" s="115"/>
      <c r="AO2060" s="115"/>
      <c r="AP2060" s="115"/>
      <c r="AQ2060" s="115"/>
      <c r="AR2060" s="115"/>
      <c r="AS2060" s="115"/>
      <c r="AT2060" s="115"/>
      <c r="AU2060" s="115"/>
      <c r="AV2060" s="115"/>
      <c r="AW2060" s="115"/>
      <c r="AX2060" s="115"/>
      <c r="AY2060" s="115"/>
      <c r="AZ2060" s="115"/>
      <c r="BA2060" s="115"/>
      <c r="BB2060" s="115"/>
      <c r="BC2060" s="115"/>
      <c r="BD2060" s="115"/>
      <c r="BE2060" s="115"/>
      <c r="BF2060" s="115"/>
      <c r="BG2060" s="115"/>
      <c r="BH2060" s="115"/>
      <c r="BI2060" s="115"/>
      <c r="BJ2060" s="115"/>
      <c r="BK2060" s="115"/>
      <c r="BL2060" s="122"/>
      <c r="BM2060" s="122"/>
      <c r="BN2060" s="122"/>
      <c r="BO2060" s="115"/>
      <c r="BP2060" s="115"/>
      <c r="BQ2060" s="115"/>
      <c r="BR2060" s="115"/>
      <c r="BS2060" s="115"/>
      <c r="BT2060" s="115"/>
      <c r="BU2060" s="115"/>
      <c r="BV2060" s="115"/>
      <c r="BW2060" s="115"/>
      <c r="BX2060" s="115"/>
      <c r="BY2060" s="115"/>
      <c r="BZ2060" s="115"/>
      <c r="CA2060" s="115"/>
      <c r="CB2060" s="115"/>
      <c r="CC2060" s="26"/>
      <c r="CD2060" s="15"/>
    </row>
    <row r="2061" spans="1:82" x14ac:dyDescent="0.4">
      <c r="CC2061" s="26"/>
      <c r="CD2061" s="15"/>
    </row>
    <row r="2062" spans="1:82" x14ac:dyDescent="0.4">
      <c r="CC2062" s="26"/>
      <c r="CD2062" s="105"/>
    </row>
    <row r="2063" spans="1:82" x14ac:dyDescent="0.4">
      <c r="A2063" s="115"/>
      <c r="B2063" s="115"/>
      <c r="C2063" s="115"/>
      <c r="D2063" s="115"/>
      <c r="E2063" s="115"/>
      <c r="F2063" s="115"/>
      <c r="G2063" s="115"/>
      <c r="H2063" s="115"/>
      <c r="I2063" s="115"/>
      <c r="J2063" s="115"/>
      <c r="K2063" s="115"/>
      <c r="L2063" s="115"/>
      <c r="M2063" s="115"/>
      <c r="N2063" s="115"/>
      <c r="O2063" s="115"/>
      <c r="P2063" s="115"/>
      <c r="Q2063" s="115"/>
      <c r="R2063" s="115"/>
      <c r="S2063" s="115"/>
      <c r="T2063" s="115"/>
      <c r="U2063" s="115"/>
      <c r="V2063" s="115"/>
      <c r="W2063" s="115"/>
      <c r="X2063" s="115"/>
      <c r="Y2063" s="115"/>
      <c r="Z2063" s="115"/>
      <c r="AA2063" s="115"/>
      <c r="AB2063" s="115"/>
      <c r="AC2063" s="115"/>
      <c r="AD2063" s="115"/>
      <c r="AE2063" s="115"/>
      <c r="AF2063" s="115"/>
      <c r="AG2063" s="115"/>
      <c r="AH2063" s="115"/>
      <c r="AI2063" s="115"/>
      <c r="AJ2063" s="115"/>
      <c r="AK2063" s="115"/>
      <c r="AL2063" s="115"/>
      <c r="AM2063" s="115"/>
      <c r="AN2063" s="115"/>
      <c r="AO2063" s="115"/>
      <c r="AP2063" s="115"/>
      <c r="AQ2063" s="115"/>
      <c r="AR2063" s="115"/>
      <c r="AS2063" s="115"/>
      <c r="AT2063" s="115"/>
      <c r="AU2063" s="115"/>
      <c r="AV2063" s="115"/>
      <c r="AW2063" s="115"/>
      <c r="AX2063" s="115"/>
      <c r="AY2063" s="115"/>
      <c r="AZ2063" s="115"/>
      <c r="BA2063" s="115"/>
      <c r="BB2063" s="115"/>
      <c r="BC2063" s="115"/>
      <c r="BD2063" s="115"/>
      <c r="BE2063" s="115"/>
      <c r="BF2063" s="115"/>
      <c r="BG2063" s="115"/>
      <c r="BH2063" s="115"/>
      <c r="BI2063" s="115"/>
      <c r="BJ2063" s="115"/>
      <c r="BK2063" s="115"/>
      <c r="BL2063" s="122"/>
      <c r="BM2063" s="122"/>
      <c r="BN2063" s="122"/>
      <c r="BO2063" s="115"/>
      <c r="BP2063" s="115"/>
      <c r="BQ2063" s="115"/>
      <c r="BR2063" s="115"/>
      <c r="BS2063" s="115"/>
      <c r="BT2063" s="115"/>
      <c r="BU2063" s="115"/>
      <c r="BV2063" s="115"/>
      <c r="BW2063" s="115"/>
      <c r="BX2063" s="115"/>
      <c r="BY2063" s="115"/>
      <c r="BZ2063" s="115"/>
      <c r="CA2063" s="115"/>
      <c r="CB2063" s="115"/>
      <c r="CC2063" s="26"/>
      <c r="CD2063" s="15"/>
    </row>
    <row r="2064" spans="1:82" x14ac:dyDescent="0.4">
      <c r="CC2064" s="26"/>
      <c r="CD2064" s="15"/>
    </row>
    <row r="2065" spans="1:82" x14ac:dyDescent="0.4">
      <c r="CC2065" s="26"/>
      <c r="CD2065" s="15"/>
    </row>
    <row r="2066" spans="1:82" x14ac:dyDescent="0.4">
      <c r="CC2066" s="26"/>
      <c r="CD2066" s="15"/>
    </row>
    <row r="2067" spans="1:82" x14ac:dyDescent="0.4">
      <c r="CC2067" s="26"/>
      <c r="CD2067" s="15"/>
    </row>
    <row r="2068" spans="1:82" x14ac:dyDescent="0.4">
      <c r="A2068" s="115"/>
      <c r="B2068" s="115"/>
      <c r="C2068" s="115"/>
      <c r="D2068" s="115"/>
      <c r="E2068" s="115"/>
      <c r="F2068" s="115"/>
      <c r="G2068" s="115"/>
      <c r="H2068" s="115"/>
      <c r="I2068" s="115"/>
      <c r="J2068" s="115"/>
      <c r="K2068" s="115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  <c r="AI2068" s="115"/>
      <c r="AJ2068" s="115"/>
      <c r="AK2068" s="115"/>
      <c r="AL2068" s="115"/>
      <c r="AM2068" s="115"/>
      <c r="AN2068" s="115"/>
      <c r="AO2068" s="115"/>
      <c r="AP2068" s="115"/>
      <c r="AQ2068" s="115"/>
      <c r="AR2068" s="115"/>
      <c r="AS2068" s="115"/>
      <c r="AT2068" s="115"/>
      <c r="AU2068" s="115"/>
      <c r="AV2068" s="115"/>
      <c r="AW2068" s="115"/>
      <c r="AX2068" s="115"/>
      <c r="AY2068" s="115"/>
      <c r="AZ2068" s="115"/>
      <c r="BA2068" s="115"/>
      <c r="BB2068" s="115"/>
      <c r="BC2068" s="115"/>
      <c r="BD2068" s="115"/>
      <c r="BE2068" s="115"/>
      <c r="BF2068" s="115"/>
      <c r="BG2068" s="115"/>
      <c r="BH2068" s="115"/>
      <c r="BI2068" s="115"/>
      <c r="BJ2068" s="115"/>
      <c r="BK2068" s="115"/>
      <c r="BL2068" s="122"/>
      <c r="BM2068" s="122"/>
      <c r="BN2068" s="122"/>
      <c r="BO2068" s="115"/>
      <c r="BP2068" s="115"/>
      <c r="BQ2068" s="115"/>
      <c r="BR2068" s="115"/>
      <c r="BS2068" s="115"/>
      <c r="BT2068" s="115"/>
      <c r="BU2068" s="115"/>
      <c r="BV2068" s="115"/>
      <c r="BW2068" s="115"/>
      <c r="BX2068" s="115"/>
      <c r="BY2068" s="115"/>
      <c r="BZ2068" s="115"/>
      <c r="CA2068" s="115"/>
      <c r="CB2068" s="115"/>
      <c r="CC2068" s="26"/>
      <c r="CD2068" s="15"/>
    </row>
    <row r="2069" spans="1:82" x14ac:dyDescent="0.4">
      <c r="CC2069" s="26"/>
      <c r="CD2069" s="15"/>
    </row>
    <row r="2070" spans="1:82" x14ac:dyDescent="0.4">
      <c r="CC2070" s="26"/>
      <c r="CD2070" s="15"/>
    </row>
    <row r="2071" spans="1:82" x14ac:dyDescent="0.4">
      <c r="CC2071" s="26"/>
      <c r="CD2071" s="15"/>
    </row>
    <row r="2072" spans="1:82" x14ac:dyDescent="0.4">
      <c r="CC2072" s="26"/>
      <c r="CD2072" s="15"/>
    </row>
    <row r="2073" spans="1:82" ht="18.75" customHeight="1" x14ac:dyDescent="0.4">
      <c r="B2073" s="115"/>
      <c r="C2073" s="115"/>
      <c r="D2073" s="115"/>
      <c r="E2073" s="115"/>
      <c r="F2073" s="115"/>
      <c r="G2073" s="115"/>
      <c r="H2073" s="115"/>
      <c r="I2073" s="115"/>
      <c r="J2073" s="115"/>
      <c r="K2073" s="115"/>
      <c r="L2073" s="115"/>
      <c r="M2073" s="115"/>
      <c r="N2073" s="115"/>
      <c r="O2073" s="115"/>
      <c r="P2073" s="115"/>
      <c r="Q2073" s="115"/>
      <c r="R2073" s="115"/>
      <c r="S2073" s="115"/>
      <c r="T2073" s="115"/>
      <c r="U2073" s="115"/>
      <c r="V2073" s="115"/>
      <c r="W2073" s="115"/>
      <c r="X2073" s="115"/>
      <c r="Y2073" s="115"/>
      <c r="Z2073" s="115"/>
      <c r="AA2073" s="115"/>
      <c r="AB2073" s="115"/>
      <c r="AC2073" s="115"/>
      <c r="AD2073" s="115"/>
      <c r="AE2073" s="115"/>
      <c r="AF2073" s="115"/>
      <c r="AG2073" s="115"/>
      <c r="AH2073" s="115"/>
      <c r="AI2073" s="115"/>
      <c r="AJ2073" s="115"/>
      <c r="AK2073" s="115"/>
      <c r="AL2073" s="115"/>
      <c r="AM2073" s="115"/>
      <c r="AN2073" s="115"/>
      <c r="AO2073" s="115"/>
      <c r="AP2073" s="115"/>
      <c r="AQ2073" s="115"/>
      <c r="AR2073" s="115"/>
      <c r="AS2073" s="115"/>
      <c r="AT2073" s="115"/>
      <c r="AU2073" s="115"/>
      <c r="AV2073" s="115"/>
      <c r="AW2073" s="115"/>
      <c r="AX2073" s="115"/>
      <c r="AY2073" s="115"/>
      <c r="AZ2073" s="115"/>
      <c r="BA2073" s="115"/>
      <c r="BB2073" s="115"/>
      <c r="BC2073" s="115"/>
      <c r="BD2073" s="115"/>
      <c r="BE2073" s="115"/>
      <c r="BF2073" s="115"/>
      <c r="BG2073" s="115"/>
      <c r="BH2073" s="115"/>
      <c r="BI2073" s="115"/>
      <c r="BJ2073" s="115"/>
      <c r="BK2073" s="115"/>
      <c r="BL2073" s="122"/>
      <c r="BM2073" s="122"/>
      <c r="BN2073" s="122"/>
      <c r="BO2073" s="115"/>
      <c r="BP2073" s="115"/>
      <c r="BQ2073" s="115"/>
      <c r="BR2073" s="115"/>
      <c r="BS2073" s="115"/>
      <c r="BT2073" s="115"/>
      <c r="BU2073" s="115"/>
      <c r="BV2073" s="115"/>
      <c r="BW2073" s="115"/>
      <c r="BX2073" s="115"/>
      <c r="BY2073" s="115"/>
      <c r="BZ2073" s="115"/>
      <c r="CA2073" s="115"/>
      <c r="CB2073" s="115"/>
      <c r="CC2073" s="26"/>
      <c r="CD2073" s="15"/>
    </row>
    <row r="2074" spans="1:82" x14ac:dyDescent="0.4">
      <c r="CC2074" s="26"/>
      <c r="CD2074" s="15"/>
    </row>
    <row r="2075" spans="1:82" x14ac:dyDescent="0.4">
      <c r="CC2075" s="26"/>
      <c r="CD2075" s="15"/>
    </row>
    <row r="2076" spans="1:82" x14ac:dyDescent="0.4">
      <c r="B2076" s="115"/>
      <c r="C2076" s="115"/>
      <c r="D2076" s="115"/>
      <c r="E2076" s="115"/>
      <c r="F2076" s="115"/>
      <c r="G2076" s="115"/>
      <c r="H2076" s="115"/>
      <c r="I2076" s="115"/>
      <c r="J2076" s="115"/>
      <c r="K2076" s="115"/>
      <c r="L2076" s="115"/>
      <c r="M2076" s="115"/>
      <c r="N2076" s="115"/>
      <c r="O2076" s="115"/>
      <c r="P2076" s="115"/>
      <c r="Q2076" s="115"/>
      <c r="R2076" s="115"/>
      <c r="S2076" s="115"/>
      <c r="T2076" s="115"/>
      <c r="U2076" s="115"/>
      <c r="V2076" s="115"/>
      <c r="W2076" s="115"/>
      <c r="X2076" s="115"/>
      <c r="Y2076" s="115"/>
      <c r="Z2076" s="115"/>
      <c r="AA2076" s="115"/>
      <c r="AB2076" s="115"/>
      <c r="AC2076" s="115"/>
      <c r="AD2076" s="115"/>
      <c r="AE2076" s="115"/>
      <c r="AF2076" s="115"/>
      <c r="AG2076" s="115"/>
      <c r="AH2076" s="115"/>
      <c r="AI2076" s="115"/>
      <c r="AJ2076" s="115"/>
      <c r="AK2076" s="115"/>
      <c r="AL2076" s="115"/>
      <c r="AM2076" s="115"/>
      <c r="AN2076" s="115"/>
      <c r="AO2076" s="115"/>
      <c r="AP2076" s="115"/>
      <c r="AQ2076" s="115"/>
      <c r="AR2076" s="115"/>
      <c r="AS2076" s="115"/>
      <c r="AT2076" s="115"/>
      <c r="AU2076" s="115"/>
      <c r="AV2076" s="115"/>
      <c r="AW2076" s="115"/>
      <c r="AX2076" s="115"/>
      <c r="AY2076" s="115"/>
      <c r="AZ2076" s="115"/>
      <c r="BA2076" s="115"/>
      <c r="BB2076" s="115"/>
      <c r="BC2076" s="115"/>
      <c r="BD2076" s="115"/>
      <c r="BE2076" s="115"/>
      <c r="BF2076" s="115"/>
      <c r="BG2076" s="115"/>
      <c r="BH2076" s="115"/>
      <c r="BI2076" s="115"/>
      <c r="BJ2076" s="115"/>
      <c r="BK2076" s="115"/>
      <c r="BL2076" s="122"/>
      <c r="BM2076" s="122"/>
      <c r="BN2076" s="122"/>
      <c r="BO2076" s="115"/>
      <c r="BP2076" s="115"/>
      <c r="BQ2076" s="115"/>
      <c r="BR2076" s="115"/>
      <c r="BS2076" s="115"/>
      <c r="BT2076" s="115"/>
      <c r="BU2076" s="115"/>
      <c r="BV2076" s="115"/>
      <c r="BW2076" s="115"/>
      <c r="BX2076" s="115"/>
      <c r="BY2076" s="115"/>
      <c r="BZ2076" s="115"/>
      <c r="CA2076" s="115"/>
      <c r="CB2076" s="115"/>
      <c r="CC2076" s="26"/>
      <c r="CD2076" s="15"/>
    </row>
    <row r="2077" spans="1:82" x14ac:dyDescent="0.4">
      <c r="A2077" s="115"/>
      <c r="B2077" s="115"/>
      <c r="C2077" s="115"/>
      <c r="D2077" s="115"/>
      <c r="E2077" s="115"/>
      <c r="F2077" s="115"/>
      <c r="G2077" s="115"/>
      <c r="H2077" s="115"/>
      <c r="I2077" s="115"/>
      <c r="J2077" s="115"/>
      <c r="K2077" s="115"/>
      <c r="L2077" s="115"/>
      <c r="M2077" s="115"/>
      <c r="N2077" s="115"/>
      <c r="O2077" s="115"/>
      <c r="P2077" s="115"/>
      <c r="Q2077" s="115"/>
      <c r="R2077" s="115"/>
      <c r="S2077" s="115"/>
      <c r="T2077" s="115"/>
      <c r="U2077" s="115"/>
      <c r="V2077" s="115"/>
      <c r="W2077" s="115"/>
      <c r="X2077" s="115"/>
      <c r="Y2077" s="115"/>
      <c r="Z2077" s="115"/>
      <c r="AA2077" s="115"/>
      <c r="AB2077" s="115"/>
      <c r="AC2077" s="115"/>
      <c r="AD2077" s="115"/>
      <c r="AE2077" s="115"/>
      <c r="AF2077" s="115"/>
      <c r="AG2077" s="115"/>
      <c r="AH2077" s="115"/>
      <c r="AI2077" s="115"/>
      <c r="AJ2077" s="115"/>
      <c r="AK2077" s="115"/>
      <c r="AL2077" s="115"/>
      <c r="AM2077" s="115"/>
      <c r="AN2077" s="115"/>
      <c r="AO2077" s="115"/>
      <c r="AP2077" s="115"/>
      <c r="AQ2077" s="115"/>
      <c r="AR2077" s="115"/>
      <c r="AS2077" s="115"/>
      <c r="AT2077" s="115"/>
      <c r="AU2077" s="115"/>
      <c r="AV2077" s="115"/>
      <c r="AW2077" s="115"/>
      <c r="AX2077" s="115"/>
      <c r="AY2077" s="115"/>
      <c r="AZ2077" s="115"/>
      <c r="BA2077" s="115"/>
      <c r="BB2077" s="115"/>
      <c r="BC2077" s="115"/>
      <c r="BD2077" s="115"/>
      <c r="BE2077" s="115"/>
      <c r="BF2077" s="115"/>
      <c r="BG2077" s="115"/>
      <c r="BH2077" s="115"/>
      <c r="BI2077" s="115"/>
      <c r="BJ2077" s="115"/>
      <c r="BK2077" s="115"/>
      <c r="BL2077" s="122"/>
      <c r="BM2077" s="122"/>
      <c r="BN2077" s="122"/>
      <c r="BO2077" s="115"/>
      <c r="BP2077" s="115"/>
      <c r="BQ2077" s="115"/>
      <c r="BR2077" s="115"/>
      <c r="BS2077" s="115"/>
      <c r="BT2077" s="115"/>
      <c r="BU2077" s="115"/>
      <c r="BV2077" s="115"/>
      <c r="BW2077" s="115"/>
      <c r="BX2077" s="115"/>
      <c r="BY2077" s="115"/>
      <c r="BZ2077" s="115"/>
      <c r="CA2077" s="115"/>
      <c r="CB2077" s="115"/>
      <c r="CC2077" s="26"/>
      <c r="CD2077" s="15"/>
    </row>
    <row r="2078" spans="1:82" x14ac:dyDescent="0.4">
      <c r="CC2078" s="26"/>
      <c r="CD2078" s="15"/>
    </row>
    <row r="2079" spans="1:82" x14ac:dyDescent="0.4">
      <c r="BE2079" s="115"/>
      <c r="BF2079" s="115"/>
      <c r="BG2079" s="115"/>
      <c r="BH2079" s="115"/>
      <c r="BI2079" s="115"/>
      <c r="BJ2079" s="115"/>
      <c r="BK2079" s="115"/>
      <c r="BL2079" s="122"/>
      <c r="BM2079" s="122"/>
      <c r="BN2079" s="122"/>
      <c r="BO2079" s="115"/>
      <c r="BP2079" s="115"/>
      <c r="BQ2079" s="115"/>
      <c r="BR2079" s="115"/>
      <c r="BS2079" s="115"/>
      <c r="BT2079" s="115"/>
      <c r="BU2079" s="115"/>
      <c r="BV2079" s="115"/>
      <c r="BW2079" s="115"/>
      <c r="BX2079" s="115"/>
      <c r="BY2079" s="115"/>
      <c r="BZ2079" s="115"/>
      <c r="CA2079" s="115"/>
      <c r="CB2079" s="115"/>
      <c r="CC2079" s="17"/>
      <c r="CD2079" s="15"/>
    </row>
    <row r="2080" spans="1:82" x14ac:dyDescent="0.4">
      <c r="A2080" s="115"/>
      <c r="B2080" s="115"/>
      <c r="C2080" s="115"/>
      <c r="D2080" s="115"/>
      <c r="E2080" s="115"/>
      <c r="F2080" s="115"/>
      <c r="G2080" s="115"/>
      <c r="H2080" s="115"/>
      <c r="I2080" s="115"/>
      <c r="J2080" s="115"/>
      <c r="K2080" s="115"/>
      <c r="L2080" s="115"/>
      <c r="M2080" s="115"/>
      <c r="N2080" s="115"/>
      <c r="O2080" s="115"/>
      <c r="P2080" s="115"/>
      <c r="Q2080" s="115"/>
      <c r="R2080" s="115"/>
      <c r="S2080" s="115"/>
      <c r="T2080" s="115"/>
      <c r="U2080" s="115"/>
      <c r="V2080" s="115"/>
      <c r="W2080" s="115"/>
      <c r="X2080" s="115"/>
      <c r="Y2080" s="115"/>
      <c r="Z2080" s="115"/>
      <c r="AA2080" s="115"/>
      <c r="AB2080" s="115"/>
      <c r="AC2080" s="115"/>
      <c r="AD2080" s="115"/>
      <c r="AE2080" s="115"/>
      <c r="AF2080" s="115"/>
      <c r="AG2080" s="115"/>
      <c r="AH2080" s="115"/>
      <c r="AI2080" s="115"/>
      <c r="AJ2080" s="115"/>
      <c r="AK2080" s="115"/>
      <c r="AL2080" s="115"/>
      <c r="AM2080" s="115"/>
      <c r="AN2080" s="115"/>
      <c r="AO2080" s="115"/>
      <c r="AP2080" s="115"/>
      <c r="AQ2080" s="115"/>
      <c r="AR2080" s="115"/>
      <c r="AS2080" s="115"/>
      <c r="AT2080" s="115"/>
      <c r="AU2080" s="115"/>
      <c r="AV2080" s="115"/>
      <c r="AW2080" s="115"/>
      <c r="AX2080" s="115"/>
      <c r="AY2080" s="115"/>
      <c r="AZ2080" s="115"/>
      <c r="BA2080" s="115"/>
      <c r="BB2080" s="115"/>
      <c r="BC2080" s="115"/>
      <c r="BD2080" s="115"/>
      <c r="BE2080" s="115"/>
      <c r="BF2080" s="115"/>
      <c r="BG2080" s="115"/>
      <c r="BH2080" s="115"/>
      <c r="BI2080" s="115"/>
      <c r="BJ2080" s="115"/>
      <c r="BK2080" s="115"/>
      <c r="BL2080" s="122"/>
      <c r="BM2080" s="122"/>
      <c r="BN2080" s="122"/>
      <c r="BO2080" s="115"/>
      <c r="BP2080" s="115"/>
      <c r="BQ2080" s="115"/>
      <c r="BR2080" s="115"/>
      <c r="BS2080" s="115"/>
      <c r="BT2080" s="115"/>
      <c r="BU2080" s="115"/>
      <c r="BV2080" s="115"/>
      <c r="BW2080" s="115"/>
      <c r="BX2080" s="115"/>
      <c r="BY2080" s="115"/>
      <c r="BZ2080" s="115"/>
      <c r="CA2080" s="115"/>
      <c r="CB2080" s="115"/>
      <c r="CC2080" s="26"/>
      <c r="CD2080" s="15"/>
    </row>
    <row r="2081" spans="1:82" x14ac:dyDescent="0.4">
      <c r="CC2081" s="26"/>
      <c r="CD2081" s="15"/>
    </row>
    <row r="2082" spans="1:82" x14ac:dyDescent="0.4">
      <c r="BE2082" s="115"/>
      <c r="BF2082" s="115"/>
      <c r="BG2082" s="115"/>
      <c r="BH2082" s="115"/>
      <c r="BI2082" s="115"/>
      <c r="BJ2082" s="115"/>
      <c r="BK2082" s="115"/>
      <c r="BL2082" s="122"/>
      <c r="BM2082" s="122"/>
      <c r="BN2082" s="122"/>
      <c r="BO2082" s="115"/>
      <c r="BP2082" s="115"/>
      <c r="BQ2082" s="115"/>
      <c r="BR2082" s="115"/>
      <c r="BS2082" s="115"/>
      <c r="BT2082" s="115"/>
      <c r="BU2082" s="115"/>
      <c r="BV2082" s="115"/>
      <c r="BW2082" s="115"/>
      <c r="BX2082" s="115"/>
      <c r="BY2082" s="115"/>
      <c r="BZ2082" s="115"/>
      <c r="CA2082" s="115"/>
      <c r="CB2082" s="115"/>
      <c r="CC2082" s="17"/>
      <c r="CD2082" s="15"/>
    </row>
    <row r="2083" spans="1:82" x14ac:dyDescent="0.4">
      <c r="CC2083" s="26"/>
      <c r="CD2083" s="15"/>
    </row>
    <row r="2084" spans="1:82" x14ac:dyDescent="0.4">
      <c r="B2084" s="115"/>
      <c r="C2084" s="115"/>
      <c r="D2084" s="115"/>
      <c r="E2084" s="115"/>
      <c r="F2084" s="115"/>
      <c r="G2084" s="115"/>
      <c r="H2084" s="115"/>
      <c r="I2084" s="115"/>
      <c r="J2084" s="115"/>
      <c r="K2084" s="115"/>
      <c r="L2084" s="115"/>
      <c r="M2084" s="115"/>
      <c r="N2084" s="115"/>
      <c r="O2084" s="115"/>
      <c r="P2084" s="115"/>
      <c r="Q2084" s="115"/>
      <c r="R2084" s="115"/>
      <c r="S2084" s="115"/>
      <c r="T2084" s="115"/>
      <c r="U2084" s="115"/>
      <c r="V2084" s="115"/>
      <c r="W2084" s="115"/>
      <c r="X2084" s="115"/>
      <c r="Y2084" s="115"/>
      <c r="Z2084" s="115"/>
      <c r="AA2084" s="115"/>
      <c r="AB2084" s="115"/>
      <c r="AC2084" s="115"/>
      <c r="AD2084" s="115"/>
      <c r="AE2084" s="115"/>
      <c r="AF2084" s="115"/>
      <c r="AG2084" s="115"/>
      <c r="AH2084" s="115"/>
      <c r="AI2084" s="115"/>
      <c r="AJ2084" s="115"/>
      <c r="AK2084" s="115"/>
      <c r="AL2084" s="115"/>
      <c r="AM2084" s="115"/>
      <c r="AN2084" s="115"/>
      <c r="AO2084" s="115"/>
      <c r="AP2084" s="115"/>
      <c r="AQ2084" s="115"/>
      <c r="AR2084" s="115"/>
      <c r="AS2084" s="115"/>
      <c r="AT2084" s="115"/>
      <c r="AU2084" s="115"/>
      <c r="AV2084" s="115"/>
      <c r="AW2084" s="115"/>
      <c r="AX2084" s="115"/>
      <c r="AY2084" s="115"/>
      <c r="AZ2084" s="115"/>
      <c r="BA2084" s="115"/>
      <c r="BB2084" s="115"/>
      <c r="BC2084" s="115"/>
      <c r="BD2084" s="115"/>
      <c r="BE2084" s="115"/>
      <c r="BF2084" s="115"/>
      <c r="BG2084" s="115"/>
      <c r="BH2084" s="115"/>
      <c r="BI2084" s="115"/>
      <c r="BJ2084" s="115"/>
      <c r="BK2084" s="115"/>
      <c r="BL2084" s="122"/>
      <c r="BM2084" s="122"/>
      <c r="BN2084" s="122"/>
      <c r="BO2084" s="115"/>
      <c r="BP2084" s="115"/>
      <c r="BQ2084" s="115"/>
      <c r="BR2084" s="115"/>
      <c r="BS2084" s="115"/>
      <c r="BT2084" s="115"/>
      <c r="BU2084" s="115"/>
      <c r="BV2084" s="115"/>
      <c r="BW2084" s="115"/>
      <c r="BX2084" s="115"/>
      <c r="BY2084" s="115"/>
      <c r="BZ2084" s="115"/>
      <c r="CA2084" s="115"/>
      <c r="CB2084" s="115"/>
      <c r="CC2084" s="26"/>
      <c r="CD2084" s="15"/>
    </row>
    <row r="2085" spans="1:82" x14ac:dyDescent="0.4">
      <c r="A2085" s="115"/>
      <c r="B2085" s="115"/>
      <c r="C2085" s="115"/>
      <c r="D2085" s="115"/>
      <c r="E2085" s="115"/>
      <c r="F2085" s="115"/>
      <c r="G2085" s="115"/>
      <c r="H2085" s="115"/>
      <c r="I2085" s="115"/>
      <c r="J2085" s="115"/>
      <c r="K2085" s="115"/>
      <c r="L2085" s="115"/>
      <c r="M2085" s="115"/>
      <c r="N2085" s="115"/>
      <c r="O2085" s="115"/>
      <c r="P2085" s="115"/>
      <c r="Q2085" s="115"/>
      <c r="R2085" s="115"/>
      <c r="S2085" s="115"/>
      <c r="T2085" s="115"/>
      <c r="U2085" s="115"/>
      <c r="V2085" s="115"/>
      <c r="W2085" s="115"/>
      <c r="X2085" s="115"/>
      <c r="Y2085" s="115"/>
      <c r="Z2085" s="115"/>
      <c r="AA2085" s="115"/>
      <c r="AB2085" s="115"/>
      <c r="AC2085" s="115"/>
      <c r="AD2085" s="115"/>
      <c r="AE2085" s="115"/>
      <c r="AF2085" s="115"/>
      <c r="AG2085" s="115"/>
      <c r="AH2085" s="115"/>
      <c r="AI2085" s="115"/>
      <c r="AJ2085" s="115"/>
      <c r="AK2085" s="115"/>
      <c r="AL2085" s="115"/>
      <c r="AM2085" s="115"/>
      <c r="AN2085" s="115"/>
      <c r="AO2085" s="115"/>
      <c r="AP2085" s="115"/>
      <c r="AQ2085" s="115"/>
      <c r="AR2085" s="115"/>
      <c r="AS2085" s="115"/>
      <c r="AT2085" s="115"/>
      <c r="AU2085" s="115"/>
      <c r="AV2085" s="115"/>
      <c r="AW2085" s="115"/>
      <c r="AX2085" s="115"/>
      <c r="AY2085" s="115"/>
      <c r="AZ2085" s="115"/>
      <c r="BA2085" s="115"/>
      <c r="BB2085" s="115"/>
      <c r="BC2085" s="115"/>
      <c r="BD2085" s="115"/>
      <c r="BE2085" s="115"/>
      <c r="BF2085" s="115"/>
      <c r="BG2085" s="115"/>
      <c r="BH2085" s="115"/>
      <c r="BI2085" s="115"/>
      <c r="BJ2085" s="115"/>
      <c r="BK2085" s="115"/>
      <c r="BL2085" s="122"/>
      <c r="BM2085" s="122"/>
      <c r="BN2085" s="122"/>
      <c r="BO2085" s="115"/>
      <c r="BP2085" s="115"/>
      <c r="BQ2085" s="115"/>
      <c r="BR2085" s="115"/>
      <c r="BS2085" s="115"/>
      <c r="BT2085" s="115"/>
      <c r="BU2085" s="115"/>
      <c r="BV2085" s="115"/>
      <c r="BW2085" s="115"/>
      <c r="BX2085" s="115"/>
      <c r="BY2085" s="115"/>
      <c r="BZ2085" s="115"/>
      <c r="CA2085" s="115"/>
      <c r="CB2085" s="115"/>
      <c r="CC2085" s="26"/>
      <c r="CD2085" s="15"/>
    </row>
    <row r="2086" spans="1:82" x14ac:dyDescent="0.4">
      <c r="A2086" s="115"/>
      <c r="B2086" s="115"/>
      <c r="C2086" s="115"/>
      <c r="D2086" s="115"/>
      <c r="E2086" s="115"/>
      <c r="F2086" s="115"/>
      <c r="G2086" s="115"/>
      <c r="H2086" s="115"/>
      <c r="I2086" s="115"/>
      <c r="J2086" s="115"/>
      <c r="K2086" s="115"/>
      <c r="L2086" s="115"/>
      <c r="M2086" s="115"/>
      <c r="N2086" s="115"/>
      <c r="O2086" s="115"/>
      <c r="P2086" s="115"/>
      <c r="Q2086" s="115"/>
      <c r="R2086" s="115"/>
      <c r="S2086" s="115"/>
      <c r="T2086" s="115"/>
      <c r="U2086" s="115"/>
      <c r="V2086" s="115"/>
      <c r="W2086" s="115"/>
      <c r="X2086" s="115"/>
      <c r="Y2086" s="115"/>
      <c r="Z2086" s="115"/>
      <c r="AA2086" s="115"/>
      <c r="AB2086" s="115"/>
      <c r="AC2086" s="115"/>
      <c r="AD2086" s="115"/>
      <c r="AE2086" s="115"/>
      <c r="AF2086" s="115"/>
      <c r="AG2086" s="115"/>
      <c r="AH2086" s="115"/>
      <c r="AI2086" s="115"/>
      <c r="AJ2086" s="115"/>
      <c r="AK2086" s="115"/>
      <c r="AL2086" s="115"/>
      <c r="AM2086" s="115"/>
      <c r="AN2086" s="115"/>
      <c r="AO2086" s="115"/>
      <c r="AP2086" s="115"/>
      <c r="AQ2086" s="115"/>
      <c r="AR2086" s="115"/>
      <c r="AS2086" s="115"/>
      <c r="AT2086" s="115"/>
      <c r="AU2086" s="115"/>
      <c r="AV2086" s="115"/>
      <c r="AW2086" s="115"/>
      <c r="AX2086" s="115"/>
      <c r="AY2086" s="115"/>
      <c r="AZ2086" s="115"/>
      <c r="BA2086" s="115"/>
      <c r="BB2086" s="115"/>
      <c r="BC2086" s="115"/>
      <c r="BD2086" s="115"/>
      <c r="BE2086" s="115"/>
      <c r="BF2086" s="115"/>
      <c r="BG2086" s="115"/>
      <c r="BH2086" s="115"/>
      <c r="BI2086" s="115"/>
      <c r="BJ2086" s="115"/>
      <c r="BK2086" s="115"/>
      <c r="BL2086" s="122"/>
      <c r="BM2086" s="122"/>
      <c r="BN2086" s="122"/>
      <c r="BO2086" s="115"/>
      <c r="BP2086" s="115"/>
      <c r="BQ2086" s="115"/>
      <c r="BR2086" s="115"/>
      <c r="BS2086" s="115"/>
      <c r="BT2086" s="115"/>
      <c r="BU2086" s="115"/>
      <c r="BV2086" s="115"/>
      <c r="BW2086" s="115"/>
      <c r="BX2086" s="115"/>
      <c r="BY2086" s="115"/>
      <c r="BZ2086" s="115"/>
      <c r="CA2086" s="115"/>
      <c r="CB2086" s="115"/>
      <c r="CC2086" s="26"/>
      <c r="CD2086" s="15"/>
    </row>
    <row r="2087" spans="1:82" x14ac:dyDescent="0.4">
      <c r="CC2087" s="26"/>
      <c r="CD2087" s="15"/>
    </row>
    <row r="2088" spans="1:82" x14ac:dyDescent="0.4">
      <c r="B2088" s="115"/>
      <c r="C2088" s="115"/>
      <c r="D2088" s="115"/>
      <c r="E2088" s="115"/>
      <c r="F2088" s="115"/>
      <c r="G2088" s="115"/>
      <c r="H2088" s="115"/>
      <c r="I2088" s="115"/>
      <c r="J2088" s="115"/>
      <c r="K2088" s="115"/>
      <c r="L2088" s="115"/>
      <c r="M2088" s="115"/>
      <c r="N2088" s="115"/>
      <c r="O2088" s="115"/>
      <c r="P2088" s="115"/>
      <c r="Q2088" s="115"/>
      <c r="R2088" s="115"/>
      <c r="S2088" s="115"/>
      <c r="T2088" s="115"/>
      <c r="U2088" s="115"/>
      <c r="V2088" s="115"/>
      <c r="W2088" s="115"/>
      <c r="X2088" s="115"/>
      <c r="Y2088" s="115"/>
      <c r="Z2088" s="115"/>
      <c r="AA2088" s="115"/>
      <c r="AB2088" s="115"/>
      <c r="AC2088" s="115"/>
      <c r="AD2088" s="115"/>
      <c r="AE2088" s="115"/>
      <c r="AF2088" s="115"/>
      <c r="AG2088" s="115"/>
      <c r="AH2088" s="115"/>
      <c r="AI2088" s="115"/>
      <c r="AJ2088" s="115"/>
      <c r="AK2088" s="115"/>
      <c r="AL2088" s="115"/>
      <c r="AM2088" s="115"/>
      <c r="AN2088" s="115"/>
      <c r="AO2088" s="115"/>
      <c r="AP2088" s="115"/>
      <c r="AQ2088" s="115"/>
      <c r="AR2088" s="115"/>
      <c r="AS2088" s="115"/>
      <c r="AT2088" s="115"/>
      <c r="AU2088" s="115"/>
      <c r="AV2088" s="115"/>
      <c r="AW2088" s="115"/>
      <c r="AX2088" s="115"/>
      <c r="AY2088" s="115"/>
      <c r="AZ2088" s="115"/>
      <c r="BA2088" s="115"/>
      <c r="BB2088" s="115"/>
      <c r="BC2088" s="115"/>
      <c r="BD2088" s="115"/>
      <c r="BE2088" s="115"/>
      <c r="BF2088" s="115"/>
      <c r="BG2088" s="115"/>
      <c r="BH2088" s="115"/>
      <c r="BI2088" s="115"/>
      <c r="BJ2088" s="115"/>
      <c r="BK2088" s="115"/>
      <c r="BL2088" s="122"/>
      <c r="BM2088" s="122"/>
      <c r="BN2088" s="122"/>
      <c r="BO2088" s="115"/>
      <c r="BP2088" s="115"/>
      <c r="BQ2088" s="115"/>
      <c r="BR2088" s="115"/>
      <c r="BS2088" s="115"/>
      <c r="BT2088" s="115"/>
      <c r="BU2088" s="115"/>
      <c r="BV2088" s="115"/>
      <c r="BW2088" s="115"/>
      <c r="BX2088" s="115"/>
      <c r="BY2088" s="115"/>
      <c r="BZ2088" s="115"/>
      <c r="CA2088" s="115"/>
      <c r="CB2088" s="115"/>
      <c r="CC2088" s="26"/>
      <c r="CD2088" s="15"/>
    </row>
    <row r="2089" spans="1:82" x14ac:dyDescent="0.4">
      <c r="CC2089" s="26"/>
      <c r="CD2089" s="15"/>
    </row>
    <row r="2090" spans="1:82" x14ac:dyDescent="0.4">
      <c r="B2090" s="115"/>
      <c r="C2090" s="115"/>
      <c r="D2090" s="115"/>
      <c r="E2090" s="115"/>
      <c r="F2090" s="115"/>
      <c r="G2090" s="115"/>
      <c r="H2090" s="115"/>
      <c r="I2090" s="115"/>
      <c r="J2090" s="115"/>
      <c r="K2090" s="115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  <c r="AI2090" s="115"/>
      <c r="AJ2090" s="115"/>
      <c r="AK2090" s="115"/>
      <c r="AL2090" s="115"/>
      <c r="AM2090" s="115"/>
      <c r="AN2090" s="115"/>
      <c r="AO2090" s="115"/>
      <c r="AP2090" s="115"/>
      <c r="AQ2090" s="115"/>
      <c r="AR2090" s="115"/>
      <c r="AS2090" s="115"/>
      <c r="AT2090" s="115"/>
      <c r="AU2090" s="115"/>
      <c r="AV2090" s="115"/>
      <c r="AW2090" s="115"/>
      <c r="AX2090" s="115"/>
      <c r="AY2090" s="115"/>
      <c r="AZ2090" s="115"/>
      <c r="BA2090" s="115"/>
      <c r="BB2090" s="115"/>
      <c r="BC2090" s="115"/>
      <c r="BD2090" s="115"/>
      <c r="BE2090" s="115"/>
      <c r="BF2090" s="115"/>
      <c r="BG2090" s="115"/>
      <c r="BH2090" s="115"/>
      <c r="BI2090" s="115"/>
      <c r="BJ2090" s="115"/>
      <c r="BK2090" s="115"/>
      <c r="BL2090" s="122"/>
      <c r="BM2090" s="122"/>
      <c r="BN2090" s="122"/>
      <c r="BO2090" s="115"/>
      <c r="BP2090" s="115"/>
      <c r="BQ2090" s="115"/>
      <c r="BR2090" s="115"/>
      <c r="BS2090" s="115"/>
      <c r="BT2090" s="115"/>
      <c r="BU2090" s="115"/>
      <c r="BV2090" s="115"/>
      <c r="BW2090" s="115"/>
      <c r="BX2090" s="115"/>
      <c r="BY2090" s="115"/>
      <c r="BZ2090" s="115"/>
      <c r="CA2090" s="115"/>
      <c r="CB2090" s="115"/>
      <c r="CC2090" s="26"/>
      <c r="CD2090" s="15"/>
    </row>
    <row r="2091" spans="1:82" x14ac:dyDescent="0.4">
      <c r="CC2091" s="26"/>
      <c r="CD2091" s="15"/>
    </row>
    <row r="2092" spans="1:82" x14ac:dyDescent="0.4">
      <c r="CC2092" s="26"/>
      <c r="CD2092" s="15"/>
    </row>
    <row r="2093" spans="1:82" x14ac:dyDescent="0.4">
      <c r="CC2093" s="26"/>
      <c r="CD2093" s="15"/>
    </row>
    <row r="2094" spans="1:82" x14ac:dyDescent="0.4">
      <c r="CC2094" s="26"/>
      <c r="CD2094" s="15"/>
    </row>
    <row r="2095" spans="1:82" x14ac:dyDescent="0.4">
      <c r="CC2095" s="26"/>
      <c r="CD2095" s="15"/>
    </row>
    <row r="2096" spans="1:82" x14ac:dyDescent="0.4">
      <c r="CC2096" s="26"/>
      <c r="CD2096" s="15"/>
    </row>
    <row r="2097" spans="1:82" x14ac:dyDescent="0.4">
      <c r="A2097" s="115"/>
      <c r="B2097" s="115"/>
      <c r="C2097" s="115"/>
      <c r="D2097" s="115"/>
      <c r="E2097" s="115"/>
      <c r="F2097" s="115"/>
      <c r="G2097" s="115"/>
      <c r="H2097" s="115"/>
      <c r="I2097" s="115"/>
      <c r="J2097" s="115"/>
      <c r="K2097" s="115"/>
      <c r="L2097" s="115"/>
      <c r="M2097" s="115"/>
      <c r="N2097" s="115"/>
      <c r="O2097" s="115"/>
      <c r="P2097" s="115"/>
      <c r="Q2097" s="115"/>
      <c r="R2097" s="115"/>
      <c r="S2097" s="115"/>
      <c r="T2097" s="115"/>
      <c r="U2097" s="115"/>
      <c r="V2097" s="115"/>
      <c r="W2097" s="115"/>
      <c r="X2097" s="115"/>
      <c r="Y2097" s="115"/>
      <c r="Z2097" s="115"/>
      <c r="AA2097" s="115"/>
      <c r="AB2097" s="115"/>
      <c r="AC2097" s="115"/>
      <c r="AD2097" s="115"/>
      <c r="AE2097" s="115"/>
      <c r="AF2097" s="115"/>
      <c r="AG2097" s="115"/>
      <c r="AH2097" s="115"/>
      <c r="AI2097" s="115"/>
      <c r="AJ2097" s="115"/>
      <c r="AK2097" s="115"/>
      <c r="AL2097" s="115"/>
      <c r="AM2097" s="115"/>
      <c r="AN2097" s="115"/>
      <c r="AO2097" s="115"/>
      <c r="AP2097" s="115"/>
      <c r="AQ2097" s="115"/>
      <c r="AR2097" s="115"/>
      <c r="AS2097" s="115"/>
      <c r="AT2097" s="115"/>
      <c r="AU2097" s="115"/>
      <c r="AV2097" s="115"/>
      <c r="AW2097" s="115"/>
      <c r="AX2097" s="115"/>
      <c r="AY2097" s="115"/>
      <c r="AZ2097" s="115"/>
      <c r="BA2097" s="115"/>
      <c r="BB2097" s="115"/>
      <c r="BC2097" s="115"/>
      <c r="BD2097" s="115"/>
      <c r="BE2097" s="115"/>
      <c r="BF2097" s="115"/>
      <c r="BG2097" s="115"/>
      <c r="BH2097" s="115"/>
      <c r="BI2097" s="115"/>
      <c r="BJ2097" s="115"/>
      <c r="BK2097" s="115"/>
      <c r="BL2097" s="122"/>
      <c r="BM2097" s="122"/>
      <c r="BN2097" s="122"/>
      <c r="BO2097" s="115"/>
      <c r="BP2097" s="115"/>
      <c r="BQ2097" s="115"/>
      <c r="BR2097" s="115"/>
      <c r="BS2097" s="115"/>
      <c r="BT2097" s="115"/>
      <c r="BU2097" s="115"/>
      <c r="BV2097" s="115"/>
      <c r="BW2097" s="115"/>
      <c r="BX2097" s="115"/>
      <c r="BY2097" s="115"/>
      <c r="BZ2097" s="115"/>
      <c r="CA2097" s="115"/>
      <c r="CB2097" s="115"/>
      <c r="CC2097" s="26"/>
      <c r="CD2097" s="15"/>
    </row>
    <row r="2098" spans="1:82" x14ac:dyDescent="0.4">
      <c r="CC2098" s="26"/>
      <c r="CD2098" s="15"/>
    </row>
    <row r="2099" spans="1:82" x14ac:dyDescent="0.4">
      <c r="CC2099" s="26"/>
      <c r="CD2099" s="15"/>
    </row>
    <row r="2100" spans="1:82" x14ac:dyDescent="0.4">
      <c r="CC2100" s="26"/>
      <c r="CD2100" s="15"/>
    </row>
    <row r="2101" spans="1:82" x14ac:dyDescent="0.4">
      <c r="CC2101" s="26"/>
      <c r="CD2101" s="15"/>
    </row>
    <row r="2102" spans="1:82" x14ac:dyDescent="0.4">
      <c r="CC2102" s="26"/>
      <c r="CD2102" s="15"/>
    </row>
    <row r="2103" spans="1:82" x14ac:dyDescent="0.4">
      <c r="BE2103" s="115"/>
      <c r="BF2103" s="115"/>
      <c r="BG2103" s="115"/>
      <c r="BH2103" s="115"/>
      <c r="BI2103" s="115"/>
      <c r="BJ2103" s="115"/>
      <c r="BK2103" s="115"/>
      <c r="BL2103" s="122"/>
      <c r="BM2103" s="122"/>
      <c r="BN2103" s="122"/>
      <c r="BO2103" s="115"/>
      <c r="BP2103" s="115"/>
      <c r="BQ2103" s="115"/>
      <c r="BR2103" s="115"/>
      <c r="BS2103" s="115"/>
      <c r="BT2103" s="115"/>
      <c r="BU2103" s="115"/>
      <c r="BV2103" s="115"/>
      <c r="BW2103" s="115"/>
      <c r="BX2103" s="115"/>
      <c r="BY2103" s="115"/>
      <c r="BZ2103" s="115"/>
      <c r="CA2103" s="115"/>
      <c r="CB2103" s="115"/>
      <c r="CC2103" s="17"/>
      <c r="CD2103" s="15"/>
    </row>
    <row r="2104" spans="1:82" x14ac:dyDescent="0.4">
      <c r="BE2104" s="115"/>
      <c r="BF2104" s="115"/>
      <c r="BG2104" s="115"/>
      <c r="BH2104" s="115"/>
      <c r="BI2104" s="115"/>
      <c r="BJ2104" s="115"/>
      <c r="BK2104" s="115"/>
      <c r="BL2104" s="122"/>
      <c r="BM2104" s="122"/>
      <c r="BN2104" s="122"/>
      <c r="BO2104" s="115"/>
      <c r="BP2104" s="115"/>
      <c r="BQ2104" s="115"/>
      <c r="BR2104" s="115"/>
      <c r="BS2104" s="115"/>
      <c r="BT2104" s="115"/>
      <c r="BU2104" s="115"/>
      <c r="BV2104" s="115"/>
      <c r="BW2104" s="115"/>
      <c r="BX2104" s="115"/>
      <c r="BY2104" s="115"/>
      <c r="BZ2104" s="115"/>
      <c r="CA2104" s="115"/>
      <c r="CB2104" s="115"/>
      <c r="CC2104" s="17"/>
      <c r="CD2104" s="15"/>
    </row>
    <row r="2105" spans="1:82" x14ac:dyDescent="0.4">
      <c r="CC2105" s="26"/>
      <c r="CD2105" s="15"/>
    </row>
    <row r="2106" spans="1:82" x14ac:dyDescent="0.4">
      <c r="CC2106" s="26"/>
      <c r="CD2106" s="15"/>
    </row>
    <row r="2107" spans="1:82" x14ac:dyDescent="0.4">
      <c r="A2107" s="115"/>
      <c r="B2107" s="115"/>
      <c r="C2107" s="115"/>
      <c r="D2107" s="115"/>
      <c r="E2107" s="115"/>
      <c r="F2107" s="115"/>
      <c r="G2107" s="115"/>
      <c r="H2107" s="115"/>
      <c r="I2107" s="115"/>
      <c r="J2107" s="115"/>
      <c r="K2107" s="115"/>
      <c r="L2107" s="115"/>
      <c r="M2107" s="115"/>
      <c r="N2107" s="115"/>
      <c r="O2107" s="115"/>
      <c r="P2107" s="115"/>
      <c r="Q2107" s="115"/>
      <c r="R2107" s="115"/>
      <c r="S2107" s="115"/>
      <c r="T2107" s="115"/>
      <c r="U2107" s="115"/>
      <c r="V2107" s="115"/>
      <c r="W2107" s="115"/>
      <c r="X2107" s="115"/>
      <c r="Y2107" s="115"/>
      <c r="Z2107" s="115"/>
      <c r="AA2107" s="115"/>
      <c r="AB2107" s="115"/>
      <c r="AC2107" s="115"/>
      <c r="AD2107" s="115"/>
      <c r="AE2107" s="115"/>
      <c r="AF2107" s="115"/>
      <c r="AG2107" s="115"/>
      <c r="AH2107" s="115"/>
      <c r="AI2107" s="115"/>
      <c r="AJ2107" s="115"/>
      <c r="AK2107" s="115"/>
      <c r="AL2107" s="115"/>
      <c r="AM2107" s="115"/>
      <c r="AN2107" s="115"/>
      <c r="AO2107" s="115"/>
      <c r="AP2107" s="115"/>
      <c r="AQ2107" s="115"/>
      <c r="AR2107" s="115"/>
      <c r="AS2107" s="115"/>
      <c r="AT2107" s="115"/>
      <c r="AU2107" s="115"/>
      <c r="AV2107" s="115"/>
      <c r="AW2107" s="115"/>
      <c r="AX2107" s="115"/>
      <c r="AY2107" s="115"/>
      <c r="AZ2107" s="115"/>
      <c r="BA2107" s="115"/>
      <c r="BB2107" s="115"/>
      <c r="BC2107" s="115"/>
      <c r="BD2107" s="115"/>
      <c r="BE2107" s="115"/>
      <c r="BF2107" s="115"/>
      <c r="BG2107" s="115"/>
      <c r="BH2107" s="115"/>
      <c r="BI2107" s="115"/>
      <c r="BJ2107" s="115"/>
      <c r="BK2107" s="115"/>
      <c r="BL2107" s="122"/>
      <c r="BM2107" s="122"/>
      <c r="BN2107" s="122"/>
      <c r="BO2107" s="115"/>
      <c r="BP2107" s="115"/>
      <c r="BQ2107" s="115"/>
      <c r="BR2107" s="115"/>
      <c r="BS2107" s="115"/>
      <c r="BT2107" s="115"/>
      <c r="BU2107" s="115"/>
      <c r="BV2107" s="115"/>
      <c r="BW2107" s="115"/>
      <c r="BX2107" s="115"/>
      <c r="BY2107" s="115"/>
      <c r="BZ2107" s="115"/>
      <c r="CA2107" s="115"/>
      <c r="CB2107" s="115"/>
      <c r="CC2107" s="26"/>
      <c r="CD2107" s="15"/>
    </row>
    <row r="2108" spans="1:82" x14ac:dyDescent="0.4">
      <c r="A2108" s="115"/>
      <c r="B2108" s="115"/>
      <c r="C2108" s="115"/>
      <c r="D2108" s="115"/>
      <c r="E2108" s="115"/>
      <c r="F2108" s="115"/>
      <c r="G2108" s="115"/>
      <c r="H2108" s="115"/>
      <c r="I2108" s="115"/>
      <c r="J2108" s="115"/>
      <c r="K2108" s="115"/>
      <c r="L2108" s="115"/>
      <c r="M2108" s="115"/>
      <c r="N2108" s="115"/>
      <c r="O2108" s="115"/>
      <c r="P2108" s="115"/>
      <c r="Q2108" s="115"/>
      <c r="R2108" s="115"/>
      <c r="S2108" s="115"/>
      <c r="T2108" s="115"/>
      <c r="U2108" s="115"/>
      <c r="V2108" s="115"/>
      <c r="W2108" s="115"/>
      <c r="X2108" s="115"/>
      <c r="Y2108" s="115"/>
      <c r="Z2108" s="115"/>
      <c r="AA2108" s="115"/>
      <c r="AB2108" s="115"/>
      <c r="AC2108" s="115"/>
      <c r="AD2108" s="115"/>
      <c r="AE2108" s="115"/>
      <c r="AF2108" s="115"/>
      <c r="AG2108" s="115"/>
      <c r="AH2108" s="115"/>
      <c r="AI2108" s="115"/>
      <c r="AJ2108" s="115"/>
      <c r="AK2108" s="115"/>
      <c r="AL2108" s="115"/>
      <c r="AM2108" s="115"/>
      <c r="AN2108" s="115"/>
      <c r="AO2108" s="115"/>
      <c r="AP2108" s="115"/>
      <c r="AQ2108" s="115"/>
      <c r="AR2108" s="115"/>
      <c r="AS2108" s="115"/>
      <c r="AT2108" s="115"/>
      <c r="AU2108" s="115"/>
      <c r="AV2108" s="115"/>
      <c r="AW2108" s="115"/>
      <c r="AX2108" s="115"/>
      <c r="AY2108" s="115"/>
      <c r="AZ2108" s="115"/>
      <c r="BA2108" s="115"/>
      <c r="BB2108" s="115"/>
      <c r="BC2108" s="115"/>
      <c r="BD2108" s="115"/>
      <c r="BE2108" s="115"/>
      <c r="BF2108" s="115"/>
      <c r="BG2108" s="115"/>
      <c r="BH2108" s="115"/>
      <c r="BI2108" s="115"/>
      <c r="BJ2108" s="115"/>
      <c r="BK2108" s="115"/>
      <c r="BL2108" s="122"/>
      <c r="BM2108" s="122"/>
      <c r="BN2108" s="122"/>
      <c r="BO2108" s="115"/>
      <c r="BP2108" s="115"/>
      <c r="BQ2108" s="115"/>
      <c r="BR2108" s="115"/>
      <c r="BS2108" s="115"/>
      <c r="BT2108" s="115"/>
      <c r="BU2108" s="115"/>
      <c r="BV2108" s="115"/>
      <c r="BW2108" s="115"/>
      <c r="BX2108" s="115"/>
      <c r="BY2108" s="115"/>
      <c r="BZ2108" s="115"/>
      <c r="CA2108" s="115"/>
      <c r="CB2108" s="115"/>
      <c r="CC2108" s="26"/>
      <c r="CD2108" s="13"/>
    </row>
    <row r="2109" spans="1:82" x14ac:dyDescent="0.4">
      <c r="CC2109" s="26"/>
      <c r="CD2109" s="15"/>
    </row>
    <row r="2110" spans="1:82" x14ac:dyDescent="0.4">
      <c r="B2110" s="115"/>
      <c r="C2110" s="115"/>
      <c r="D2110" s="115"/>
      <c r="E2110" s="115"/>
      <c r="F2110" s="115"/>
      <c r="G2110" s="115"/>
      <c r="H2110" s="115"/>
      <c r="I2110" s="115"/>
      <c r="J2110" s="115"/>
      <c r="K2110" s="115"/>
      <c r="L2110" s="115"/>
      <c r="M2110" s="115"/>
      <c r="N2110" s="115"/>
      <c r="O2110" s="115"/>
      <c r="P2110" s="115"/>
      <c r="Q2110" s="115"/>
      <c r="R2110" s="115"/>
      <c r="S2110" s="115"/>
      <c r="T2110" s="115"/>
      <c r="U2110" s="115"/>
      <c r="V2110" s="115"/>
      <c r="W2110" s="115"/>
      <c r="X2110" s="115"/>
      <c r="Y2110" s="115"/>
      <c r="Z2110" s="115"/>
      <c r="AA2110" s="115"/>
      <c r="AB2110" s="115"/>
      <c r="AC2110" s="115"/>
      <c r="AD2110" s="115"/>
      <c r="AE2110" s="115"/>
      <c r="AF2110" s="115"/>
      <c r="AG2110" s="115"/>
      <c r="AH2110" s="115"/>
      <c r="AI2110" s="115"/>
      <c r="AJ2110" s="115"/>
      <c r="AK2110" s="115"/>
      <c r="AL2110" s="115"/>
      <c r="AM2110" s="115"/>
      <c r="AN2110" s="115"/>
      <c r="AO2110" s="115"/>
      <c r="AP2110" s="115"/>
      <c r="AQ2110" s="115"/>
      <c r="AR2110" s="115"/>
      <c r="AS2110" s="115"/>
      <c r="AT2110" s="115"/>
      <c r="AU2110" s="115"/>
      <c r="AV2110" s="115"/>
      <c r="AW2110" s="115"/>
      <c r="AX2110" s="115"/>
      <c r="AY2110" s="115"/>
      <c r="AZ2110" s="115"/>
      <c r="BA2110" s="115"/>
      <c r="BB2110" s="115"/>
      <c r="BC2110" s="115"/>
      <c r="BD2110" s="115"/>
      <c r="BE2110" s="115"/>
      <c r="BF2110" s="115"/>
      <c r="BG2110" s="115"/>
      <c r="BH2110" s="115"/>
      <c r="BI2110" s="115"/>
      <c r="BJ2110" s="115"/>
      <c r="BK2110" s="115"/>
      <c r="BL2110" s="122"/>
      <c r="BM2110" s="122"/>
      <c r="BN2110" s="122"/>
      <c r="BO2110" s="115"/>
      <c r="BP2110" s="115"/>
      <c r="BQ2110" s="115"/>
      <c r="BR2110" s="115"/>
      <c r="BS2110" s="115"/>
      <c r="BT2110" s="115"/>
      <c r="BU2110" s="115"/>
      <c r="BV2110" s="115"/>
      <c r="BW2110" s="115"/>
      <c r="BX2110" s="115"/>
      <c r="BY2110" s="115"/>
      <c r="BZ2110" s="115"/>
      <c r="CA2110" s="115"/>
      <c r="CB2110" s="115"/>
      <c r="CC2110" s="26"/>
      <c r="CD2110" s="15"/>
    </row>
    <row r="2111" spans="1:82" x14ac:dyDescent="0.4">
      <c r="CC2111" s="26"/>
      <c r="CD2111" s="15"/>
    </row>
    <row r="2112" spans="1:82" x14ac:dyDescent="0.4">
      <c r="CC2112" s="26"/>
      <c r="CD2112" s="15"/>
    </row>
    <row r="2113" spans="1:82" x14ac:dyDescent="0.4">
      <c r="A2113" s="115"/>
      <c r="B2113" s="115"/>
      <c r="C2113" s="115"/>
      <c r="D2113" s="115"/>
      <c r="E2113" s="115"/>
      <c r="F2113" s="115"/>
      <c r="G2113" s="115"/>
      <c r="H2113" s="115"/>
      <c r="I2113" s="115"/>
      <c r="J2113" s="115"/>
      <c r="K2113" s="115"/>
      <c r="L2113" s="115"/>
      <c r="M2113" s="115"/>
      <c r="N2113" s="115"/>
      <c r="O2113" s="115"/>
      <c r="P2113" s="115"/>
      <c r="Q2113" s="115"/>
      <c r="R2113" s="115"/>
      <c r="S2113" s="115"/>
      <c r="T2113" s="115"/>
      <c r="U2113" s="115"/>
      <c r="V2113" s="115"/>
      <c r="W2113" s="115"/>
      <c r="X2113" s="115"/>
      <c r="Y2113" s="115"/>
      <c r="Z2113" s="115"/>
      <c r="AA2113" s="115"/>
      <c r="AB2113" s="115"/>
      <c r="AC2113" s="115"/>
      <c r="AD2113" s="115"/>
      <c r="AE2113" s="115"/>
      <c r="AF2113" s="115"/>
      <c r="AG2113" s="115"/>
      <c r="AH2113" s="115"/>
      <c r="AI2113" s="115"/>
      <c r="AJ2113" s="115"/>
      <c r="AK2113" s="115"/>
      <c r="AL2113" s="115"/>
      <c r="AM2113" s="115"/>
      <c r="AN2113" s="115"/>
      <c r="AO2113" s="115"/>
      <c r="AP2113" s="115"/>
      <c r="AQ2113" s="115"/>
      <c r="AR2113" s="115"/>
      <c r="AS2113" s="115"/>
      <c r="AT2113" s="115"/>
      <c r="AU2113" s="115"/>
      <c r="AV2113" s="115"/>
      <c r="AW2113" s="115"/>
      <c r="AX2113" s="115"/>
      <c r="AY2113" s="115"/>
      <c r="AZ2113" s="115"/>
      <c r="BA2113" s="115"/>
      <c r="BB2113" s="115"/>
      <c r="BC2113" s="115"/>
      <c r="BD2113" s="115"/>
      <c r="BE2113" s="115"/>
      <c r="BF2113" s="115"/>
      <c r="BG2113" s="115"/>
      <c r="BH2113" s="115"/>
      <c r="BI2113" s="115"/>
      <c r="BJ2113" s="115"/>
      <c r="BK2113" s="115"/>
      <c r="BL2113" s="122"/>
      <c r="BM2113" s="122"/>
      <c r="BN2113" s="122"/>
      <c r="BO2113" s="115"/>
      <c r="BP2113" s="115"/>
      <c r="BQ2113" s="115"/>
      <c r="BR2113" s="115"/>
      <c r="BS2113" s="115"/>
      <c r="BT2113" s="115"/>
      <c r="BU2113" s="115"/>
      <c r="BV2113" s="115"/>
      <c r="BW2113" s="115"/>
      <c r="BX2113" s="115"/>
      <c r="BY2113" s="115"/>
      <c r="BZ2113" s="115"/>
      <c r="CA2113" s="115"/>
      <c r="CB2113" s="115"/>
      <c r="CC2113" s="26"/>
      <c r="CD2113" s="15"/>
    </row>
    <row r="2114" spans="1:82" x14ac:dyDescent="0.4">
      <c r="CC2114" s="26"/>
      <c r="CD2114" s="13"/>
    </row>
    <row r="2115" spans="1:82" x14ac:dyDescent="0.4">
      <c r="CC2115" s="26"/>
      <c r="CD2115" s="13"/>
    </row>
    <row r="2116" spans="1:82" x14ac:dyDescent="0.4">
      <c r="A2116" s="115"/>
      <c r="B2116" s="115"/>
      <c r="C2116" s="115"/>
      <c r="D2116" s="115"/>
      <c r="E2116" s="115"/>
      <c r="F2116" s="115"/>
      <c r="G2116" s="115"/>
      <c r="H2116" s="115"/>
      <c r="I2116" s="115"/>
      <c r="J2116" s="115"/>
      <c r="K2116" s="115"/>
      <c r="L2116" s="115"/>
      <c r="M2116" s="115"/>
      <c r="N2116" s="115"/>
      <c r="O2116" s="115"/>
      <c r="P2116" s="115"/>
      <c r="Q2116" s="115"/>
      <c r="R2116" s="115"/>
      <c r="S2116" s="115"/>
      <c r="T2116" s="115"/>
      <c r="U2116" s="115"/>
      <c r="V2116" s="115"/>
      <c r="W2116" s="115"/>
      <c r="X2116" s="115"/>
      <c r="Y2116" s="115"/>
      <c r="Z2116" s="115"/>
      <c r="AA2116" s="115"/>
      <c r="AB2116" s="115"/>
      <c r="AC2116" s="115"/>
      <c r="AD2116" s="115"/>
      <c r="AE2116" s="115"/>
      <c r="AF2116" s="115"/>
      <c r="AG2116" s="115"/>
      <c r="AH2116" s="115"/>
      <c r="AI2116" s="115"/>
      <c r="AJ2116" s="115"/>
      <c r="AK2116" s="115"/>
      <c r="AL2116" s="115"/>
      <c r="AM2116" s="115"/>
      <c r="AN2116" s="115"/>
      <c r="AO2116" s="115"/>
      <c r="AP2116" s="115"/>
      <c r="AQ2116" s="115"/>
      <c r="AR2116" s="115"/>
      <c r="AS2116" s="115"/>
      <c r="AT2116" s="115"/>
      <c r="AU2116" s="115"/>
      <c r="AV2116" s="115"/>
      <c r="AW2116" s="115"/>
      <c r="AX2116" s="115"/>
      <c r="AY2116" s="115"/>
      <c r="AZ2116" s="115"/>
      <c r="BA2116" s="115"/>
      <c r="BB2116" s="115"/>
      <c r="BC2116" s="115"/>
      <c r="BD2116" s="115"/>
      <c r="BE2116" s="115"/>
      <c r="BF2116" s="115"/>
      <c r="BG2116" s="115"/>
      <c r="BH2116" s="115"/>
      <c r="BI2116" s="115"/>
      <c r="BJ2116" s="115"/>
      <c r="BK2116" s="115"/>
      <c r="BL2116" s="122"/>
      <c r="BM2116" s="122"/>
      <c r="BN2116" s="122"/>
      <c r="BO2116" s="115"/>
      <c r="BP2116" s="115"/>
      <c r="BQ2116" s="115"/>
      <c r="BR2116" s="115"/>
      <c r="BS2116" s="115"/>
      <c r="BT2116" s="115"/>
      <c r="BU2116" s="115"/>
      <c r="BV2116" s="115"/>
      <c r="BW2116" s="115"/>
      <c r="BX2116" s="115"/>
      <c r="BY2116" s="115"/>
      <c r="BZ2116" s="115"/>
      <c r="CA2116" s="115"/>
      <c r="CB2116" s="115"/>
      <c r="CC2116" s="26"/>
      <c r="CD2116" s="13"/>
    </row>
    <row r="2117" spans="1:82" x14ac:dyDescent="0.4">
      <c r="CC2117" s="26"/>
      <c r="CD2117" s="13"/>
    </row>
    <row r="2118" spans="1:82" x14ac:dyDescent="0.4">
      <c r="CC2118" s="26"/>
      <c r="CD2118" s="13"/>
    </row>
    <row r="2119" spans="1:82" x14ac:dyDescent="0.4">
      <c r="CC2119" s="26"/>
      <c r="CD2119" s="13"/>
    </row>
    <row r="2120" spans="1:82" x14ac:dyDescent="0.4">
      <c r="CC2120" s="26"/>
      <c r="CD2120" s="13"/>
    </row>
    <row r="2121" spans="1:82" x14ac:dyDescent="0.4">
      <c r="CC2121" s="26"/>
      <c r="CD2121" s="13"/>
    </row>
    <row r="2122" spans="1:82" x14ac:dyDescent="0.4">
      <c r="A2122" s="115"/>
      <c r="B2122" s="115"/>
      <c r="C2122" s="115"/>
      <c r="D2122" s="115"/>
      <c r="E2122" s="115"/>
      <c r="F2122" s="115"/>
      <c r="G2122" s="115"/>
      <c r="H2122" s="115"/>
      <c r="I2122" s="115"/>
      <c r="J2122" s="115"/>
      <c r="K2122" s="115"/>
      <c r="L2122" s="115"/>
      <c r="M2122" s="115"/>
      <c r="N2122" s="115"/>
      <c r="O2122" s="115"/>
      <c r="P2122" s="115"/>
      <c r="Q2122" s="115"/>
      <c r="R2122" s="115"/>
      <c r="S2122" s="115"/>
      <c r="T2122" s="115"/>
      <c r="U2122" s="115"/>
      <c r="V2122" s="115"/>
      <c r="W2122" s="115"/>
      <c r="X2122" s="115"/>
      <c r="Y2122" s="115"/>
      <c r="Z2122" s="115"/>
      <c r="AA2122" s="115"/>
      <c r="AB2122" s="115"/>
      <c r="AC2122" s="115"/>
      <c r="AD2122" s="115"/>
      <c r="AE2122" s="115"/>
      <c r="AF2122" s="115"/>
      <c r="AG2122" s="115"/>
      <c r="AH2122" s="115"/>
      <c r="AI2122" s="115"/>
      <c r="AJ2122" s="115"/>
      <c r="AK2122" s="115"/>
      <c r="AL2122" s="115"/>
      <c r="AM2122" s="115"/>
      <c r="AN2122" s="115"/>
      <c r="AO2122" s="115"/>
      <c r="AP2122" s="115"/>
      <c r="AQ2122" s="115"/>
      <c r="AR2122" s="115"/>
      <c r="AS2122" s="115"/>
      <c r="AT2122" s="115"/>
      <c r="AU2122" s="115"/>
      <c r="AV2122" s="115"/>
      <c r="AW2122" s="115"/>
      <c r="AX2122" s="115"/>
      <c r="AY2122" s="115"/>
      <c r="AZ2122" s="115"/>
      <c r="BA2122" s="115"/>
      <c r="BB2122" s="115"/>
      <c r="BC2122" s="115"/>
      <c r="BD2122" s="115"/>
      <c r="BE2122" s="115"/>
      <c r="BF2122" s="115"/>
      <c r="BG2122" s="115"/>
      <c r="BH2122" s="115"/>
      <c r="BI2122" s="115"/>
      <c r="BJ2122" s="115"/>
      <c r="BK2122" s="115"/>
      <c r="BL2122" s="122"/>
      <c r="BM2122" s="122"/>
      <c r="BN2122" s="122"/>
      <c r="BO2122" s="115"/>
      <c r="BP2122" s="115"/>
      <c r="BQ2122" s="115"/>
      <c r="BR2122" s="115"/>
      <c r="BS2122" s="115"/>
      <c r="BT2122" s="115"/>
      <c r="BU2122" s="115"/>
      <c r="BV2122" s="115"/>
      <c r="BW2122" s="115"/>
      <c r="BX2122" s="115"/>
      <c r="BY2122" s="115"/>
      <c r="BZ2122" s="115"/>
      <c r="CA2122" s="115"/>
      <c r="CB2122" s="115"/>
      <c r="CC2122" s="26"/>
      <c r="CD2122" s="25"/>
    </row>
    <row r="2123" spans="1:82" x14ac:dyDescent="0.4">
      <c r="CC2123" s="26"/>
      <c r="CD2123" s="13"/>
    </row>
    <row r="2124" spans="1:82" x14ac:dyDescent="0.4">
      <c r="A2124" s="115"/>
      <c r="B2124" s="115"/>
      <c r="C2124" s="115"/>
      <c r="D2124" s="115"/>
      <c r="E2124" s="115"/>
      <c r="F2124" s="115"/>
      <c r="G2124" s="115"/>
      <c r="H2124" s="115"/>
      <c r="I2124" s="115"/>
      <c r="J2124" s="115"/>
      <c r="K2124" s="115"/>
      <c r="L2124" s="115"/>
      <c r="M2124" s="115"/>
      <c r="N2124" s="115"/>
      <c r="O2124" s="115"/>
      <c r="P2124" s="115"/>
      <c r="Q2124" s="115"/>
      <c r="R2124" s="115"/>
      <c r="S2124" s="115"/>
      <c r="T2124" s="115"/>
      <c r="U2124" s="115"/>
      <c r="V2124" s="115"/>
      <c r="W2124" s="115"/>
      <c r="X2124" s="115"/>
      <c r="Y2124" s="115"/>
      <c r="Z2124" s="115"/>
      <c r="AA2124" s="115"/>
      <c r="AB2124" s="115"/>
      <c r="AC2124" s="115"/>
      <c r="AD2124" s="115"/>
      <c r="AE2124" s="115"/>
      <c r="AF2124" s="115"/>
      <c r="AG2124" s="115"/>
      <c r="AH2124" s="115"/>
      <c r="AI2124" s="115"/>
      <c r="AJ2124" s="115"/>
      <c r="AK2124" s="115"/>
      <c r="AL2124" s="115"/>
      <c r="AM2124" s="115"/>
      <c r="AN2124" s="115"/>
      <c r="AO2124" s="115"/>
      <c r="AP2124" s="115"/>
      <c r="AQ2124" s="115"/>
      <c r="AR2124" s="115"/>
      <c r="AS2124" s="115"/>
      <c r="AT2124" s="115"/>
      <c r="AU2124" s="115"/>
      <c r="AV2124" s="115"/>
      <c r="AW2124" s="115"/>
      <c r="AX2124" s="115"/>
      <c r="AY2124" s="115"/>
      <c r="AZ2124" s="115"/>
      <c r="BA2124" s="115"/>
      <c r="BB2124" s="115"/>
      <c r="BC2124" s="115"/>
      <c r="BD2124" s="115"/>
      <c r="BE2124" s="115"/>
      <c r="BF2124" s="115"/>
      <c r="BG2124" s="115"/>
      <c r="BH2124" s="115"/>
      <c r="BI2124" s="115"/>
      <c r="BJ2124" s="115"/>
      <c r="BK2124" s="115"/>
      <c r="BL2124" s="122"/>
      <c r="BM2124" s="122"/>
      <c r="BN2124" s="122"/>
      <c r="BO2124" s="115"/>
      <c r="BP2124" s="115"/>
      <c r="BQ2124" s="115"/>
      <c r="BR2124" s="115"/>
      <c r="BS2124" s="115"/>
      <c r="BT2124" s="115"/>
      <c r="BU2124" s="115"/>
      <c r="BV2124" s="115"/>
      <c r="BW2124" s="115"/>
      <c r="BX2124" s="115"/>
      <c r="BY2124" s="115"/>
      <c r="BZ2124" s="115"/>
      <c r="CA2124" s="115"/>
      <c r="CB2124" s="115"/>
      <c r="CC2124" s="26"/>
      <c r="CD2124" s="13"/>
    </row>
    <row r="2125" spans="1:82" x14ac:dyDescent="0.4">
      <c r="A2125" s="115"/>
      <c r="B2125" s="115"/>
      <c r="C2125" s="115"/>
      <c r="D2125" s="115"/>
      <c r="E2125" s="115"/>
      <c r="F2125" s="115"/>
      <c r="G2125" s="115"/>
      <c r="H2125" s="115"/>
      <c r="I2125" s="115"/>
      <c r="J2125" s="115"/>
      <c r="K2125" s="115"/>
      <c r="L2125" s="115"/>
      <c r="M2125" s="115"/>
      <c r="N2125" s="115"/>
      <c r="O2125" s="115"/>
      <c r="P2125" s="115"/>
      <c r="Q2125" s="115"/>
      <c r="R2125" s="115"/>
      <c r="S2125" s="115"/>
      <c r="T2125" s="115"/>
      <c r="U2125" s="115"/>
      <c r="V2125" s="115"/>
      <c r="W2125" s="115"/>
      <c r="X2125" s="115"/>
      <c r="Y2125" s="115"/>
      <c r="Z2125" s="115"/>
      <c r="AA2125" s="115"/>
      <c r="AB2125" s="115"/>
      <c r="AC2125" s="115"/>
      <c r="AD2125" s="115"/>
      <c r="AE2125" s="115"/>
      <c r="AF2125" s="115"/>
      <c r="AG2125" s="115"/>
      <c r="AH2125" s="115"/>
      <c r="AI2125" s="115"/>
      <c r="AJ2125" s="115"/>
      <c r="AK2125" s="115"/>
      <c r="AL2125" s="115"/>
      <c r="AM2125" s="115"/>
      <c r="AN2125" s="115"/>
      <c r="AO2125" s="115"/>
      <c r="AP2125" s="115"/>
      <c r="AQ2125" s="115"/>
      <c r="AR2125" s="115"/>
      <c r="AS2125" s="115"/>
      <c r="AT2125" s="115"/>
      <c r="AU2125" s="115"/>
      <c r="AV2125" s="115"/>
      <c r="AW2125" s="115"/>
      <c r="AX2125" s="115"/>
      <c r="AY2125" s="115"/>
      <c r="AZ2125" s="115"/>
      <c r="BA2125" s="115"/>
      <c r="BB2125" s="115"/>
      <c r="BC2125" s="115"/>
      <c r="BD2125" s="115"/>
      <c r="BE2125" s="115"/>
      <c r="BF2125" s="115"/>
      <c r="BG2125" s="115"/>
      <c r="BH2125" s="115"/>
      <c r="BI2125" s="115"/>
      <c r="BJ2125" s="115"/>
      <c r="BK2125" s="115"/>
      <c r="BL2125" s="122"/>
      <c r="BM2125" s="122"/>
      <c r="BN2125" s="122"/>
      <c r="BO2125" s="115"/>
      <c r="BP2125" s="115"/>
      <c r="BQ2125" s="115"/>
      <c r="BR2125" s="115"/>
      <c r="BS2125" s="115"/>
      <c r="BT2125" s="115"/>
      <c r="BU2125" s="115"/>
      <c r="BV2125" s="115"/>
      <c r="BW2125" s="115"/>
      <c r="BX2125" s="115"/>
      <c r="BY2125" s="115"/>
      <c r="BZ2125" s="115"/>
      <c r="CA2125" s="115"/>
      <c r="CB2125" s="115"/>
      <c r="CC2125" s="26"/>
      <c r="CD2125" s="13"/>
    </row>
    <row r="2126" spans="1:82" x14ac:dyDescent="0.4">
      <c r="CC2126" s="26"/>
      <c r="CD2126" s="15"/>
    </row>
    <row r="2127" spans="1:82" x14ac:dyDescent="0.4">
      <c r="CC2127" s="26"/>
      <c r="CD2127" s="15"/>
    </row>
    <row r="2128" spans="1:82" x14ac:dyDescent="0.4">
      <c r="CC2128" s="26"/>
      <c r="CD2128" s="15"/>
    </row>
    <row r="2129" spans="2:82" x14ac:dyDescent="0.4">
      <c r="CC2129" s="26"/>
      <c r="CD2129" s="13"/>
    </row>
    <row r="2130" spans="2:82" x14ac:dyDescent="0.4">
      <c r="CC2130" s="26"/>
      <c r="CD2130" s="15"/>
    </row>
    <row r="2131" spans="2:82" x14ac:dyDescent="0.4">
      <c r="B2131" s="115"/>
      <c r="C2131" s="115"/>
      <c r="D2131" s="115"/>
      <c r="E2131" s="115"/>
      <c r="F2131" s="115"/>
      <c r="G2131" s="115"/>
      <c r="H2131" s="115"/>
      <c r="I2131" s="115"/>
      <c r="J2131" s="115"/>
      <c r="K2131" s="115"/>
      <c r="L2131" s="115"/>
      <c r="M2131" s="115"/>
      <c r="N2131" s="115"/>
      <c r="O2131" s="115"/>
      <c r="P2131" s="115"/>
      <c r="Q2131" s="115"/>
      <c r="R2131" s="115"/>
      <c r="S2131" s="115"/>
      <c r="T2131" s="115"/>
      <c r="U2131" s="115"/>
      <c r="V2131" s="115"/>
      <c r="W2131" s="115"/>
      <c r="X2131" s="115"/>
      <c r="Y2131" s="115"/>
      <c r="Z2131" s="115"/>
      <c r="AA2131" s="115"/>
      <c r="AB2131" s="115"/>
      <c r="AC2131" s="115"/>
      <c r="AD2131" s="115"/>
      <c r="AE2131" s="115"/>
      <c r="AF2131" s="115"/>
      <c r="AG2131" s="115"/>
      <c r="AH2131" s="115"/>
      <c r="AI2131" s="115"/>
      <c r="AJ2131" s="115"/>
      <c r="AK2131" s="115"/>
      <c r="AL2131" s="115"/>
      <c r="AM2131" s="115"/>
      <c r="AN2131" s="115"/>
      <c r="AO2131" s="115"/>
      <c r="AP2131" s="115"/>
      <c r="AQ2131" s="115"/>
      <c r="AR2131" s="115"/>
      <c r="AS2131" s="115"/>
      <c r="AT2131" s="115"/>
      <c r="AU2131" s="115"/>
      <c r="AV2131" s="115"/>
      <c r="AW2131" s="115"/>
      <c r="AX2131" s="115"/>
      <c r="AY2131" s="115"/>
      <c r="AZ2131" s="115"/>
      <c r="BA2131" s="115"/>
      <c r="BB2131" s="115"/>
      <c r="BC2131" s="115"/>
      <c r="BD2131" s="115"/>
      <c r="BE2131" s="115"/>
      <c r="BF2131" s="115"/>
      <c r="BG2131" s="115"/>
      <c r="BH2131" s="115"/>
      <c r="BI2131" s="115"/>
      <c r="BJ2131" s="115"/>
      <c r="BK2131" s="115"/>
      <c r="BL2131" s="122"/>
      <c r="BM2131" s="122"/>
      <c r="BN2131" s="122"/>
      <c r="BO2131" s="115"/>
      <c r="BP2131" s="115"/>
      <c r="BQ2131" s="115"/>
      <c r="BR2131" s="115"/>
      <c r="BS2131" s="115"/>
      <c r="BT2131" s="115"/>
      <c r="BU2131" s="115"/>
      <c r="BV2131" s="115"/>
      <c r="BW2131" s="115"/>
      <c r="BX2131" s="115"/>
      <c r="BY2131" s="115"/>
      <c r="BZ2131" s="115"/>
      <c r="CA2131" s="115"/>
      <c r="CB2131" s="115"/>
      <c r="CC2131" s="17"/>
      <c r="CD2131" s="15"/>
    </row>
    <row r="2132" spans="2:82" x14ac:dyDescent="0.4">
      <c r="CC2132" s="26"/>
      <c r="CD2132" s="15"/>
    </row>
    <row r="2133" spans="2:82" x14ac:dyDescent="0.4">
      <c r="B2133" s="115"/>
      <c r="C2133" s="115"/>
      <c r="D2133" s="115"/>
      <c r="E2133" s="115"/>
      <c r="F2133" s="115"/>
      <c r="G2133" s="115"/>
      <c r="H2133" s="115"/>
      <c r="I2133" s="115"/>
      <c r="J2133" s="115"/>
      <c r="K2133" s="115"/>
      <c r="L2133" s="115"/>
      <c r="M2133" s="115"/>
      <c r="N2133" s="115"/>
      <c r="O2133" s="115"/>
      <c r="P2133" s="115"/>
      <c r="Q2133" s="115"/>
      <c r="R2133" s="115"/>
      <c r="S2133" s="115"/>
      <c r="T2133" s="115"/>
      <c r="U2133" s="115"/>
      <c r="V2133" s="115"/>
      <c r="W2133" s="115"/>
      <c r="X2133" s="115"/>
      <c r="Y2133" s="115"/>
      <c r="Z2133" s="115"/>
      <c r="AA2133" s="115"/>
      <c r="AB2133" s="115"/>
      <c r="AC2133" s="115"/>
      <c r="AD2133" s="115"/>
      <c r="AE2133" s="115"/>
      <c r="AF2133" s="115"/>
      <c r="AG2133" s="115"/>
      <c r="AH2133" s="115"/>
      <c r="AI2133" s="115"/>
      <c r="AJ2133" s="115"/>
      <c r="AK2133" s="115"/>
      <c r="AL2133" s="115"/>
      <c r="AM2133" s="115"/>
      <c r="AN2133" s="115"/>
      <c r="AO2133" s="115"/>
      <c r="AP2133" s="115"/>
      <c r="AQ2133" s="115"/>
      <c r="AR2133" s="115"/>
      <c r="AS2133" s="115"/>
      <c r="AT2133" s="115"/>
      <c r="AU2133" s="115"/>
      <c r="AV2133" s="115"/>
      <c r="AW2133" s="115"/>
      <c r="AX2133" s="115"/>
      <c r="AY2133" s="115"/>
      <c r="AZ2133" s="115"/>
      <c r="BA2133" s="115"/>
      <c r="BB2133" s="115"/>
      <c r="BC2133" s="115"/>
      <c r="BD2133" s="115"/>
      <c r="BE2133" s="115"/>
      <c r="BF2133" s="115"/>
      <c r="BG2133" s="115"/>
      <c r="BH2133" s="115"/>
      <c r="BI2133" s="115"/>
      <c r="BJ2133" s="115"/>
      <c r="BK2133" s="115"/>
      <c r="BL2133" s="122"/>
      <c r="BM2133" s="122"/>
      <c r="BN2133" s="122"/>
      <c r="BO2133" s="115"/>
      <c r="BP2133" s="115"/>
      <c r="BQ2133" s="115"/>
      <c r="BR2133" s="115"/>
      <c r="BS2133" s="115"/>
      <c r="BT2133" s="115"/>
      <c r="BU2133" s="115"/>
      <c r="BV2133" s="115"/>
      <c r="BW2133" s="115"/>
      <c r="BX2133" s="115"/>
      <c r="BY2133" s="115"/>
      <c r="BZ2133" s="115"/>
      <c r="CA2133" s="115"/>
      <c r="CB2133" s="115"/>
      <c r="CC2133" s="17"/>
      <c r="CD2133" s="15"/>
    </row>
    <row r="2134" spans="2:82" x14ac:dyDescent="0.4">
      <c r="CC2134" s="26"/>
      <c r="CD2134" s="15"/>
    </row>
    <row r="2135" spans="2:82" x14ac:dyDescent="0.4">
      <c r="CC2135" s="26"/>
      <c r="CD2135" s="15"/>
    </row>
    <row r="2136" spans="2:82" x14ac:dyDescent="0.4">
      <c r="B2136" s="115"/>
      <c r="C2136" s="115"/>
      <c r="D2136" s="115"/>
      <c r="E2136" s="115"/>
      <c r="F2136" s="115"/>
      <c r="G2136" s="115"/>
      <c r="H2136" s="115"/>
      <c r="I2136" s="115"/>
      <c r="J2136" s="115"/>
      <c r="K2136" s="115"/>
      <c r="L2136" s="115"/>
      <c r="M2136" s="115"/>
      <c r="N2136" s="115"/>
      <c r="O2136" s="115"/>
      <c r="P2136" s="115"/>
      <c r="Q2136" s="115"/>
      <c r="R2136" s="115"/>
      <c r="S2136" s="115"/>
      <c r="T2136" s="115"/>
      <c r="U2136" s="115"/>
      <c r="V2136" s="115"/>
      <c r="W2136" s="115"/>
      <c r="X2136" s="115"/>
      <c r="Y2136" s="115"/>
      <c r="Z2136" s="115"/>
      <c r="AA2136" s="115"/>
      <c r="AB2136" s="115"/>
      <c r="AC2136" s="115"/>
      <c r="AD2136" s="115"/>
      <c r="AE2136" s="115"/>
      <c r="AF2136" s="115"/>
      <c r="AG2136" s="115"/>
      <c r="AH2136" s="115"/>
      <c r="AI2136" s="115"/>
      <c r="AJ2136" s="115"/>
      <c r="AK2136" s="115"/>
      <c r="AL2136" s="115"/>
      <c r="AM2136" s="115"/>
      <c r="AN2136" s="115"/>
      <c r="AO2136" s="115"/>
      <c r="AP2136" s="115"/>
      <c r="AQ2136" s="115"/>
      <c r="AR2136" s="115"/>
      <c r="AS2136" s="115"/>
      <c r="AT2136" s="115"/>
      <c r="AU2136" s="115"/>
      <c r="AV2136" s="115"/>
      <c r="AW2136" s="115"/>
      <c r="AX2136" s="115"/>
      <c r="AY2136" s="115"/>
      <c r="AZ2136" s="115"/>
      <c r="BA2136" s="115"/>
      <c r="BB2136" s="115"/>
      <c r="BC2136" s="115"/>
      <c r="BD2136" s="115"/>
      <c r="BE2136" s="115"/>
      <c r="BF2136" s="115"/>
      <c r="BG2136" s="115"/>
      <c r="BH2136" s="115"/>
      <c r="BI2136" s="115"/>
      <c r="BJ2136" s="115"/>
      <c r="BK2136" s="115"/>
      <c r="BL2136" s="122"/>
      <c r="BM2136" s="122"/>
      <c r="BN2136" s="122"/>
      <c r="BO2136" s="115"/>
      <c r="BP2136" s="115"/>
      <c r="BQ2136" s="115"/>
      <c r="BR2136" s="115"/>
      <c r="BS2136" s="115"/>
      <c r="BT2136" s="115"/>
      <c r="BU2136" s="115"/>
      <c r="BV2136" s="115"/>
      <c r="BW2136" s="115"/>
      <c r="BX2136" s="115"/>
      <c r="BY2136" s="115"/>
      <c r="BZ2136" s="115"/>
      <c r="CA2136" s="115"/>
      <c r="CB2136" s="115"/>
      <c r="CC2136" s="17"/>
      <c r="CD2136" s="15"/>
    </row>
    <row r="2137" spans="2:82" x14ac:dyDescent="0.4">
      <c r="CC2137" s="26"/>
      <c r="CD2137" s="15"/>
    </row>
    <row r="2138" spans="2:82" x14ac:dyDescent="0.4">
      <c r="CC2138" s="26"/>
      <c r="CD2138" s="15"/>
    </row>
    <row r="2139" spans="2:82" x14ac:dyDescent="0.4">
      <c r="CC2139" s="26"/>
      <c r="CD2139" s="105"/>
    </row>
    <row r="2140" spans="2:82" x14ac:dyDescent="0.4">
      <c r="CC2140" s="26"/>
      <c r="CD2140" s="15"/>
    </row>
    <row r="2141" spans="2:82" x14ac:dyDescent="0.4">
      <c r="CC2141" s="26"/>
      <c r="CD2141" s="15"/>
    </row>
    <row r="2142" spans="2:82" x14ac:dyDescent="0.4">
      <c r="CC2142" s="26"/>
      <c r="CD2142" s="15"/>
    </row>
    <row r="2143" spans="2:82" x14ac:dyDescent="0.4">
      <c r="CC2143" s="26"/>
      <c r="CD2143" s="15"/>
    </row>
    <row r="2144" spans="2:82" x14ac:dyDescent="0.4">
      <c r="CC2144" s="26"/>
      <c r="CD2144" s="15"/>
    </row>
    <row r="2145" spans="2:82" x14ac:dyDescent="0.4">
      <c r="B2145" s="115"/>
      <c r="C2145" s="115"/>
      <c r="D2145" s="115"/>
      <c r="E2145" s="115"/>
      <c r="F2145" s="115"/>
      <c r="G2145" s="115"/>
      <c r="H2145" s="115"/>
      <c r="I2145" s="115"/>
      <c r="J2145" s="115"/>
      <c r="K2145" s="115"/>
      <c r="L2145" s="115"/>
      <c r="M2145" s="115"/>
      <c r="N2145" s="115"/>
      <c r="O2145" s="115"/>
      <c r="P2145" s="115"/>
      <c r="Q2145" s="115"/>
      <c r="R2145" s="115"/>
      <c r="S2145" s="115"/>
      <c r="T2145" s="115"/>
      <c r="U2145" s="115"/>
      <c r="V2145" s="115"/>
      <c r="W2145" s="115"/>
      <c r="X2145" s="115"/>
      <c r="Y2145" s="115"/>
      <c r="Z2145" s="115"/>
      <c r="AA2145" s="115"/>
      <c r="AB2145" s="115"/>
      <c r="AC2145" s="115"/>
      <c r="AD2145" s="115"/>
      <c r="AE2145" s="115"/>
      <c r="AF2145" s="115"/>
      <c r="AG2145" s="115"/>
      <c r="AH2145" s="115"/>
      <c r="AI2145" s="115"/>
      <c r="AJ2145" s="115"/>
      <c r="AK2145" s="115"/>
      <c r="AL2145" s="115"/>
      <c r="AM2145" s="115"/>
      <c r="AN2145" s="115"/>
      <c r="AO2145" s="115"/>
      <c r="AP2145" s="115"/>
      <c r="AQ2145" s="115"/>
      <c r="AR2145" s="115"/>
      <c r="AS2145" s="115"/>
      <c r="AT2145" s="115"/>
      <c r="AU2145" s="115"/>
      <c r="AV2145" s="115"/>
      <c r="AW2145" s="115"/>
      <c r="AX2145" s="115"/>
      <c r="AY2145" s="115"/>
      <c r="AZ2145" s="115"/>
      <c r="BA2145" s="115"/>
      <c r="BB2145" s="115"/>
      <c r="BC2145" s="115"/>
      <c r="BD2145" s="115"/>
      <c r="BE2145" s="115"/>
      <c r="BF2145" s="115"/>
      <c r="BG2145" s="115"/>
      <c r="BH2145" s="115"/>
      <c r="BI2145" s="115"/>
      <c r="BJ2145" s="115"/>
      <c r="BK2145" s="115"/>
      <c r="BL2145" s="122"/>
      <c r="BM2145" s="122"/>
      <c r="BN2145" s="122"/>
      <c r="BO2145" s="115"/>
      <c r="BP2145" s="115"/>
      <c r="BQ2145" s="115"/>
      <c r="BR2145" s="115"/>
      <c r="BS2145" s="115"/>
      <c r="BT2145" s="115"/>
      <c r="BU2145" s="115"/>
      <c r="BV2145" s="115"/>
      <c r="BW2145" s="115"/>
      <c r="BX2145" s="115"/>
      <c r="BY2145" s="115"/>
      <c r="BZ2145" s="115"/>
      <c r="CA2145" s="115"/>
      <c r="CB2145" s="115"/>
      <c r="CC2145" s="119"/>
      <c r="CD2145" s="119"/>
    </row>
    <row r="2146" spans="2:82" x14ac:dyDescent="0.4">
      <c r="B2146" s="115"/>
      <c r="C2146" s="115"/>
      <c r="D2146" s="115"/>
      <c r="E2146" s="115"/>
      <c r="F2146" s="115"/>
      <c r="G2146" s="115"/>
      <c r="H2146" s="115"/>
      <c r="I2146" s="115"/>
      <c r="J2146" s="115"/>
      <c r="K2146" s="115"/>
      <c r="L2146" s="115"/>
      <c r="M2146" s="115"/>
      <c r="N2146" s="115"/>
      <c r="O2146" s="115"/>
      <c r="P2146" s="115"/>
      <c r="Q2146" s="115"/>
      <c r="R2146" s="115"/>
      <c r="S2146" s="115"/>
      <c r="T2146" s="115"/>
      <c r="U2146" s="115"/>
      <c r="V2146" s="115"/>
      <c r="W2146" s="115"/>
      <c r="X2146" s="115"/>
      <c r="Y2146" s="115"/>
      <c r="Z2146" s="115"/>
      <c r="AA2146" s="115"/>
      <c r="AB2146" s="115"/>
      <c r="AC2146" s="115"/>
      <c r="AD2146" s="115"/>
      <c r="AE2146" s="115"/>
      <c r="AF2146" s="115"/>
      <c r="AG2146" s="115"/>
      <c r="AH2146" s="115"/>
      <c r="AI2146" s="115"/>
      <c r="AJ2146" s="115"/>
      <c r="AK2146" s="115"/>
      <c r="AL2146" s="115"/>
      <c r="AM2146" s="115"/>
      <c r="AN2146" s="115"/>
      <c r="AO2146" s="115"/>
      <c r="AP2146" s="115"/>
      <c r="AQ2146" s="115"/>
      <c r="AR2146" s="115"/>
      <c r="AS2146" s="115"/>
      <c r="AT2146" s="115"/>
      <c r="AU2146" s="115"/>
      <c r="AV2146" s="115"/>
      <c r="AW2146" s="115"/>
      <c r="AX2146" s="115"/>
      <c r="AY2146" s="115"/>
      <c r="AZ2146" s="115"/>
      <c r="BA2146" s="115"/>
      <c r="BB2146" s="115"/>
      <c r="BC2146" s="115"/>
      <c r="BD2146" s="115"/>
      <c r="BE2146" s="115"/>
      <c r="BF2146" s="115"/>
      <c r="BG2146" s="115"/>
      <c r="BH2146" s="115"/>
      <c r="BI2146" s="115"/>
      <c r="BJ2146" s="115"/>
      <c r="BK2146" s="115"/>
      <c r="BL2146" s="122"/>
      <c r="BM2146" s="122"/>
      <c r="BN2146" s="122"/>
      <c r="BO2146" s="115"/>
      <c r="BP2146" s="115"/>
      <c r="BQ2146" s="115"/>
      <c r="BR2146" s="115"/>
      <c r="BS2146" s="115"/>
      <c r="BT2146" s="115"/>
      <c r="BU2146" s="115"/>
      <c r="BV2146" s="115"/>
      <c r="BW2146" s="115"/>
      <c r="BX2146" s="115"/>
      <c r="BY2146" s="115"/>
      <c r="BZ2146" s="115"/>
      <c r="CA2146" s="115"/>
      <c r="CB2146" s="115"/>
      <c r="CC2146" s="119"/>
      <c r="CD2146" s="119"/>
    </row>
  </sheetData>
  <sortState xmlns:xlrd2="http://schemas.microsoft.com/office/spreadsheetml/2017/richdata2" ref="K2:L146">
    <sortCondition ref="K2:K14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I770"/>
  <sheetViews>
    <sheetView tabSelected="1" zoomScaleNormal="100" workbookViewId="0">
      <selection activeCell="D3" sqref="D3:G32"/>
    </sheetView>
  </sheetViews>
  <sheetFormatPr defaultRowHeight="18.75" x14ac:dyDescent="0.4"/>
  <cols>
    <col min="1" max="2" width="13.625" customWidth="1"/>
    <col min="4" max="4" width="10.875" customWidth="1"/>
    <col min="5" max="5" width="12" customWidth="1"/>
    <col min="6" max="6" width="11" customWidth="1"/>
    <col min="7" max="7" width="9.75" customWidth="1"/>
    <col min="8" max="8" width="10.375" customWidth="1"/>
    <col min="9" max="10" width="19" customWidth="1"/>
    <col min="11" max="11" width="17.75" customWidth="1"/>
    <col min="12" max="12" width="17.125" customWidth="1"/>
    <col min="13" max="13" width="8.5" customWidth="1"/>
    <col min="14" max="18" width="17.5" customWidth="1"/>
    <col min="21" max="33" width="14.875" customWidth="1"/>
    <col min="34" max="34" width="13.625" customWidth="1"/>
    <col min="35" max="35" width="15.5" customWidth="1"/>
  </cols>
  <sheetData>
    <row r="1" spans="1:35" x14ac:dyDescent="0.4">
      <c r="K1" t="s">
        <v>143</v>
      </c>
      <c r="L1" t="s">
        <v>338</v>
      </c>
    </row>
    <row r="2" spans="1:35" x14ac:dyDescent="0.4">
      <c r="A2" t="s">
        <v>199</v>
      </c>
      <c r="K2" s="169">
        <v>46171</v>
      </c>
      <c r="L2" s="171" t="s">
        <v>146</v>
      </c>
    </row>
    <row r="3" spans="1:35" x14ac:dyDescent="0.4">
      <c r="A3" s="85" t="s">
        <v>319</v>
      </c>
      <c r="B3" s="141"/>
      <c r="C3" s="121"/>
      <c r="D3" s="120" t="s">
        <v>335</v>
      </c>
      <c r="E3" s="121"/>
      <c r="F3" s="121"/>
      <c r="G3" s="121"/>
      <c r="H3" s="120"/>
      <c r="I3" s="120"/>
      <c r="J3" s="120"/>
      <c r="K3" s="169">
        <v>46171</v>
      </c>
      <c r="L3" s="171" t="s">
        <v>148</v>
      </c>
      <c r="M3" s="121"/>
    </row>
    <row r="4" spans="1:35" x14ac:dyDescent="0.4">
      <c r="A4" s="85"/>
      <c r="B4" s="141"/>
      <c r="C4" s="121"/>
      <c r="D4" s="120"/>
      <c r="E4" s="121"/>
      <c r="F4" s="121"/>
      <c r="G4" s="121"/>
      <c r="H4" s="120"/>
      <c r="I4" s="120"/>
      <c r="J4" s="120" t="s">
        <v>339</v>
      </c>
      <c r="K4" s="173">
        <f>SUBTOTAL(3,K2:K3)</f>
        <v>2</v>
      </c>
      <c r="L4" s="171">
        <f>SUBTOTAL(3,L2:L3)</f>
        <v>2</v>
      </c>
      <c r="M4" s="121"/>
    </row>
    <row r="5" spans="1:35" ht="19.5" x14ac:dyDescent="0.4">
      <c r="A5" s="85" t="s">
        <v>320</v>
      </c>
      <c r="B5" s="141"/>
      <c r="C5" s="126"/>
      <c r="D5" s="116"/>
      <c r="E5" s="123" t="s">
        <v>146</v>
      </c>
      <c r="F5" s="123" t="s">
        <v>147</v>
      </c>
      <c r="G5" s="123" t="s">
        <v>148</v>
      </c>
      <c r="H5" s="118"/>
      <c r="I5" s="118"/>
      <c r="J5" s="118"/>
      <c r="K5" s="25">
        <v>46181</v>
      </c>
      <c r="L5" s="13" t="s">
        <v>147</v>
      </c>
      <c r="M5" s="126"/>
      <c r="Q5" s="127"/>
      <c r="R5" s="29"/>
      <c r="AH5" s="127"/>
      <c r="AI5" s="29"/>
    </row>
    <row r="6" spans="1:35" ht="19.5" x14ac:dyDescent="0.4">
      <c r="A6" s="85" t="s">
        <v>238</v>
      </c>
      <c r="B6" s="141"/>
      <c r="C6" s="126"/>
      <c r="D6" s="117">
        <v>46171</v>
      </c>
      <c r="E6" s="123">
        <v>1</v>
      </c>
      <c r="F6" s="123"/>
      <c r="G6" s="123">
        <v>1</v>
      </c>
      <c r="H6" s="125"/>
      <c r="I6" s="125"/>
      <c r="J6" s="125"/>
      <c r="K6" s="25">
        <v>46181</v>
      </c>
      <c r="L6" s="13" t="s">
        <v>147</v>
      </c>
      <c r="M6" s="126"/>
      <c r="P6" s="115"/>
      <c r="Q6" s="127"/>
      <c r="R6" s="29"/>
      <c r="AH6" s="127"/>
      <c r="AI6" s="29"/>
    </row>
    <row r="7" spans="1:35" ht="19.5" x14ac:dyDescent="0.4">
      <c r="A7" s="85" t="s">
        <v>321</v>
      </c>
      <c r="B7" s="141"/>
      <c r="C7" s="126"/>
      <c r="D7" s="117">
        <v>46181</v>
      </c>
      <c r="E7" s="123">
        <v>2</v>
      </c>
      <c r="F7" s="123">
        <v>3</v>
      </c>
      <c r="G7" s="123"/>
      <c r="H7" s="125"/>
      <c r="I7" s="125"/>
      <c r="J7" s="125"/>
      <c r="K7" s="25">
        <v>46181</v>
      </c>
      <c r="L7" s="13" t="s">
        <v>147</v>
      </c>
      <c r="M7" s="126"/>
      <c r="P7" s="115"/>
      <c r="Q7" s="127"/>
      <c r="R7" s="29"/>
      <c r="AH7" s="127"/>
      <c r="AI7" s="29"/>
    </row>
    <row r="8" spans="1:35" ht="19.5" x14ac:dyDescent="0.4">
      <c r="A8" s="85" t="s">
        <v>322</v>
      </c>
      <c r="B8" s="141"/>
      <c r="C8" s="126"/>
      <c r="D8" s="117">
        <v>46183</v>
      </c>
      <c r="E8" s="123">
        <v>4</v>
      </c>
      <c r="F8" s="123">
        <v>1</v>
      </c>
      <c r="G8" s="123"/>
      <c r="H8" s="125"/>
      <c r="I8" s="125"/>
      <c r="J8" s="125"/>
      <c r="K8" s="25">
        <v>46181</v>
      </c>
      <c r="L8" s="13" t="s">
        <v>146</v>
      </c>
      <c r="M8" s="126"/>
      <c r="O8" s="115"/>
      <c r="P8" s="115"/>
      <c r="Q8" s="127"/>
      <c r="R8" s="29"/>
      <c r="AH8" s="127"/>
      <c r="AI8" s="29"/>
    </row>
    <row r="9" spans="1:35" ht="19.5" x14ac:dyDescent="0.4">
      <c r="A9" s="85" t="s">
        <v>239</v>
      </c>
      <c r="B9" s="141"/>
      <c r="C9" s="126"/>
      <c r="D9" s="117">
        <v>46186</v>
      </c>
      <c r="E9" s="123"/>
      <c r="F9" s="123"/>
      <c r="G9" s="123">
        <v>1</v>
      </c>
      <c r="H9" s="125"/>
      <c r="I9" s="125"/>
      <c r="J9" s="125"/>
      <c r="K9" s="25">
        <v>46181</v>
      </c>
      <c r="L9" s="13" t="s">
        <v>146</v>
      </c>
      <c r="M9" s="126"/>
      <c r="O9" s="115"/>
      <c r="P9" s="115"/>
      <c r="Q9" s="127"/>
      <c r="R9" s="29"/>
      <c r="AH9" s="127"/>
      <c r="AI9" s="29"/>
    </row>
    <row r="10" spans="1:35" ht="19.5" x14ac:dyDescent="0.4">
      <c r="A10" s="85"/>
      <c r="B10" s="141"/>
      <c r="C10" s="126"/>
      <c r="D10" s="117">
        <v>46188</v>
      </c>
      <c r="E10" s="123">
        <v>6</v>
      </c>
      <c r="F10" s="123">
        <v>2</v>
      </c>
      <c r="G10" s="123">
        <v>5</v>
      </c>
      <c r="H10" s="125"/>
      <c r="I10" s="125"/>
      <c r="J10" s="125" t="s">
        <v>340</v>
      </c>
      <c r="K10" s="174">
        <f>SUBTOTAL(3,K5:K9)</f>
        <v>5</v>
      </c>
      <c r="L10" s="13">
        <f>SUBTOTAL(3,L5:L9)</f>
        <v>5</v>
      </c>
      <c r="M10" s="126"/>
      <c r="O10" s="115"/>
      <c r="P10" s="115"/>
      <c r="Q10" s="127"/>
      <c r="R10" s="29"/>
      <c r="AH10" s="127"/>
      <c r="AI10" s="29"/>
    </row>
    <row r="11" spans="1:35" ht="19.5" x14ac:dyDescent="0.4">
      <c r="A11" s="85" t="s">
        <v>323</v>
      </c>
      <c r="B11" s="141"/>
      <c r="C11" s="126"/>
      <c r="D11" s="117">
        <v>46189</v>
      </c>
      <c r="E11" s="123">
        <v>1</v>
      </c>
      <c r="F11" s="123">
        <v>1</v>
      </c>
      <c r="G11" s="123"/>
      <c r="H11" s="125"/>
      <c r="I11" s="125"/>
      <c r="J11" s="125"/>
      <c r="K11" s="25">
        <v>46183</v>
      </c>
      <c r="L11" s="13" t="s">
        <v>146</v>
      </c>
      <c r="M11" s="126"/>
      <c r="O11" s="115"/>
      <c r="P11" s="115"/>
      <c r="Q11" s="127"/>
      <c r="R11" s="29"/>
      <c r="AH11" s="127"/>
      <c r="AI11" s="29"/>
    </row>
    <row r="12" spans="1:35" ht="19.5" x14ac:dyDescent="0.4">
      <c r="A12" s="85" t="s">
        <v>324</v>
      </c>
      <c r="B12" s="141"/>
      <c r="C12" s="126"/>
      <c r="D12" s="117">
        <v>46190</v>
      </c>
      <c r="E12" s="123">
        <v>1</v>
      </c>
      <c r="F12" s="123">
        <v>1</v>
      </c>
      <c r="G12" s="123"/>
      <c r="H12" s="125"/>
      <c r="I12" s="125"/>
      <c r="J12" s="125"/>
      <c r="K12" s="25">
        <v>46183</v>
      </c>
      <c r="L12" s="13" t="s">
        <v>147</v>
      </c>
      <c r="M12" s="126"/>
      <c r="N12" s="115"/>
      <c r="O12" s="115"/>
      <c r="P12" s="115"/>
      <c r="Q12" s="127"/>
      <c r="R12" s="29"/>
      <c r="AH12" s="127"/>
      <c r="AI12" s="29"/>
    </row>
    <row r="13" spans="1:35" ht="19.5" x14ac:dyDescent="0.4">
      <c r="A13" s="85" t="s">
        <v>325</v>
      </c>
      <c r="B13" s="141"/>
      <c r="C13" s="126"/>
      <c r="D13" s="117">
        <v>46191</v>
      </c>
      <c r="E13" s="123">
        <v>2</v>
      </c>
      <c r="F13" s="123">
        <v>5</v>
      </c>
      <c r="G13" s="123"/>
      <c r="H13" s="125"/>
      <c r="I13" s="125"/>
      <c r="J13" s="125"/>
      <c r="K13" s="25">
        <v>46183</v>
      </c>
      <c r="L13" s="13" t="s">
        <v>146</v>
      </c>
      <c r="M13" s="126"/>
      <c r="N13" s="115"/>
      <c r="O13" s="115"/>
      <c r="P13" s="115"/>
      <c r="Q13" s="127"/>
      <c r="R13" s="29"/>
      <c r="AH13" s="127"/>
      <c r="AI13" s="29"/>
    </row>
    <row r="14" spans="1:35" ht="19.5" x14ac:dyDescent="0.4">
      <c r="A14" s="85" t="s">
        <v>326</v>
      </c>
      <c r="B14" s="141"/>
      <c r="C14" s="126"/>
      <c r="D14" s="117">
        <v>46193</v>
      </c>
      <c r="E14" s="123">
        <v>5</v>
      </c>
      <c r="F14" s="123"/>
      <c r="G14" s="123"/>
      <c r="H14" s="125"/>
      <c r="I14" s="125"/>
      <c r="J14" s="125"/>
      <c r="K14" s="25">
        <v>46183</v>
      </c>
      <c r="L14" s="13" t="s">
        <v>146</v>
      </c>
      <c r="M14" s="126"/>
      <c r="N14" s="115"/>
      <c r="O14" s="115"/>
      <c r="P14" s="115"/>
      <c r="Q14" s="127"/>
      <c r="R14" s="29"/>
      <c r="AH14" s="127"/>
      <c r="AI14" s="29"/>
    </row>
    <row r="15" spans="1:35" ht="19.5" x14ac:dyDescent="0.4">
      <c r="A15" s="85" t="s">
        <v>327</v>
      </c>
      <c r="B15" s="141"/>
      <c r="C15" s="126"/>
      <c r="D15" s="117">
        <v>46194</v>
      </c>
      <c r="E15" s="123">
        <v>10</v>
      </c>
      <c r="F15" s="123">
        <v>8</v>
      </c>
      <c r="G15" s="123">
        <v>8</v>
      </c>
      <c r="H15" s="125"/>
      <c r="I15" s="125"/>
      <c r="J15" s="125"/>
      <c r="K15" s="25">
        <v>46183</v>
      </c>
      <c r="L15" s="13" t="s">
        <v>146</v>
      </c>
      <c r="M15" s="126"/>
      <c r="N15" s="115"/>
      <c r="O15" s="115"/>
      <c r="P15" s="115"/>
      <c r="Q15" s="127"/>
      <c r="R15" s="29"/>
      <c r="AH15" s="127"/>
      <c r="AI15" s="29"/>
    </row>
    <row r="16" spans="1:35" ht="19.5" x14ac:dyDescent="0.4">
      <c r="A16" s="85"/>
      <c r="B16" s="141"/>
      <c r="C16" s="126"/>
      <c r="D16" s="117">
        <v>46195</v>
      </c>
      <c r="E16" s="123">
        <v>1</v>
      </c>
      <c r="F16" s="123">
        <v>1</v>
      </c>
      <c r="G16" s="123">
        <v>1</v>
      </c>
      <c r="H16" s="125"/>
      <c r="I16" s="125"/>
      <c r="J16" s="125" t="s">
        <v>341</v>
      </c>
      <c r="K16" s="174">
        <f>SUBTOTAL(3,K11:K15)</f>
        <v>5</v>
      </c>
      <c r="L16" s="13">
        <f>SUBTOTAL(3,L11:L15)</f>
        <v>5</v>
      </c>
      <c r="M16" s="126"/>
      <c r="N16" s="115"/>
      <c r="O16" s="115"/>
      <c r="P16" s="115"/>
      <c r="Q16" s="127"/>
      <c r="R16" s="29"/>
      <c r="AH16" s="127"/>
      <c r="AI16" s="29"/>
    </row>
    <row r="17" spans="1:35" ht="19.5" x14ac:dyDescent="0.4">
      <c r="A17" s="85" t="s">
        <v>328</v>
      </c>
      <c r="B17" s="141"/>
      <c r="C17" s="126"/>
      <c r="D17" s="117">
        <v>46196</v>
      </c>
      <c r="E17" s="123">
        <v>1</v>
      </c>
      <c r="F17" s="123">
        <v>4</v>
      </c>
      <c r="G17" s="123"/>
      <c r="H17" s="125"/>
      <c r="I17" s="125"/>
      <c r="J17" s="125"/>
      <c r="K17" s="25">
        <v>46186</v>
      </c>
      <c r="L17" s="13" t="s">
        <v>148</v>
      </c>
      <c r="M17" s="126"/>
      <c r="N17" s="115"/>
      <c r="O17" s="115"/>
      <c r="P17" s="115"/>
      <c r="Q17" s="127"/>
      <c r="R17" s="29"/>
      <c r="AH17" s="127"/>
      <c r="AI17" s="29"/>
    </row>
    <row r="18" spans="1:35" ht="19.5" x14ac:dyDescent="0.4">
      <c r="A18" s="85"/>
      <c r="B18" s="141"/>
      <c r="C18" s="126"/>
      <c r="D18" s="117">
        <v>46197</v>
      </c>
      <c r="E18" s="123">
        <v>3</v>
      </c>
      <c r="F18" s="123">
        <v>6</v>
      </c>
      <c r="G18" s="123">
        <v>1</v>
      </c>
      <c r="H18" s="125"/>
      <c r="I18" s="125"/>
      <c r="J18" s="125" t="s">
        <v>342</v>
      </c>
      <c r="K18" s="174">
        <f>SUBTOTAL(3,K17:K17)</f>
        <v>1</v>
      </c>
      <c r="L18" s="13">
        <f>SUBTOTAL(3,L17:L17)</f>
        <v>1</v>
      </c>
      <c r="M18" s="126"/>
      <c r="N18" s="115"/>
      <c r="O18" s="115"/>
      <c r="P18" s="115"/>
      <c r="Q18" s="127"/>
      <c r="R18" s="29"/>
      <c r="AH18" s="127"/>
      <c r="AI18" s="29"/>
    </row>
    <row r="19" spans="1:35" ht="19.5" x14ac:dyDescent="0.4">
      <c r="A19" s="85" t="s">
        <v>329</v>
      </c>
      <c r="B19" s="141"/>
      <c r="C19" s="126"/>
      <c r="D19" s="117">
        <v>46199</v>
      </c>
      <c r="E19" s="123">
        <v>3</v>
      </c>
      <c r="F19" s="123">
        <v>5</v>
      </c>
      <c r="G19" s="123">
        <v>2</v>
      </c>
      <c r="H19" s="125"/>
      <c r="I19" s="125"/>
      <c r="J19" s="125"/>
      <c r="K19" s="25">
        <v>46188</v>
      </c>
      <c r="L19" s="13" t="s">
        <v>147</v>
      </c>
      <c r="M19" s="126"/>
      <c r="N19" s="115"/>
      <c r="O19" s="115"/>
      <c r="P19" s="115"/>
      <c r="Q19" s="127"/>
      <c r="R19" s="29"/>
      <c r="AH19" s="127"/>
      <c r="AI19" s="29"/>
    </row>
    <row r="20" spans="1:35" ht="19.5" x14ac:dyDescent="0.4">
      <c r="A20" s="85" t="s">
        <v>330</v>
      </c>
      <c r="B20" s="141"/>
      <c r="C20" s="126"/>
      <c r="D20" s="117">
        <v>46200</v>
      </c>
      <c r="E20" s="123">
        <v>1</v>
      </c>
      <c r="F20" s="123">
        <v>1</v>
      </c>
      <c r="G20" s="123">
        <v>3</v>
      </c>
      <c r="H20" s="125"/>
      <c r="I20" s="125"/>
      <c r="J20" s="125"/>
      <c r="K20" s="25">
        <v>46188</v>
      </c>
      <c r="L20" s="13" t="s">
        <v>148</v>
      </c>
      <c r="M20" s="126"/>
      <c r="N20" s="115"/>
      <c r="O20" s="115"/>
      <c r="P20" s="115"/>
      <c r="Q20" s="127"/>
      <c r="R20" s="29"/>
      <c r="AH20" s="127"/>
      <c r="AI20" s="29"/>
    </row>
    <row r="21" spans="1:35" ht="19.5" x14ac:dyDescent="0.4">
      <c r="A21" s="85" t="s">
        <v>331</v>
      </c>
      <c r="B21" s="141"/>
      <c r="C21" s="126"/>
      <c r="D21" s="117">
        <v>46201</v>
      </c>
      <c r="E21" s="123">
        <v>8</v>
      </c>
      <c r="F21" s="123">
        <v>6</v>
      </c>
      <c r="G21" s="123">
        <v>1</v>
      </c>
      <c r="H21" s="125"/>
      <c r="I21" s="125"/>
      <c r="J21" s="125"/>
      <c r="K21" s="25">
        <v>46188</v>
      </c>
      <c r="L21" s="13" t="s">
        <v>146</v>
      </c>
      <c r="M21" s="126"/>
      <c r="Q21" s="127"/>
      <c r="R21" s="29"/>
      <c r="AH21" s="127"/>
      <c r="AI21" s="29"/>
    </row>
    <row r="22" spans="1:35" ht="19.5" x14ac:dyDescent="0.4">
      <c r="A22" s="85" t="s">
        <v>332</v>
      </c>
      <c r="B22" s="141"/>
      <c r="C22" s="126"/>
      <c r="D22" s="117">
        <v>46202</v>
      </c>
      <c r="E22" s="123"/>
      <c r="F22" s="123"/>
      <c r="G22" s="123">
        <v>1</v>
      </c>
      <c r="H22" s="125"/>
      <c r="I22" s="125"/>
      <c r="J22" s="125"/>
      <c r="K22" s="25">
        <v>46188</v>
      </c>
      <c r="L22" s="13" t="s">
        <v>147</v>
      </c>
      <c r="M22" s="126"/>
      <c r="O22" s="115"/>
      <c r="P22" s="115"/>
      <c r="Q22" s="127"/>
      <c r="R22" s="29"/>
      <c r="AH22" s="127"/>
      <c r="AI22" s="29"/>
    </row>
    <row r="23" spans="1:35" ht="19.5" x14ac:dyDescent="0.4">
      <c r="A23" s="85" t="s">
        <v>200</v>
      </c>
      <c r="B23" s="141"/>
      <c r="C23" s="126"/>
      <c r="D23" s="117">
        <v>46203</v>
      </c>
      <c r="E23" s="123">
        <v>1</v>
      </c>
      <c r="F23" s="123"/>
      <c r="G23" s="123"/>
      <c r="H23" s="125"/>
      <c r="I23" s="177"/>
      <c r="J23" s="125"/>
      <c r="K23" s="25">
        <v>46188</v>
      </c>
      <c r="L23" s="15" t="s">
        <v>146</v>
      </c>
      <c r="M23" s="126"/>
      <c r="N23" s="115"/>
      <c r="O23" s="115"/>
      <c r="P23" s="115"/>
      <c r="Q23" s="127"/>
      <c r="R23" s="29"/>
      <c r="AH23" s="127"/>
      <c r="AI23" s="29"/>
    </row>
    <row r="24" spans="1:35" ht="19.5" x14ac:dyDescent="0.4">
      <c r="A24" s="85" t="s">
        <v>201</v>
      </c>
      <c r="B24" s="141"/>
      <c r="C24" s="126"/>
      <c r="D24" s="117">
        <v>46204</v>
      </c>
      <c r="E24" s="123"/>
      <c r="F24" s="123">
        <v>3</v>
      </c>
      <c r="G24" s="123"/>
      <c r="H24" s="125"/>
      <c r="I24" s="177"/>
      <c r="J24" s="125"/>
      <c r="K24" s="30">
        <v>46188</v>
      </c>
      <c r="L24" s="15" t="s">
        <v>148</v>
      </c>
      <c r="M24" s="126"/>
      <c r="N24" s="115"/>
      <c r="O24" s="115"/>
      <c r="P24" s="115"/>
      <c r="Q24" s="127"/>
      <c r="R24" s="29"/>
      <c r="AG24" s="115"/>
      <c r="AH24" s="29"/>
      <c r="AI24" s="29"/>
    </row>
    <row r="25" spans="1:35" ht="19.5" x14ac:dyDescent="0.4">
      <c r="A25" s="85" t="s">
        <v>202</v>
      </c>
      <c r="B25" s="141"/>
      <c r="C25" s="126"/>
      <c r="D25" s="117">
        <v>46206</v>
      </c>
      <c r="E25" s="123"/>
      <c r="F25" s="123">
        <v>1</v>
      </c>
      <c r="G25" s="123"/>
      <c r="H25" s="125"/>
      <c r="I25" s="177"/>
      <c r="J25" s="125"/>
      <c r="K25" s="25">
        <v>46188</v>
      </c>
      <c r="L25" s="13" t="s">
        <v>146</v>
      </c>
      <c r="M25" s="126"/>
      <c r="N25" s="115"/>
      <c r="O25" s="115"/>
      <c r="P25" s="115"/>
      <c r="Q25" s="127"/>
      <c r="R25" s="29"/>
      <c r="AG25" s="115"/>
      <c r="AH25" s="29"/>
      <c r="AI25" s="29"/>
    </row>
    <row r="26" spans="1:35" ht="19.5" x14ac:dyDescent="0.4">
      <c r="A26" s="85" t="s">
        <v>204</v>
      </c>
      <c r="B26" s="141"/>
      <c r="C26" s="126"/>
      <c r="D26" s="117">
        <v>46211</v>
      </c>
      <c r="E26" s="123">
        <v>1</v>
      </c>
      <c r="F26" s="123"/>
      <c r="G26" s="123"/>
      <c r="H26" s="125"/>
      <c r="I26" s="177"/>
      <c r="J26" s="125"/>
      <c r="K26" s="25">
        <v>46188</v>
      </c>
      <c r="L26" s="13" t="s">
        <v>148</v>
      </c>
      <c r="M26" s="126"/>
      <c r="N26" s="115"/>
      <c r="O26" s="115"/>
      <c r="P26" s="115"/>
      <c r="Q26" s="127"/>
      <c r="R26" s="29"/>
      <c r="AG26" s="115"/>
      <c r="AH26" s="29"/>
      <c r="AI26" s="29"/>
    </row>
    <row r="27" spans="1:35" ht="19.5" x14ac:dyDescent="0.4">
      <c r="A27" s="85" t="s">
        <v>205</v>
      </c>
      <c r="B27" s="141"/>
      <c r="C27" s="126"/>
      <c r="D27" s="117">
        <v>46213</v>
      </c>
      <c r="E27" s="123"/>
      <c r="F27" s="123">
        <v>1</v>
      </c>
      <c r="G27" s="123"/>
      <c r="H27" s="125"/>
      <c r="I27" s="177"/>
      <c r="J27" s="125"/>
      <c r="K27" s="25">
        <v>46188</v>
      </c>
      <c r="L27" s="13" t="s">
        <v>148</v>
      </c>
      <c r="M27" s="126"/>
      <c r="N27" s="115"/>
      <c r="O27" s="115"/>
      <c r="P27" s="115"/>
      <c r="Q27" s="127"/>
      <c r="R27" s="29"/>
      <c r="AG27" s="115"/>
      <c r="AH27" s="29"/>
      <c r="AI27" s="29"/>
    </row>
    <row r="28" spans="1:35" ht="19.5" x14ac:dyDescent="0.4">
      <c r="A28" s="85" t="s">
        <v>240</v>
      </c>
      <c r="B28" s="141"/>
      <c r="C28" s="126"/>
      <c r="D28" s="117">
        <v>46223</v>
      </c>
      <c r="E28" s="123">
        <v>1</v>
      </c>
      <c r="F28" s="123"/>
      <c r="G28" s="123"/>
      <c r="H28" s="125"/>
      <c r="I28" s="177"/>
      <c r="J28" s="125"/>
      <c r="K28" s="25">
        <v>46188</v>
      </c>
      <c r="L28" s="13" t="s">
        <v>146</v>
      </c>
      <c r="M28" s="126"/>
      <c r="N28" s="115"/>
      <c r="O28" s="115"/>
      <c r="P28" s="115"/>
      <c r="Q28" s="127"/>
      <c r="R28" s="29"/>
      <c r="AG28" s="115"/>
      <c r="AH28" s="29"/>
      <c r="AI28" s="29"/>
    </row>
    <row r="29" spans="1:35" ht="19.5" x14ac:dyDescent="0.4">
      <c r="A29" s="85" t="s">
        <v>241</v>
      </c>
      <c r="B29" s="141"/>
      <c r="C29" s="126"/>
      <c r="D29" s="117">
        <v>46232</v>
      </c>
      <c r="E29" s="123">
        <v>1</v>
      </c>
      <c r="F29" s="123"/>
      <c r="G29" s="123"/>
      <c r="H29" s="125"/>
      <c r="I29" s="125"/>
      <c r="J29" s="125"/>
      <c r="K29" s="25">
        <v>46188</v>
      </c>
      <c r="L29" s="13" t="s">
        <v>146</v>
      </c>
      <c r="M29" s="126"/>
      <c r="N29" s="115"/>
      <c r="O29" s="115"/>
      <c r="P29" s="115"/>
      <c r="Q29" s="127"/>
      <c r="R29" s="29"/>
      <c r="AG29" s="115"/>
      <c r="AH29" s="29"/>
      <c r="AI29" s="29"/>
    </row>
    <row r="30" spans="1:35" ht="19.5" x14ac:dyDescent="0.4">
      <c r="A30" s="85" t="s">
        <v>242</v>
      </c>
      <c r="B30" s="141"/>
      <c r="C30" s="126"/>
      <c r="D30" s="117"/>
      <c r="E30" s="123">
        <f>SUM(E6:E29)</f>
        <v>53</v>
      </c>
      <c r="F30" s="123">
        <f>SUM(F6:F29)</f>
        <v>49</v>
      </c>
      <c r="G30" s="123">
        <f>SUM(G6:G29)</f>
        <v>24</v>
      </c>
      <c r="H30" s="125"/>
      <c r="I30" s="125"/>
      <c r="J30" s="125"/>
      <c r="K30" s="25">
        <v>46188</v>
      </c>
      <c r="L30" s="13" t="s">
        <v>148</v>
      </c>
      <c r="M30" s="126"/>
      <c r="N30" s="115"/>
      <c r="O30" s="115"/>
      <c r="P30" s="115"/>
      <c r="Q30" s="127"/>
      <c r="R30" s="29"/>
      <c r="AG30" s="115"/>
      <c r="AH30" s="29"/>
      <c r="AI30" s="29"/>
    </row>
    <row r="31" spans="1:35" ht="19.5" x14ac:dyDescent="0.4">
      <c r="A31" s="85" t="s">
        <v>243</v>
      </c>
      <c r="B31" s="141"/>
      <c r="C31" s="126"/>
      <c r="D31" s="117"/>
      <c r="E31" s="123"/>
      <c r="F31" s="123"/>
      <c r="G31" s="123">
        <f>SUM(E30:G30)</f>
        <v>126</v>
      </c>
      <c r="H31" s="125"/>
      <c r="I31" s="125"/>
      <c r="J31" s="125"/>
      <c r="K31" s="25">
        <v>46188</v>
      </c>
      <c r="L31" s="13" t="s">
        <v>146</v>
      </c>
      <c r="M31" s="126"/>
      <c r="N31" s="115"/>
      <c r="O31" s="115"/>
      <c r="P31" s="115"/>
      <c r="Q31" s="127"/>
      <c r="R31" s="29"/>
      <c r="AG31" s="115"/>
      <c r="AH31" s="29"/>
      <c r="AI31" s="29"/>
    </row>
    <row r="32" spans="1:35" ht="19.5" x14ac:dyDescent="0.4">
      <c r="A32" s="85"/>
      <c r="B32" s="141"/>
      <c r="C32" s="126"/>
      <c r="D32" s="117"/>
      <c r="E32" s="123"/>
      <c r="F32" s="123"/>
      <c r="G32" s="123"/>
      <c r="H32" s="125"/>
      <c r="I32" s="125"/>
      <c r="J32" s="125" t="s">
        <v>343</v>
      </c>
      <c r="K32" s="174">
        <f>SUBTOTAL(3,K19:K31)</f>
        <v>13</v>
      </c>
      <c r="L32" s="13">
        <f>SUBTOTAL(3,L19:L31)</f>
        <v>13</v>
      </c>
      <c r="M32" s="126"/>
      <c r="N32" s="115"/>
      <c r="O32" s="115"/>
      <c r="P32" s="115"/>
      <c r="Q32" s="127"/>
      <c r="R32" s="29"/>
      <c r="AG32" s="115"/>
      <c r="AH32" s="29"/>
      <c r="AI32" s="29"/>
    </row>
    <row r="33" spans="1:35" ht="19.5" x14ac:dyDescent="0.4">
      <c r="A33" s="85" t="s">
        <v>244</v>
      </c>
      <c r="B33" s="141"/>
      <c r="C33" s="126"/>
      <c r="D33" s="117"/>
      <c r="E33" s="123"/>
      <c r="F33" s="123"/>
      <c r="G33" s="123"/>
      <c r="H33" s="125"/>
      <c r="I33" s="125"/>
      <c r="J33" s="125"/>
      <c r="K33" s="25">
        <v>46189</v>
      </c>
      <c r="L33" s="13" t="s">
        <v>146</v>
      </c>
      <c r="M33" s="126"/>
      <c r="N33" s="115"/>
      <c r="O33" s="115"/>
      <c r="P33" s="115"/>
      <c r="Q33" s="127"/>
      <c r="R33" s="29"/>
      <c r="AG33" s="115"/>
      <c r="AH33" s="29"/>
      <c r="AI33" s="29"/>
    </row>
    <row r="34" spans="1:35" ht="19.5" x14ac:dyDescent="0.4">
      <c r="A34" s="85" t="s">
        <v>245</v>
      </c>
      <c r="B34" s="141"/>
      <c r="C34" s="126"/>
      <c r="D34" s="117"/>
      <c r="E34" s="123"/>
      <c r="F34" s="123"/>
      <c r="G34" s="123"/>
      <c r="H34" s="125"/>
      <c r="I34" s="125"/>
      <c r="J34" s="125"/>
      <c r="K34" s="25">
        <v>46189</v>
      </c>
      <c r="L34" s="13" t="s">
        <v>147</v>
      </c>
      <c r="M34" s="126"/>
      <c r="N34" s="115"/>
      <c r="O34" s="115"/>
      <c r="P34" s="115"/>
      <c r="Q34" s="127"/>
      <c r="R34" s="29"/>
      <c r="AG34" s="115"/>
      <c r="AH34" s="29"/>
      <c r="AI34" s="29"/>
    </row>
    <row r="35" spans="1:35" ht="19.5" x14ac:dyDescent="0.4">
      <c r="A35" s="85"/>
      <c r="B35" s="141"/>
      <c r="C35" s="126"/>
      <c r="D35" s="117"/>
      <c r="E35" s="123"/>
      <c r="F35" s="123"/>
      <c r="G35" s="123"/>
      <c r="H35" s="125"/>
      <c r="I35" s="125"/>
      <c r="J35" s="125" t="s">
        <v>344</v>
      </c>
      <c r="K35" s="174">
        <f>SUBTOTAL(3,K33:K34)</f>
        <v>2</v>
      </c>
      <c r="L35" s="13">
        <f>SUBTOTAL(3,L33:L34)</f>
        <v>2</v>
      </c>
      <c r="M35" s="126"/>
      <c r="N35" s="115"/>
      <c r="O35" s="115"/>
      <c r="P35" s="115"/>
      <c r="Q35" s="127"/>
      <c r="R35" s="29"/>
      <c r="AG35" s="115"/>
      <c r="AH35" s="29"/>
      <c r="AI35" s="29"/>
    </row>
    <row r="36" spans="1:35" ht="19.5" x14ac:dyDescent="0.4">
      <c r="A36" s="85" t="s">
        <v>206</v>
      </c>
      <c r="B36" s="141"/>
      <c r="C36" s="126"/>
      <c r="D36" s="117"/>
      <c r="E36" s="123"/>
      <c r="F36" s="123"/>
      <c r="G36" s="123"/>
      <c r="H36" s="125"/>
      <c r="I36" s="125"/>
      <c r="J36" s="125"/>
      <c r="K36" s="25">
        <v>46190</v>
      </c>
      <c r="L36" s="13" t="s">
        <v>146</v>
      </c>
      <c r="M36" s="126"/>
      <c r="N36" s="115"/>
      <c r="O36" s="115"/>
      <c r="P36" s="115"/>
      <c r="Q36" s="127"/>
      <c r="R36" s="29"/>
      <c r="AG36" s="115"/>
      <c r="AH36" s="29"/>
      <c r="AI36" s="29"/>
    </row>
    <row r="37" spans="1:35" ht="19.5" x14ac:dyDescent="0.4">
      <c r="A37" s="85" t="s">
        <v>207</v>
      </c>
      <c r="B37" s="141"/>
      <c r="C37" s="126"/>
      <c r="D37" s="117"/>
      <c r="E37" s="123"/>
      <c r="F37" s="123"/>
      <c r="G37" s="123"/>
      <c r="H37" s="125"/>
      <c r="I37" s="125"/>
      <c r="J37" s="125"/>
      <c r="K37" s="25">
        <v>46190</v>
      </c>
      <c r="L37" s="13" t="s">
        <v>147</v>
      </c>
      <c r="M37" s="126"/>
      <c r="N37" s="115"/>
      <c r="O37" s="115"/>
      <c r="P37" s="115"/>
      <c r="Q37" s="127"/>
      <c r="R37" s="29"/>
      <c r="AG37" s="115"/>
      <c r="AH37" s="29"/>
      <c r="AI37" s="29"/>
    </row>
    <row r="38" spans="1:35" ht="19.5" x14ac:dyDescent="0.4">
      <c r="A38" s="85"/>
      <c r="B38" s="141"/>
      <c r="C38" s="126"/>
      <c r="D38" s="117"/>
      <c r="E38" s="123"/>
      <c r="F38" s="123"/>
      <c r="G38" s="123"/>
      <c r="H38" s="125"/>
      <c r="I38" s="125"/>
      <c r="J38" s="125" t="s">
        <v>345</v>
      </c>
      <c r="K38" s="174">
        <f>SUBTOTAL(3,K36:K37)</f>
        <v>2</v>
      </c>
      <c r="L38" s="13">
        <f>SUBTOTAL(3,L36:L37)</f>
        <v>2</v>
      </c>
      <c r="M38" s="126"/>
      <c r="N38" s="115"/>
      <c r="O38" s="115"/>
      <c r="P38" s="115"/>
      <c r="Q38" s="127"/>
      <c r="R38" s="29"/>
      <c r="AG38" s="115"/>
      <c r="AH38" s="29"/>
      <c r="AI38" s="29"/>
    </row>
    <row r="39" spans="1:35" ht="19.5" x14ac:dyDescent="0.4">
      <c r="A39" s="85" t="s">
        <v>208</v>
      </c>
      <c r="B39" s="141"/>
      <c r="C39" s="126"/>
      <c r="D39" s="117"/>
      <c r="E39" s="123"/>
      <c r="F39" s="123"/>
      <c r="G39" s="123"/>
      <c r="H39" s="125"/>
      <c r="I39" s="125"/>
      <c r="J39" s="125"/>
      <c r="K39" s="25">
        <v>46191</v>
      </c>
      <c r="L39" s="13" t="s">
        <v>147</v>
      </c>
      <c r="M39" s="126"/>
      <c r="N39" s="115"/>
      <c r="O39" s="115"/>
      <c r="P39" s="115"/>
      <c r="Q39" s="127"/>
      <c r="R39" s="29"/>
      <c r="AF39" s="115"/>
      <c r="AG39" s="115"/>
      <c r="AH39" s="127"/>
      <c r="AI39" s="29"/>
    </row>
    <row r="40" spans="1:35" ht="19.5" x14ac:dyDescent="0.4">
      <c r="A40" s="85" t="s">
        <v>209</v>
      </c>
      <c r="B40" s="141"/>
      <c r="C40" s="126"/>
      <c r="D40" s="117"/>
      <c r="E40" s="123"/>
      <c r="F40" s="123"/>
      <c r="G40" s="123"/>
      <c r="H40" s="125"/>
      <c r="I40" s="125"/>
      <c r="J40" s="125"/>
      <c r="K40" s="25">
        <v>46191</v>
      </c>
      <c r="L40" s="13" t="s">
        <v>147</v>
      </c>
      <c r="M40" s="126"/>
      <c r="N40" s="115"/>
      <c r="O40" s="115"/>
      <c r="P40" s="115"/>
      <c r="Q40" s="127"/>
      <c r="R40" s="29"/>
      <c r="AF40" s="115"/>
      <c r="AG40" s="115"/>
      <c r="AH40" s="127"/>
      <c r="AI40" s="29"/>
    </row>
    <row r="41" spans="1:35" ht="19.5" x14ac:dyDescent="0.4">
      <c r="A41" s="85" t="s">
        <v>210</v>
      </c>
      <c r="B41" s="141"/>
      <c r="C41" s="126"/>
      <c r="D41" s="117"/>
      <c r="E41" s="123"/>
      <c r="F41" s="123"/>
      <c r="G41" s="123"/>
      <c r="H41" s="125"/>
      <c r="I41" s="125"/>
      <c r="J41" s="125"/>
      <c r="K41" s="25">
        <v>46191</v>
      </c>
      <c r="L41" s="13" t="s">
        <v>147</v>
      </c>
      <c r="M41" s="126"/>
      <c r="N41" s="115"/>
      <c r="O41" s="115"/>
      <c r="P41" s="115"/>
      <c r="Q41" s="127"/>
      <c r="R41" s="29"/>
      <c r="AF41" s="115"/>
      <c r="AG41" s="115"/>
      <c r="AH41" s="127"/>
      <c r="AI41" s="29"/>
    </row>
    <row r="42" spans="1:35" ht="19.5" x14ac:dyDescent="0.4">
      <c r="A42" s="85" t="s">
        <v>211</v>
      </c>
      <c r="B42" s="141"/>
      <c r="C42" s="126"/>
      <c r="D42" s="117"/>
      <c r="E42" s="123"/>
      <c r="F42" s="123"/>
      <c r="G42" s="123"/>
      <c r="K42" s="25">
        <v>46191</v>
      </c>
      <c r="L42" s="13" t="s">
        <v>147</v>
      </c>
      <c r="M42" s="115"/>
      <c r="N42" s="115"/>
      <c r="O42" s="115"/>
      <c r="P42" s="115"/>
      <c r="Q42" s="127"/>
      <c r="R42" s="29"/>
      <c r="AF42" s="115"/>
      <c r="AG42" s="115"/>
      <c r="AH42" s="127"/>
      <c r="AI42" s="29"/>
    </row>
    <row r="43" spans="1:35" ht="19.5" x14ac:dyDescent="0.4">
      <c r="A43" s="85" t="s">
        <v>212</v>
      </c>
      <c r="B43" s="141"/>
      <c r="C43" s="126"/>
      <c r="D43" s="117"/>
      <c r="E43" s="123"/>
      <c r="F43" s="123"/>
      <c r="G43" s="123"/>
      <c r="K43" s="25">
        <v>46191</v>
      </c>
      <c r="L43" s="13" t="s">
        <v>146</v>
      </c>
      <c r="M43" s="115"/>
      <c r="N43" s="115"/>
      <c r="O43" s="115"/>
      <c r="P43" s="115"/>
      <c r="Q43" s="127"/>
      <c r="R43" s="29"/>
      <c r="AF43" s="115"/>
      <c r="AG43" s="115"/>
      <c r="AH43" s="127"/>
      <c r="AI43" s="29"/>
    </row>
    <row r="44" spans="1:35" ht="19.5" x14ac:dyDescent="0.4">
      <c r="A44" s="85" t="s">
        <v>213</v>
      </c>
      <c r="B44" s="141"/>
      <c r="C44" s="126"/>
      <c r="D44" s="117"/>
      <c r="E44" s="123"/>
      <c r="F44" s="123"/>
      <c r="G44" s="123"/>
      <c r="K44" s="30">
        <v>46191</v>
      </c>
      <c r="L44" s="13" t="s">
        <v>147</v>
      </c>
      <c r="M44" s="115"/>
      <c r="N44" s="115"/>
      <c r="O44" s="115"/>
      <c r="P44" s="115"/>
      <c r="Q44" s="127"/>
      <c r="R44" s="29"/>
      <c r="AF44" s="115"/>
      <c r="AG44" s="115"/>
      <c r="AH44" s="127"/>
      <c r="AI44" s="29"/>
    </row>
    <row r="45" spans="1:35" ht="19.5" x14ac:dyDescent="0.4">
      <c r="A45" s="85" t="s">
        <v>214</v>
      </c>
      <c r="B45" s="141"/>
      <c r="C45" s="126"/>
      <c r="D45" s="117"/>
      <c r="E45" s="123"/>
      <c r="F45" s="123"/>
      <c r="G45" s="123"/>
      <c r="K45" s="25">
        <v>46191</v>
      </c>
      <c r="L45" s="13" t="s">
        <v>146</v>
      </c>
      <c r="M45" s="115"/>
      <c r="N45" s="115"/>
      <c r="O45" s="115"/>
      <c r="P45" s="115"/>
      <c r="Q45" s="127"/>
      <c r="R45" s="29"/>
      <c r="AF45" s="115"/>
      <c r="AG45" s="115"/>
      <c r="AH45" s="29"/>
      <c r="AI45" s="29"/>
    </row>
    <row r="46" spans="1:35" ht="19.5" x14ac:dyDescent="0.4">
      <c r="A46" s="85"/>
      <c r="B46" s="141"/>
      <c r="C46" s="126"/>
      <c r="D46" s="117"/>
      <c r="E46" s="123"/>
      <c r="F46" s="123"/>
      <c r="G46" s="123"/>
      <c r="J46" s="115" t="s">
        <v>346</v>
      </c>
      <c r="K46" s="174">
        <f>SUBTOTAL(3,K39:K45)</f>
        <v>7</v>
      </c>
      <c r="L46" s="13">
        <f>SUBTOTAL(3,L39:L45)</f>
        <v>7</v>
      </c>
      <c r="M46" s="115"/>
      <c r="N46" s="115"/>
      <c r="O46" s="115"/>
      <c r="P46" s="115"/>
      <c r="Q46" s="127"/>
      <c r="R46" s="29"/>
      <c r="AF46" s="115"/>
      <c r="AG46" s="115"/>
      <c r="AH46" s="29"/>
      <c r="AI46" s="29"/>
    </row>
    <row r="47" spans="1:35" ht="19.5" x14ac:dyDescent="0.4">
      <c r="A47" s="85" t="s">
        <v>215</v>
      </c>
      <c r="B47" s="141"/>
      <c r="C47" s="126"/>
      <c r="D47" s="117"/>
      <c r="E47" s="123"/>
      <c r="F47" s="123"/>
      <c r="G47" s="123"/>
      <c r="K47" s="25">
        <v>46193</v>
      </c>
      <c r="L47" s="13" t="s">
        <v>146</v>
      </c>
      <c r="M47" s="115"/>
      <c r="N47" s="115"/>
      <c r="O47" s="115"/>
      <c r="P47" s="115"/>
      <c r="Q47" s="127"/>
      <c r="R47" s="29"/>
      <c r="AF47" s="115"/>
      <c r="AG47" s="115"/>
      <c r="AH47" s="29"/>
      <c r="AI47" s="29"/>
    </row>
    <row r="48" spans="1:35" ht="19.5" x14ac:dyDescent="0.4">
      <c r="A48" s="85" t="s">
        <v>246</v>
      </c>
      <c r="B48" s="141"/>
      <c r="C48" s="126"/>
      <c r="D48" s="117"/>
      <c r="E48" s="123"/>
      <c r="F48" s="123"/>
      <c r="G48" s="123"/>
      <c r="K48" s="25">
        <v>46193</v>
      </c>
      <c r="L48" s="13" t="s">
        <v>146</v>
      </c>
      <c r="M48" s="115"/>
      <c r="N48" s="115"/>
      <c r="O48" s="115"/>
      <c r="P48" s="115"/>
      <c r="Q48" s="127"/>
      <c r="R48" s="29"/>
      <c r="AF48" s="115"/>
      <c r="AG48" s="115"/>
      <c r="AH48" s="29"/>
      <c r="AI48" s="29"/>
    </row>
    <row r="49" spans="1:35" ht="19.5" x14ac:dyDescent="0.4">
      <c r="A49" s="85" t="s">
        <v>248</v>
      </c>
      <c r="B49" s="141"/>
      <c r="C49" s="126"/>
      <c r="D49" s="126"/>
      <c r="E49" s="126"/>
      <c r="K49" s="25">
        <v>46193</v>
      </c>
      <c r="L49" s="13" t="s">
        <v>146</v>
      </c>
      <c r="M49" s="115"/>
      <c r="N49" s="115"/>
      <c r="O49" s="115"/>
      <c r="P49" s="115"/>
      <c r="Q49" s="127"/>
      <c r="R49" s="29"/>
      <c r="AF49" s="115"/>
      <c r="AG49" s="115"/>
      <c r="AH49" s="29"/>
      <c r="AI49" s="29"/>
    </row>
    <row r="50" spans="1:35" ht="19.5" x14ac:dyDescent="0.4">
      <c r="A50" s="85" t="s">
        <v>249</v>
      </c>
      <c r="B50" s="141"/>
      <c r="C50" s="126"/>
      <c r="D50" s="126"/>
      <c r="E50" s="126"/>
      <c r="K50" s="25">
        <v>46193</v>
      </c>
      <c r="L50" s="13" t="s">
        <v>146</v>
      </c>
      <c r="M50" s="115"/>
      <c r="N50" s="115"/>
      <c r="O50" s="115"/>
      <c r="P50" s="115"/>
      <c r="Q50" s="127"/>
      <c r="R50" s="29"/>
      <c r="AF50" s="115"/>
      <c r="AG50" s="115"/>
      <c r="AH50" s="29"/>
      <c r="AI50" s="29"/>
    </row>
    <row r="51" spans="1:35" ht="19.5" x14ac:dyDescent="0.4">
      <c r="A51" s="85" t="s">
        <v>268</v>
      </c>
      <c r="B51" s="141"/>
      <c r="C51" s="126"/>
      <c r="D51" s="126"/>
      <c r="E51" s="126"/>
      <c r="K51" s="25">
        <v>46193</v>
      </c>
      <c r="L51" s="13" t="s">
        <v>146</v>
      </c>
      <c r="M51" s="115"/>
      <c r="N51" s="115"/>
      <c r="O51" s="115"/>
      <c r="P51" s="115"/>
      <c r="Q51" s="127"/>
      <c r="R51" s="29"/>
      <c r="AF51" s="115"/>
      <c r="AG51" s="115"/>
      <c r="AH51" s="29"/>
      <c r="AI51" s="29"/>
    </row>
    <row r="52" spans="1:35" ht="19.5" x14ac:dyDescent="0.4">
      <c r="A52" s="85"/>
      <c r="B52" s="141"/>
      <c r="C52" s="126"/>
      <c r="D52" s="126"/>
      <c r="E52" s="126"/>
      <c r="J52" s="115" t="s">
        <v>347</v>
      </c>
      <c r="K52" s="174">
        <f>SUBTOTAL(3,K47:K51)</f>
        <v>5</v>
      </c>
      <c r="L52" s="13">
        <f>SUBTOTAL(3,L47:L51)</f>
        <v>5</v>
      </c>
      <c r="M52" s="115"/>
      <c r="N52" s="115"/>
      <c r="O52" s="115"/>
      <c r="P52" s="115"/>
      <c r="Q52" s="127"/>
      <c r="R52" s="29"/>
      <c r="AF52" s="115"/>
      <c r="AG52" s="115"/>
      <c r="AH52" s="29"/>
      <c r="AI52" s="29"/>
    </row>
    <row r="53" spans="1:35" ht="19.5" x14ac:dyDescent="0.4">
      <c r="A53" s="85" t="s">
        <v>250</v>
      </c>
      <c r="B53" s="141"/>
      <c r="C53" s="126"/>
      <c r="D53" s="126"/>
      <c r="E53" s="126"/>
      <c r="I53" s="115"/>
      <c r="J53" s="115"/>
      <c r="K53" s="25">
        <v>46194</v>
      </c>
      <c r="L53" s="13" t="s">
        <v>147</v>
      </c>
      <c r="M53" s="115"/>
      <c r="N53" s="115"/>
      <c r="O53" s="115"/>
      <c r="P53" s="115"/>
      <c r="Q53" s="127"/>
      <c r="R53" s="29"/>
      <c r="AF53" s="115"/>
      <c r="AG53" s="115"/>
      <c r="AH53" s="29"/>
      <c r="AI53" s="29"/>
    </row>
    <row r="54" spans="1:35" ht="19.5" x14ac:dyDescent="0.4">
      <c r="A54" s="85" t="s">
        <v>216</v>
      </c>
      <c r="B54" s="141"/>
      <c r="C54" s="126"/>
      <c r="D54" s="126"/>
      <c r="E54" s="126"/>
      <c r="K54" s="25">
        <v>46194</v>
      </c>
      <c r="L54" s="13" t="s">
        <v>147</v>
      </c>
      <c r="M54" s="115"/>
      <c r="N54" s="115"/>
      <c r="O54" s="115"/>
      <c r="P54" s="115"/>
      <c r="Q54" s="127"/>
      <c r="R54" s="29"/>
      <c r="AF54" s="115"/>
      <c r="AG54" s="115"/>
      <c r="AH54" s="29"/>
      <c r="AI54" s="29"/>
    </row>
    <row r="55" spans="1:35" ht="19.5" x14ac:dyDescent="0.4">
      <c r="A55" s="85" t="s">
        <v>217</v>
      </c>
      <c r="B55" s="141"/>
      <c r="C55" s="126"/>
      <c r="D55" s="126"/>
      <c r="E55" s="126"/>
      <c r="K55" s="25">
        <v>46194</v>
      </c>
      <c r="L55" s="15" t="s">
        <v>148</v>
      </c>
      <c r="M55" s="115"/>
      <c r="N55" s="115"/>
      <c r="O55" s="115"/>
      <c r="P55" s="115"/>
      <c r="Q55" s="127"/>
      <c r="R55" s="29"/>
      <c r="AF55" s="115"/>
      <c r="AG55" s="115"/>
      <c r="AH55" s="29"/>
      <c r="AI55" s="29"/>
    </row>
    <row r="56" spans="1:35" ht="19.5" x14ac:dyDescent="0.4">
      <c r="A56" s="85" t="s">
        <v>251</v>
      </c>
      <c r="B56" s="141"/>
      <c r="C56" s="126"/>
      <c r="D56" s="126"/>
      <c r="E56" s="126"/>
      <c r="K56" s="25">
        <v>46194</v>
      </c>
      <c r="L56" s="132" t="s">
        <v>148</v>
      </c>
      <c r="M56" s="115"/>
      <c r="N56" s="115"/>
      <c r="O56" s="115"/>
      <c r="P56" s="115"/>
      <c r="Q56" s="127"/>
      <c r="R56" s="29"/>
      <c r="AF56" s="115"/>
      <c r="AG56" s="115"/>
      <c r="AH56" s="29"/>
      <c r="AI56" s="29"/>
    </row>
    <row r="57" spans="1:35" ht="19.5" x14ac:dyDescent="0.4">
      <c r="A57" s="85" t="s">
        <v>252</v>
      </c>
      <c r="B57" s="141"/>
      <c r="C57" s="126"/>
      <c r="D57" s="126"/>
      <c r="E57" s="126"/>
      <c r="K57" s="25">
        <v>46194</v>
      </c>
      <c r="L57" s="15" t="s">
        <v>146</v>
      </c>
      <c r="M57" s="115"/>
      <c r="N57" s="115"/>
      <c r="O57" s="115"/>
      <c r="P57" s="115"/>
      <c r="Q57" s="127"/>
      <c r="R57" s="29"/>
      <c r="AF57" s="115"/>
      <c r="AG57" s="115"/>
      <c r="AH57" s="29"/>
      <c r="AI57" s="29"/>
    </row>
    <row r="58" spans="1:35" ht="19.5" x14ac:dyDescent="0.4">
      <c r="A58" s="85" t="s">
        <v>298</v>
      </c>
      <c r="B58" s="141"/>
      <c r="C58" s="126"/>
      <c r="D58" s="126"/>
      <c r="E58" s="126"/>
      <c r="K58" s="25">
        <v>46194</v>
      </c>
      <c r="L58" s="15" t="s">
        <v>147</v>
      </c>
      <c r="M58" s="115"/>
      <c r="N58" s="115"/>
      <c r="O58" s="115"/>
      <c r="P58" s="115"/>
      <c r="Q58" s="127"/>
      <c r="R58" s="29"/>
      <c r="AE58" s="115"/>
      <c r="AF58" s="115"/>
      <c r="AG58" s="115"/>
      <c r="AH58" s="127"/>
      <c r="AI58" s="29"/>
    </row>
    <row r="59" spans="1:35" ht="19.5" x14ac:dyDescent="0.4">
      <c r="A59" s="85" t="s">
        <v>299</v>
      </c>
      <c r="B59" s="141"/>
      <c r="C59" s="126"/>
      <c r="D59" s="126"/>
      <c r="E59" s="126"/>
      <c r="K59" s="25">
        <v>46194</v>
      </c>
      <c r="L59" s="15" t="s">
        <v>148</v>
      </c>
      <c r="M59" s="115"/>
      <c r="N59" s="115"/>
      <c r="O59" s="115"/>
      <c r="P59" s="115"/>
      <c r="Q59" s="127"/>
      <c r="R59" s="29"/>
      <c r="AE59" s="115"/>
      <c r="AF59" s="115"/>
      <c r="AG59" s="115"/>
      <c r="AH59" s="127"/>
      <c r="AI59" s="29"/>
    </row>
    <row r="60" spans="1:35" ht="19.5" x14ac:dyDescent="0.4">
      <c r="A60" s="85" t="s">
        <v>300</v>
      </c>
      <c r="B60" s="141"/>
      <c r="C60" s="126"/>
      <c r="D60" s="126"/>
      <c r="E60" s="126"/>
      <c r="K60" s="25">
        <v>46194</v>
      </c>
      <c r="L60" s="15" t="s">
        <v>146</v>
      </c>
      <c r="M60" s="115"/>
      <c r="N60" s="115"/>
      <c r="O60" s="115"/>
      <c r="P60" s="115"/>
      <c r="Q60" s="127"/>
      <c r="R60" s="29"/>
      <c r="AE60" s="115"/>
      <c r="AF60" s="115"/>
      <c r="AG60" s="115"/>
      <c r="AH60" s="127"/>
      <c r="AI60" s="29"/>
    </row>
    <row r="61" spans="1:35" ht="19.5" x14ac:dyDescent="0.4">
      <c r="A61" s="85" t="s">
        <v>301</v>
      </c>
      <c r="B61" s="141"/>
      <c r="C61" s="126"/>
      <c r="D61" s="126"/>
      <c r="E61" s="126"/>
      <c r="K61" s="25">
        <v>46194</v>
      </c>
      <c r="L61" s="15" t="s">
        <v>146</v>
      </c>
      <c r="M61" s="115"/>
      <c r="N61" s="115"/>
      <c r="O61" s="115"/>
      <c r="P61" s="115"/>
      <c r="Q61" s="127"/>
      <c r="R61" s="29"/>
      <c r="AE61" s="115"/>
      <c r="AF61" s="115"/>
      <c r="AG61" s="115"/>
      <c r="AH61" s="127"/>
      <c r="AI61" s="29"/>
    </row>
    <row r="62" spans="1:35" ht="19.5" x14ac:dyDescent="0.4">
      <c r="A62" s="85" t="s">
        <v>302</v>
      </c>
      <c r="B62" s="141"/>
      <c r="C62" s="126"/>
      <c r="D62" s="126"/>
      <c r="E62" s="126"/>
      <c r="I62" s="115"/>
      <c r="J62" s="115"/>
      <c r="K62" s="25">
        <v>46194</v>
      </c>
      <c r="L62" s="15" t="s">
        <v>147</v>
      </c>
      <c r="M62" s="115"/>
      <c r="N62" s="115"/>
      <c r="O62" s="115"/>
      <c r="P62" s="115"/>
      <c r="Q62" s="127"/>
      <c r="R62" s="29"/>
      <c r="AE62" s="115"/>
      <c r="AF62" s="115"/>
      <c r="AG62" s="115"/>
      <c r="AH62" s="127"/>
      <c r="AI62" s="29"/>
    </row>
    <row r="63" spans="1:35" ht="19.5" x14ac:dyDescent="0.4">
      <c r="A63" s="85" t="s">
        <v>303</v>
      </c>
      <c r="B63" s="141"/>
      <c r="C63" s="126"/>
      <c r="D63" s="126"/>
      <c r="E63" s="126"/>
      <c r="K63" s="30">
        <v>46194</v>
      </c>
      <c r="L63" s="15" t="s">
        <v>146</v>
      </c>
      <c r="M63" s="115"/>
      <c r="N63" s="115"/>
      <c r="O63" s="115"/>
      <c r="P63" s="115"/>
      <c r="Q63" s="127"/>
      <c r="R63" s="29"/>
      <c r="AE63" s="115"/>
      <c r="AF63" s="115"/>
      <c r="AG63" s="115"/>
      <c r="AH63" s="127"/>
      <c r="AI63" s="29"/>
    </row>
    <row r="64" spans="1:35" ht="19.5" x14ac:dyDescent="0.4">
      <c r="A64" s="85" t="s">
        <v>304</v>
      </c>
      <c r="B64" s="141"/>
      <c r="C64" s="126"/>
      <c r="D64" s="126"/>
      <c r="E64" s="126"/>
      <c r="I64" s="115"/>
      <c r="J64" s="115"/>
      <c r="K64" s="30">
        <v>46194</v>
      </c>
      <c r="L64" s="15" t="s">
        <v>148</v>
      </c>
      <c r="M64" s="115"/>
      <c r="N64" s="115"/>
      <c r="O64" s="115"/>
      <c r="P64" s="115"/>
      <c r="Q64" s="127"/>
      <c r="R64" s="29"/>
      <c r="AE64" s="115"/>
      <c r="AF64" s="115"/>
      <c r="AG64" s="115"/>
      <c r="AH64" s="127"/>
      <c r="AI64" s="29"/>
    </row>
    <row r="65" spans="1:35" ht="19.5" x14ac:dyDescent="0.4">
      <c r="A65" s="85" t="s">
        <v>305</v>
      </c>
      <c r="B65" s="141"/>
      <c r="C65" s="126"/>
      <c r="D65" s="126"/>
      <c r="E65" s="126"/>
      <c r="K65" s="25">
        <v>46194</v>
      </c>
      <c r="L65" s="13" t="s">
        <v>148</v>
      </c>
      <c r="M65" s="115"/>
      <c r="N65" s="115"/>
      <c r="O65" s="115"/>
      <c r="P65" s="115"/>
      <c r="Q65" s="127"/>
      <c r="R65" s="29"/>
      <c r="AE65" s="115"/>
      <c r="AF65" s="115"/>
      <c r="AG65" s="115"/>
      <c r="AH65" s="127"/>
      <c r="AI65" s="29"/>
    </row>
    <row r="66" spans="1:35" ht="19.5" x14ac:dyDescent="0.4">
      <c r="A66" s="85" t="s">
        <v>306</v>
      </c>
      <c r="B66" s="141"/>
      <c r="C66" s="126"/>
      <c r="D66" s="126"/>
      <c r="E66" s="126"/>
      <c r="I66" s="115"/>
      <c r="J66" s="115"/>
      <c r="K66" s="25">
        <v>46194</v>
      </c>
      <c r="L66" s="13" t="s">
        <v>146</v>
      </c>
      <c r="M66" s="115"/>
      <c r="N66" s="115"/>
      <c r="O66" s="115"/>
      <c r="P66" s="115"/>
      <c r="Q66" s="127"/>
      <c r="R66" s="29"/>
      <c r="AE66" s="115"/>
      <c r="AF66" s="115"/>
      <c r="AG66" s="115"/>
      <c r="AH66" s="127"/>
      <c r="AI66" s="29"/>
    </row>
    <row r="67" spans="1:35" ht="19.5" x14ac:dyDescent="0.4">
      <c r="A67" s="85" t="s">
        <v>307</v>
      </c>
      <c r="B67" s="141"/>
      <c r="C67" s="126"/>
      <c r="D67" s="126"/>
      <c r="E67" s="126"/>
      <c r="K67" s="25">
        <v>46194</v>
      </c>
      <c r="L67" s="13" t="s">
        <v>146</v>
      </c>
      <c r="M67" s="115"/>
      <c r="N67" s="115"/>
      <c r="O67" s="115"/>
      <c r="P67" s="115"/>
      <c r="Q67" s="127"/>
      <c r="R67" s="29"/>
      <c r="AD67" s="115"/>
      <c r="AE67" s="115"/>
      <c r="AF67" s="115"/>
      <c r="AG67" s="115"/>
      <c r="AH67" s="127"/>
      <c r="AI67" s="29"/>
    </row>
    <row r="68" spans="1:35" ht="19.5" x14ac:dyDescent="0.4">
      <c r="A68" s="85" t="s">
        <v>308</v>
      </c>
      <c r="B68" s="141"/>
      <c r="C68" s="126"/>
      <c r="D68" s="126"/>
      <c r="E68" s="126"/>
      <c r="K68" s="25">
        <v>46194</v>
      </c>
      <c r="L68" s="13" t="s">
        <v>146</v>
      </c>
      <c r="M68" s="115"/>
      <c r="N68" s="115"/>
      <c r="O68" s="115"/>
      <c r="P68" s="115"/>
      <c r="Q68" s="127"/>
      <c r="R68" s="29"/>
      <c r="AD68" s="115"/>
      <c r="AE68" s="115"/>
      <c r="AF68" s="115"/>
      <c r="AG68" s="115"/>
      <c r="AH68" s="127"/>
      <c r="AI68" s="29"/>
    </row>
    <row r="69" spans="1:35" ht="19.5" x14ac:dyDescent="0.4">
      <c r="A69" s="85" t="s">
        <v>333</v>
      </c>
      <c r="B69" s="141"/>
      <c r="C69" s="126"/>
      <c r="D69" s="126"/>
      <c r="E69" s="126"/>
      <c r="K69" s="25">
        <v>46194</v>
      </c>
      <c r="L69" s="13" t="s">
        <v>146</v>
      </c>
      <c r="M69" s="115"/>
      <c r="N69" s="115"/>
      <c r="O69" s="115"/>
      <c r="P69" s="115"/>
      <c r="Q69" s="127"/>
      <c r="R69" s="29"/>
      <c r="AB69" s="115"/>
      <c r="AC69" s="115"/>
      <c r="AD69" s="115"/>
      <c r="AE69" s="115"/>
      <c r="AF69" s="115"/>
      <c r="AG69" s="115"/>
      <c r="AH69" s="127"/>
      <c r="AI69" s="29"/>
    </row>
    <row r="70" spans="1:35" ht="19.5" x14ac:dyDescent="0.4">
      <c r="A70" s="85" t="s">
        <v>254</v>
      </c>
      <c r="B70" s="141"/>
      <c r="C70" s="126"/>
      <c r="D70" s="126"/>
      <c r="E70" s="126"/>
      <c r="K70" s="25">
        <v>46194</v>
      </c>
      <c r="L70" s="13" t="s">
        <v>148</v>
      </c>
      <c r="M70" s="115"/>
      <c r="N70" s="115"/>
      <c r="O70" s="115"/>
      <c r="P70" s="115"/>
      <c r="Q70" s="127"/>
      <c r="R70" s="29"/>
      <c r="AB70" s="115"/>
      <c r="AC70" s="115"/>
      <c r="AD70" s="115"/>
      <c r="AE70" s="115"/>
      <c r="AF70" s="115"/>
      <c r="AG70" s="115"/>
      <c r="AH70" s="127"/>
      <c r="AI70" s="29"/>
    </row>
    <row r="71" spans="1:35" ht="19.5" x14ac:dyDescent="0.4">
      <c r="A71" s="85" t="s">
        <v>256</v>
      </c>
      <c r="B71" s="141"/>
      <c r="C71" s="126"/>
      <c r="D71" s="126"/>
      <c r="E71" s="126"/>
      <c r="I71" s="115"/>
      <c r="J71" s="115"/>
      <c r="K71" s="25">
        <v>46194</v>
      </c>
      <c r="L71" s="13" t="s">
        <v>147</v>
      </c>
      <c r="M71" s="115"/>
      <c r="N71" s="115"/>
      <c r="O71" s="115"/>
      <c r="P71" s="115"/>
      <c r="Q71" s="127"/>
      <c r="R71" s="29"/>
      <c r="AB71" s="115"/>
      <c r="AC71" s="115"/>
      <c r="AD71" s="115"/>
      <c r="AE71" s="115"/>
      <c r="AF71" s="115"/>
      <c r="AG71" s="115"/>
      <c r="AH71" s="127"/>
      <c r="AI71" s="29"/>
    </row>
    <row r="72" spans="1:35" ht="19.5" x14ac:dyDescent="0.4">
      <c r="A72" s="85" t="s">
        <v>309</v>
      </c>
      <c r="B72" s="141"/>
      <c r="C72" s="126"/>
      <c r="D72" s="126"/>
      <c r="E72" s="126"/>
      <c r="K72" s="25">
        <v>46194</v>
      </c>
      <c r="L72" s="13" t="s">
        <v>148</v>
      </c>
      <c r="M72" s="115"/>
      <c r="N72" s="115"/>
      <c r="O72" s="115"/>
      <c r="P72" s="115"/>
      <c r="Q72" s="127"/>
      <c r="R72" s="29"/>
      <c r="AB72" s="115"/>
      <c r="AC72" s="115"/>
      <c r="AD72" s="115"/>
      <c r="AE72" s="115"/>
      <c r="AF72" s="115"/>
      <c r="AG72" s="115"/>
      <c r="AH72" s="127"/>
      <c r="AI72" s="29"/>
    </row>
    <row r="73" spans="1:35" ht="19.5" x14ac:dyDescent="0.4">
      <c r="A73" s="85" t="s">
        <v>310</v>
      </c>
      <c r="B73" s="141"/>
      <c r="C73" s="126"/>
      <c r="D73" s="126"/>
      <c r="E73" s="126"/>
      <c r="K73" s="25">
        <v>46194</v>
      </c>
      <c r="L73" s="13" t="s">
        <v>148</v>
      </c>
      <c r="M73" s="115"/>
      <c r="N73" s="115"/>
      <c r="O73" s="115"/>
      <c r="P73" s="115"/>
      <c r="Q73" s="127"/>
      <c r="R73" s="29"/>
      <c r="AB73" s="115"/>
      <c r="AC73" s="115"/>
      <c r="AD73" s="115"/>
      <c r="AE73" s="115"/>
      <c r="AF73" s="115"/>
      <c r="AG73" s="115"/>
      <c r="AH73" s="127"/>
      <c r="AI73" s="29"/>
    </row>
    <row r="74" spans="1:35" ht="19.5" x14ac:dyDescent="0.4">
      <c r="A74" s="85" t="s">
        <v>311</v>
      </c>
      <c r="B74" s="141"/>
      <c r="C74" s="126"/>
      <c r="D74" s="126"/>
      <c r="E74" s="126"/>
      <c r="K74" s="25">
        <v>46194</v>
      </c>
      <c r="L74" s="13" t="s">
        <v>146</v>
      </c>
      <c r="M74" s="115"/>
      <c r="N74" s="115"/>
      <c r="O74" s="115"/>
      <c r="P74" s="115"/>
      <c r="Q74" s="127"/>
      <c r="R74" s="29"/>
      <c r="AB74" s="115"/>
      <c r="AC74" s="115"/>
      <c r="AD74" s="115"/>
      <c r="AE74" s="115"/>
      <c r="AF74" s="115"/>
      <c r="AG74" s="115"/>
      <c r="AH74" s="127"/>
      <c r="AI74" s="29"/>
    </row>
    <row r="75" spans="1:35" ht="19.5" x14ac:dyDescent="0.4">
      <c r="A75" s="85" t="s">
        <v>312</v>
      </c>
      <c r="B75" s="141"/>
      <c r="C75" s="126"/>
      <c r="D75" s="126"/>
      <c r="E75" s="126"/>
      <c r="K75" s="25">
        <v>46194</v>
      </c>
      <c r="L75" s="13" t="s">
        <v>146</v>
      </c>
      <c r="M75" s="115"/>
      <c r="N75" s="115"/>
      <c r="O75" s="115"/>
      <c r="P75" s="115"/>
      <c r="Q75" s="127"/>
      <c r="R75" s="29"/>
      <c r="AB75" s="115"/>
      <c r="AC75" s="115"/>
      <c r="AD75" s="115"/>
      <c r="AE75" s="115"/>
      <c r="AF75" s="115"/>
      <c r="AG75" s="115"/>
      <c r="AH75" s="127"/>
      <c r="AI75" s="29"/>
    </row>
    <row r="76" spans="1:35" ht="19.5" x14ac:dyDescent="0.4">
      <c r="A76" s="85" t="s">
        <v>313</v>
      </c>
      <c r="B76" s="141"/>
      <c r="C76" s="126"/>
      <c r="D76" s="126"/>
      <c r="E76" s="126"/>
      <c r="K76" s="25">
        <v>46194</v>
      </c>
      <c r="L76" s="13" t="s">
        <v>147</v>
      </c>
      <c r="M76" s="115"/>
      <c r="N76" s="115"/>
      <c r="O76" s="115"/>
      <c r="P76" s="115"/>
      <c r="Q76" s="127"/>
      <c r="R76" s="29"/>
      <c r="AB76" s="115"/>
      <c r="AC76" s="115"/>
      <c r="AD76" s="115"/>
      <c r="AE76" s="115"/>
      <c r="AF76" s="115"/>
      <c r="AG76" s="115"/>
      <c r="AH76" s="127"/>
      <c r="AI76" s="29"/>
    </row>
    <row r="77" spans="1:35" ht="19.5" x14ac:dyDescent="0.4">
      <c r="A77" s="85" t="s">
        <v>314</v>
      </c>
      <c r="B77" s="141"/>
      <c r="C77" s="126"/>
      <c r="D77" s="126"/>
      <c r="E77" s="126"/>
      <c r="K77" s="25">
        <v>46194</v>
      </c>
      <c r="L77" s="133" t="s">
        <v>147</v>
      </c>
      <c r="M77" s="115"/>
      <c r="N77" s="115"/>
      <c r="O77" s="115"/>
      <c r="P77" s="115"/>
      <c r="Q77" s="127"/>
      <c r="R77" s="29"/>
      <c r="AB77" s="115"/>
      <c r="AC77" s="115"/>
      <c r="AD77" s="115"/>
      <c r="AE77" s="115"/>
      <c r="AF77" s="115"/>
      <c r="AG77" s="115"/>
      <c r="AH77" s="127"/>
      <c r="AI77" s="29"/>
    </row>
    <row r="78" spans="1:35" ht="19.5" x14ac:dyDescent="0.4">
      <c r="A78" s="85" t="s">
        <v>316</v>
      </c>
      <c r="B78" s="141"/>
      <c r="C78" s="126"/>
      <c r="D78" s="126"/>
      <c r="E78" s="126"/>
      <c r="K78" s="25">
        <v>46194</v>
      </c>
      <c r="L78" s="13" t="s">
        <v>147</v>
      </c>
      <c r="M78" s="115"/>
      <c r="N78" s="115"/>
      <c r="O78" s="115"/>
      <c r="P78" s="115"/>
      <c r="Q78" s="127"/>
      <c r="R78" s="29"/>
      <c r="AB78" s="115"/>
      <c r="AC78" s="115"/>
      <c r="AD78" s="115"/>
      <c r="AE78" s="115"/>
      <c r="AF78" s="115"/>
      <c r="AG78" s="115"/>
      <c r="AH78" s="127"/>
      <c r="AI78" s="29"/>
    </row>
    <row r="79" spans="1:35" ht="19.5" x14ac:dyDescent="0.4">
      <c r="A79" s="85"/>
      <c r="B79" s="141"/>
      <c r="C79" s="126"/>
      <c r="D79" s="126"/>
      <c r="E79" s="126"/>
      <c r="J79" s="115" t="s">
        <v>348</v>
      </c>
      <c r="K79" s="174">
        <f>SUBTOTAL(3,K53:K78)</f>
        <v>26</v>
      </c>
      <c r="L79" s="13">
        <f>SUBTOTAL(3,L53:L78)</f>
        <v>26</v>
      </c>
      <c r="M79" s="115"/>
      <c r="N79" s="115"/>
      <c r="O79" s="115"/>
      <c r="P79" s="115"/>
      <c r="Q79" s="127"/>
      <c r="R79" s="29"/>
      <c r="AB79" s="115"/>
      <c r="AC79" s="115"/>
      <c r="AD79" s="115"/>
      <c r="AE79" s="115"/>
      <c r="AF79" s="115"/>
      <c r="AG79" s="115"/>
      <c r="AH79" s="127"/>
      <c r="AI79" s="29"/>
    </row>
    <row r="80" spans="1:35" ht="19.5" x14ac:dyDescent="0.4">
      <c r="A80" s="85" t="s">
        <v>286</v>
      </c>
      <c r="B80" s="141"/>
      <c r="C80" s="126"/>
      <c r="D80" s="126"/>
      <c r="E80" s="126"/>
      <c r="K80" s="25">
        <v>46195</v>
      </c>
      <c r="L80" s="13" t="s">
        <v>147</v>
      </c>
      <c r="M80" s="115"/>
      <c r="N80" s="115"/>
      <c r="O80" s="115"/>
      <c r="P80" s="115"/>
      <c r="Q80" s="127"/>
      <c r="R80" s="29"/>
      <c r="AB80" s="115"/>
      <c r="AC80" s="115"/>
      <c r="AD80" s="115"/>
      <c r="AE80" s="115"/>
      <c r="AF80" s="115"/>
      <c r="AG80" s="115"/>
      <c r="AH80" s="127"/>
      <c r="AI80" s="29"/>
    </row>
    <row r="81" spans="1:35" ht="19.5" x14ac:dyDescent="0.4">
      <c r="A81" s="85" t="s">
        <v>287</v>
      </c>
      <c r="B81" s="141"/>
      <c r="C81" s="126"/>
      <c r="D81" s="126"/>
      <c r="E81" s="126"/>
      <c r="K81" s="25">
        <v>46195</v>
      </c>
      <c r="L81" s="13" t="s">
        <v>146</v>
      </c>
      <c r="M81" s="115"/>
      <c r="N81" s="115"/>
      <c r="O81" s="115"/>
      <c r="P81" s="115"/>
      <c r="Q81" s="127"/>
      <c r="R81" s="29"/>
      <c r="AB81" s="115"/>
      <c r="AC81" s="115"/>
      <c r="AD81" s="115"/>
      <c r="AE81" s="115"/>
      <c r="AF81" s="115"/>
      <c r="AG81" s="115"/>
      <c r="AH81" s="29"/>
      <c r="AI81" s="29"/>
    </row>
    <row r="82" spans="1:35" ht="19.5" x14ac:dyDescent="0.4">
      <c r="A82" s="85" t="s">
        <v>288</v>
      </c>
      <c r="B82" s="141"/>
      <c r="C82" s="126"/>
      <c r="D82" s="126"/>
      <c r="E82" s="126"/>
      <c r="K82" s="25">
        <v>46195</v>
      </c>
      <c r="L82" s="13" t="s">
        <v>148</v>
      </c>
      <c r="M82" s="115"/>
      <c r="N82" s="115"/>
      <c r="O82" s="115"/>
      <c r="P82" s="115"/>
      <c r="Q82" s="127"/>
      <c r="R82" s="29"/>
      <c r="AB82" s="115"/>
      <c r="AC82" s="115"/>
      <c r="AD82" s="115"/>
      <c r="AE82" s="115"/>
      <c r="AF82" s="115"/>
      <c r="AG82" s="115"/>
      <c r="AH82" s="127"/>
      <c r="AI82" s="29"/>
    </row>
    <row r="83" spans="1:35" ht="19.5" x14ac:dyDescent="0.4">
      <c r="A83" s="85"/>
      <c r="B83" s="141"/>
      <c r="C83" s="126"/>
      <c r="D83" s="126"/>
      <c r="E83" s="126"/>
      <c r="J83" s="115" t="s">
        <v>349</v>
      </c>
      <c r="K83" s="174">
        <f>SUBTOTAL(3,K80:K82)</f>
        <v>3</v>
      </c>
      <c r="L83" s="13">
        <f>SUBTOTAL(3,L80:L82)</f>
        <v>3</v>
      </c>
      <c r="M83" s="115"/>
      <c r="N83" s="115"/>
      <c r="O83" s="115"/>
      <c r="P83" s="115"/>
      <c r="Q83" s="127"/>
      <c r="R83" s="29"/>
      <c r="AB83" s="115"/>
      <c r="AC83" s="115"/>
      <c r="AD83" s="115"/>
      <c r="AE83" s="115"/>
      <c r="AF83" s="115"/>
      <c r="AG83" s="115"/>
      <c r="AH83" s="127"/>
      <c r="AI83" s="29"/>
    </row>
    <row r="84" spans="1:35" ht="19.5" x14ac:dyDescent="0.4">
      <c r="A84" s="85" t="s">
        <v>289</v>
      </c>
      <c r="B84" s="141"/>
      <c r="C84" s="126"/>
      <c r="D84" s="126"/>
      <c r="E84" s="126"/>
      <c r="K84" s="25">
        <v>46196</v>
      </c>
      <c r="L84" s="13" t="s">
        <v>147</v>
      </c>
      <c r="M84" s="115"/>
      <c r="N84" s="115"/>
      <c r="O84" s="115"/>
      <c r="P84" s="115"/>
      <c r="Q84" s="127"/>
      <c r="R84" s="29"/>
      <c r="AB84" s="115"/>
      <c r="AC84" s="115"/>
      <c r="AD84" s="115"/>
      <c r="AE84" s="115"/>
      <c r="AF84" s="115"/>
      <c r="AG84" s="115"/>
      <c r="AH84" s="127"/>
      <c r="AI84" s="29"/>
    </row>
    <row r="85" spans="1:35" ht="19.5" x14ac:dyDescent="0.4">
      <c r="A85" s="85" t="s">
        <v>290</v>
      </c>
      <c r="B85" s="141"/>
      <c r="C85" s="126"/>
      <c r="D85" s="126"/>
      <c r="E85" s="126"/>
      <c r="K85" s="25">
        <v>46196</v>
      </c>
      <c r="L85" s="13" t="s">
        <v>147</v>
      </c>
      <c r="M85" s="115"/>
      <c r="N85" s="115"/>
      <c r="O85" s="115"/>
      <c r="P85" s="115"/>
      <c r="Q85" s="127"/>
      <c r="R85" s="29"/>
      <c r="AA85" s="115"/>
      <c r="AB85" s="115"/>
      <c r="AC85" s="115"/>
      <c r="AD85" s="115"/>
      <c r="AE85" s="115"/>
      <c r="AF85" s="115"/>
      <c r="AG85" s="115"/>
      <c r="AH85" s="127"/>
      <c r="AI85" s="29"/>
    </row>
    <row r="86" spans="1:35" ht="19.5" x14ac:dyDescent="0.4">
      <c r="A86" s="85" t="s">
        <v>291</v>
      </c>
      <c r="B86" s="141"/>
      <c r="C86" s="126"/>
      <c r="D86" s="126"/>
      <c r="E86" s="126"/>
      <c r="K86" s="25">
        <v>46196</v>
      </c>
      <c r="L86" s="13" t="s">
        <v>147</v>
      </c>
      <c r="M86" s="115"/>
      <c r="N86" s="115"/>
      <c r="O86" s="115"/>
      <c r="P86" s="115"/>
      <c r="Q86" s="127"/>
      <c r="R86" s="29"/>
      <c r="AA86" s="115"/>
      <c r="AB86" s="115"/>
      <c r="AC86" s="115"/>
      <c r="AD86" s="115"/>
      <c r="AE86" s="115"/>
      <c r="AF86" s="115"/>
      <c r="AG86" s="115"/>
      <c r="AH86" s="127"/>
      <c r="AI86" s="29"/>
    </row>
    <row r="87" spans="1:35" ht="19.5" x14ac:dyDescent="0.4">
      <c r="A87" s="85" t="s">
        <v>292</v>
      </c>
      <c r="B87" s="141"/>
      <c r="C87" s="126"/>
      <c r="D87" s="126"/>
      <c r="E87" s="126"/>
      <c r="K87" s="25">
        <v>46196</v>
      </c>
      <c r="L87" s="13" t="s">
        <v>147</v>
      </c>
      <c r="M87" s="115"/>
      <c r="N87" s="115"/>
      <c r="O87" s="115"/>
      <c r="P87" s="115"/>
      <c r="Q87" s="127"/>
      <c r="R87" s="29"/>
      <c r="AA87" s="115"/>
      <c r="AB87" s="115"/>
      <c r="AC87" s="115"/>
      <c r="AD87" s="115"/>
      <c r="AE87" s="115"/>
      <c r="AF87" s="115"/>
      <c r="AG87" s="115"/>
      <c r="AH87" s="29"/>
      <c r="AI87" s="29"/>
    </row>
    <row r="88" spans="1:35" ht="19.5" x14ac:dyDescent="0.4">
      <c r="A88" s="85" t="s">
        <v>221</v>
      </c>
      <c r="B88" s="141"/>
      <c r="C88" s="126"/>
      <c r="D88" s="126"/>
      <c r="E88" s="126"/>
      <c r="K88" s="25">
        <v>46196</v>
      </c>
      <c r="L88" s="13" t="s">
        <v>146</v>
      </c>
      <c r="M88" s="115"/>
      <c r="N88" s="115"/>
      <c r="O88" s="115"/>
      <c r="P88" s="115"/>
      <c r="Q88" s="127"/>
      <c r="R88" s="29"/>
      <c r="AA88" s="115"/>
      <c r="AB88" s="115"/>
      <c r="AC88" s="115"/>
      <c r="AD88" s="115"/>
      <c r="AE88" s="115"/>
      <c r="AF88" s="115"/>
      <c r="AG88" s="115"/>
      <c r="AH88" s="127"/>
      <c r="AI88" s="29"/>
    </row>
    <row r="89" spans="1:35" ht="19.5" x14ac:dyDescent="0.4">
      <c r="A89" s="85"/>
      <c r="B89" s="141"/>
      <c r="C89" s="126"/>
      <c r="D89" s="126"/>
      <c r="E89" s="126"/>
      <c r="J89" s="115" t="s">
        <v>350</v>
      </c>
      <c r="K89" s="174">
        <f>SUBTOTAL(3,K84:K88)</f>
        <v>5</v>
      </c>
      <c r="L89" s="13">
        <f>SUBTOTAL(3,L84:L88)</f>
        <v>5</v>
      </c>
      <c r="M89" s="115"/>
      <c r="N89" s="115"/>
      <c r="O89" s="115"/>
      <c r="P89" s="115"/>
      <c r="Q89" s="127"/>
      <c r="R89" s="29"/>
      <c r="AA89" s="115"/>
      <c r="AB89" s="115"/>
      <c r="AC89" s="115"/>
      <c r="AD89" s="115"/>
      <c r="AE89" s="115"/>
      <c r="AF89" s="115"/>
      <c r="AG89" s="115"/>
      <c r="AH89" s="127"/>
      <c r="AI89" s="29"/>
    </row>
    <row r="90" spans="1:35" ht="19.5" x14ac:dyDescent="0.4">
      <c r="A90" s="85" t="s">
        <v>293</v>
      </c>
      <c r="B90" s="141"/>
      <c r="C90" s="126"/>
      <c r="D90" s="126"/>
      <c r="E90" s="126"/>
      <c r="K90" s="25">
        <v>46197</v>
      </c>
      <c r="L90" s="13" t="s">
        <v>146</v>
      </c>
      <c r="M90" s="115"/>
      <c r="N90" s="115"/>
      <c r="O90" s="115"/>
      <c r="P90" s="115"/>
      <c r="Q90" s="127"/>
      <c r="R90" s="29"/>
      <c r="AA90" s="115"/>
      <c r="AB90" s="115"/>
      <c r="AC90" s="115"/>
      <c r="AD90" s="115"/>
      <c r="AE90" s="115"/>
      <c r="AF90" s="115"/>
      <c r="AG90" s="115"/>
      <c r="AH90" s="29"/>
      <c r="AI90" s="29"/>
    </row>
    <row r="91" spans="1:35" ht="19.5" x14ac:dyDescent="0.4">
      <c r="A91" s="85" t="s">
        <v>294</v>
      </c>
      <c r="B91" s="141"/>
      <c r="C91" s="126"/>
      <c r="D91" s="126"/>
      <c r="E91" s="126"/>
      <c r="K91" s="25">
        <v>46197</v>
      </c>
      <c r="L91" s="13" t="s">
        <v>146</v>
      </c>
      <c r="M91" s="115"/>
      <c r="N91" s="115"/>
      <c r="O91" s="115"/>
      <c r="P91" s="115"/>
      <c r="Q91" s="127"/>
      <c r="R91" s="29"/>
      <c r="AA91" s="115"/>
      <c r="AB91" s="115"/>
      <c r="AC91" s="115"/>
      <c r="AD91" s="115"/>
      <c r="AE91" s="115"/>
      <c r="AF91" s="115"/>
      <c r="AG91" s="115"/>
      <c r="AH91" s="127"/>
      <c r="AI91" s="29"/>
    </row>
    <row r="92" spans="1:35" ht="19.5" x14ac:dyDescent="0.4">
      <c r="A92" s="85" t="s">
        <v>295</v>
      </c>
      <c r="B92" s="141"/>
      <c r="C92" s="126"/>
      <c r="D92" s="126"/>
      <c r="E92" s="126"/>
      <c r="K92" s="25">
        <v>46197</v>
      </c>
      <c r="L92" s="13" t="s">
        <v>146</v>
      </c>
      <c r="M92" s="115"/>
      <c r="N92" s="115"/>
      <c r="O92" s="115"/>
      <c r="P92" s="115"/>
      <c r="Q92" s="127"/>
      <c r="R92" s="29"/>
      <c r="AA92" s="115"/>
      <c r="AB92" s="115"/>
      <c r="AC92" s="115"/>
      <c r="AD92" s="115"/>
      <c r="AE92" s="115"/>
      <c r="AF92" s="115"/>
      <c r="AG92" s="115"/>
      <c r="AH92" s="127"/>
      <c r="AI92" s="29"/>
    </row>
    <row r="93" spans="1:35" ht="19.5" x14ac:dyDescent="0.4">
      <c r="A93" s="85" t="s">
        <v>222</v>
      </c>
      <c r="B93" s="141"/>
      <c r="C93" s="126"/>
      <c r="D93" s="126"/>
      <c r="E93" s="126"/>
      <c r="K93" s="25">
        <v>46197</v>
      </c>
      <c r="L93" s="13" t="s">
        <v>147</v>
      </c>
      <c r="M93" s="115"/>
      <c r="N93" s="115"/>
      <c r="O93" s="115"/>
      <c r="P93" s="115"/>
      <c r="Q93" s="127"/>
      <c r="R93" s="29"/>
      <c r="AA93" s="115"/>
      <c r="AB93" s="115"/>
      <c r="AC93" s="115"/>
      <c r="AD93" s="115"/>
      <c r="AE93" s="115"/>
      <c r="AF93" s="115"/>
      <c r="AG93" s="115"/>
      <c r="AH93" s="127"/>
      <c r="AI93" s="29"/>
    </row>
    <row r="94" spans="1:35" ht="19.5" x14ac:dyDescent="0.4">
      <c r="A94" s="85" t="s">
        <v>296</v>
      </c>
      <c r="B94" s="141"/>
      <c r="C94" s="126"/>
      <c r="D94" s="126"/>
      <c r="E94" s="126"/>
      <c r="K94" s="25">
        <v>46197</v>
      </c>
      <c r="L94" s="13" t="s">
        <v>147</v>
      </c>
      <c r="M94" s="115"/>
      <c r="N94" s="115"/>
      <c r="O94" s="115"/>
      <c r="P94" s="115"/>
      <c r="Q94" s="127"/>
      <c r="R94" s="29"/>
      <c r="AA94" s="115"/>
      <c r="AB94" s="115"/>
      <c r="AC94" s="115"/>
      <c r="AD94" s="115"/>
      <c r="AE94" s="115"/>
      <c r="AF94" s="115"/>
      <c r="AG94" s="115"/>
      <c r="AH94" s="127"/>
      <c r="AI94" s="29"/>
    </row>
    <row r="95" spans="1:35" ht="19.5" x14ac:dyDescent="0.4">
      <c r="A95" s="85" t="s">
        <v>297</v>
      </c>
      <c r="B95" s="141"/>
      <c r="C95" s="126"/>
      <c r="D95" s="126"/>
      <c r="E95" s="126"/>
      <c r="I95" s="115"/>
      <c r="J95" s="115"/>
      <c r="K95" s="25">
        <v>46197</v>
      </c>
      <c r="L95" s="13" t="s">
        <v>148</v>
      </c>
      <c r="M95" s="115"/>
      <c r="N95" s="115"/>
      <c r="O95" s="115"/>
      <c r="P95" s="115"/>
      <c r="Q95" s="127"/>
      <c r="R95" s="29"/>
      <c r="AA95" s="115"/>
      <c r="AB95" s="115"/>
      <c r="AC95" s="115"/>
      <c r="AD95" s="115"/>
      <c r="AE95" s="115"/>
      <c r="AF95" s="115"/>
      <c r="AG95" s="115"/>
      <c r="AH95" s="127"/>
      <c r="AI95" s="29"/>
    </row>
    <row r="96" spans="1:35" ht="19.5" x14ac:dyDescent="0.4">
      <c r="A96" s="85" t="s">
        <v>223</v>
      </c>
      <c r="B96" s="141"/>
      <c r="C96" s="126"/>
      <c r="D96" s="126"/>
      <c r="E96" s="126"/>
      <c r="K96" s="30">
        <v>46197</v>
      </c>
      <c r="L96" s="13" t="s">
        <v>147</v>
      </c>
      <c r="M96" s="115"/>
      <c r="N96" s="115"/>
      <c r="O96" s="115"/>
      <c r="P96" s="115"/>
      <c r="Q96" s="127"/>
      <c r="R96" s="29"/>
      <c r="AA96" s="115"/>
      <c r="AB96" s="115"/>
      <c r="AC96" s="115"/>
      <c r="AD96" s="115"/>
      <c r="AE96" s="115"/>
      <c r="AF96" s="115"/>
      <c r="AG96" s="115"/>
      <c r="AH96" s="127"/>
      <c r="AI96" s="29"/>
    </row>
    <row r="97" spans="1:35" ht="19.5" x14ac:dyDescent="0.4">
      <c r="A97" s="85" t="s">
        <v>224</v>
      </c>
      <c r="B97" s="141"/>
      <c r="C97" s="126"/>
      <c r="D97" s="126"/>
      <c r="E97" s="126"/>
      <c r="K97" s="25">
        <v>46197</v>
      </c>
      <c r="L97" s="13" t="s">
        <v>147</v>
      </c>
      <c r="M97" s="115"/>
      <c r="N97" s="115"/>
      <c r="O97" s="115"/>
      <c r="P97" s="115"/>
      <c r="Q97" s="127"/>
      <c r="R97" s="29"/>
      <c r="AA97" s="115"/>
      <c r="AB97" s="115"/>
      <c r="AC97" s="115"/>
      <c r="AD97" s="115"/>
      <c r="AE97" s="115"/>
      <c r="AF97" s="115"/>
      <c r="AG97" s="115"/>
      <c r="AH97" s="127"/>
      <c r="AI97" s="29"/>
    </row>
    <row r="98" spans="1:35" ht="19.5" x14ac:dyDescent="0.4">
      <c r="A98" s="85" t="s">
        <v>269</v>
      </c>
      <c r="B98" s="141"/>
      <c r="C98" s="126"/>
      <c r="D98" s="126"/>
      <c r="E98" s="126"/>
      <c r="K98" s="25">
        <v>46197</v>
      </c>
      <c r="L98" s="13" t="s">
        <v>147</v>
      </c>
      <c r="M98" s="115"/>
      <c r="N98" s="115"/>
      <c r="O98" s="115"/>
      <c r="P98" s="115"/>
      <c r="Q98" s="127"/>
      <c r="R98" s="127"/>
      <c r="AA98" s="115"/>
      <c r="AB98" s="115"/>
      <c r="AC98" s="115"/>
      <c r="AD98" s="115"/>
      <c r="AE98" s="115"/>
      <c r="AF98" s="115"/>
      <c r="AG98" s="115"/>
      <c r="AH98" s="29"/>
      <c r="AI98" s="29"/>
    </row>
    <row r="99" spans="1:35" ht="19.5" x14ac:dyDescent="0.4">
      <c r="A99" s="85" t="s">
        <v>270</v>
      </c>
      <c r="B99" s="141"/>
      <c r="C99" s="126"/>
      <c r="D99" s="126"/>
      <c r="E99" s="126"/>
      <c r="K99" s="25">
        <v>46197</v>
      </c>
      <c r="L99" s="13" t="s">
        <v>147</v>
      </c>
      <c r="M99" s="115"/>
      <c r="N99" s="115"/>
      <c r="O99" s="115"/>
      <c r="P99" s="115"/>
      <c r="Q99" s="127"/>
      <c r="R99" s="29"/>
      <c r="AA99" s="115"/>
      <c r="AB99" s="115"/>
      <c r="AC99" s="115"/>
      <c r="AD99" s="115"/>
      <c r="AE99" s="115"/>
      <c r="AF99" s="115"/>
      <c r="AG99" s="115"/>
      <c r="AH99" s="29"/>
      <c r="AI99" s="29"/>
    </row>
    <row r="100" spans="1:35" ht="19.5" x14ac:dyDescent="0.4">
      <c r="A100" s="85"/>
      <c r="B100" s="141"/>
      <c r="C100" s="126"/>
      <c r="D100" s="126"/>
      <c r="E100" s="126"/>
      <c r="J100" s="115" t="s">
        <v>351</v>
      </c>
      <c r="K100" s="174">
        <f>SUBTOTAL(3,K90:K99)</f>
        <v>10</v>
      </c>
      <c r="L100" s="13">
        <f>SUBTOTAL(3,L90:L99)</f>
        <v>10</v>
      </c>
      <c r="M100" s="115"/>
      <c r="N100" s="115"/>
      <c r="O100" s="115"/>
      <c r="P100" s="115"/>
      <c r="Q100" s="127"/>
      <c r="R100" s="29"/>
      <c r="AA100" s="115"/>
      <c r="AB100" s="115"/>
      <c r="AC100" s="115"/>
      <c r="AD100" s="115"/>
      <c r="AE100" s="115"/>
      <c r="AF100" s="115"/>
      <c r="AG100" s="115"/>
      <c r="AH100" s="29"/>
      <c r="AI100" s="29"/>
    </row>
    <row r="101" spans="1:35" ht="19.5" x14ac:dyDescent="0.4">
      <c r="A101" s="85" t="s">
        <v>271</v>
      </c>
      <c r="B101" s="141"/>
      <c r="C101" s="126"/>
      <c r="D101" s="126"/>
      <c r="E101" s="126"/>
      <c r="K101" s="25">
        <v>46199</v>
      </c>
      <c r="L101" s="13" t="s">
        <v>147</v>
      </c>
      <c r="M101" s="115"/>
      <c r="N101" s="115"/>
      <c r="O101" s="115"/>
      <c r="P101" s="115"/>
      <c r="Q101" s="127"/>
      <c r="R101" s="29"/>
      <c r="Z101" s="115"/>
      <c r="AA101" s="115"/>
      <c r="AB101" s="115"/>
      <c r="AC101" s="115"/>
      <c r="AD101" s="115"/>
      <c r="AE101" s="115"/>
      <c r="AF101" s="115"/>
      <c r="AG101" s="115"/>
      <c r="AH101" s="127"/>
      <c r="AI101" s="29"/>
    </row>
    <row r="102" spans="1:35" ht="19.5" x14ac:dyDescent="0.4">
      <c r="A102" s="85" t="s">
        <v>272</v>
      </c>
      <c r="B102" s="141"/>
      <c r="C102" s="126"/>
      <c r="D102" s="126"/>
      <c r="E102" s="126"/>
      <c r="K102" s="25">
        <v>46199</v>
      </c>
      <c r="L102" s="13" t="s">
        <v>148</v>
      </c>
      <c r="M102" s="115"/>
      <c r="N102" s="115"/>
      <c r="O102" s="115"/>
      <c r="P102" s="115"/>
      <c r="Q102" s="127"/>
      <c r="R102" s="29"/>
      <c r="Z102" s="115"/>
      <c r="AA102" s="115"/>
      <c r="AB102" s="115"/>
      <c r="AC102" s="115"/>
      <c r="AD102" s="115"/>
      <c r="AE102" s="115"/>
      <c r="AF102" s="115"/>
      <c r="AG102" s="115"/>
      <c r="AH102" s="127"/>
      <c r="AI102" s="29"/>
    </row>
    <row r="103" spans="1:35" ht="19.5" x14ac:dyDescent="0.4">
      <c r="A103" s="85" t="s">
        <v>273</v>
      </c>
      <c r="B103" s="141"/>
      <c r="C103" s="126"/>
      <c r="D103" s="126"/>
      <c r="E103" s="126"/>
      <c r="K103" s="25">
        <v>46199</v>
      </c>
      <c r="L103" s="13" t="s">
        <v>147</v>
      </c>
      <c r="M103" s="115"/>
      <c r="N103" s="115"/>
      <c r="O103" s="115"/>
      <c r="P103" s="115"/>
      <c r="Q103" s="127"/>
      <c r="R103" s="29"/>
      <c r="Z103" s="115"/>
      <c r="AA103" s="115"/>
      <c r="AB103" s="115"/>
      <c r="AC103" s="115"/>
      <c r="AD103" s="115"/>
      <c r="AE103" s="115"/>
      <c r="AF103" s="115"/>
      <c r="AG103" s="115"/>
      <c r="AH103" s="127"/>
      <c r="AI103" s="29"/>
    </row>
    <row r="104" spans="1:35" ht="19.5" x14ac:dyDescent="0.4">
      <c r="A104" s="85" t="s">
        <v>274</v>
      </c>
      <c r="B104" s="141"/>
      <c r="C104" s="126"/>
      <c r="D104" s="126"/>
      <c r="E104" s="126"/>
      <c r="K104" s="25">
        <v>46199</v>
      </c>
      <c r="L104" s="13" t="s">
        <v>148</v>
      </c>
      <c r="M104" s="115"/>
      <c r="N104" s="115"/>
      <c r="O104" s="115"/>
      <c r="P104" s="115"/>
      <c r="Q104" s="127"/>
      <c r="R104" s="127"/>
      <c r="Z104" s="115"/>
      <c r="AA104" s="115"/>
      <c r="AB104" s="115"/>
      <c r="AC104" s="115"/>
      <c r="AD104" s="115"/>
      <c r="AE104" s="115"/>
      <c r="AF104" s="115"/>
      <c r="AG104" s="115"/>
      <c r="AH104" s="127"/>
      <c r="AI104" s="29"/>
    </row>
    <row r="105" spans="1:35" ht="19.5" x14ac:dyDescent="0.4">
      <c r="A105" s="85" t="s">
        <v>275</v>
      </c>
      <c r="B105" s="141"/>
      <c r="C105" s="126"/>
      <c r="D105" s="126"/>
      <c r="E105" s="126"/>
      <c r="K105" s="25">
        <v>46199</v>
      </c>
      <c r="L105" s="13" t="s">
        <v>147</v>
      </c>
      <c r="M105" s="115"/>
      <c r="N105" s="115"/>
      <c r="O105" s="115"/>
      <c r="P105" s="115"/>
      <c r="Q105" s="127"/>
      <c r="R105" s="127"/>
      <c r="Z105" s="115"/>
      <c r="AA105" s="115"/>
      <c r="AB105" s="115"/>
      <c r="AC105" s="115"/>
      <c r="AD105" s="115"/>
      <c r="AE105" s="115"/>
      <c r="AF105" s="115"/>
      <c r="AG105" s="115"/>
      <c r="AH105" s="127"/>
      <c r="AI105" s="29"/>
    </row>
    <row r="106" spans="1:35" ht="19.5" x14ac:dyDescent="0.4">
      <c r="A106" s="85" t="s">
        <v>276</v>
      </c>
      <c r="B106" s="141"/>
      <c r="C106" s="126"/>
      <c r="D106" s="126"/>
      <c r="E106" s="126"/>
      <c r="I106" s="115"/>
      <c r="J106" s="115"/>
      <c r="K106" s="25">
        <v>46199</v>
      </c>
      <c r="L106" s="13" t="s">
        <v>147</v>
      </c>
      <c r="M106" s="115"/>
      <c r="N106" s="115"/>
      <c r="O106" s="115"/>
      <c r="P106" s="115"/>
      <c r="Q106" s="127"/>
      <c r="R106" s="127"/>
      <c r="Z106" s="115"/>
      <c r="AA106" s="115"/>
      <c r="AB106" s="115"/>
      <c r="AC106" s="115"/>
      <c r="AD106" s="115"/>
      <c r="AE106" s="115"/>
      <c r="AF106" s="115"/>
      <c r="AG106" s="115"/>
      <c r="AH106" s="127"/>
      <c r="AI106" s="29"/>
    </row>
    <row r="107" spans="1:35" ht="19.5" x14ac:dyDescent="0.4">
      <c r="A107" s="85" t="s">
        <v>277</v>
      </c>
      <c r="B107" s="141"/>
      <c r="C107" s="126"/>
      <c r="D107" s="126"/>
      <c r="E107" s="126"/>
      <c r="K107" s="25">
        <v>46199</v>
      </c>
      <c r="L107" s="15" t="s">
        <v>146</v>
      </c>
      <c r="M107" s="115"/>
      <c r="N107" s="115"/>
      <c r="O107" s="115"/>
      <c r="P107" s="115"/>
      <c r="Q107" s="127"/>
      <c r="R107" s="127"/>
      <c r="Z107" s="115"/>
      <c r="AA107" s="115"/>
      <c r="AB107" s="115"/>
      <c r="AC107" s="115"/>
      <c r="AD107" s="115"/>
      <c r="AE107" s="115"/>
      <c r="AF107" s="115"/>
      <c r="AG107" s="115"/>
      <c r="AH107" s="127"/>
      <c r="AI107" s="29"/>
    </row>
    <row r="108" spans="1:35" ht="19.5" x14ac:dyDescent="0.4">
      <c r="A108" s="85" t="s">
        <v>278</v>
      </c>
      <c r="B108" s="141"/>
      <c r="C108" s="126"/>
      <c r="D108" s="126"/>
      <c r="E108" s="126"/>
      <c r="K108" s="25">
        <v>46199</v>
      </c>
      <c r="L108" s="15" t="s">
        <v>146</v>
      </c>
      <c r="M108" s="115"/>
      <c r="N108" s="115"/>
      <c r="O108" s="115"/>
      <c r="P108" s="115"/>
      <c r="Q108" s="127"/>
      <c r="R108" s="127"/>
      <c r="Z108" s="115"/>
      <c r="AA108" s="115"/>
      <c r="AB108" s="115"/>
      <c r="AC108" s="115"/>
      <c r="AD108" s="115"/>
      <c r="AE108" s="115"/>
      <c r="AF108" s="115"/>
      <c r="AG108" s="115"/>
      <c r="AH108" s="127"/>
      <c r="AI108" s="29"/>
    </row>
    <row r="109" spans="1:35" ht="19.5" x14ac:dyDescent="0.4">
      <c r="A109" s="85" t="s">
        <v>279</v>
      </c>
      <c r="B109" s="141"/>
      <c r="C109" s="126"/>
      <c r="D109" s="126"/>
      <c r="E109" s="126"/>
      <c r="K109" s="25">
        <v>46199</v>
      </c>
      <c r="L109" s="15" t="s">
        <v>146</v>
      </c>
      <c r="M109" s="115"/>
      <c r="N109" s="115"/>
      <c r="O109" s="115"/>
      <c r="P109" s="115"/>
      <c r="Q109" s="127"/>
      <c r="R109" s="127"/>
      <c r="Z109" s="115"/>
      <c r="AA109" s="115"/>
      <c r="AB109" s="115"/>
      <c r="AC109" s="115"/>
      <c r="AD109" s="115"/>
      <c r="AE109" s="115"/>
      <c r="AF109" s="115"/>
      <c r="AG109" s="115"/>
      <c r="AH109" s="127"/>
      <c r="AI109" s="29"/>
    </row>
    <row r="110" spans="1:35" ht="19.5" x14ac:dyDescent="0.4">
      <c r="A110" s="85" t="s">
        <v>280</v>
      </c>
      <c r="B110" s="141"/>
      <c r="C110" s="126"/>
      <c r="D110" s="126"/>
      <c r="E110" s="126"/>
      <c r="K110" s="25">
        <v>46199</v>
      </c>
      <c r="L110" s="15" t="s">
        <v>147</v>
      </c>
      <c r="M110" s="115"/>
      <c r="N110" s="115"/>
      <c r="O110" s="115"/>
      <c r="P110" s="115"/>
      <c r="Q110" s="127"/>
      <c r="R110" s="127"/>
      <c r="Z110" s="115"/>
      <c r="AA110" s="115"/>
      <c r="AB110" s="115"/>
      <c r="AC110" s="115"/>
      <c r="AD110" s="115"/>
      <c r="AE110" s="115"/>
      <c r="AF110" s="115"/>
      <c r="AG110" s="115"/>
      <c r="AH110" s="127"/>
      <c r="AI110" s="29"/>
    </row>
    <row r="111" spans="1:35" ht="19.5" x14ac:dyDescent="0.4">
      <c r="A111" s="85"/>
      <c r="B111" s="141"/>
      <c r="C111" s="126"/>
      <c r="D111" s="126"/>
      <c r="E111" s="126"/>
      <c r="J111" s="115" t="s">
        <v>352</v>
      </c>
      <c r="K111" s="174">
        <f>SUBTOTAL(3,K101:K110)</f>
        <v>10</v>
      </c>
      <c r="L111" s="15">
        <f>SUBTOTAL(3,L101:L110)</f>
        <v>10</v>
      </c>
      <c r="M111" s="115"/>
      <c r="N111" s="115"/>
      <c r="O111" s="115"/>
      <c r="P111" s="115"/>
      <c r="Q111" s="127"/>
      <c r="R111" s="127"/>
      <c r="Z111" s="115"/>
      <c r="AA111" s="115"/>
      <c r="AB111" s="115"/>
      <c r="AC111" s="115"/>
      <c r="AD111" s="115"/>
      <c r="AE111" s="115"/>
      <c r="AF111" s="115"/>
      <c r="AG111" s="115"/>
      <c r="AH111" s="127"/>
      <c r="AI111" s="29"/>
    </row>
    <row r="112" spans="1:35" ht="19.5" x14ac:dyDescent="0.4">
      <c r="A112" s="85" t="s">
        <v>281</v>
      </c>
      <c r="B112" s="141"/>
      <c r="C112" s="126"/>
      <c r="D112" s="126"/>
      <c r="E112" s="126"/>
      <c r="K112" s="25">
        <v>46200</v>
      </c>
      <c r="L112" s="15" t="s">
        <v>148</v>
      </c>
      <c r="M112" s="115"/>
      <c r="N112" s="115"/>
      <c r="O112" s="115"/>
      <c r="P112" s="115"/>
      <c r="Q112" s="127"/>
      <c r="R112" s="29"/>
      <c r="Z112" s="115"/>
      <c r="AA112" s="115"/>
      <c r="AB112" s="115"/>
      <c r="AC112" s="115"/>
      <c r="AD112" s="115"/>
      <c r="AE112" s="115"/>
      <c r="AF112" s="115"/>
      <c r="AG112" s="115"/>
      <c r="AH112" s="127"/>
      <c r="AI112" s="29"/>
    </row>
    <row r="113" spans="1:35" ht="19.5" x14ac:dyDescent="0.4">
      <c r="A113" s="85" t="s">
        <v>282</v>
      </c>
      <c r="B113" s="141"/>
      <c r="C113" s="126"/>
      <c r="D113" s="126"/>
      <c r="E113" s="126"/>
      <c r="K113" s="25">
        <v>46200</v>
      </c>
      <c r="L113" s="15" t="s">
        <v>148</v>
      </c>
      <c r="M113" s="115"/>
      <c r="N113" s="115"/>
      <c r="O113" s="115"/>
      <c r="P113" s="115"/>
      <c r="Q113" s="127"/>
      <c r="R113" s="29"/>
      <c r="Z113" s="115"/>
      <c r="AA113" s="115"/>
      <c r="AB113" s="115"/>
      <c r="AC113" s="115"/>
      <c r="AD113" s="115"/>
      <c r="AE113" s="115"/>
      <c r="AF113" s="115"/>
      <c r="AG113" s="115"/>
      <c r="AH113" s="127"/>
      <c r="AI113" s="29"/>
    </row>
    <row r="114" spans="1:35" ht="19.5" x14ac:dyDescent="0.4">
      <c r="A114" s="85" t="s">
        <v>284</v>
      </c>
      <c r="B114" s="141"/>
      <c r="C114" s="126"/>
      <c r="D114" s="126"/>
      <c r="E114" s="126"/>
      <c r="I114" s="115"/>
      <c r="J114" s="115"/>
      <c r="K114" s="25">
        <v>46200</v>
      </c>
      <c r="L114" s="15" t="s">
        <v>148</v>
      </c>
      <c r="M114" s="115"/>
      <c r="N114" s="115"/>
      <c r="O114" s="115"/>
      <c r="P114" s="115"/>
      <c r="Q114" s="127"/>
      <c r="R114" s="29"/>
      <c r="Z114" s="115"/>
      <c r="AA114" s="115"/>
      <c r="AB114" s="115"/>
      <c r="AC114" s="115"/>
      <c r="AD114" s="115"/>
      <c r="AE114" s="115"/>
      <c r="AF114" s="115"/>
      <c r="AG114" s="115"/>
      <c r="AH114" s="127"/>
      <c r="AI114" s="29"/>
    </row>
    <row r="115" spans="1:35" ht="19.5" x14ac:dyDescent="0.4">
      <c r="A115" s="85" t="s">
        <v>257</v>
      </c>
      <c r="B115" s="141"/>
      <c r="C115" s="126"/>
      <c r="D115" s="126"/>
      <c r="E115" s="126"/>
      <c r="K115" s="25">
        <v>46200</v>
      </c>
      <c r="L115" s="15" t="s">
        <v>146</v>
      </c>
      <c r="M115" s="115"/>
      <c r="N115" s="115"/>
      <c r="O115" s="115"/>
      <c r="P115" s="115"/>
      <c r="Q115" s="127"/>
      <c r="R115" s="29"/>
      <c r="Z115" s="115"/>
      <c r="AA115" s="115"/>
      <c r="AB115" s="115"/>
      <c r="AC115" s="115"/>
      <c r="AD115" s="115"/>
      <c r="AE115" s="115"/>
      <c r="AF115" s="115"/>
      <c r="AG115" s="115"/>
      <c r="AH115" s="127"/>
      <c r="AI115" s="29"/>
    </row>
    <row r="116" spans="1:35" ht="19.5" x14ac:dyDescent="0.4">
      <c r="A116" s="85" t="s">
        <v>258</v>
      </c>
      <c r="B116" s="141"/>
      <c r="C116" s="126"/>
      <c r="D116" s="126"/>
      <c r="E116" s="126"/>
      <c r="K116" s="25">
        <v>46200</v>
      </c>
      <c r="L116" s="15" t="s">
        <v>147</v>
      </c>
      <c r="M116" s="115"/>
      <c r="N116" s="115"/>
      <c r="O116" s="115"/>
      <c r="P116" s="115"/>
      <c r="Q116" s="127"/>
      <c r="R116" s="29"/>
      <c r="Z116" s="115"/>
      <c r="AA116" s="115"/>
      <c r="AB116" s="115"/>
      <c r="AC116" s="115"/>
      <c r="AD116" s="115"/>
      <c r="AE116" s="115"/>
      <c r="AF116" s="115"/>
      <c r="AG116" s="115"/>
      <c r="AH116" s="127"/>
      <c r="AI116" s="29"/>
    </row>
    <row r="117" spans="1:35" ht="19.5" x14ac:dyDescent="0.4">
      <c r="A117" s="85"/>
      <c r="B117" s="141"/>
      <c r="C117" s="126"/>
      <c r="D117" s="126"/>
      <c r="E117" s="126"/>
      <c r="J117" s="115" t="s">
        <v>353</v>
      </c>
      <c r="K117" s="174">
        <f>SUBTOTAL(3,K112:K116)</f>
        <v>5</v>
      </c>
      <c r="L117" s="15">
        <f>SUBTOTAL(3,L112:L116)</f>
        <v>5</v>
      </c>
      <c r="M117" s="115"/>
      <c r="N117" s="115"/>
      <c r="O117" s="115"/>
      <c r="P117" s="115"/>
      <c r="Q117" s="127"/>
      <c r="R117" s="29"/>
      <c r="Z117" s="115"/>
      <c r="AA117" s="115"/>
      <c r="AB117" s="115"/>
      <c r="AC117" s="115"/>
      <c r="AD117" s="115"/>
      <c r="AE117" s="115"/>
      <c r="AF117" s="115"/>
      <c r="AG117" s="115"/>
      <c r="AH117" s="127"/>
      <c r="AI117" s="29"/>
    </row>
    <row r="118" spans="1:35" ht="19.5" x14ac:dyDescent="0.4">
      <c r="A118" s="85" t="s">
        <v>259</v>
      </c>
      <c r="B118" s="141"/>
      <c r="C118" s="126"/>
      <c r="D118" s="126"/>
      <c r="E118" s="126"/>
      <c r="K118" s="25">
        <v>46201</v>
      </c>
      <c r="L118" s="15" t="s">
        <v>146</v>
      </c>
      <c r="M118" s="115"/>
      <c r="N118" s="115"/>
      <c r="O118" s="115"/>
      <c r="P118" s="115"/>
      <c r="Q118" s="127"/>
      <c r="R118" s="29"/>
      <c r="Z118" s="115"/>
      <c r="AA118" s="115"/>
      <c r="AB118" s="115"/>
      <c r="AC118" s="115"/>
      <c r="AD118" s="115"/>
      <c r="AE118" s="115"/>
      <c r="AF118" s="115"/>
      <c r="AG118" s="115"/>
      <c r="AH118" s="127"/>
      <c r="AI118" s="29"/>
    </row>
    <row r="119" spans="1:35" ht="19.5" x14ac:dyDescent="0.4">
      <c r="A119" s="85" t="s">
        <v>260</v>
      </c>
      <c r="B119" s="141"/>
      <c r="C119" s="126"/>
      <c r="D119" s="126"/>
      <c r="E119" s="126"/>
      <c r="K119" s="25">
        <v>46201</v>
      </c>
      <c r="L119" s="15" t="s">
        <v>147</v>
      </c>
      <c r="M119" s="115"/>
      <c r="N119" s="115"/>
      <c r="O119" s="115"/>
      <c r="P119" s="115"/>
      <c r="Q119" s="127"/>
      <c r="R119" s="29"/>
      <c r="Z119" s="115"/>
      <c r="AA119" s="115"/>
      <c r="AB119" s="115"/>
      <c r="AC119" s="115"/>
      <c r="AD119" s="115"/>
      <c r="AE119" s="115"/>
      <c r="AF119" s="115"/>
      <c r="AG119" s="115"/>
      <c r="AH119" s="127"/>
      <c r="AI119" s="29"/>
    </row>
    <row r="120" spans="1:35" ht="19.5" x14ac:dyDescent="0.4">
      <c r="A120" s="85" t="s">
        <v>261</v>
      </c>
      <c r="B120" s="141"/>
      <c r="C120" s="126"/>
      <c r="D120" s="126"/>
      <c r="E120" s="126"/>
      <c r="K120" s="25">
        <v>46201</v>
      </c>
      <c r="L120" s="15" t="s">
        <v>148</v>
      </c>
      <c r="M120" s="115"/>
      <c r="N120" s="115"/>
      <c r="O120" s="115"/>
      <c r="P120" s="115"/>
      <c r="Q120" s="127"/>
      <c r="R120" s="29"/>
      <c r="Z120" s="115"/>
      <c r="AA120" s="115"/>
      <c r="AB120" s="115"/>
      <c r="AC120" s="115"/>
      <c r="AD120" s="115"/>
      <c r="AE120" s="115"/>
      <c r="AF120" s="115"/>
      <c r="AG120" s="115"/>
      <c r="AH120" s="127"/>
      <c r="AI120" s="29"/>
    </row>
    <row r="121" spans="1:35" ht="19.5" x14ac:dyDescent="0.4">
      <c r="A121" s="85" t="s">
        <v>285</v>
      </c>
      <c r="B121" s="141"/>
      <c r="C121" s="126"/>
      <c r="D121" s="126"/>
      <c r="E121" s="126"/>
      <c r="K121" s="25">
        <v>46201</v>
      </c>
      <c r="L121" s="15" t="s">
        <v>147</v>
      </c>
      <c r="M121" s="115"/>
      <c r="N121" s="115"/>
      <c r="O121" s="115"/>
      <c r="P121" s="115"/>
      <c r="Q121" s="127"/>
      <c r="R121" s="29"/>
      <c r="Z121" s="115"/>
      <c r="AA121" s="115"/>
      <c r="AB121" s="115"/>
      <c r="AC121" s="115"/>
      <c r="AD121" s="115"/>
      <c r="AE121" s="115"/>
      <c r="AF121" s="115"/>
      <c r="AG121" s="115"/>
      <c r="AH121" s="127"/>
      <c r="AI121" s="29"/>
    </row>
    <row r="122" spans="1:35" ht="19.5" x14ac:dyDescent="0.4">
      <c r="A122" s="85" t="s">
        <v>262</v>
      </c>
      <c r="B122" s="141"/>
      <c r="C122" s="126"/>
      <c r="D122" s="126"/>
      <c r="E122" s="126"/>
      <c r="K122" s="25">
        <v>46201</v>
      </c>
      <c r="L122" s="15" t="s">
        <v>147</v>
      </c>
      <c r="M122" s="115"/>
      <c r="N122" s="115"/>
      <c r="O122" s="115"/>
      <c r="P122" s="115"/>
      <c r="Q122" s="127"/>
      <c r="R122" s="29"/>
      <c r="Z122" s="115"/>
      <c r="AA122" s="115"/>
      <c r="AB122" s="115"/>
      <c r="AC122" s="115"/>
      <c r="AD122" s="115"/>
      <c r="AE122" s="115"/>
      <c r="AF122" s="115"/>
      <c r="AG122" s="115"/>
      <c r="AH122" s="127"/>
      <c r="AI122" s="29"/>
    </row>
    <row r="123" spans="1:35" ht="19.5" x14ac:dyDescent="0.4">
      <c r="A123" s="85" t="s">
        <v>264</v>
      </c>
      <c r="B123" s="141"/>
      <c r="C123" s="126"/>
      <c r="D123" s="126"/>
      <c r="E123" s="126"/>
      <c r="I123" s="115"/>
      <c r="J123" s="115"/>
      <c r="K123" s="25">
        <v>46201</v>
      </c>
      <c r="L123" s="15" t="s">
        <v>146</v>
      </c>
      <c r="M123" s="115"/>
      <c r="N123" s="115"/>
      <c r="O123" s="115"/>
      <c r="P123" s="115"/>
      <c r="Q123" s="127"/>
      <c r="R123" s="29"/>
      <c r="Z123" s="115"/>
      <c r="AA123" s="115"/>
      <c r="AB123" s="115"/>
      <c r="AC123" s="115"/>
      <c r="AD123" s="115"/>
      <c r="AE123" s="115"/>
      <c r="AF123" s="115"/>
      <c r="AG123" s="115"/>
      <c r="AH123" s="127"/>
      <c r="AI123" s="29"/>
    </row>
    <row r="124" spans="1:35" ht="19.5" x14ac:dyDescent="0.4">
      <c r="A124" s="85" t="s">
        <v>265</v>
      </c>
      <c r="B124" s="141"/>
      <c r="C124" s="126"/>
      <c r="D124" s="126"/>
      <c r="E124" s="126"/>
      <c r="K124" s="25">
        <v>46201</v>
      </c>
      <c r="L124" s="15" t="s">
        <v>146</v>
      </c>
      <c r="M124" s="115"/>
      <c r="N124" s="115"/>
      <c r="O124" s="115"/>
      <c r="P124" s="115"/>
      <c r="Q124" s="127"/>
      <c r="R124" s="29"/>
      <c r="Z124" s="115"/>
      <c r="AA124" s="115"/>
      <c r="AB124" s="115"/>
      <c r="AC124" s="115"/>
      <c r="AD124" s="115"/>
      <c r="AE124" s="115"/>
      <c r="AF124" s="115"/>
      <c r="AG124" s="115"/>
      <c r="AH124" s="127"/>
      <c r="AI124" s="29"/>
    </row>
    <row r="125" spans="1:35" ht="19.5" x14ac:dyDescent="0.4">
      <c r="A125" s="85" t="s">
        <v>267</v>
      </c>
      <c r="B125" s="141"/>
      <c r="C125" s="126"/>
      <c r="D125" s="126"/>
      <c r="E125" s="126"/>
      <c r="K125" s="30">
        <v>46201</v>
      </c>
      <c r="L125" s="15" t="s">
        <v>147</v>
      </c>
      <c r="M125" s="115"/>
      <c r="N125" s="115"/>
      <c r="O125" s="115"/>
      <c r="P125" s="115"/>
      <c r="Q125" s="127"/>
      <c r="R125" s="29"/>
      <c r="Z125" s="115"/>
      <c r="AA125" s="115"/>
      <c r="AB125" s="115"/>
      <c r="AC125" s="115"/>
      <c r="AD125" s="115"/>
      <c r="AE125" s="115"/>
      <c r="AF125" s="115"/>
      <c r="AG125" s="115"/>
      <c r="AH125" s="127"/>
      <c r="AI125" s="29"/>
    </row>
    <row r="126" spans="1:35" ht="19.5" x14ac:dyDescent="0.4">
      <c r="A126" s="85" t="s">
        <v>225</v>
      </c>
      <c r="B126" s="141"/>
      <c r="C126" s="126"/>
      <c r="D126" s="126"/>
      <c r="E126" s="126"/>
      <c r="K126" s="25">
        <v>46201</v>
      </c>
      <c r="L126" s="15" t="s">
        <v>146</v>
      </c>
      <c r="M126" s="115"/>
      <c r="N126" s="115"/>
      <c r="O126" s="115"/>
      <c r="P126" s="115"/>
      <c r="Q126" s="127"/>
      <c r="R126" s="29"/>
      <c r="Z126" s="115"/>
      <c r="AA126" s="115"/>
      <c r="AB126" s="115"/>
      <c r="AC126" s="115"/>
      <c r="AD126" s="115"/>
      <c r="AE126" s="115"/>
      <c r="AF126" s="115"/>
      <c r="AG126" s="115"/>
      <c r="AH126" s="127"/>
      <c r="AI126" s="29"/>
    </row>
    <row r="127" spans="1:35" ht="19.5" x14ac:dyDescent="0.4">
      <c r="A127" s="85" t="s">
        <v>226</v>
      </c>
      <c r="B127" s="141"/>
      <c r="C127" s="126"/>
      <c r="D127" s="126"/>
      <c r="E127" s="126"/>
      <c r="K127" s="25">
        <v>46201</v>
      </c>
      <c r="L127" s="15" t="s">
        <v>146</v>
      </c>
      <c r="M127" s="115"/>
      <c r="N127" s="115"/>
      <c r="O127" s="115"/>
      <c r="P127" s="115"/>
      <c r="Q127" s="127"/>
      <c r="R127" s="29"/>
      <c r="Z127" s="115"/>
      <c r="AA127" s="115"/>
      <c r="AB127" s="115"/>
      <c r="AC127" s="115"/>
      <c r="AD127" s="115"/>
      <c r="AE127" s="115"/>
      <c r="AF127" s="115"/>
      <c r="AG127" s="115"/>
      <c r="AH127" s="127"/>
      <c r="AI127" s="29"/>
    </row>
    <row r="128" spans="1:35" ht="19.5" x14ac:dyDescent="0.4">
      <c r="A128" s="85" t="s">
        <v>227</v>
      </c>
      <c r="B128" s="141"/>
      <c r="C128" s="126"/>
      <c r="D128" s="126"/>
      <c r="E128" s="126"/>
      <c r="K128" s="25">
        <v>46201</v>
      </c>
      <c r="L128" s="15" t="s">
        <v>146</v>
      </c>
      <c r="M128" s="115"/>
      <c r="N128" s="115"/>
      <c r="O128" s="115"/>
      <c r="P128" s="115"/>
      <c r="Q128" s="127"/>
      <c r="R128" s="29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27"/>
      <c r="AI128" s="29"/>
    </row>
    <row r="129" spans="1:35" ht="19.5" x14ac:dyDescent="0.4">
      <c r="A129" s="85" t="s">
        <v>229</v>
      </c>
      <c r="B129" s="141"/>
      <c r="C129" s="126"/>
      <c r="D129" s="126"/>
      <c r="E129" s="126"/>
      <c r="K129" s="25">
        <v>46201</v>
      </c>
      <c r="L129" s="15" t="s">
        <v>147</v>
      </c>
      <c r="M129" s="115"/>
      <c r="N129" s="115"/>
      <c r="O129" s="115"/>
      <c r="P129" s="115"/>
      <c r="Q129" s="127"/>
      <c r="R129" s="29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27"/>
      <c r="AI129" s="29"/>
    </row>
    <row r="130" spans="1:35" ht="19.5" x14ac:dyDescent="0.4">
      <c r="A130" s="85" t="s">
        <v>230</v>
      </c>
      <c r="B130" s="141"/>
      <c r="C130" s="126"/>
      <c r="D130" s="126"/>
      <c r="E130" s="126"/>
      <c r="K130" s="25">
        <v>46201</v>
      </c>
      <c r="L130" s="15" t="s">
        <v>147</v>
      </c>
      <c r="M130" s="115"/>
      <c r="N130" s="115"/>
      <c r="O130" s="115"/>
      <c r="P130" s="115"/>
      <c r="Q130" s="127"/>
      <c r="R130" s="29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27"/>
      <c r="AI130" s="29"/>
    </row>
    <row r="131" spans="1:35" ht="19.5" x14ac:dyDescent="0.4">
      <c r="A131" s="85" t="s">
        <v>231</v>
      </c>
      <c r="B131" s="141"/>
      <c r="C131" s="126"/>
      <c r="D131" s="126"/>
      <c r="E131" s="126"/>
      <c r="K131" s="25">
        <v>46201</v>
      </c>
      <c r="L131" s="15" t="s">
        <v>146</v>
      </c>
      <c r="M131" s="115"/>
      <c r="N131" s="115"/>
      <c r="O131" s="115"/>
      <c r="P131" s="115"/>
      <c r="Q131" s="127"/>
      <c r="R131" s="29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27"/>
      <c r="AI131" s="29"/>
    </row>
    <row r="132" spans="1:35" ht="19.5" x14ac:dyDescent="0.4">
      <c r="A132" s="85" t="s">
        <v>232</v>
      </c>
      <c r="B132" s="141"/>
      <c r="C132" s="126"/>
      <c r="D132" s="126"/>
      <c r="E132" s="126"/>
      <c r="I132" s="115"/>
      <c r="J132" s="115"/>
      <c r="K132" s="25">
        <v>46201</v>
      </c>
      <c r="L132" s="15" t="s">
        <v>146</v>
      </c>
      <c r="M132" s="115"/>
      <c r="N132" s="115"/>
      <c r="O132" s="115"/>
      <c r="P132" s="115"/>
      <c r="Q132" s="127"/>
      <c r="R132" s="29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27"/>
      <c r="AI132" s="29"/>
    </row>
    <row r="133" spans="1:35" ht="19.5" x14ac:dyDescent="0.4">
      <c r="A133" s="85"/>
      <c r="B133" s="141"/>
      <c r="C133" s="126"/>
      <c r="D133" s="126"/>
      <c r="E133" s="126"/>
      <c r="I133" s="115"/>
      <c r="J133" s="115" t="s">
        <v>354</v>
      </c>
      <c r="K133" s="174">
        <f>SUBTOTAL(3,K118:K132)</f>
        <v>15</v>
      </c>
      <c r="L133" s="15">
        <f>SUBTOTAL(3,L118:L132)</f>
        <v>15</v>
      </c>
      <c r="M133" s="115"/>
      <c r="N133" s="115"/>
      <c r="O133" s="115"/>
      <c r="P133" s="115"/>
      <c r="Q133" s="127"/>
      <c r="R133" s="29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27"/>
      <c r="AI133" s="29"/>
    </row>
    <row r="134" spans="1:35" ht="19.5" x14ac:dyDescent="0.4">
      <c r="A134" s="85" t="s">
        <v>233</v>
      </c>
      <c r="B134" s="141"/>
      <c r="C134" s="126"/>
      <c r="D134" s="126"/>
      <c r="E134" s="126"/>
      <c r="K134" s="25">
        <v>46202</v>
      </c>
      <c r="L134" s="15" t="s">
        <v>148</v>
      </c>
      <c r="M134" s="115"/>
      <c r="N134" s="115"/>
      <c r="O134" s="115"/>
      <c r="P134" s="115"/>
      <c r="Q134" s="127"/>
      <c r="R134" s="29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27"/>
      <c r="AI134" s="29"/>
    </row>
    <row r="135" spans="1:35" ht="19.5" x14ac:dyDescent="0.4">
      <c r="A135" s="85"/>
      <c r="B135" s="141"/>
      <c r="C135" s="126"/>
      <c r="D135" s="126"/>
      <c r="E135" s="126"/>
      <c r="J135" s="115" t="s">
        <v>355</v>
      </c>
      <c r="K135" s="174">
        <f>SUBTOTAL(3,K134:K134)</f>
        <v>1</v>
      </c>
      <c r="L135" s="15">
        <f>SUBTOTAL(3,L134:L134)</f>
        <v>1</v>
      </c>
      <c r="M135" s="115"/>
      <c r="N135" s="115"/>
      <c r="O135" s="115"/>
      <c r="P135" s="115"/>
      <c r="Q135" s="127"/>
      <c r="R135" s="29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27"/>
      <c r="AI135" s="29"/>
    </row>
    <row r="136" spans="1:35" ht="19.5" x14ac:dyDescent="0.4">
      <c r="A136" s="85" t="s">
        <v>234</v>
      </c>
      <c r="B136" s="141"/>
      <c r="C136" s="126"/>
      <c r="D136" s="126"/>
      <c r="E136" s="126"/>
      <c r="K136" s="25">
        <v>46203</v>
      </c>
      <c r="L136" s="15" t="s">
        <v>146</v>
      </c>
      <c r="M136" s="115"/>
      <c r="N136" s="115"/>
      <c r="O136" s="115"/>
      <c r="P136" s="115"/>
      <c r="Q136" s="127"/>
      <c r="R136" s="29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27"/>
      <c r="AI136" s="29"/>
    </row>
    <row r="137" spans="1:35" ht="19.5" x14ac:dyDescent="0.4">
      <c r="A137" s="85"/>
      <c r="B137" s="141"/>
      <c r="C137" s="126"/>
      <c r="D137" s="126"/>
      <c r="E137" s="126"/>
      <c r="J137" s="115" t="s">
        <v>356</v>
      </c>
      <c r="K137" s="174">
        <f>SUBTOTAL(3,K136:K136)</f>
        <v>1</v>
      </c>
      <c r="L137" s="15">
        <f>SUBTOTAL(3,L136:L136)</f>
        <v>1</v>
      </c>
      <c r="M137" s="115"/>
      <c r="N137" s="115"/>
      <c r="O137" s="115"/>
      <c r="P137" s="115"/>
      <c r="Q137" s="127"/>
      <c r="R137" s="29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27"/>
      <c r="AI137" s="29"/>
    </row>
    <row r="138" spans="1:35" ht="19.5" x14ac:dyDescent="0.4">
      <c r="A138" s="85" t="s">
        <v>236</v>
      </c>
      <c r="B138" s="141"/>
      <c r="C138" s="126"/>
      <c r="D138" s="126"/>
      <c r="E138" s="126"/>
      <c r="K138" s="25">
        <v>46204</v>
      </c>
      <c r="L138" s="15" t="s">
        <v>147</v>
      </c>
      <c r="M138" s="115"/>
      <c r="N138" s="115"/>
      <c r="O138" s="115"/>
      <c r="P138" s="115"/>
      <c r="Q138" s="127"/>
      <c r="R138" s="29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27"/>
      <c r="AI138" s="29"/>
    </row>
    <row r="139" spans="1:35" ht="19.5" x14ac:dyDescent="0.4">
      <c r="A139" s="85" t="s">
        <v>317</v>
      </c>
      <c r="B139" s="141"/>
      <c r="C139" s="126"/>
      <c r="D139" s="126"/>
      <c r="E139" s="126"/>
      <c r="K139" s="25">
        <v>46204</v>
      </c>
      <c r="L139" s="15" t="s">
        <v>147</v>
      </c>
      <c r="M139" s="115"/>
      <c r="N139" s="115"/>
      <c r="O139" s="115"/>
      <c r="P139" s="115"/>
      <c r="Q139" s="127"/>
      <c r="R139" s="29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27"/>
      <c r="AI139" s="29"/>
    </row>
    <row r="140" spans="1:35" ht="19.5" x14ac:dyDescent="0.4">
      <c r="A140" s="85" t="s">
        <v>318</v>
      </c>
      <c r="B140" s="141"/>
      <c r="C140" s="126"/>
      <c r="D140" s="126"/>
      <c r="E140" s="126"/>
      <c r="K140" s="25">
        <v>46204</v>
      </c>
      <c r="L140" s="15" t="s">
        <v>147</v>
      </c>
      <c r="M140" s="115"/>
      <c r="N140" s="115"/>
      <c r="O140" s="115"/>
      <c r="P140" s="115"/>
      <c r="Q140" s="127"/>
      <c r="R140" s="29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27"/>
      <c r="AI140" s="29"/>
    </row>
    <row r="141" spans="1:35" ht="19.5" x14ac:dyDescent="0.4">
      <c r="A141" s="85"/>
      <c r="B141" s="141"/>
      <c r="C141" s="126"/>
      <c r="D141" s="126"/>
      <c r="E141" s="126"/>
      <c r="J141" s="115" t="s">
        <v>357</v>
      </c>
      <c r="K141" s="174">
        <f>SUBTOTAL(3,K138:K140)</f>
        <v>3</v>
      </c>
      <c r="L141" s="15">
        <f>SUBTOTAL(3,L138:L140)</f>
        <v>3</v>
      </c>
      <c r="M141" s="115"/>
      <c r="N141" s="115"/>
      <c r="O141" s="115"/>
      <c r="P141" s="115"/>
      <c r="Q141" s="127"/>
      <c r="R141" s="29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27"/>
      <c r="AI141" s="29"/>
    </row>
    <row r="142" spans="1:35" ht="19.5" x14ac:dyDescent="0.4">
      <c r="A142" s="85" t="s">
        <v>218</v>
      </c>
      <c r="B142" s="141"/>
      <c r="C142" s="126"/>
      <c r="D142" s="126"/>
      <c r="E142" s="126"/>
      <c r="I142" s="115"/>
      <c r="J142" s="115"/>
      <c r="K142" s="25">
        <v>46206</v>
      </c>
      <c r="L142" s="15" t="s">
        <v>147</v>
      </c>
      <c r="M142" s="115"/>
      <c r="N142" s="115"/>
      <c r="O142" s="115"/>
      <c r="P142" s="115"/>
      <c r="Q142" s="127"/>
      <c r="R142" s="29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27"/>
      <c r="AI142" s="29"/>
    </row>
    <row r="143" spans="1:35" ht="19.5" x14ac:dyDescent="0.4">
      <c r="A143" s="85"/>
      <c r="B143" s="141"/>
      <c r="C143" s="126"/>
      <c r="D143" s="126"/>
      <c r="E143" s="126"/>
      <c r="I143" s="115"/>
      <c r="J143" s="115" t="s">
        <v>358</v>
      </c>
      <c r="K143" s="174">
        <f>SUBTOTAL(3,K142:K142)</f>
        <v>1</v>
      </c>
      <c r="L143" s="15">
        <f>SUBTOTAL(3,L142:L142)</f>
        <v>1</v>
      </c>
      <c r="M143" s="115"/>
      <c r="N143" s="115"/>
      <c r="O143" s="115"/>
      <c r="P143" s="115"/>
      <c r="Q143" s="127"/>
      <c r="R143" s="29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27"/>
      <c r="AI143" s="29"/>
    </row>
    <row r="144" spans="1:35" ht="19.5" x14ac:dyDescent="0.4">
      <c r="A144" s="85" t="s">
        <v>219</v>
      </c>
      <c r="B144" s="141"/>
      <c r="C144" s="126"/>
      <c r="D144" s="126"/>
      <c r="E144" s="126"/>
      <c r="K144" s="25">
        <v>46211</v>
      </c>
      <c r="L144" s="15" t="s">
        <v>146</v>
      </c>
      <c r="M144" s="115"/>
      <c r="N144" s="115"/>
      <c r="O144" s="115"/>
      <c r="P144" s="115"/>
      <c r="Q144" s="127"/>
      <c r="R144" s="29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27"/>
      <c r="AI144" s="29"/>
    </row>
    <row r="145" spans="1:35" ht="19.5" x14ac:dyDescent="0.4">
      <c r="A145" s="85"/>
      <c r="B145" s="141"/>
      <c r="C145" s="126"/>
      <c r="D145" s="126"/>
      <c r="E145" s="126"/>
      <c r="J145" s="115" t="s">
        <v>359</v>
      </c>
      <c r="K145" s="174">
        <f>SUBTOTAL(3,K144:K144)</f>
        <v>1</v>
      </c>
      <c r="L145" s="15">
        <f>SUBTOTAL(3,L144:L144)</f>
        <v>1</v>
      </c>
      <c r="M145" s="115"/>
      <c r="N145" s="115"/>
      <c r="O145" s="115"/>
      <c r="P145" s="115"/>
      <c r="Q145" s="127"/>
      <c r="R145" s="29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27"/>
      <c r="AI145" s="29"/>
    </row>
    <row r="146" spans="1:35" ht="19.5" x14ac:dyDescent="0.4">
      <c r="A146" s="85" t="s">
        <v>237</v>
      </c>
      <c r="B146" s="141"/>
      <c r="C146" s="126"/>
      <c r="D146" s="126"/>
      <c r="E146" s="126"/>
      <c r="K146" s="25">
        <v>46213</v>
      </c>
      <c r="L146" s="15" t="s">
        <v>147</v>
      </c>
      <c r="M146" s="115"/>
      <c r="N146" s="115"/>
      <c r="O146" s="115"/>
      <c r="P146" s="115"/>
      <c r="Q146" s="127"/>
      <c r="R146" s="29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27"/>
      <c r="AI146" s="29"/>
    </row>
    <row r="147" spans="1:35" ht="19.5" x14ac:dyDescent="0.4">
      <c r="A147" s="85"/>
      <c r="B147" s="141"/>
      <c r="C147" s="126"/>
      <c r="D147" s="126"/>
      <c r="E147" s="126"/>
      <c r="J147" s="115" t="s">
        <v>360</v>
      </c>
      <c r="K147" s="174">
        <f>SUBTOTAL(3,K146:K146)</f>
        <v>1</v>
      </c>
      <c r="L147" s="15">
        <f>SUBTOTAL(3,L146:L146)</f>
        <v>1</v>
      </c>
      <c r="M147" s="115"/>
      <c r="N147" s="115"/>
      <c r="O147" s="115"/>
      <c r="P147" s="115"/>
      <c r="Q147" s="127"/>
      <c r="R147" s="29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27"/>
      <c r="AI147" s="29"/>
    </row>
    <row r="148" spans="1:35" ht="19.5" x14ac:dyDescent="0.4">
      <c r="A148" s="85" t="s">
        <v>220</v>
      </c>
      <c r="B148" s="141"/>
      <c r="C148" s="126"/>
      <c r="D148" s="126"/>
      <c r="E148" s="126"/>
      <c r="K148" s="25">
        <v>46223</v>
      </c>
      <c r="L148" s="15" t="s">
        <v>146</v>
      </c>
      <c r="M148" s="115"/>
      <c r="N148" s="115"/>
      <c r="O148" s="115"/>
      <c r="P148" s="115"/>
      <c r="Q148" s="127"/>
      <c r="R148" s="29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27"/>
      <c r="AI148" s="29"/>
    </row>
    <row r="149" spans="1:35" ht="19.5" x14ac:dyDescent="0.4">
      <c r="A149" s="85"/>
      <c r="B149" s="141"/>
      <c r="C149" s="126"/>
      <c r="D149" s="126"/>
      <c r="E149" s="126"/>
      <c r="J149" s="115" t="s">
        <v>361</v>
      </c>
      <c r="K149" s="175">
        <f>SUBTOTAL(3,K148:K148)</f>
        <v>1</v>
      </c>
      <c r="L149" s="13">
        <f>SUBTOTAL(3,L148:L148)</f>
        <v>1</v>
      </c>
      <c r="M149" s="115"/>
      <c r="N149" s="115"/>
      <c r="O149" s="115"/>
      <c r="P149" s="115"/>
      <c r="Q149" s="127"/>
      <c r="R149" s="29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27"/>
      <c r="AI149" s="29"/>
    </row>
    <row r="150" spans="1:35" ht="19.5" x14ac:dyDescent="0.4">
      <c r="A150" s="85"/>
      <c r="B150" s="141"/>
      <c r="C150" s="126"/>
      <c r="D150" s="126"/>
      <c r="E150" s="126"/>
      <c r="K150" s="30">
        <v>46232</v>
      </c>
      <c r="L150" s="13" t="s">
        <v>146</v>
      </c>
      <c r="M150" s="115"/>
      <c r="N150" s="115"/>
      <c r="O150" s="115"/>
      <c r="P150" s="115"/>
      <c r="Q150" s="127"/>
      <c r="R150" s="29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27"/>
      <c r="AI150" s="29"/>
    </row>
    <row r="151" spans="1:35" ht="19.5" x14ac:dyDescent="0.4">
      <c r="A151" s="85"/>
      <c r="B151" s="141"/>
      <c r="C151" s="126"/>
      <c r="D151" s="126"/>
      <c r="E151" s="126"/>
      <c r="J151" s="115" t="s">
        <v>362</v>
      </c>
      <c r="K151" s="176">
        <f>SUBTOTAL(3,K150:K150)</f>
        <v>1</v>
      </c>
      <c r="L151" s="13">
        <f>SUBTOTAL(3,L150:L150)</f>
        <v>1</v>
      </c>
      <c r="M151" s="115"/>
      <c r="N151" s="115"/>
      <c r="O151" s="115"/>
      <c r="P151" s="115"/>
      <c r="Q151" s="127"/>
      <c r="R151" s="29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27"/>
      <c r="AI151" s="29"/>
    </row>
    <row r="152" spans="1:35" ht="19.5" x14ac:dyDescent="0.4">
      <c r="A152" s="85"/>
      <c r="B152" s="141"/>
      <c r="C152" s="126"/>
      <c r="D152" s="126"/>
      <c r="E152" s="126"/>
      <c r="K152" s="170" t="s">
        <v>143</v>
      </c>
      <c r="L152" s="172" t="s">
        <v>144</v>
      </c>
      <c r="M152" s="115"/>
      <c r="N152" s="115"/>
      <c r="O152" s="115"/>
      <c r="P152" s="115"/>
      <c r="Q152" s="127"/>
      <c r="R152" s="29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27"/>
      <c r="AI152" s="29"/>
    </row>
    <row r="153" spans="1:35" ht="19.5" x14ac:dyDescent="0.4">
      <c r="A153" s="85"/>
      <c r="B153" s="141"/>
      <c r="C153" s="126"/>
      <c r="D153" s="126"/>
      <c r="E153" s="126"/>
      <c r="J153" s="115" t="s">
        <v>363</v>
      </c>
      <c r="K153" s="170">
        <f>SUBTOTAL(3,K152:K152)</f>
        <v>1</v>
      </c>
      <c r="L153" s="172">
        <f>SUBTOTAL(3,L152:L152)</f>
        <v>1</v>
      </c>
      <c r="M153" s="115"/>
      <c r="N153" s="115"/>
      <c r="O153" s="115"/>
      <c r="P153" s="115"/>
      <c r="Q153" s="127"/>
      <c r="R153" s="29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27"/>
      <c r="AI153" s="29"/>
    </row>
    <row r="154" spans="1:35" ht="19.5" x14ac:dyDescent="0.4">
      <c r="A154" s="85"/>
      <c r="B154" s="141"/>
      <c r="C154" s="126"/>
      <c r="D154" s="126"/>
      <c r="E154" s="126"/>
      <c r="J154" s="115" t="s">
        <v>145</v>
      </c>
      <c r="K154" s="170">
        <f>SUBTOTAL(3,K2:K152)</f>
        <v>127</v>
      </c>
      <c r="L154" s="172">
        <f>SUBTOTAL(3,L2:L152)</f>
        <v>127</v>
      </c>
      <c r="M154" s="115"/>
      <c r="N154" s="115"/>
      <c r="O154" s="115"/>
      <c r="P154" s="115"/>
      <c r="Q154" s="127"/>
      <c r="R154" s="29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27"/>
      <c r="AI154" s="29"/>
    </row>
    <row r="155" spans="1:35" ht="19.5" x14ac:dyDescent="0.4">
      <c r="A155" s="85"/>
      <c r="B155" s="141"/>
      <c r="C155" s="126"/>
      <c r="D155" s="126"/>
      <c r="E155" s="126"/>
      <c r="I155" s="115"/>
      <c r="J155" s="115"/>
      <c r="K155" s="170"/>
      <c r="L155" s="172"/>
      <c r="M155" s="115"/>
      <c r="N155" s="115"/>
      <c r="O155" s="115"/>
      <c r="P155" s="115"/>
      <c r="Q155" s="127"/>
      <c r="R155" s="29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27"/>
      <c r="AI155" s="29"/>
    </row>
    <row r="156" spans="1:35" ht="19.5" x14ac:dyDescent="0.4">
      <c r="A156" s="85"/>
      <c r="B156" s="141"/>
      <c r="C156" s="126"/>
      <c r="D156" s="126"/>
      <c r="E156" s="126"/>
      <c r="K156" s="25"/>
      <c r="L156" s="13"/>
      <c r="M156" s="115"/>
      <c r="N156" s="115"/>
      <c r="O156" s="115"/>
      <c r="P156" s="115"/>
      <c r="Q156" s="127"/>
      <c r="R156" s="29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27"/>
      <c r="AI156" s="29"/>
    </row>
    <row r="157" spans="1:35" ht="19.5" x14ac:dyDescent="0.4">
      <c r="A157" s="85"/>
      <c r="B157" s="141"/>
      <c r="C157" s="126"/>
      <c r="D157" s="126"/>
      <c r="E157" s="126"/>
      <c r="K157" s="25"/>
      <c r="L157" s="13"/>
      <c r="M157" s="115"/>
      <c r="N157" s="115"/>
      <c r="O157" s="115"/>
      <c r="P157" s="115"/>
      <c r="Q157" s="127"/>
      <c r="R157" s="29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27"/>
      <c r="AI157" s="29"/>
    </row>
    <row r="158" spans="1:35" ht="19.5" x14ac:dyDescent="0.4">
      <c r="A158" s="85"/>
      <c r="B158" s="141"/>
      <c r="C158" s="126"/>
      <c r="D158" s="126"/>
      <c r="E158" s="126"/>
      <c r="K158" s="25"/>
      <c r="L158" s="13"/>
      <c r="M158" s="115"/>
      <c r="N158" s="115"/>
      <c r="O158" s="115"/>
      <c r="P158" s="115"/>
      <c r="Q158" s="127"/>
      <c r="R158" s="29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27"/>
      <c r="AI158" s="29"/>
    </row>
    <row r="159" spans="1:35" ht="19.5" x14ac:dyDescent="0.4">
      <c r="A159" s="85"/>
      <c r="B159" s="141"/>
      <c r="C159" s="126"/>
      <c r="D159" s="126"/>
      <c r="E159" s="126"/>
      <c r="K159" s="25"/>
      <c r="L159" s="13"/>
      <c r="M159" s="115"/>
      <c r="N159" s="115"/>
      <c r="O159" s="115"/>
      <c r="P159" s="115"/>
      <c r="Q159" s="127"/>
      <c r="R159" s="29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29"/>
      <c r="AI159" s="29"/>
    </row>
    <row r="160" spans="1:35" ht="19.5" x14ac:dyDescent="0.4">
      <c r="A160" s="85"/>
      <c r="B160" s="141"/>
      <c r="C160" s="126"/>
      <c r="D160" s="126"/>
      <c r="E160" s="126"/>
      <c r="K160" s="25"/>
      <c r="L160" s="13"/>
      <c r="M160" s="115"/>
      <c r="N160" s="115"/>
      <c r="O160" s="115"/>
      <c r="P160" s="115"/>
      <c r="Q160" s="127"/>
      <c r="R160" s="29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27"/>
      <c r="AI160" s="29"/>
    </row>
    <row r="161" spans="1:35" ht="19.5" x14ac:dyDescent="0.4">
      <c r="A161" s="85"/>
      <c r="B161" s="141"/>
      <c r="C161" s="126"/>
      <c r="D161" s="126"/>
      <c r="E161" s="126"/>
      <c r="K161" s="25"/>
      <c r="L161" s="13"/>
      <c r="M161" s="115"/>
      <c r="N161" s="115"/>
      <c r="O161" s="115"/>
      <c r="P161" s="115"/>
      <c r="Q161" s="127"/>
      <c r="R161" s="29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27"/>
      <c r="AI161" s="29"/>
    </row>
    <row r="162" spans="1:35" ht="19.5" x14ac:dyDescent="0.4">
      <c r="A162" s="85"/>
      <c r="B162" s="141"/>
      <c r="C162" s="126"/>
      <c r="D162" s="126"/>
      <c r="E162" s="126"/>
      <c r="K162" s="25"/>
      <c r="L162" s="13"/>
      <c r="M162" s="115"/>
      <c r="N162" s="115"/>
      <c r="O162" s="115"/>
      <c r="P162" s="115"/>
      <c r="Q162" s="127"/>
      <c r="R162" s="29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27"/>
      <c r="AI162" s="29"/>
    </row>
    <row r="163" spans="1:35" ht="19.5" x14ac:dyDescent="0.4">
      <c r="A163" s="85"/>
      <c r="B163" s="141"/>
      <c r="C163" s="126"/>
      <c r="D163" s="126"/>
      <c r="E163" s="126"/>
      <c r="K163" s="25"/>
      <c r="L163" s="13"/>
      <c r="M163" s="115"/>
      <c r="N163" s="115"/>
      <c r="O163" s="115"/>
      <c r="P163" s="115"/>
      <c r="Q163" s="127"/>
      <c r="R163" s="29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29"/>
      <c r="AI163" s="29"/>
    </row>
    <row r="164" spans="1:35" ht="19.5" x14ac:dyDescent="0.4">
      <c r="A164" s="85"/>
      <c r="B164" s="141"/>
      <c r="C164" s="126"/>
      <c r="D164" s="126"/>
      <c r="E164" s="126"/>
      <c r="K164" s="25"/>
      <c r="L164" s="13"/>
      <c r="M164" s="115"/>
      <c r="N164" s="115"/>
      <c r="O164" s="115"/>
      <c r="P164" s="115"/>
      <c r="Q164" s="127"/>
      <c r="R164" s="29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29"/>
      <c r="AI164" s="29"/>
    </row>
    <row r="165" spans="1:35" ht="19.5" x14ac:dyDescent="0.4">
      <c r="A165" s="85"/>
      <c r="B165" s="141"/>
      <c r="C165" s="126"/>
      <c r="D165" s="126"/>
      <c r="E165" s="126"/>
      <c r="K165" s="25"/>
      <c r="L165" s="13"/>
      <c r="M165" s="115"/>
      <c r="N165" s="115"/>
      <c r="O165" s="115"/>
      <c r="P165" s="115"/>
      <c r="Q165" s="127"/>
      <c r="R165" s="29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29"/>
      <c r="AI165" s="29"/>
    </row>
    <row r="166" spans="1:35" ht="19.5" x14ac:dyDescent="0.4">
      <c r="A166" s="85"/>
      <c r="B166" s="141"/>
      <c r="C166" s="126"/>
      <c r="D166" s="126"/>
      <c r="E166" s="126"/>
      <c r="K166" s="25"/>
      <c r="L166" s="13"/>
      <c r="M166" s="115"/>
      <c r="N166" s="115"/>
      <c r="O166" s="115"/>
      <c r="P166" s="115"/>
      <c r="Q166" s="127"/>
      <c r="R166" s="29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29"/>
      <c r="AI166" s="29"/>
    </row>
    <row r="167" spans="1:35" ht="19.5" x14ac:dyDescent="0.4">
      <c r="A167" s="85"/>
      <c r="B167" s="141"/>
      <c r="C167" s="126"/>
      <c r="D167" s="126"/>
      <c r="E167" s="126"/>
      <c r="K167" s="26"/>
      <c r="L167" s="13"/>
      <c r="M167" s="115"/>
      <c r="N167" s="115"/>
      <c r="O167" s="115"/>
      <c r="P167" s="115"/>
      <c r="Q167" s="127"/>
      <c r="R167" s="29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27"/>
      <c r="AI167" s="29"/>
    </row>
    <row r="168" spans="1:35" ht="19.5" x14ac:dyDescent="0.4">
      <c r="A168" s="85"/>
      <c r="B168" s="141"/>
      <c r="C168" s="126"/>
      <c r="D168" s="126"/>
      <c r="E168" s="126"/>
      <c r="I168" s="115"/>
      <c r="J168" s="115"/>
      <c r="K168" s="17"/>
      <c r="L168" s="13"/>
      <c r="M168" s="115"/>
      <c r="N168" s="115"/>
      <c r="O168" s="115"/>
      <c r="P168" s="115"/>
      <c r="Q168" s="127"/>
      <c r="R168" s="29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27"/>
      <c r="AI168" s="29"/>
    </row>
    <row r="169" spans="1:35" ht="19.5" x14ac:dyDescent="0.4">
      <c r="A169" s="85"/>
      <c r="B169" s="141"/>
      <c r="C169" s="126"/>
      <c r="D169" s="126"/>
      <c r="E169" s="126"/>
      <c r="K169" s="26"/>
      <c r="L169" s="13"/>
      <c r="M169" s="115"/>
      <c r="N169" s="115"/>
      <c r="O169" s="115"/>
      <c r="P169" s="115"/>
      <c r="Q169" s="29"/>
      <c r="R169" s="29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27"/>
      <c r="AI169" s="29"/>
    </row>
    <row r="170" spans="1:35" ht="19.5" x14ac:dyDescent="0.4">
      <c r="A170" s="85"/>
      <c r="B170" s="141"/>
      <c r="C170" s="126"/>
      <c r="D170" s="126"/>
      <c r="E170" s="126"/>
      <c r="K170" s="26"/>
      <c r="L170" s="13"/>
      <c r="M170" s="115"/>
      <c r="N170" s="115"/>
      <c r="O170" s="115"/>
      <c r="P170" s="115"/>
      <c r="Q170" s="127"/>
      <c r="R170" s="29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27"/>
      <c r="AI170" s="29"/>
    </row>
    <row r="171" spans="1:35" ht="19.5" x14ac:dyDescent="0.4">
      <c r="A171" s="85"/>
      <c r="B171" s="141"/>
      <c r="C171" s="126"/>
      <c r="D171" s="126"/>
      <c r="E171" s="126"/>
      <c r="K171" s="26"/>
      <c r="L171" s="13"/>
      <c r="M171" s="115"/>
      <c r="N171" s="115"/>
      <c r="O171" s="115"/>
      <c r="P171" s="115"/>
      <c r="Q171" s="127"/>
      <c r="R171" s="29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27"/>
      <c r="AI171" s="29"/>
    </row>
    <row r="172" spans="1:35" ht="19.5" x14ac:dyDescent="0.4">
      <c r="A172" s="85"/>
      <c r="B172" s="141"/>
      <c r="C172" s="126"/>
      <c r="D172" s="126"/>
      <c r="E172" s="126"/>
      <c r="K172" s="26"/>
      <c r="L172" s="13"/>
      <c r="M172" s="115"/>
      <c r="N172" s="115"/>
      <c r="O172" s="115"/>
      <c r="P172" s="115"/>
      <c r="Q172" s="127"/>
      <c r="R172" s="29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27"/>
      <c r="AI172" s="29"/>
    </row>
    <row r="173" spans="1:35" ht="19.5" x14ac:dyDescent="0.4">
      <c r="A173" s="85"/>
      <c r="B173" s="141"/>
      <c r="C173" s="126"/>
      <c r="D173" s="126"/>
      <c r="E173" s="126"/>
      <c r="K173" s="26"/>
      <c r="L173" s="13"/>
      <c r="M173" s="115"/>
      <c r="N173" s="115"/>
      <c r="O173" s="115"/>
      <c r="P173" s="115"/>
      <c r="Q173" s="127"/>
      <c r="R173" s="29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27"/>
      <c r="AI173" s="29"/>
    </row>
    <row r="174" spans="1:35" ht="19.5" x14ac:dyDescent="0.4">
      <c r="A174" s="85"/>
      <c r="B174" s="141"/>
      <c r="C174" s="126"/>
      <c r="D174" s="126"/>
      <c r="E174" s="126"/>
      <c r="K174" s="26"/>
      <c r="L174" s="13"/>
      <c r="M174" s="115"/>
      <c r="N174" s="115"/>
      <c r="O174" s="115"/>
      <c r="P174" s="115"/>
      <c r="Q174" s="127"/>
      <c r="R174" s="29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27"/>
      <c r="AI174" s="29"/>
    </row>
    <row r="175" spans="1:35" ht="19.5" x14ac:dyDescent="0.4">
      <c r="A175" s="85"/>
      <c r="B175" s="141"/>
      <c r="C175" s="126"/>
      <c r="D175" s="126"/>
      <c r="E175" s="126"/>
      <c r="K175" s="26"/>
      <c r="L175" s="13"/>
      <c r="M175" s="115"/>
      <c r="N175" s="115"/>
      <c r="O175" s="115"/>
      <c r="P175" s="115"/>
      <c r="Q175" s="127"/>
      <c r="R175" s="29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27"/>
      <c r="AI175" s="29"/>
    </row>
    <row r="176" spans="1:35" ht="19.5" x14ac:dyDescent="0.4">
      <c r="A176" s="85"/>
      <c r="B176" s="141"/>
      <c r="C176" s="126"/>
      <c r="D176" s="126"/>
      <c r="E176" s="126"/>
      <c r="K176" s="26"/>
      <c r="L176" s="13"/>
      <c r="M176" s="115"/>
      <c r="N176" s="115"/>
      <c r="O176" s="115"/>
      <c r="P176" s="115"/>
      <c r="Q176" s="29"/>
      <c r="R176" s="29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27"/>
      <c r="AI176" s="29"/>
    </row>
    <row r="177" spans="1:35" ht="19.5" x14ac:dyDescent="0.4">
      <c r="A177" s="85"/>
      <c r="B177" s="141"/>
      <c r="C177" s="126"/>
      <c r="D177" s="126"/>
      <c r="E177" s="126"/>
      <c r="I177" s="115"/>
      <c r="J177" s="115"/>
      <c r="K177" s="17"/>
      <c r="L177" s="13"/>
      <c r="M177" s="115"/>
      <c r="N177" s="115"/>
      <c r="O177" s="115"/>
      <c r="P177" s="115"/>
      <c r="Q177" s="29"/>
      <c r="R177" s="29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27"/>
      <c r="AI177" s="29"/>
    </row>
    <row r="178" spans="1:35" ht="19.5" x14ac:dyDescent="0.4">
      <c r="A178" s="85"/>
      <c r="B178" s="141"/>
      <c r="C178" s="126"/>
      <c r="D178" s="126"/>
      <c r="E178" s="126"/>
      <c r="K178" s="26"/>
      <c r="L178" s="13"/>
      <c r="M178" s="115"/>
      <c r="N178" s="115"/>
      <c r="O178" s="115"/>
      <c r="P178" s="115"/>
      <c r="Q178" s="127"/>
      <c r="R178" s="29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27"/>
      <c r="AI178" s="29"/>
    </row>
    <row r="179" spans="1:35" ht="19.5" x14ac:dyDescent="0.4">
      <c r="A179" s="85"/>
      <c r="B179" s="141"/>
      <c r="C179" s="126"/>
      <c r="D179" s="126"/>
      <c r="E179" s="126"/>
      <c r="K179" s="26"/>
      <c r="L179" s="13"/>
      <c r="M179" s="115"/>
      <c r="N179" s="115"/>
      <c r="O179" s="115"/>
      <c r="P179" s="115"/>
      <c r="Q179" s="127"/>
      <c r="R179" s="29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27"/>
      <c r="AI179" s="29"/>
    </row>
    <row r="180" spans="1:35" ht="19.5" x14ac:dyDescent="0.4">
      <c r="A180" s="85"/>
      <c r="B180" s="141"/>
      <c r="C180" s="126"/>
      <c r="D180" s="126"/>
      <c r="E180" s="126"/>
      <c r="I180" s="115"/>
      <c r="J180" s="115"/>
      <c r="K180" s="17"/>
      <c r="L180" s="13"/>
      <c r="M180" s="115"/>
      <c r="N180" s="115"/>
      <c r="O180" s="115"/>
      <c r="P180" s="115"/>
      <c r="Q180" s="127"/>
      <c r="R180" s="29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27"/>
      <c r="AI180" s="29"/>
    </row>
    <row r="181" spans="1:35" ht="19.5" x14ac:dyDescent="0.4">
      <c r="A181" s="85"/>
      <c r="B181" s="141"/>
      <c r="C181" s="126"/>
      <c r="D181" s="126"/>
      <c r="E181" s="126"/>
      <c r="K181" s="26"/>
      <c r="L181" s="13"/>
      <c r="M181" s="115"/>
      <c r="N181" s="115"/>
      <c r="O181" s="115"/>
      <c r="P181" s="115"/>
      <c r="Q181" s="127"/>
      <c r="R181" s="29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27"/>
      <c r="AI181" s="29"/>
    </row>
    <row r="182" spans="1:35" ht="19.5" x14ac:dyDescent="0.4">
      <c r="A182" s="85"/>
      <c r="B182" s="141"/>
      <c r="C182" s="126"/>
      <c r="D182" s="126"/>
      <c r="E182" s="126"/>
      <c r="I182" s="115"/>
      <c r="J182" s="115"/>
      <c r="K182" s="119"/>
      <c r="L182" s="119"/>
      <c r="M182" s="115"/>
      <c r="N182" s="115"/>
      <c r="O182" s="115"/>
      <c r="P182" s="115"/>
      <c r="Q182" s="127"/>
      <c r="R182" s="29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27"/>
      <c r="AI182" s="29"/>
    </row>
    <row r="183" spans="1:35" ht="19.5" x14ac:dyDescent="0.4">
      <c r="A183" s="85"/>
      <c r="B183" s="141"/>
      <c r="C183" s="126"/>
      <c r="D183" s="126"/>
      <c r="E183" s="126"/>
      <c r="I183" s="115"/>
      <c r="J183" s="115"/>
      <c r="K183" s="119"/>
      <c r="L183" s="119"/>
      <c r="M183" s="115"/>
      <c r="N183" s="115"/>
      <c r="O183" s="115"/>
      <c r="P183" s="115"/>
      <c r="Q183" s="127"/>
      <c r="R183" s="29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27"/>
      <c r="AI183" s="29"/>
    </row>
    <row r="184" spans="1:35" ht="19.5" x14ac:dyDescent="0.4">
      <c r="A184" s="85"/>
      <c r="B184" s="141"/>
      <c r="C184" s="126"/>
      <c r="D184" s="126"/>
      <c r="E184" s="126"/>
      <c r="K184" s="115"/>
      <c r="L184" s="115"/>
      <c r="M184" s="115"/>
      <c r="N184" s="115"/>
      <c r="O184" s="115"/>
      <c r="P184" s="115"/>
      <c r="Q184" s="127"/>
      <c r="R184" s="29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27"/>
      <c r="AI184" s="29"/>
    </row>
    <row r="185" spans="1:35" ht="19.5" x14ac:dyDescent="0.4">
      <c r="A185" s="85"/>
      <c r="B185" s="141"/>
      <c r="C185" s="126"/>
      <c r="D185" s="126"/>
      <c r="E185" s="126"/>
      <c r="K185" s="115"/>
      <c r="L185" s="115"/>
      <c r="M185" s="115"/>
      <c r="N185" s="115"/>
      <c r="O185" s="115"/>
      <c r="P185" s="115"/>
      <c r="Q185" s="127"/>
      <c r="R185" s="29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27"/>
      <c r="AI185" s="29"/>
    </row>
    <row r="186" spans="1:35" ht="19.5" x14ac:dyDescent="0.4">
      <c r="A186" s="85"/>
      <c r="B186" s="141"/>
      <c r="C186" s="126"/>
      <c r="D186" s="126"/>
      <c r="E186" s="126"/>
      <c r="K186" s="115"/>
      <c r="L186" s="115"/>
      <c r="M186" s="115"/>
      <c r="N186" s="115"/>
      <c r="O186" s="115"/>
      <c r="P186" s="115"/>
      <c r="Q186" s="127"/>
      <c r="R186" s="29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27"/>
      <c r="AI186" s="29"/>
    </row>
    <row r="187" spans="1:35" ht="19.5" x14ac:dyDescent="0.4">
      <c r="A187" s="85"/>
      <c r="B187" s="141"/>
      <c r="C187" s="126"/>
      <c r="D187" s="126"/>
      <c r="E187" s="126"/>
      <c r="K187" s="115"/>
      <c r="L187" s="115"/>
      <c r="M187" s="115"/>
      <c r="N187" s="115"/>
      <c r="O187" s="115"/>
      <c r="P187" s="115"/>
      <c r="Q187" s="127"/>
      <c r="R187" s="29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27"/>
      <c r="AI187" s="29"/>
    </row>
    <row r="188" spans="1:35" ht="19.5" x14ac:dyDescent="0.4">
      <c r="A188" s="85"/>
      <c r="B188" s="141"/>
      <c r="C188" s="126"/>
      <c r="D188" s="126"/>
      <c r="E188" s="126"/>
      <c r="K188" s="115"/>
      <c r="L188" s="115"/>
      <c r="M188" s="115"/>
      <c r="N188" s="115"/>
      <c r="O188" s="115"/>
      <c r="P188" s="115"/>
      <c r="Q188" s="127"/>
      <c r="R188" s="29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27"/>
      <c r="AI188" s="29"/>
    </row>
    <row r="189" spans="1:35" ht="19.5" x14ac:dyDescent="0.4">
      <c r="A189" s="85"/>
      <c r="B189" s="141"/>
      <c r="C189" s="126"/>
      <c r="D189" s="126"/>
      <c r="E189" s="126"/>
      <c r="K189" s="115"/>
      <c r="L189" s="115"/>
      <c r="M189" s="115"/>
      <c r="N189" s="115"/>
      <c r="O189" s="115"/>
      <c r="P189" s="115"/>
      <c r="Q189" s="127"/>
      <c r="R189" s="29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27"/>
      <c r="AI189" s="29"/>
    </row>
    <row r="190" spans="1:35" ht="19.5" x14ac:dyDescent="0.4">
      <c r="A190" s="85"/>
      <c r="B190" s="141"/>
      <c r="C190" s="126"/>
      <c r="D190" s="126"/>
      <c r="E190" s="126"/>
      <c r="K190" s="115"/>
      <c r="L190" s="115"/>
      <c r="M190" s="115"/>
      <c r="N190" s="115"/>
      <c r="O190" s="115"/>
      <c r="P190" s="115"/>
      <c r="Q190" s="127"/>
      <c r="R190" s="29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29"/>
      <c r="AI190" s="29"/>
    </row>
    <row r="191" spans="1:35" ht="19.5" x14ac:dyDescent="0.4">
      <c r="A191" s="85"/>
      <c r="B191" s="141"/>
      <c r="C191" s="126"/>
      <c r="D191" s="126"/>
      <c r="E191" s="126"/>
      <c r="K191" s="115"/>
      <c r="L191" s="115"/>
      <c r="M191" s="115"/>
      <c r="N191" s="115"/>
      <c r="O191" s="115"/>
      <c r="P191" s="115"/>
      <c r="Q191" s="29"/>
      <c r="R191" s="29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29"/>
      <c r="AI191" s="29"/>
    </row>
    <row r="192" spans="1:35" ht="19.5" x14ac:dyDescent="0.4">
      <c r="A192" s="85"/>
      <c r="B192" s="141"/>
      <c r="C192" s="126"/>
      <c r="D192" s="126"/>
      <c r="E192" s="126"/>
      <c r="K192" s="115"/>
      <c r="L192" s="115"/>
      <c r="M192" s="115"/>
      <c r="N192" s="115"/>
      <c r="O192" s="115"/>
      <c r="P192" s="115"/>
      <c r="Q192" s="127"/>
      <c r="R192" s="29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29"/>
      <c r="AI192" s="29"/>
    </row>
    <row r="193" spans="1:35" ht="19.5" x14ac:dyDescent="0.4">
      <c r="A193" s="85"/>
      <c r="B193" s="141"/>
      <c r="C193" s="126"/>
      <c r="D193" s="126"/>
      <c r="E193" s="126"/>
      <c r="K193" s="115"/>
      <c r="L193" s="115"/>
      <c r="M193" s="115"/>
      <c r="N193" s="115"/>
      <c r="O193" s="115"/>
      <c r="P193" s="115"/>
      <c r="Q193" s="127"/>
      <c r="R193" s="29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27"/>
      <c r="AI193" s="29"/>
    </row>
    <row r="194" spans="1:35" ht="19.5" x14ac:dyDescent="0.4">
      <c r="A194" s="85"/>
      <c r="B194" s="141"/>
      <c r="C194" s="126"/>
      <c r="D194" s="126"/>
      <c r="E194" s="126"/>
      <c r="K194" s="115"/>
      <c r="L194" s="115"/>
      <c r="M194" s="115"/>
      <c r="N194" s="115"/>
      <c r="O194" s="115"/>
      <c r="P194" s="115"/>
      <c r="Q194" s="127"/>
      <c r="R194" s="29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27"/>
      <c r="AI194" s="29"/>
    </row>
    <row r="195" spans="1:35" ht="19.5" x14ac:dyDescent="0.4">
      <c r="A195" s="85"/>
      <c r="B195" s="141"/>
      <c r="C195" s="126"/>
      <c r="D195" s="126"/>
      <c r="E195" s="126"/>
      <c r="K195" s="115"/>
      <c r="L195" s="115"/>
      <c r="M195" s="115"/>
      <c r="N195" s="115"/>
      <c r="O195" s="115"/>
      <c r="P195" s="115"/>
      <c r="Q195" s="127"/>
      <c r="R195" s="29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27"/>
      <c r="AI195" s="29"/>
    </row>
    <row r="196" spans="1:35" ht="19.5" x14ac:dyDescent="0.4">
      <c r="A196" s="85"/>
      <c r="B196" s="141"/>
      <c r="C196" s="126"/>
      <c r="D196" s="126"/>
      <c r="E196" s="126"/>
      <c r="K196" s="115"/>
      <c r="L196" s="115"/>
      <c r="M196" s="115"/>
      <c r="N196" s="115"/>
      <c r="O196" s="115"/>
      <c r="P196" s="115"/>
      <c r="Q196" s="29"/>
      <c r="R196" s="29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27"/>
      <c r="AI196" s="29"/>
    </row>
    <row r="197" spans="1:35" ht="19.5" x14ac:dyDescent="0.4">
      <c r="A197" s="85"/>
      <c r="B197" s="141"/>
      <c r="C197" s="126"/>
      <c r="D197" s="126"/>
      <c r="E197" s="126"/>
      <c r="K197" s="115"/>
      <c r="L197" s="115"/>
      <c r="M197" s="115"/>
      <c r="N197" s="115"/>
      <c r="O197" s="115"/>
      <c r="P197" s="115"/>
      <c r="Q197" s="127"/>
      <c r="R197" s="29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27"/>
      <c r="AI197" s="29"/>
    </row>
    <row r="198" spans="1:35" ht="19.5" x14ac:dyDescent="0.4">
      <c r="A198" s="85"/>
      <c r="B198" s="141"/>
      <c r="C198" s="126"/>
      <c r="D198" s="126"/>
      <c r="E198" s="126"/>
      <c r="K198" s="115"/>
      <c r="L198" s="115"/>
      <c r="M198" s="115"/>
      <c r="N198" s="115"/>
      <c r="O198" s="115"/>
      <c r="P198" s="115"/>
      <c r="Q198" s="29"/>
      <c r="R198" s="29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27"/>
      <c r="AI198" s="29"/>
    </row>
    <row r="199" spans="1:35" ht="19.5" x14ac:dyDescent="0.4">
      <c r="A199" s="85"/>
      <c r="B199" s="141"/>
      <c r="C199" s="126"/>
      <c r="D199" s="126"/>
      <c r="E199" s="126"/>
      <c r="K199" s="115"/>
      <c r="L199" s="115"/>
      <c r="M199" s="115"/>
      <c r="N199" s="115"/>
      <c r="O199" s="115"/>
      <c r="P199" s="115"/>
      <c r="Q199" s="127"/>
      <c r="R199" s="29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29"/>
      <c r="AI199" s="29"/>
    </row>
    <row r="200" spans="1:35" ht="19.5" x14ac:dyDescent="0.4">
      <c r="A200" s="85"/>
      <c r="B200" s="141"/>
      <c r="C200" s="126"/>
      <c r="D200" s="126"/>
      <c r="E200" s="126"/>
      <c r="K200" s="115"/>
      <c r="L200" s="115"/>
      <c r="M200" s="115"/>
      <c r="N200" s="115"/>
      <c r="O200" s="115"/>
      <c r="P200" s="115"/>
      <c r="Q200" s="127"/>
      <c r="R200" s="29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27"/>
      <c r="AI200" s="29"/>
    </row>
    <row r="201" spans="1:35" ht="19.5" x14ac:dyDescent="0.4">
      <c r="A201" s="85"/>
      <c r="B201" s="141"/>
      <c r="C201" s="126"/>
      <c r="D201" s="126"/>
      <c r="E201" s="126"/>
      <c r="K201" s="115"/>
      <c r="L201" s="115"/>
      <c r="M201" s="115"/>
      <c r="N201" s="115"/>
      <c r="O201" s="115"/>
      <c r="P201" s="115"/>
      <c r="Q201" s="29"/>
      <c r="R201" s="29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27"/>
      <c r="AI201" s="29"/>
    </row>
    <row r="202" spans="1:35" ht="19.5" x14ac:dyDescent="0.4">
      <c r="A202" s="85"/>
      <c r="B202" s="141"/>
      <c r="C202" s="126"/>
      <c r="D202" s="126"/>
      <c r="E202" s="126"/>
      <c r="K202" s="115"/>
      <c r="L202" s="115"/>
      <c r="M202" s="115"/>
      <c r="N202" s="115"/>
      <c r="O202" s="115"/>
      <c r="P202" s="115"/>
      <c r="Q202" s="127"/>
      <c r="R202" s="29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27"/>
      <c r="AI202" s="29"/>
    </row>
    <row r="203" spans="1:35" ht="19.5" x14ac:dyDescent="0.4">
      <c r="A203" s="85"/>
      <c r="B203" s="141"/>
      <c r="C203" s="126"/>
      <c r="D203" s="126"/>
      <c r="E203" s="126"/>
      <c r="K203" s="115"/>
      <c r="L203" s="115"/>
      <c r="M203" s="115"/>
      <c r="N203" s="115"/>
      <c r="O203" s="115"/>
      <c r="P203" s="115"/>
      <c r="Q203" s="127"/>
      <c r="R203" s="29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27"/>
      <c r="AI203" s="29"/>
    </row>
    <row r="204" spans="1:35" ht="19.5" x14ac:dyDescent="0.4">
      <c r="A204" s="85"/>
      <c r="B204" s="141"/>
      <c r="C204" s="126"/>
      <c r="D204" s="126"/>
      <c r="E204" s="126"/>
      <c r="K204" s="115"/>
      <c r="L204" s="115"/>
      <c r="M204" s="115"/>
      <c r="N204" s="115"/>
      <c r="O204" s="115"/>
      <c r="P204" s="115"/>
      <c r="Q204" s="127"/>
      <c r="R204" s="29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27"/>
      <c r="AI204" s="29"/>
    </row>
    <row r="205" spans="1:35" ht="19.5" x14ac:dyDescent="0.4">
      <c r="A205" s="85"/>
      <c r="B205" s="141"/>
      <c r="C205" s="126"/>
      <c r="D205" s="126"/>
      <c r="E205" s="126"/>
      <c r="K205" s="115"/>
      <c r="L205" s="115"/>
      <c r="M205" s="115"/>
      <c r="N205" s="115"/>
      <c r="O205" s="115"/>
      <c r="P205" s="115"/>
      <c r="Q205" s="127"/>
      <c r="R205" s="29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27"/>
      <c r="AI205" s="29"/>
    </row>
    <row r="206" spans="1:35" ht="19.5" x14ac:dyDescent="0.4">
      <c r="A206" s="85"/>
      <c r="B206" s="141"/>
      <c r="C206" s="126"/>
      <c r="D206" s="126"/>
      <c r="E206" s="126"/>
      <c r="K206" s="115"/>
      <c r="L206" s="115"/>
      <c r="M206" s="115"/>
      <c r="N206" s="115"/>
      <c r="O206" s="115"/>
      <c r="P206" s="115"/>
      <c r="Q206" s="127"/>
      <c r="R206" s="29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27"/>
      <c r="AI206" s="29"/>
    </row>
    <row r="207" spans="1:35" ht="19.5" x14ac:dyDescent="0.4">
      <c r="A207" s="85"/>
      <c r="B207" s="141"/>
      <c r="C207" s="126"/>
      <c r="D207" s="126"/>
      <c r="E207" s="126"/>
      <c r="K207" s="115"/>
      <c r="L207" s="115"/>
      <c r="M207" s="115"/>
      <c r="N207" s="115"/>
      <c r="O207" s="115"/>
      <c r="P207" s="115"/>
      <c r="Q207" s="127"/>
      <c r="R207" s="29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27"/>
      <c r="AI207" s="29"/>
    </row>
    <row r="208" spans="1:35" ht="19.5" x14ac:dyDescent="0.4">
      <c r="A208" s="85"/>
      <c r="B208" s="141"/>
      <c r="C208" s="126"/>
      <c r="D208" s="126"/>
      <c r="E208" s="126"/>
      <c r="K208" s="115"/>
      <c r="L208" s="115"/>
      <c r="M208" s="115"/>
      <c r="N208" s="115"/>
      <c r="O208" s="115"/>
      <c r="P208" s="115"/>
      <c r="Q208" s="127"/>
      <c r="R208" s="29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27"/>
      <c r="AI208" s="29"/>
    </row>
    <row r="209" spans="1:35" ht="19.5" x14ac:dyDescent="0.4">
      <c r="A209" s="85"/>
      <c r="B209" s="141"/>
      <c r="C209" s="126"/>
      <c r="D209" s="126"/>
      <c r="E209" s="126"/>
      <c r="K209" s="115"/>
      <c r="L209" s="115"/>
      <c r="M209" s="115"/>
      <c r="N209" s="115"/>
      <c r="O209" s="115"/>
      <c r="P209" s="115"/>
      <c r="Q209" s="127"/>
      <c r="R209" s="29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27"/>
      <c r="AI209" s="29"/>
    </row>
    <row r="210" spans="1:35" ht="19.5" x14ac:dyDescent="0.4">
      <c r="A210" s="85"/>
      <c r="B210" s="141"/>
      <c r="C210" s="126"/>
      <c r="D210" s="126"/>
      <c r="E210" s="126"/>
      <c r="K210" s="115"/>
      <c r="L210" s="115"/>
      <c r="M210" s="115"/>
      <c r="N210" s="115"/>
      <c r="O210" s="115"/>
      <c r="P210" s="115"/>
      <c r="Q210" s="29"/>
      <c r="R210" s="29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27"/>
      <c r="AI210" s="29"/>
    </row>
    <row r="211" spans="1:35" ht="19.5" x14ac:dyDescent="0.4">
      <c r="A211" s="85"/>
      <c r="B211" s="141"/>
      <c r="C211" s="126"/>
      <c r="D211" s="126"/>
      <c r="E211" s="126"/>
      <c r="K211" s="115"/>
      <c r="L211" s="115"/>
      <c r="M211" s="115"/>
      <c r="N211" s="115"/>
      <c r="O211" s="115"/>
      <c r="P211" s="115"/>
      <c r="Q211" s="127"/>
      <c r="R211" s="29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27"/>
      <c r="AI211" s="29"/>
    </row>
    <row r="212" spans="1:35" ht="19.5" x14ac:dyDescent="0.4">
      <c r="A212" s="86"/>
      <c r="B212" s="141"/>
      <c r="C212" s="126"/>
      <c r="D212" s="126"/>
      <c r="E212" s="126"/>
      <c r="K212" s="115"/>
      <c r="L212" s="115"/>
      <c r="M212" s="115"/>
      <c r="N212" s="115"/>
      <c r="O212" s="115"/>
      <c r="P212" s="115"/>
      <c r="Q212" s="127"/>
      <c r="R212" s="29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29"/>
      <c r="AI212" s="29"/>
    </row>
    <row r="213" spans="1:35" ht="19.5" x14ac:dyDescent="0.4">
      <c r="A213" s="86"/>
      <c r="B213" s="141"/>
      <c r="C213" s="126"/>
      <c r="D213" s="126"/>
      <c r="E213" s="126"/>
      <c r="K213" s="115"/>
      <c r="L213" s="115"/>
      <c r="M213" s="115"/>
      <c r="N213" s="115"/>
      <c r="O213" s="115"/>
      <c r="P213" s="115"/>
      <c r="Q213" s="127"/>
      <c r="R213" s="29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29"/>
      <c r="AI213" s="29"/>
    </row>
    <row r="214" spans="1:35" ht="19.5" x14ac:dyDescent="0.4">
      <c r="A214" s="86"/>
      <c r="B214" s="141"/>
      <c r="C214" s="126"/>
      <c r="D214" s="126"/>
      <c r="E214" s="126"/>
      <c r="K214" s="115"/>
      <c r="L214" s="115"/>
      <c r="M214" s="115"/>
      <c r="N214" s="115"/>
      <c r="O214" s="115"/>
      <c r="P214" s="115"/>
      <c r="Q214" s="29"/>
      <c r="R214" s="29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29"/>
      <c r="AI214" s="29"/>
    </row>
    <row r="215" spans="1:35" ht="19.5" x14ac:dyDescent="0.4">
      <c r="A215" s="86"/>
      <c r="B215" s="141"/>
      <c r="C215" s="126"/>
      <c r="D215" s="126"/>
      <c r="E215" s="126"/>
      <c r="K215" s="115"/>
      <c r="L215" s="115"/>
      <c r="M215" s="115"/>
      <c r="N215" s="115"/>
      <c r="O215" s="115"/>
      <c r="P215" s="115"/>
      <c r="Q215" s="127"/>
      <c r="R215" s="29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29"/>
      <c r="AI215" s="29"/>
    </row>
    <row r="216" spans="1:35" ht="19.5" x14ac:dyDescent="0.4">
      <c r="A216" s="86"/>
      <c r="B216" s="141"/>
      <c r="C216" s="126"/>
      <c r="D216" s="126"/>
      <c r="E216" s="126"/>
      <c r="K216" s="115"/>
      <c r="L216" s="115"/>
      <c r="M216" s="115"/>
      <c r="N216" s="115"/>
      <c r="O216" s="115"/>
      <c r="P216" s="115"/>
      <c r="Q216" s="29"/>
      <c r="R216" s="29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29"/>
      <c r="AI216" s="29"/>
    </row>
    <row r="217" spans="1:35" ht="19.5" x14ac:dyDescent="0.4">
      <c r="A217" s="86"/>
      <c r="B217" s="141"/>
      <c r="C217" s="126"/>
      <c r="D217" s="126"/>
      <c r="E217" s="126"/>
      <c r="K217" s="115"/>
      <c r="L217" s="115"/>
      <c r="M217" s="115"/>
      <c r="N217" s="115"/>
      <c r="O217" s="115"/>
      <c r="P217" s="115"/>
      <c r="Q217" s="127"/>
      <c r="R217" s="29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29"/>
      <c r="AI217" s="29"/>
    </row>
    <row r="218" spans="1:35" ht="19.5" x14ac:dyDescent="0.4">
      <c r="A218" s="86"/>
      <c r="B218" s="141"/>
      <c r="C218" s="126"/>
      <c r="D218" s="126"/>
      <c r="E218" s="126"/>
      <c r="K218" s="115"/>
      <c r="L218" s="115"/>
      <c r="M218" s="115"/>
      <c r="N218" s="115"/>
      <c r="O218" s="115"/>
      <c r="P218" s="115"/>
      <c r="Q218" s="127"/>
      <c r="R218" s="127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29"/>
      <c r="AI218" s="29"/>
    </row>
    <row r="219" spans="1:35" ht="19.5" x14ac:dyDescent="0.4">
      <c r="A219" s="86"/>
      <c r="B219" s="141"/>
      <c r="C219" s="126"/>
      <c r="D219" s="126"/>
      <c r="E219" s="126"/>
      <c r="K219" s="115"/>
      <c r="L219" s="115"/>
      <c r="M219" s="115"/>
      <c r="N219" s="115"/>
      <c r="O219" s="115"/>
      <c r="P219" s="115"/>
      <c r="Q219" s="127"/>
      <c r="R219" s="127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27"/>
      <c r="AI219" s="29"/>
    </row>
    <row r="220" spans="1:35" ht="19.5" x14ac:dyDescent="0.4">
      <c r="A220" s="86"/>
      <c r="B220" s="141"/>
      <c r="C220" s="126"/>
      <c r="D220" s="126"/>
      <c r="E220" s="126"/>
      <c r="K220" s="115"/>
      <c r="L220" s="115"/>
      <c r="M220" s="115"/>
      <c r="N220" s="115"/>
      <c r="O220" s="115"/>
      <c r="P220" s="115"/>
      <c r="Q220" s="127"/>
      <c r="R220" s="29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27"/>
      <c r="AI220" s="29"/>
    </row>
    <row r="221" spans="1:35" ht="19.5" x14ac:dyDescent="0.4">
      <c r="A221" s="86"/>
      <c r="B221" s="141"/>
      <c r="C221" s="126"/>
      <c r="D221" s="126"/>
      <c r="E221" s="126"/>
      <c r="K221" s="115"/>
      <c r="L221" s="115"/>
      <c r="M221" s="115"/>
      <c r="N221" s="115"/>
      <c r="O221" s="115"/>
      <c r="P221" s="115"/>
      <c r="Q221" s="127"/>
      <c r="R221" s="29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27"/>
      <c r="AI221" s="29"/>
    </row>
    <row r="222" spans="1:35" ht="19.5" x14ac:dyDescent="0.4">
      <c r="A222" s="86"/>
      <c r="B222" s="141"/>
      <c r="C222" s="126"/>
      <c r="D222" s="126"/>
      <c r="E222" s="126"/>
      <c r="K222" s="115"/>
      <c r="L222" s="115"/>
      <c r="M222" s="115"/>
      <c r="N222" s="115"/>
      <c r="O222" s="115"/>
      <c r="P222" s="115"/>
      <c r="Q222" s="127"/>
      <c r="R222" s="29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27"/>
      <c r="AI222" s="29"/>
    </row>
    <row r="223" spans="1:35" ht="19.5" x14ac:dyDescent="0.4">
      <c r="A223" s="86"/>
      <c r="B223" s="141"/>
      <c r="C223" s="126"/>
      <c r="D223" s="126"/>
      <c r="E223" s="126"/>
      <c r="K223" s="115"/>
      <c r="L223" s="115"/>
      <c r="M223" s="115"/>
      <c r="N223" s="115"/>
      <c r="O223" s="115"/>
      <c r="P223" s="115"/>
      <c r="Q223" s="127"/>
      <c r="R223" s="29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27"/>
      <c r="AI223" s="29"/>
    </row>
    <row r="224" spans="1:35" ht="19.5" x14ac:dyDescent="0.4">
      <c r="A224" s="86"/>
      <c r="B224" s="141"/>
      <c r="C224" s="126"/>
      <c r="D224" s="126"/>
      <c r="E224" s="126"/>
      <c r="K224" s="115"/>
      <c r="L224" s="115"/>
      <c r="M224" s="115"/>
      <c r="N224" s="115"/>
      <c r="O224" s="115"/>
      <c r="P224" s="115"/>
      <c r="Q224" s="127"/>
      <c r="R224" s="29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27"/>
      <c r="AI224" s="29"/>
    </row>
    <row r="225" spans="1:35" ht="19.5" x14ac:dyDescent="0.4">
      <c r="A225" s="86"/>
      <c r="B225" s="141"/>
      <c r="C225" s="126"/>
      <c r="D225" s="126"/>
      <c r="E225" s="126"/>
      <c r="K225" s="115"/>
      <c r="L225" s="115"/>
      <c r="M225" s="115"/>
      <c r="N225" s="115"/>
      <c r="O225" s="115"/>
      <c r="P225" s="115"/>
      <c r="Q225" s="127"/>
      <c r="R225" s="29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27"/>
      <c r="AI225" s="29"/>
    </row>
    <row r="226" spans="1:35" ht="19.5" x14ac:dyDescent="0.4">
      <c r="A226" s="86"/>
      <c r="B226" s="141"/>
      <c r="C226" s="126"/>
      <c r="D226" s="126"/>
      <c r="E226" s="126"/>
      <c r="K226" s="115"/>
      <c r="L226" s="115"/>
      <c r="M226" s="115"/>
      <c r="N226" s="115"/>
      <c r="O226" s="115"/>
      <c r="P226" s="115"/>
      <c r="Q226" s="127"/>
      <c r="R226" s="29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27"/>
      <c r="AI226" s="29"/>
    </row>
    <row r="227" spans="1:35" ht="19.5" x14ac:dyDescent="0.4">
      <c r="A227" s="86"/>
      <c r="B227" s="141"/>
      <c r="C227" s="126"/>
      <c r="D227" s="126"/>
      <c r="E227" s="126"/>
      <c r="K227" s="115"/>
      <c r="L227" s="115"/>
      <c r="M227" s="115"/>
      <c r="N227" s="115"/>
      <c r="O227" s="115"/>
      <c r="P227" s="115"/>
      <c r="Q227" s="127"/>
      <c r="R227" s="29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27"/>
      <c r="AI227" s="29"/>
    </row>
    <row r="228" spans="1:35" ht="19.5" x14ac:dyDescent="0.4">
      <c r="A228" s="86"/>
      <c r="B228" s="141"/>
      <c r="C228" s="126"/>
      <c r="D228" s="126"/>
      <c r="E228" s="126"/>
      <c r="K228" s="115"/>
      <c r="L228" s="115"/>
      <c r="M228" s="115"/>
      <c r="N228" s="115"/>
      <c r="O228" s="115"/>
      <c r="P228" s="115"/>
      <c r="Q228" s="127"/>
      <c r="R228" s="29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27"/>
      <c r="AI228" s="29"/>
    </row>
    <row r="229" spans="1:35" ht="19.5" x14ac:dyDescent="0.4">
      <c r="A229" s="86"/>
      <c r="B229" s="141"/>
      <c r="C229" s="126"/>
      <c r="D229" s="126"/>
      <c r="E229" s="126"/>
      <c r="K229" s="115"/>
      <c r="L229" s="115"/>
      <c r="M229" s="115"/>
      <c r="N229" s="115"/>
      <c r="O229" s="115"/>
      <c r="P229" s="115"/>
      <c r="Q229" s="29"/>
      <c r="R229" s="29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27"/>
      <c r="AI229" s="29"/>
    </row>
    <row r="230" spans="1:35" ht="19.5" x14ac:dyDescent="0.4">
      <c r="A230" s="86"/>
      <c r="B230" s="141"/>
      <c r="C230" s="126"/>
      <c r="D230" s="126"/>
      <c r="E230" s="126"/>
      <c r="K230" s="115"/>
      <c r="L230" s="115"/>
      <c r="M230" s="115"/>
      <c r="N230" s="115"/>
      <c r="O230" s="115"/>
      <c r="P230" s="115"/>
      <c r="Q230" s="127"/>
      <c r="R230" s="29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27"/>
      <c r="AI230" s="29"/>
    </row>
    <row r="231" spans="1:35" ht="19.5" x14ac:dyDescent="0.4">
      <c r="A231" s="86"/>
      <c r="B231" s="141"/>
      <c r="C231" s="126"/>
      <c r="D231" s="126"/>
      <c r="E231" s="126"/>
      <c r="K231" s="115"/>
      <c r="L231" s="115"/>
      <c r="M231" s="115"/>
      <c r="N231" s="115"/>
      <c r="O231" s="115"/>
      <c r="P231" s="115"/>
      <c r="Q231" s="29"/>
      <c r="R231" s="29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27"/>
      <c r="AI231" s="29"/>
    </row>
    <row r="232" spans="1:35" ht="19.5" x14ac:dyDescent="0.4">
      <c r="A232" s="86"/>
      <c r="B232" s="141"/>
      <c r="C232" s="126"/>
      <c r="D232" s="126"/>
      <c r="E232" s="126"/>
      <c r="K232" s="115"/>
      <c r="L232" s="115"/>
      <c r="M232" s="115"/>
      <c r="N232" s="115"/>
      <c r="O232" s="115"/>
      <c r="P232" s="115"/>
      <c r="Q232" s="127"/>
      <c r="R232" s="29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27"/>
      <c r="AI232" s="29"/>
    </row>
    <row r="233" spans="1:35" ht="19.5" x14ac:dyDescent="0.4">
      <c r="A233" s="86"/>
      <c r="B233" s="141"/>
      <c r="C233" s="126"/>
      <c r="D233" s="126"/>
      <c r="E233" s="126"/>
      <c r="K233" s="115"/>
      <c r="L233" s="115"/>
      <c r="M233" s="115"/>
      <c r="N233" s="115"/>
      <c r="O233" s="115"/>
      <c r="P233" s="115"/>
      <c r="Q233" s="127"/>
      <c r="R233" s="29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27"/>
      <c r="AI233" s="29"/>
    </row>
    <row r="234" spans="1:35" ht="19.5" x14ac:dyDescent="0.4">
      <c r="A234" s="125"/>
      <c r="B234" s="125"/>
      <c r="C234" s="126"/>
      <c r="D234" s="126"/>
      <c r="E234" s="126"/>
      <c r="K234" s="115"/>
      <c r="L234" s="115"/>
      <c r="M234" s="115"/>
      <c r="N234" s="115"/>
      <c r="O234" s="115"/>
      <c r="P234" s="115"/>
      <c r="Q234" s="127"/>
      <c r="R234" s="29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27"/>
      <c r="AI234" s="29"/>
    </row>
    <row r="235" spans="1:35" ht="19.5" x14ac:dyDescent="0.4">
      <c r="A235" s="125"/>
      <c r="B235" s="125"/>
      <c r="C235" s="126"/>
      <c r="D235" s="126"/>
      <c r="E235" s="126"/>
      <c r="K235" s="115"/>
      <c r="L235" s="115"/>
      <c r="M235" s="115"/>
      <c r="N235" s="115"/>
      <c r="O235" s="115"/>
      <c r="P235" s="115"/>
      <c r="Q235" s="127"/>
      <c r="R235" s="29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27"/>
      <c r="AI235" s="29"/>
    </row>
    <row r="236" spans="1:35" ht="19.5" x14ac:dyDescent="0.4">
      <c r="A236" s="125"/>
      <c r="B236" s="125"/>
      <c r="C236" s="126"/>
      <c r="D236" s="126"/>
      <c r="E236" s="126"/>
      <c r="K236" s="115"/>
      <c r="L236" s="115"/>
      <c r="M236" s="115"/>
      <c r="N236" s="115"/>
      <c r="O236" s="115"/>
      <c r="P236" s="115"/>
      <c r="Q236" s="29"/>
      <c r="R236" s="29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27"/>
      <c r="AI236" s="29"/>
    </row>
    <row r="237" spans="1:35" ht="19.5" x14ac:dyDescent="0.4">
      <c r="A237" s="125"/>
      <c r="B237" s="125"/>
      <c r="C237" s="126"/>
      <c r="D237" s="126"/>
      <c r="E237" s="126"/>
      <c r="K237" s="115"/>
      <c r="L237" s="115"/>
      <c r="M237" s="115"/>
      <c r="N237" s="115"/>
      <c r="O237" s="115"/>
      <c r="P237" s="115"/>
      <c r="Q237" s="127"/>
      <c r="R237" s="29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27"/>
      <c r="AI237" s="29"/>
    </row>
    <row r="238" spans="1:35" ht="19.5" x14ac:dyDescent="0.4">
      <c r="A238" s="125"/>
      <c r="B238" s="125"/>
      <c r="C238" s="126"/>
      <c r="D238" s="126"/>
      <c r="E238" s="126"/>
      <c r="K238" s="115"/>
      <c r="L238" s="115"/>
      <c r="M238" s="115"/>
      <c r="N238" s="115"/>
      <c r="O238" s="115"/>
      <c r="P238" s="115"/>
      <c r="Q238" s="29"/>
      <c r="R238" s="29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27"/>
      <c r="AI238" s="29"/>
    </row>
    <row r="239" spans="1:35" ht="19.5" x14ac:dyDescent="0.4">
      <c r="A239" s="125"/>
      <c r="B239" s="125"/>
      <c r="C239" s="126"/>
      <c r="D239" s="126"/>
      <c r="E239" s="126"/>
      <c r="K239" s="115"/>
      <c r="L239" s="115"/>
      <c r="M239" s="115"/>
      <c r="N239" s="115"/>
      <c r="O239" s="115"/>
      <c r="P239" s="115"/>
      <c r="Q239" s="127"/>
      <c r="R239" s="29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27"/>
      <c r="AI239" s="29"/>
    </row>
    <row r="240" spans="1:35" ht="19.5" x14ac:dyDescent="0.4">
      <c r="A240" s="125"/>
      <c r="B240" s="125"/>
      <c r="C240" s="126"/>
      <c r="D240" s="126"/>
      <c r="E240" s="126"/>
      <c r="K240" s="115"/>
      <c r="L240" s="115"/>
      <c r="M240" s="115"/>
      <c r="N240" s="115"/>
      <c r="O240" s="115"/>
      <c r="P240" s="115"/>
      <c r="Q240" s="29"/>
      <c r="R240" s="29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27"/>
      <c r="AI240" s="29"/>
    </row>
    <row r="241" spans="1:35" ht="19.5" x14ac:dyDescent="0.4">
      <c r="A241" s="125"/>
      <c r="B241" s="125"/>
      <c r="C241" s="126"/>
      <c r="D241" s="126"/>
      <c r="E241" s="126"/>
      <c r="K241" s="115"/>
      <c r="L241" s="115"/>
      <c r="M241" s="115"/>
      <c r="N241" s="115"/>
      <c r="O241" s="115"/>
      <c r="P241" s="115"/>
      <c r="Q241" s="127"/>
      <c r="R241" s="29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27"/>
      <c r="AI241" s="29"/>
    </row>
    <row r="242" spans="1:35" ht="19.5" x14ac:dyDescent="0.4">
      <c r="A242" s="125"/>
      <c r="B242" s="125"/>
      <c r="C242" s="126"/>
      <c r="D242" s="126"/>
      <c r="E242" s="126"/>
      <c r="K242" s="115"/>
      <c r="L242" s="115"/>
      <c r="M242" s="115"/>
      <c r="N242" s="115"/>
      <c r="O242" s="115"/>
      <c r="P242" s="115"/>
      <c r="Q242" s="127"/>
      <c r="R242" s="127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27"/>
      <c r="AI242" s="29"/>
    </row>
    <row r="243" spans="1:35" ht="19.5" x14ac:dyDescent="0.4">
      <c r="A243" s="125"/>
      <c r="B243" s="125"/>
      <c r="C243" s="126"/>
      <c r="D243" s="126"/>
      <c r="E243" s="126"/>
      <c r="K243" s="115"/>
      <c r="L243" s="115"/>
      <c r="M243" s="115"/>
      <c r="N243" s="115"/>
      <c r="O243" s="115"/>
      <c r="P243" s="115"/>
      <c r="Q243" s="127"/>
      <c r="R243" s="127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27"/>
      <c r="AI243" s="29"/>
    </row>
    <row r="244" spans="1:35" ht="19.5" x14ac:dyDescent="0.4">
      <c r="A244" s="125"/>
      <c r="B244" s="125"/>
      <c r="C244" s="126"/>
      <c r="D244" s="126"/>
      <c r="E244" s="126"/>
      <c r="K244" s="115"/>
      <c r="L244" s="115"/>
      <c r="M244" s="115"/>
      <c r="N244" s="115"/>
      <c r="O244" s="115"/>
      <c r="P244" s="115"/>
      <c r="Q244" s="127"/>
      <c r="R244" s="29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29"/>
      <c r="AI244" s="29"/>
    </row>
    <row r="245" spans="1:35" ht="19.5" x14ac:dyDescent="0.4">
      <c r="A245" s="125"/>
      <c r="B245" s="125"/>
      <c r="C245" s="126"/>
      <c r="D245" s="126"/>
      <c r="E245" s="126"/>
      <c r="K245" s="115"/>
      <c r="L245" s="115"/>
      <c r="M245" s="115"/>
      <c r="N245" s="115"/>
      <c r="O245" s="115"/>
      <c r="P245" s="115"/>
      <c r="Q245" s="29"/>
      <c r="R245" s="29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29"/>
      <c r="AI245" s="29"/>
    </row>
    <row r="246" spans="1:35" ht="19.5" x14ac:dyDescent="0.4">
      <c r="A246" s="125"/>
      <c r="B246" s="125"/>
      <c r="C246" s="126"/>
      <c r="D246" s="126"/>
      <c r="E246" s="126"/>
      <c r="K246" s="115"/>
      <c r="L246" s="115"/>
      <c r="M246" s="115"/>
      <c r="N246" s="115"/>
      <c r="O246" s="115"/>
      <c r="P246" s="115"/>
      <c r="Q246" s="29"/>
      <c r="R246" s="29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29"/>
      <c r="AI246" s="29"/>
    </row>
    <row r="247" spans="1:35" ht="19.5" x14ac:dyDescent="0.4">
      <c r="A247" s="125"/>
      <c r="B247" s="125"/>
      <c r="C247" s="126"/>
      <c r="D247" s="126"/>
      <c r="E247" s="126"/>
      <c r="K247" s="115"/>
      <c r="L247" s="115"/>
      <c r="M247" s="115"/>
      <c r="N247" s="115"/>
      <c r="O247" s="115"/>
      <c r="P247" s="115"/>
      <c r="Q247" s="127"/>
      <c r="R247" s="29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27"/>
      <c r="AI247" s="29"/>
    </row>
    <row r="248" spans="1:35" ht="19.5" x14ac:dyDescent="0.4">
      <c r="A248" s="125"/>
      <c r="B248" s="125"/>
      <c r="C248" s="126"/>
      <c r="D248" s="126"/>
      <c r="E248" s="126"/>
      <c r="K248" s="115"/>
      <c r="L248" s="115"/>
      <c r="M248" s="115"/>
      <c r="N248" s="115"/>
      <c r="O248" s="115"/>
      <c r="P248" s="115"/>
      <c r="Q248" s="29"/>
      <c r="R248" s="29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27"/>
      <c r="AI248" s="29"/>
    </row>
    <row r="249" spans="1:35" ht="19.5" x14ac:dyDescent="0.4">
      <c r="A249" s="125"/>
      <c r="B249" s="125"/>
      <c r="C249" s="126"/>
      <c r="D249" s="126"/>
      <c r="E249" s="126"/>
      <c r="K249" s="115"/>
      <c r="L249" s="115"/>
      <c r="M249" s="115"/>
      <c r="N249" s="115"/>
      <c r="O249" s="115"/>
      <c r="P249" s="115"/>
      <c r="Q249" s="127"/>
      <c r="R249" s="29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27"/>
      <c r="AI249" s="29"/>
    </row>
    <row r="250" spans="1:35" ht="19.5" x14ac:dyDescent="0.4">
      <c r="A250" s="125"/>
      <c r="B250" s="125"/>
      <c r="C250" s="126"/>
      <c r="D250" s="126"/>
      <c r="E250" s="126"/>
      <c r="K250" s="115"/>
      <c r="L250" s="115"/>
      <c r="M250" s="115"/>
      <c r="N250" s="115"/>
      <c r="O250" s="115"/>
      <c r="P250" s="115"/>
      <c r="Q250" s="127"/>
      <c r="R250" s="29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27"/>
      <c r="AI250" s="29"/>
    </row>
    <row r="251" spans="1:35" ht="19.5" x14ac:dyDescent="0.4">
      <c r="A251" s="125"/>
      <c r="B251" s="125"/>
      <c r="C251" s="126"/>
      <c r="D251" s="126"/>
      <c r="E251" s="126"/>
      <c r="K251" s="115"/>
      <c r="L251" s="115"/>
      <c r="M251" s="115"/>
      <c r="N251" s="115"/>
      <c r="O251" s="115"/>
      <c r="P251" s="115"/>
      <c r="Q251" s="127"/>
      <c r="R251" s="29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27"/>
      <c r="AI251" s="29"/>
    </row>
    <row r="252" spans="1:35" ht="19.5" x14ac:dyDescent="0.4">
      <c r="A252" s="125"/>
      <c r="B252" s="125"/>
      <c r="C252" s="126"/>
      <c r="D252" s="126"/>
      <c r="E252" s="126"/>
      <c r="K252" s="115"/>
      <c r="L252" s="115"/>
      <c r="M252" s="115"/>
      <c r="N252" s="115"/>
      <c r="O252" s="115"/>
      <c r="P252" s="115"/>
      <c r="Q252" s="127"/>
      <c r="R252" s="29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27"/>
      <c r="AI252" s="29"/>
    </row>
    <row r="253" spans="1:35" ht="19.5" x14ac:dyDescent="0.4">
      <c r="A253" s="125"/>
      <c r="B253" s="125"/>
      <c r="C253" s="126"/>
      <c r="D253" s="126"/>
      <c r="E253" s="126"/>
      <c r="K253" s="115"/>
      <c r="L253" s="115"/>
      <c r="M253" s="115"/>
      <c r="N253" s="115"/>
      <c r="O253" s="115"/>
      <c r="P253" s="115"/>
      <c r="Q253" s="29"/>
      <c r="R253" s="29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27"/>
      <c r="AI253" s="29"/>
    </row>
    <row r="254" spans="1:35" ht="19.5" x14ac:dyDescent="0.4">
      <c r="A254" s="125"/>
      <c r="B254" s="125"/>
      <c r="C254" s="126"/>
      <c r="D254" s="126"/>
      <c r="E254" s="126"/>
      <c r="K254" s="115"/>
      <c r="L254" s="115"/>
      <c r="M254" s="115"/>
      <c r="N254" s="115"/>
      <c r="O254" s="115"/>
      <c r="P254" s="115"/>
      <c r="Q254" s="127"/>
      <c r="R254" s="29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29"/>
      <c r="AI254" s="29"/>
    </row>
    <row r="255" spans="1:35" ht="19.5" x14ac:dyDescent="0.4">
      <c r="A255" s="125"/>
      <c r="B255" s="125"/>
      <c r="C255" s="126"/>
      <c r="D255" s="126"/>
      <c r="E255" s="126"/>
      <c r="K255" s="115"/>
      <c r="L255" s="115"/>
      <c r="M255" s="115"/>
      <c r="N255" s="115"/>
      <c r="O255" s="115"/>
      <c r="P255" s="115"/>
      <c r="Q255" s="127"/>
      <c r="R255" s="29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27"/>
      <c r="AI255" s="29"/>
    </row>
    <row r="256" spans="1:35" ht="19.5" x14ac:dyDescent="0.4">
      <c r="A256" s="125"/>
      <c r="B256" s="125"/>
      <c r="C256" s="126"/>
      <c r="D256" s="126"/>
      <c r="E256" s="126"/>
      <c r="K256" s="115"/>
      <c r="L256" s="115"/>
      <c r="M256" s="115"/>
      <c r="N256" s="115"/>
      <c r="O256" s="115"/>
      <c r="P256" s="115"/>
      <c r="Q256" s="127"/>
      <c r="R256" s="29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27"/>
      <c r="AI256" s="29"/>
    </row>
    <row r="257" spans="1:35" ht="19.5" x14ac:dyDescent="0.4">
      <c r="A257" s="125"/>
      <c r="B257" s="125"/>
      <c r="C257" s="126"/>
      <c r="D257" s="126"/>
      <c r="E257" s="126"/>
      <c r="K257" s="115"/>
      <c r="L257" s="115"/>
      <c r="M257" s="115"/>
      <c r="N257" s="115"/>
      <c r="O257" s="115"/>
      <c r="P257" s="115"/>
      <c r="Q257" s="127"/>
      <c r="R257" s="29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27"/>
      <c r="AI257" s="29"/>
    </row>
    <row r="258" spans="1:35" ht="19.5" x14ac:dyDescent="0.4">
      <c r="A258" s="125"/>
      <c r="B258" s="125"/>
      <c r="C258" s="126"/>
      <c r="D258" s="126"/>
      <c r="E258" s="126"/>
      <c r="K258" s="115"/>
      <c r="L258" s="115"/>
      <c r="M258" s="115"/>
      <c r="N258" s="115"/>
      <c r="O258" s="115"/>
      <c r="P258" s="115"/>
      <c r="Q258" s="127"/>
      <c r="R258" s="29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27"/>
      <c r="AI258" s="29"/>
    </row>
    <row r="259" spans="1:35" ht="19.5" x14ac:dyDescent="0.4">
      <c r="A259" s="125"/>
      <c r="B259" s="125"/>
      <c r="C259" s="126"/>
      <c r="D259" s="126"/>
      <c r="E259" s="126"/>
      <c r="K259" s="115"/>
      <c r="L259" s="115"/>
      <c r="M259" s="115"/>
      <c r="N259" s="115"/>
      <c r="O259" s="115"/>
      <c r="P259" s="115"/>
      <c r="Q259" s="29"/>
      <c r="R259" s="29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27"/>
      <c r="AI259" s="29"/>
    </row>
    <row r="260" spans="1:35" ht="19.5" x14ac:dyDescent="0.4">
      <c r="A260" s="125"/>
      <c r="B260" s="125"/>
      <c r="C260" s="126"/>
      <c r="D260" s="126"/>
      <c r="E260" s="126"/>
      <c r="K260" s="115"/>
      <c r="L260" s="115"/>
      <c r="M260" s="115"/>
      <c r="N260" s="115"/>
      <c r="O260" s="115"/>
      <c r="P260" s="115"/>
      <c r="Q260" s="127"/>
      <c r="R260" s="29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27"/>
      <c r="AI260" s="29"/>
    </row>
    <row r="261" spans="1:35" ht="19.5" x14ac:dyDescent="0.4">
      <c r="A261" s="125"/>
      <c r="B261" s="125"/>
      <c r="C261" s="126"/>
      <c r="D261" s="126"/>
      <c r="E261" s="126"/>
      <c r="K261" s="115"/>
      <c r="L261" s="115"/>
      <c r="M261" s="115"/>
      <c r="N261" s="115"/>
      <c r="O261" s="115"/>
      <c r="P261" s="115"/>
      <c r="Q261" s="29"/>
      <c r="R261" s="29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27"/>
      <c r="AI261" s="29"/>
    </row>
    <row r="262" spans="1:35" ht="19.5" x14ac:dyDescent="0.4">
      <c r="A262" s="125"/>
      <c r="B262" s="125"/>
      <c r="C262" s="126"/>
      <c r="D262" s="126"/>
      <c r="E262" s="126"/>
      <c r="K262" s="115"/>
      <c r="L262" s="115"/>
      <c r="M262" s="115"/>
      <c r="N262" s="115"/>
      <c r="O262" s="115"/>
      <c r="P262" s="115"/>
      <c r="Q262" s="29"/>
      <c r="R262" s="29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27"/>
      <c r="AI262" s="29"/>
    </row>
    <row r="263" spans="1:35" ht="19.5" x14ac:dyDescent="0.4">
      <c r="A263" s="125"/>
      <c r="B263" s="125"/>
      <c r="C263" s="126"/>
      <c r="D263" s="126"/>
      <c r="E263" s="126"/>
      <c r="K263" s="115"/>
      <c r="L263" s="115"/>
      <c r="M263" s="115"/>
      <c r="N263" s="115"/>
      <c r="O263" s="115"/>
      <c r="P263" s="115"/>
      <c r="Q263" s="127"/>
      <c r="R263" s="29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27"/>
      <c r="AI263" s="29"/>
    </row>
    <row r="264" spans="1:35" ht="19.5" x14ac:dyDescent="0.4">
      <c r="A264" s="125"/>
      <c r="B264" s="125"/>
      <c r="C264" s="126"/>
      <c r="D264" s="126"/>
      <c r="E264" s="126"/>
      <c r="K264" s="115"/>
      <c r="L264" s="115"/>
      <c r="M264" s="115"/>
      <c r="N264" s="115"/>
      <c r="O264" s="115"/>
      <c r="P264" s="115"/>
      <c r="Q264" s="127"/>
      <c r="R264" s="29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27"/>
      <c r="AI264" s="29"/>
    </row>
    <row r="265" spans="1:35" ht="19.5" x14ac:dyDescent="0.4">
      <c r="A265" s="125"/>
      <c r="B265" s="125"/>
      <c r="C265" s="126"/>
      <c r="D265" s="126"/>
      <c r="E265" s="126"/>
      <c r="K265" s="115"/>
      <c r="L265" s="115"/>
      <c r="M265" s="115"/>
      <c r="N265" s="115"/>
      <c r="O265" s="115"/>
      <c r="P265" s="115"/>
      <c r="Q265" s="127"/>
      <c r="R265" s="29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27"/>
      <c r="AI265" s="29"/>
    </row>
    <row r="266" spans="1:35" ht="19.5" x14ac:dyDescent="0.4">
      <c r="A266" s="125"/>
      <c r="B266" s="125"/>
      <c r="C266" s="126"/>
      <c r="D266" s="126"/>
      <c r="E266" s="126"/>
      <c r="K266" s="115"/>
      <c r="L266" s="115"/>
      <c r="M266" s="115"/>
      <c r="N266" s="115"/>
      <c r="O266" s="115"/>
      <c r="P266" s="115"/>
      <c r="Q266" s="127"/>
      <c r="R266" s="29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27"/>
      <c r="AI266" s="29"/>
    </row>
    <row r="267" spans="1:35" ht="19.5" x14ac:dyDescent="0.4">
      <c r="A267" s="125"/>
      <c r="B267" s="125"/>
      <c r="C267" s="126"/>
      <c r="D267" s="126"/>
      <c r="E267" s="126"/>
      <c r="K267" s="115"/>
      <c r="L267" s="115"/>
      <c r="M267" s="115"/>
      <c r="N267" s="115"/>
      <c r="O267" s="115"/>
      <c r="P267" s="115"/>
      <c r="Q267" s="127"/>
      <c r="R267" s="29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27"/>
      <c r="AI267" s="29"/>
    </row>
    <row r="268" spans="1:35" ht="19.5" x14ac:dyDescent="0.4">
      <c r="A268" s="125"/>
      <c r="B268" s="125"/>
      <c r="C268" s="126"/>
      <c r="D268" s="126"/>
      <c r="E268" s="126"/>
      <c r="K268" s="115"/>
      <c r="L268" s="115"/>
      <c r="M268" s="115"/>
      <c r="N268" s="115"/>
      <c r="O268" s="115"/>
      <c r="P268" s="115"/>
      <c r="Q268" s="127"/>
      <c r="R268" s="29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27"/>
      <c r="AI268" s="29"/>
    </row>
    <row r="269" spans="1:35" ht="19.5" x14ac:dyDescent="0.4">
      <c r="A269" s="125"/>
      <c r="B269" s="125"/>
      <c r="C269" s="126"/>
      <c r="D269" s="126"/>
      <c r="E269" s="126"/>
      <c r="K269" s="115"/>
      <c r="L269" s="115"/>
      <c r="M269" s="115"/>
      <c r="N269" s="115"/>
      <c r="O269" s="115"/>
      <c r="P269" s="115"/>
      <c r="Q269" s="127"/>
      <c r="R269" s="29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27"/>
      <c r="AI269" s="29"/>
    </row>
    <row r="270" spans="1:35" ht="19.5" x14ac:dyDescent="0.4">
      <c r="A270" s="125"/>
      <c r="B270" s="125"/>
      <c r="C270" s="126"/>
      <c r="D270" s="126"/>
      <c r="E270" s="126"/>
      <c r="K270" s="115"/>
      <c r="L270" s="115"/>
      <c r="M270" s="115"/>
      <c r="N270" s="115"/>
      <c r="O270" s="115"/>
      <c r="P270" s="115"/>
      <c r="Q270" s="127"/>
      <c r="R270" s="29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27"/>
      <c r="AI270" s="29"/>
    </row>
    <row r="271" spans="1:35" ht="19.5" x14ac:dyDescent="0.4">
      <c r="A271" s="125"/>
      <c r="B271" s="125"/>
      <c r="C271" s="126"/>
      <c r="D271" s="126"/>
      <c r="E271" s="126"/>
      <c r="K271" s="115"/>
      <c r="L271" s="115"/>
      <c r="M271" s="115"/>
      <c r="N271" s="115"/>
      <c r="O271" s="115"/>
      <c r="P271" s="115"/>
      <c r="Q271" s="127"/>
      <c r="R271" s="29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27"/>
      <c r="AI271" s="29"/>
    </row>
    <row r="272" spans="1:35" ht="19.5" x14ac:dyDescent="0.4">
      <c r="A272" s="125"/>
      <c r="B272" s="125"/>
      <c r="C272" s="126"/>
      <c r="D272" s="126"/>
      <c r="E272" s="126"/>
      <c r="K272" s="115"/>
      <c r="L272" s="115"/>
      <c r="M272" s="115"/>
      <c r="N272" s="115"/>
      <c r="O272" s="115"/>
      <c r="P272" s="115"/>
      <c r="Q272" s="29"/>
      <c r="R272" s="29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27"/>
      <c r="AI272" s="29"/>
    </row>
    <row r="273" spans="1:35" ht="19.5" x14ac:dyDescent="0.4">
      <c r="A273" s="125"/>
      <c r="B273" s="125"/>
      <c r="C273" s="126"/>
      <c r="D273" s="126"/>
      <c r="E273" s="126"/>
      <c r="K273" s="115"/>
      <c r="L273" s="115"/>
      <c r="M273" s="115"/>
      <c r="N273" s="115"/>
      <c r="O273" s="115"/>
      <c r="P273" s="115"/>
      <c r="Q273" s="127"/>
      <c r="R273" s="29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27"/>
      <c r="AI273" s="29"/>
    </row>
    <row r="274" spans="1:35" ht="19.5" x14ac:dyDescent="0.4">
      <c r="A274" s="125"/>
      <c r="B274" s="125"/>
      <c r="C274" s="126"/>
      <c r="D274" s="126"/>
      <c r="E274" s="126"/>
      <c r="K274" s="115"/>
      <c r="L274" s="115"/>
      <c r="M274" s="115"/>
      <c r="N274" s="115"/>
      <c r="O274" s="115"/>
      <c r="P274" s="115"/>
      <c r="Q274" s="29"/>
      <c r="R274" s="29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27"/>
      <c r="AI274" s="29"/>
    </row>
    <row r="275" spans="1:35" ht="19.5" x14ac:dyDescent="0.4">
      <c r="A275" s="125"/>
      <c r="B275" s="125"/>
      <c r="C275" s="126"/>
      <c r="D275" s="126"/>
      <c r="E275" s="126"/>
      <c r="K275" s="115"/>
      <c r="L275" s="115"/>
      <c r="M275" s="115"/>
      <c r="N275" s="115"/>
      <c r="O275" s="115"/>
      <c r="P275" s="115"/>
      <c r="Q275" s="127"/>
      <c r="R275" s="29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27"/>
      <c r="AI275" s="29"/>
    </row>
    <row r="276" spans="1:35" ht="19.5" x14ac:dyDescent="0.4">
      <c r="A276" s="125"/>
      <c r="B276" s="125"/>
      <c r="C276" s="126"/>
      <c r="D276" s="126"/>
      <c r="E276" s="126"/>
      <c r="K276" s="115"/>
      <c r="L276" s="115"/>
      <c r="M276" s="115"/>
      <c r="N276" s="115"/>
      <c r="O276" s="115"/>
      <c r="P276" s="115"/>
      <c r="Q276" s="127"/>
      <c r="R276" s="29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27"/>
      <c r="AI276" s="29"/>
    </row>
    <row r="277" spans="1:35" ht="19.5" x14ac:dyDescent="0.4">
      <c r="A277" s="125"/>
      <c r="B277" s="125"/>
      <c r="C277" s="126"/>
      <c r="D277" s="126"/>
      <c r="E277" s="126"/>
      <c r="K277" s="115"/>
      <c r="L277" s="115"/>
      <c r="M277" s="115"/>
      <c r="N277" s="115"/>
      <c r="O277" s="115"/>
      <c r="P277" s="115"/>
      <c r="Q277" s="127"/>
      <c r="R277" s="29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27"/>
      <c r="AI277" s="29"/>
    </row>
    <row r="278" spans="1:35" ht="19.5" x14ac:dyDescent="0.4">
      <c r="A278" s="125"/>
      <c r="B278" s="125"/>
      <c r="C278" s="126"/>
      <c r="D278" s="126"/>
      <c r="E278" s="126"/>
      <c r="K278" s="115"/>
      <c r="L278" s="115"/>
      <c r="M278" s="115"/>
      <c r="N278" s="115"/>
      <c r="O278" s="115"/>
      <c r="P278" s="115"/>
      <c r="Q278" s="127"/>
      <c r="R278" s="29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27"/>
      <c r="AI278" s="29"/>
    </row>
    <row r="279" spans="1:35" ht="19.5" x14ac:dyDescent="0.4">
      <c r="A279" s="125"/>
      <c r="B279" s="125"/>
      <c r="C279" s="126"/>
      <c r="D279" s="126"/>
      <c r="E279" s="126"/>
      <c r="K279" s="115"/>
      <c r="L279" s="115"/>
      <c r="M279" s="115"/>
      <c r="N279" s="115"/>
      <c r="O279" s="115"/>
      <c r="P279" s="115"/>
      <c r="Q279" s="127"/>
      <c r="R279" s="29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29"/>
      <c r="AI279" s="29"/>
    </row>
    <row r="280" spans="1:35" ht="19.5" x14ac:dyDescent="0.4">
      <c r="A280" s="125"/>
      <c r="B280" s="125"/>
      <c r="C280" s="126"/>
      <c r="D280" s="126"/>
      <c r="E280" s="126"/>
      <c r="K280" s="115"/>
      <c r="L280" s="115"/>
      <c r="M280" s="115"/>
      <c r="N280" s="115"/>
      <c r="O280" s="115"/>
      <c r="P280" s="115"/>
      <c r="Q280" s="127"/>
      <c r="R280" s="29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27"/>
      <c r="AI280" s="29"/>
    </row>
    <row r="281" spans="1:35" ht="19.5" x14ac:dyDescent="0.4">
      <c r="A281" s="125"/>
      <c r="B281" s="125"/>
      <c r="C281" s="126"/>
      <c r="D281" s="126"/>
      <c r="E281" s="126"/>
      <c r="K281" s="115"/>
      <c r="L281" s="115"/>
      <c r="M281" s="115"/>
      <c r="N281" s="115"/>
      <c r="O281" s="115"/>
      <c r="P281" s="115"/>
      <c r="Q281" s="29"/>
      <c r="R281" s="29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27"/>
      <c r="AI281" s="29"/>
    </row>
    <row r="282" spans="1:35" ht="19.5" x14ac:dyDescent="0.4">
      <c r="A282" s="125"/>
      <c r="B282" s="125"/>
      <c r="C282" s="126"/>
      <c r="D282" s="126"/>
      <c r="E282" s="126"/>
      <c r="K282" s="115"/>
      <c r="L282" s="115"/>
      <c r="M282" s="115"/>
      <c r="N282" s="115"/>
      <c r="O282" s="115"/>
      <c r="P282" s="115"/>
      <c r="Q282" s="127"/>
      <c r="R282" s="29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27"/>
      <c r="AI282" s="29"/>
    </row>
    <row r="283" spans="1:35" ht="19.5" x14ac:dyDescent="0.4">
      <c r="A283" s="125"/>
      <c r="B283" s="125"/>
      <c r="C283" s="126"/>
      <c r="D283" s="126"/>
      <c r="E283" s="126"/>
      <c r="K283" s="115"/>
      <c r="L283" s="115"/>
      <c r="M283" s="115"/>
      <c r="N283" s="115"/>
      <c r="O283" s="115"/>
      <c r="P283" s="115"/>
      <c r="Q283" s="29"/>
      <c r="R283" s="29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27"/>
      <c r="AI283" s="29"/>
    </row>
    <row r="284" spans="1:35" ht="19.5" x14ac:dyDescent="0.4">
      <c r="A284" s="125"/>
      <c r="B284" s="125"/>
      <c r="C284" s="126"/>
      <c r="D284" s="126"/>
      <c r="E284" s="126"/>
      <c r="K284" s="115"/>
      <c r="L284" s="115"/>
      <c r="M284" s="115"/>
      <c r="N284" s="115"/>
      <c r="O284" s="115"/>
      <c r="P284" s="115"/>
      <c r="Q284" s="127"/>
      <c r="R284" s="29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29"/>
      <c r="AI284" s="29"/>
    </row>
    <row r="285" spans="1:35" ht="19.5" x14ac:dyDescent="0.4">
      <c r="A285" s="125"/>
      <c r="B285" s="125"/>
      <c r="C285" s="126"/>
      <c r="D285" s="126"/>
      <c r="E285" s="126"/>
      <c r="K285" s="115"/>
      <c r="L285" s="115"/>
      <c r="M285" s="115"/>
      <c r="N285" s="115"/>
      <c r="O285" s="115"/>
      <c r="P285" s="115"/>
      <c r="Q285" s="29"/>
      <c r="R285" s="29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29"/>
      <c r="AI285" s="29"/>
    </row>
    <row r="286" spans="1:35" ht="19.5" x14ac:dyDescent="0.4">
      <c r="A286" s="125"/>
      <c r="B286" s="125"/>
      <c r="C286" s="126"/>
      <c r="D286" s="126"/>
      <c r="E286" s="126"/>
      <c r="K286" s="115"/>
      <c r="L286" s="115"/>
      <c r="M286" s="115"/>
      <c r="N286" s="115"/>
      <c r="O286" s="115"/>
      <c r="P286" s="115"/>
      <c r="Q286" s="127"/>
      <c r="R286" s="29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27"/>
      <c r="AI286" s="29"/>
    </row>
    <row r="287" spans="1:35" ht="19.5" x14ac:dyDescent="0.4">
      <c r="A287" s="125"/>
      <c r="B287" s="125"/>
      <c r="C287" s="126"/>
      <c r="D287" s="126"/>
      <c r="E287" s="126"/>
      <c r="K287" s="115"/>
      <c r="L287" s="115"/>
      <c r="M287" s="115"/>
      <c r="N287" s="115"/>
      <c r="O287" s="115"/>
      <c r="P287" s="115"/>
      <c r="Q287" s="29"/>
      <c r="R287" s="29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27"/>
      <c r="AI287" s="29"/>
    </row>
    <row r="288" spans="1:35" ht="19.5" x14ac:dyDescent="0.4">
      <c r="A288" s="125"/>
      <c r="B288" s="125"/>
      <c r="C288" s="126"/>
      <c r="D288" s="126"/>
      <c r="E288" s="126"/>
      <c r="K288" s="115"/>
      <c r="L288" s="115"/>
      <c r="M288" s="115"/>
      <c r="N288" s="115"/>
      <c r="O288" s="115"/>
      <c r="P288" s="115"/>
      <c r="Q288" s="29"/>
      <c r="R288" s="29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27"/>
      <c r="AI288" s="29"/>
    </row>
    <row r="289" spans="1:35" ht="19.5" x14ac:dyDescent="0.4">
      <c r="A289" s="125"/>
      <c r="B289" s="125"/>
      <c r="C289" s="126"/>
      <c r="D289" s="126"/>
      <c r="E289" s="126"/>
      <c r="K289" s="115"/>
      <c r="L289" s="115"/>
      <c r="M289" s="115"/>
      <c r="N289" s="115"/>
      <c r="O289" s="115"/>
      <c r="P289" s="115"/>
      <c r="Q289" s="127"/>
      <c r="R289" s="29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27"/>
      <c r="AI289" s="29"/>
    </row>
    <row r="290" spans="1:35" ht="19.5" x14ac:dyDescent="0.4">
      <c r="A290" s="125"/>
      <c r="B290" s="125"/>
      <c r="C290" s="126"/>
      <c r="D290" s="126"/>
      <c r="E290" s="126"/>
      <c r="K290" s="115"/>
      <c r="L290" s="115"/>
      <c r="M290" s="115"/>
      <c r="N290" s="115"/>
      <c r="O290" s="115"/>
      <c r="P290" s="115"/>
      <c r="Q290" s="127"/>
      <c r="R290" s="29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27"/>
      <c r="AI290" s="29"/>
    </row>
    <row r="291" spans="1:35" ht="19.5" x14ac:dyDescent="0.4">
      <c r="A291" s="125"/>
      <c r="B291" s="125"/>
      <c r="C291" s="126"/>
      <c r="D291" s="126"/>
      <c r="E291" s="126"/>
      <c r="K291" s="115"/>
      <c r="L291" s="115"/>
      <c r="M291" s="115"/>
      <c r="N291" s="115"/>
      <c r="O291" s="115"/>
      <c r="P291" s="115"/>
      <c r="Q291" s="127"/>
      <c r="R291" s="29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27"/>
      <c r="AI291" s="29"/>
    </row>
    <row r="292" spans="1:35" ht="19.5" x14ac:dyDescent="0.4">
      <c r="A292" s="125"/>
      <c r="B292" s="125"/>
      <c r="C292" s="126"/>
      <c r="D292" s="126"/>
      <c r="E292" s="126"/>
      <c r="K292" s="115"/>
      <c r="L292" s="115"/>
      <c r="M292" s="115"/>
      <c r="N292" s="115"/>
      <c r="O292" s="115"/>
      <c r="P292" s="115"/>
      <c r="Q292" s="127"/>
      <c r="R292" s="29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27"/>
      <c r="AI292" s="29"/>
    </row>
    <row r="293" spans="1:35" ht="19.5" x14ac:dyDescent="0.4">
      <c r="A293" s="125"/>
      <c r="B293" s="125"/>
      <c r="C293" s="126"/>
      <c r="D293" s="126"/>
      <c r="E293" s="126"/>
      <c r="K293" s="115"/>
      <c r="L293" s="115"/>
      <c r="M293" s="115"/>
      <c r="N293" s="115"/>
      <c r="O293" s="115"/>
      <c r="P293" s="115"/>
      <c r="Q293" s="128"/>
      <c r="R293" s="29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27"/>
      <c r="AI293" s="29"/>
    </row>
    <row r="294" spans="1:35" ht="19.5" x14ac:dyDescent="0.4">
      <c r="A294" s="125"/>
      <c r="B294" s="125"/>
      <c r="C294" s="126"/>
      <c r="D294" s="126"/>
      <c r="E294" s="126"/>
      <c r="K294" s="115"/>
      <c r="L294" s="115"/>
      <c r="M294" s="115"/>
      <c r="N294" s="115"/>
      <c r="O294" s="115"/>
      <c r="P294" s="115"/>
      <c r="Q294" s="127"/>
      <c r="R294" s="29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27"/>
      <c r="AI294" s="29"/>
    </row>
    <row r="295" spans="1:35" ht="19.5" x14ac:dyDescent="0.4">
      <c r="A295" s="125"/>
      <c r="B295" s="125"/>
      <c r="C295" s="126"/>
      <c r="D295" s="126"/>
      <c r="E295" s="126"/>
      <c r="K295" s="115"/>
      <c r="L295" s="115"/>
      <c r="M295" s="115"/>
      <c r="N295" s="115"/>
      <c r="O295" s="115"/>
      <c r="P295" s="115"/>
      <c r="Q295" s="127"/>
      <c r="R295" s="29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27"/>
      <c r="AI295" s="29"/>
    </row>
    <row r="296" spans="1:35" ht="19.5" x14ac:dyDescent="0.4">
      <c r="A296" s="125"/>
      <c r="B296" s="125"/>
      <c r="C296" s="126"/>
      <c r="D296" s="126"/>
      <c r="E296" s="126"/>
      <c r="K296" s="115"/>
      <c r="L296" s="115"/>
      <c r="M296" s="115"/>
      <c r="N296" s="115"/>
      <c r="O296" s="115"/>
      <c r="P296" s="115"/>
      <c r="Q296" s="128"/>
      <c r="R296" s="29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27"/>
      <c r="AI296" s="29"/>
    </row>
    <row r="297" spans="1:35" ht="19.5" x14ac:dyDescent="0.4">
      <c r="A297" s="125"/>
      <c r="B297" s="125"/>
      <c r="C297" s="126"/>
      <c r="D297" s="126"/>
      <c r="E297" s="126"/>
      <c r="K297" s="115"/>
      <c r="L297" s="115"/>
      <c r="M297" s="115"/>
      <c r="N297" s="115"/>
      <c r="O297" s="115"/>
      <c r="P297" s="115"/>
      <c r="Q297" s="127"/>
      <c r="R297" s="29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27"/>
      <c r="AI297" s="29"/>
    </row>
    <row r="298" spans="1:35" ht="19.5" x14ac:dyDescent="0.4">
      <c r="A298" s="125"/>
      <c r="B298" s="125"/>
      <c r="C298" s="126"/>
      <c r="D298" s="126"/>
      <c r="E298" s="126"/>
      <c r="K298" s="115"/>
      <c r="L298" s="115"/>
      <c r="M298" s="115"/>
      <c r="N298" s="115"/>
      <c r="O298" s="115"/>
      <c r="P298" s="115"/>
      <c r="Q298" s="127"/>
      <c r="R298" s="29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27"/>
      <c r="AI298" s="29"/>
    </row>
    <row r="299" spans="1:35" ht="19.5" x14ac:dyDescent="0.4">
      <c r="A299" s="125"/>
      <c r="B299" s="125"/>
      <c r="C299" s="126"/>
      <c r="D299" s="126"/>
      <c r="E299" s="126"/>
      <c r="K299" s="115"/>
      <c r="L299" s="115"/>
      <c r="M299" s="115"/>
      <c r="N299" s="115"/>
      <c r="O299" s="115"/>
      <c r="P299" s="115"/>
      <c r="Q299" s="127"/>
      <c r="R299" s="29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27"/>
      <c r="AI299" s="29"/>
    </row>
    <row r="300" spans="1:35" ht="19.5" x14ac:dyDescent="0.4">
      <c r="A300" s="125"/>
      <c r="B300" s="125"/>
      <c r="C300" s="126"/>
      <c r="D300" s="126"/>
      <c r="E300" s="126"/>
      <c r="K300" s="115"/>
      <c r="L300" s="115"/>
      <c r="M300" s="115"/>
      <c r="N300" s="115"/>
      <c r="O300" s="115"/>
      <c r="P300" s="115"/>
      <c r="Q300" s="128"/>
      <c r="R300" s="29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27"/>
      <c r="AI300" s="29"/>
    </row>
    <row r="301" spans="1:35" ht="19.5" x14ac:dyDescent="0.4">
      <c r="A301" s="125"/>
      <c r="B301" s="125"/>
      <c r="C301" s="126"/>
      <c r="D301" s="126"/>
      <c r="E301" s="126"/>
      <c r="K301" s="115"/>
      <c r="L301" s="115"/>
      <c r="M301" s="115"/>
      <c r="N301" s="115"/>
      <c r="O301" s="115"/>
      <c r="P301" s="115"/>
      <c r="Q301" s="127"/>
      <c r="R301" s="29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27"/>
      <c r="AI301" s="29"/>
    </row>
    <row r="302" spans="1:35" ht="19.5" x14ac:dyDescent="0.4">
      <c r="A302" s="125"/>
      <c r="B302" s="125"/>
      <c r="C302" s="126"/>
      <c r="D302" s="126"/>
      <c r="E302" s="126"/>
      <c r="K302" s="115"/>
      <c r="L302" s="115"/>
      <c r="M302" s="115"/>
      <c r="N302" s="115"/>
      <c r="O302" s="115"/>
      <c r="P302" s="115"/>
      <c r="Q302" s="127"/>
      <c r="R302" s="29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29"/>
      <c r="AI302" s="29"/>
    </row>
    <row r="303" spans="1:35" ht="19.5" x14ac:dyDescent="0.4">
      <c r="A303" s="125"/>
      <c r="B303" s="125"/>
      <c r="C303" s="126"/>
      <c r="D303" s="126"/>
      <c r="E303" s="126"/>
      <c r="K303" s="115"/>
      <c r="L303" s="115"/>
      <c r="M303" s="115"/>
      <c r="N303" s="115"/>
      <c r="O303" s="115"/>
      <c r="P303" s="115"/>
      <c r="Q303" s="128"/>
      <c r="R303" s="29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29"/>
      <c r="AI303" s="29"/>
    </row>
    <row r="304" spans="1:35" ht="19.5" x14ac:dyDescent="0.4">
      <c r="A304" s="125"/>
      <c r="B304" s="125"/>
      <c r="C304" s="126"/>
      <c r="D304" s="126"/>
      <c r="E304" s="126"/>
      <c r="K304" s="115"/>
      <c r="L304" s="115"/>
      <c r="M304" s="115"/>
      <c r="N304" s="115"/>
      <c r="O304" s="115"/>
      <c r="P304" s="115"/>
      <c r="Q304" s="127"/>
      <c r="R304" s="29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27"/>
      <c r="AI304" s="29"/>
    </row>
    <row r="305" spans="1:35" ht="19.5" x14ac:dyDescent="0.4">
      <c r="A305" s="125"/>
      <c r="B305" s="125"/>
      <c r="C305" s="126"/>
      <c r="D305" s="126"/>
      <c r="E305" s="126"/>
      <c r="Q305" s="127"/>
      <c r="R305" s="29"/>
      <c r="AH305" s="127"/>
      <c r="AI305" s="29"/>
    </row>
    <row r="306" spans="1:35" ht="19.5" x14ac:dyDescent="0.4">
      <c r="A306" s="125"/>
      <c r="B306" s="125"/>
      <c r="C306" s="126"/>
      <c r="D306" s="126"/>
      <c r="E306" s="126"/>
      <c r="K306" s="115"/>
      <c r="L306" s="115"/>
      <c r="M306" s="115"/>
      <c r="N306" s="115"/>
      <c r="O306" s="115"/>
      <c r="P306" s="115"/>
      <c r="Q306" s="127"/>
      <c r="R306" s="29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27"/>
      <c r="AI306" s="29"/>
    </row>
    <row r="307" spans="1:35" ht="19.5" x14ac:dyDescent="0.4">
      <c r="A307" s="125"/>
      <c r="B307" s="125"/>
      <c r="C307" s="126"/>
      <c r="D307" s="126"/>
      <c r="E307" s="126"/>
      <c r="K307" s="115"/>
      <c r="L307" s="115"/>
      <c r="M307" s="115"/>
      <c r="N307" s="115"/>
      <c r="O307" s="115"/>
      <c r="P307" s="115"/>
      <c r="Q307" s="127"/>
      <c r="R307" s="29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27"/>
      <c r="AI307" s="29"/>
    </row>
    <row r="308" spans="1:35" ht="19.5" x14ac:dyDescent="0.4">
      <c r="A308" s="125"/>
      <c r="B308" s="125"/>
      <c r="C308" s="126"/>
      <c r="D308" s="126"/>
      <c r="E308" s="126"/>
      <c r="K308" s="115"/>
      <c r="L308" s="115"/>
      <c r="M308" s="115"/>
      <c r="N308" s="115"/>
      <c r="O308" s="115"/>
      <c r="P308" s="115"/>
      <c r="Q308" s="127"/>
      <c r="R308" s="29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27"/>
      <c r="AI308" s="29"/>
    </row>
    <row r="309" spans="1:35" ht="19.5" x14ac:dyDescent="0.4">
      <c r="A309" s="125"/>
      <c r="B309" s="125"/>
      <c r="C309" s="126"/>
      <c r="D309" s="126"/>
      <c r="E309" s="126"/>
      <c r="K309" s="115"/>
      <c r="L309" s="115"/>
      <c r="M309" s="115"/>
      <c r="N309" s="115"/>
      <c r="O309" s="115"/>
      <c r="P309" s="115"/>
      <c r="Q309" s="127"/>
      <c r="R309" s="127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27"/>
      <c r="AI309" s="29"/>
    </row>
    <row r="310" spans="1:35" ht="19.5" x14ac:dyDescent="0.4">
      <c r="A310" s="125"/>
      <c r="B310" s="125"/>
      <c r="C310" s="126"/>
      <c r="D310" s="126"/>
      <c r="E310" s="126"/>
      <c r="K310" s="115"/>
      <c r="L310" s="115"/>
      <c r="M310" s="115"/>
      <c r="N310" s="115"/>
      <c r="O310" s="115"/>
      <c r="P310" s="115"/>
      <c r="Q310" s="127"/>
      <c r="R310" s="29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27"/>
      <c r="AI310" s="29"/>
    </row>
    <row r="311" spans="1:35" ht="19.5" x14ac:dyDescent="0.4">
      <c r="A311" s="125"/>
      <c r="B311" s="125"/>
      <c r="C311" s="126"/>
      <c r="D311" s="126"/>
      <c r="E311" s="126"/>
      <c r="K311" s="115"/>
      <c r="L311" s="115"/>
      <c r="M311" s="115"/>
      <c r="N311" s="115"/>
      <c r="O311" s="115"/>
      <c r="P311" s="115"/>
      <c r="Q311" s="127"/>
      <c r="R311" s="29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27"/>
      <c r="AI311" s="29"/>
    </row>
    <row r="312" spans="1:35" ht="19.5" x14ac:dyDescent="0.4">
      <c r="A312" s="125"/>
      <c r="B312" s="125"/>
      <c r="C312" s="126"/>
      <c r="D312" s="126"/>
      <c r="E312" s="126"/>
      <c r="K312" s="115"/>
      <c r="L312" s="115"/>
      <c r="M312" s="115"/>
      <c r="N312" s="115"/>
      <c r="O312" s="115"/>
      <c r="P312" s="115"/>
      <c r="Q312" s="127"/>
      <c r="R312" s="29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27"/>
      <c r="AI312" s="29"/>
    </row>
    <row r="313" spans="1:35" ht="19.5" x14ac:dyDescent="0.4">
      <c r="A313" s="125"/>
      <c r="B313" s="125"/>
      <c r="C313" s="126"/>
      <c r="D313" s="126"/>
      <c r="E313" s="126"/>
      <c r="K313" s="115"/>
      <c r="L313" s="115"/>
      <c r="M313" s="115"/>
      <c r="N313" s="115"/>
      <c r="O313" s="115"/>
      <c r="P313" s="115"/>
      <c r="Q313" s="127"/>
      <c r="R313" s="29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27"/>
      <c r="AI313" s="29"/>
    </row>
    <row r="314" spans="1:35" ht="19.5" x14ac:dyDescent="0.4">
      <c r="A314" s="125"/>
      <c r="B314" s="125"/>
      <c r="C314" s="126"/>
      <c r="D314" s="126"/>
      <c r="E314" s="126"/>
      <c r="K314" s="115"/>
      <c r="L314" s="115"/>
      <c r="M314" s="115"/>
      <c r="N314" s="115"/>
      <c r="O314" s="115"/>
      <c r="P314" s="115"/>
      <c r="Q314" s="128"/>
      <c r="R314" s="29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27"/>
      <c r="AI314" s="29"/>
    </row>
    <row r="315" spans="1:35" ht="19.5" x14ac:dyDescent="0.4">
      <c r="A315" s="125"/>
      <c r="B315" s="125"/>
      <c r="C315" s="126"/>
      <c r="D315" s="126"/>
      <c r="E315" s="126"/>
      <c r="K315" s="115"/>
      <c r="L315" s="115"/>
      <c r="M315" s="115"/>
      <c r="N315" s="115"/>
      <c r="O315" s="115"/>
      <c r="P315" s="115"/>
      <c r="Q315" s="127"/>
      <c r="R315" s="29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29"/>
      <c r="AI315" s="29"/>
    </row>
    <row r="316" spans="1:35" ht="19.5" x14ac:dyDescent="0.4">
      <c r="A316" s="125"/>
      <c r="B316" s="125"/>
      <c r="C316" s="126"/>
      <c r="D316" s="126"/>
      <c r="E316" s="126"/>
      <c r="Q316" s="127"/>
      <c r="R316" s="29"/>
      <c r="AH316" s="127"/>
      <c r="AI316" s="29"/>
    </row>
    <row r="317" spans="1:35" ht="19.5" x14ac:dyDescent="0.4">
      <c r="A317" s="125"/>
      <c r="B317" s="125"/>
      <c r="C317" s="126"/>
      <c r="D317" s="126"/>
      <c r="E317" s="126"/>
      <c r="K317" s="115"/>
      <c r="L317" s="115"/>
      <c r="M317" s="115"/>
      <c r="N317" s="115"/>
      <c r="O317" s="115"/>
      <c r="P317" s="115"/>
      <c r="Q317" s="127"/>
      <c r="R317" s="29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27"/>
      <c r="AI317" s="29"/>
    </row>
    <row r="318" spans="1:35" ht="19.5" x14ac:dyDescent="0.4">
      <c r="A318" s="125"/>
      <c r="B318" s="125"/>
      <c r="C318" s="126"/>
      <c r="D318" s="126"/>
      <c r="E318" s="126"/>
      <c r="K318" s="115"/>
      <c r="L318" s="115"/>
      <c r="M318" s="115"/>
      <c r="N318" s="115"/>
      <c r="O318" s="115"/>
      <c r="P318" s="115"/>
      <c r="Q318" s="127"/>
      <c r="R318" s="29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27"/>
      <c r="AI318" s="29"/>
    </row>
    <row r="319" spans="1:35" ht="19.5" x14ac:dyDescent="0.4">
      <c r="A319" s="125"/>
      <c r="B319" s="125"/>
      <c r="C319" s="126"/>
      <c r="D319" s="126"/>
      <c r="E319" s="126"/>
      <c r="K319" s="115"/>
      <c r="L319" s="115"/>
      <c r="M319" s="115"/>
      <c r="N319" s="115"/>
      <c r="O319" s="115"/>
      <c r="P319" s="115"/>
      <c r="Q319" s="127"/>
      <c r="R319" s="29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27"/>
      <c r="AI319" s="29"/>
    </row>
    <row r="320" spans="1:35" ht="19.5" x14ac:dyDescent="0.4">
      <c r="A320" s="125"/>
      <c r="B320" s="125"/>
      <c r="C320" s="126"/>
      <c r="D320" s="126"/>
      <c r="E320" s="126"/>
      <c r="K320" s="115"/>
      <c r="L320" s="115"/>
      <c r="M320" s="115"/>
      <c r="N320" s="115"/>
      <c r="O320" s="115"/>
      <c r="P320" s="115"/>
      <c r="Q320" s="127"/>
      <c r="R320" s="29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27"/>
      <c r="AI320" s="29"/>
    </row>
    <row r="321" spans="1:35" ht="19.5" x14ac:dyDescent="0.4">
      <c r="A321" s="125"/>
      <c r="B321" s="125"/>
      <c r="C321" s="126"/>
      <c r="D321" s="126"/>
      <c r="E321" s="126"/>
      <c r="K321" s="115"/>
      <c r="L321" s="115"/>
      <c r="M321" s="115"/>
      <c r="N321" s="115"/>
      <c r="O321" s="115"/>
      <c r="P321" s="115"/>
      <c r="Q321" s="127"/>
      <c r="R321" s="29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27"/>
      <c r="AI321" s="29"/>
    </row>
    <row r="322" spans="1:35" ht="19.5" x14ac:dyDescent="0.4">
      <c r="A322" s="125"/>
      <c r="B322" s="125"/>
      <c r="C322" s="126"/>
      <c r="D322" s="126"/>
      <c r="E322" s="126"/>
      <c r="K322" s="115"/>
      <c r="L322" s="115"/>
      <c r="M322" s="115"/>
      <c r="N322" s="115"/>
      <c r="O322" s="115"/>
      <c r="P322" s="115"/>
      <c r="Q322" s="128"/>
      <c r="R322" s="29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27"/>
      <c r="AI322" s="29"/>
    </row>
    <row r="323" spans="1:35" ht="19.5" x14ac:dyDescent="0.4">
      <c r="A323" s="125"/>
      <c r="B323" s="125"/>
      <c r="C323" s="126"/>
      <c r="D323" s="126"/>
      <c r="E323" s="126"/>
      <c r="K323" s="115"/>
      <c r="L323" s="115"/>
      <c r="M323" s="115"/>
      <c r="N323" s="115"/>
      <c r="O323" s="115"/>
      <c r="P323" s="115"/>
      <c r="Q323" s="127"/>
      <c r="R323" s="29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27"/>
      <c r="AI323" s="29"/>
    </row>
    <row r="324" spans="1:35" ht="19.5" x14ac:dyDescent="0.4">
      <c r="A324" s="125"/>
      <c r="B324" s="125"/>
      <c r="C324" s="126"/>
      <c r="D324" s="126"/>
      <c r="E324" s="126"/>
      <c r="K324" s="115"/>
      <c r="L324" s="115"/>
      <c r="M324" s="115"/>
      <c r="N324" s="115"/>
      <c r="O324" s="115"/>
      <c r="P324" s="115"/>
      <c r="Q324" s="127"/>
      <c r="R324" s="29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27"/>
      <c r="AI324" s="29"/>
    </row>
    <row r="325" spans="1:35" ht="19.5" x14ac:dyDescent="0.4">
      <c r="A325" s="125"/>
      <c r="B325" s="125"/>
      <c r="C325" s="126"/>
      <c r="D325" s="126"/>
      <c r="E325" s="126"/>
      <c r="K325" s="115"/>
      <c r="L325" s="115"/>
      <c r="M325" s="115"/>
      <c r="N325" s="115"/>
      <c r="O325" s="115"/>
      <c r="P325" s="115"/>
      <c r="Q325" s="128"/>
      <c r="R325" s="29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27"/>
      <c r="AI325" s="29"/>
    </row>
    <row r="326" spans="1:35" ht="19.5" x14ac:dyDescent="0.4">
      <c r="A326" s="125"/>
      <c r="B326" s="125"/>
      <c r="C326" s="126"/>
      <c r="D326" s="126"/>
      <c r="E326" s="126"/>
      <c r="K326" s="115"/>
      <c r="L326" s="115"/>
      <c r="M326" s="115"/>
      <c r="N326" s="115"/>
      <c r="O326" s="115"/>
      <c r="P326" s="115"/>
      <c r="Q326" s="127"/>
      <c r="R326" s="29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27"/>
      <c r="AI326" s="29"/>
    </row>
    <row r="327" spans="1:35" ht="19.5" x14ac:dyDescent="0.4">
      <c r="A327" s="125"/>
      <c r="B327" s="125"/>
      <c r="C327" s="126"/>
      <c r="D327" s="126"/>
      <c r="E327" s="126"/>
      <c r="K327" s="115"/>
      <c r="L327" s="115"/>
      <c r="M327" s="115"/>
      <c r="N327" s="115"/>
      <c r="O327" s="115"/>
      <c r="P327" s="115"/>
      <c r="Q327" s="127"/>
      <c r="R327" s="29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27"/>
      <c r="AI327" s="29"/>
    </row>
    <row r="328" spans="1:35" ht="19.5" x14ac:dyDescent="0.4">
      <c r="A328" s="125"/>
      <c r="B328" s="125"/>
      <c r="C328" s="126"/>
      <c r="D328" s="126"/>
      <c r="E328" s="126"/>
      <c r="K328" s="115"/>
      <c r="L328" s="115"/>
      <c r="M328" s="115"/>
      <c r="N328" s="115"/>
      <c r="O328" s="115"/>
      <c r="P328" s="115"/>
      <c r="Q328" s="127"/>
      <c r="R328" s="29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29"/>
      <c r="AI328" s="29"/>
    </row>
    <row r="329" spans="1:35" ht="19.5" x14ac:dyDescent="0.4">
      <c r="A329" s="125"/>
      <c r="B329" s="125"/>
      <c r="C329" s="126"/>
      <c r="D329" s="126"/>
      <c r="E329" s="126"/>
      <c r="K329" s="115"/>
      <c r="L329" s="115"/>
      <c r="M329" s="115"/>
      <c r="N329" s="115"/>
      <c r="O329" s="115"/>
      <c r="P329" s="115"/>
      <c r="Q329" s="127"/>
      <c r="R329" s="29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27"/>
      <c r="AI329" s="29"/>
    </row>
    <row r="330" spans="1:35" ht="19.5" x14ac:dyDescent="0.4">
      <c r="A330" s="125"/>
      <c r="B330" s="125"/>
      <c r="C330" s="126"/>
      <c r="D330" s="126"/>
      <c r="E330" s="126"/>
      <c r="K330" s="115"/>
      <c r="L330" s="115"/>
      <c r="M330" s="115"/>
      <c r="N330" s="115"/>
      <c r="O330" s="115"/>
      <c r="P330" s="115"/>
      <c r="Q330" s="128"/>
      <c r="R330" s="29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27"/>
      <c r="AI330" s="29"/>
    </row>
    <row r="331" spans="1:35" ht="19.5" x14ac:dyDescent="0.4">
      <c r="A331" s="125"/>
      <c r="B331" s="125"/>
      <c r="C331" s="126"/>
      <c r="D331" s="126"/>
      <c r="E331" s="126"/>
      <c r="K331" s="115"/>
      <c r="L331" s="115"/>
      <c r="M331" s="115"/>
      <c r="N331" s="115"/>
      <c r="O331" s="115"/>
      <c r="P331" s="115"/>
      <c r="Q331" s="127"/>
      <c r="R331" s="29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29"/>
      <c r="AI331" s="29"/>
    </row>
    <row r="332" spans="1:35" ht="19.5" x14ac:dyDescent="0.4">
      <c r="A332" s="125"/>
      <c r="B332" s="125"/>
      <c r="C332" s="126"/>
      <c r="D332" s="126"/>
      <c r="E332" s="126"/>
      <c r="K332" s="115"/>
      <c r="L332" s="115"/>
      <c r="M332" s="115"/>
      <c r="N332" s="115"/>
      <c r="O332" s="115"/>
      <c r="P332" s="115"/>
      <c r="Q332" s="128"/>
      <c r="R332" s="29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29"/>
      <c r="AI332" s="29"/>
    </row>
    <row r="333" spans="1:35" ht="19.5" x14ac:dyDescent="0.4">
      <c r="A333" s="125"/>
      <c r="B333" s="125"/>
      <c r="C333" s="126"/>
      <c r="D333" s="126"/>
      <c r="E333" s="126"/>
      <c r="K333" s="115"/>
      <c r="L333" s="115"/>
      <c r="M333" s="115"/>
      <c r="N333" s="115"/>
      <c r="O333" s="115"/>
      <c r="P333" s="115"/>
      <c r="Q333" s="127"/>
      <c r="R333" s="29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27"/>
      <c r="AI333" s="29"/>
    </row>
    <row r="334" spans="1:35" ht="19.5" x14ac:dyDescent="0.4">
      <c r="A334" s="125"/>
      <c r="B334" s="125"/>
      <c r="C334" s="126"/>
      <c r="D334" s="126"/>
      <c r="E334" s="126"/>
      <c r="K334" s="115"/>
      <c r="L334" s="115"/>
      <c r="M334" s="115"/>
      <c r="N334" s="115"/>
      <c r="O334" s="115"/>
      <c r="P334" s="115"/>
      <c r="Q334" s="128"/>
      <c r="R334" s="29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27"/>
      <c r="AI334" s="29"/>
    </row>
    <row r="335" spans="1:35" ht="19.5" x14ac:dyDescent="0.4">
      <c r="A335" s="125"/>
      <c r="B335" s="125"/>
      <c r="C335" s="126"/>
      <c r="D335" s="126"/>
      <c r="E335" s="126"/>
      <c r="K335" s="115"/>
      <c r="L335" s="115"/>
      <c r="M335" s="115"/>
      <c r="N335" s="115"/>
      <c r="O335" s="115"/>
      <c r="P335" s="115"/>
      <c r="Q335" s="127"/>
      <c r="R335" s="29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27"/>
      <c r="AI335" s="29"/>
    </row>
    <row r="336" spans="1:35" ht="19.5" x14ac:dyDescent="0.4">
      <c r="A336" s="125"/>
      <c r="B336" s="125"/>
      <c r="C336" s="126"/>
      <c r="D336" s="126"/>
      <c r="E336" s="126"/>
      <c r="K336" s="115"/>
      <c r="L336" s="115"/>
      <c r="M336" s="115"/>
      <c r="N336" s="115"/>
      <c r="O336" s="115"/>
      <c r="P336" s="115"/>
      <c r="Q336" s="128"/>
      <c r="R336" s="29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27"/>
      <c r="AI336" s="29"/>
    </row>
    <row r="337" spans="1:35" ht="19.5" x14ac:dyDescent="0.4">
      <c r="A337" s="125"/>
      <c r="B337" s="125"/>
      <c r="C337" s="126"/>
      <c r="D337" s="126"/>
      <c r="E337" s="126"/>
      <c r="K337" s="115"/>
      <c r="L337" s="115"/>
      <c r="M337" s="115"/>
      <c r="N337" s="115"/>
      <c r="O337" s="115"/>
      <c r="P337" s="115"/>
      <c r="Q337" s="128"/>
      <c r="R337" s="29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27"/>
      <c r="AI337" s="29"/>
    </row>
    <row r="338" spans="1:35" ht="19.5" x14ac:dyDescent="0.4">
      <c r="A338" s="125"/>
      <c r="B338" s="125"/>
      <c r="C338" s="126"/>
      <c r="D338" s="126"/>
      <c r="E338" s="126"/>
      <c r="K338" s="115"/>
      <c r="L338" s="115"/>
      <c r="M338" s="115"/>
      <c r="N338" s="115"/>
      <c r="O338" s="115"/>
      <c r="P338" s="115"/>
      <c r="Q338" s="127"/>
      <c r="R338" s="29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27"/>
      <c r="AI338" s="29"/>
    </row>
    <row r="339" spans="1:35" ht="19.5" x14ac:dyDescent="0.4">
      <c r="A339" s="125"/>
      <c r="B339" s="125"/>
      <c r="C339" s="126"/>
      <c r="D339" s="126"/>
      <c r="E339" s="126"/>
      <c r="K339" s="115"/>
      <c r="L339" s="115"/>
      <c r="M339" s="115"/>
      <c r="N339" s="115"/>
      <c r="O339" s="115"/>
      <c r="P339" s="115"/>
      <c r="Q339" s="127"/>
      <c r="R339" s="29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29"/>
      <c r="AI339" s="29"/>
    </row>
    <row r="340" spans="1:35" ht="19.5" x14ac:dyDescent="0.4">
      <c r="A340" s="125"/>
      <c r="B340" s="125"/>
      <c r="C340" s="126"/>
      <c r="D340" s="126"/>
      <c r="E340" s="126"/>
      <c r="K340" s="115"/>
      <c r="L340" s="115"/>
      <c r="M340" s="115"/>
      <c r="N340" s="115"/>
      <c r="O340" s="115"/>
      <c r="P340" s="115"/>
      <c r="Q340" s="127"/>
      <c r="R340" s="29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27"/>
      <c r="AI340" s="29"/>
    </row>
    <row r="341" spans="1:35" ht="19.5" x14ac:dyDescent="0.4">
      <c r="A341" s="125"/>
      <c r="B341" s="125"/>
      <c r="C341" s="126"/>
      <c r="D341" s="126"/>
      <c r="E341" s="126"/>
      <c r="K341" s="115"/>
      <c r="L341" s="115"/>
      <c r="M341" s="115"/>
      <c r="N341" s="115"/>
      <c r="O341" s="115"/>
      <c r="P341" s="115"/>
      <c r="Q341" s="127"/>
      <c r="R341" s="29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29"/>
      <c r="AI341" s="29"/>
    </row>
    <row r="342" spans="1:35" ht="19.5" x14ac:dyDescent="0.4">
      <c r="A342" s="125"/>
      <c r="B342" s="125"/>
      <c r="C342" s="126"/>
      <c r="D342" s="126"/>
      <c r="E342" s="126"/>
      <c r="K342" s="115"/>
      <c r="L342" s="115"/>
      <c r="M342" s="115"/>
      <c r="N342" s="115"/>
      <c r="O342" s="115"/>
      <c r="P342" s="115"/>
      <c r="Q342" s="127"/>
      <c r="R342" s="29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27"/>
      <c r="AI342" s="29"/>
    </row>
    <row r="343" spans="1:35" ht="19.5" x14ac:dyDescent="0.4">
      <c r="A343" s="125"/>
      <c r="B343" s="125"/>
      <c r="C343" s="126"/>
      <c r="D343" s="126"/>
      <c r="E343" s="126"/>
      <c r="K343" s="115"/>
      <c r="L343" s="115"/>
      <c r="M343" s="115"/>
      <c r="N343" s="115"/>
      <c r="O343" s="115"/>
      <c r="P343" s="115"/>
      <c r="Q343" s="127"/>
      <c r="R343" s="29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29"/>
      <c r="AI343" s="29"/>
    </row>
    <row r="344" spans="1:35" ht="19.5" x14ac:dyDescent="0.4">
      <c r="A344" s="125"/>
      <c r="B344" s="125"/>
      <c r="C344" s="126"/>
      <c r="D344" s="126"/>
      <c r="E344" s="126"/>
      <c r="K344" s="115"/>
      <c r="L344" s="115"/>
      <c r="M344" s="115"/>
      <c r="N344" s="115"/>
      <c r="O344" s="115"/>
      <c r="P344" s="115"/>
      <c r="Q344" s="127"/>
      <c r="R344" s="29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27"/>
      <c r="AI344" s="29"/>
    </row>
    <row r="345" spans="1:35" ht="19.5" x14ac:dyDescent="0.4">
      <c r="A345" s="125"/>
      <c r="B345" s="125"/>
      <c r="C345" s="126"/>
      <c r="D345" s="126"/>
      <c r="E345" s="126"/>
      <c r="K345" s="115"/>
      <c r="L345" s="115"/>
      <c r="M345" s="115"/>
      <c r="N345" s="115"/>
      <c r="O345" s="115"/>
      <c r="P345" s="115"/>
      <c r="Q345" s="127"/>
      <c r="R345" s="29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29"/>
      <c r="AI345" s="29"/>
    </row>
    <row r="346" spans="1:35" ht="19.5" x14ac:dyDescent="0.4">
      <c r="A346" s="125"/>
      <c r="B346" s="125"/>
      <c r="C346" s="126"/>
      <c r="D346" s="126"/>
      <c r="E346" s="126"/>
      <c r="K346" s="115"/>
      <c r="L346" s="115"/>
      <c r="M346" s="115"/>
      <c r="N346" s="115"/>
      <c r="O346" s="115"/>
      <c r="P346" s="115"/>
      <c r="Q346" s="127"/>
      <c r="R346" s="29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27"/>
      <c r="AI346" s="29"/>
    </row>
    <row r="347" spans="1:35" ht="19.5" x14ac:dyDescent="0.4">
      <c r="A347" s="125"/>
      <c r="B347" s="125"/>
      <c r="C347" s="126"/>
      <c r="D347" s="126"/>
      <c r="E347" s="126"/>
      <c r="K347" s="115"/>
      <c r="L347" s="115"/>
      <c r="M347" s="115"/>
      <c r="N347" s="115"/>
      <c r="O347" s="115"/>
      <c r="P347" s="115"/>
      <c r="Q347" s="127"/>
      <c r="R347" s="29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29"/>
      <c r="AI347" s="29"/>
    </row>
    <row r="348" spans="1:35" ht="19.5" x14ac:dyDescent="0.4">
      <c r="A348" s="125"/>
      <c r="B348" s="125"/>
      <c r="C348" s="126"/>
      <c r="D348" s="126"/>
      <c r="E348" s="126"/>
      <c r="Q348" s="127"/>
      <c r="R348" s="29"/>
      <c r="AH348" s="127"/>
      <c r="AI348" s="29"/>
    </row>
    <row r="349" spans="1:35" ht="19.5" x14ac:dyDescent="0.4">
      <c r="A349" s="125"/>
      <c r="B349" s="125"/>
      <c r="C349" s="126"/>
      <c r="D349" s="126"/>
      <c r="E349" s="126"/>
      <c r="K349" s="115"/>
      <c r="L349" s="115"/>
      <c r="M349" s="115"/>
      <c r="N349" s="115"/>
      <c r="O349" s="115"/>
      <c r="P349" s="115"/>
      <c r="Q349" s="127"/>
      <c r="R349" s="29"/>
      <c r="AG349" s="115"/>
      <c r="AH349" s="29"/>
      <c r="AI349" s="29"/>
    </row>
    <row r="350" spans="1:35" ht="19.5" x14ac:dyDescent="0.4">
      <c r="A350" s="125"/>
      <c r="B350" s="125"/>
      <c r="C350" s="126"/>
      <c r="D350" s="126"/>
      <c r="E350" s="126"/>
      <c r="K350" s="115"/>
      <c r="L350" s="115"/>
      <c r="M350" s="115"/>
      <c r="N350" s="115"/>
      <c r="O350" s="115"/>
      <c r="P350" s="115"/>
      <c r="Q350" s="127"/>
      <c r="R350" s="29"/>
      <c r="AG350" s="115"/>
      <c r="AH350" s="29"/>
      <c r="AI350" s="29"/>
    </row>
    <row r="351" spans="1:35" ht="19.5" x14ac:dyDescent="0.4">
      <c r="A351" s="125"/>
      <c r="B351" s="125"/>
      <c r="C351" s="126"/>
      <c r="D351" s="126"/>
      <c r="E351" s="126"/>
      <c r="K351" s="115"/>
      <c r="L351" s="115"/>
      <c r="M351" s="115"/>
      <c r="N351" s="115"/>
      <c r="O351" s="115"/>
      <c r="P351" s="115"/>
      <c r="Q351" s="127"/>
      <c r="R351" s="29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27"/>
      <c r="AI351" s="29"/>
    </row>
    <row r="352" spans="1:35" ht="19.5" x14ac:dyDescent="0.4">
      <c r="A352" s="125"/>
      <c r="B352" s="125"/>
      <c r="C352" s="126"/>
      <c r="D352" s="126"/>
      <c r="E352" s="126"/>
      <c r="Q352" s="127"/>
      <c r="R352" s="29"/>
      <c r="AH352" s="127"/>
      <c r="AI352" s="29"/>
    </row>
    <row r="353" spans="1:35" ht="19.5" x14ac:dyDescent="0.4">
      <c r="A353" s="125"/>
      <c r="B353" s="125"/>
      <c r="C353" s="126"/>
      <c r="D353" s="126"/>
      <c r="E353" s="126"/>
      <c r="L353" s="115"/>
      <c r="M353" s="115"/>
      <c r="N353" s="115"/>
      <c r="O353" s="115"/>
      <c r="P353" s="115"/>
      <c r="Q353" s="29"/>
      <c r="R353" s="29"/>
      <c r="AH353" s="127"/>
      <c r="AI353" s="29"/>
    </row>
    <row r="354" spans="1:35" ht="19.5" x14ac:dyDescent="0.4">
      <c r="A354" s="125"/>
      <c r="B354" s="125"/>
      <c r="C354" s="126"/>
      <c r="D354" s="126"/>
      <c r="E354" s="126"/>
      <c r="K354" s="115"/>
      <c r="L354" s="115"/>
      <c r="M354" s="115"/>
      <c r="N354" s="115"/>
      <c r="O354" s="115"/>
      <c r="P354" s="115"/>
      <c r="Q354" s="127"/>
      <c r="R354" s="29"/>
      <c r="AC354" s="115"/>
      <c r="AD354" s="115"/>
      <c r="AE354" s="115"/>
      <c r="AF354" s="115"/>
      <c r="AG354" s="115"/>
      <c r="AH354" s="127"/>
      <c r="AI354" s="29"/>
    </row>
    <row r="355" spans="1:35" ht="19.5" x14ac:dyDescent="0.4">
      <c r="A355" s="125"/>
      <c r="B355" s="125"/>
      <c r="C355" s="126"/>
      <c r="D355" s="126"/>
      <c r="E355" s="126"/>
      <c r="K355" s="115"/>
      <c r="L355" s="115"/>
      <c r="M355" s="115"/>
      <c r="N355" s="115"/>
      <c r="O355" s="115"/>
      <c r="P355" s="115"/>
      <c r="Q355" s="29"/>
      <c r="R355" s="29"/>
      <c r="AC355" s="115"/>
      <c r="AD355" s="115"/>
      <c r="AE355" s="115"/>
      <c r="AF355" s="115"/>
      <c r="AG355" s="115"/>
      <c r="AH355" s="127"/>
      <c r="AI355" s="29"/>
    </row>
    <row r="356" spans="1:35" ht="19.5" x14ac:dyDescent="0.4">
      <c r="A356" s="125"/>
      <c r="B356" s="125"/>
      <c r="C356" s="126"/>
      <c r="D356" s="126"/>
      <c r="E356" s="126"/>
      <c r="K356" s="115"/>
      <c r="L356" s="115"/>
      <c r="M356" s="115"/>
      <c r="N356" s="115"/>
      <c r="O356" s="115"/>
      <c r="P356" s="115"/>
      <c r="Q356" s="127"/>
      <c r="R356" s="29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27"/>
      <c r="AI356" s="29"/>
    </row>
    <row r="357" spans="1:35" ht="19.5" x14ac:dyDescent="0.4">
      <c r="A357" s="125"/>
      <c r="B357" s="125"/>
      <c r="C357" s="126"/>
      <c r="D357" s="126"/>
      <c r="E357" s="126"/>
      <c r="K357" s="115"/>
      <c r="L357" s="115"/>
      <c r="M357" s="115"/>
      <c r="N357" s="115"/>
      <c r="O357" s="115"/>
      <c r="P357" s="115"/>
      <c r="Q357" s="127"/>
      <c r="R357" s="29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27"/>
      <c r="AI357" s="29"/>
    </row>
    <row r="358" spans="1:35" ht="19.5" x14ac:dyDescent="0.4">
      <c r="A358" s="125"/>
      <c r="B358" s="125"/>
      <c r="C358" s="126"/>
      <c r="D358" s="126"/>
      <c r="E358" s="126"/>
      <c r="K358" s="115"/>
      <c r="L358" s="115"/>
      <c r="M358" s="115"/>
      <c r="N358" s="115"/>
      <c r="O358" s="115"/>
      <c r="P358" s="115"/>
      <c r="Q358" s="29"/>
      <c r="R358" s="29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27"/>
      <c r="AI358" s="29"/>
    </row>
    <row r="359" spans="1:35" ht="19.5" x14ac:dyDescent="0.4">
      <c r="A359" s="125"/>
      <c r="B359" s="125"/>
      <c r="C359" s="126"/>
      <c r="D359" s="126"/>
      <c r="E359" s="126"/>
      <c r="K359" s="115"/>
      <c r="L359" s="115"/>
      <c r="M359" s="115"/>
      <c r="N359" s="115"/>
      <c r="O359" s="115"/>
      <c r="P359" s="115"/>
      <c r="Q359" s="127"/>
      <c r="R359" s="29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29"/>
      <c r="AI359" s="29"/>
    </row>
    <row r="360" spans="1:35" ht="19.5" x14ac:dyDescent="0.4">
      <c r="A360" s="125"/>
      <c r="B360" s="125"/>
      <c r="C360" s="126"/>
      <c r="D360" s="126"/>
      <c r="E360" s="126"/>
      <c r="K360" s="115"/>
      <c r="L360" s="115"/>
      <c r="M360" s="115"/>
      <c r="N360" s="115"/>
      <c r="O360" s="115"/>
      <c r="P360" s="115"/>
      <c r="Q360" s="127"/>
      <c r="R360" s="29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27"/>
      <c r="AI360" s="29"/>
    </row>
    <row r="361" spans="1:35" ht="19.5" x14ac:dyDescent="0.4">
      <c r="A361" s="125"/>
      <c r="B361" s="125"/>
      <c r="C361" s="126"/>
      <c r="D361" s="126"/>
      <c r="E361" s="126"/>
      <c r="K361" s="115"/>
      <c r="L361" s="115"/>
      <c r="M361" s="115"/>
      <c r="N361" s="115"/>
      <c r="O361" s="115"/>
      <c r="P361" s="115"/>
      <c r="Q361" s="29"/>
      <c r="R361" s="29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27"/>
      <c r="AI361" s="29"/>
    </row>
    <row r="362" spans="1:35" ht="19.5" x14ac:dyDescent="0.4">
      <c r="A362" s="125"/>
      <c r="B362" s="125"/>
      <c r="C362" s="126"/>
      <c r="D362" s="126"/>
      <c r="E362" s="126"/>
      <c r="K362" s="115"/>
      <c r="L362" s="115"/>
      <c r="M362" s="115"/>
      <c r="N362" s="115"/>
      <c r="O362" s="115"/>
      <c r="P362" s="115"/>
      <c r="Q362" s="29"/>
      <c r="R362" s="29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27"/>
      <c r="AI362" s="29"/>
    </row>
    <row r="363" spans="1:35" ht="19.5" x14ac:dyDescent="0.4">
      <c r="A363" s="125"/>
      <c r="B363" s="125"/>
      <c r="C363" s="126"/>
      <c r="D363" s="126"/>
      <c r="E363" s="126"/>
      <c r="K363" s="115"/>
      <c r="L363" s="115"/>
      <c r="M363" s="115"/>
      <c r="N363" s="115"/>
      <c r="O363" s="115"/>
      <c r="P363" s="115"/>
      <c r="Q363" s="29"/>
      <c r="R363" s="29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29"/>
      <c r="AI363" s="29"/>
    </row>
    <row r="364" spans="1:35" ht="19.5" x14ac:dyDescent="0.4">
      <c r="A364" s="125"/>
      <c r="B364" s="125"/>
      <c r="C364" s="126"/>
      <c r="D364" s="126"/>
      <c r="E364" s="126"/>
      <c r="K364" s="115"/>
      <c r="L364" s="115"/>
      <c r="M364" s="115"/>
      <c r="N364" s="115"/>
      <c r="O364" s="115"/>
      <c r="P364" s="115"/>
      <c r="Q364" s="127"/>
      <c r="R364" s="29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27"/>
      <c r="AI364" s="29"/>
    </row>
    <row r="365" spans="1:35" ht="19.5" x14ac:dyDescent="0.4">
      <c r="A365" s="125"/>
      <c r="B365" s="125"/>
      <c r="C365" s="126"/>
      <c r="D365" s="126"/>
      <c r="E365" s="126"/>
      <c r="K365" s="115"/>
      <c r="L365" s="115"/>
      <c r="M365" s="115"/>
      <c r="N365" s="115"/>
      <c r="O365" s="115"/>
      <c r="P365" s="115"/>
      <c r="Q365" s="127"/>
      <c r="R365" s="29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27"/>
      <c r="AI365" s="29"/>
    </row>
    <row r="366" spans="1:35" ht="19.5" x14ac:dyDescent="0.4">
      <c r="A366" s="125"/>
      <c r="B366" s="125"/>
      <c r="C366" s="126"/>
      <c r="D366" s="126"/>
      <c r="E366" s="126"/>
      <c r="K366" s="115"/>
      <c r="L366" s="115"/>
      <c r="M366" s="115"/>
      <c r="N366" s="115"/>
      <c r="O366" s="115"/>
      <c r="P366" s="115"/>
      <c r="Q366" s="127"/>
      <c r="R366" s="127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27"/>
      <c r="AI366" s="127"/>
    </row>
    <row r="367" spans="1:35" ht="19.5" x14ac:dyDescent="0.4">
      <c r="A367" s="125"/>
      <c r="B367" s="125"/>
      <c r="C367" s="126"/>
      <c r="D367" s="126"/>
      <c r="E367" s="126"/>
      <c r="K367" s="115"/>
      <c r="L367" s="115"/>
      <c r="M367" s="115"/>
      <c r="N367" s="115"/>
      <c r="O367" s="115"/>
      <c r="P367" s="115"/>
      <c r="Q367" s="127"/>
      <c r="R367" s="29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27"/>
      <c r="AI367" s="29"/>
    </row>
    <row r="368" spans="1:35" ht="19.5" x14ac:dyDescent="0.4">
      <c r="A368" s="125"/>
      <c r="B368" s="125"/>
      <c r="C368" s="126"/>
      <c r="D368" s="126"/>
      <c r="E368" s="126"/>
      <c r="Q368" s="127"/>
      <c r="R368" s="29"/>
      <c r="AH368" s="127"/>
      <c r="AI368" s="29"/>
    </row>
    <row r="369" spans="1:35" ht="19.5" x14ac:dyDescent="0.4">
      <c r="A369" s="125"/>
      <c r="B369" s="125"/>
      <c r="C369" s="126"/>
      <c r="D369" s="126"/>
      <c r="E369" s="126"/>
      <c r="K369" s="115"/>
      <c r="L369" s="115"/>
      <c r="M369" s="115"/>
      <c r="N369" s="115"/>
      <c r="O369" s="115"/>
      <c r="P369" s="115"/>
      <c r="Q369" s="127"/>
      <c r="R369" s="29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27"/>
      <c r="AI369" s="29"/>
    </row>
    <row r="370" spans="1:35" ht="19.5" x14ac:dyDescent="0.4">
      <c r="A370" s="125"/>
      <c r="B370" s="125"/>
      <c r="C370" s="126"/>
      <c r="D370" s="126"/>
      <c r="E370" s="126"/>
      <c r="K370" s="115"/>
      <c r="L370" s="115"/>
      <c r="M370" s="115"/>
      <c r="N370" s="115"/>
      <c r="O370" s="115"/>
      <c r="P370" s="115"/>
      <c r="Q370" s="127"/>
      <c r="R370" s="29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27"/>
      <c r="AI370" s="29"/>
    </row>
    <row r="371" spans="1:35" ht="19.5" x14ac:dyDescent="0.4">
      <c r="A371" s="125"/>
      <c r="B371" s="125"/>
      <c r="C371" s="126"/>
      <c r="D371" s="126"/>
      <c r="E371" s="126"/>
      <c r="K371" s="115"/>
      <c r="L371" s="115"/>
      <c r="M371" s="115"/>
      <c r="N371" s="115"/>
      <c r="O371" s="115"/>
      <c r="P371" s="115"/>
      <c r="Q371" s="127"/>
      <c r="R371" s="29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27"/>
      <c r="AI371" s="29"/>
    </row>
    <row r="372" spans="1:35" ht="19.5" x14ac:dyDescent="0.4">
      <c r="A372" s="125"/>
      <c r="B372" s="125"/>
      <c r="C372" s="126"/>
      <c r="D372" s="126"/>
      <c r="E372" s="126"/>
      <c r="K372" s="115"/>
      <c r="L372" s="115"/>
      <c r="M372" s="115"/>
      <c r="N372" s="115"/>
      <c r="O372" s="115"/>
      <c r="P372" s="115"/>
      <c r="Q372" s="127"/>
      <c r="R372" s="29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27"/>
      <c r="AI372" s="29"/>
    </row>
    <row r="373" spans="1:35" ht="19.5" x14ac:dyDescent="0.4">
      <c r="A373" s="125"/>
      <c r="B373" s="125"/>
      <c r="C373" s="126"/>
      <c r="D373" s="126"/>
      <c r="E373" s="126"/>
      <c r="K373" s="115"/>
      <c r="L373" s="115"/>
      <c r="M373" s="115"/>
      <c r="N373" s="115"/>
      <c r="O373" s="115"/>
      <c r="P373" s="115"/>
      <c r="Q373" s="127"/>
      <c r="R373" s="29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27"/>
      <c r="AI373" s="29"/>
    </row>
    <row r="374" spans="1:35" ht="19.5" x14ac:dyDescent="0.4">
      <c r="A374" s="125"/>
      <c r="B374" s="125"/>
      <c r="C374" s="126"/>
      <c r="D374" s="126"/>
      <c r="E374" s="126"/>
      <c r="K374" s="115"/>
      <c r="L374" s="115"/>
      <c r="M374" s="115"/>
      <c r="N374" s="115"/>
      <c r="O374" s="115"/>
      <c r="P374" s="115"/>
      <c r="Q374" s="127"/>
      <c r="R374" s="29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27"/>
      <c r="AI374" s="29"/>
    </row>
    <row r="375" spans="1:35" ht="19.5" x14ac:dyDescent="0.4">
      <c r="A375" s="125"/>
      <c r="B375" s="125"/>
      <c r="C375" s="126"/>
      <c r="D375" s="126"/>
      <c r="E375" s="126"/>
      <c r="K375" s="115"/>
      <c r="L375" s="115"/>
      <c r="M375" s="115"/>
      <c r="N375" s="115"/>
      <c r="O375" s="115"/>
      <c r="P375" s="115"/>
      <c r="Q375" s="127"/>
      <c r="R375" s="29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27"/>
      <c r="AI375" s="29"/>
    </row>
    <row r="376" spans="1:35" ht="19.5" x14ac:dyDescent="0.4">
      <c r="A376" s="125"/>
      <c r="B376" s="125"/>
      <c r="C376" s="126"/>
      <c r="D376" s="126"/>
      <c r="E376" s="126"/>
      <c r="K376" s="115"/>
      <c r="L376" s="115"/>
      <c r="M376" s="115"/>
      <c r="N376" s="115"/>
      <c r="O376" s="115"/>
      <c r="P376" s="115"/>
      <c r="Q376" s="127"/>
      <c r="R376" s="29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27"/>
      <c r="AI376" s="29"/>
    </row>
    <row r="377" spans="1:35" ht="19.5" x14ac:dyDescent="0.4">
      <c r="A377" s="125"/>
      <c r="B377" s="125"/>
      <c r="C377" s="126"/>
      <c r="D377" s="126"/>
      <c r="E377" s="126"/>
      <c r="K377" s="115"/>
      <c r="L377" s="115"/>
      <c r="M377" s="115"/>
      <c r="N377" s="115"/>
      <c r="O377" s="115"/>
      <c r="P377" s="115"/>
      <c r="Q377" s="127"/>
      <c r="R377" s="29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27"/>
      <c r="AI377" s="29"/>
    </row>
    <row r="378" spans="1:35" ht="19.5" x14ac:dyDescent="0.4">
      <c r="A378" s="125"/>
      <c r="B378" s="125"/>
      <c r="C378" s="126"/>
      <c r="D378" s="126"/>
      <c r="E378" s="126"/>
      <c r="K378" s="115"/>
      <c r="L378" s="115"/>
      <c r="M378" s="115"/>
      <c r="N378" s="115"/>
      <c r="O378" s="115"/>
      <c r="P378" s="115"/>
      <c r="Q378" s="127"/>
      <c r="R378" s="29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27"/>
      <c r="AI378" s="29"/>
    </row>
    <row r="379" spans="1:35" ht="19.5" x14ac:dyDescent="0.4">
      <c r="A379" s="125"/>
      <c r="B379" s="125"/>
      <c r="C379" s="126"/>
      <c r="D379" s="126"/>
      <c r="E379" s="126"/>
      <c r="Q379" s="127"/>
      <c r="R379" s="29"/>
      <c r="AH379" s="127"/>
      <c r="AI379" s="29"/>
    </row>
    <row r="380" spans="1:35" ht="19.5" x14ac:dyDescent="0.4">
      <c r="A380" s="125"/>
      <c r="B380" s="125"/>
      <c r="C380" s="126"/>
      <c r="D380" s="126"/>
      <c r="E380" s="126"/>
      <c r="K380" s="115"/>
      <c r="L380" s="115"/>
      <c r="M380" s="115"/>
      <c r="N380" s="115"/>
      <c r="O380" s="115"/>
      <c r="P380" s="115"/>
      <c r="Q380" s="29"/>
      <c r="R380" s="29"/>
      <c r="AF380" s="115"/>
      <c r="AG380" s="115"/>
      <c r="AH380" s="29"/>
      <c r="AI380" s="29"/>
    </row>
    <row r="381" spans="1:35" ht="19.5" x14ac:dyDescent="0.4">
      <c r="A381" s="125"/>
      <c r="B381" s="125"/>
      <c r="C381" s="126"/>
      <c r="D381" s="126"/>
      <c r="E381" s="126"/>
      <c r="K381" s="115"/>
      <c r="L381" s="115"/>
      <c r="M381" s="115"/>
      <c r="N381" s="115"/>
      <c r="O381" s="115"/>
      <c r="P381" s="115"/>
      <c r="Q381" s="127"/>
      <c r="R381" s="29"/>
      <c r="AD381" s="115"/>
      <c r="AE381" s="115"/>
      <c r="AF381" s="115"/>
      <c r="AG381" s="115"/>
      <c r="AH381" s="127"/>
      <c r="AI381" s="29"/>
    </row>
    <row r="382" spans="1:35" ht="19.5" x14ac:dyDescent="0.4">
      <c r="A382" s="125"/>
      <c r="B382" s="125"/>
      <c r="C382" s="126"/>
      <c r="D382" s="126"/>
      <c r="E382" s="126"/>
      <c r="K382" s="115"/>
      <c r="L382" s="115"/>
      <c r="M382" s="115"/>
      <c r="N382" s="115"/>
      <c r="O382" s="115"/>
      <c r="P382" s="115"/>
      <c r="Q382" s="127"/>
      <c r="R382" s="29"/>
      <c r="AD382" s="115"/>
      <c r="AE382" s="115"/>
      <c r="AF382" s="115"/>
      <c r="AG382" s="115"/>
      <c r="AH382" s="127"/>
      <c r="AI382" s="29"/>
    </row>
    <row r="383" spans="1:35" ht="19.5" x14ac:dyDescent="0.4">
      <c r="A383" s="125"/>
      <c r="B383" s="125"/>
      <c r="C383" s="126"/>
      <c r="D383" s="126"/>
      <c r="E383" s="126"/>
      <c r="K383" s="115"/>
      <c r="L383" s="115"/>
      <c r="M383" s="115"/>
      <c r="N383" s="115"/>
      <c r="O383" s="115"/>
      <c r="P383" s="115"/>
      <c r="Q383" s="127"/>
      <c r="R383" s="29"/>
      <c r="AC383" s="115"/>
      <c r="AD383" s="115"/>
      <c r="AE383" s="115"/>
      <c r="AF383" s="115"/>
      <c r="AG383" s="115"/>
      <c r="AH383" s="127"/>
      <c r="AI383" s="29"/>
    </row>
    <row r="384" spans="1:35" ht="19.5" x14ac:dyDescent="0.4">
      <c r="A384" s="125"/>
      <c r="B384" s="125"/>
      <c r="C384" s="126"/>
      <c r="D384" s="126"/>
      <c r="E384" s="126"/>
      <c r="Q384" s="127"/>
      <c r="R384" s="29"/>
      <c r="AH384" s="127"/>
      <c r="AI384" s="29"/>
    </row>
    <row r="385" spans="1:35" ht="19.5" x14ac:dyDescent="0.4">
      <c r="A385" s="125"/>
      <c r="B385" s="125"/>
      <c r="C385" s="126"/>
      <c r="D385" s="126"/>
      <c r="E385" s="126"/>
      <c r="K385" s="115"/>
      <c r="L385" s="115"/>
      <c r="M385" s="115"/>
      <c r="N385" s="115"/>
      <c r="O385" s="115"/>
      <c r="P385" s="115"/>
      <c r="Q385" s="127"/>
      <c r="R385" s="29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27"/>
      <c r="AI385" s="29"/>
    </row>
    <row r="386" spans="1:35" ht="19.5" x14ac:dyDescent="0.4">
      <c r="A386" s="125"/>
      <c r="B386" s="125"/>
      <c r="C386" s="126"/>
      <c r="D386" s="126"/>
      <c r="E386" s="126"/>
      <c r="K386" s="115"/>
      <c r="L386" s="115"/>
      <c r="M386" s="115"/>
      <c r="N386" s="115"/>
      <c r="O386" s="115"/>
      <c r="P386" s="115"/>
      <c r="Q386" s="29"/>
      <c r="R386" s="29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29"/>
      <c r="AI386" s="29"/>
    </row>
    <row r="387" spans="1:35" ht="19.5" x14ac:dyDescent="0.4">
      <c r="A387" s="125"/>
      <c r="B387" s="125"/>
      <c r="C387" s="126"/>
      <c r="D387" s="126"/>
      <c r="E387" s="126"/>
      <c r="K387" s="115"/>
      <c r="L387" s="115"/>
      <c r="M387" s="115"/>
      <c r="N387" s="115"/>
      <c r="O387" s="115"/>
      <c r="P387" s="115"/>
      <c r="Q387" s="127"/>
      <c r="R387" s="29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27"/>
      <c r="AI387" s="29"/>
    </row>
    <row r="388" spans="1:35" ht="19.5" x14ac:dyDescent="0.4">
      <c r="A388" s="125"/>
      <c r="B388" s="125"/>
      <c r="C388" s="126"/>
      <c r="D388" s="126"/>
      <c r="E388" s="126"/>
      <c r="K388" s="115"/>
      <c r="L388" s="115"/>
      <c r="M388" s="115"/>
      <c r="N388" s="115"/>
      <c r="O388" s="115"/>
      <c r="P388" s="115"/>
      <c r="Q388" s="127"/>
      <c r="R388" s="29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27"/>
      <c r="AI388" s="29"/>
    </row>
    <row r="389" spans="1:35" ht="19.5" x14ac:dyDescent="0.4">
      <c r="A389" s="125"/>
      <c r="B389" s="125"/>
      <c r="C389" s="126"/>
      <c r="D389" s="126"/>
      <c r="E389" s="126"/>
      <c r="K389" s="115"/>
      <c r="L389" s="115"/>
      <c r="M389" s="115"/>
      <c r="N389" s="115"/>
      <c r="O389" s="115"/>
      <c r="P389" s="115"/>
      <c r="Q389" s="127"/>
      <c r="R389" s="29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27"/>
      <c r="AI389" s="29"/>
    </row>
    <row r="390" spans="1:35" ht="19.5" x14ac:dyDescent="0.4">
      <c r="A390" s="125"/>
      <c r="B390" s="125"/>
      <c r="C390" s="126"/>
      <c r="D390" s="126"/>
      <c r="E390" s="126"/>
      <c r="K390" s="115"/>
      <c r="L390" s="115"/>
      <c r="M390" s="115"/>
      <c r="N390" s="115"/>
      <c r="O390" s="115"/>
      <c r="P390" s="115"/>
      <c r="Q390" s="127"/>
      <c r="R390" s="29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27"/>
      <c r="AI390" s="29"/>
    </row>
    <row r="391" spans="1:35" ht="19.5" x14ac:dyDescent="0.4">
      <c r="A391" s="125"/>
      <c r="B391" s="125"/>
      <c r="C391" s="126"/>
      <c r="D391" s="126"/>
      <c r="E391" s="126"/>
      <c r="K391" s="115"/>
      <c r="L391" s="115"/>
      <c r="M391" s="115"/>
      <c r="N391" s="115"/>
      <c r="O391" s="115"/>
      <c r="P391" s="115"/>
      <c r="Q391" s="29"/>
      <c r="R391" s="29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29"/>
      <c r="AI391" s="29"/>
    </row>
    <row r="392" spans="1:35" ht="19.5" x14ac:dyDescent="0.4">
      <c r="A392" s="125"/>
      <c r="B392" s="125"/>
      <c r="C392" s="126"/>
      <c r="D392" s="126"/>
      <c r="E392" s="126"/>
      <c r="K392" s="115"/>
      <c r="L392" s="115"/>
      <c r="M392" s="115"/>
      <c r="N392" s="115"/>
      <c r="O392" s="115"/>
      <c r="P392" s="115"/>
      <c r="Q392" s="127"/>
      <c r="R392" s="29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27"/>
      <c r="AI392" s="29"/>
    </row>
    <row r="393" spans="1:35" ht="19.5" x14ac:dyDescent="0.4">
      <c r="A393" s="125"/>
      <c r="B393" s="125"/>
      <c r="C393" s="126"/>
      <c r="D393" s="126"/>
      <c r="E393" s="126"/>
      <c r="K393" s="115"/>
      <c r="L393" s="115"/>
      <c r="M393" s="115"/>
      <c r="N393" s="115"/>
      <c r="O393" s="115"/>
      <c r="P393" s="115"/>
      <c r="Q393" s="127"/>
      <c r="R393" s="29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27"/>
      <c r="AI393" s="29"/>
    </row>
    <row r="394" spans="1:35" ht="19.5" x14ac:dyDescent="0.4">
      <c r="A394" s="125"/>
      <c r="B394" s="125"/>
      <c r="C394" s="126"/>
      <c r="D394" s="126"/>
      <c r="E394" s="126"/>
      <c r="K394" s="115"/>
      <c r="L394" s="115"/>
      <c r="M394" s="115"/>
      <c r="N394" s="115"/>
      <c r="O394" s="115"/>
      <c r="P394" s="115"/>
      <c r="Q394" s="29"/>
      <c r="R394" s="29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29"/>
      <c r="AI394" s="29"/>
    </row>
    <row r="395" spans="1:35" ht="19.5" x14ac:dyDescent="0.4">
      <c r="A395" s="125"/>
      <c r="B395" s="125"/>
      <c r="C395" s="126"/>
      <c r="D395" s="126"/>
      <c r="E395" s="126"/>
      <c r="K395" s="115"/>
      <c r="L395" s="115"/>
      <c r="M395" s="115"/>
      <c r="N395" s="115"/>
      <c r="O395" s="115"/>
      <c r="P395" s="115"/>
      <c r="Q395" s="127"/>
      <c r="R395" s="29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27"/>
      <c r="AI395" s="29"/>
    </row>
    <row r="396" spans="1:35" ht="19.5" x14ac:dyDescent="0.4">
      <c r="A396" s="125"/>
      <c r="B396" s="125"/>
      <c r="C396" s="126"/>
      <c r="D396" s="126"/>
      <c r="E396" s="126"/>
      <c r="K396" s="115"/>
      <c r="L396" s="115"/>
      <c r="M396" s="115"/>
      <c r="N396" s="115"/>
      <c r="O396" s="115"/>
      <c r="P396" s="115"/>
      <c r="Q396" s="29"/>
      <c r="R396" s="29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29"/>
      <c r="AI396" s="29"/>
    </row>
    <row r="397" spans="1:35" ht="19.5" x14ac:dyDescent="0.4">
      <c r="A397" s="125"/>
      <c r="B397" s="125"/>
      <c r="C397" s="126"/>
      <c r="D397" s="126"/>
      <c r="E397" s="126"/>
      <c r="Q397" s="127"/>
      <c r="R397" s="29"/>
      <c r="AH397" s="127"/>
      <c r="AI397" s="29"/>
    </row>
    <row r="398" spans="1:35" ht="19.5" x14ac:dyDescent="0.4">
      <c r="A398" s="125"/>
      <c r="B398" s="125"/>
      <c r="C398" s="126"/>
      <c r="D398" s="126"/>
      <c r="E398" s="126"/>
      <c r="K398" s="115"/>
      <c r="L398" s="115"/>
      <c r="M398" s="115"/>
      <c r="N398" s="115"/>
      <c r="O398" s="115"/>
      <c r="P398" s="115"/>
      <c r="Q398" s="29"/>
      <c r="R398" s="29"/>
      <c r="AF398" s="115"/>
      <c r="AG398" s="115"/>
      <c r="AH398" s="29"/>
      <c r="AI398" s="29"/>
    </row>
    <row r="399" spans="1:35" ht="19.5" x14ac:dyDescent="0.4">
      <c r="A399" s="125"/>
      <c r="B399" s="125"/>
      <c r="C399" s="126"/>
      <c r="D399" s="126"/>
      <c r="E399" s="126"/>
      <c r="K399" s="115"/>
      <c r="L399" s="115"/>
      <c r="M399" s="115"/>
      <c r="N399" s="115"/>
      <c r="O399" s="115"/>
      <c r="P399" s="115"/>
      <c r="Q399" s="29"/>
      <c r="R399" s="29"/>
      <c r="AF399" s="115"/>
      <c r="AG399" s="115"/>
      <c r="AH399" s="29"/>
      <c r="AI399" s="29"/>
    </row>
    <row r="400" spans="1:35" ht="19.5" x14ac:dyDescent="0.4">
      <c r="A400" s="125"/>
      <c r="B400" s="125"/>
      <c r="C400" s="126"/>
      <c r="D400" s="126"/>
      <c r="E400" s="126"/>
      <c r="K400" s="115"/>
      <c r="L400" s="115"/>
      <c r="M400" s="115"/>
      <c r="N400" s="115"/>
      <c r="O400" s="115"/>
      <c r="P400" s="115"/>
      <c r="Q400" s="29"/>
      <c r="R400" s="29"/>
      <c r="AE400" s="115"/>
      <c r="AF400" s="115"/>
      <c r="AG400" s="115"/>
      <c r="AH400" s="29"/>
      <c r="AI400" s="29"/>
    </row>
    <row r="401" spans="1:35" ht="19.5" x14ac:dyDescent="0.4">
      <c r="A401" s="125"/>
      <c r="B401" s="125"/>
      <c r="C401" s="126"/>
      <c r="D401" s="126"/>
      <c r="E401" s="126"/>
      <c r="K401" s="115"/>
      <c r="L401" s="115"/>
      <c r="M401" s="115"/>
      <c r="N401" s="115"/>
      <c r="O401" s="115"/>
      <c r="P401" s="115"/>
      <c r="Q401" s="127"/>
      <c r="R401" s="29"/>
      <c r="AB401" s="115"/>
      <c r="AC401" s="115"/>
      <c r="AD401" s="115"/>
      <c r="AE401" s="115"/>
      <c r="AF401" s="115"/>
      <c r="AG401" s="115"/>
      <c r="AH401" s="127"/>
      <c r="AI401" s="29"/>
    </row>
    <row r="402" spans="1:35" ht="19.5" x14ac:dyDescent="0.4">
      <c r="A402" s="125"/>
      <c r="B402" s="125"/>
      <c r="C402" s="126"/>
      <c r="D402" s="126"/>
      <c r="E402" s="126"/>
      <c r="K402" s="115"/>
      <c r="L402" s="115"/>
      <c r="M402" s="115"/>
      <c r="N402" s="115"/>
      <c r="O402" s="115"/>
      <c r="P402" s="115"/>
      <c r="Q402" s="127"/>
      <c r="R402" s="29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27"/>
      <c r="AI402" s="29"/>
    </row>
    <row r="403" spans="1:35" ht="19.5" x14ac:dyDescent="0.4">
      <c r="A403" s="125"/>
      <c r="B403" s="125"/>
      <c r="C403" s="126"/>
      <c r="D403" s="126"/>
      <c r="E403" s="126"/>
      <c r="Q403" s="127"/>
      <c r="R403" s="29"/>
      <c r="AH403" s="127"/>
      <c r="AI403" s="29"/>
    </row>
    <row r="404" spans="1:35" ht="19.5" x14ac:dyDescent="0.4">
      <c r="A404" s="125"/>
      <c r="B404" s="125"/>
      <c r="C404" s="126"/>
      <c r="D404" s="126"/>
      <c r="E404" s="126"/>
      <c r="K404" s="115"/>
      <c r="L404" s="115"/>
      <c r="M404" s="115"/>
      <c r="N404" s="115"/>
      <c r="O404" s="115"/>
      <c r="P404" s="115"/>
      <c r="Q404" s="127"/>
      <c r="R404" s="29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27"/>
      <c r="AI404" s="29"/>
    </row>
    <row r="405" spans="1:35" ht="19.5" x14ac:dyDescent="0.4">
      <c r="A405" s="125"/>
      <c r="B405" s="125"/>
      <c r="C405" s="126"/>
      <c r="D405" s="126"/>
      <c r="E405" s="126"/>
      <c r="K405" s="115"/>
      <c r="L405" s="115"/>
      <c r="M405" s="115"/>
      <c r="N405" s="115"/>
      <c r="O405" s="115"/>
      <c r="P405" s="115"/>
      <c r="Q405" s="127"/>
      <c r="R405" s="29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27"/>
      <c r="AI405" s="29"/>
    </row>
    <row r="406" spans="1:35" ht="19.5" x14ac:dyDescent="0.4">
      <c r="A406" s="125"/>
      <c r="B406" s="125"/>
      <c r="C406" s="126"/>
      <c r="D406" s="126"/>
      <c r="E406" s="126"/>
      <c r="K406" s="115"/>
      <c r="L406" s="115"/>
      <c r="M406" s="115"/>
      <c r="N406" s="115"/>
      <c r="O406" s="115"/>
      <c r="P406" s="115"/>
      <c r="Q406" s="127"/>
      <c r="R406" s="29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27"/>
      <c r="AI406" s="29"/>
    </row>
    <row r="407" spans="1:35" ht="19.5" x14ac:dyDescent="0.4">
      <c r="A407" s="125"/>
      <c r="B407" s="125"/>
      <c r="C407" s="126"/>
      <c r="D407" s="126"/>
      <c r="E407" s="126"/>
      <c r="Q407" s="127"/>
      <c r="R407" s="29"/>
      <c r="AH407" s="127"/>
      <c r="AI407" s="29"/>
    </row>
    <row r="408" spans="1:35" ht="19.5" x14ac:dyDescent="0.4">
      <c r="A408" s="125"/>
      <c r="B408" s="125"/>
      <c r="C408" s="126"/>
      <c r="D408" s="126"/>
      <c r="E408" s="126"/>
      <c r="K408" s="115"/>
      <c r="L408" s="115"/>
      <c r="M408" s="115"/>
      <c r="N408" s="115"/>
      <c r="O408" s="115"/>
      <c r="P408" s="115"/>
      <c r="Q408" s="127"/>
      <c r="R408" s="29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27"/>
      <c r="AI408" s="29"/>
    </row>
    <row r="409" spans="1:35" ht="19.5" x14ac:dyDescent="0.4">
      <c r="A409" s="125"/>
      <c r="B409" s="125"/>
      <c r="C409" s="126"/>
      <c r="D409" s="126"/>
      <c r="E409" s="126"/>
      <c r="K409" s="115"/>
      <c r="L409" s="115"/>
      <c r="M409" s="115"/>
      <c r="N409" s="115"/>
      <c r="O409" s="115"/>
      <c r="P409" s="115"/>
      <c r="Q409" s="29"/>
      <c r="R409" s="29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29"/>
      <c r="AI409" s="29"/>
    </row>
    <row r="410" spans="1:35" ht="19.5" x14ac:dyDescent="0.4">
      <c r="A410" s="125"/>
      <c r="B410" s="125"/>
      <c r="C410" s="126"/>
      <c r="D410" s="126"/>
      <c r="E410" s="126"/>
      <c r="K410" s="115"/>
      <c r="L410" s="115"/>
      <c r="M410" s="115"/>
      <c r="N410" s="115"/>
      <c r="O410" s="115"/>
      <c r="P410" s="115"/>
      <c r="Q410" s="127"/>
      <c r="R410" s="29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27"/>
      <c r="AI410" s="29"/>
    </row>
    <row r="411" spans="1:35" ht="19.5" x14ac:dyDescent="0.4">
      <c r="A411" s="125"/>
      <c r="B411" s="125"/>
      <c r="C411" s="126"/>
      <c r="D411" s="126"/>
      <c r="E411" s="126"/>
      <c r="K411" s="115"/>
      <c r="L411" s="115"/>
      <c r="M411" s="115"/>
      <c r="N411" s="115"/>
      <c r="O411" s="115"/>
      <c r="P411" s="115"/>
      <c r="Q411" s="127"/>
      <c r="R411" s="29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27"/>
      <c r="AI411" s="29"/>
    </row>
    <row r="412" spans="1:35" ht="19.5" x14ac:dyDescent="0.4">
      <c r="A412" s="125"/>
      <c r="B412" s="125"/>
      <c r="C412" s="126"/>
      <c r="D412" s="126"/>
      <c r="E412" s="126"/>
      <c r="K412" s="115"/>
      <c r="L412" s="115"/>
      <c r="M412" s="115"/>
      <c r="N412" s="115"/>
      <c r="O412" s="115"/>
      <c r="P412" s="115"/>
      <c r="Q412" s="127"/>
      <c r="R412" s="29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27"/>
      <c r="AI412" s="29"/>
    </row>
    <row r="413" spans="1:35" ht="19.5" x14ac:dyDescent="0.4">
      <c r="A413" s="125"/>
      <c r="B413" s="125"/>
      <c r="C413" s="126"/>
      <c r="D413" s="126"/>
      <c r="E413" s="126"/>
      <c r="K413" s="115"/>
      <c r="L413" s="115"/>
      <c r="M413" s="115"/>
      <c r="N413" s="115"/>
      <c r="O413" s="115"/>
      <c r="P413" s="115"/>
      <c r="Q413" s="127"/>
      <c r="R413" s="29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27"/>
      <c r="AI413" s="29"/>
    </row>
    <row r="414" spans="1:35" ht="19.5" x14ac:dyDescent="0.4">
      <c r="A414" s="125"/>
      <c r="B414" s="125"/>
      <c r="C414" s="126"/>
      <c r="D414" s="126"/>
      <c r="E414" s="126"/>
      <c r="Q414" s="127"/>
      <c r="R414" s="29"/>
      <c r="AH414" s="127"/>
      <c r="AI414" s="29"/>
    </row>
    <row r="415" spans="1:35" ht="19.5" x14ac:dyDescent="0.4">
      <c r="A415" s="125"/>
      <c r="B415" s="125"/>
      <c r="C415" s="126"/>
      <c r="D415" s="126"/>
      <c r="E415" s="126"/>
      <c r="K415" s="115"/>
      <c r="L415" s="115"/>
      <c r="M415" s="115"/>
      <c r="N415" s="115"/>
      <c r="O415" s="115"/>
      <c r="P415" s="115"/>
      <c r="Q415" s="127"/>
      <c r="R415" s="29"/>
      <c r="Z415" s="115"/>
      <c r="AA415" s="115"/>
      <c r="AB415" s="115"/>
      <c r="AC415" s="115"/>
      <c r="AD415" s="115"/>
      <c r="AE415" s="115"/>
      <c r="AF415" s="115"/>
      <c r="AG415" s="115"/>
      <c r="AH415" s="127"/>
      <c r="AI415" s="29"/>
    </row>
    <row r="416" spans="1:35" ht="19.5" x14ac:dyDescent="0.4">
      <c r="A416" s="125"/>
      <c r="B416" s="125"/>
      <c r="C416" s="126"/>
      <c r="D416" s="126"/>
      <c r="E416" s="126"/>
      <c r="K416" s="115"/>
      <c r="L416" s="115"/>
      <c r="M416" s="115"/>
      <c r="N416" s="115"/>
      <c r="O416" s="115"/>
      <c r="P416" s="115"/>
      <c r="Q416" s="127"/>
      <c r="R416" s="29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27"/>
      <c r="AI416" s="29"/>
    </row>
    <row r="417" spans="1:35" ht="19.5" x14ac:dyDescent="0.4">
      <c r="A417" s="125"/>
      <c r="B417" s="125"/>
      <c r="C417" s="126"/>
      <c r="D417" s="126"/>
      <c r="E417" s="126"/>
      <c r="K417" s="115"/>
      <c r="L417" s="115"/>
      <c r="M417" s="115"/>
      <c r="N417" s="115"/>
      <c r="O417" s="115"/>
      <c r="P417" s="115"/>
      <c r="Q417" s="127"/>
      <c r="R417" s="29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27"/>
      <c r="AI417" s="29"/>
    </row>
    <row r="418" spans="1:35" ht="19.5" x14ac:dyDescent="0.4">
      <c r="A418" s="125"/>
      <c r="B418" s="125"/>
      <c r="C418" s="126"/>
      <c r="D418" s="126"/>
      <c r="E418" s="126"/>
      <c r="K418" s="115"/>
      <c r="L418" s="115"/>
      <c r="M418" s="115"/>
      <c r="N418" s="115"/>
      <c r="O418" s="115"/>
      <c r="P418" s="115"/>
      <c r="Q418" s="127"/>
      <c r="R418" s="29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27"/>
      <c r="AI418" s="29"/>
    </row>
    <row r="419" spans="1:35" ht="19.5" x14ac:dyDescent="0.4">
      <c r="A419" s="125"/>
      <c r="B419" s="125"/>
      <c r="C419" s="126"/>
      <c r="D419" s="126"/>
      <c r="E419" s="126"/>
      <c r="K419" s="115"/>
      <c r="L419" s="115"/>
      <c r="M419" s="115"/>
      <c r="N419" s="115"/>
      <c r="O419" s="115"/>
      <c r="P419" s="115"/>
      <c r="Q419" s="127"/>
      <c r="R419" s="29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27"/>
      <c r="AI419" s="29"/>
    </row>
    <row r="420" spans="1:35" ht="19.5" x14ac:dyDescent="0.4">
      <c r="A420" s="125"/>
      <c r="B420" s="125"/>
      <c r="C420" s="126"/>
      <c r="D420" s="126"/>
      <c r="E420" s="126"/>
      <c r="K420" s="115"/>
      <c r="L420" s="115"/>
      <c r="M420" s="115"/>
      <c r="N420" s="115"/>
      <c r="O420" s="115"/>
      <c r="P420" s="115"/>
      <c r="Q420" s="127"/>
      <c r="R420" s="29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27"/>
      <c r="AI420" s="29"/>
    </row>
    <row r="421" spans="1:35" ht="19.5" x14ac:dyDescent="0.4">
      <c r="A421" s="125"/>
      <c r="B421" s="125"/>
      <c r="C421" s="126"/>
      <c r="D421" s="126"/>
      <c r="E421" s="126"/>
      <c r="K421" s="115"/>
      <c r="L421" s="115"/>
      <c r="M421" s="115"/>
      <c r="N421" s="115"/>
      <c r="O421" s="115"/>
      <c r="P421" s="115"/>
      <c r="Q421" s="127"/>
      <c r="R421" s="29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27"/>
      <c r="AI421" s="29"/>
    </row>
    <row r="422" spans="1:35" ht="19.5" x14ac:dyDescent="0.4">
      <c r="A422" s="125"/>
      <c r="B422" s="125"/>
      <c r="C422" s="126"/>
      <c r="D422" s="126"/>
      <c r="E422" s="126"/>
      <c r="K422" s="115"/>
      <c r="L422" s="115"/>
      <c r="M422" s="115"/>
      <c r="N422" s="115"/>
      <c r="O422" s="115"/>
      <c r="P422" s="115"/>
      <c r="Q422" s="29"/>
      <c r="R422" s="29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29"/>
      <c r="AI422" s="29"/>
    </row>
    <row r="423" spans="1:35" ht="19.5" x14ac:dyDescent="0.4">
      <c r="A423" s="125"/>
      <c r="B423" s="125"/>
      <c r="C423" s="126"/>
      <c r="D423" s="126"/>
      <c r="E423" s="126"/>
      <c r="K423" s="115"/>
      <c r="L423" s="115"/>
      <c r="M423" s="115"/>
      <c r="N423" s="115"/>
      <c r="O423" s="115"/>
      <c r="P423" s="115"/>
      <c r="Q423" s="127"/>
      <c r="R423" s="29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27"/>
      <c r="AI423" s="29"/>
    </row>
    <row r="424" spans="1:35" ht="19.5" x14ac:dyDescent="0.4">
      <c r="A424" s="125"/>
      <c r="B424" s="125"/>
      <c r="C424" s="126"/>
      <c r="D424" s="126"/>
      <c r="E424" s="126"/>
      <c r="K424" s="115"/>
      <c r="L424" s="115"/>
      <c r="M424" s="115"/>
      <c r="N424" s="115"/>
      <c r="O424" s="115"/>
      <c r="P424" s="115"/>
      <c r="Q424" s="127"/>
      <c r="R424" s="29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27"/>
      <c r="AI424" s="29"/>
    </row>
    <row r="425" spans="1:35" ht="19.5" x14ac:dyDescent="0.4">
      <c r="A425" s="125"/>
      <c r="B425" s="125"/>
      <c r="C425" s="126"/>
      <c r="D425" s="126"/>
      <c r="E425" s="126"/>
      <c r="K425" s="115"/>
      <c r="L425" s="115"/>
      <c r="M425" s="115"/>
      <c r="N425" s="115"/>
      <c r="O425" s="115"/>
      <c r="P425" s="115"/>
      <c r="Q425" s="29"/>
      <c r="R425" s="29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29"/>
      <c r="AI425" s="29"/>
    </row>
    <row r="426" spans="1:35" ht="19.5" x14ac:dyDescent="0.4">
      <c r="A426" s="125"/>
      <c r="B426" s="125"/>
      <c r="C426" s="126"/>
      <c r="D426" s="126"/>
      <c r="E426" s="126"/>
      <c r="Q426" s="127"/>
      <c r="R426" s="29"/>
      <c r="AH426" s="127"/>
      <c r="AI426" s="29"/>
    </row>
    <row r="427" spans="1:35" ht="19.5" x14ac:dyDescent="0.4">
      <c r="A427" s="125"/>
      <c r="B427" s="125"/>
      <c r="C427" s="126"/>
      <c r="D427" s="126"/>
      <c r="E427" s="126"/>
      <c r="Q427" s="127"/>
      <c r="R427" s="29"/>
      <c r="AH427" s="127"/>
      <c r="AI427" s="29"/>
    </row>
    <row r="428" spans="1:35" ht="19.5" x14ac:dyDescent="0.4">
      <c r="A428" s="125"/>
      <c r="B428" s="125"/>
      <c r="C428" s="126"/>
      <c r="D428" s="126"/>
      <c r="E428" s="126"/>
      <c r="K428" s="115"/>
      <c r="L428" s="115"/>
      <c r="M428" s="115"/>
      <c r="N428" s="115"/>
      <c r="O428" s="115"/>
      <c r="P428" s="115"/>
      <c r="Q428" s="127"/>
      <c r="R428" s="29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27"/>
      <c r="AI428" s="29"/>
    </row>
    <row r="429" spans="1:35" ht="19.5" x14ac:dyDescent="0.4">
      <c r="A429" s="125"/>
      <c r="B429" s="125"/>
      <c r="C429" s="126"/>
      <c r="D429" s="126"/>
      <c r="E429" s="126"/>
      <c r="Q429" s="127"/>
      <c r="R429" s="29"/>
      <c r="AH429" s="127"/>
      <c r="AI429" s="29"/>
    </row>
    <row r="430" spans="1:35" ht="19.5" x14ac:dyDescent="0.4">
      <c r="A430" s="125"/>
      <c r="B430" s="125"/>
      <c r="C430" s="126"/>
      <c r="D430" s="126"/>
      <c r="E430" s="126"/>
      <c r="K430" s="115"/>
      <c r="L430" s="115"/>
      <c r="M430" s="115"/>
      <c r="N430" s="115"/>
      <c r="O430" s="115"/>
      <c r="P430" s="115"/>
      <c r="Q430" s="127"/>
      <c r="R430" s="29"/>
      <c r="AC430" s="115"/>
      <c r="AD430" s="115"/>
      <c r="AE430" s="115"/>
      <c r="AF430" s="115"/>
      <c r="AG430" s="115"/>
      <c r="AH430" s="127"/>
      <c r="AI430" s="29"/>
    </row>
    <row r="431" spans="1:35" ht="19.5" x14ac:dyDescent="0.4">
      <c r="A431" s="125"/>
      <c r="B431" s="125"/>
      <c r="C431" s="126"/>
      <c r="D431" s="126"/>
      <c r="E431" s="126"/>
      <c r="K431" s="115"/>
      <c r="L431" s="115"/>
      <c r="M431" s="115"/>
      <c r="N431" s="115"/>
      <c r="O431" s="115"/>
      <c r="P431" s="115"/>
      <c r="Q431" s="29"/>
      <c r="R431" s="29"/>
      <c r="AC431" s="115"/>
      <c r="AD431" s="115"/>
      <c r="AE431" s="115"/>
      <c r="AF431" s="115"/>
      <c r="AG431" s="115"/>
      <c r="AH431" s="29"/>
      <c r="AI431" s="29"/>
    </row>
    <row r="432" spans="1:35" ht="19.5" x14ac:dyDescent="0.4">
      <c r="A432" s="125"/>
      <c r="B432" s="125"/>
      <c r="C432" s="126"/>
      <c r="D432" s="126"/>
      <c r="E432" s="126"/>
      <c r="K432" s="115"/>
      <c r="L432" s="115"/>
      <c r="M432" s="115"/>
      <c r="N432" s="115"/>
      <c r="O432" s="115"/>
      <c r="P432" s="115"/>
      <c r="Q432" s="127"/>
      <c r="R432" s="29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27"/>
      <c r="AI432" s="29"/>
    </row>
    <row r="433" spans="1:35" ht="19.5" x14ac:dyDescent="0.4">
      <c r="A433" s="125"/>
      <c r="B433" s="125"/>
      <c r="C433" s="126"/>
      <c r="D433" s="126"/>
      <c r="E433" s="126"/>
      <c r="K433" s="115"/>
      <c r="L433" s="115"/>
      <c r="M433" s="115"/>
      <c r="N433" s="115"/>
      <c r="O433" s="115"/>
      <c r="P433" s="115"/>
      <c r="Q433" s="127"/>
      <c r="R433" s="29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27"/>
      <c r="AI433" s="29"/>
    </row>
    <row r="434" spans="1:35" ht="19.5" x14ac:dyDescent="0.4">
      <c r="A434" s="125"/>
      <c r="B434" s="125"/>
      <c r="C434" s="126"/>
      <c r="D434" s="126"/>
      <c r="E434" s="126"/>
      <c r="K434" s="115"/>
      <c r="L434" s="115"/>
      <c r="M434" s="115"/>
      <c r="N434" s="115"/>
      <c r="O434" s="115"/>
      <c r="P434" s="115"/>
      <c r="Q434" s="127"/>
      <c r="R434" s="29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27"/>
      <c r="AI434" s="29"/>
    </row>
    <row r="435" spans="1:35" ht="19.5" x14ac:dyDescent="0.4">
      <c r="A435" s="125"/>
      <c r="B435" s="125"/>
      <c r="C435" s="126"/>
      <c r="D435" s="126"/>
      <c r="E435" s="126"/>
      <c r="K435" s="115"/>
      <c r="L435" s="115"/>
      <c r="M435" s="115"/>
      <c r="N435" s="115"/>
      <c r="O435" s="115"/>
      <c r="P435" s="115"/>
      <c r="Q435" s="127"/>
      <c r="R435" s="29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27"/>
      <c r="AI435" s="29"/>
    </row>
    <row r="436" spans="1:35" ht="19.5" x14ac:dyDescent="0.4">
      <c r="A436" s="125"/>
      <c r="B436" s="125"/>
      <c r="C436" s="126"/>
      <c r="D436" s="126"/>
      <c r="E436" s="126"/>
      <c r="K436" s="115"/>
      <c r="L436" s="115"/>
      <c r="M436" s="115"/>
      <c r="N436" s="115"/>
      <c r="O436" s="115"/>
      <c r="P436" s="115"/>
      <c r="Q436" s="127"/>
      <c r="R436" s="29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27"/>
      <c r="AI436" s="29"/>
    </row>
    <row r="437" spans="1:35" ht="19.5" x14ac:dyDescent="0.4">
      <c r="A437" s="125"/>
      <c r="B437" s="125"/>
      <c r="C437" s="126"/>
      <c r="D437" s="126"/>
      <c r="E437" s="126"/>
      <c r="K437" s="115"/>
      <c r="L437" s="115"/>
      <c r="M437" s="115"/>
      <c r="N437" s="115"/>
      <c r="O437" s="115"/>
      <c r="P437" s="115"/>
      <c r="Q437" s="29"/>
      <c r="R437" s="29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29"/>
      <c r="AI437" s="29"/>
    </row>
    <row r="438" spans="1:35" ht="19.5" x14ac:dyDescent="0.4">
      <c r="A438" s="125"/>
      <c r="B438" s="125"/>
      <c r="C438" s="126"/>
      <c r="D438" s="126"/>
      <c r="E438" s="126"/>
      <c r="K438" s="115"/>
      <c r="L438" s="115"/>
      <c r="M438" s="115"/>
      <c r="N438" s="115"/>
      <c r="O438" s="115"/>
      <c r="P438" s="115"/>
      <c r="Q438" s="127"/>
      <c r="R438" s="29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27"/>
      <c r="AI438" s="29"/>
    </row>
    <row r="439" spans="1:35" ht="19.5" x14ac:dyDescent="0.4">
      <c r="A439" s="125"/>
      <c r="B439" s="125"/>
      <c r="C439" s="126"/>
      <c r="D439" s="126"/>
      <c r="E439" s="126"/>
      <c r="K439" s="115"/>
      <c r="L439" s="115"/>
      <c r="M439" s="115"/>
      <c r="N439" s="115"/>
      <c r="O439" s="115"/>
      <c r="P439" s="115"/>
      <c r="Q439" s="29"/>
      <c r="R439" s="29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29"/>
      <c r="AI439" s="29"/>
    </row>
    <row r="440" spans="1:35" ht="19.5" x14ac:dyDescent="0.4">
      <c r="A440" s="125"/>
      <c r="B440" s="125"/>
      <c r="C440" s="126"/>
      <c r="D440" s="126"/>
      <c r="E440" s="126"/>
      <c r="K440" s="115"/>
      <c r="L440" s="115"/>
      <c r="M440" s="115"/>
      <c r="N440" s="115"/>
      <c r="O440" s="115"/>
      <c r="P440" s="115"/>
      <c r="Q440" s="29"/>
      <c r="R440" s="29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29"/>
      <c r="AI440" s="29"/>
    </row>
    <row r="441" spans="1:35" ht="19.5" x14ac:dyDescent="0.4">
      <c r="A441" s="125"/>
      <c r="B441" s="125"/>
      <c r="C441" s="126"/>
      <c r="D441" s="126"/>
      <c r="E441" s="126"/>
      <c r="K441" s="115"/>
      <c r="L441" s="115"/>
      <c r="M441" s="115"/>
      <c r="N441" s="115"/>
      <c r="O441" s="115"/>
      <c r="P441" s="115"/>
      <c r="Q441" s="127"/>
      <c r="R441" s="29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27"/>
      <c r="AI441" s="29"/>
    </row>
    <row r="442" spans="1:35" ht="19.5" x14ac:dyDescent="0.4">
      <c r="A442" s="125"/>
      <c r="B442" s="125"/>
      <c r="C442" s="126"/>
      <c r="D442" s="126"/>
      <c r="E442" s="126"/>
      <c r="K442" s="115"/>
      <c r="L442" s="115"/>
      <c r="M442" s="115"/>
      <c r="N442" s="115"/>
      <c r="O442" s="115"/>
      <c r="P442" s="115"/>
      <c r="Q442" s="127"/>
      <c r="R442" s="29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27"/>
      <c r="AI442" s="29"/>
    </row>
    <row r="443" spans="1:35" ht="19.5" x14ac:dyDescent="0.4">
      <c r="A443" s="125"/>
      <c r="B443" s="125"/>
      <c r="C443" s="126"/>
      <c r="D443" s="126"/>
      <c r="E443" s="126"/>
      <c r="K443" s="115"/>
      <c r="L443" s="115"/>
      <c r="M443" s="115"/>
      <c r="N443" s="115"/>
      <c r="O443" s="115"/>
      <c r="P443" s="115"/>
      <c r="Q443" s="29"/>
      <c r="R443" s="29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29"/>
      <c r="AI443" s="29"/>
    </row>
    <row r="444" spans="1:35" ht="19.5" x14ac:dyDescent="0.4">
      <c r="A444" s="125"/>
      <c r="B444" s="125"/>
      <c r="C444" s="126"/>
      <c r="D444" s="126"/>
      <c r="E444" s="126"/>
      <c r="K444" s="115"/>
      <c r="L444" s="115"/>
      <c r="M444" s="115"/>
      <c r="N444" s="115"/>
      <c r="O444" s="115"/>
      <c r="P444" s="115"/>
      <c r="Q444" s="127"/>
      <c r="R444" s="29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27"/>
      <c r="AI444" s="29"/>
    </row>
    <row r="445" spans="1:35" ht="19.5" x14ac:dyDescent="0.4">
      <c r="A445" s="125"/>
      <c r="B445" s="125"/>
      <c r="C445" s="126"/>
      <c r="D445" s="126"/>
      <c r="E445" s="126"/>
      <c r="K445" s="115"/>
      <c r="L445" s="115"/>
      <c r="M445" s="115"/>
      <c r="N445" s="115"/>
      <c r="O445" s="115"/>
      <c r="P445" s="115"/>
      <c r="Q445" s="127"/>
      <c r="R445" s="29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27"/>
      <c r="AI445" s="29"/>
    </row>
    <row r="446" spans="1:35" ht="19.5" x14ac:dyDescent="0.4">
      <c r="A446" s="125"/>
      <c r="B446" s="125"/>
      <c r="C446" s="126"/>
      <c r="D446" s="126"/>
      <c r="E446" s="126"/>
      <c r="Q446" s="127"/>
      <c r="R446" s="29"/>
      <c r="AH446" s="127"/>
      <c r="AI446" s="29"/>
    </row>
    <row r="447" spans="1:35" ht="19.5" x14ac:dyDescent="0.4">
      <c r="A447" s="125"/>
      <c r="B447" s="125"/>
      <c r="C447" s="126"/>
      <c r="D447" s="126"/>
      <c r="E447" s="126"/>
      <c r="K447" s="115"/>
      <c r="L447" s="115"/>
      <c r="M447" s="115"/>
      <c r="N447" s="115"/>
      <c r="O447" s="115"/>
      <c r="P447" s="115"/>
      <c r="Q447" s="127"/>
      <c r="R447" s="29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27"/>
      <c r="AI447" s="29"/>
    </row>
    <row r="448" spans="1:35" ht="19.5" x14ac:dyDescent="0.4">
      <c r="A448" s="125"/>
      <c r="B448" s="125"/>
      <c r="C448" s="126"/>
      <c r="D448" s="126"/>
      <c r="E448" s="126"/>
      <c r="K448" s="115"/>
      <c r="L448" s="115"/>
      <c r="M448" s="115"/>
      <c r="N448" s="115"/>
      <c r="O448" s="115"/>
      <c r="P448" s="115"/>
      <c r="Q448" s="127"/>
      <c r="R448" s="29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27"/>
      <c r="AI448" s="29"/>
    </row>
    <row r="449" spans="1:35" ht="19.5" x14ac:dyDescent="0.4">
      <c r="A449" s="125"/>
      <c r="B449" s="125"/>
      <c r="C449" s="126"/>
      <c r="D449" s="126"/>
      <c r="E449" s="126"/>
      <c r="K449" s="115"/>
      <c r="L449" s="115"/>
      <c r="M449" s="115"/>
      <c r="N449" s="115"/>
      <c r="O449" s="115"/>
      <c r="P449" s="115"/>
      <c r="Q449" s="127"/>
      <c r="R449" s="29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27"/>
      <c r="AI449" s="29"/>
    </row>
    <row r="450" spans="1:35" ht="19.5" x14ac:dyDescent="0.4">
      <c r="A450" s="125"/>
      <c r="B450" s="125"/>
      <c r="C450" s="126"/>
      <c r="D450" s="126"/>
      <c r="E450" s="126"/>
      <c r="K450" s="115"/>
      <c r="L450" s="115"/>
      <c r="M450" s="115"/>
      <c r="N450" s="115"/>
      <c r="O450" s="115"/>
      <c r="P450" s="115"/>
      <c r="Q450" s="127"/>
      <c r="R450" s="29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27"/>
      <c r="AI450" s="29"/>
    </row>
    <row r="451" spans="1:35" ht="19.5" x14ac:dyDescent="0.4">
      <c r="A451" s="125"/>
      <c r="B451" s="125"/>
      <c r="C451" s="126"/>
      <c r="D451" s="126"/>
      <c r="E451" s="126"/>
      <c r="Q451" s="127"/>
      <c r="R451" s="29"/>
      <c r="AH451" s="127"/>
      <c r="AI451" s="29"/>
    </row>
    <row r="452" spans="1:35" ht="19.5" x14ac:dyDescent="0.4">
      <c r="A452" s="125"/>
      <c r="B452" s="125"/>
      <c r="C452" s="126"/>
      <c r="D452" s="126"/>
      <c r="E452" s="126"/>
      <c r="K452" s="115"/>
      <c r="L452" s="115"/>
      <c r="M452" s="115"/>
      <c r="N452" s="115"/>
      <c r="O452" s="115"/>
      <c r="P452" s="115"/>
      <c r="Q452" s="127"/>
      <c r="R452" s="29"/>
      <c r="AC452" s="115"/>
      <c r="AD452" s="115"/>
      <c r="AE452" s="115"/>
      <c r="AF452" s="115"/>
      <c r="AG452" s="115"/>
      <c r="AH452" s="127"/>
      <c r="AI452" s="29"/>
    </row>
    <row r="453" spans="1:35" ht="19.5" x14ac:dyDescent="0.4">
      <c r="A453" s="125"/>
      <c r="B453" s="125"/>
      <c r="C453" s="126"/>
      <c r="D453" s="126"/>
      <c r="E453" s="126"/>
      <c r="K453" s="115"/>
      <c r="L453" s="115"/>
      <c r="M453" s="115"/>
      <c r="N453" s="115"/>
      <c r="O453" s="115"/>
      <c r="P453" s="115"/>
      <c r="Q453" s="127"/>
      <c r="R453" s="29"/>
      <c r="Z453" s="115"/>
      <c r="AA453" s="115"/>
      <c r="AB453" s="115"/>
      <c r="AC453" s="115"/>
      <c r="AD453" s="115"/>
      <c r="AE453" s="115"/>
      <c r="AF453" s="115"/>
      <c r="AG453" s="115"/>
      <c r="AH453" s="127"/>
      <c r="AI453" s="29"/>
    </row>
    <row r="454" spans="1:35" ht="19.5" x14ac:dyDescent="0.4">
      <c r="A454" s="125"/>
      <c r="B454" s="125"/>
      <c r="C454" s="126"/>
      <c r="D454" s="126"/>
      <c r="E454" s="126"/>
      <c r="K454" s="115"/>
      <c r="L454" s="115"/>
      <c r="M454" s="115"/>
      <c r="N454" s="115"/>
      <c r="O454" s="115"/>
      <c r="P454" s="115"/>
      <c r="Q454" s="29"/>
      <c r="R454" s="29"/>
      <c r="Z454" s="115"/>
      <c r="AA454" s="115"/>
      <c r="AB454" s="115"/>
      <c r="AC454" s="115"/>
      <c r="AD454" s="115"/>
      <c r="AE454" s="115"/>
      <c r="AF454" s="115"/>
      <c r="AG454" s="115"/>
      <c r="AH454" s="29"/>
      <c r="AI454" s="29"/>
    </row>
    <row r="455" spans="1:35" ht="19.5" x14ac:dyDescent="0.4">
      <c r="A455" s="125"/>
      <c r="B455" s="125"/>
      <c r="C455" s="126"/>
      <c r="D455" s="126"/>
      <c r="E455" s="126"/>
      <c r="Q455" s="127"/>
      <c r="R455" s="29"/>
      <c r="AH455" s="127"/>
      <c r="AI455" s="29"/>
    </row>
    <row r="456" spans="1:35" ht="19.5" x14ac:dyDescent="0.4">
      <c r="A456" s="125"/>
      <c r="B456" s="125"/>
      <c r="C456" s="126"/>
      <c r="D456" s="126"/>
      <c r="E456" s="126"/>
      <c r="K456" s="115"/>
      <c r="L456" s="115"/>
      <c r="M456" s="115"/>
      <c r="N456" s="115"/>
      <c r="O456" s="115"/>
      <c r="P456" s="115"/>
      <c r="Q456" s="127"/>
      <c r="R456" s="29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27"/>
      <c r="AI456" s="29"/>
    </row>
    <row r="457" spans="1:35" ht="19.5" x14ac:dyDescent="0.4">
      <c r="A457" s="125"/>
      <c r="B457" s="125"/>
      <c r="C457" s="126"/>
      <c r="D457" s="126"/>
      <c r="E457" s="126"/>
      <c r="K457" s="115"/>
      <c r="L457" s="115"/>
      <c r="M457" s="115"/>
      <c r="N457" s="115"/>
      <c r="O457" s="115"/>
      <c r="P457" s="115"/>
      <c r="Q457" s="127"/>
      <c r="R457" s="29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27"/>
      <c r="AI457" s="29"/>
    </row>
    <row r="458" spans="1:35" ht="19.5" x14ac:dyDescent="0.4">
      <c r="A458" s="125"/>
      <c r="B458" s="125"/>
      <c r="C458" s="126"/>
      <c r="D458" s="126"/>
      <c r="E458" s="126"/>
      <c r="K458" s="115"/>
      <c r="L458" s="115"/>
      <c r="M458" s="115"/>
      <c r="N458" s="115"/>
      <c r="O458" s="115"/>
      <c r="P458" s="115"/>
      <c r="Q458" s="29"/>
      <c r="R458" s="29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29"/>
      <c r="AI458" s="29"/>
    </row>
    <row r="459" spans="1:35" ht="19.5" x14ac:dyDescent="0.4">
      <c r="A459" s="125"/>
      <c r="B459" s="125"/>
      <c r="C459" s="126"/>
      <c r="D459" s="126"/>
      <c r="E459" s="126"/>
      <c r="Q459" s="127"/>
      <c r="R459" s="29"/>
      <c r="AH459" s="127"/>
      <c r="AI459" s="29"/>
    </row>
    <row r="460" spans="1:35" ht="19.5" x14ac:dyDescent="0.4">
      <c r="A460" s="125"/>
      <c r="B460" s="125"/>
      <c r="C460" s="126"/>
      <c r="D460" s="126"/>
      <c r="E460" s="126"/>
      <c r="K460" s="115"/>
      <c r="L460" s="115"/>
      <c r="M460" s="115"/>
      <c r="N460" s="115"/>
      <c r="O460" s="115"/>
      <c r="P460" s="115"/>
      <c r="Q460" s="29"/>
      <c r="R460" s="29"/>
      <c r="AD460" s="115"/>
      <c r="AE460" s="115"/>
      <c r="AF460" s="115"/>
      <c r="AG460" s="115"/>
      <c r="AH460" s="29"/>
      <c r="AI460" s="29"/>
    </row>
    <row r="461" spans="1:35" ht="19.5" x14ac:dyDescent="0.4">
      <c r="A461" s="125"/>
      <c r="B461" s="125"/>
      <c r="C461" s="126"/>
      <c r="D461" s="126"/>
      <c r="E461" s="126"/>
      <c r="Q461" s="127"/>
      <c r="R461" s="29"/>
      <c r="AH461" s="127"/>
      <c r="AI461" s="29"/>
    </row>
    <row r="462" spans="1:35" ht="19.5" x14ac:dyDescent="0.4">
      <c r="A462" s="125"/>
      <c r="B462" s="125"/>
      <c r="C462" s="126"/>
      <c r="D462" s="126"/>
      <c r="E462" s="126"/>
      <c r="K462" s="115"/>
      <c r="L462" s="115"/>
      <c r="M462" s="115"/>
      <c r="N462" s="115"/>
      <c r="O462" s="115"/>
      <c r="P462" s="115"/>
      <c r="Q462" s="127"/>
      <c r="R462" s="29"/>
      <c r="AC462" s="115"/>
      <c r="AD462" s="115"/>
      <c r="AE462" s="115"/>
      <c r="AF462" s="115"/>
      <c r="AG462" s="115"/>
      <c r="AH462" s="127"/>
      <c r="AI462" s="29"/>
    </row>
    <row r="463" spans="1:35" ht="19.5" x14ac:dyDescent="0.4">
      <c r="A463" s="125"/>
      <c r="B463" s="125"/>
      <c r="C463" s="126"/>
      <c r="D463" s="126"/>
      <c r="E463" s="126"/>
      <c r="Q463" s="127"/>
      <c r="R463" s="29"/>
      <c r="AH463" s="127"/>
      <c r="AI463" s="29"/>
    </row>
    <row r="464" spans="1:35" ht="19.5" x14ac:dyDescent="0.4">
      <c r="A464" s="125"/>
      <c r="B464" s="125"/>
      <c r="C464" s="126"/>
      <c r="D464" s="126"/>
      <c r="E464" s="126"/>
      <c r="K464" s="115"/>
      <c r="L464" s="115"/>
      <c r="M464" s="115"/>
      <c r="N464" s="115"/>
      <c r="O464" s="115"/>
      <c r="P464" s="115"/>
      <c r="Q464" s="127"/>
      <c r="R464" s="29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27"/>
      <c r="AI464" s="29"/>
    </row>
    <row r="465" spans="1:35" ht="19.5" x14ac:dyDescent="0.4">
      <c r="A465" s="125"/>
      <c r="B465" s="125"/>
      <c r="C465" s="126"/>
      <c r="D465" s="126"/>
      <c r="E465" s="126"/>
      <c r="Q465" s="127"/>
      <c r="R465" s="29"/>
      <c r="AH465" s="127"/>
      <c r="AI465" s="29"/>
    </row>
    <row r="466" spans="1:35" ht="19.5" x14ac:dyDescent="0.4">
      <c r="A466" s="125"/>
      <c r="B466" s="125"/>
      <c r="C466" s="126"/>
      <c r="D466" s="126"/>
      <c r="E466" s="126"/>
      <c r="K466" s="115"/>
      <c r="L466" s="115"/>
      <c r="M466" s="115"/>
      <c r="N466" s="115"/>
      <c r="O466" s="115"/>
      <c r="P466" s="115"/>
      <c r="Q466" s="127"/>
      <c r="R466" s="29"/>
      <c r="AB466" s="115"/>
      <c r="AC466" s="115"/>
      <c r="AD466" s="115"/>
      <c r="AE466" s="115"/>
      <c r="AF466" s="115"/>
      <c r="AG466" s="115"/>
      <c r="AH466" s="127"/>
      <c r="AI466" s="29"/>
    </row>
    <row r="467" spans="1:35" ht="19.5" x14ac:dyDescent="0.4">
      <c r="A467" s="125"/>
      <c r="B467" s="125"/>
      <c r="C467" s="126"/>
      <c r="D467" s="126"/>
      <c r="E467" s="126"/>
      <c r="K467" s="115"/>
      <c r="L467" s="115"/>
      <c r="M467" s="115"/>
      <c r="N467" s="115"/>
      <c r="O467" s="115"/>
      <c r="P467" s="115"/>
      <c r="Q467" s="29"/>
      <c r="R467" s="29"/>
      <c r="AB467" s="115"/>
      <c r="AC467" s="115"/>
      <c r="AD467" s="115"/>
      <c r="AE467" s="115"/>
      <c r="AF467" s="115"/>
      <c r="AG467" s="115"/>
      <c r="AH467" s="29"/>
      <c r="AI467" s="29"/>
    </row>
    <row r="468" spans="1:35" ht="19.5" x14ac:dyDescent="0.4">
      <c r="A468" s="125"/>
      <c r="B468" s="125"/>
      <c r="C468" s="126"/>
      <c r="D468" s="126"/>
      <c r="E468" s="126"/>
      <c r="K468" s="115"/>
      <c r="L468" s="115"/>
      <c r="M468" s="115"/>
      <c r="N468" s="115"/>
      <c r="O468" s="115"/>
      <c r="P468" s="115"/>
      <c r="Q468" s="127"/>
      <c r="R468" s="29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27"/>
      <c r="AI468" s="29"/>
    </row>
    <row r="469" spans="1:35" ht="19.5" x14ac:dyDescent="0.4">
      <c r="A469" s="125"/>
      <c r="B469" s="125"/>
      <c r="C469" s="126"/>
      <c r="D469" s="126"/>
      <c r="E469" s="126"/>
      <c r="K469" s="115"/>
      <c r="L469" s="115"/>
      <c r="M469" s="115"/>
      <c r="N469" s="115"/>
      <c r="O469" s="115"/>
      <c r="P469" s="115"/>
      <c r="Q469" s="29"/>
      <c r="R469" s="29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29"/>
      <c r="AI469" s="29"/>
    </row>
    <row r="470" spans="1:35" ht="19.5" x14ac:dyDescent="0.4">
      <c r="A470" s="125"/>
      <c r="B470" s="125"/>
      <c r="C470" s="126"/>
      <c r="D470" s="126"/>
      <c r="E470" s="126"/>
      <c r="K470" s="115"/>
      <c r="L470" s="115"/>
      <c r="M470" s="115"/>
      <c r="N470" s="115"/>
      <c r="O470" s="115"/>
      <c r="P470" s="115"/>
      <c r="Q470" s="29"/>
      <c r="R470" s="29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29"/>
      <c r="AI470" s="29"/>
    </row>
    <row r="471" spans="1:35" ht="19.5" x14ac:dyDescent="0.4">
      <c r="A471" s="125"/>
      <c r="B471" s="125"/>
      <c r="C471" s="126"/>
      <c r="D471" s="126"/>
      <c r="E471" s="126"/>
      <c r="K471" s="115"/>
      <c r="L471" s="115"/>
      <c r="M471" s="115"/>
      <c r="N471" s="115"/>
      <c r="O471" s="115"/>
      <c r="P471" s="115"/>
      <c r="Q471" s="29"/>
      <c r="R471" s="29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29"/>
      <c r="AI471" s="29"/>
    </row>
    <row r="472" spans="1:35" ht="19.5" x14ac:dyDescent="0.4">
      <c r="A472" s="125"/>
      <c r="B472" s="125"/>
      <c r="C472" s="126"/>
      <c r="D472" s="126"/>
      <c r="E472" s="126"/>
      <c r="K472" s="115"/>
      <c r="L472" s="115"/>
      <c r="M472" s="115"/>
      <c r="N472" s="115"/>
      <c r="O472" s="115"/>
      <c r="P472" s="115"/>
      <c r="Q472" s="127"/>
      <c r="R472" s="29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27"/>
      <c r="AI472" s="29"/>
    </row>
    <row r="473" spans="1:35" ht="19.5" x14ac:dyDescent="0.4">
      <c r="A473" s="125"/>
      <c r="B473" s="125"/>
      <c r="C473" s="126"/>
      <c r="D473" s="126"/>
      <c r="E473" s="126"/>
      <c r="K473" s="115"/>
      <c r="L473" s="115"/>
      <c r="M473" s="115"/>
      <c r="N473" s="115"/>
      <c r="O473" s="115"/>
      <c r="P473" s="115"/>
      <c r="Q473" s="127"/>
      <c r="R473" s="29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27"/>
      <c r="AI473" s="29"/>
    </row>
    <row r="474" spans="1:35" ht="19.5" x14ac:dyDescent="0.4">
      <c r="A474" s="125"/>
      <c r="B474" s="125"/>
      <c r="C474" s="126"/>
      <c r="D474" s="126"/>
      <c r="E474" s="126"/>
      <c r="Q474" s="127"/>
      <c r="R474" s="29"/>
      <c r="AH474" s="127"/>
      <c r="AI474" s="29"/>
    </row>
    <row r="475" spans="1:35" ht="19.5" x14ac:dyDescent="0.4">
      <c r="A475" s="125"/>
      <c r="B475" s="125"/>
      <c r="C475" s="126"/>
      <c r="D475" s="126"/>
      <c r="E475" s="126"/>
      <c r="K475" s="115"/>
      <c r="L475" s="115"/>
      <c r="M475" s="115"/>
      <c r="N475" s="115"/>
      <c r="O475" s="115"/>
      <c r="P475" s="115"/>
      <c r="Q475" s="29"/>
      <c r="R475" s="29"/>
      <c r="AC475" s="115"/>
      <c r="AD475" s="115"/>
      <c r="AE475" s="115"/>
      <c r="AF475" s="115"/>
      <c r="AG475" s="115"/>
      <c r="AH475" s="29"/>
      <c r="AI475" s="29"/>
    </row>
    <row r="476" spans="1:35" ht="19.5" x14ac:dyDescent="0.4">
      <c r="A476" s="125"/>
      <c r="B476" s="125"/>
      <c r="C476" s="126"/>
      <c r="D476" s="126"/>
      <c r="E476" s="126"/>
      <c r="K476" s="115"/>
      <c r="L476" s="115"/>
      <c r="M476" s="115"/>
      <c r="N476" s="115"/>
      <c r="O476" s="115"/>
      <c r="P476" s="115"/>
      <c r="Q476" s="127"/>
      <c r="R476" s="29"/>
      <c r="AB476" s="115"/>
      <c r="AC476" s="115"/>
      <c r="AD476" s="115"/>
      <c r="AE476" s="115"/>
      <c r="AF476" s="115"/>
      <c r="AG476" s="115"/>
      <c r="AH476" s="127"/>
      <c r="AI476" s="29"/>
    </row>
    <row r="477" spans="1:35" ht="19.5" x14ac:dyDescent="0.4">
      <c r="A477" s="125"/>
      <c r="B477" s="125"/>
      <c r="C477" s="126"/>
      <c r="D477" s="126"/>
      <c r="E477" s="126"/>
      <c r="Q477" s="127"/>
      <c r="R477" s="29"/>
      <c r="AH477" s="127"/>
      <c r="AI477" s="29"/>
    </row>
    <row r="478" spans="1:35" ht="19.5" x14ac:dyDescent="0.4">
      <c r="A478" s="125"/>
      <c r="B478" s="125"/>
      <c r="C478" s="126"/>
      <c r="D478" s="126"/>
      <c r="E478" s="126"/>
      <c r="K478" s="115"/>
      <c r="L478" s="115"/>
      <c r="M478" s="115"/>
      <c r="N478" s="115"/>
      <c r="O478" s="115"/>
      <c r="P478" s="115"/>
      <c r="Q478" s="127"/>
      <c r="R478" s="29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27"/>
      <c r="AI478" s="29"/>
    </row>
    <row r="479" spans="1:35" ht="19.5" x14ac:dyDescent="0.4">
      <c r="A479" s="125"/>
      <c r="B479" s="125"/>
      <c r="C479" s="126"/>
      <c r="D479" s="126"/>
      <c r="E479" s="126"/>
      <c r="K479" s="115"/>
      <c r="L479" s="115"/>
      <c r="M479" s="115"/>
      <c r="N479" s="115"/>
      <c r="O479" s="115"/>
      <c r="P479" s="115"/>
      <c r="Q479" s="127"/>
      <c r="R479" s="29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27"/>
      <c r="AI479" s="29"/>
    </row>
    <row r="480" spans="1:35" ht="19.5" x14ac:dyDescent="0.4">
      <c r="A480" s="125"/>
      <c r="B480" s="125"/>
      <c r="C480" s="126"/>
      <c r="D480" s="126"/>
      <c r="E480" s="126"/>
      <c r="K480" s="115"/>
      <c r="L480" s="115"/>
      <c r="M480" s="115"/>
      <c r="N480" s="115"/>
      <c r="O480" s="115"/>
      <c r="P480" s="115"/>
      <c r="Q480" s="127"/>
      <c r="R480" s="29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27"/>
      <c r="AI480" s="29"/>
    </row>
    <row r="481" spans="1:35" ht="19.5" x14ac:dyDescent="0.4">
      <c r="A481" s="125"/>
      <c r="B481" s="125"/>
      <c r="C481" s="126"/>
      <c r="D481" s="126"/>
      <c r="E481" s="126"/>
      <c r="K481" s="115"/>
      <c r="L481" s="115"/>
      <c r="M481" s="115"/>
      <c r="N481" s="115"/>
      <c r="O481" s="115"/>
      <c r="P481" s="115"/>
      <c r="Q481" s="127"/>
      <c r="R481" s="29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27"/>
      <c r="AI481" s="29"/>
    </row>
    <row r="482" spans="1:35" ht="19.5" x14ac:dyDescent="0.4">
      <c r="A482" s="125"/>
      <c r="B482" s="125"/>
      <c r="C482" s="126"/>
      <c r="D482" s="126"/>
      <c r="E482" s="126"/>
      <c r="K482" s="115"/>
      <c r="L482" s="115"/>
      <c r="M482" s="115"/>
      <c r="N482" s="115"/>
      <c r="O482" s="115"/>
      <c r="P482" s="115"/>
      <c r="Q482" s="29"/>
      <c r="R482" s="29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29"/>
      <c r="AI482" s="29"/>
    </row>
    <row r="483" spans="1:35" ht="19.5" x14ac:dyDescent="0.4">
      <c r="A483" s="125"/>
      <c r="B483" s="125"/>
      <c r="C483" s="126"/>
      <c r="D483" s="126"/>
      <c r="E483" s="126"/>
      <c r="K483" s="115"/>
      <c r="L483" s="115"/>
      <c r="M483" s="115"/>
      <c r="N483" s="115"/>
      <c r="O483" s="115"/>
      <c r="P483" s="115"/>
      <c r="Q483" s="127"/>
      <c r="R483" s="29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27"/>
      <c r="AI483" s="29"/>
    </row>
    <row r="484" spans="1:35" ht="19.5" x14ac:dyDescent="0.4">
      <c r="A484" s="125"/>
      <c r="B484" s="125"/>
      <c r="C484" s="126"/>
      <c r="D484" s="126"/>
      <c r="E484" s="126"/>
      <c r="K484" s="115"/>
      <c r="L484" s="115"/>
      <c r="M484" s="115"/>
      <c r="N484" s="115"/>
      <c r="O484" s="115"/>
      <c r="P484" s="115"/>
      <c r="Q484" s="127"/>
      <c r="R484" s="29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27"/>
      <c r="AI484" s="29"/>
    </row>
    <row r="485" spans="1:35" ht="19.5" x14ac:dyDescent="0.4">
      <c r="A485" s="125"/>
      <c r="B485" s="125"/>
      <c r="C485" s="126"/>
      <c r="D485" s="126"/>
      <c r="E485" s="126"/>
      <c r="K485" s="115"/>
      <c r="L485" s="115"/>
      <c r="M485" s="115"/>
      <c r="N485" s="115"/>
      <c r="O485" s="115"/>
      <c r="P485" s="115"/>
      <c r="Q485" s="127"/>
      <c r="R485" s="29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27"/>
      <c r="AI485" s="29"/>
    </row>
    <row r="486" spans="1:35" ht="19.5" x14ac:dyDescent="0.4">
      <c r="A486" s="125"/>
      <c r="B486" s="125"/>
      <c r="C486" s="126"/>
      <c r="D486" s="126"/>
      <c r="E486" s="126"/>
      <c r="K486" s="115"/>
      <c r="L486" s="115"/>
      <c r="M486" s="115"/>
      <c r="N486" s="115"/>
      <c r="O486" s="115"/>
      <c r="P486" s="115"/>
      <c r="Q486" s="127"/>
      <c r="R486" s="29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27"/>
      <c r="AI486" s="29"/>
    </row>
    <row r="487" spans="1:35" ht="19.5" x14ac:dyDescent="0.4">
      <c r="A487" s="125"/>
      <c r="B487" s="125"/>
      <c r="C487" s="126"/>
      <c r="D487" s="126"/>
      <c r="E487" s="126"/>
      <c r="K487" s="115"/>
      <c r="L487" s="115"/>
      <c r="M487" s="115"/>
      <c r="N487" s="115"/>
      <c r="O487" s="115"/>
      <c r="P487" s="115"/>
      <c r="Q487" s="127"/>
      <c r="R487" s="29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27"/>
      <c r="AI487" s="29"/>
    </row>
    <row r="488" spans="1:35" ht="19.5" x14ac:dyDescent="0.4">
      <c r="A488" s="125"/>
      <c r="B488" s="125"/>
      <c r="C488" s="126"/>
      <c r="D488" s="126"/>
      <c r="E488" s="126"/>
      <c r="K488" s="115"/>
      <c r="L488" s="115"/>
      <c r="M488" s="115"/>
      <c r="N488" s="115"/>
      <c r="O488" s="115"/>
      <c r="P488" s="115"/>
      <c r="Q488" s="127"/>
      <c r="R488" s="29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27"/>
      <c r="AI488" s="29"/>
    </row>
    <row r="489" spans="1:35" ht="19.5" x14ac:dyDescent="0.4">
      <c r="A489" s="125"/>
      <c r="B489" s="125"/>
      <c r="C489" s="126"/>
      <c r="D489" s="126"/>
      <c r="E489" s="126"/>
      <c r="K489" s="115"/>
      <c r="L489" s="115"/>
      <c r="M489" s="115"/>
      <c r="N489" s="115"/>
      <c r="O489" s="115"/>
      <c r="P489" s="115"/>
      <c r="Q489" s="127"/>
      <c r="R489" s="29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27"/>
      <c r="AI489" s="29"/>
    </row>
    <row r="490" spans="1:35" ht="19.5" x14ac:dyDescent="0.4">
      <c r="A490" s="125"/>
      <c r="B490" s="125"/>
      <c r="C490" s="126"/>
      <c r="D490" s="126"/>
      <c r="E490" s="126"/>
      <c r="K490" s="115"/>
      <c r="L490" s="115"/>
      <c r="M490" s="115"/>
      <c r="N490" s="115"/>
      <c r="O490" s="115"/>
      <c r="P490" s="115"/>
      <c r="Q490" s="127"/>
      <c r="R490" s="29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27"/>
      <c r="AI490" s="29"/>
    </row>
    <row r="491" spans="1:35" ht="19.5" x14ac:dyDescent="0.4">
      <c r="A491" s="125"/>
      <c r="B491" s="125"/>
      <c r="C491" s="126"/>
      <c r="D491" s="126"/>
      <c r="E491" s="126"/>
      <c r="K491" s="115"/>
      <c r="L491" s="115"/>
      <c r="M491" s="115"/>
      <c r="N491" s="115"/>
      <c r="O491" s="115"/>
      <c r="P491" s="115"/>
      <c r="Q491" s="29"/>
      <c r="R491" s="29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29"/>
      <c r="AI491" s="29"/>
    </row>
    <row r="492" spans="1:35" ht="19.5" x14ac:dyDescent="0.4">
      <c r="A492" s="125"/>
      <c r="B492" s="125"/>
      <c r="C492" s="126"/>
      <c r="D492" s="126"/>
      <c r="E492" s="126"/>
      <c r="Q492" s="127"/>
      <c r="R492" s="29"/>
      <c r="AH492" s="127"/>
      <c r="AI492" s="29"/>
    </row>
    <row r="493" spans="1:35" ht="19.5" x14ac:dyDescent="0.4">
      <c r="A493" s="125"/>
      <c r="B493" s="125"/>
      <c r="C493" s="126"/>
      <c r="D493" s="126"/>
      <c r="E493" s="126"/>
      <c r="K493" s="115"/>
      <c r="L493" s="115"/>
      <c r="M493" s="115"/>
      <c r="N493" s="115"/>
      <c r="O493" s="115"/>
      <c r="P493" s="115"/>
      <c r="Q493" s="29"/>
      <c r="R493" s="29"/>
      <c r="AC493" s="115"/>
      <c r="AD493" s="115"/>
      <c r="AE493" s="115"/>
      <c r="AF493" s="115"/>
      <c r="AG493" s="115"/>
      <c r="AH493" s="29"/>
      <c r="AI493" s="29"/>
    </row>
    <row r="494" spans="1:35" ht="19.5" x14ac:dyDescent="0.4">
      <c r="A494" s="125"/>
      <c r="B494" s="125"/>
      <c r="C494" s="126"/>
      <c r="D494" s="126"/>
      <c r="E494" s="126"/>
      <c r="Q494" s="127"/>
      <c r="R494" s="29"/>
      <c r="AH494" s="127"/>
      <c r="AI494" s="29"/>
    </row>
    <row r="495" spans="1:35" ht="19.5" x14ac:dyDescent="0.4">
      <c r="A495" s="125"/>
      <c r="B495" s="125"/>
      <c r="C495" s="126"/>
      <c r="D495" s="126"/>
      <c r="E495" s="126"/>
      <c r="K495" s="115"/>
      <c r="L495" s="115"/>
      <c r="M495" s="115"/>
      <c r="N495" s="115"/>
      <c r="O495" s="115"/>
      <c r="P495" s="115"/>
      <c r="Q495" s="29"/>
      <c r="R495" s="29"/>
      <c r="AC495" s="115"/>
      <c r="AD495" s="115"/>
      <c r="AE495" s="115"/>
      <c r="AF495" s="115"/>
      <c r="AG495" s="115"/>
      <c r="AH495" s="29"/>
      <c r="AI495" s="29"/>
    </row>
    <row r="496" spans="1:35" ht="19.5" x14ac:dyDescent="0.4">
      <c r="A496" s="125"/>
      <c r="B496" s="125"/>
      <c r="C496" s="126"/>
      <c r="D496" s="126"/>
      <c r="E496" s="126"/>
      <c r="K496" s="115"/>
      <c r="L496" s="115"/>
      <c r="M496" s="115"/>
      <c r="N496" s="115"/>
      <c r="O496" s="115"/>
      <c r="P496" s="115"/>
      <c r="Q496" s="127"/>
      <c r="R496" s="29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27"/>
      <c r="AI496" s="29"/>
    </row>
    <row r="497" spans="1:35" ht="19.5" x14ac:dyDescent="0.4">
      <c r="A497" s="125"/>
      <c r="B497" s="125"/>
      <c r="C497" s="126"/>
      <c r="D497" s="126"/>
      <c r="E497" s="126"/>
      <c r="K497" s="115"/>
      <c r="L497" s="115"/>
      <c r="M497" s="115"/>
      <c r="N497" s="115"/>
      <c r="O497" s="115"/>
      <c r="P497" s="115"/>
      <c r="Q497" s="29"/>
      <c r="R497" s="29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29"/>
      <c r="AI497" s="29"/>
    </row>
    <row r="498" spans="1:35" ht="19.5" x14ac:dyDescent="0.4">
      <c r="A498" s="125"/>
      <c r="B498" s="125"/>
      <c r="C498" s="126"/>
      <c r="D498" s="126"/>
      <c r="E498" s="126"/>
      <c r="K498" s="115"/>
      <c r="L498" s="115"/>
      <c r="M498" s="115"/>
      <c r="N498" s="115"/>
      <c r="O498" s="115"/>
      <c r="P498" s="115"/>
      <c r="Q498" s="127"/>
      <c r="R498" s="29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27"/>
      <c r="AI498" s="29"/>
    </row>
    <row r="499" spans="1:35" ht="19.5" x14ac:dyDescent="0.4">
      <c r="A499" s="125"/>
      <c r="B499" s="125"/>
      <c r="C499" s="126"/>
      <c r="D499" s="126"/>
      <c r="E499" s="126"/>
      <c r="K499" s="115"/>
      <c r="L499" s="115"/>
      <c r="M499" s="115"/>
      <c r="N499" s="115"/>
      <c r="O499" s="115"/>
      <c r="P499" s="115"/>
      <c r="Q499" s="29"/>
      <c r="R499" s="29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29"/>
      <c r="AI499" s="29"/>
    </row>
    <row r="500" spans="1:35" ht="19.5" x14ac:dyDescent="0.4">
      <c r="A500" s="125"/>
      <c r="B500" s="125"/>
      <c r="C500" s="126"/>
      <c r="D500" s="126"/>
      <c r="E500" s="126"/>
      <c r="K500" s="115"/>
      <c r="L500" s="115"/>
      <c r="M500" s="115"/>
      <c r="N500" s="115"/>
      <c r="O500" s="115"/>
      <c r="P500" s="115"/>
      <c r="Q500" s="127"/>
      <c r="R500" s="29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27"/>
      <c r="AI500" s="29"/>
    </row>
    <row r="501" spans="1:35" ht="19.5" x14ac:dyDescent="0.4">
      <c r="A501" s="125"/>
      <c r="B501" s="125"/>
      <c r="C501" s="126"/>
      <c r="D501" s="126"/>
      <c r="E501" s="126"/>
      <c r="K501" s="115"/>
      <c r="L501" s="115"/>
      <c r="M501" s="115"/>
      <c r="N501" s="115"/>
      <c r="O501" s="115"/>
      <c r="P501" s="115"/>
      <c r="Q501" s="29"/>
      <c r="R501" s="29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29"/>
      <c r="AI501" s="29"/>
    </row>
    <row r="502" spans="1:35" ht="19.5" x14ac:dyDescent="0.4">
      <c r="A502" s="125"/>
      <c r="B502" s="125"/>
      <c r="C502" s="126"/>
      <c r="D502" s="126"/>
      <c r="E502" s="126"/>
      <c r="K502" s="115"/>
      <c r="L502" s="115"/>
      <c r="M502" s="115"/>
      <c r="N502" s="115"/>
      <c r="O502" s="115"/>
      <c r="P502" s="115"/>
      <c r="Q502" s="29"/>
      <c r="R502" s="29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29"/>
      <c r="AI502" s="29"/>
    </row>
    <row r="503" spans="1:35" ht="19.5" x14ac:dyDescent="0.4">
      <c r="A503" s="125"/>
      <c r="B503" s="125"/>
      <c r="C503" s="126"/>
      <c r="D503" s="126"/>
      <c r="E503" s="126"/>
      <c r="K503" s="115"/>
      <c r="L503" s="115"/>
      <c r="M503" s="115"/>
      <c r="N503" s="115"/>
      <c r="O503" s="115"/>
      <c r="P503" s="115"/>
      <c r="Q503" s="29"/>
      <c r="R503" s="29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29"/>
      <c r="AI503" s="29"/>
    </row>
    <row r="504" spans="1:35" ht="19.5" x14ac:dyDescent="0.4">
      <c r="A504" s="125"/>
      <c r="B504" s="125"/>
      <c r="C504" s="126"/>
      <c r="D504" s="126"/>
      <c r="E504" s="126"/>
      <c r="K504" s="115"/>
      <c r="L504" s="115"/>
      <c r="M504" s="115"/>
      <c r="N504" s="115"/>
      <c r="O504" s="115"/>
      <c r="P504" s="115"/>
      <c r="Q504" s="127"/>
      <c r="R504" s="29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27"/>
      <c r="AI504" s="29"/>
    </row>
    <row r="505" spans="1:35" ht="19.5" x14ac:dyDescent="0.4">
      <c r="A505" s="125"/>
      <c r="B505" s="125"/>
      <c r="C505" s="126"/>
      <c r="D505" s="126"/>
      <c r="E505" s="126"/>
      <c r="Q505" s="127"/>
      <c r="R505" s="29"/>
      <c r="AH505" s="127"/>
      <c r="AI505" s="29"/>
    </row>
    <row r="506" spans="1:35" ht="19.5" x14ac:dyDescent="0.4">
      <c r="A506" s="125"/>
      <c r="B506" s="125"/>
      <c r="C506" s="126"/>
      <c r="D506" s="126"/>
      <c r="E506" s="126"/>
      <c r="K506" s="115"/>
      <c r="L506" s="115"/>
      <c r="M506" s="115"/>
      <c r="N506" s="115"/>
      <c r="O506" s="115"/>
      <c r="P506" s="115"/>
      <c r="Q506" s="127"/>
      <c r="R506" s="29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27"/>
      <c r="AI506" s="29"/>
    </row>
    <row r="507" spans="1:35" ht="19.5" x14ac:dyDescent="0.4">
      <c r="A507" s="125"/>
      <c r="B507" s="125"/>
      <c r="C507" s="126"/>
      <c r="D507" s="126"/>
      <c r="E507" s="126"/>
      <c r="K507" s="115"/>
      <c r="L507" s="115"/>
      <c r="M507" s="115"/>
      <c r="N507" s="115"/>
      <c r="O507" s="115"/>
      <c r="P507" s="115"/>
      <c r="Q507" s="127"/>
      <c r="R507" s="29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27"/>
      <c r="AI507" s="29"/>
    </row>
    <row r="508" spans="1:35" ht="19.5" x14ac:dyDescent="0.4">
      <c r="A508" s="125"/>
      <c r="B508" s="125"/>
      <c r="C508" s="126"/>
      <c r="D508" s="126"/>
      <c r="E508" s="126"/>
      <c r="K508" s="115"/>
      <c r="L508" s="115"/>
      <c r="M508" s="115"/>
      <c r="N508" s="115"/>
      <c r="O508" s="115"/>
      <c r="P508" s="115"/>
      <c r="Q508" s="29"/>
      <c r="R508" s="29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29"/>
      <c r="AI508" s="29"/>
    </row>
    <row r="509" spans="1:35" ht="19.5" x14ac:dyDescent="0.4">
      <c r="A509" s="125"/>
      <c r="B509" s="125"/>
      <c r="C509" s="126"/>
      <c r="D509" s="126"/>
      <c r="E509" s="126"/>
      <c r="K509" s="115"/>
      <c r="L509" s="115"/>
      <c r="M509" s="115"/>
      <c r="N509" s="115"/>
      <c r="O509" s="115"/>
      <c r="P509" s="115"/>
      <c r="Q509" s="127"/>
      <c r="R509" s="29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27"/>
      <c r="AI509" s="29"/>
    </row>
    <row r="510" spans="1:35" ht="19.5" x14ac:dyDescent="0.4">
      <c r="A510" s="125"/>
      <c r="B510" s="125"/>
      <c r="C510" s="126"/>
      <c r="D510" s="126"/>
      <c r="E510" s="126"/>
      <c r="K510" s="115"/>
      <c r="L510" s="115"/>
      <c r="M510" s="115"/>
      <c r="N510" s="115"/>
      <c r="O510" s="115"/>
      <c r="P510" s="115"/>
      <c r="Q510" s="29"/>
      <c r="R510" s="29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29"/>
      <c r="AI510" s="29"/>
    </row>
    <row r="511" spans="1:35" ht="19.5" x14ac:dyDescent="0.4">
      <c r="A511" s="125"/>
      <c r="B511" s="125"/>
      <c r="C511" s="126"/>
      <c r="D511" s="126"/>
      <c r="E511" s="126"/>
      <c r="K511" s="115"/>
      <c r="L511" s="115"/>
      <c r="M511" s="115"/>
      <c r="N511" s="115"/>
      <c r="O511" s="115"/>
      <c r="P511" s="115"/>
      <c r="Q511" s="127"/>
      <c r="R511" s="29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27"/>
      <c r="AI511" s="29"/>
    </row>
    <row r="512" spans="1:35" ht="19.5" x14ac:dyDescent="0.4">
      <c r="A512" s="125"/>
      <c r="B512" s="125"/>
      <c r="C512" s="126"/>
      <c r="D512" s="126"/>
      <c r="E512" s="126"/>
      <c r="Q512" s="127"/>
      <c r="R512" s="29"/>
      <c r="AH512" s="127"/>
      <c r="AI512" s="29"/>
    </row>
    <row r="513" spans="1:35" ht="19.5" x14ac:dyDescent="0.4">
      <c r="A513" s="125"/>
      <c r="B513" s="125"/>
      <c r="C513" s="126"/>
      <c r="D513" s="126"/>
      <c r="E513" s="126"/>
      <c r="Q513" s="127"/>
      <c r="R513" s="29"/>
      <c r="AH513" s="127"/>
      <c r="AI513" s="29"/>
    </row>
    <row r="514" spans="1:35" ht="19.5" x14ac:dyDescent="0.4">
      <c r="A514" s="125"/>
      <c r="B514" s="125"/>
      <c r="C514" s="126"/>
      <c r="D514" s="126"/>
      <c r="E514" s="126"/>
      <c r="K514" s="115"/>
      <c r="L514" s="115"/>
      <c r="M514" s="115"/>
      <c r="N514" s="115"/>
      <c r="O514" s="115"/>
      <c r="P514" s="115"/>
      <c r="Q514" s="127"/>
      <c r="R514" s="29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27"/>
      <c r="AI514" s="29"/>
    </row>
    <row r="515" spans="1:35" ht="19.5" x14ac:dyDescent="0.4">
      <c r="A515" s="125"/>
      <c r="B515" s="125"/>
      <c r="C515" s="126"/>
      <c r="D515" s="126"/>
      <c r="E515" s="126"/>
      <c r="K515" s="115"/>
      <c r="L515" s="115"/>
      <c r="M515" s="115"/>
      <c r="N515" s="115"/>
      <c r="O515" s="115"/>
      <c r="P515" s="115"/>
      <c r="Q515" s="127"/>
      <c r="R515" s="29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27"/>
      <c r="AI515" s="29"/>
    </row>
    <row r="516" spans="1:35" ht="19.5" x14ac:dyDescent="0.4">
      <c r="A516" s="125"/>
      <c r="B516" s="125"/>
      <c r="C516" s="126"/>
      <c r="D516" s="126"/>
      <c r="E516" s="126"/>
      <c r="K516" s="115"/>
      <c r="L516" s="115"/>
      <c r="M516" s="115"/>
      <c r="N516" s="115"/>
      <c r="O516" s="115"/>
      <c r="P516" s="115"/>
      <c r="Q516" s="29"/>
      <c r="R516" s="29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29"/>
      <c r="AI516" s="29"/>
    </row>
    <row r="517" spans="1:35" ht="19.5" x14ac:dyDescent="0.4">
      <c r="A517" s="125"/>
      <c r="B517" s="125"/>
      <c r="C517" s="126"/>
      <c r="D517" s="126"/>
      <c r="E517" s="126"/>
      <c r="Q517" s="127"/>
      <c r="R517" s="29"/>
      <c r="AH517" s="127"/>
      <c r="AI517" s="29"/>
    </row>
    <row r="518" spans="1:35" ht="19.5" x14ac:dyDescent="0.4">
      <c r="A518" s="125"/>
      <c r="B518" s="125"/>
      <c r="C518" s="126"/>
      <c r="D518" s="126"/>
      <c r="E518" s="126"/>
      <c r="K518" s="115"/>
      <c r="L518" s="115"/>
      <c r="M518" s="115"/>
      <c r="N518" s="115"/>
      <c r="O518" s="115"/>
      <c r="P518" s="115"/>
      <c r="Q518" s="127"/>
      <c r="R518" s="29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27"/>
      <c r="AI518" s="29"/>
    </row>
    <row r="519" spans="1:35" ht="19.5" x14ac:dyDescent="0.4">
      <c r="A519" s="125"/>
      <c r="B519" s="125"/>
      <c r="C519" s="126"/>
      <c r="D519" s="126"/>
      <c r="E519" s="126"/>
      <c r="K519" s="115"/>
      <c r="L519" s="115"/>
      <c r="M519" s="115"/>
      <c r="N519" s="115"/>
      <c r="O519" s="115"/>
      <c r="P519" s="115"/>
      <c r="Q519" s="127"/>
      <c r="R519" s="29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27"/>
      <c r="AI519" s="29"/>
    </row>
    <row r="520" spans="1:35" ht="19.5" x14ac:dyDescent="0.4">
      <c r="A520" s="125"/>
      <c r="B520" s="125"/>
      <c r="C520" s="126"/>
      <c r="D520" s="126"/>
      <c r="E520" s="126"/>
      <c r="Q520" s="127"/>
      <c r="R520" s="29"/>
      <c r="AH520" s="127"/>
      <c r="AI520" s="29"/>
    </row>
    <row r="521" spans="1:35" ht="19.5" x14ac:dyDescent="0.4">
      <c r="A521" s="125"/>
      <c r="B521" s="125"/>
      <c r="C521" s="126"/>
      <c r="D521" s="126"/>
      <c r="E521" s="126"/>
      <c r="K521" s="115"/>
      <c r="L521" s="115"/>
      <c r="M521" s="115"/>
      <c r="N521" s="115"/>
      <c r="O521" s="115"/>
      <c r="P521" s="115"/>
      <c r="Q521" s="127"/>
      <c r="R521" s="29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27"/>
      <c r="AI521" s="29"/>
    </row>
    <row r="522" spans="1:35" ht="19.5" x14ac:dyDescent="0.4">
      <c r="A522" s="125"/>
      <c r="B522" s="125"/>
      <c r="C522" s="126"/>
      <c r="D522" s="126"/>
      <c r="E522" s="126"/>
      <c r="Q522" s="127"/>
      <c r="R522" s="29"/>
      <c r="AH522" s="127"/>
      <c r="AI522" s="29"/>
    </row>
    <row r="523" spans="1:35" ht="19.5" x14ac:dyDescent="0.4">
      <c r="A523" s="125"/>
      <c r="B523" s="125"/>
      <c r="C523" s="126"/>
      <c r="D523" s="126"/>
      <c r="E523" s="126"/>
      <c r="K523" s="115"/>
      <c r="L523" s="115"/>
      <c r="M523" s="115"/>
      <c r="N523" s="115"/>
      <c r="O523" s="115"/>
      <c r="P523" s="115"/>
      <c r="Q523" s="29"/>
      <c r="R523" s="29"/>
      <c r="AA523" s="115"/>
      <c r="AB523" s="115"/>
      <c r="AC523" s="115"/>
      <c r="AD523" s="115"/>
      <c r="AE523" s="115"/>
      <c r="AF523" s="115"/>
      <c r="AG523" s="115"/>
      <c r="AH523" s="29"/>
      <c r="AI523" s="29"/>
    </row>
    <row r="524" spans="1:35" ht="19.5" x14ac:dyDescent="0.4">
      <c r="A524" s="125"/>
      <c r="B524" s="125"/>
      <c r="C524" s="126"/>
      <c r="D524" s="126"/>
      <c r="E524" s="126"/>
      <c r="K524" s="115"/>
      <c r="L524" s="115"/>
      <c r="M524" s="115"/>
      <c r="N524" s="115"/>
      <c r="O524" s="115"/>
      <c r="P524" s="115"/>
      <c r="Q524" s="127"/>
      <c r="R524" s="29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27"/>
      <c r="AI524" s="29"/>
    </row>
    <row r="525" spans="1:35" ht="19.5" x14ac:dyDescent="0.4">
      <c r="A525" s="125"/>
      <c r="B525" s="125"/>
      <c r="C525" s="126"/>
      <c r="D525" s="126"/>
      <c r="E525" s="126"/>
      <c r="K525" s="115"/>
      <c r="L525" s="115"/>
      <c r="M525" s="115"/>
      <c r="N525" s="115"/>
      <c r="O525" s="115"/>
      <c r="P525" s="115"/>
      <c r="Q525" s="127"/>
      <c r="R525" s="29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27"/>
      <c r="AI525" s="29"/>
    </row>
    <row r="526" spans="1:35" ht="19.5" x14ac:dyDescent="0.4">
      <c r="A526" s="125"/>
      <c r="B526" s="125"/>
      <c r="C526" s="126"/>
      <c r="D526" s="126"/>
      <c r="E526" s="126"/>
      <c r="K526" s="115"/>
      <c r="L526" s="115"/>
      <c r="M526" s="115"/>
      <c r="N526" s="115"/>
      <c r="O526" s="115"/>
      <c r="P526" s="115"/>
      <c r="Q526" s="127"/>
      <c r="R526" s="29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27"/>
      <c r="AI526" s="29"/>
    </row>
    <row r="527" spans="1:35" ht="19.5" x14ac:dyDescent="0.4">
      <c r="A527" s="125"/>
      <c r="B527" s="125"/>
      <c r="C527" s="126"/>
      <c r="D527" s="126"/>
      <c r="E527" s="126"/>
      <c r="K527" s="115"/>
      <c r="L527" s="115"/>
      <c r="M527" s="115"/>
      <c r="N527" s="115"/>
      <c r="O527" s="115"/>
      <c r="P527" s="115"/>
      <c r="Q527" s="127"/>
      <c r="R527" s="29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27"/>
      <c r="AI527" s="29"/>
    </row>
    <row r="528" spans="1:35" ht="19.5" x14ac:dyDescent="0.4">
      <c r="A528" s="125"/>
      <c r="B528" s="125"/>
      <c r="C528" s="126"/>
      <c r="D528" s="126"/>
      <c r="E528" s="126"/>
      <c r="K528" s="115"/>
      <c r="L528" s="115"/>
      <c r="M528" s="115"/>
      <c r="N528" s="115"/>
      <c r="O528" s="115"/>
      <c r="P528" s="115"/>
      <c r="Q528" s="127"/>
      <c r="R528" s="29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27"/>
      <c r="AI528" s="29"/>
    </row>
    <row r="529" spans="1:35" ht="19.5" x14ac:dyDescent="0.4">
      <c r="A529" s="125"/>
      <c r="B529" s="125"/>
      <c r="C529" s="126"/>
      <c r="D529" s="126"/>
      <c r="E529" s="126"/>
      <c r="Q529" s="127"/>
      <c r="R529" s="29"/>
      <c r="AH529" s="127"/>
      <c r="AI529" s="29"/>
    </row>
    <row r="530" spans="1:35" ht="19.5" x14ac:dyDescent="0.4">
      <c r="A530" s="125"/>
      <c r="B530" s="125"/>
      <c r="C530" s="126"/>
      <c r="D530" s="126"/>
      <c r="E530" s="126"/>
      <c r="K530" s="115"/>
      <c r="L530" s="115"/>
      <c r="M530" s="115"/>
      <c r="N530" s="115"/>
      <c r="O530" s="115"/>
      <c r="P530" s="115"/>
      <c r="Q530" s="127"/>
      <c r="R530" s="29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27"/>
      <c r="AI530" s="29"/>
    </row>
    <row r="531" spans="1:35" ht="19.5" x14ac:dyDescent="0.4">
      <c r="A531" s="125"/>
      <c r="B531" s="125"/>
      <c r="C531" s="126"/>
      <c r="D531" s="126"/>
      <c r="E531" s="126"/>
      <c r="Q531" s="127"/>
      <c r="R531" s="29"/>
      <c r="AH531" s="127"/>
      <c r="AI531" s="29"/>
    </row>
    <row r="532" spans="1:35" ht="19.5" x14ac:dyDescent="0.4">
      <c r="A532" s="125"/>
      <c r="B532" s="125"/>
      <c r="C532" s="126"/>
      <c r="D532" s="126"/>
      <c r="E532" s="126"/>
      <c r="Q532" s="127"/>
      <c r="R532" s="29"/>
      <c r="AH532" s="127"/>
      <c r="AI532" s="29"/>
    </row>
    <row r="533" spans="1:35" ht="19.5" x14ac:dyDescent="0.4">
      <c r="A533" s="125"/>
      <c r="B533" s="125"/>
      <c r="C533" s="126"/>
      <c r="D533" s="126"/>
      <c r="E533" s="126"/>
      <c r="K533" s="115"/>
      <c r="L533" s="115"/>
      <c r="M533" s="115"/>
      <c r="N533" s="115"/>
      <c r="O533" s="115"/>
      <c r="P533" s="115"/>
      <c r="Q533" s="127"/>
      <c r="R533" s="29"/>
      <c r="Z533" s="115"/>
      <c r="AA533" s="115"/>
      <c r="AB533" s="115"/>
      <c r="AC533" s="115"/>
      <c r="AD533" s="115"/>
      <c r="AE533" s="115"/>
      <c r="AF533" s="115"/>
      <c r="AG533" s="115"/>
      <c r="AH533" s="127"/>
      <c r="AI533" s="29"/>
    </row>
    <row r="534" spans="1:35" ht="19.5" x14ac:dyDescent="0.4">
      <c r="A534" s="125"/>
      <c r="B534" s="125"/>
      <c r="C534" s="126"/>
      <c r="D534" s="126"/>
      <c r="E534" s="126"/>
      <c r="Q534" s="127"/>
      <c r="R534" s="29"/>
      <c r="AH534" s="127"/>
      <c r="AI534" s="29"/>
    </row>
    <row r="535" spans="1:35" ht="19.5" x14ac:dyDescent="0.4">
      <c r="A535" s="125"/>
      <c r="B535" s="125"/>
      <c r="C535" s="126"/>
      <c r="D535" s="126"/>
      <c r="E535" s="126"/>
      <c r="K535" s="115"/>
      <c r="L535" s="115"/>
      <c r="M535" s="115"/>
      <c r="N535" s="115"/>
      <c r="O535" s="115"/>
      <c r="P535" s="115"/>
      <c r="Q535" s="127"/>
      <c r="R535" s="29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27"/>
      <c r="AI535" s="29"/>
    </row>
    <row r="536" spans="1:35" x14ac:dyDescent="0.4">
      <c r="Q536" s="127"/>
      <c r="R536" s="29"/>
      <c r="AH536" s="127"/>
      <c r="AI536" s="29"/>
    </row>
    <row r="537" spans="1:35" x14ac:dyDescent="0.4">
      <c r="K537" s="115"/>
      <c r="L537" s="115"/>
      <c r="M537" s="115"/>
      <c r="N537" s="115"/>
      <c r="O537" s="115"/>
      <c r="P537" s="115"/>
      <c r="Q537" s="127"/>
      <c r="R537" s="29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27"/>
      <c r="AI537" s="29"/>
    </row>
    <row r="538" spans="1:35" x14ac:dyDescent="0.4">
      <c r="Q538" s="127"/>
      <c r="R538" s="29"/>
      <c r="AH538" s="127"/>
      <c r="AI538" s="29"/>
    </row>
    <row r="539" spans="1:35" x14ac:dyDescent="0.4">
      <c r="K539" s="115"/>
      <c r="L539" s="115"/>
      <c r="M539" s="115"/>
      <c r="N539" s="115"/>
      <c r="O539" s="115"/>
      <c r="P539" s="115"/>
      <c r="Q539" s="127"/>
      <c r="R539" s="29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27"/>
      <c r="AI539" s="29"/>
    </row>
    <row r="540" spans="1:35" x14ac:dyDescent="0.4">
      <c r="K540" s="115"/>
      <c r="L540" s="115"/>
      <c r="M540" s="115"/>
      <c r="N540" s="115"/>
      <c r="O540" s="115"/>
      <c r="P540" s="115"/>
      <c r="Q540" s="127"/>
      <c r="R540" s="29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27"/>
      <c r="AI540" s="29"/>
    </row>
    <row r="541" spans="1:35" x14ac:dyDescent="0.4">
      <c r="K541" s="115"/>
      <c r="L541" s="115"/>
      <c r="M541" s="115"/>
      <c r="N541" s="115"/>
      <c r="O541" s="115"/>
      <c r="P541" s="115"/>
      <c r="Q541" s="127"/>
      <c r="R541" s="29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27"/>
      <c r="AI541" s="29"/>
    </row>
    <row r="542" spans="1:35" x14ac:dyDescent="0.4">
      <c r="K542" s="115"/>
      <c r="L542" s="115"/>
      <c r="M542" s="115"/>
      <c r="N542" s="115"/>
      <c r="O542" s="115"/>
      <c r="P542" s="115"/>
      <c r="Q542" s="127"/>
      <c r="R542" s="29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27"/>
      <c r="AI542" s="29"/>
    </row>
    <row r="543" spans="1:35" x14ac:dyDescent="0.4">
      <c r="K543" s="115"/>
      <c r="L543" s="115"/>
      <c r="M543" s="115"/>
      <c r="N543" s="115"/>
      <c r="O543" s="115"/>
      <c r="P543" s="115"/>
      <c r="Q543" s="127"/>
      <c r="R543" s="29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27"/>
      <c r="AI543" s="29"/>
    </row>
    <row r="544" spans="1:35" x14ac:dyDescent="0.4">
      <c r="Q544" s="127"/>
      <c r="R544" s="29"/>
      <c r="AH544" s="127"/>
      <c r="AI544" s="29"/>
    </row>
    <row r="545" spans="11:35" x14ac:dyDescent="0.4">
      <c r="Q545" s="127"/>
      <c r="R545" s="29"/>
      <c r="AH545" s="127"/>
      <c r="AI545" s="29"/>
    </row>
    <row r="546" spans="11:35" x14ac:dyDescent="0.4">
      <c r="K546" s="115"/>
      <c r="L546" s="115"/>
      <c r="M546" s="115"/>
      <c r="N546" s="115"/>
      <c r="O546" s="115"/>
      <c r="P546" s="115"/>
      <c r="Q546" s="127"/>
      <c r="R546" s="29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27"/>
      <c r="AI546" s="29"/>
    </row>
    <row r="547" spans="11:35" x14ac:dyDescent="0.4">
      <c r="K547" s="115"/>
      <c r="L547" s="115"/>
      <c r="M547" s="115"/>
      <c r="N547" s="115"/>
      <c r="O547" s="115"/>
      <c r="P547" s="115"/>
      <c r="Q547" s="127"/>
      <c r="R547" s="29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27"/>
      <c r="AI547" s="29"/>
    </row>
    <row r="548" spans="11:35" x14ac:dyDescent="0.4">
      <c r="Q548" s="127"/>
      <c r="R548" s="29"/>
      <c r="AH548" s="127"/>
      <c r="AI548" s="29"/>
    </row>
    <row r="549" spans="11:35" x14ac:dyDescent="0.4">
      <c r="K549" s="115"/>
      <c r="L549" s="115"/>
      <c r="M549" s="115"/>
      <c r="N549" s="115"/>
      <c r="O549" s="115"/>
      <c r="P549" s="115"/>
      <c r="Q549" s="127"/>
      <c r="R549" s="29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27"/>
      <c r="AI549" s="29"/>
    </row>
    <row r="550" spans="11:35" x14ac:dyDescent="0.4">
      <c r="K550" s="115"/>
      <c r="L550" s="115"/>
      <c r="M550" s="115"/>
      <c r="N550" s="115"/>
      <c r="O550" s="115"/>
      <c r="P550" s="115"/>
      <c r="Q550" s="127"/>
      <c r="R550" s="29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27"/>
      <c r="AI550" s="29"/>
    </row>
    <row r="551" spans="11:35" x14ac:dyDescent="0.4">
      <c r="K551" s="115"/>
      <c r="L551" s="115"/>
      <c r="M551" s="115"/>
      <c r="N551" s="115"/>
      <c r="O551" s="115"/>
      <c r="P551" s="115"/>
      <c r="Q551" s="29"/>
      <c r="R551" s="29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29"/>
      <c r="AI551" s="29"/>
    </row>
    <row r="552" spans="11:35" x14ac:dyDescent="0.4">
      <c r="Q552" s="127"/>
      <c r="R552" s="29"/>
      <c r="AH552" s="127"/>
      <c r="AI552" s="29"/>
    </row>
    <row r="553" spans="11:35" x14ac:dyDescent="0.4">
      <c r="K553" s="115"/>
      <c r="L553" s="115"/>
      <c r="M553" s="115"/>
      <c r="N553" s="115"/>
      <c r="O553" s="115"/>
      <c r="P553" s="115"/>
      <c r="Q553" s="127"/>
      <c r="R553" s="29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27"/>
      <c r="AI553" s="29"/>
    </row>
    <row r="554" spans="11:35" x14ac:dyDescent="0.4">
      <c r="K554" s="115"/>
      <c r="L554" s="115"/>
      <c r="M554" s="115"/>
      <c r="N554" s="115"/>
      <c r="O554" s="115"/>
      <c r="P554" s="115"/>
      <c r="Q554" s="29"/>
      <c r="R554" s="29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29"/>
      <c r="AI554" s="29"/>
    </row>
    <row r="555" spans="11:35" x14ac:dyDescent="0.4">
      <c r="K555" s="115"/>
      <c r="L555" s="115"/>
      <c r="M555" s="115"/>
      <c r="N555" s="115"/>
      <c r="O555" s="115"/>
      <c r="P555" s="115"/>
      <c r="Q555" s="127"/>
      <c r="R555" s="29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27"/>
      <c r="AI555" s="29"/>
    </row>
    <row r="556" spans="11:35" x14ac:dyDescent="0.4">
      <c r="K556" s="115"/>
      <c r="L556" s="115"/>
      <c r="M556" s="115"/>
      <c r="N556" s="115"/>
      <c r="O556" s="115"/>
      <c r="P556" s="115"/>
      <c r="Q556" s="127"/>
      <c r="R556" s="29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27"/>
      <c r="AI556" s="29"/>
    </row>
    <row r="557" spans="11:35" x14ac:dyDescent="0.4">
      <c r="K557" s="115"/>
      <c r="L557" s="115"/>
      <c r="M557" s="115"/>
      <c r="N557" s="115"/>
      <c r="O557" s="115"/>
      <c r="P557" s="115"/>
      <c r="Q557" s="127"/>
      <c r="R557" s="29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27"/>
      <c r="AI557" s="29"/>
    </row>
    <row r="558" spans="11:35" x14ac:dyDescent="0.4">
      <c r="Q558" s="127"/>
      <c r="R558" s="29"/>
      <c r="AH558" s="127"/>
      <c r="AI558" s="29"/>
    </row>
    <row r="559" spans="11:35" x14ac:dyDescent="0.4">
      <c r="K559" s="115"/>
      <c r="L559" s="115"/>
      <c r="M559" s="115"/>
      <c r="N559" s="115"/>
      <c r="O559" s="115"/>
      <c r="P559" s="115"/>
      <c r="Q559" s="127"/>
      <c r="R559" s="29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27"/>
      <c r="AI559" s="29"/>
    </row>
    <row r="560" spans="11:35" x14ac:dyDescent="0.4"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27"/>
      <c r="AI560" s="29"/>
    </row>
    <row r="561" spans="19:35" x14ac:dyDescent="0.4"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27"/>
      <c r="AI561" s="29"/>
    </row>
    <row r="562" spans="19:35" x14ac:dyDescent="0.4"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29"/>
      <c r="AI562" s="29"/>
    </row>
    <row r="563" spans="19:35" x14ac:dyDescent="0.4"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27"/>
      <c r="AI563" s="29"/>
    </row>
    <row r="564" spans="19:35" x14ac:dyDescent="0.4"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29"/>
      <c r="AI564" s="29"/>
    </row>
    <row r="565" spans="19:35" x14ac:dyDescent="0.4"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27"/>
      <c r="AI565" s="29"/>
    </row>
    <row r="566" spans="19:35" x14ac:dyDescent="0.4"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29"/>
      <c r="AI566" s="29"/>
    </row>
    <row r="567" spans="19:35" x14ac:dyDescent="0.4"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27"/>
      <c r="AI567" s="29"/>
    </row>
    <row r="568" spans="19:35" x14ac:dyDescent="0.4"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29"/>
      <c r="AI568" s="29"/>
    </row>
    <row r="569" spans="19:35" x14ac:dyDescent="0.4"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27"/>
      <c r="AI569" s="29"/>
    </row>
    <row r="570" spans="19:35" x14ac:dyDescent="0.4"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27"/>
      <c r="AI570" s="29"/>
    </row>
    <row r="571" spans="19:35" x14ac:dyDescent="0.4"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27"/>
      <c r="AI571" s="29"/>
    </row>
    <row r="572" spans="19:35" x14ac:dyDescent="0.4"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27"/>
      <c r="AI572" s="29"/>
    </row>
    <row r="573" spans="19:35" x14ac:dyDescent="0.4"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27"/>
      <c r="AI573" s="29"/>
    </row>
    <row r="574" spans="19:35" x14ac:dyDescent="0.4">
      <c r="AH574" s="127"/>
      <c r="AI574" s="29"/>
    </row>
    <row r="575" spans="19:35" x14ac:dyDescent="0.4"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27"/>
      <c r="AI575" s="29"/>
    </row>
    <row r="576" spans="19:35" x14ac:dyDescent="0.4">
      <c r="AH576" s="127"/>
      <c r="AI576" s="29"/>
    </row>
    <row r="577" spans="19:35" x14ac:dyDescent="0.4">
      <c r="Z577" s="115"/>
      <c r="AA577" s="115"/>
      <c r="AB577" s="115"/>
      <c r="AC577" s="115"/>
      <c r="AD577" s="115"/>
      <c r="AE577" s="115"/>
      <c r="AF577" s="115"/>
      <c r="AG577" s="115"/>
      <c r="AH577" s="127"/>
      <c r="AI577" s="29"/>
    </row>
    <row r="578" spans="19:35" x14ac:dyDescent="0.4"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27"/>
      <c r="AI578" s="29"/>
    </row>
    <row r="579" spans="19:35" x14ac:dyDescent="0.4"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29"/>
      <c r="AI579" s="29"/>
    </row>
    <row r="580" spans="19:35" x14ac:dyDescent="0.4"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29"/>
      <c r="AI580" s="29"/>
    </row>
    <row r="581" spans="19:35" x14ac:dyDescent="0.4"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27"/>
      <c r="AI581" s="29"/>
    </row>
    <row r="582" spans="19:35" x14ac:dyDescent="0.4"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27"/>
      <c r="AI582" s="29"/>
    </row>
    <row r="583" spans="19:35" x14ac:dyDescent="0.4">
      <c r="AH583" s="127"/>
      <c r="AI583" s="29"/>
    </row>
    <row r="584" spans="19:35" x14ac:dyDescent="0.4"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27"/>
      <c r="AI584" s="29"/>
    </row>
    <row r="585" spans="19:35" x14ac:dyDescent="0.4"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27"/>
      <c r="AI585" s="29"/>
    </row>
    <row r="586" spans="19:35" x14ac:dyDescent="0.4"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27"/>
      <c r="AI586" s="29"/>
    </row>
    <row r="587" spans="19:35" x14ac:dyDescent="0.4">
      <c r="AH587" s="127"/>
      <c r="AI587" s="29"/>
    </row>
    <row r="588" spans="19:35" x14ac:dyDescent="0.4"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27"/>
      <c r="AI588" s="29"/>
    </row>
    <row r="589" spans="19:35" x14ac:dyDescent="0.4"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27"/>
      <c r="AI589" s="29"/>
    </row>
    <row r="590" spans="19:35" x14ac:dyDescent="0.4"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27"/>
      <c r="AI590" s="29"/>
    </row>
    <row r="591" spans="19:35" x14ac:dyDescent="0.4"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27"/>
      <c r="AI591" s="29"/>
    </row>
    <row r="592" spans="19:35" x14ac:dyDescent="0.4">
      <c r="AH592" s="127"/>
      <c r="AI592" s="29"/>
    </row>
    <row r="593" spans="20:35" x14ac:dyDescent="0.4"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27"/>
      <c r="AI593" s="29"/>
    </row>
    <row r="594" spans="20:35" x14ac:dyDescent="0.4"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27"/>
      <c r="AI594" s="29"/>
    </row>
    <row r="595" spans="20:35" x14ac:dyDescent="0.4"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27"/>
      <c r="AI595" s="29"/>
    </row>
    <row r="596" spans="20:35" x14ac:dyDescent="0.4"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27"/>
      <c r="AI596" s="29"/>
    </row>
    <row r="597" spans="20:35" x14ac:dyDescent="0.4">
      <c r="AH597" s="127"/>
      <c r="AI597" s="29"/>
    </row>
    <row r="598" spans="20:35" x14ac:dyDescent="0.4"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27"/>
      <c r="AI598" s="29"/>
    </row>
    <row r="599" spans="20:35" x14ac:dyDescent="0.4">
      <c r="AH599" s="127"/>
      <c r="AI599" s="29"/>
    </row>
    <row r="600" spans="20:35" x14ac:dyDescent="0.4"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27"/>
      <c r="AI600" s="29"/>
    </row>
    <row r="601" spans="20:35" x14ac:dyDescent="0.4"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27"/>
      <c r="AI601" s="29"/>
    </row>
    <row r="602" spans="20:35" x14ac:dyDescent="0.4"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27"/>
      <c r="AI602" s="29"/>
    </row>
    <row r="603" spans="20:35" x14ac:dyDescent="0.4"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27"/>
      <c r="AI603" s="29"/>
    </row>
    <row r="604" spans="20:35" x14ac:dyDescent="0.4"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27"/>
      <c r="AI604" s="29"/>
    </row>
    <row r="605" spans="20:35" x14ac:dyDescent="0.4">
      <c r="AH605" s="127"/>
      <c r="AI605" s="29"/>
    </row>
    <row r="606" spans="20:35" x14ac:dyDescent="0.4"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27"/>
      <c r="AI606" s="29"/>
    </row>
    <row r="607" spans="20:35" x14ac:dyDescent="0.4"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27"/>
      <c r="AI607" s="29"/>
    </row>
    <row r="608" spans="20:35" x14ac:dyDescent="0.4"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27"/>
      <c r="AI608" s="29"/>
    </row>
    <row r="609" spans="18:35" x14ac:dyDescent="0.4"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27"/>
      <c r="AI609" s="29"/>
    </row>
    <row r="610" spans="18:35" x14ac:dyDescent="0.4">
      <c r="AH610" s="127"/>
      <c r="AI610" s="29"/>
    </row>
    <row r="611" spans="18:35" x14ac:dyDescent="0.4"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27"/>
      <c r="AI611" s="29"/>
    </row>
    <row r="612" spans="18:35" x14ac:dyDescent="0.4">
      <c r="AH612" s="127"/>
      <c r="AI612" s="29"/>
    </row>
    <row r="613" spans="18:35" x14ac:dyDescent="0.4"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27"/>
      <c r="AI613" s="29"/>
    </row>
    <row r="614" spans="18:35" x14ac:dyDescent="0.4"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27"/>
      <c r="AI614" s="29"/>
    </row>
    <row r="615" spans="18:35" x14ac:dyDescent="0.4">
      <c r="AH615" s="127"/>
      <c r="AI615" s="29"/>
    </row>
    <row r="616" spans="18:35" x14ac:dyDescent="0.4">
      <c r="Z616" s="115"/>
      <c r="AA616" s="115"/>
      <c r="AB616" s="115"/>
      <c r="AC616" s="115"/>
      <c r="AD616" s="115"/>
      <c r="AE616" s="115"/>
      <c r="AF616" s="115"/>
      <c r="AG616" s="115"/>
      <c r="AH616" s="29"/>
      <c r="AI616" s="29"/>
    </row>
    <row r="617" spans="18:35" x14ac:dyDescent="0.4"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27"/>
      <c r="AI617" s="29"/>
    </row>
    <row r="618" spans="18:35" x14ac:dyDescent="0.4"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27"/>
      <c r="AI618" s="29"/>
    </row>
    <row r="619" spans="18:35" x14ac:dyDescent="0.4">
      <c r="AH619" s="127"/>
      <c r="AI619" s="29"/>
    </row>
    <row r="620" spans="18:35" x14ac:dyDescent="0.4">
      <c r="AH620" s="127"/>
      <c r="AI620" s="29"/>
    </row>
    <row r="621" spans="18:35" x14ac:dyDescent="0.4"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27"/>
      <c r="AI621" s="29"/>
    </row>
    <row r="622" spans="18:35" x14ac:dyDescent="0.4"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27"/>
      <c r="AI622" s="29"/>
    </row>
    <row r="623" spans="18:35" x14ac:dyDescent="0.4">
      <c r="AH623" s="127"/>
      <c r="AI623" s="29"/>
    </row>
    <row r="624" spans="18:35" x14ac:dyDescent="0.4"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27"/>
      <c r="AI624" s="29"/>
    </row>
    <row r="625" spans="19:35" x14ac:dyDescent="0.4"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27"/>
      <c r="AI625" s="29"/>
    </row>
    <row r="626" spans="19:35" x14ac:dyDescent="0.4">
      <c r="AH626" s="127"/>
      <c r="AI626" s="29"/>
    </row>
    <row r="627" spans="19:35" x14ac:dyDescent="0.4">
      <c r="Z627" s="115"/>
      <c r="AA627" s="115"/>
      <c r="AB627" s="115"/>
      <c r="AC627" s="115"/>
      <c r="AD627" s="115"/>
      <c r="AE627" s="115"/>
      <c r="AF627" s="115"/>
      <c r="AG627" s="115"/>
      <c r="AH627" s="29"/>
      <c r="AI627" s="29"/>
    </row>
    <row r="628" spans="19:35" x14ac:dyDescent="0.4">
      <c r="AH628" s="127"/>
      <c r="AI628" s="29"/>
    </row>
    <row r="629" spans="19:35" x14ac:dyDescent="0.4">
      <c r="AH629" s="127"/>
      <c r="AI629" s="29"/>
    </row>
    <row r="630" spans="19:35" x14ac:dyDescent="0.4"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27"/>
      <c r="AI630" s="29"/>
    </row>
    <row r="631" spans="19:35" x14ac:dyDescent="0.4"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29"/>
      <c r="AI631" s="29"/>
    </row>
    <row r="632" spans="19:35" x14ac:dyDescent="0.4">
      <c r="AH632" s="127"/>
      <c r="AI632" s="29"/>
    </row>
    <row r="633" spans="19:35" x14ac:dyDescent="0.4">
      <c r="AH633" s="127"/>
      <c r="AI633" s="29"/>
    </row>
    <row r="634" spans="19:35" x14ac:dyDescent="0.4">
      <c r="AH634" s="127"/>
      <c r="AI634" s="29"/>
    </row>
    <row r="635" spans="19:35" x14ac:dyDescent="0.4">
      <c r="Z635" s="115"/>
      <c r="AA635" s="115"/>
      <c r="AB635" s="115"/>
      <c r="AC635" s="115"/>
      <c r="AD635" s="115"/>
      <c r="AE635" s="115"/>
      <c r="AF635" s="115"/>
      <c r="AG635" s="115"/>
      <c r="AH635" s="29"/>
      <c r="AI635" s="29"/>
    </row>
    <row r="636" spans="19:35" x14ac:dyDescent="0.4">
      <c r="Z636" s="115"/>
      <c r="AA636" s="115"/>
      <c r="AB636" s="115"/>
      <c r="AC636" s="115"/>
      <c r="AD636" s="115"/>
      <c r="AE636" s="115"/>
      <c r="AF636" s="115"/>
      <c r="AG636" s="115"/>
      <c r="AH636" s="29"/>
      <c r="AI636" s="29"/>
    </row>
    <row r="637" spans="19:35" x14ac:dyDescent="0.4">
      <c r="AH637" s="127"/>
      <c r="AI637" s="29"/>
    </row>
    <row r="638" spans="19:35" x14ac:dyDescent="0.4"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29"/>
      <c r="AI638" s="29"/>
    </row>
    <row r="639" spans="19:35" x14ac:dyDescent="0.4"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27"/>
      <c r="AI639" s="29"/>
    </row>
    <row r="640" spans="19:35" x14ac:dyDescent="0.4"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29"/>
      <c r="AI640" s="29"/>
    </row>
    <row r="641" spans="18:35" x14ac:dyDescent="0.4">
      <c r="AH641" s="127"/>
      <c r="AI641" s="29"/>
    </row>
    <row r="642" spans="18:35" x14ac:dyDescent="0.4">
      <c r="AH642" s="127"/>
      <c r="AI642" s="29"/>
    </row>
    <row r="643" spans="18:35" x14ac:dyDescent="0.4">
      <c r="AH643" s="127"/>
      <c r="AI643" s="29"/>
    </row>
    <row r="644" spans="18:35" x14ac:dyDescent="0.4"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27"/>
      <c r="AI644" s="29"/>
    </row>
    <row r="645" spans="18:35" x14ac:dyDescent="0.4"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27"/>
      <c r="AI645" s="29"/>
    </row>
    <row r="646" spans="18:35" x14ac:dyDescent="0.4"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29"/>
      <c r="AI646" s="29"/>
    </row>
    <row r="647" spans="18:35" x14ac:dyDescent="0.4">
      <c r="AH647" s="127"/>
      <c r="AI647" s="29"/>
    </row>
    <row r="648" spans="18:35" x14ac:dyDescent="0.4"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29"/>
      <c r="AI648" s="29"/>
    </row>
    <row r="649" spans="18:35" x14ac:dyDescent="0.4">
      <c r="AH649" s="127"/>
      <c r="AI649" s="29"/>
    </row>
    <row r="650" spans="18:35" x14ac:dyDescent="0.4"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29"/>
      <c r="AI650" s="29"/>
    </row>
    <row r="651" spans="18:35" x14ac:dyDescent="0.4"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29"/>
      <c r="AI651" s="29"/>
    </row>
    <row r="652" spans="18:35" x14ac:dyDescent="0.4">
      <c r="AH652" s="127"/>
      <c r="AI652" s="29"/>
    </row>
    <row r="653" spans="18:35" x14ac:dyDescent="0.4">
      <c r="AH653" s="127"/>
      <c r="AI653" s="29"/>
    </row>
    <row r="654" spans="18:35" x14ac:dyDescent="0.4">
      <c r="AH654" s="128"/>
      <c r="AI654" s="29"/>
    </row>
    <row r="655" spans="18:35" x14ac:dyDescent="0.4"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27"/>
      <c r="AI655" s="29"/>
    </row>
    <row r="656" spans="18:35" x14ac:dyDescent="0.4">
      <c r="AH656" s="127"/>
      <c r="AI656" s="29"/>
    </row>
    <row r="657" spans="18:35" x14ac:dyDescent="0.4"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27"/>
      <c r="AI657" s="29"/>
    </row>
    <row r="658" spans="18:35" x14ac:dyDescent="0.4">
      <c r="AH658" s="127"/>
      <c r="AI658" s="29"/>
    </row>
    <row r="659" spans="18:35" x14ac:dyDescent="0.4">
      <c r="AH659" s="127"/>
      <c r="AI659" s="29"/>
    </row>
    <row r="660" spans="18:35" x14ac:dyDescent="0.4"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27"/>
      <c r="AI660" s="29"/>
    </row>
    <row r="661" spans="18:35" x14ac:dyDescent="0.4">
      <c r="AH661" s="127"/>
      <c r="AI661" s="29"/>
    </row>
    <row r="662" spans="18:35" x14ac:dyDescent="0.4"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27"/>
      <c r="AI662" s="29"/>
    </row>
    <row r="663" spans="18:35" x14ac:dyDescent="0.4">
      <c r="AH663" s="127"/>
      <c r="AI663" s="29"/>
    </row>
    <row r="664" spans="18:35" x14ac:dyDescent="0.4"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27"/>
      <c r="AI664" s="29"/>
    </row>
    <row r="665" spans="18:35" x14ac:dyDescent="0.4">
      <c r="AH665" s="127"/>
      <c r="AI665" s="29"/>
    </row>
    <row r="666" spans="18:35" x14ac:dyDescent="0.4">
      <c r="AH666" s="128"/>
      <c r="AI666" s="29"/>
    </row>
    <row r="667" spans="18:35" x14ac:dyDescent="0.4">
      <c r="AH667" s="127"/>
      <c r="AI667" s="29"/>
    </row>
    <row r="668" spans="18:35" x14ac:dyDescent="0.4">
      <c r="AH668" s="127"/>
      <c r="AI668" s="29"/>
    </row>
    <row r="669" spans="18:35" x14ac:dyDescent="0.4">
      <c r="AH669" s="128"/>
      <c r="AI669" s="29"/>
    </row>
    <row r="670" spans="18:35" x14ac:dyDescent="0.4">
      <c r="AH670" s="127"/>
      <c r="AI670" s="29"/>
    </row>
    <row r="671" spans="18:35" x14ac:dyDescent="0.4">
      <c r="AH671" s="128"/>
      <c r="AI671" s="29"/>
    </row>
    <row r="672" spans="18:35" x14ac:dyDescent="0.4">
      <c r="AH672" s="127"/>
      <c r="AI672" s="29"/>
    </row>
    <row r="673" spans="18:35" x14ac:dyDescent="0.4"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27"/>
      <c r="AI673" s="29"/>
    </row>
    <row r="674" spans="18:35" x14ac:dyDescent="0.4"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28"/>
      <c r="AI674" s="29"/>
    </row>
    <row r="675" spans="18:35" x14ac:dyDescent="0.4">
      <c r="AH675" s="127"/>
      <c r="AI675" s="29"/>
    </row>
    <row r="676" spans="18:35" x14ac:dyDescent="0.4">
      <c r="AH676" s="128"/>
      <c r="AI676" s="29"/>
    </row>
    <row r="677" spans="18:35" x14ac:dyDescent="0.4"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27"/>
      <c r="AI677" s="29"/>
    </row>
    <row r="678" spans="18:35" x14ac:dyDescent="0.4">
      <c r="AH678" s="127"/>
      <c r="AI678" s="29"/>
    </row>
    <row r="679" spans="18:35" x14ac:dyDescent="0.4">
      <c r="AH679" s="127"/>
      <c r="AI679" s="29"/>
    </row>
    <row r="680" spans="18:35" x14ac:dyDescent="0.4"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27"/>
      <c r="AI680" s="29"/>
    </row>
    <row r="681" spans="18:35" x14ac:dyDescent="0.4">
      <c r="AH681" s="127"/>
      <c r="AI681" s="29"/>
    </row>
    <row r="682" spans="18:35" x14ac:dyDescent="0.4">
      <c r="AH682" s="127"/>
      <c r="AI682" s="29"/>
    </row>
    <row r="683" spans="18:35" x14ac:dyDescent="0.4">
      <c r="AH683" s="127"/>
      <c r="AI683" s="29"/>
    </row>
    <row r="684" spans="18:35" x14ac:dyDescent="0.4"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27"/>
      <c r="AI684" s="29"/>
    </row>
    <row r="685" spans="18:35" x14ac:dyDescent="0.4"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28"/>
      <c r="AI685" s="29"/>
    </row>
    <row r="686" spans="18:35" x14ac:dyDescent="0.4">
      <c r="AH686" s="127"/>
      <c r="AI686" s="29"/>
    </row>
    <row r="687" spans="18:35" x14ac:dyDescent="0.4">
      <c r="AH687" s="128"/>
      <c r="AI687" s="29"/>
    </row>
    <row r="688" spans="18:35" x14ac:dyDescent="0.4">
      <c r="AH688" s="127"/>
      <c r="AI688" s="29"/>
    </row>
    <row r="689" spans="19:35" x14ac:dyDescent="0.4"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27"/>
      <c r="AI689" s="29"/>
    </row>
    <row r="690" spans="19:35" x14ac:dyDescent="0.4">
      <c r="AH690" s="127"/>
      <c r="AI690" s="29"/>
    </row>
    <row r="691" spans="19:35" x14ac:dyDescent="0.4">
      <c r="AH691" s="128"/>
      <c r="AI691" s="29"/>
    </row>
    <row r="692" spans="19:35" x14ac:dyDescent="0.4">
      <c r="AH692" s="128"/>
      <c r="AI692" s="29"/>
    </row>
    <row r="693" spans="19:35" x14ac:dyDescent="0.4">
      <c r="AH693" s="127"/>
      <c r="AI693" s="29"/>
    </row>
    <row r="694" spans="19:35" x14ac:dyDescent="0.4">
      <c r="AH694" s="127"/>
      <c r="AI694" s="29"/>
    </row>
    <row r="695" spans="19:35" x14ac:dyDescent="0.4">
      <c r="AH695" s="127"/>
      <c r="AI695" s="29"/>
    </row>
    <row r="696" spans="19:35" x14ac:dyDescent="0.4">
      <c r="AH696" s="127"/>
      <c r="AI696" s="29"/>
    </row>
    <row r="697" spans="19:35" x14ac:dyDescent="0.4"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29"/>
      <c r="AI697" s="29"/>
    </row>
    <row r="698" spans="19:35" x14ac:dyDescent="0.4">
      <c r="AH698" s="127"/>
      <c r="AI698" s="127"/>
    </row>
    <row r="699" spans="19:35" x14ac:dyDescent="0.4"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29"/>
      <c r="AI699" s="29"/>
    </row>
    <row r="700" spans="19:35" x14ac:dyDescent="0.4"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29"/>
      <c r="AI700" s="29"/>
    </row>
    <row r="701" spans="19:35" x14ac:dyDescent="0.4">
      <c r="AH701" s="127"/>
      <c r="AI701" s="29"/>
    </row>
    <row r="702" spans="19:35" x14ac:dyDescent="0.4">
      <c r="AH702" s="127"/>
      <c r="AI702" s="29"/>
    </row>
    <row r="703" spans="19:35" x14ac:dyDescent="0.4">
      <c r="AH703" s="127"/>
      <c r="AI703" s="29"/>
    </row>
    <row r="704" spans="19:35" x14ac:dyDescent="0.4">
      <c r="AH704" s="127"/>
      <c r="AI704" s="29"/>
    </row>
    <row r="705" spans="18:35" x14ac:dyDescent="0.4">
      <c r="AH705" s="127"/>
      <c r="AI705" s="29"/>
    </row>
    <row r="706" spans="18:35" x14ac:dyDescent="0.4">
      <c r="AH706" s="127"/>
      <c r="AI706" s="29"/>
    </row>
    <row r="707" spans="18:35" x14ac:dyDescent="0.4">
      <c r="AH707" s="127"/>
      <c r="AI707" s="29"/>
    </row>
    <row r="708" spans="18:35" x14ac:dyDescent="0.4">
      <c r="AH708" s="127"/>
      <c r="AI708" s="29"/>
    </row>
    <row r="709" spans="18:35" x14ac:dyDescent="0.4">
      <c r="AH709" s="127"/>
      <c r="AI709" s="29"/>
    </row>
    <row r="710" spans="18:35" x14ac:dyDescent="0.4">
      <c r="AH710" s="127"/>
      <c r="AI710" s="29"/>
    </row>
    <row r="711" spans="18:35" x14ac:dyDescent="0.4"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29"/>
      <c r="AI711" s="29"/>
    </row>
    <row r="712" spans="18:35" x14ac:dyDescent="0.4">
      <c r="AH712" s="127"/>
      <c r="AI712" s="29"/>
    </row>
    <row r="713" spans="18:35" x14ac:dyDescent="0.4">
      <c r="AH713" s="127"/>
      <c r="AI713" s="29"/>
    </row>
    <row r="714" spans="18:35" x14ac:dyDescent="0.4">
      <c r="AH714" s="127"/>
      <c r="AI714" s="29"/>
    </row>
    <row r="715" spans="18:35" x14ac:dyDescent="0.4">
      <c r="AH715" s="127"/>
      <c r="AI715" s="29"/>
    </row>
    <row r="716" spans="18:35" x14ac:dyDescent="0.4">
      <c r="AH716" s="127"/>
      <c r="AI716" s="29"/>
    </row>
    <row r="717" spans="18:35" x14ac:dyDescent="0.4">
      <c r="AH717" s="127"/>
      <c r="AI717" s="29"/>
    </row>
    <row r="718" spans="18:35" x14ac:dyDescent="0.4">
      <c r="AH718" s="127"/>
      <c r="AI718" s="29"/>
    </row>
    <row r="719" spans="18:35" x14ac:dyDescent="0.4">
      <c r="AH719" s="127"/>
      <c r="AI719" s="29"/>
    </row>
    <row r="720" spans="18:35" x14ac:dyDescent="0.4">
      <c r="AH720" s="127"/>
      <c r="AI720" s="29"/>
    </row>
    <row r="721" spans="18:35" x14ac:dyDescent="0.4"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29"/>
      <c r="AI721" s="29"/>
    </row>
    <row r="722" spans="18:35" x14ac:dyDescent="0.4">
      <c r="AH722" s="127"/>
      <c r="AI722" s="29"/>
    </row>
    <row r="723" spans="18:35" x14ac:dyDescent="0.4">
      <c r="AH723" s="127"/>
      <c r="AI723" s="29"/>
    </row>
    <row r="724" spans="18:35" x14ac:dyDescent="0.4">
      <c r="AH724" s="127"/>
      <c r="AI724" s="29"/>
    </row>
    <row r="725" spans="18:35" x14ac:dyDescent="0.4">
      <c r="AH725" s="127"/>
      <c r="AI725" s="29"/>
    </row>
    <row r="726" spans="18:35" x14ac:dyDescent="0.4">
      <c r="AH726" s="127"/>
      <c r="AI726" s="29"/>
    </row>
    <row r="727" spans="18:35" x14ac:dyDescent="0.4"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29"/>
      <c r="AI727" s="29"/>
    </row>
    <row r="728" spans="18:35" x14ac:dyDescent="0.4">
      <c r="AH728" s="127"/>
      <c r="AI728" s="29"/>
    </row>
    <row r="729" spans="18:35" x14ac:dyDescent="0.4">
      <c r="AH729" s="127"/>
      <c r="AI729" s="29"/>
    </row>
    <row r="730" spans="18:35" x14ac:dyDescent="0.4">
      <c r="AH730" s="127"/>
      <c r="AI730" s="29"/>
    </row>
    <row r="731" spans="18:35" x14ac:dyDescent="0.4">
      <c r="AH731" s="127"/>
      <c r="AI731" s="29"/>
    </row>
    <row r="732" spans="18:35" x14ac:dyDescent="0.4">
      <c r="AH732" s="127"/>
      <c r="AI732" s="29"/>
    </row>
    <row r="733" spans="18:35" x14ac:dyDescent="0.4"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29"/>
      <c r="AI733" s="29"/>
    </row>
    <row r="734" spans="18:35" x14ac:dyDescent="0.4">
      <c r="AH734" s="127"/>
      <c r="AI734" s="29"/>
    </row>
    <row r="735" spans="18:35" x14ac:dyDescent="0.4">
      <c r="AH735" s="127"/>
      <c r="AI735" s="29"/>
    </row>
    <row r="736" spans="18:35" x14ac:dyDescent="0.4">
      <c r="AH736" s="127"/>
      <c r="AI736" s="29"/>
    </row>
    <row r="737" spans="18:35" x14ac:dyDescent="0.4">
      <c r="AH737" s="127"/>
      <c r="AI737" s="29"/>
    </row>
    <row r="738" spans="18:35" x14ac:dyDescent="0.4">
      <c r="AH738" s="127"/>
      <c r="AI738" s="29"/>
    </row>
    <row r="739" spans="18:35" x14ac:dyDescent="0.4">
      <c r="AH739" s="127"/>
      <c r="AI739" s="29"/>
    </row>
    <row r="740" spans="18:35" x14ac:dyDescent="0.4">
      <c r="AH740" s="127"/>
      <c r="AI740" s="29"/>
    </row>
    <row r="741" spans="18:35" x14ac:dyDescent="0.4">
      <c r="AH741" s="127"/>
      <c r="AI741" s="29"/>
    </row>
    <row r="742" spans="18:35" x14ac:dyDescent="0.4">
      <c r="AH742" s="127"/>
      <c r="AI742" s="29"/>
    </row>
    <row r="743" spans="18:35" x14ac:dyDescent="0.4">
      <c r="AH743" s="127"/>
      <c r="AI743" s="29"/>
    </row>
    <row r="744" spans="18:35" x14ac:dyDescent="0.4">
      <c r="AH744" s="127"/>
      <c r="AI744" s="29"/>
    </row>
    <row r="745" spans="18:35" x14ac:dyDescent="0.4">
      <c r="AH745" s="127"/>
      <c r="AI745" s="29"/>
    </row>
    <row r="746" spans="18:35" x14ac:dyDescent="0.4"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29"/>
      <c r="AI746" s="29"/>
    </row>
    <row r="747" spans="18:35" x14ac:dyDescent="0.4">
      <c r="AH747" s="127"/>
      <c r="AI747" s="29"/>
    </row>
    <row r="748" spans="18:35" x14ac:dyDescent="0.4">
      <c r="AH748" s="127"/>
      <c r="AI748" s="29"/>
    </row>
    <row r="749" spans="18:35" x14ac:dyDescent="0.4">
      <c r="AH749" s="127"/>
      <c r="AI749" s="29"/>
    </row>
    <row r="750" spans="18:35" x14ac:dyDescent="0.4">
      <c r="AH750" s="127"/>
      <c r="AI750" s="29"/>
    </row>
    <row r="751" spans="18:35" x14ac:dyDescent="0.4">
      <c r="AH751" s="127"/>
      <c r="AI751" s="29"/>
    </row>
    <row r="752" spans="18:35" x14ac:dyDescent="0.4">
      <c r="AH752" s="127"/>
      <c r="AI752" s="29"/>
    </row>
    <row r="753" spans="18:35" x14ac:dyDescent="0.4">
      <c r="AH753" s="127"/>
      <c r="AI753" s="29"/>
    </row>
    <row r="754" spans="18:35" x14ac:dyDescent="0.4">
      <c r="AH754" s="127"/>
      <c r="AI754" s="29"/>
    </row>
    <row r="755" spans="18:35" x14ac:dyDescent="0.4">
      <c r="AH755" s="127"/>
      <c r="AI755" s="29"/>
    </row>
    <row r="756" spans="18:35" x14ac:dyDescent="0.4">
      <c r="AH756" s="127"/>
      <c r="AI756" s="29"/>
    </row>
    <row r="757" spans="18:35" x14ac:dyDescent="0.4"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29"/>
      <c r="AI757" s="29"/>
    </row>
    <row r="758" spans="18:35" x14ac:dyDescent="0.4">
      <c r="AH758" s="127"/>
      <c r="AI758" s="29"/>
    </row>
    <row r="759" spans="18:35" x14ac:dyDescent="0.4">
      <c r="AH759" s="127"/>
      <c r="AI759" s="29"/>
    </row>
    <row r="760" spans="18:35" x14ac:dyDescent="0.4"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29"/>
      <c r="AI760" s="29"/>
    </row>
    <row r="761" spans="18:35" x14ac:dyDescent="0.4">
      <c r="AH761" s="127"/>
      <c r="AI761" s="29"/>
    </row>
    <row r="762" spans="18:35" x14ac:dyDescent="0.4"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29"/>
      <c r="AI762" s="29"/>
    </row>
    <row r="763" spans="18:35" x14ac:dyDescent="0.4">
      <c r="AH763" s="127"/>
      <c r="AI763" s="29"/>
    </row>
    <row r="764" spans="18:35" x14ac:dyDescent="0.4">
      <c r="AH764" s="127"/>
      <c r="AI764" s="29"/>
    </row>
    <row r="765" spans="18:35" x14ac:dyDescent="0.4"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29"/>
      <c r="AI765" s="29"/>
    </row>
    <row r="766" spans="18:35" x14ac:dyDescent="0.4">
      <c r="AH766" s="127"/>
      <c r="AI766" s="29"/>
    </row>
    <row r="767" spans="18:35" x14ac:dyDescent="0.4"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29"/>
      <c r="AI767" s="29"/>
    </row>
    <row r="768" spans="18:35" x14ac:dyDescent="0.4">
      <c r="AH768" s="127"/>
      <c r="AI768" s="29"/>
    </row>
    <row r="769" spans="18:35" x14ac:dyDescent="0.4"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29"/>
      <c r="AI769" s="29"/>
    </row>
    <row r="770" spans="18:35" x14ac:dyDescent="0.4"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29"/>
      <c r="AI770" s="29"/>
    </row>
  </sheetData>
  <sortState xmlns:xlrd2="http://schemas.microsoft.com/office/spreadsheetml/2017/richdata2" ref="K2:L770">
    <sortCondition ref="K2:K770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2026-05-21T02:57:05Z</cp:lastPrinted>
  <dcterms:created xsi:type="dcterms:W3CDTF">2020-05-08T06:29:04Z</dcterms:created>
  <dcterms:modified xsi:type="dcterms:W3CDTF">2026-05-21T02:57:12Z</dcterms:modified>
</cp:coreProperties>
</file>